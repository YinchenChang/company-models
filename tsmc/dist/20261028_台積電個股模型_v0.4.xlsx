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CoWoS" sheetId="3" state="visible" r:id="rId5"/>
    <sheet name="PL" sheetId="4" state="visible" r:id="rId6"/>
    <sheet name="Val" sheetId="5" state="visible" r:id="rId7"/>
    <sheet name="Recon" sheetId="6" state="visible" r:id="rId8"/>
    <sheet name="Sens" sheetId="7" state="visible" r:id="rId9"/>
    <sheet name="NI_OI" sheetId="8" state="visible" r:id="rId10"/>
    <sheet name="Sources" sheetId="9" state="visible" r:id="rId11"/>
  </sheets>
  <definedNames>
    <definedName function="false" hidden="false" name="ai25_share" vbProcedure="false">In!$E$177</definedName>
    <definedName function="false" hidden="false" name="ai_cagr" vbProcedure="false">In!$E$178</definedName>
    <definedName function="false" hidden="false" name="ai_oth" vbProcedure="false">In!$E$105</definedName>
    <definedName function="false" hidden="false" name="ai_oth_hi" vbProcedure="false">In!$F$105</definedName>
    <definedName function="false" hidden="false" name="ai_oth_lo" vbProcedure="false">In!$D$105</definedName>
    <definedName function="false" hidden="false" name="capex26" vbProcedure="false">In!$E$167</definedName>
    <definedName function="false" hidden="false" name="capex27" vbProcedure="false">In!$E$168</definedName>
    <definedName function="false" hidden="false" name="capex28" vbProcedure="false">In!$E$169</definedName>
    <definedName function="false" hidden="false" name="capex29" vbProcedure="false">In!$E$170</definedName>
    <definedName function="false" hidden="false" name="cap_end25" vbProcedure="false">In!$E$67</definedName>
    <definedName function="false" hidden="false" name="cap_end26" vbProcedure="false">In!$E$68</definedName>
    <definedName function="false" hidden="false" name="cap_end27" vbProcedure="false">In!$E$69</definedName>
    <definedName function="false" hidden="false" name="cap_end28" vbProcedure="false">In!$E$70</definedName>
    <definedName function="false" hidden="false" name="cap_end29" vbProcedure="false">In!$E$71</definedName>
    <definedName function="false" hidden="false" name="cap_end29_hi" vbProcedure="false">In!$F$71</definedName>
    <definedName function="false" hidden="false" name="cap_end29_lo" vbProcedure="false">In!$D$71</definedName>
    <definedName function="false" hidden="false" name="cons_eps26" vbProcedure="false">In!$E$175</definedName>
    <definedName function="false" hidden="false" name="cons_eps27" vbProcedure="false">In!$E$176</definedName>
    <definedName function="false" hidden="false" name="cons_feps27" vbProcedure="false">In!$E$194</definedName>
    <definedName function="false" hidden="false" name="cons_feps28" vbProcedure="false">In!$E$195</definedName>
    <definedName function="false" hidden="false" name="cons_rev27" vbProcedure="false">In!$E$174</definedName>
    <definedName function="false" hidden="false" name="cons_tp" vbProcedure="false">In!$E$193</definedName>
    <definedName function="false" hidden="false" name="cons_tp_hi" vbProcedure="false">In!$F$193</definedName>
    <definedName function="false" hidden="false" name="cons_tp_lo" vbProcedure="false">In!$D$193</definedName>
    <definedName function="false" hidden="false" name="cow_oth26" vbProcedure="false">In!$E$64</definedName>
    <definedName function="false" hidden="false" name="cow_oth26_hi" vbProcedure="false">In!$F$64</definedName>
    <definedName function="false" hidden="false" name="cow_oth26_lo" vbProcedure="false">In!$D$64</definedName>
    <definedName function="false" hidden="false" name="cow_oth_g" vbProcedure="false">In!$E$65</definedName>
    <definedName function="false" hidden="false" name="cow_oth_g_hi" vbProcedure="false">In!$F$65</definedName>
    <definedName function="false" hidden="false" name="cow_oth_g_lo" vbProcedure="false">In!$D$65</definedName>
    <definedName function="false" hidden="false" name="ct_AMD8" vbProcedure="false">In!$E$53</definedName>
    <definedName function="false" hidden="false" name="ct_AMD8_hi" vbProcedure="false">In!$F$53</definedName>
    <definedName function="false" hidden="false" name="ct_AMD8_lo" vbProcedure="false">In!$D$53</definedName>
    <definedName function="false" hidden="false" name="ct_AMDR" vbProcedure="false">In!$E$55</definedName>
    <definedName function="false" hidden="false" name="ct_AMDR_hi" vbProcedure="false">In!$F$55</definedName>
    <definedName function="false" hidden="false" name="ct_AMDR_lo" vbProcedure="false">In!$D$55</definedName>
    <definedName function="false" hidden="false" name="ct_ASIC" vbProcedure="false">In!$E$63</definedName>
    <definedName function="false" hidden="false" name="ct_ASIC_hi" vbProcedure="false">In!$F$63</definedName>
    <definedName function="false" hidden="false" name="ct_ASIC_lo" vbProcedure="false">In!$D$63</definedName>
    <definedName function="false" hidden="false" name="ct_GB" vbProcedure="false">In!$E$45</definedName>
    <definedName function="false" hidden="false" name="ct_GB_hi" vbProcedure="false">In!$F$45</definedName>
    <definedName function="false" hidden="false" name="ct_GB_lo" vbProcedure="false">In!$D$45</definedName>
    <definedName function="false" hidden="false" name="ct_HP" vbProcedure="false">In!$E$51</definedName>
    <definedName function="false" hidden="false" name="ct_HP_hi" vbProcedure="false">In!$F$51</definedName>
    <definedName function="false" hidden="false" name="ct_HP_lo" vbProcedure="false">In!$D$51</definedName>
    <definedName function="false" hidden="false" name="ct_RU" vbProcedure="false">In!$E$49</definedName>
    <definedName function="false" hidden="false" name="ct_RU_hi" vbProcedure="false">In!$F$49</definedName>
    <definedName function="false" hidden="false" name="ct_RU_lo" vbProcedure="false">In!$D$49</definedName>
    <definedName function="false" hidden="false" name="ct_TPU7" vbProcedure="false">In!$E$57</definedName>
    <definedName function="false" hidden="false" name="ct_TPU7_hi" vbProcedure="false">In!$F$57</definedName>
    <definedName function="false" hidden="false" name="ct_TPU7_lo" vbProcedure="false">In!$D$57</definedName>
    <definedName function="false" hidden="false" name="ct_TPU8" vbProcedure="false">In!$E$59</definedName>
    <definedName function="false" hidden="false" name="ct_TPU8_hi" vbProcedure="false">In!$F$59</definedName>
    <definedName function="false" hidden="false" name="ct_TPU8_lo" vbProcedure="false">In!$D$59</definedName>
    <definedName function="false" hidden="false" name="ct_TRN" vbProcedure="false">In!$E$61</definedName>
    <definedName function="false" hidden="false" name="ct_TRN_hi" vbProcedure="false">In!$F$61</definedName>
    <definedName function="false" hidden="false" name="ct_TRN_lo" vbProcedure="false">In!$D$61</definedName>
    <definedName function="false" hidden="false" name="ct_VR" vbProcedure="false">In!$E$47</definedName>
    <definedName function="false" hidden="false" name="ct_VR_hi" vbProcedure="false">In!$F$47</definedName>
    <definedName function="false" hidden="false" name="ct_VR_lo" vbProcedure="false">In!$D$47</definedName>
    <definedName function="false" hidden="false" name="cx_rev" vbProcedure="false">In!$E$197</definedName>
    <definedName function="false" hidden="false" name="da_rev" vbProcedure="false">In!$E$196</definedName>
    <definedName function="false" hidden="false" name="dp_au" vbProcedure="false">In!$E$146</definedName>
    <definedName function="false" hidden="false" name="dp_au_hi" vbProcedure="false">In!$F$146</definedName>
    <definedName function="false" hidden="false" name="dp_au_lo" vbProcedure="false">In!$D$146</definedName>
    <definedName function="false" hidden="false" name="dp_dce" vbProcedure="false">In!$E$147</definedName>
    <definedName function="false" hidden="false" name="dp_dce_hi" vbProcedure="false">In!$F$147</definedName>
    <definedName function="false" hidden="false" name="dp_dce_lo" vbProcedure="false">In!$D$147</definedName>
    <definedName function="false" hidden="false" name="dp_hpc" vbProcedure="false">In!$E$143</definedName>
    <definedName function="false" hidden="false" name="dp_hpc_hi" vbProcedure="false">In!$F$143</definedName>
    <definedName function="false" hidden="false" name="dp_hpc_lo" vbProcedure="false">In!$D$143</definedName>
    <definedName function="false" hidden="false" name="dp_iot" vbProcedure="false">In!$E$145</definedName>
    <definedName function="false" hidden="false" name="dp_iot_hi" vbProcedure="false">In!$F$145</definedName>
    <definedName function="false" hidden="false" name="dp_iot_lo" vbProcedure="false">In!$D$145</definedName>
    <definedName function="false" hidden="false" name="dp_oth" vbProcedure="false">In!$E$148</definedName>
    <definedName function="false" hidden="false" name="dp_oth_hi" vbProcedure="false">In!$F$148</definedName>
    <definedName function="false" hidden="false" name="dp_oth_lo" vbProcedure="false">In!$D$148</definedName>
    <definedName function="false" hidden="false" name="dp_sp" vbProcedure="false">In!$E$144</definedName>
    <definedName function="false" hidden="false" name="dp_sp_hi" vbProcedure="false">In!$F$144</definedName>
    <definedName function="false" hidden="false" name="dp_sp_lo" vbProcedure="false">In!$D$144</definedName>
    <definedName function="false" hidden="false" name="eps26_1to3q" vbProcedure="false">In!$E$99</definedName>
    <definedName function="false" hidden="false" name="etr_new" vbProcedure="false">NI_OI!$B$14</definedName>
    <definedName function="false" hidden="false" name="fade_gA" vbProcedure="false">In!$E$187</definedName>
    <definedName function="false" hidden="false" name="fade_gB" vbProcedure="false">In!$E$188</definedName>
    <definedName function="false" hidden="false" name="fade_gC" vbProcedure="false">In!$E$189</definedName>
    <definedName function="false" hidden="false" name="fade_mA" vbProcedure="false">In!$E$190</definedName>
    <definedName function="false" hidden="false" name="fade_mB" vbProcedure="false">In!$E$191</definedName>
    <definedName function="false" hidden="false" name="fade_mC" vbProcedure="false">In!$E$192</definedName>
    <definedName function="false" hidden="false" name="fx" vbProcedure="false">In!$E$77</definedName>
    <definedName function="false" hidden="false" name="fx26_4q" vbProcedure="false">In!$E$83</definedName>
    <definedName function="false" hidden="false" name="fx_26" vbProcedure="false">In!$E$104</definedName>
    <definedName function="false" hidden="false" name="fx_hi" vbProcedure="false">In!$F$77</definedName>
    <definedName function="false" hidden="false" name="fx_lo" vbProcedure="false">In!$D$77</definedName>
    <definedName function="false" hidden="false" name="g26_guid" vbProcedure="false">In!$E$101</definedName>
    <definedName function="false" hidden="false" name="g29_amd" vbProcedure="false">In!$E$24</definedName>
    <definedName function="false" hidden="false" name="g29_amd_hi" vbProcedure="false">In!$F$24</definedName>
    <definedName function="false" hidden="false" name="g29_amd_lo" vbProcedure="false">In!$D$24</definedName>
    <definedName function="false" hidden="false" name="g29_bw" vbProcedure="false">In!$E$8</definedName>
    <definedName function="false" hidden="false" name="g29_bw_hi" vbProcedure="false">In!$F$8</definedName>
    <definedName function="false" hidden="false" name="g29_bw_lo" vbProcedure="false">In!$D$8</definedName>
    <definedName function="false" hidden="false" name="g29_hp" vbProcedure="false">In!$E$20</definedName>
    <definedName function="false" hidden="false" name="g29_hp_hi" vbProcedure="false">In!$F$20</definedName>
    <definedName function="false" hidden="false" name="g29_hp_lo" vbProcedure="false">In!$D$20</definedName>
    <definedName function="false" hidden="false" name="g29_oth" vbProcedure="false">In!$E$36</definedName>
    <definedName function="false" hidden="false" name="g29_oth_hi" vbProcedure="false">In!$F$36</definedName>
    <definedName function="false" hidden="false" name="g29_oth_lo" vbProcedure="false">In!$D$36</definedName>
    <definedName function="false" hidden="false" name="g29_rb" vbProcedure="false">In!$E$12</definedName>
    <definedName function="false" hidden="false" name="g29_rb_hi" vbProcedure="false">In!$F$12</definedName>
    <definedName function="false" hidden="false" name="g29_rb_lo" vbProcedure="false">In!$D$12</definedName>
    <definedName function="false" hidden="false" name="g29_ru" vbProcedure="false">In!$E$16</definedName>
    <definedName function="false" hidden="false" name="g29_ru_hi" vbProcedure="false">In!$F$16</definedName>
    <definedName function="false" hidden="false" name="g29_ru_lo" vbProcedure="false">In!$D$16</definedName>
    <definedName function="false" hidden="false" name="g29_tpu" vbProcedure="false">In!$E$28</definedName>
    <definedName function="false" hidden="false" name="g29_tpu_hi" vbProcedure="false">In!$F$28</definedName>
    <definedName function="false" hidden="false" name="g29_tpu_lo" vbProcedure="false">In!$D$28</definedName>
    <definedName function="false" hidden="false" name="g29_trn" vbProcedure="false">In!$E$32</definedName>
    <definedName function="false" hidden="false" name="g29_trn_hi" vbProcedure="false">In!$F$32</definedName>
    <definedName function="false" hidden="false" name="g29_trn_lo" vbProcedure="false">In!$D$32</definedName>
    <definedName function="false" hidden="false" name="gm26" vbProcedure="false">In!$E$150</definedName>
    <definedName function="false" hidden="false" name="gm26_1q" vbProcedure="false">In!$E$88</definedName>
    <definedName function="false" hidden="false" name="gm26_2q" vbProcedure="false">In!$E$89</definedName>
    <definedName function="false" hidden="false" name="gm26_3q" vbProcedure="false">In!$E$90</definedName>
    <definedName function="false" hidden="false" name="gm26_4q" vbProcedure="false">In!$E$91</definedName>
    <definedName function="false" hidden="false" name="gm26_4q_hi" vbProcedure="false">In!$F$91</definedName>
    <definedName function="false" hidden="false" name="gm26_4q_lo" vbProcedure="false">In!$D$91</definedName>
    <definedName function="false" hidden="false" name="gm27_A" vbProcedure="false">In!$E$154</definedName>
    <definedName function="false" hidden="false" name="gm27_B" vbProcedure="false">In!$E$157</definedName>
    <definedName function="false" hidden="false" name="gm27_C" vbProcedure="false">In!$E$160</definedName>
    <definedName function="false" hidden="false" name="gm28_A" vbProcedure="false">In!$E$155</definedName>
    <definedName function="false" hidden="false" name="gm28_B" vbProcedure="false">In!$E$158</definedName>
    <definedName function="false" hidden="false" name="gm28_C" vbProcedure="false">In!$E$161</definedName>
    <definedName function="false" hidden="false" name="gm29_A" vbProcedure="false">In!$E$156</definedName>
    <definedName function="false" hidden="false" name="gm29_B" vbProcedure="false">In!$E$159</definedName>
    <definedName function="false" hidden="false" name="gm29_C" vbProcedure="false">In!$E$162</definedName>
    <definedName function="false" hidden="false" name="hbm_gap27" vbProcedure="false">In!$E$75</definedName>
    <definedName function="false" hidden="false" name="hpc_3q" vbProcedure="false">In!$E$100</definedName>
    <definedName function="false" hidden="false" name="ms_dem26" vbProcedure="false">In!$E$73</definedName>
    <definedName function="false" hidden="false" name="ms_dem27" vbProcedure="false">In!$E$74</definedName>
    <definedName function="false" hidden="false" name="na27_A" vbProcedure="false">In!$E$109</definedName>
    <definedName function="false" hidden="false" name="na27_B" vbProcedure="false">In!$E$112</definedName>
    <definedName function="false" hidden="false" name="na27_C" vbProcedure="false">In!$E$115</definedName>
    <definedName function="false" hidden="false" name="na28_A" vbProcedure="false">In!$E$110</definedName>
    <definedName function="false" hidden="false" name="na28_B" vbProcedure="false">In!$E$113</definedName>
    <definedName function="false" hidden="false" name="na28_C" vbProcedure="false">In!$E$116</definedName>
    <definedName function="false" hidden="false" name="na29_A" vbProcedure="false">In!$E$111</definedName>
    <definedName function="false" hidden="false" name="na29_B" vbProcedure="false">In!$E$114</definedName>
    <definedName function="false" hidden="false" name="na29_C" vbProcedure="false">In!$E$117</definedName>
    <definedName function="false" hidden="false" name="ni26_1q" vbProcedure="false">In!$E$96</definedName>
    <definedName function="false" hidden="false" name="ni26_2q" vbProcedure="false">In!$E$97</definedName>
    <definedName function="false" hidden="false" name="ni26_3q" vbProcedure="false">In!$E$98</definedName>
    <definedName function="false" hidden="false" name="nim10" vbProcedure="false">In!$E$186</definedName>
    <definedName function="false" hidden="false" name="ni_op" vbProcedure="false">In!$E$164</definedName>
    <definedName function="false" hidden="false" name="ni_op_2023" vbProcedure="false">NI_OI!$B$20</definedName>
    <definedName function="false" hidden="false" name="ni_op_26" vbProcedure="false">In!$E$153</definedName>
    <definedName function="false" hidden="false" name="ni_op_alt" vbProcedure="false">NI_OI!$B$22</definedName>
    <definedName function="false" hidden="false" name="ni_op_calc" vbProcedure="false">NI_OI!$B$16</definedName>
    <definedName function="false" hidden="false" name="ni_op_hi" vbProcedure="false">In!$F$164</definedName>
    <definedName function="false" hidden="false" name="ni_op_lo" vbProcedure="false">In!$D$164</definedName>
    <definedName function="false" hidden="false" name="ni_op_underlying" vbProcedure="false">NI_OI!$B$19</definedName>
    <definedName function="false" hidden="false" name="nonop_hist" vbProcedure="false">NI_OI!$B$15</definedName>
    <definedName function="false" hidden="false" name="nonop_hist_alt" vbProcedure="false">NI_OI!$B$21</definedName>
    <definedName function="false" hidden="false" name="ntd26" vbProcedure="false">In!$E$103</definedName>
    <definedName function="false" hidden="false" name="ntd26_1q" vbProcedure="false">In!$E$84</definedName>
    <definedName function="false" hidden="false" name="ntd26_2q" vbProcedure="false">In!$E$85</definedName>
    <definedName function="false" hidden="false" name="ntd26_3q" vbProcedure="false">In!$E$86</definedName>
    <definedName function="false" hidden="false" name="ntd26_4q" vbProcedure="false">In!$E$87</definedName>
    <definedName function="false" hidden="false" name="ntd26_4q_hi" vbProcedure="false">In!$F$87</definedName>
    <definedName function="false" hidden="false" name="ntd26_4q_lo" vbProcedure="false">In!$D$87</definedName>
    <definedName function="false" hidden="false" name="opex" vbProcedure="false">In!$E$163</definedName>
    <definedName function="false" hidden="false" name="opex_26" vbProcedure="false">In!$E$152</definedName>
    <definedName function="false" hidden="false" name="opm26" vbProcedure="false">In!$E$151</definedName>
    <definedName function="false" hidden="false" name="opm26_1q" vbProcedure="false">In!$E$92</definedName>
    <definedName function="false" hidden="false" name="opm26_2q" vbProcedure="false">In!$E$93</definedName>
    <definedName function="false" hidden="false" name="opm26_3q" vbProcedure="false">In!$E$94</definedName>
    <definedName function="false" hidden="false" name="opm26_4q" vbProcedure="false">In!$E$95</definedName>
    <definedName function="false" hidden="false" name="opm26_4q_hi" vbProcedure="false">In!$F$95</definedName>
    <definedName function="false" hidden="false" name="opm26_4q_lo" vbProcedure="false">In!$D$95</definedName>
    <definedName function="false" hidden="false" name="osat" vbProcedure="false">In!$E$72</definedName>
    <definedName function="false" hidden="false" name="osat_hi" vbProcedure="false">In!$F$72</definedName>
    <definedName function="false" hidden="false" name="osat_lo" vbProcedure="false">In!$D$72</definedName>
    <definedName function="false" hidden="false" name="pe_1" vbProcedure="false">In!$E$171</definedName>
    <definedName function="false" hidden="false" name="pe_2" vbProcedure="false">In!$E$172</definedName>
    <definedName function="false" hidden="false" name="pe_3" vbProcedure="false">In!$E$173</definedName>
    <definedName function="false" hidden="false" name="pf25_au" vbProcedure="false">In!$E$131</definedName>
    <definedName function="false" hidden="false" name="pf25_dce" vbProcedure="false">In!$E$135</definedName>
    <definedName function="false" hidden="false" name="pf25_hpc" vbProcedure="false">In!$E$119</definedName>
    <definedName function="false" hidden="false" name="pf25_iot" vbProcedure="false">In!$E$127</definedName>
    <definedName function="false" hidden="false" name="pf25_oth" vbProcedure="false">In!$E$139</definedName>
    <definedName function="false" hidden="false" name="pf25_sp" vbProcedure="false">In!$E$123</definedName>
    <definedName function="false" hidden="false" name="pf26_1q_au" vbProcedure="false">In!$E$132</definedName>
    <definedName function="false" hidden="false" name="pf26_1q_dce" vbProcedure="false">In!$E$136</definedName>
    <definedName function="false" hidden="false" name="pf26_1q_hpc" vbProcedure="false">In!$E$120</definedName>
    <definedName function="false" hidden="false" name="pf26_1q_iot" vbProcedure="false">In!$E$128</definedName>
    <definedName function="false" hidden="false" name="pf26_1q_oth" vbProcedure="false">In!$E$140</definedName>
    <definedName function="false" hidden="false" name="pf26_1q_sp" vbProcedure="false">In!$E$124</definedName>
    <definedName function="false" hidden="false" name="pf26_2q_au" vbProcedure="false">In!$E$133</definedName>
    <definedName function="false" hidden="false" name="pf26_2q_dce" vbProcedure="false">In!$E$137</definedName>
    <definedName function="false" hidden="false" name="pf26_2q_hpc" vbProcedure="false">In!$E$121</definedName>
    <definedName function="false" hidden="false" name="pf26_2q_iot" vbProcedure="false">In!$E$129</definedName>
    <definedName function="false" hidden="false" name="pf26_2q_oth" vbProcedure="false">In!$E$141</definedName>
    <definedName function="false" hidden="false" name="pf26_2q_sp" vbProcedure="false">In!$E$125</definedName>
    <definedName function="false" hidden="false" name="pf26_3q_au" vbProcedure="false">In!$E$134</definedName>
    <definedName function="false" hidden="false" name="pf26_3q_dce" vbProcedure="false">In!$E$138</definedName>
    <definedName function="false" hidden="false" name="pf26_3q_hpc" vbProcedure="false">In!$E$122</definedName>
    <definedName function="false" hidden="false" name="pf26_3q_iot" vbProcedure="false">In!$E$130</definedName>
    <definedName function="false" hidden="false" name="pf26_3q_oth" vbProcedure="false">In!$E$142</definedName>
    <definedName function="false" hidden="false" name="pf26_3q_sp" vbProcedure="false">In!$E$126</definedName>
    <definedName function="false" hidden="false" name="pp_AMD8" vbProcedure="false">In!$E$52</definedName>
    <definedName function="false" hidden="false" name="pp_AMD8_hi" vbProcedure="false">In!$F$52</definedName>
    <definedName function="false" hidden="false" name="pp_AMD8_lo" vbProcedure="false">In!$D$52</definedName>
    <definedName function="false" hidden="false" name="pp_AMDR" vbProcedure="false">In!$E$54</definedName>
    <definedName function="false" hidden="false" name="pp_AMDR_hi" vbProcedure="false">In!$F$54</definedName>
    <definedName function="false" hidden="false" name="pp_AMDR_lo" vbProcedure="false">In!$D$54</definedName>
    <definedName function="false" hidden="false" name="pp_ASIC" vbProcedure="false">In!$E$62</definedName>
    <definedName function="false" hidden="false" name="pp_ASIC_hi" vbProcedure="false">In!$F$62</definedName>
    <definedName function="false" hidden="false" name="pp_ASIC_lo" vbProcedure="false">In!$D$62</definedName>
    <definedName function="false" hidden="false" name="pp_GB" vbProcedure="false">In!$E$44</definedName>
    <definedName function="false" hidden="false" name="pp_GB_hi" vbProcedure="false">In!$F$44</definedName>
    <definedName function="false" hidden="false" name="pp_GB_lo" vbProcedure="false">In!$D$44</definedName>
    <definedName function="false" hidden="false" name="pp_HP" vbProcedure="false">In!$E$50</definedName>
    <definedName function="false" hidden="false" name="pp_HP_hi" vbProcedure="false">In!$F$50</definedName>
    <definedName function="false" hidden="false" name="pp_HP_lo" vbProcedure="false">In!$D$50</definedName>
    <definedName function="false" hidden="false" name="pp_RU" vbProcedure="false">In!$E$48</definedName>
    <definedName function="false" hidden="false" name="pp_RU_hi" vbProcedure="false">In!$F$48</definedName>
    <definedName function="false" hidden="false" name="pp_RU_lo" vbProcedure="false">In!$D$48</definedName>
    <definedName function="false" hidden="false" name="pp_TPU7" vbProcedure="false">In!$E$56</definedName>
    <definedName function="false" hidden="false" name="pp_TPU7_hi" vbProcedure="false">In!$F$56</definedName>
    <definedName function="false" hidden="false" name="pp_TPU7_lo" vbProcedure="false">In!$D$56</definedName>
    <definedName function="false" hidden="false" name="pp_TPU8" vbProcedure="false">In!$E$58</definedName>
    <definedName function="false" hidden="false" name="pp_TPU8_hi" vbProcedure="false">In!$F$58</definedName>
    <definedName function="false" hidden="false" name="pp_TPU8_lo" vbProcedure="false">In!$D$58</definedName>
    <definedName function="false" hidden="false" name="pp_TRN" vbProcedure="false">In!$E$60</definedName>
    <definedName function="false" hidden="false" name="pp_TRN_hi" vbProcedure="false">In!$F$60</definedName>
    <definedName function="false" hidden="false" name="pp_TRN_lo" vbProcedure="false">In!$D$60</definedName>
    <definedName function="false" hidden="false" name="pp_VR" vbProcedure="false">In!$E$46</definedName>
    <definedName function="false" hidden="false" name="pp_VR_hi" vbProcedure="false">In!$F$46</definedName>
    <definedName function="false" hidden="false" name="pp_VR_lo" vbProcedure="false">In!$D$46</definedName>
    <definedName function="false" hidden="false" name="px" vbProcedure="false">In!$E$166</definedName>
    <definedName function="false" hidden="false" name="px27" vbProcedure="false">In!$E$106</definedName>
    <definedName function="false" hidden="false" name="px28" vbProcedure="false">In!$E$107</definedName>
    <definedName function="false" hidden="false" name="px29" vbProcedure="false">In!$E$108</definedName>
    <definedName function="false" hidden="false" name="rev25" vbProcedure="false">In!$E$78</definedName>
    <definedName function="false" hidden="false" name="rev26" vbProcedure="false">In!$E$102</definedName>
    <definedName function="false" hidden="false" name="rev26_1q" vbProcedure="false">In!$E$79</definedName>
    <definedName function="false" hidden="false" name="rev26_2q" vbProcedure="false">In!$E$80</definedName>
    <definedName function="false" hidden="false" name="rev26_3q" vbProcedure="false">In!$E$81</definedName>
    <definedName function="false" hidden="false" name="rev26_4q" vbProcedure="false">In!$E$82</definedName>
    <definedName function="false" hidden="false" name="rev26_4q_hi" vbProcedure="false">In!$F$82</definedName>
    <definedName function="false" hidden="false" name="rev26_4q_lo" vbProcedure="false">In!$D$82</definedName>
    <definedName function="false" hidden="false" name="rev26_hi" vbProcedure="false">In!$F$102</definedName>
    <definedName function="false" hidden="false" name="rev26_lo" vbProcedure="false">In!$D$102</definedName>
    <definedName function="false" hidden="false" name="rm_factor" vbProcedure="false">Val!$B$135</definedName>
    <definedName function="false" hidden="false" name="shares" vbProcedure="false">In!$E$165</definedName>
    <definedName function="false" hidden="false" name="tp_comp_adj" vbProcedure="false">Val!$B$136</definedName>
    <definedName function="false" hidden="false" name="tp_g" vbProcedure="false">In!$E$183</definedName>
    <definedName function="false" hidden="false" name="tp_r" vbProcedure="false">In!$E$182</definedName>
    <definedName function="false" hidden="false" name="tp_roe" vbProcedure="false">In!$E$184</definedName>
    <definedName function="false" hidden="false" name="tp_wA" vbProcedure="false">In!$E$179</definedName>
    <definedName function="false" hidden="false" name="tp_wB" vbProcedure="false">In!$E$180</definedName>
    <definedName function="false" hidden="false" name="tp_wC" vbProcedure="false">In!$E$181</definedName>
    <definedName function="false" hidden="false" name="tp_w_dcf" vbProcedure="false">In!$E$185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<sst xmlns="http://schemas.openxmlformats.org/spreadsheetml/2006/main" count="1530" uniqueCount="981">
  <si>
    <r>
      <rPr>
        <b val="true"/>
        <sz val="11"/>
        <rFont val="Noto Sans CJK SC"/>
        <family val="2"/>
      </rPr>
      <t xml:space="preserve">台積電個股模型 </t>
    </r>
    <r>
      <rPr>
        <b val="true"/>
        <sz val="11"/>
        <rFont val="Cambria"/>
        <family val="0"/>
        <charset val="1"/>
      </rPr>
      <t xml:space="preserve">v0.4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2026-10-28</t>
    </r>
    <r>
      <rPr>
        <b val="true"/>
        <sz val="11"/>
        <rFont val="Noto Sans CJK SC"/>
        <family val="2"/>
      </rPr>
      <t xml:space="preserve">　營收層改依官方平台（</t>
    </r>
    <r>
      <rPr>
        <b val="true"/>
        <sz val="11"/>
        <rFont val="Cambria"/>
        <family val="0"/>
        <charset val="1"/>
      </rPr>
      <t xml:space="preserve">HPC</t>
    </r>
    <r>
      <rPr>
        <b val="true"/>
        <sz val="11"/>
        <rFont val="Noto Sans CJK SC"/>
        <family val="2"/>
      </rPr>
      <t xml:space="preserve">、智慧型手機、</t>
    </r>
    <r>
      <rPr>
        <b val="true"/>
        <sz val="11"/>
        <rFont val="Cambria"/>
        <family val="0"/>
        <charset val="1"/>
      </rPr>
      <t xml:space="preserve">IoT</t>
    </r>
    <r>
      <rPr>
        <b val="true"/>
        <sz val="11"/>
        <rFont val="Noto Sans CJK SC"/>
        <family val="2"/>
      </rPr>
      <t xml:space="preserve">、車用、</t>
    </r>
    <r>
      <rPr>
        <b val="true"/>
        <sz val="11"/>
        <rFont val="Cambria"/>
        <family val="0"/>
        <charset val="1"/>
      </rPr>
      <t xml:space="preserve">DCE</t>
    </r>
    <r>
      <rPr>
        <b val="true"/>
        <sz val="11"/>
        <rFont val="Noto Sans CJK SC"/>
        <family val="2"/>
      </rPr>
      <t xml:space="preserve">、其他），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子列</t>
    </r>
  </si>
  <si>
    <r>
      <rPr>
        <sz val="11"/>
        <rFont val="Noto Sans CJK SC"/>
        <family val="2"/>
      </rPr>
      <t xml:space="preserve">模型命題：台積電在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算力中的意義是供給上限而非分到的金額比例——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加速器只占其營收約兩成；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年加速器出貨受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而非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限制，台積電的獲利成長由「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漲價」與「非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八成的穩定成長」共同決定。</t>
    </r>
  </si>
  <si>
    <t xml:space="preserve">驅動因子 → 推導量</t>
  </si>
  <si>
    <r>
      <rPr>
        <sz val="11"/>
        <rFont val="Cambria"/>
        <family val="0"/>
        <charset val="1"/>
      </rPr>
      <t xml:space="preserve">CoWoS</t>
    </r>
    <r>
      <rPr>
        <sz val="11"/>
        <rFont val="Noto Sans CJK SC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每片封裝數 →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需求；月產能年均 </t>
    </r>
    <r>
      <rPr>
        <sz val="11"/>
        <rFont val="Cambria"/>
        <family val="0"/>
        <charset val="1"/>
      </rPr>
      <t xml:space="preserve">× 12 × (1</t>
    </r>
    <r>
      <rPr>
        <sz val="11"/>
        <rFont val="Noto Sans CJK SC"/>
        <family val="2"/>
      </rPr>
      <t xml:space="preserve">＋委外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可用產能；需求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產能 → 是否為瓶頸；與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缺口比較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</si>
  <si>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：顆數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每顆台積電內容（橋接表）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價格調升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＋其他 </t>
    </r>
    <r>
      <rPr>
        <sz val="11"/>
        <rFont val="Cambria"/>
        <family val="0"/>
        <charset val="1"/>
      </rPr>
      <t xml:space="preserve">AI) → AI </t>
    </r>
    <r>
      <rPr>
        <sz val="11"/>
        <rFont val="Noto Sans CJK SC"/>
        <family val="2"/>
      </rPr>
      <t xml:space="preserve">營收（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子列）；非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分為 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、智慧型手機、</t>
    </r>
    <r>
      <rPr>
        <sz val="11"/>
        <rFont val="Cambria"/>
        <family val="0"/>
        <charset val="1"/>
      </rPr>
      <t xml:space="preserve">IoT</t>
    </r>
    <r>
      <rPr>
        <sz val="11"/>
        <rFont val="Noto Sans CJK SC"/>
        <family val="2"/>
      </rPr>
      <t xml:space="preserve">、車用、</t>
    </r>
    <r>
      <rPr>
        <sz val="11"/>
        <rFont val="Cambria"/>
        <family val="0"/>
        <charset val="1"/>
      </rPr>
      <t xml:space="preserve">DCE</t>
    </r>
    <r>
      <rPr>
        <sz val="11"/>
        <rFont val="Noto Sans CJK SC"/>
        <family val="2"/>
      </rPr>
      <t xml:space="preserve">、其他（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26 </t>
    </r>
    <r>
      <rPr>
        <sz val="11"/>
        <rFont val="Noto Sans CJK SC"/>
        <family val="2"/>
      </rPr>
      <t xml:space="preserve">列起；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依各季平台比重，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基準成長＋平台差距））；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毛利率 − 營業費用 → 營業利益 → 淨利 → </t>
    </r>
    <r>
      <rPr>
        <sz val="11"/>
        <rFont val="Cambria"/>
        <family val="0"/>
        <charset val="1"/>
      </rPr>
      <t xml:space="preserve">EPS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</si>
  <si>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基準；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、毛利率降至 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54%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資本支出明顯下修）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</si>
  <si>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年中位 </t>
    </r>
    <r>
      <rPr>
        <sz val="11"/>
        <rFont val="Cambria"/>
        <family val="0"/>
        <charset val="1"/>
      </rPr>
      <t xml:space="preserve">20.5x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年最高 </t>
    </r>
    <r>
      <rPr>
        <sz val="11"/>
        <rFont val="Cambria"/>
        <family val="0"/>
        <charset val="1"/>
      </rPr>
      <t xml:space="preserve">32.7x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</si>
  <si>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：見各頁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</si>
  <si>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</si>
  <si>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</si>
  <si>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財報後）：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172→176.1 $B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1–3Q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指引中點 </t>
    </r>
    <r>
      <rPr>
        <sz val="11"/>
        <rFont val="Cambria"/>
        <family val="0"/>
        <charset val="1"/>
      </rPr>
      <t xml:space="preserve">53.3</t>
    </r>
    <r>
      <rPr>
        <sz val="11"/>
        <rFont val="Noto Sans CJK SC"/>
        <family val="2"/>
      </rPr>
      <t xml:space="preserve">）；毛利率 </t>
    </r>
    <r>
      <rPr>
        <sz val="11"/>
        <rFont val="Cambria"/>
        <family val="0"/>
        <charset val="1"/>
      </rPr>
      <t xml:space="preserve">66.0%→66.5%</t>
    </r>
    <r>
      <rPr>
        <sz val="11"/>
        <rFont val="Noto Sans CJK SC"/>
        <family val="2"/>
      </rPr>
      <t xml:space="preserve">（四季加權）；</t>
    </r>
    <r>
      <rPr>
        <sz val="11"/>
        <rFont val="Cambria"/>
        <family val="0"/>
        <charset val="1"/>
      </rPr>
      <t xml:space="preserve">EPS 114.2→112.1</t>
    </r>
    <r>
      <rPr>
        <sz val="11"/>
        <rFont val="Noto Sans CJK SC"/>
        <family val="2"/>
      </rPr>
      <t xml:space="preserve">（新舊對照見 </t>
    </r>
    <r>
      <rPr>
        <sz val="11"/>
        <rFont val="Cambria"/>
        <family val="0"/>
        <charset val="1"/>
      </rPr>
      <t xml:space="preserve">tsmc/README.md</t>
    </r>
    <r>
      <rPr>
        <sz val="11"/>
        <rFont val="Noto Sans CJK SC"/>
        <family val="2"/>
      </rPr>
      <t xml:space="preserve">）。新增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專屬參數 </t>
    </r>
    <r>
      <rPr>
        <sz val="11"/>
        <rFont val="Cambria"/>
        <family val="0"/>
        <charset val="1"/>
      </rPr>
      <t xml:space="preserve">opex_26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ni_op_26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fx_26</t>
    </r>
    <r>
      <rPr>
        <sz val="11"/>
        <rFont val="Noto Sans CJK SC"/>
        <family val="2"/>
      </rPr>
      <t xml:space="preserve">（來自實績）；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起淨利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營業利益由 </t>
    </r>
    <r>
      <rPr>
        <sz val="11"/>
        <rFont val="Cambria"/>
        <family val="0"/>
        <charset val="1"/>
      </rPr>
      <t xml:space="preserve">0.92 </t>
    </r>
    <r>
      <rPr>
        <sz val="11"/>
        <rFont val="Noto Sans CJK SC"/>
        <family val="2"/>
      </rPr>
      <t xml:space="preserve">改為推導值（</t>
    </r>
    <r>
      <rPr>
        <sz val="11"/>
        <rFont val="Cambria"/>
        <family val="0"/>
        <charset val="1"/>
      </rPr>
      <t xml:space="preserve">NI_OI </t>
    </r>
    <r>
      <rPr>
        <sz val="11"/>
        <rFont val="Noto Sans CJK SC"/>
        <family val="2"/>
      </rPr>
      <t xml:space="preserve">頁；區間 </t>
    </r>
    <r>
      <rPr>
        <sz val="11"/>
        <rFont val="Cambria"/>
        <family val="0"/>
        <charset val="1"/>
      </rPr>
      <t xml:space="preserve">0.864–0.909</t>
    </r>
    <r>
      <rPr>
        <sz val="11"/>
        <rFont val="Noto Sans CJK SC"/>
        <family val="2"/>
      </rPr>
      <t xml:space="preserve">）；毛利率、價格調升、非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成長、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產能全部未改（公司未給新的明確指引）。</t>
    </r>
  </si>
  <si>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說法未取得：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加速器營收占比、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產能的新數字（搜尋未找到逐字稿原文），故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頁不動。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</si>
  <si>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台積電不揭露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片數與先進封裝營收，產能為券商估計；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先進製程（</t>
    </r>
    <r>
      <rPr>
        <sz val="11"/>
        <rFont val="Cambria"/>
        <family val="0"/>
        <charset val="1"/>
      </rPr>
      <t xml:space="preserve">N3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N2</t>
    </r>
    <r>
      <rPr>
        <sz val="11"/>
        <rFont val="Noto Sans CJK SC"/>
        <family val="2"/>
      </rPr>
      <t xml:space="preserve">）晶圓產能未找到，未建晶圓瓶頸；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相關營收比例為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起為單一推導值（見 </t>
    </r>
    <r>
      <rPr>
        <sz val="11"/>
        <rFont val="Cambria"/>
        <family val="0"/>
        <charset val="1"/>
      </rPr>
      <t xml:space="preserve">NI_OI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2022 </t>
    </r>
    <r>
      <rPr>
        <sz val="11"/>
        <rFont val="Noto Sans CJK SC"/>
        <family val="2"/>
      </rPr>
      <t xml:space="preserve">年與 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的明細為單一來源。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</si>
  <si>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中位數（規則值：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中段）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</si>
  <si>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（聯電、格芯、英特爾、中芯港股、三星前瞻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L–T </t>
    </r>
    <r>
      <rPr>
        <sz val="11"/>
        <rFont val="Noto Sans CJK SC"/>
        <family val="2"/>
      </rPr>
      <t xml:space="preserve">欄，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起為收斂法，非驅動因子推導）；新增營收年增、淨利率兩列。現價更新為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2,385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10-23 </t>
    </r>
    <r>
      <rPr>
        <sz val="11"/>
        <rFont val="Noto Sans CJK SC"/>
        <family val="2"/>
      </rPr>
      <t xml:space="preserve">未取得）。</t>
    </r>
    <r>
      <rPr>
        <sz val="11"/>
        <rFont val="Cambria"/>
        <family val="0"/>
        <charset val="1"/>
      </rPr>
      <t xml:space="preserve">2026–2029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頁既有列與 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 </t>
    </r>
    <r>
      <rPr>
        <sz val="11"/>
        <rFont val="Noto Sans CJK SC"/>
        <family val="2"/>
      </rPr>
      <t xml:space="preserve">等名稱未位移。</t>
    </r>
  </si>
  <si>
    <r>
      <rPr>
        <sz val="11"/>
        <rFont val="Noto Sans CJK SC"/>
        <family val="2"/>
      </rPr>
      <t xml:space="preserve">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三情境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完全相同（情境差從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起，只差顆數係數與毛利率），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情境照算，差異來自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之後。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</si>
  <si>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頁最後新增「自由現金流（淨利＋折舊 − 資本支出；不含營運資金變動）」一列（三情境、</t>
    </r>
    <r>
      <rPr>
        <sz val="11"/>
        <color theme="1"/>
        <rFont val="Calibri"/>
        <family val="2"/>
        <charset val="1"/>
      </rPr>
      <t xml:space="preserve">2026–2032</t>
    </r>
    <r>
      <rPr>
        <sz val="11"/>
        <color theme="1"/>
        <rFont val="Noto Sans CJK SC"/>
        <family val="2"/>
      </rPr>
      <t xml:space="preserve">；折舊＝營收 </t>
    </r>
    <r>
      <rPr>
        <sz val="11"/>
        <color theme="1"/>
        <rFont val="Calibri"/>
        <family val="2"/>
        <charset val="1"/>
      </rPr>
      <t xml:space="preserve">× 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17.9%</t>
    </r>
    <r>
      <rPr>
        <sz val="11"/>
        <color theme="1"/>
        <rFont val="Noto Sans CJK SC"/>
        <family val="2"/>
      </rPr>
      <t xml:space="preserve">，資本支出 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用既有資本支出列、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用營收 </t>
    </r>
    <r>
      <rPr>
        <sz val="11"/>
        <color theme="1"/>
        <rFont val="Calibri"/>
        <family val="2"/>
        <charset val="1"/>
      </rPr>
      <t xml:space="preserve">× 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）與「資本支出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）；原「淨利 − 資本支出（不含折舊，粗估）」列保留不動，既有數值不變。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</si>
  <si>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137.6</t>
    </r>
    <r>
      <rPr>
        <sz val="11"/>
        <color theme="1"/>
        <rFont val="Noto Sans CJK SC"/>
        <family val="2"/>
      </rPr>
      <t xml:space="preserve">），分歧從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開始：</t>
    </r>
    <r>
      <rPr>
        <sz val="11"/>
        <color theme="1"/>
        <rFont val="Calibri"/>
        <family val="2"/>
        <charset val="1"/>
      </rPr>
      <t xml:space="preserve">A 157.6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129.5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106.3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2,769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2,041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1,496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EPS </t>
    </r>
    <r>
      <rPr>
        <sz val="11"/>
        <color theme="1"/>
        <rFont val="Noto Sans CJK SC"/>
        <family val="2"/>
      </rPr>
      <t xml:space="preserve">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營收（持平 → −</t>
    </r>
    <r>
      <rPr>
        <sz val="11"/>
        <color theme="1"/>
        <rFont val="Calibri"/>
        <family val="2"/>
        <charset val="1"/>
      </rPr>
      <t xml:space="preserve">7.5%</t>
    </r>
    <r>
      <rPr>
        <sz val="11"/>
        <color theme="1"/>
        <rFont val="Noto Sans CJK SC"/>
        <family val="2"/>
      </rPr>
      <t xml:space="preserve">）與毛利率（</t>
    </r>
    <r>
      <rPr>
        <sz val="11"/>
        <color theme="1"/>
        <rFont val="Calibri"/>
        <family val="2"/>
        <charset val="1"/>
      </rPr>
      <t xml:space="preserve">60% → −7.1%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67% → +5.3%</t>
    </r>
    <r>
      <rPr>
        <sz val="11"/>
        <color theme="1"/>
        <rFont val="Noto Sans CJK SC"/>
        <family val="2"/>
      </rPr>
      <t xml:space="preserve">）最敏感。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</si>
  <si>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：資本支出不隨情境下修（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95 </t>
    </r>
    <r>
      <rPr>
        <sz val="11"/>
        <color theme="1"/>
        <rFont val="Noto Sans CJK SC"/>
        <family val="2"/>
      </rPr>
      <t xml:space="preserve">十億美元），情境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的自由現金流降得比淨利快：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A 84.8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57.4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34.1 </t>
    </r>
    <r>
      <rPr>
        <sz val="11"/>
        <color theme="1"/>
        <rFont val="Noto Sans CJK SC"/>
        <family val="2"/>
      </rPr>
      <t xml:space="preserve">十億美元（淨利 </t>
    </r>
    <r>
      <rPr>
        <sz val="11"/>
        <color theme="1"/>
        <rFont val="Calibri"/>
        <family val="2"/>
        <charset val="1"/>
      </rPr>
      <t xml:space="preserve">127.7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104.9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86.2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）未扣資本支出，偏高估。下一個檢驗事件是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中旬）的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資本支出與毛利率指引；折現率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使加權目標價 −</t>
    </r>
    <r>
      <rPr>
        <sz val="11"/>
        <color theme="1"/>
        <rFont val="Calibri"/>
        <family val="2"/>
        <charset val="1"/>
      </rPr>
      <t xml:space="preserve">6.0%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+8.3%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</si>
  <si>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</si>
  <si>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）。金額：十億美元；台積電內容：千美元／顆；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</si>
  <si>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</si>
  <si>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</si>
  <si>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</si>
  <si>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</si>
  <si>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</si>
  <si>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</si>
  <si>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</si>
  <si>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</si>
  <si>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、網通同一份）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</si>
  <si>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</si>
  <si>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</si>
  <si>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</si>
  <si>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</si>
  <si>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</si>
  <si>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</si>
  <si>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</si>
  <si>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</si>
  <si>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</si>
  <si>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</si>
  <si>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</si>
  <si>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</si>
  <si>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</si>
  <si>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</si>
  <si>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Siliconomics SIF_g29_bw</t>
    </r>
    <r>
      <rPr>
        <sz val="11"/>
        <color theme="1"/>
        <rFont val="Noto Sans CJK SC"/>
        <family val="2"/>
      </rPr>
      <t xml:space="preserve">（單一來源；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無平台別顆數預測，區間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）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</si>
  <si>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</si>
  <si>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</si>
  <si>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</si>
  <si>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</si>
  <si>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</si>
  <si>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</si>
  <si>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</si>
  <si>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</si>
  <si>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</si>
  <si>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</si>
  <si>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</si>
  <si>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</si>
  <si>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</si>
  <si>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</si>
  <si>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</si>
  <si>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</si>
  <si>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</si>
  <si>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</si>
  <si>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</si>
  <si>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</si>
  <si>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</si>
  <si>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</si>
  <si>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</si>
  <si>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</si>
  <si>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</si>
  <si>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</si>
  <si>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</si>
  <si>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</si>
  <si>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</si>
  <si>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</si>
  <si>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</si>
  <si>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</si>
  <si>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</si>
  <si>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</si>
  <si>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</si>
  <si>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</si>
  <si>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</si>
  <si>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</si>
  <si>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</si>
  <si>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</si>
  <si>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</si>
  <si>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</si>
  <si>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</si>
  <si>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</si>
  <si>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</si>
  <si>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</si>
  <si>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</si>
  <si>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</si>
  <si>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</si>
  <si>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</si>
  <si>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</si>
  <si>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</si>
  <si>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</si>
  <si>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</si>
  <si>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</si>
  <si>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</si>
  <si>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</si>
  <si>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</si>
  <si>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</si>
  <si>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</si>
  <si>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</si>
  <si>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</si>
  <si>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</si>
  <si>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</si>
  <si>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</si>
  <si>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</si>
  <si>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</si>
  <si>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</si>
  <si>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</si>
  <si>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</si>
  <si>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</si>
  <si>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</si>
  <si>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</si>
  <si>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</si>
  <si>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</si>
  <si>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</si>
  <si>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</si>
  <si>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</si>
  <si>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</si>
  <si>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每片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晶圓封裝數、每顆台積電內容</t>
    </r>
  </si>
  <si>
    <t xml:space="preserve">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</si>
  <si>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</si>
  <si>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</si>
  <si>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t xml:space="preserve">Derived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</si>
  <si>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</si>
  <si>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ct_GB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</si>
  <si>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</si>
  <si>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Noto Sans CJK SC"/>
        <family val="2"/>
      </rPr>
      <t xml:space="preserve">／顆</t>
    </r>
  </si>
  <si>
    <t xml:space="preserve">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</si>
  <si>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</si>
  <si>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</si>
  <si>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ct_VR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</si>
  <si>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</si>
  <si>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</si>
  <si>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</si>
  <si>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</si>
  <si>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ct_RU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</si>
  <si>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</si>
  <si>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</si>
  <si>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</si>
  <si>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</si>
  <si>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</si>
  <si>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ct_HP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</si>
  <si>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</si>
  <si>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</si>
  <si>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</si>
  <si>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</si>
  <si>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</si>
  <si>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ct_AMD8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</si>
  <si>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</si>
  <si>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</si>
  <si>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</si>
  <si>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</si>
  <si>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ct_AMDR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</si>
  <si>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</si>
  <si>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</si>
  <si>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</si>
  <si>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</si>
  <si>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ct_TPU7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</si>
  <si>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</si>
  <si>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</si>
  <si>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</si>
  <si>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</si>
  <si>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ct_TPU8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</si>
  <si>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</si>
  <si>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</si>
  <si>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</si>
  <si>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</si>
  <si>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ct_TRN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</si>
  <si>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</si>
  <si>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</si>
  <si>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</si>
  <si>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</si>
  <si>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ct_ASIC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</si>
  <si>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</si>
  <si>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cow_oth26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</si>
  <si>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</si>
  <si>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</si>
  <si>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</si>
  <si>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cow_oth_g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</si>
  <si>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</si>
  <si>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</si>
  <si>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r>
      <rPr>
        <b val="true"/>
        <sz val="11"/>
        <rFont val="Cambria"/>
        <family val="0"/>
        <charset val="1"/>
      </rPr>
      <t xml:space="preserve">C. CoWoS </t>
    </r>
    <r>
      <rPr>
        <b val="true"/>
        <sz val="11"/>
        <rFont val="Noto Sans CJK SC"/>
        <family val="2"/>
      </rPr>
      <t xml:space="preserve">產能（台積電，月產能年底值，千片）</t>
    </r>
  </si>
  <si>
    <t xml:space="preserve">cap_end25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</si>
  <si>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</si>
  <si>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</si>
  <si>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</si>
  <si>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cap_end26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</si>
  <si>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</si>
  <si>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</si>
  <si>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cap_end27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</si>
  <si>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</si>
  <si>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</si>
  <si>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cap_end28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</si>
  <si>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</si>
  <si>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</si>
  <si>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cap_end29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</si>
  <si>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</si>
  <si>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</si>
  <si>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</si>
  <si>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</si>
  <si>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</si>
  <si>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ms_dem26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</si>
  <si>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</si>
  <si>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</si>
  <si>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ms_dem27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</si>
  <si>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</si>
  <si>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</si>
  <si>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hbm_gap27</t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</si>
  <si>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供給（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</si>
  <si>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SIF_HBM_GapEB_A ÷ SIF_HBM_SupplyEB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）：需求 </t>
    </r>
    <r>
      <rPr>
        <sz val="11"/>
        <color theme="1"/>
        <rFont val="Calibri"/>
        <family val="2"/>
        <charset val="1"/>
      </rPr>
      <t xml:space="preserve">7.10 EB vs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5.86 EB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</si>
  <si>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台積電營收</t>
    </r>
  </si>
  <si>
    <t xml:space="preserve">fx</t>
  </si>
  <si>
    <r>
      <rPr>
        <sz val="11"/>
        <color theme="1"/>
        <rFont val="Noto Sans CJK SC"/>
        <family val="2"/>
      </rPr>
      <t xml:space="preserve">美元兌新台幣（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</si>
  <si>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</si>
  <si>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（當時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指引匯率）；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指引匯率為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起未獲公司指引，數值不變</t>
    </r>
  </si>
  <si>
    <t xml:space="preserve">rev25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</si>
  <si>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</si>
  <si>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</si>
  <si>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</si>
  <si>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t xml:space="preserve">四季加總</t>
  </si>
  <si>
    <t xml:space="preserve">rev26_1q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</si>
  <si>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</si>
  <si>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NT$1,134.10B</t>
    </r>
  </si>
  <si>
    <t xml:space="preserve">rev26_2q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</si>
  <si>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</si>
  <si>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NT$1,270.38B</t>
    </r>
  </si>
  <si>
    <t xml:space="preserve">rev26_3q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</si>
  <si>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</si>
  <si>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NT$1,494.24B</t>
    </r>
    <r>
      <rPr>
        <sz val="11"/>
        <color theme="1"/>
        <rFont val="Noto Sans CJK SC"/>
        <family val="2"/>
      </rPr>
      <t xml:space="preserve">；多數媒體 </t>
    </r>
    <r>
      <rPr>
        <sz val="11"/>
        <color theme="1"/>
        <rFont val="Calibri"/>
        <family val="2"/>
        <charset val="1"/>
      </rPr>
      <t xml:space="preserve">46.7</t>
    </r>
    <r>
      <rPr>
        <sz val="11"/>
        <color theme="1"/>
        <rFont val="Noto Sans CJK SC"/>
        <family val="2"/>
      </rPr>
      <t xml:space="preserve">（個別媒體 </t>
    </r>
    <r>
      <rPr>
        <sz val="11"/>
        <color theme="1"/>
        <rFont val="Calibri"/>
        <family val="2"/>
        <charset val="1"/>
      </rPr>
      <t xml:space="preserve">46.13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46.87 </t>
    </r>
    <r>
      <rPr>
        <sz val="11"/>
        <color theme="1"/>
        <rFont val="Noto Sans CJK SC"/>
        <family val="2"/>
      </rPr>
      <t xml:space="preserve">與公司數不符，不採）</t>
    </r>
  </si>
  <si>
    <t xml:space="preserve">rev26_4q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</si>
  <si>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</si>
  <si>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US$52.3–54.3B</t>
    </r>
    <r>
      <rPr>
        <sz val="11"/>
        <color theme="1"/>
        <rFont val="Noto Sans CJK SC"/>
        <family val="2"/>
      </rPr>
      <t xml:space="preserve">（匯率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Noto Sans CJK SC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、民視財經；中點為本模型取值，公司歷來常高於指引上緣</t>
    </r>
  </si>
  <si>
    <t xml:space="preserve">fx26_4q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</si>
  <si>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指引匯率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</si>
  <si>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指引假設</t>
    </r>
  </si>
  <si>
    <t xml:space="preserve">ntd26_1q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</si>
  <si>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（新台幣）</t>
    </r>
  </si>
  <si>
    <t xml:space="preserve">NT$B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</si>
  <si>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</t>
    </r>
  </si>
  <si>
    <t xml:space="preserve">ntd26_2q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</si>
  <si>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</si>
  <si>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</t>
    </r>
  </si>
  <si>
    <t xml:space="preserve">ntd26_3q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</si>
  <si>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</si>
  <si>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</t>
    </r>
  </si>
  <si>
    <t xml:space="preserve">ntd26_4q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</si>
  <si>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（新台幣；指引美元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指引匯率）</t>
    </r>
  </si>
  <si>
    <t xml:space="preserve">gm26_1q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</si>
  <si>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1Q26</t>
    </r>
  </si>
  <si>
    <t xml:space="preserve">gm26_2q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</si>
  <si>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2Q26</t>
    </r>
  </si>
  <si>
    <t xml:space="preserve">gm26_3q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</si>
  <si>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</si>
  <si>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67.7% </t>
    </r>
    <r>
      <rPr>
        <sz val="11"/>
        <color theme="1"/>
        <rFont val="Noto Sans CJK SC"/>
        <family val="2"/>
      </rPr>
      <t xml:space="preserve">下滑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個百分點，公司歸因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奈米初期爬坡稀釋</t>
    </r>
  </si>
  <si>
    <t xml:space="preserve">gm26_4q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</si>
  <si>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</si>
  <si>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65–67%</t>
    </r>
    <r>
      <rPr>
        <sz val="11"/>
        <color theme="1"/>
        <rFont val="Noto Sans CJK SC"/>
        <family val="2"/>
      </rPr>
      <t xml:space="preserve">｜媒體：民視財經（中值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</si>
  <si>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t xml:space="preserve">opm26_1q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</si>
  <si>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1Q26</t>
    </r>
  </si>
  <si>
    <t xml:space="preserve">opm26_2q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</si>
  <si>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2Q26</t>
    </r>
  </si>
  <si>
    <t xml:space="preserve">opm26_3q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</si>
  <si>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3Q26</t>
    </r>
  </si>
  <si>
    <t xml:space="preserve">opm26_4q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</si>
  <si>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</si>
  <si>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56.5–58.5%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BigGo</t>
    </r>
  </si>
  <si>
    <t xml:space="preserve">ni26_1q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</si>
  <si>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</si>
  <si>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NT$22.08</t>
    </r>
    <r>
      <rPr>
        <sz val="11"/>
        <color theme="1"/>
        <rFont val="Noto Sans CJK SC"/>
        <family val="2"/>
      </rPr>
      <t xml:space="preserve">）</t>
    </r>
  </si>
  <si>
    <t xml:space="preserve">ni26_2q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</si>
  <si>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</si>
  <si>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NT$27.25</t>
    </r>
    <r>
      <rPr>
        <sz val="11"/>
        <color theme="1"/>
        <rFont val="Noto Sans CJK SC"/>
        <family val="2"/>
      </rPr>
      <t xml:space="preserve">）</t>
    </r>
  </si>
  <si>
    <t xml:space="preserve">ni26_3q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</si>
  <si>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</si>
  <si>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EPS NT$29.43</t>
    </r>
    <r>
      <rPr>
        <sz val="11"/>
        <color theme="1"/>
        <rFont val="Noto Sans CJK SC"/>
        <family val="2"/>
      </rPr>
      <t xml:space="preserve">）</t>
    </r>
  </si>
  <si>
    <t xml:space="preserve">eps26_1to3q</t>
  </si>
  <si>
    <r>
      <rPr>
        <sz val="11"/>
        <color theme="1"/>
        <rFont val="Calibri"/>
        <family val="2"/>
        <charset val="1"/>
      </rPr>
      <t xml:space="preserve">EPS 1–3Q26 </t>
    </r>
    <r>
      <rPr>
        <sz val="11"/>
        <color theme="1"/>
        <rFont val="Noto Sans CJK SC"/>
        <family val="2"/>
      </rPr>
      <t xml:space="preserve">實績合計</t>
    </r>
  </si>
  <si>
    <t xml:space="preserve">NT$</t>
  </si>
  <si>
    <r>
      <rPr>
        <sz val="11"/>
        <color theme="1"/>
        <rFont val="Noto Sans CJK SC"/>
        <family val="2"/>
      </rPr>
      <t xml:space="preserve">公司：各季新聞稿 </t>
    </r>
    <r>
      <rPr>
        <sz val="11"/>
        <color theme="1"/>
        <rFont val="Calibri"/>
        <family val="2"/>
        <charset val="1"/>
      </rPr>
      <t xml:space="preserve">22.08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29.43</t>
    </r>
  </si>
  <si>
    <t xml:space="preserve">hpc_3q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</si>
  <si>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（備忘，未進入公式）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</si>
  <si>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簡報／逐字稿，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vestedfinance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Quest Review</t>
    </r>
  </si>
  <si>
    <t xml:space="preserve">g26_guid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</si>
  <si>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全年美元營收成長指引</t>
    </r>
  </si>
  <si>
    <r>
      <rPr>
        <sz val="11"/>
        <color theme="1"/>
        <rFont val="Noto Sans CJK SC"/>
        <family val="2"/>
      </rPr>
      <t xml:space="preserve">公司：由「略高於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」上修至約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StockFeel</t>
    </r>
    <r>
      <rPr>
        <sz val="11"/>
        <color theme="1"/>
        <rFont val="Noto Sans CJK SC"/>
        <family val="2"/>
      </rPr>
      <t xml:space="preserve">、民視財經；僅作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對照，不驅動營收</t>
    </r>
  </si>
  <si>
    <t xml:space="preserve">rev26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</si>
  <si>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指引中點；低／高＝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指引下／上緣）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</si>
  <si>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172</t>
    </r>
    <r>
      <rPr>
        <sz val="11"/>
        <color theme="1"/>
        <rFont val="Noto Sans CJK SC"/>
        <family val="2"/>
      </rPr>
      <t xml:space="preserve">（全年指引「略高於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」推算）</t>
    </r>
  </si>
  <si>
    <t xml:space="preserve">ntd26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</si>
  <si>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（新台幣）</t>
    </r>
  </si>
  <si>
    <t xml:space="preserve">fx_26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</si>
  <si>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平均匯率（新台幣營收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美元營收）</t>
    </r>
  </si>
  <si>
    <r>
      <rPr>
        <sz val="11"/>
        <color theme="1"/>
        <rFont val="Noto Sans CJK SC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fx</t>
    </r>
  </si>
  <si>
    <t xml:space="preserve">ai_oth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</si>
  <si>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加速器內容（網通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基底晶粒、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</si>
  <si>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營收約等於台積電口徑推算（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）</t>
    </r>
  </si>
  <si>
    <t xml:space="preserve">px27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</si>
  <si>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</si>
  <si>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</si>
  <si>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先進製程 </t>
    </r>
    <r>
      <rPr>
        <sz val="11"/>
        <color theme="1"/>
        <rFont val="Calibri"/>
        <family val="2"/>
        <charset val="1"/>
      </rPr>
      <t xml:space="preserve">+5–10%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Nikkei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</si>
  <si>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t xml:space="preserve">px28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</si>
  <si>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2028</t>
    </r>
  </si>
  <si>
    <t xml:space="preserve">px29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</si>
  <si>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2029</t>
    </r>
  </si>
  <si>
    <t xml:space="preserve">na27_A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</si>
  <si>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</si>
  <si>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2024–29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55–59% →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10–15%</t>
    </r>
  </si>
  <si>
    <t xml:space="preserve">na28_A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</si>
  <si>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</si>
  <si>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na29_A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</si>
  <si>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</si>
  <si>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na27_B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</si>
  <si>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</si>
  <si>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na28_B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</si>
  <si>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</si>
  <si>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na29_B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</si>
  <si>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</si>
  <si>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na27_C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</si>
  <si>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</si>
  <si>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na28_C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</si>
  <si>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</si>
  <si>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na29_C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</si>
  <si>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</si>
  <si>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D2. </t>
    </r>
    <r>
      <rPr>
        <b val="true"/>
        <sz val="11"/>
        <rFont val="Noto Sans CJK SC"/>
        <family val="2"/>
      </rPr>
      <t xml:space="preserve">依平台營收（官方報告口徑：</t>
    </r>
    <r>
      <rPr>
        <b val="true"/>
        <sz val="11"/>
        <rFont val="Cambria"/>
        <family val="0"/>
        <charset val="1"/>
      </rPr>
      <t xml:space="preserve">HPC</t>
    </r>
    <r>
      <rPr>
        <b val="true"/>
        <sz val="11"/>
        <rFont val="Noto Sans CJK SC"/>
        <family val="2"/>
      </rPr>
      <t xml:space="preserve">、智慧型手機、物聯網、車用、</t>
    </r>
    <r>
      <rPr>
        <b val="true"/>
        <sz val="11"/>
        <rFont val="Cambria"/>
        <family val="0"/>
        <charset val="1"/>
      </rPr>
      <t xml:space="preserve">DCE</t>
    </r>
    <r>
      <rPr>
        <b val="true"/>
        <sz val="11"/>
        <rFont val="Noto Sans CJK SC"/>
        <family val="2"/>
      </rPr>
      <t xml:space="preserve">、其他；</t>
    </r>
    <r>
      <rPr>
        <b val="true"/>
        <sz val="11"/>
        <rFont val="Cambria"/>
        <family val="0"/>
        <charset val="1"/>
      </rPr>
      <t xml:space="preserve">v0.4 </t>
    </r>
    <r>
      <rPr>
        <b val="true"/>
        <sz val="11"/>
        <rFont val="Noto Sans CJK SC"/>
        <family val="2"/>
      </rPr>
      <t xml:space="preserve">依個股模型原則）</t>
    </r>
  </si>
  <si>
    <t xml:space="preserve">pf25_hpc</t>
  </si>
  <si>
    <r>
      <rPr>
        <sz val="11"/>
        <color theme="1"/>
        <rFont val="Noto Sans CJK SC"/>
        <family val="2"/>
      </rPr>
      <t xml:space="preserve">高效能運算（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</si>
  <si>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HPC 58%</t>
    </r>
    <r>
      <rPr>
        <sz val="11"/>
        <color theme="1"/>
        <rFont val="Noto Sans CJK SC"/>
        <family val="2"/>
      </rPr>
      <t xml:space="preserve">、智慧型手機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IoT 5%</t>
    </r>
    <r>
      <rPr>
        <sz val="11"/>
        <color theme="1"/>
        <rFont val="Noto Sans CJK SC"/>
        <family val="2"/>
      </rPr>
      <t xml:space="preserve">、車用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DCE 1%</t>
    </r>
  </si>
  <si>
    <t xml:space="preserve">pf26_1q_hpc</t>
  </si>
  <si>
    <r>
      <rPr>
        <sz val="11"/>
        <color theme="1"/>
        <rFont val="Noto Sans CJK SC"/>
        <family val="2"/>
      </rPr>
      <t xml:space="preserve">高效能運算（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</si>
  <si>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Management Report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investor.tsmc.com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Net Revenue by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</t>
    </r>
  </si>
  <si>
    <t xml:space="preserve">pf26_2q_hpc</t>
  </si>
  <si>
    <r>
      <rPr>
        <sz val="11"/>
        <color theme="1"/>
        <rFont val="Noto Sans CJK SC"/>
        <family val="2"/>
      </rPr>
      <t xml:space="preserve">高效能運算（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</si>
  <si>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Management Report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investor.tsmc.com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Net Revenue by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</si>
  <si>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t xml:space="preserve">pf26_3q_hpc</t>
  </si>
  <si>
    <r>
      <rPr>
        <sz val="11"/>
        <color theme="1"/>
        <rFont val="Noto Sans CJK SC"/>
        <family val="2"/>
      </rPr>
      <t xml:space="preserve">高效能運算（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</si>
  <si>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Management Report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investor.tsmc.com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Net Revenue by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）</t>
    </r>
  </si>
  <si>
    <t xml:space="preserve">pf25_sp</t>
  </si>
  <si>
    <r>
      <rPr>
        <sz val="11"/>
        <color theme="1"/>
        <rFont val="Noto Sans CJK SC"/>
        <family val="2"/>
      </rPr>
      <t xml:space="preserve">智慧型手機 占營收 </t>
    </r>
    <r>
      <rPr>
        <sz val="11"/>
        <color theme="1"/>
        <rFont val="Calibri"/>
        <family val="2"/>
        <charset val="1"/>
      </rPr>
      <t xml:space="preserve">2025</t>
    </r>
  </si>
  <si>
    <t xml:space="preserve">pf26_1q_sp</t>
  </si>
  <si>
    <r>
      <rPr>
        <sz val="11"/>
        <color theme="1"/>
        <rFont val="Noto Sans CJK SC"/>
        <family val="2"/>
      </rPr>
      <t xml:space="preserve">智慧型手機 占營收 </t>
    </r>
    <r>
      <rPr>
        <sz val="11"/>
        <color theme="1"/>
        <rFont val="Calibri"/>
        <family val="2"/>
        <charset val="1"/>
      </rPr>
      <t xml:space="preserve">1Q26</t>
    </r>
  </si>
  <si>
    <t xml:space="preserve">pf26_2q_sp</t>
  </si>
  <si>
    <r>
      <rPr>
        <sz val="11"/>
        <color theme="1"/>
        <rFont val="Noto Sans CJK SC"/>
        <family val="2"/>
      </rPr>
      <t xml:space="preserve">智慧型手機 占營收 </t>
    </r>
    <r>
      <rPr>
        <sz val="11"/>
        <color theme="1"/>
        <rFont val="Calibri"/>
        <family val="2"/>
        <charset val="1"/>
      </rPr>
      <t xml:space="preserve">2Q26</t>
    </r>
  </si>
  <si>
    <t xml:space="preserve">pf26_3q_sp</t>
  </si>
  <si>
    <r>
      <rPr>
        <sz val="11"/>
        <color theme="1"/>
        <rFont val="Noto Sans CJK SC"/>
        <family val="2"/>
      </rPr>
      <t xml:space="preserve">智慧型手機 占營收 </t>
    </r>
    <r>
      <rPr>
        <sz val="11"/>
        <color theme="1"/>
        <rFont val="Calibri"/>
        <family val="2"/>
        <charset val="1"/>
      </rPr>
      <t xml:space="preserve">3Q26</t>
    </r>
  </si>
  <si>
    <t xml:space="preserve">pf25_iot</t>
  </si>
  <si>
    <r>
      <rPr>
        <sz val="11"/>
        <color theme="1"/>
        <rFont val="Noto Sans CJK SC"/>
        <family val="2"/>
      </rPr>
      <t xml:space="preserve">物聯網 占營收 </t>
    </r>
    <r>
      <rPr>
        <sz val="11"/>
        <color theme="1"/>
        <rFont val="Calibri"/>
        <family val="2"/>
        <charset val="1"/>
      </rPr>
      <t xml:space="preserve">2025</t>
    </r>
  </si>
  <si>
    <t xml:space="preserve">pf26_1q_iot</t>
  </si>
  <si>
    <r>
      <rPr>
        <sz val="11"/>
        <color theme="1"/>
        <rFont val="Noto Sans CJK SC"/>
        <family val="2"/>
      </rPr>
      <t xml:space="preserve">物聯網 占營收 </t>
    </r>
    <r>
      <rPr>
        <sz val="11"/>
        <color theme="1"/>
        <rFont val="Calibri"/>
        <family val="2"/>
        <charset val="1"/>
      </rPr>
      <t xml:space="preserve">1Q26</t>
    </r>
  </si>
  <si>
    <t xml:space="preserve">pf26_2q_iot</t>
  </si>
  <si>
    <r>
      <rPr>
        <sz val="11"/>
        <color theme="1"/>
        <rFont val="Noto Sans CJK SC"/>
        <family val="2"/>
      </rPr>
      <t xml:space="preserve">物聯網 占營收 </t>
    </r>
    <r>
      <rPr>
        <sz val="11"/>
        <color theme="1"/>
        <rFont val="Calibri"/>
        <family val="2"/>
        <charset val="1"/>
      </rPr>
      <t xml:space="preserve">2Q26</t>
    </r>
  </si>
  <si>
    <t xml:space="preserve">pf26_3q_iot</t>
  </si>
  <si>
    <r>
      <rPr>
        <sz val="11"/>
        <color theme="1"/>
        <rFont val="Noto Sans CJK SC"/>
        <family val="2"/>
      </rPr>
      <t xml:space="preserve">物聯網 占營收 </t>
    </r>
    <r>
      <rPr>
        <sz val="11"/>
        <color theme="1"/>
        <rFont val="Calibri"/>
        <family val="2"/>
        <charset val="1"/>
      </rPr>
      <t xml:space="preserve">3Q26</t>
    </r>
  </si>
  <si>
    <t xml:space="preserve">pf25_au</t>
  </si>
  <si>
    <r>
      <rPr>
        <sz val="11"/>
        <color theme="1"/>
        <rFont val="Noto Sans CJK SC"/>
        <family val="2"/>
      </rPr>
      <t xml:space="preserve">車用 占營收 </t>
    </r>
    <r>
      <rPr>
        <sz val="11"/>
        <color theme="1"/>
        <rFont val="Calibri"/>
        <family val="2"/>
        <charset val="1"/>
      </rPr>
      <t xml:space="preserve">2025</t>
    </r>
  </si>
  <si>
    <t xml:space="preserve">pf26_1q_au</t>
  </si>
  <si>
    <r>
      <rPr>
        <sz val="11"/>
        <color theme="1"/>
        <rFont val="Noto Sans CJK SC"/>
        <family val="2"/>
      </rPr>
      <t xml:space="preserve">車用 占營收 </t>
    </r>
    <r>
      <rPr>
        <sz val="11"/>
        <color theme="1"/>
        <rFont val="Calibri"/>
        <family val="2"/>
        <charset val="1"/>
      </rPr>
      <t xml:space="preserve">1Q26</t>
    </r>
  </si>
  <si>
    <t xml:space="preserve">pf26_2q_au</t>
  </si>
  <si>
    <r>
      <rPr>
        <sz val="11"/>
        <color theme="1"/>
        <rFont val="Noto Sans CJK SC"/>
        <family val="2"/>
      </rPr>
      <t xml:space="preserve">車用 占營收 </t>
    </r>
    <r>
      <rPr>
        <sz val="11"/>
        <color theme="1"/>
        <rFont val="Calibri"/>
        <family val="2"/>
        <charset val="1"/>
      </rPr>
      <t xml:space="preserve">2Q26</t>
    </r>
  </si>
  <si>
    <t xml:space="preserve">pf26_3q_au</t>
  </si>
  <si>
    <r>
      <rPr>
        <sz val="11"/>
        <color theme="1"/>
        <rFont val="Noto Sans CJK SC"/>
        <family val="2"/>
      </rPr>
      <t xml:space="preserve">車用 占營收 </t>
    </r>
    <r>
      <rPr>
        <sz val="11"/>
        <color theme="1"/>
        <rFont val="Calibri"/>
        <family val="2"/>
        <charset val="1"/>
      </rPr>
      <t xml:space="preserve">3Q26</t>
    </r>
  </si>
  <si>
    <t xml:space="preserve">pf25_dce</t>
  </si>
  <si>
    <r>
      <rPr>
        <sz val="11"/>
        <color theme="1"/>
        <rFont val="Noto Sans CJK SC"/>
        <family val="2"/>
      </rPr>
      <t xml:space="preserve">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2025</t>
    </r>
  </si>
  <si>
    <t xml:space="preserve">pf26_1q_dce</t>
  </si>
  <si>
    <r>
      <rPr>
        <sz val="11"/>
        <color theme="1"/>
        <rFont val="Noto Sans CJK SC"/>
        <family val="2"/>
      </rPr>
      <t xml:space="preserve">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1Q26</t>
    </r>
  </si>
  <si>
    <t xml:space="preserve">pf26_2q_dce</t>
  </si>
  <si>
    <r>
      <rPr>
        <sz val="11"/>
        <color theme="1"/>
        <rFont val="Noto Sans CJK SC"/>
        <family val="2"/>
      </rPr>
      <t xml:space="preserve">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2Q26</t>
    </r>
  </si>
  <si>
    <t xml:space="preserve">pf26_3q_dce</t>
  </si>
  <si>
    <r>
      <rPr>
        <sz val="11"/>
        <color theme="1"/>
        <rFont val="Noto Sans CJK SC"/>
        <family val="2"/>
      </rPr>
      <t xml:space="preserve">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 占營收 </t>
    </r>
    <r>
      <rPr>
        <sz val="11"/>
        <color theme="1"/>
        <rFont val="Calibri"/>
        <family val="2"/>
        <charset val="1"/>
      </rPr>
      <t xml:space="preserve">3Q26</t>
    </r>
  </si>
  <si>
    <t xml:space="preserve">pf25_oth</t>
  </si>
  <si>
    <r>
      <rPr>
        <sz val="11"/>
        <color theme="1"/>
        <rFont val="Noto Sans CJK SC"/>
        <family val="2"/>
      </rPr>
      <t xml:space="preserve">其他 占營收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</si>
  <si>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其餘五平台（公司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）</t>
    </r>
  </si>
  <si>
    <t xml:space="preserve">pf26_1q_oth</t>
  </si>
  <si>
    <r>
      <rPr>
        <sz val="11"/>
        <color theme="1"/>
        <rFont val="Noto Sans CJK SC"/>
        <family val="2"/>
      </rPr>
      <t xml:space="preserve">其他 占營收 </t>
    </r>
    <r>
      <rPr>
        <sz val="11"/>
        <color theme="1"/>
        <rFont val="Calibri"/>
        <family val="2"/>
        <charset val="1"/>
      </rPr>
      <t xml:space="preserve">1Q26</t>
    </r>
  </si>
  <si>
    <t xml:space="preserve">pf26_2q_oth</t>
  </si>
  <si>
    <r>
      <rPr>
        <sz val="11"/>
        <color theme="1"/>
        <rFont val="Noto Sans CJK SC"/>
        <family val="2"/>
      </rPr>
      <t xml:space="preserve">其他 占營收 </t>
    </r>
    <r>
      <rPr>
        <sz val="11"/>
        <color theme="1"/>
        <rFont val="Calibri"/>
        <family val="2"/>
        <charset val="1"/>
      </rPr>
      <t xml:space="preserve">2Q26</t>
    </r>
  </si>
  <si>
    <t xml:space="preserve">pf26_3q_oth</t>
  </si>
  <si>
    <r>
      <rPr>
        <sz val="11"/>
        <color theme="1"/>
        <rFont val="Noto Sans CJK SC"/>
        <family val="2"/>
      </rPr>
      <t xml:space="preserve">其他 占營收 </t>
    </r>
    <r>
      <rPr>
        <sz val="11"/>
        <color theme="1"/>
        <rFont val="Calibri"/>
        <family val="2"/>
        <charset val="1"/>
      </rPr>
      <t xml:space="preserve">3Q26</t>
    </r>
  </si>
  <si>
    <t xml:space="preserve">dp_hpc</t>
  </si>
  <si>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、一般伺服器、其他 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 年增相對非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基準成長的差距（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</si>
  <si>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</si>
  <si>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2025 HPC +48%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N2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）；各平台年增＝非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 </t>
    </r>
    <r>
      <rPr>
        <sz val="11"/>
        <color theme="1"/>
        <rFont val="Calibri"/>
        <family val="2"/>
        <charset val="1"/>
      </rPr>
      <t xml:space="preserve">na</t>
    </r>
    <r>
      <rPr>
        <sz val="11"/>
        <color theme="1"/>
        <rFont val="Noto Sans CJK SC"/>
        <family val="2"/>
      </rPr>
      <t xml:space="preserve">（情境別）＋差距</t>
    </r>
  </si>
  <si>
    <t xml:space="preserve">dp_sp</t>
  </si>
  <si>
    <r>
      <rPr>
        <sz val="11"/>
        <color theme="1"/>
        <rFont val="Noto Sans CJK SC"/>
        <family val="2"/>
      </rPr>
      <t xml:space="preserve">智慧型手機 年增相對非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基準成長的差距（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</si>
  <si>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 +11%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HPC +48%</t>
    </r>
    <r>
      <rPr>
        <sz val="11"/>
        <color theme="1"/>
        <rFont val="Noto Sans CJK SC"/>
        <family val="2"/>
      </rPr>
      <t xml:space="preserve">），占比 </t>
    </r>
    <r>
      <rPr>
        <sz val="11"/>
        <color theme="1"/>
        <rFont val="Calibri"/>
        <family val="2"/>
        <charset val="1"/>
      </rPr>
      <t xml:space="preserve">2025 29% → 3Q26 21%</t>
    </r>
    <r>
      <rPr>
        <sz val="11"/>
        <color theme="1"/>
        <rFont val="Noto Sans CJK SC"/>
        <family val="2"/>
      </rPr>
      <t xml:space="preserve">（公司）；各平台年增＝非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 </t>
    </r>
    <r>
      <rPr>
        <sz val="11"/>
        <color theme="1"/>
        <rFont val="Calibri"/>
        <family val="2"/>
        <charset val="1"/>
      </rPr>
      <t xml:space="preserve">na</t>
    </r>
    <r>
      <rPr>
        <sz val="11"/>
        <color theme="1"/>
        <rFont val="Noto Sans CJK SC"/>
        <family val="2"/>
      </rPr>
      <t xml:space="preserve">（情境別）＋差距</t>
    </r>
  </si>
  <si>
    <t xml:space="preserve">dp_iot</t>
  </si>
  <si>
    <r>
      <rPr>
        <sz val="11"/>
        <color theme="1"/>
        <rFont val="Noto Sans CJK SC"/>
        <family val="2"/>
      </rPr>
      <t xml:space="preserve">物聯網 年增相對非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基準成長的差距（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</si>
  <si>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 +15%</t>
    </r>
    <r>
      <rPr>
        <sz val="11"/>
        <color theme="1"/>
        <rFont val="Noto Sans CJK SC"/>
        <family val="2"/>
      </rPr>
      <t xml:space="preserve">（公司）；各平台年增＝非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 </t>
    </r>
    <r>
      <rPr>
        <sz val="11"/>
        <color theme="1"/>
        <rFont val="Calibri"/>
        <family val="2"/>
        <charset val="1"/>
      </rPr>
      <t xml:space="preserve">na</t>
    </r>
    <r>
      <rPr>
        <sz val="11"/>
        <color theme="1"/>
        <rFont val="Noto Sans CJK SC"/>
        <family val="2"/>
      </rPr>
      <t xml:space="preserve">（情境別）＋差距</t>
    </r>
  </si>
  <si>
    <t xml:space="preserve">dp_au</t>
  </si>
  <si>
    <r>
      <rPr>
        <sz val="11"/>
        <color theme="1"/>
        <rFont val="Noto Sans CJK SC"/>
        <family val="2"/>
      </rPr>
      <t xml:space="preserve">車用 年增相對非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基準成長的差距（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</si>
  <si>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 +34%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；各平台年增＝非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 </t>
    </r>
    <r>
      <rPr>
        <sz val="11"/>
        <color theme="1"/>
        <rFont val="Calibri"/>
        <family val="2"/>
        <charset val="1"/>
      </rPr>
      <t xml:space="preserve">na</t>
    </r>
    <r>
      <rPr>
        <sz val="11"/>
        <color theme="1"/>
        <rFont val="Noto Sans CJK SC"/>
        <family val="2"/>
      </rPr>
      <t xml:space="preserve">（情境別）＋差距</t>
    </r>
  </si>
  <si>
    <t xml:space="preserve">dp_dce</t>
  </si>
  <si>
    <r>
      <rPr>
        <sz val="11"/>
        <color theme="1"/>
        <rFont val="Noto Sans CJK SC"/>
        <family val="2"/>
      </rPr>
      <t xml:space="preserve">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 年增相對非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基準成長的差距（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</si>
  <si>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持平（公司）；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季減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；各平台年增＝非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 </t>
    </r>
    <r>
      <rPr>
        <sz val="11"/>
        <color theme="1"/>
        <rFont val="Calibri"/>
        <family val="2"/>
        <charset val="1"/>
      </rPr>
      <t xml:space="preserve">na</t>
    </r>
    <r>
      <rPr>
        <sz val="11"/>
        <color theme="1"/>
        <rFont val="Noto Sans CJK SC"/>
        <family val="2"/>
      </rPr>
      <t xml:space="preserve">（情境別）＋差距</t>
    </r>
  </si>
  <si>
    <t xml:space="preserve">dp_oth</t>
  </si>
  <si>
    <r>
      <rPr>
        <sz val="11"/>
        <color theme="1"/>
        <rFont val="Noto Sans CJK SC"/>
        <family val="2"/>
      </rPr>
      <t xml:space="preserve">其他 年增相對非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基準成長的差距（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</si>
  <si>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—；各平台年增＝非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基準成長 </t>
    </r>
    <r>
      <rPr>
        <sz val="11"/>
        <color theme="1"/>
        <rFont val="Calibri"/>
        <family val="2"/>
        <charset val="1"/>
      </rPr>
      <t xml:space="preserve">na</t>
    </r>
    <r>
      <rPr>
        <sz val="11"/>
        <color theme="1"/>
        <rFont val="Noto Sans CJK SC"/>
        <family val="2"/>
      </rPr>
      <t xml:space="preserve">（情境別）＋差距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</si>
  <si>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利潤率、資本支出、股本、估值</t>
    </r>
  </si>
  <si>
    <t xml:space="preserve">gm26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</si>
  <si>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（四季以新台幣營收加權）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</si>
  <si>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</si>
  <si>
    <t xml:space="preserve">opm26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</si>
  <si>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（四季以新台幣營收加權）</t>
    </r>
  </si>
  <si>
    <t xml:space="preserve">opex_26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</si>
  <si>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</si>
  <si>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opex</t>
    </r>
  </si>
  <si>
    <t xml:space="preserve">ni_op_26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</si>
  <si>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實績比，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</si>
  <si>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1Q 0.869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0.922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0.870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公司未指引淨利率，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比</t>
    </r>
  </si>
  <si>
    <t xml:space="preserve">gm27_A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</si>
  <si>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</si>
  <si>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N2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個百分點、海外廠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個百分點（公司）對上漲價；長期目標 </t>
    </r>
    <r>
      <rPr>
        <sz val="11"/>
        <color theme="1"/>
        <rFont val="Calibri"/>
        <family val="2"/>
        <charset val="1"/>
      </rPr>
      <t xml:space="preserve">56% </t>
    </r>
    <r>
      <rPr>
        <sz val="11"/>
        <color theme="1"/>
        <rFont val="Noto Sans CJK SC"/>
        <family val="2"/>
      </rPr>
      <t xml:space="preserve">以上</t>
    </r>
  </si>
  <si>
    <t xml:space="preserve">gm28_A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</si>
  <si>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</si>
  <si>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gm29_A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</si>
  <si>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</si>
  <si>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gm27_B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</si>
  <si>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</si>
  <si>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gm28_B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</si>
  <si>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</si>
  <si>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gm29_B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</si>
  <si>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</si>
  <si>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gm27_C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</si>
  <si>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</si>
  <si>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gm28_C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</si>
  <si>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</si>
  <si>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gm29_C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</si>
  <si>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</si>
  <si>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opex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</si>
  <si>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</si>
  <si>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67.7% −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60.3%</t>
    </r>
  </si>
  <si>
    <t xml:space="preserve">ni_op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</si>
  <si>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起；低／高＝區間）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</si>
  <si>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)×(1</t>
    </r>
    <r>
      <rPr>
        <sz val="11"/>
        <color theme="1"/>
        <rFont val="Noto Sans CJK SC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，推導見 </t>
    </r>
    <r>
      <rPr>
        <sz val="11"/>
        <color theme="1"/>
        <rFont val="Calibri"/>
        <family val="2"/>
        <charset val="1"/>
      </rPr>
      <t xml:space="preserve">NI_OI </t>
    </r>
    <r>
      <rPr>
        <sz val="11"/>
        <color theme="1"/>
        <rFont val="Noto Sans CJK SC"/>
        <family val="2"/>
      </rPr>
      <t xml:space="preserve">頁；低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年扣除一次性利益後的內含水準；高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年度最高）。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Noto Sans CJK SC"/>
        <family val="2"/>
      </rPr>
      <t xml:space="preserve">（含一次性利益的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單季值，不再當上限）</t>
    </r>
  </si>
  <si>
    <t xml:space="preserve">shares</t>
  </si>
  <si>
    <t xml:space="preserve">股數</t>
  </si>
  <si>
    <t xml:space="preserve">十億股</t>
  </si>
  <si>
    <r>
      <rPr>
        <sz val="11"/>
        <color theme="1"/>
        <rFont val="Noto Sans CJK SC"/>
        <family val="2"/>
      </rPr>
      <t xml:space="preserve">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NT$763.06B ÷ EPS 29.43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25.93</t>
    </r>
    <r>
      <rPr>
        <sz val="11"/>
        <color theme="1"/>
        <rFont val="Noto Sans CJK SC"/>
        <family val="2"/>
      </rPr>
      <t xml:space="preserve">，一致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</si>
  <si>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</si>
  <si>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</si>
  <si>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股市、永豐、鉅亨；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收盤未取得，依工作單用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收盤同；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2,585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Wantgoo</t>
    </r>
    <r>
      <rPr>
        <sz val="11"/>
        <color theme="1"/>
        <rFont val="Noto Sans CJK SC"/>
        <family val="2"/>
      </rPr>
      <t xml:space="preserve">）</t>
    </r>
  </si>
  <si>
    <t xml:space="preserve">capex26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</si>
  <si>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</si>
  <si>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US$60–64B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月上修；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月維持不變）｜媒體：民視財經、</t>
    </r>
    <r>
      <rPr>
        <sz val="11"/>
        <color theme="1"/>
        <rFont val="Calibri"/>
        <family val="2"/>
        <charset val="1"/>
      </rPr>
      <t xml:space="preserve">vestedfinance</t>
    </r>
  </si>
  <si>
    <t xml:space="preserve">capex27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</si>
  <si>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</si>
  <si>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；券商 </t>
    </r>
    <r>
      <rPr>
        <sz val="11"/>
        <color theme="1"/>
        <rFont val="Calibri"/>
        <family val="2"/>
        <charset val="1"/>
      </rPr>
      <t xml:space="preserve">73–81</t>
    </r>
  </si>
  <si>
    <t xml:space="preserve">capex28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</si>
  <si>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</si>
  <si>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JPMorgan</t>
  </si>
  <si>
    <t xml:space="preserve">capex29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</si>
  <si>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</si>
  <si>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pe_1</t>
  </si>
  <si>
    <t xml:space="preserve">P/E 15x</t>
  </si>
  <si>
    <r>
      <rPr>
        <sz val="11"/>
        <color theme="1"/>
        <rFont val="Noto Sans CJK SC"/>
        <family val="2"/>
      </rPr>
      <t xml:space="preserve">近谷底（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11.9x</t>
    </r>
    <r>
      <rPr>
        <sz val="11"/>
        <color theme="1"/>
        <rFont val="Noto Sans CJK SC"/>
        <family val="2"/>
      </rPr>
      <t xml:space="preserve">）</t>
    </r>
  </si>
  <si>
    <t xml:space="preserve">pe_2</t>
  </si>
  <si>
    <t xml:space="preserve">P/E 20.5x</t>
  </si>
  <si>
    <r>
      <rPr>
        <sz val="11"/>
        <color theme="1"/>
        <rFont val="Calibri"/>
        <family val="2"/>
        <charset val="1"/>
      </rPr>
      <t xml:space="preserve">ADR 10 </t>
    </r>
    <r>
      <rPr>
        <sz val="11"/>
        <color theme="1"/>
        <rFont val="Noto Sans CJK SC"/>
        <family val="2"/>
      </rPr>
      <t xml:space="preserve">年中位數（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</si>
  <si>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pe_3</t>
  </si>
  <si>
    <t xml:space="preserve">P/E 32.7x</t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</si>
  <si>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年最高（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</si>
  <si>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</si>
  <si>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2027</t>
    </r>
  </si>
  <si>
    <t xml:space="preserve">MarketScreener NT$7,329B ÷ 32</t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</si>
  <si>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</si>
  <si>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2026</t>
    </r>
  </si>
  <si>
    <t xml:space="preserve">MarketScreener</t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</si>
  <si>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</si>
  <si>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</si>
  <si>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t xml:space="preserve">ai25_share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</si>
  <si>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</si>
  <si>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公司：十幾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後段（</t>
    </r>
    <r>
      <rPr>
        <sz val="11"/>
        <color theme="1"/>
        <rFont val="Calibri"/>
        <family val="2"/>
        <charset val="1"/>
      </rPr>
      <t xml:space="preserve">high-teens</t>
    </r>
    <r>
      <rPr>
        <sz val="11"/>
        <color theme="1"/>
        <rFont val="Noto Sans CJK SC"/>
        <family val="2"/>
      </rPr>
      <t xml:space="preserve">）</t>
    </r>
  </si>
  <si>
    <t xml:space="preserve">ai_cagr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</si>
  <si>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加速器營收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</si>
  <si>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中後段，往高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靠攏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</si>
  <si>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</si>
  <si>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</si>
  <si>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</si>
  <si>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</si>
  <si>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</si>
  <si>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</si>
  <si>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</si>
  <si>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</si>
  <si>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</si>
  <si>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</si>
  <si>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</si>
  <si>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</si>
  <si>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</si>
  <si>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</si>
  <si>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</si>
  <si>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2023 26.71%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2024 29.94%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2025 35.04%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</si>
  <si>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</si>
  <si>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</si>
  <si>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</si>
  <si>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</si>
  <si>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</si>
  <si>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歷史淨利率（</t>
    </r>
    <r>
      <rPr>
        <sz val="11"/>
        <color theme="1"/>
        <rFont val="Calibri"/>
        <family val="2"/>
        <charset val="1"/>
      </rPr>
      <t xml:space="preserve">37.58%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37.32%–44.57% </t>
    </r>
    <r>
      <rPr>
        <sz val="11"/>
        <color theme="1"/>
        <rFont val="Noto Sans CJK SC"/>
        <family val="2"/>
      </rPr>
      <t xml:space="preserve">口徑略異）；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：公司年報營收與歸屬母公司淨利（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</si>
  <si>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</si>
  <si>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</si>
  <si>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</si>
  <si>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</si>
  <si>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</si>
  <si>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</si>
  <si>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</si>
  <si>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</si>
  <si>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</si>
  <si>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</si>
  <si>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</si>
  <si>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淨利率與十年平均的中點）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</si>
  <si>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</si>
  <si>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</si>
  <si>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</si>
  <si>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</si>
  <si>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3,390.43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2,650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收盤頁面，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</si>
  <si>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cons_feps27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</si>
  <si>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</si>
  <si>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cons_eps27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142.0 </t>
    </r>
    <r>
      <rPr>
        <sz val="11"/>
        <color theme="1"/>
        <rFont val="Noto Sans CJK SC"/>
        <family val="2"/>
      </rPr>
      <t xml:space="preserve">為較早擷取，保留不動）</t>
    </r>
  </si>
  <si>
    <t xml:space="preserve">cons_feps28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</si>
  <si>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</si>
  <si>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</si>
  <si>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</si>
  <si>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</si>
  <si>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實績：折舊攤銷 </t>
    </r>
    <r>
      <rPr>
        <sz val="11"/>
        <color theme="1"/>
        <rFont val="Calibri"/>
        <family val="2"/>
        <charset val="1"/>
      </rPr>
      <t xml:space="preserve">681,649 </t>
    </r>
    <r>
      <rPr>
        <sz val="11"/>
        <color theme="1"/>
        <rFont val="Noto Sans CJK SC"/>
        <family val="2"/>
      </rPr>
      <t xml:space="preserve">百萬新台幣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3,809,054 </t>
    </r>
    <r>
      <rPr>
        <sz val="11"/>
        <color theme="1"/>
        <rFont val="Noto Sans CJK SC"/>
        <family val="2"/>
      </rPr>
      <t xml:space="preserve">百萬＝</t>
    </r>
    <r>
      <rPr>
        <sz val="11"/>
        <color theme="1"/>
        <rFont val="Calibri"/>
        <family val="2"/>
        <charset val="1"/>
      </rPr>
      <t xml:space="preserve">17.9%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現金流量表、損益表）</t>
    </r>
  </si>
  <si>
    <r>
      <rPr>
        <sz val="11"/>
        <color theme="1"/>
        <rFont val="Noto Sans CJK SC"/>
        <family val="2"/>
      </rPr>
      <t xml:space="preserve">錨＝最近完整年度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；以後各年比率不變 </t>
    </r>
    <r>
      <rPr>
        <sz val="11"/>
        <color theme="1"/>
        <rFont val="Calibri"/>
        <family val="2"/>
        <charset val="1"/>
      </rPr>
      <t xml:space="preserve">[Assumed]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</si>
  <si>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</si>
  <si>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營收（只用於 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收斂欄）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</si>
  <si>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實績：資本支出 </t>
    </r>
    <r>
      <rPr>
        <sz val="11"/>
        <color theme="1"/>
        <rFont val="Calibri"/>
        <family val="2"/>
        <charset val="1"/>
      </rPr>
      <t xml:space="preserve">1,272,411 </t>
    </r>
    <r>
      <rPr>
        <sz val="11"/>
        <color theme="1"/>
        <rFont val="Noto Sans CJK SC"/>
        <family val="2"/>
      </rPr>
      <t xml:space="preserve">百萬新台幣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現金流量表；約 </t>
    </r>
    <r>
      <rPr>
        <sz val="11"/>
        <color theme="1"/>
        <rFont val="Calibri"/>
        <family val="2"/>
        <charset val="1"/>
      </rPr>
      <t xml:space="preserve">US$40.9B</t>
    </r>
    <r>
      <rPr>
        <sz val="11"/>
        <color theme="1"/>
        <rFont val="Noto Sans CJK SC"/>
        <family val="2"/>
      </rPr>
      <t xml:space="preserve">，與公司公布一致）；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頁資本支出列（</t>
    </r>
    <r>
      <rPr>
        <sz val="11"/>
        <color theme="1"/>
        <rFont val="Calibri"/>
        <family val="2"/>
        <charset val="1"/>
      </rPr>
      <t xml:space="preserve">capex26–capex29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</si>
  <si>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CoWoS — </t>
    </r>
    <r>
      <rPr>
        <sz val="11"/>
        <color theme="1"/>
        <rFont val="Noto Sans CJK SC"/>
        <family val="2"/>
      </rPr>
      <t xml:space="preserve">需求（加速器顆數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產能（台積電月產能年均 </t>
    </r>
    <r>
      <rPr>
        <sz val="11"/>
        <color theme="1"/>
        <rFont val="Calibri"/>
        <family val="2"/>
        <charset val="1"/>
      </rPr>
      <t xml:space="preserve">× 12 × (1</t>
    </r>
    <r>
      <rPr>
        <sz val="11"/>
        <color theme="1"/>
        <rFont val="Noto Sans CJK SC"/>
        <family val="2"/>
      </rPr>
      <t xml:space="preserve">＋委外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）；千片。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</t>
    </r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</si>
  <si>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</si>
  <si>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</si>
  <si>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</si>
  <si>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</si>
  <si>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</si>
  <si>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sz val="11"/>
        <rFont val="Cambria"/>
        <family val="0"/>
        <charset val="1"/>
      </rPr>
      <t xml:space="preserve">  NVIDIA Blackwell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B200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B300</t>
    </r>
    <r>
      <rPr>
        <sz val="1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</si>
  <si>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</si>
  <si>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</si>
  <si>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rFont val="Cambria"/>
        <family val="0"/>
        <charset val="1"/>
      </rPr>
      <t xml:space="preserve">  NVIDIA Hopper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H200 </t>
    </r>
    <r>
      <rPr>
        <sz val="1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</si>
  <si>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</si>
  <si>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</si>
  <si>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</si>
  <si>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MTIA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Ascend </t>
    </r>
    <r>
      <rPr>
        <sz val="11"/>
        <rFont val="Noto Sans CJK SC"/>
        <family val="2"/>
      </rPr>
      <t xml:space="preserve">等）</t>
    </r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</si>
  <si>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用途</t>
    </r>
  </si>
  <si>
    <t xml:space="preserve">需求合計</t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</si>
  <si>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NVIDIA</t>
    </r>
  </si>
  <si>
    <r>
      <rPr>
        <sz val="11"/>
        <rFont val="Noto Sans CJK SC"/>
        <family val="2"/>
      </rPr>
      <t xml:space="preserve">台積電產能（月產能年均 </t>
    </r>
    <r>
      <rPr>
        <sz val="11"/>
        <rFont val="Cambria"/>
        <family val="0"/>
        <charset val="1"/>
      </rPr>
      <t xml:space="preserve">× 12</t>
    </r>
    <r>
      <rPr>
        <sz val="11"/>
        <rFont val="Noto Sans CJK SC"/>
        <family val="2"/>
      </rPr>
      <t xml:space="preserve">）</t>
    </r>
  </si>
  <si>
    <t xml:space="preserve">可用產能（含委外）</t>
  </si>
  <si>
    <r>
      <rPr>
        <sz val="11"/>
        <rFont val="Noto Sans CJK SC"/>
        <family val="2"/>
      </rPr>
      <t xml:space="preserve">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可用產能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</si>
  <si>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為瓶頸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</si>
  <si>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需求缺口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供給（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</si>
  <si>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；與上一列比，數字大者為較緊的瓶頸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</si>
  <si>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全球需求</t>
    </r>
  </si>
  <si>
    <r>
      <rPr>
        <sz val="11"/>
        <rFont val="Noto Sans CJK SC"/>
        <family val="2"/>
      </rPr>
      <t xml:space="preserve">  本模型 </t>
    </r>
    <r>
      <rPr>
        <sz val="11"/>
        <rFont val="Cambria"/>
        <family val="0"/>
        <charset val="1"/>
      </rPr>
      <t xml:space="preserve">÷ MS</t>
    </r>
  </si>
  <si>
    <r>
      <rPr>
        <sz val="11"/>
        <rFont val="Cambria"/>
        <family val="0"/>
        <charset val="1"/>
      </rPr>
      <t xml:space="preserve">  NVIDIA</t>
    </r>
    <r>
      <rPr>
        <sz val="11"/>
        <rFont val="Noto Sans CJK SC"/>
        <family val="2"/>
      </rPr>
      <t xml:space="preserve">：本模型 </t>
    </r>
    <r>
      <rPr>
        <sz val="11"/>
        <rFont val="Cambria"/>
        <family val="0"/>
        <charset val="1"/>
      </rPr>
      <t xml:space="preserve">vs 36Kr 66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MS 122.2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</si>
  <si>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台積電損益（十億美元；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價格調升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AI)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＋成長</t>
    </r>
    <r>
      <rPr>
        <sz val="11"/>
        <color theme="1"/>
        <rFont val="Calibri"/>
        <family val="2"/>
        <charset val="1"/>
      </rPr>
      <t xml:space="preserve">)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</si>
  <si>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</si>
  <si>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</si>
  <si>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</si>
  <si>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</si>
  <si>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</si>
  <si>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</si>
  <si>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</si>
  <si>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</si>
  <si>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</si>
  <si>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</si>
  <si>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</si>
  <si>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</si>
  <si>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</si>
  <si>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</si>
  <si>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</si>
  <si>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</si>
  <si>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</si>
  <si>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</si>
  <si>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加速器內容（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</si>
  <si>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</si>
  <si>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</si>
  <si>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</si>
  <si>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</si>
  <si>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</si>
  <si>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毛利</t>
  </si>
  <si>
    <t xml:space="preserve">營業利益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</si>
  <si>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</si>
  <si>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</si>
  <si>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目前股價 </t>
    </r>
    <r>
      <rPr>
        <sz val="11"/>
        <color theme="1"/>
        <rFont val="Calibri"/>
        <family val="2"/>
        <charset val="1"/>
      </rPr>
      <t xml:space="preserve">÷ EPS</t>
    </r>
  </si>
  <si>
    <t xml:space="preserve">資本支出</t>
  </si>
  <si>
    <t xml:space="preserve">淨利 − 資本支出（不含折舊，粗估）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</si>
  <si>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指引中點（匯率、營業費用、淨利比用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專屬參數）；非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（由下而上）。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起兩者分開推。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</si>
  <si>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頁目標價參數，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達到），非驅動因子推導；股數、匯率固定</t>
    </r>
  </si>
  <si>
    <t xml:space="preserve">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</si>
  <si>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</si>
  <si>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依平台營收（官方報告口徑；十億美元）。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＝各季營收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平台比重（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用指引中點 </t>
    </r>
    <r>
      <rPr>
        <b val="true"/>
        <sz val="11"/>
        <rFont val="Cambria"/>
        <family val="0"/>
        <charset val="1"/>
      </rPr>
      <t xml:space="preserve">× 3Q26 </t>
    </r>
    <r>
      <rPr>
        <b val="true"/>
        <sz val="11"/>
        <rFont val="Noto Sans CJK SC"/>
        <family val="2"/>
      </rPr>
      <t xml:space="preserve">比重）；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起各平台＝前一年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基準成長＋平台差距）；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相關全部歸 </t>
    </r>
    <r>
      <rPr>
        <b val="true"/>
        <sz val="11"/>
        <rFont val="Cambria"/>
        <family val="0"/>
        <charset val="1"/>
      </rPr>
      <t xml:space="preserve">HPC</t>
    </r>
  </si>
  <si>
    <r>
      <rPr>
        <sz val="11"/>
        <color theme="1"/>
        <rFont val="Noto Sans CJK SC"/>
        <family val="2"/>
      </rPr>
      <t xml:space="preserve">高效能運算（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</si>
  <si>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HPC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相關營收列）</t>
    </r>
  </si>
  <si>
    <r>
      <rPr>
        <sz val="11"/>
        <color theme="1"/>
        <rFont val="Calibri"/>
        <family val="2"/>
        <charset val="1"/>
      </rPr>
      <t xml:space="preserve">  HPC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AI</t>
    </r>
  </si>
  <si>
    <t xml:space="preserve">智慧型手機</t>
  </si>
  <si>
    <t xml:space="preserve">物聯網</t>
  </si>
  <si>
    <t xml:space="preserve">車用</t>
  </si>
  <si>
    <r>
      <rPr>
        <sz val="11"/>
        <color theme="1"/>
        <rFont val="Noto Sans CJK SC"/>
        <family val="2"/>
      </rPr>
      <t xml:space="preserve">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</t>
    </r>
  </si>
  <si>
    <t xml:space="preserve">其他</t>
  </si>
  <si>
    <t xml:space="preserve">檢查：平台合計 − 營收</t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</si>
  <si>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實績（依平台；十億美元＝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公司比重）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</si>
  <si>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：高效能運算（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</si>
  <si>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：智慧型手機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</si>
  <si>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：物聯網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</si>
  <si>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：車用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</si>
  <si>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：消費性電子（</t>
    </r>
    <r>
      <rPr>
        <sz val="11"/>
        <color theme="1"/>
        <rFont val="Calibri"/>
        <family val="2"/>
        <charset val="1"/>
      </rPr>
      <t xml:space="preserve">DCE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</si>
  <si>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：其他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</si>
  <si>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平台合計 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</t>
    </r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</si>
  <si>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</si>
  <si>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註：上一列折舊＝營收 </t>
    </r>
    <r>
      <rPr>
        <sz val="11"/>
        <color theme="1"/>
        <rFont val="Calibri"/>
        <family val="2"/>
        <charset val="1"/>
      </rPr>
      <t xml:space="preserve">× da_rev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17.9%</t>
    </r>
    <r>
      <rPr>
        <sz val="11"/>
        <color theme="1"/>
        <rFont val="Noto Sans CJK SC"/>
        <family val="2"/>
      </rPr>
      <t xml:space="preserve">）；資本支出 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頁資本支出列（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capex26–29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收斂欄＝營收 </t>
    </r>
    <r>
      <rPr>
        <sz val="11"/>
        <color theme="1"/>
        <rFont val="Calibri"/>
        <family val="2"/>
        <charset val="1"/>
      </rPr>
      <t xml:space="preserve">× 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）。十億美元。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</si>
  <si>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</si>
  <si>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</si>
  <si>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</si>
  <si>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</si>
  <si>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情境</t>
  </si>
  <si>
    <t xml:space="preserve">EPS</t>
  </si>
  <si>
    <t xml:space="preserve">隱含股價</t>
  </si>
  <si>
    <t xml:space="preserve">相對目前</t>
  </si>
  <si>
    <t xml:space="preserve">P/E</t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</si>
  <si>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</si>
  <si>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</si>
  <si>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</si>
  <si>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讀法：目前股價 </t>
    </r>
    <r>
      <rPr>
        <sz val="11"/>
        <color theme="1"/>
        <rFont val="Calibri"/>
        <family val="2"/>
        <charset val="1"/>
      </rPr>
      <t xml:space="preserve">÷ 2027 EPS </t>
    </r>
    <r>
      <rPr>
        <sz val="11"/>
        <color theme="1"/>
        <rFont val="Noto Sans CJK SC"/>
        <family val="2"/>
      </rPr>
      <t xml:space="preserve">即市場給的遠期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 </t>
    </r>
    <r>
      <rPr>
        <sz val="11"/>
        <color theme="1"/>
        <rFont val="Calibri"/>
        <family val="2"/>
        <charset val="1"/>
      </rPr>
      <t xml:space="preserve">20.5x </t>
    </r>
    <r>
      <rPr>
        <sz val="11"/>
        <color theme="1"/>
        <rFont val="Noto Sans CJK SC"/>
        <family val="2"/>
      </rPr>
      <t xml:space="preserve">比，看市場是否已提前反映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的成長與情境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風險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</si>
  <si>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</si>
  <si>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依循環位置取分位；台積電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為中段，取中位數，區間為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分位。兩個來源各自取分位再平均、四捨五入到兩位。倍數歷史為輸入（藍字）。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</si>
  <si>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</si>
  <si>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</si>
  <si>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t xml:space="preserve">FullRatio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</si>
  <si>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</si>
  <si>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</si>
  <si>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</si>
  <si>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</si>
  <si>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</si>
  <si>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</si>
  <si>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</si>
  <si>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</si>
  <si>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</si>
  <si>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</si>
  <si>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</si>
  <si>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</si>
  <si>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</si>
  <si>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</si>
  <si>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</si>
  <si>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</si>
  <si>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</si>
  <si>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</si>
  <si>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</si>
  <si>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</si>
  <si>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</si>
  <si>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</si>
  <si>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</si>
  <si>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</si>
  <si>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</si>
  <si>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</si>
  <si>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</si>
  <si>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</si>
  <si>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</si>
  <si>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</si>
  <si>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</si>
  <si>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規則值：低（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</si>
  <si>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分位（區間下緣）</t>
    </r>
  </si>
  <si>
    <r>
      <rPr>
        <sz val="11"/>
        <color theme="1"/>
        <rFont val="Noto Sans CJK SC"/>
        <family val="2"/>
      </rPr>
      <t xml:space="preserve">規則值：高（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</si>
  <si>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分位（區間上緣）</t>
    </r>
  </si>
  <si>
    <r>
      <rPr>
        <sz val="11"/>
        <color theme="1"/>
        <rFont val="Noto Sans CJK SC"/>
        <family val="2"/>
      </rPr>
      <t xml:space="preserve">規則值：</t>
    </r>
    <r>
      <rPr>
        <sz val="11"/>
        <color theme="1"/>
        <rFont val="Calibri"/>
        <family val="2"/>
        <charset val="1"/>
      </rPr>
      <t xml:space="preserve">2028 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</si>
  <si>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× 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</si>
  <si>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</si>
  <si>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</si>
  <si>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</si>
  <si>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</si>
  <si>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</si>
  <si>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</si>
  <si>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</si>
  <si>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頁各情境（新台幣）；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三情境相同（情境差從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</si>
  <si>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</si>
  <si>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</si>
  <si>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</si>
  <si>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</si>
  <si>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</si>
  <si>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</si>
  <si>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</si>
  <si>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台積電資本密集，但本模型沒有折舊推導（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頁只有資本支出），故用工作單通式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），未改用淨利＋折舊－資本支出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</si>
  <si>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</si>
  <si>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</si>
  <si>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</si>
  <si>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</si>
  <si>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</si>
  <si>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</si>
  <si>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</si>
  <si>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</si>
  <si>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</si>
  <si>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</si>
  <si>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</si>
  <si>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</si>
  <si>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</si>
  <si>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聯電（</t>
    </r>
    <r>
      <rPr>
        <sz val="11"/>
        <color theme="1"/>
        <rFont val="Calibri"/>
        <family val="2"/>
        <charset val="1"/>
      </rPr>
      <t xml:space="preserve">UMC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</si>
  <si>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2303.TW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</si>
  <si>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</si>
  <si>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</si>
  <si>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格芯（</t>
    </r>
    <r>
      <rPr>
        <sz val="11"/>
        <color theme="1"/>
        <rFont val="Calibri"/>
        <family val="2"/>
        <charset val="1"/>
      </rPr>
      <t xml:space="preserve">GlobalFoundries</t>
    </r>
    <r>
      <rPr>
        <sz val="11"/>
        <color theme="1"/>
        <rFont val="Noto Sans CJK SC"/>
        <family val="2"/>
      </rPr>
      <t xml:space="preserve">）</t>
    </r>
  </si>
  <si>
    <t xml:space="preserve">GFS</t>
  </si>
  <si>
    <t xml:space="preserve">2026-10-22</t>
  </si>
  <si>
    <r>
      <rPr>
        <sz val="11"/>
        <color theme="1"/>
        <rFont val="Noto Sans CJK SC"/>
        <family val="2"/>
      </rPr>
      <t xml:space="preserve">英特爾（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）</t>
    </r>
  </si>
  <si>
    <t xml:space="preserve">INTC</t>
  </si>
  <si>
    <r>
      <rPr>
        <sz val="11"/>
        <color theme="1"/>
        <rFont val="Noto Sans CJK SC"/>
        <family val="2"/>
      </rPr>
      <t xml:space="preserve">中芯國際（</t>
    </r>
    <r>
      <rPr>
        <sz val="11"/>
        <color theme="1"/>
        <rFont val="Calibri"/>
        <family val="2"/>
        <charset val="1"/>
      </rPr>
      <t xml:space="preserve">SMIC</t>
    </r>
    <r>
      <rPr>
        <sz val="11"/>
        <color theme="1"/>
        <rFont val="Noto Sans CJK SC"/>
        <family val="2"/>
      </rPr>
      <t xml:space="preserve">，港股）</t>
    </r>
  </si>
  <si>
    <t xml:space="preserve">0981.HK</t>
  </si>
  <si>
    <t xml:space="preserve">2026-10-16</t>
  </si>
  <si>
    <t xml:space="preserve">三星電子</t>
  </si>
  <si>
    <t xml:space="preserve">005930.KS</t>
  </si>
  <si>
    <t xml:space="preserve">2026-10-21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</si>
  <si>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</si>
  <si>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晶圓代工與整合元件同業（聯電、格芯、英特爾、中芯港股、三星）；無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股。中芯以港股計（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688981 </t>
    </r>
    <r>
      <rPr>
        <sz val="11"/>
        <color theme="1"/>
        <rFont val="Noto Sans CJK SC"/>
        <family val="2"/>
      </rPr>
      <t xml:space="preserve">不列）；三星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由記憶體盈餘主導、英特爾盈餘低谷，中位數受兩端影響小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</si>
  <si>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</si>
  <si>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</si>
  <si>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</si>
  <si>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</si>
  <si>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</si>
  <si>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</si>
  <si>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</si>
  <si>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</si>
  <si>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</si>
  <si>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</si>
  <si>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3,390.43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2,650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收盤頁面，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</si>
  <si>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</si>
  <si>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未取得）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</si>
  <si>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</si>
  <si>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</si>
  <si>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頁另列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</si>
  <si>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</si>
  <si>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</si>
  <si>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</si>
  <si>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</si>
  <si>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</si>
  <si>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</si>
  <si>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FY2027–FY2032 </t>
    </r>
    <r>
      <rPr>
        <sz val="11"/>
        <color theme="1"/>
        <rFont val="Noto Sans CJK SC"/>
        <family val="2"/>
      </rPr>
      <t xml:space="preserve">明確期＋永續；本模型無折舊推導，未改用淨利＋折舊－資本支出（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77–95 </t>
    </r>
    <r>
      <rPr>
        <sz val="11"/>
        <color theme="1"/>
        <rFont val="Noto Sans CJK SC"/>
        <family val="2"/>
      </rPr>
      <t xml:space="preserve">十億美元，現金流偏高估）；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起收斂法，情境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淨利率，偏高估。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：聯電、格芯、英特爾、中芯（港股）、三星前瞻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中位數（聯電）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；同業成長與技術地位低於台積電，偏低估。情境對應：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情境差來自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</si>
  <si>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</si>
  <si>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</si>
  <si>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</si>
  <si>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</si>
  <si>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（順利）隱含價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</si>
  <si>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</si>
  <si>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（平平）隱含價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</si>
  <si>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</si>
  <si>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（不如預期）隱含價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</si>
  <si>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</si>
  <si>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</si>
  <si>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</si>
  <si>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FullRatio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兩來源平均；規則值：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為中段）。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相同，故三情境隱含價相同；隱含價約為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年底的價格、未折現。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</si>
  <si>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</si>
  <si>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</si>
  <si>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</si>
  <si>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</si>
  <si>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</si>
  <si>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</si>
  <si>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</si>
  <si>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</si>
  <si>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</si>
  <si>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</si>
  <si>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</si>
  <si>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</si>
  <si>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</si>
  <si>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</si>
  <si>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</si>
  <si>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</si>
  <si>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</si>
  <si>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</si>
  <si>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</si>
  <si>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</si>
  <si>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</si>
  <si>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台積電</t>
  </si>
  <si>
    <t xml:space="preserve">2330.TW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</si>
  <si>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</si>
  <si>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2330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</si>
  <si>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2303.TW</t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</si>
  <si>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</si>
  <si>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2303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</si>
  <si>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GFS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</si>
  <si>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INTC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</si>
  <si>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0981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</si>
  <si>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005930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</si>
  <si>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</si>
  <si>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</si>
  <si>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</si>
  <si>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</si>
  <si>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</si>
  <si>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</si>
  <si>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</si>
  <si>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</si>
  <si>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</si>
  <si>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</si>
  <si>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</si>
  <si>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</si>
  <si>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</si>
  <si>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</si>
  <si>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公司口徑、共識（只作事後對照）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</si>
  <si>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</si>
  <si>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</si>
  <si>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</si>
  <si>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</si>
  <si>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公司口徑推算</t>
    </r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</si>
  <si>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加速器十幾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57%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</si>
  <si>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加速器內容（不含其他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同上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</si>
  <si>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ai_oth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</si>
  <si>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</si>
  <si>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公司全年成長指引（</t>
    </r>
    <r>
      <rPr>
        <sz val="11"/>
        <color theme="1"/>
        <rFont val="Calibri"/>
        <family val="2"/>
        <charset val="1"/>
      </rPr>
      <t xml:space="preserve">2025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44%)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</si>
  <si>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法說：全年美元成長約 </t>
    </r>
    <r>
      <rPr>
        <sz val="11"/>
        <color theme="1"/>
        <rFont val="Calibri"/>
        <family val="2"/>
        <charset val="1"/>
      </rPr>
      <t xml:space="preserve">44%</t>
    </r>
  </si>
  <si>
    <r>
      <rPr>
        <sz val="11"/>
        <color theme="1"/>
        <rFont val="Calibri"/>
        <family val="2"/>
        <charset val="1"/>
      </rPr>
      <t xml:space="preserve">2026 EPS vs 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指引推算</t>
    </r>
  </si>
  <si>
    <r>
      <rPr>
        <sz val="11"/>
        <color theme="1"/>
        <rFont val="Noto Sans CJK SC"/>
        <family val="2"/>
      </rPr>
      <t xml:space="preserve">公司各季 </t>
    </r>
    <r>
      <rPr>
        <sz val="11"/>
        <color theme="1"/>
        <rFont val="Calibri"/>
        <family val="2"/>
        <charset val="1"/>
      </rPr>
      <t xml:space="preserve">EPS 22.08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29.43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</si>
  <si>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</si>
  <si>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</si>
  <si>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</si>
  <si>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2027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</si>
  <si>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</si>
  <si>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</si>
  <si>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</si>
  <si>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Sens — 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：一次動一個輸入</t>
    </r>
  </si>
  <si>
    <t xml:space="preserve">輸入</t>
  </si>
  <si>
    <t xml:space="preserve">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</si>
  <si>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</si>
  <si>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2027 CoWoS </t>
    </r>
    <r>
      <rPr>
        <b val="true"/>
        <sz val="11"/>
        <rFont val="Noto Sans CJK SC"/>
        <family val="2"/>
      </rPr>
      <t xml:space="preserve">需求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</si>
  <si>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</si>
  <si>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 </t>
    </r>
    <r>
      <rPr>
        <sz val="11"/>
        <color theme="1"/>
        <rFont val="Calibri"/>
        <family val="2"/>
        <charset val="1"/>
      </rPr>
      <t xml:space="preserve">2027 +0%</t>
    </r>
    <r>
      <rPr>
        <sz val="11"/>
        <color theme="1"/>
        <rFont val="Noto Sans CJK SC"/>
        <family val="2"/>
      </rPr>
      <t xml:space="preserve">（不漲）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</si>
  <si>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2027 60%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</si>
  <si>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</si>
  <si>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+0%</t>
    </r>
  </si>
  <si>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年底產能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</si>
  <si>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對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的影響（情境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</si>
  <si>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設定</t>
  </si>
  <si>
    <t xml:space="preserve">比值</t>
  </si>
  <si>
    <t xml:space="preserve">2028 EPS</t>
  </si>
  <si>
    <t xml:space="preserve">基準（推導值）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</si>
  <si>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Noto Sans CJK SC"/>
        <family val="2"/>
      </rPr>
      <t xml:space="preserve">（低）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</si>
  <si>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</si>
  <si>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</si>
  <si>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</si>
  <si>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</si>
  <si>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</si>
  <si>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</si>
  <si>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</si>
  <si>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</si>
  <si>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</si>
  <si>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</si>
  <si>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</si>
  <si>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</si>
  <si>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</si>
  <si>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</si>
  <si>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</si>
  <si>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</si>
  <si>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</si>
  <si>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</si>
  <si>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</si>
  <si>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NI_OI —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營業利益拆解（新台幣十億）。淨利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＝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＋營業外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Noto Sans CJK SC"/>
        <family val="2"/>
      </rPr>
      <t xml:space="preserve">－有效稅率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少數股權等調整。藍字＝輸入</t>
    </r>
  </si>
  <si>
    <t xml:space="preserve">期間</t>
  </si>
  <si>
    <t xml:space="preserve">營業外收支</t>
  </si>
  <si>
    <t xml:space="preserve">稅前淨利</t>
  </si>
  <si>
    <t xml:space="preserve">所得稅</t>
  </si>
  <si>
    <t xml:space="preserve">利息收入</t>
  </si>
  <si>
    <t xml:space="preserve">匯兌損益</t>
  </si>
  <si>
    <t xml:space="preserve">一次性項目</t>
  </si>
  <si>
    <t xml:space="preserve">有效稅率</t>
  </si>
  <si>
    <r>
      <rPr>
        <b val="true"/>
        <sz val="11"/>
        <rFont val="Noto Sans CJK SC"/>
        <family val="2"/>
      </rPr>
      <t xml:space="preserve">營業外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</t>
    </r>
  </si>
  <si>
    <t xml:space="preserve">少數股權等調整</t>
  </si>
  <si>
    <r>
      <rPr>
        <b val="true"/>
        <sz val="11"/>
        <rFont val="Noto Sans CJK SC"/>
        <family val="2"/>
      </rPr>
      <t xml:space="preserve">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</t>
    </r>
  </si>
  <si>
    <t xml:space="preserve">獨立來源數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</si>
  <si>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</si>
  <si>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Noto Sans CJK SC"/>
        <family val="2"/>
      </rPr>
      <t xml:space="preserve">公司年報（經搜尋摘錄）；稅額＝稅前淨利－淨利（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）；媒體僅能核對淨利（歸屬母公司 </t>
    </r>
    <r>
      <rPr>
        <sz val="11"/>
        <color theme="1"/>
        <rFont val="Calibri"/>
        <family val="2"/>
        <charset val="1"/>
      </rPr>
      <t xml:space="preserve">1,016.53</t>
    </r>
    <r>
      <rPr>
        <sz val="11"/>
        <color theme="1"/>
        <rFont val="Noto Sans CJK SC"/>
        <family val="2"/>
      </rPr>
      <t xml:space="preserve">，股東會資料）；利息、匯兌明細未找到。待複核：另一搜尋結果的稅前淨利 </t>
    </r>
    <r>
      <rPr>
        <sz val="11"/>
        <color theme="1"/>
        <rFont val="Calibri"/>
        <family val="2"/>
        <charset val="1"/>
      </rPr>
      <t xml:space="preserve">1,140.7 </t>
    </r>
    <r>
      <rPr>
        <sz val="11"/>
        <color theme="1"/>
        <rFont val="Noto Sans CJK SC"/>
        <family val="2"/>
      </rPr>
      <t xml:space="preserve">疑為還原表欄位誤讀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</si>
  <si>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年報（</t>
    </r>
    <r>
      <rPr>
        <sz val="11"/>
        <color theme="1"/>
        <rFont val="Calibri"/>
        <family val="2"/>
        <charset val="1"/>
      </rPr>
      <t xml:space="preserve">6-K 2023-02</t>
    </r>
    <r>
      <rPr>
        <sz val="11"/>
        <color theme="1"/>
        <rFont val="Noto Sans CJK SC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Noto Sans CJK SC"/>
        <family val="2"/>
      </rPr>
      <t xml:space="preserve">年損益表的前期欄；利息 </t>
    </r>
    <r>
      <rPr>
        <sz val="11"/>
        <color theme="1"/>
        <rFont val="Calibri"/>
        <family val="2"/>
        <charset val="1"/>
      </rPr>
      <t xml:space="preserve">60.29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2025 20-F </t>
    </r>
    <r>
      <rPr>
        <sz val="11"/>
        <color theme="1"/>
        <rFont val="Noto Sans CJK SC"/>
        <family val="2"/>
      </rPr>
      <t xml:space="preserve">一個來源；匯兌未找到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</si>
  <si>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MoneyDJ</t>
    </r>
    <r>
      <rPr>
        <sz val="11"/>
        <color theme="1"/>
        <rFont val="Noto Sans CJK SC"/>
        <family val="2"/>
      </rPr>
      <t xml:space="preserve">、中央社；匯兌 </t>
    </r>
    <r>
      <rPr>
        <sz val="11"/>
        <color theme="1"/>
        <rFont val="Calibri"/>
        <family val="2"/>
        <charset val="1"/>
      </rPr>
      <t xml:space="preserve">10.00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／財報一個來源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</si>
  <si>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｜媒體：工商時報（營業外約 </t>
    </r>
    <r>
      <rPr>
        <sz val="11"/>
        <color theme="1"/>
        <rFont val="Calibri"/>
        <family val="2"/>
        <charset val="1"/>
      </rPr>
      <t xml:space="preserve">1,056 </t>
    </r>
    <r>
      <rPr>
        <sz val="11"/>
        <color theme="1"/>
        <rFont val="Noto Sans CJK SC"/>
        <family val="2"/>
      </rPr>
      <t xml:space="preserve">億、稅前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417 </t>
    </r>
    <r>
      <rPr>
        <sz val="11"/>
        <color theme="1"/>
        <rFont val="Noto Sans CJK SC"/>
        <family val="2"/>
      </rPr>
      <t xml:space="preserve">億、稅 </t>
    </r>
    <r>
      <rPr>
        <sz val="11"/>
        <color theme="1"/>
        <rFont val="Calibri"/>
        <family val="2"/>
        <charset val="1"/>
      </rPr>
      <t xml:space="preserve">3,263 </t>
    </r>
    <r>
      <rPr>
        <sz val="11"/>
        <color theme="1"/>
        <rFont val="Noto Sans CJK SC"/>
        <family val="2"/>
      </rPr>
      <t xml:space="preserve">億）；匯兌 </t>
    </r>
    <r>
      <rPr>
        <sz val="11"/>
        <color theme="1"/>
        <rFont val="Calibri"/>
        <family val="2"/>
        <charset val="1"/>
      </rPr>
      <t xml:space="preserve">13.83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／財報一個來源；其他利益及損失未拆</t>
    </r>
  </si>
  <si>
    <t xml:space="preserve">1Q26</t>
  </si>
  <si>
    <r>
      <rPr>
        <sz val="11"/>
        <color theme="1"/>
        <rFont val="Noto Sans CJK SC"/>
        <family val="2"/>
      </rPr>
      <t xml:space="preserve">營業利益＝新台幣營收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）；營業外 </t>
    </r>
    <r>
      <rPr>
        <sz val="11"/>
        <color theme="1"/>
        <rFont val="Calibri"/>
        <family val="2"/>
        <charset val="1"/>
      </rPr>
      <t xml:space="preserve">28.83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簡報比較欄，欄位標籤未能直接確認；稅額＝稅前淨利－淨利（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</si>
  <si>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2Q26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</si>
  <si>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</si>
  <si>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Noto Sans CJK SC"/>
        <family val="2"/>
      </rPr>
      <t xml:space="preserve">（稅 </t>
    </r>
    <r>
      <rPr>
        <sz val="11"/>
        <color theme="1"/>
        <rFont val="Calibri"/>
        <family val="2"/>
        <charset val="1"/>
      </rPr>
      <t xml:space="preserve">155.65</t>
    </r>
    <r>
      <rPr>
        <sz val="11"/>
        <color theme="1"/>
        <rFont val="Noto Sans CJK SC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18.1%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SEC 3Q26 6-K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比較欄）核對營業利益、稅前淨利、淨利相符｜媒體：鉅亨（營業外 </t>
    </r>
    <r>
      <rPr>
        <sz val="11"/>
        <color theme="1"/>
        <rFont val="Calibri"/>
        <family val="2"/>
        <charset val="1"/>
      </rPr>
      <t xml:space="preserve">958.27 </t>
    </r>
    <r>
      <rPr>
        <sz val="11"/>
        <color theme="1"/>
        <rFont val="Noto Sans CJK SC"/>
        <family val="2"/>
      </rPr>
      <t xml:space="preserve">億）；營業利益 </t>
    </r>
    <r>
      <rPr>
        <sz val="11"/>
        <color theme="1"/>
        <rFont val="Calibri"/>
        <family val="2"/>
        <charset val="1"/>
      </rPr>
      <t xml:space="preserve">NT$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。一次性項目 </t>
    </r>
    <r>
      <rPr>
        <sz val="11"/>
        <color theme="1"/>
        <rFont val="Calibri"/>
        <family val="2"/>
        <charset val="1"/>
      </rPr>
      <t xml:space="preserve">63.20 </t>
    </r>
    <r>
      <rPr>
        <sz val="11"/>
        <color theme="1"/>
        <rFont val="Noto Sans CJK SC"/>
        <family val="2"/>
      </rPr>
      <t xml:space="preserve">的出處見下方「一次性利益出處」</t>
    </r>
  </si>
  <si>
    <t xml:space="preserve">3Q26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</si>
  <si>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Noto Sans CJK SC"/>
        <family val="2"/>
      </rPr>
      <t xml:space="preserve">（營業外 </t>
    </r>
    <r>
      <rPr>
        <sz val="11"/>
        <color theme="1"/>
        <rFont val="Calibri"/>
        <family val="2"/>
        <charset val="1"/>
      </rPr>
      <t xml:space="preserve">34.59</t>
    </r>
    <r>
      <rPr>
        <sz val="11"/>
        <color theme="1"/>
        <rFont val="Noto Sans CJK SC"/>
        <family val="2"/>
      </rPr>
      <t xml:space="preserve">、稅 </t>
    </r>
    <r>
      <rPr>
        <sz val="11"/>
        <color theme="1"/>
        <rFont val="Calibri"/>
        <family val="2"/>
        <charset val="1"/>
      </rPr>
      <t xml:space="preserve">147.70</t>
    </r>
    <r>
      <rPr>
        <sz val="11"/>
        <color theme="1"/>
        <rFont val="Noto Sans CJK SC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16.2%</t>
    </r>
    <r>
      <rPr>
        <sz val="11"/>
        <color theme="1"/>
        <rFont val="Noto Sans CJK SC"/>
        <family val="2"/>
      </rPr>
      <t xml:space="preserve">；較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降，主因無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處分與評價利益）｜</t>
    </r>
    <r>
      <rPr>
        <sz val="11"/>
        <color theme="1"/>
        <rFont val="Calibri"/>
        <family val="2"/>
        <charset val="1"/>
      </rPr>
      <t xml:space="preserve">SEC 3Q26 6-K a3q26e</t>
    </r>
    <r>
      <rPr>
        <sz val="11"/>
        <color theme="1"/>
        <rFont val="Noto Sans CJK SC"/>
        <family val="2"/>
      </rPr>
      <t xml:space="preserve">（營業利益、稅前淨利、淨利核對相符；使用者提供的核對）</t>
    </r>
  </si>
  <si>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</si>
  <si>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三季加總；一次性項目＝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處分利益（含股權評價利益未另拆）</t>
    </r>
  </si>
  <si>
    <r>
      <rPr>
        <b val="true"/>
        <sz val="11"/>
        <rFont val="Noto Sans CJK SC"/>
        <family val="2"/>
      </rPr>
      <t xml:space="preserve">基準值推導（</t>
    </r>
    <r>
      <rPr>
        <b val="true"/>
        <sz val="11"/>
        <rFont val="Cambria"/>
        <family val="0"/>
        <charset val="1"/>
      </rPr>
      <t xml:space="preserve">In!ni_op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</si>
  <si>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新稅率＝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起各期所得稅合計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稅前淨利合計（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</si>
  <si>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年起全球最低稅負生效，有效稅率由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14–18%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2024 16.6%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2025 16.0%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18.1%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16.2%</t>
    </r>
    <r>
      <rPr>
        <sz val="11"/>
        <color theme="1"/>
        <rFont val="Noto Sans CJK SC"/>
        <family val="2"/>
      </rPr>
      <t xml:space="preserve">）；視為長期性變化</t>
    </r>
  </si>
  <si>
    <r>
      <rPr>
        <sz val="11"/>
        <color theme="1"/>
        <rFont val="Noto Sans CJK SC"/>
        <family val="2"/>
      </rPr>
      <t xml:space="preserve">歷史營業外比率＝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（扣除一次性項目）的營業外合計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營業利益合計</t>
    </r>
  </si>
  <si>
    <r>
      <rPr>
        <sz val="11"/>
        <color theme="1"/>
        <rFont val="Noto Sans CJK SC"/>
        <family val="2"/>
      </rPr>
      <t xml:space="preserve">營業外收支主體是利息收入（</t>
    </r>
    <r>
      <rPr>
        <sz val="11"/>
        <color theme="1"/>
        <rFont val="Calibri"/>
        <family val="2"/>
        <charset val="1"/>
      </rPr>
      <t xml:space="preserve">2024 87.2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2025 105.7</t>
    </r>
    <r>
      <rPr>
        <sz val="11"/>
        <color theme="1"/>
        <rFont val="Noto Sans CJK SC"/>
        <family val="2"/>
      </rPr>
      <t xml:space="preserve">，占營業外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以上）；匯兌 </t>
    </r>
    <r>
      <rPr>
        <sz val="11"/>
        <color theme="1"/>
        <rFont val="Calibri"/>
        <family val="2"/>
        <charset val="1"/>
      </rPr>
      <t xml:space="preserve">2024 +10.0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+13.8</t>
    </r>
    <r>
      <rPr>
        <sz val="11"/>
        <color theme="1"/>
        <rFont val="Noto Sans CJK SC"/>
        <family val="2"/>
      </rPr>
      <t xml:space="preserve">，量級小且為收益；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為一次性，已扣除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</si>
  <si>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Noto Sans CJK SC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</si>
  <si>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少數股權等調整各期約 </t>
    </r>
    <r>
      <rPr>
        <sz val="11"/>
        <color theme="1"/>
        <rFont val="Calibri"/>
        <family val="2"/>
        <charset val="1"/>
      </rPr>
      <t xml:space="preserve">1.000</t>
    </r>
    <r>
      <rPr>
        <sz val="11"/>
        <color theme="1"/>
        <rFont val="Noto Sans CJK SC"/>
        <family val="2"/>
      </rPr>
      <t xml:space="preserve">，略去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</si>
  <si>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實績比（前版低值 </t>
    </r>
    <r>
      <rPr>
        <sz val="11"/>
        <color theme="1"/>
        <rFont val="Calibri"/>
        <family val="2"/>
        <charset val="1"/>
      </rPr>
      <t xml:space="preserve">0.887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</si>
  <si>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實績比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</si>
  <si>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一次性利益</t>
    </r>
  </si>
  <si>
    <r>
      <rPr>
        <sz val="11"/>
        <color theme="1"/>
        <rFont val="Noto Sans CJK SC"/>
        <family val="2"/>
      </rPr>
      <t xml:space="preserve">區間低值＝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扣除一次性利益（按新稅率稅後）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</si>
  <si>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年的內含水準；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單季分別 </t>
    </r>
    <r>
      <rPr>
        <sz val="11"/>
        <color theme="1"/>
        <rFont val="Calibri"/>
        <family val="2"/>
        <charset val="1"/>
      </rPr>
      <t xml:space="preserve">0.869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0.871</t>
    </r>
  </si>
  <si>
    <r>
      <rPr>
        <sz val="11"/>
        <color theme="1"/>
        <rFont val="Noto Sans CJK SC"/>
        <family val="2"/>
      </rPr>
      <t xml:space="preserve">區間高值＝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年度最高）</t>
    </r>
  </si>
  <si>
    <r>
      <rPr>
        <sz val="11"/>
        <color theme="1"/>
        <rFont val="Calibri"/>
        <family val="2"/>
        <charset val="1"/>
      </rPr>
      <t xml:space="preserve">2022 0.907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2023 0.909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2024 0.887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2025 0.886</t>
    </r>
  </si>
  <si>
    <r>
      <rPr>
        <sz val="11"/>
        <color theme="1"/>
        <rFont val="Noto Sans CJK SC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若非一次性（不扣除）→ 歷史營業外比率</t>
    </r>
  </si>
  <si>
    <r>
      <rPr>
        <sz val="11"/>
        <color theme="1"/>
        <rFont val="Noto Sans CJK SC"/>
        <family val="2"/>
      </rPr>
      <t xml:space="preserve">分子不扣 </t>
    </r>
    <r>
      <rPr>
        <sz val="11"/>
        <color theme="1"/>
        <rFont val="Calibri"/>
        <family val="2"/>
        <charset val="1"/>
      </rPr>
      <t xml:space="preserve">63.2</t>
    </r>
  </si>
  <si>
    <r>
      <rPr>
        <sz val="11"/>
        <color theme="1"/>
        <rFont val="Noto Sans CJK SC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若非一次性 → 基準</t>
    </r>
  </si>
  <si>
    <r>
      <rPr>
        <sz val="11"/>
        <color theme="1"/>
        <rFont val="Noto Sans CJK SC"/>
        <family val="2"/>
      </rPr>
      <t xml:space="preserve">相對基準 </t>
    </r>
    <r>
      <rPr>
        <sz val="11"/>
        <color theme="1"/>
        <rFont val="Calibri"/>
        <family val="2"/>
        <charset val="1"/>
      </rPr>
      <t xml:space="preserve">0.875 </t>
    </r>
    <r>
      <rPr>
        <sz val="11"/>
        <color theme="1"/>
        <rFont val="Noto Sans CJK SC"/>
        <family val="2"/>
      </rPr>
      <t xml:space="preserve">的變化見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</si>
  <si>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Noto Sans CJK SC"/>
        <family val="2"/>
      </rPr>
      <t xml:space="preserve">判定：差距兩個來源都有——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年起約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Noto Sans CJK SC"/>
        <family val="2"/>
      </rPr>
      <t xml:space="preserve">，屬長期；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營業外比率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2.0% → 2023–25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5.5–6.3%</t>
    </r>
    <r>
      <rPr>
        <sz val="11"/>
        <color theme="1"/>
        <rFont val="Noto Sans CJK SC"/>
        <family val="2"/>
      </rPr>
      <t xml:space="preserve">（利息收入墊高），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另有一次性處分利益使 </t>
    </r>
    <r>
      <rPr>
        <sz val="11"/>
        <color theme="1"/>
        <rFont val="Calibri"/>
        <family val="2"/>
        <charset val="1"/>
      </rPr>
      <t xml:space="preserve">0.92 </t>
    </r>
    <r>
      <rPr>
        <sz val="11"/>
        <color theme="1"/>
        <rFont val="Noto Sans CJK SC"/>
        <family val="2"/>
      </rPr>
      <t xml:space="preserve">偏高。依規則取「新稅率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歷史平均營業外比率」。</t>
    </r>
  </si>
  <si>
    <r>
      <rPr>
        <sz val="11"/>
        <color theme="1"/>
        <rFont val="Noto Sans CJK SC"/>
        <family val="2"/>
      </rPr>
      <t xml:space="preserve">一次性利益出處（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處分與評價利益 </t>
    </r>
    <r>
      <rPr>
        <sz val="11"/>
        <color theme="1"/>
        <rFont val="Calibri"/>
        <family val="2"/>
        <charset val="1"/>
      </rPr>
      <t xml:space="preserve">63.20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）載明處分利益 </t>
    </r>
    <r>
      <rPr>
        <sz val="11"/>
        <color theme="1"/>
        <rFont val="Calibri"/>
        <family val="2"/>
        <charset val="1"/>
      </rPr>
      <t xml:space="preserve">NT$63,202,285 </t>
    </r>
    <r>
      <rPr>
        <sz val="11"/>
        <color theme="1"/>
        <rFont val="Noto Sans CJK SC"/>
        <family val="2"/>
      </rPr>
      <t xml:space="preserve">千元，其中含對剩餘持股改按公允價值衡量的非現金重新衡量利益 </t>
    </r>
    <r>
      <rPr>
        <sz val="11"/>
        <color theme="1"/>
        <rFont val="Calibri"/>
        <family val="2"/>
        <charset val="1"/>
      </rPr>
      <t xml:space="preserve">56,398,783 </t>
    </r>
    <r>
      <rPr>
        <sz val="11"/>
        <color theme="1"/>
        <rFont val="Noto Sans CJK SC"/>
        <family val="2"/>
      </rPr>
      <t xml:space="preserve">千元（喪失重大影響力）；公司 </t>
    </r>
    <r>
      <rPr>
        <sz val="11"/>
        <color theme="1"/>
        <rFont val="Calibri"/>
        <family val="2"/>
        <charset val="1"/>
      </rPr>
      <t xml:space="preserve">2026-05-15 </t>
    </r>
    <r>
      <rPr>
        <sz val="11"/>
        <color theme="1"/>
        <rFont val="Noto Sans CJK SC"/>
        <family val="2"/>
      </rPr>
      <t xml:space="preserve">公告表示近期無進一步出售計畫；</t>
    </r>
    <r>
      <rPr>
        <sz val="11"/>
        <color theme="1"/>
        <rFont val="Calibri"/>
        <family val="2"/>
        <charset val="1"/>
      </rPr>
      <t xml:space="preserve">3Q26 Management Report </t>
    </r>
    <r>
      <rPr>
        <sz val="11"/>
        <color theme="1"/>
        <rFont val="Noto Sans CJK SC"/>
        <family val="2"/>
      </rPr>
      <t xml:space="preserve">說明營業外由 </t>
    </r>
    <r>
      <rPr>
        <sz val="11"/>
        <color theme="1"/>
        <rFont val="Calibri"/>
        <family val="2"/>
        <charset val="1"/>
      </rPr>
      <t xml:space="preserve">95.83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Calibri"/>
        <family val="2"/>
        <charset val="1"/>
      </rPr>
      <t xml:space="preserve">34.59 </t>
    </r>
    <r>
      <rPr>
        <sz val="11"/>
        <color theme="1"/>
        <rFont val="Noto Sans CJK SC"/>
        <family val="2"/>
      </rPr>
      <t xml:space="preserve">主因無該項處分與評價利益；媒體：中央社、東森財經、鉅亨。頁碼：搜尋摘錄未含頁碼，未取得（文件與段落見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SEC 3Q26 6-K </t>
    </r>
    <r>
      <rPr>
        <sz val="11"/>
        <color theme="1"/>
        <rFont val="Noto Sans CJK SC"/>
        <family val="2"/>
      </rPr>
      <t xml:space="preserve">本身未標註一次性項目。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</si>
  <si>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</t>
    </r>
  </si>
  <si>
    <t xml:space="preserve">https://pr.tsmc.com/english/news/3326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</si>
  <si>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</si>
  <si>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https://investor.tsmc.com/english/encrypt/files/encrypt_file/reports/2026-08/3e494f0c14dd0890f897aa044415e21d93486cc4/TSMC%202Q26%20Transcript.pdf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</si>
  <si>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</si>
  <si>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https://investor.tsmc.com/japanese/encrypt/files/encrypt_file/reports/2026-01/51d09df96cd89ac19d65af39032b038dc2896a24/TSMC%204Q25%20Transcript.pdf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</si>
  <si>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</si>
  <si>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https://www.sec.gov/Archives/edgar/data/0001046179/000104617926000680/tsm-revenue20261008.htm</t>
  </si>
  <si>
    <t xml:space="preserve">TrendForce CoWoS 2025-12-08</t>
  </si>
  <si>
    <t xml:space="preserve">https://www.trendforce.com/news/2025/12/08/news-tsmcs-cowos-l-s-reportedly-fully-booked-osat-partners-step-up-with-ases-cowop-in-focus</t>
  </si>
  <si>
    <t xml:space="preserve">TrendForce CoWoS 2026-06-15</t>
  </si>
  <si>
    <t xml:space="preserve">https://www.trendforce.com/news/2026/06/15/news-tsmc-cowos-supply-demand-gap-reportedly-seen-narrowing-from-20-to-10-by-end-2026-as-capacity-expands/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</si>
  <si>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Morgan Stanley 2026-09-13</t>
    </r>
  </si>
  <si>
    <t xml:space="preserve">https://money.udn.com/money/story/5607/9752236</t>
  </si>
  <si>
    <r>
      <rPr>
        <sz val="11"/>
        <color theme="1"/>
        <rFont val="Calibri"/>
        <family val="2"/>
        <charset val="1"/>
      </rPr>
      <t xml:space="preserve">36Kr CoWoS </t>
    </r>
    <r>
      <rPr>
        <sz val="11"/>
        <color theme="1"/>
        <rFont val="Noto Sans CJK SC"/>
        <family val="2"/>
      </rPr>
      <t xml:space="preserve">分配 </t>
    </r>
    <r>
      <rPr>
        <sz val="11"/>
        <color theme="1"/>
        <rFont val="Calibri"/>
        <family val="2"/>
        <charset val="1"/>
      </rPr>
      <t xml:space="preserve">2026-01-09</t>
    </r>
  </si>
  <si>
    <t xml:space="preserve">https://eu.36kr.com/en/p/3631956080985095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</si>
  <si>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JPMorgan 2026-09-29</t>
    </r>
  </si>
  <si>
    <t xml:space="preserve">https://money.udn.com/money/amp/story/5607/9783752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</si>
  <si>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Nikkei 2027 </t>
    </r>
    <r>
      <rPr>
        <sz val="11"/>
        <color theme="1"/>
        <rFont val="Noto Sans CJK SC"/>
        <family val="2"/>
      </rPr>
      <t xml:space="preserve">漲價</t>
    </r>
  </si>
  <si>
    <t xml:space="preserve">https://www.tomshardware.com/tech-industry/semiconductors/tsmc-eyes-price-hikes-of-up-to-25-percent-on-chip-production-services-in-2027-report-claims-plans-to-raise-baseline-prices-by-5-percent-to-10-percent-on-advanced-nodes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</si>
  <si>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</si>
  <si>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https://in.marketscreener.com/quote/stock/TSMC-TAIWAN-SEMICONDUCTOR-6492349/valuation/</t>
  </si>
  <si>
    <t xml:space="preserve">GuruFocus P/E</t>
  </si>
  <si>
    <t xml:space="preserve">https://www.gurufocus.com/term/pettm/TSM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</si>
  <si>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新聞稿（公司）</t>
    </r>
  </si>
  <si>
    <t xml:space="preserve">https://pr.tsmc.com/english/news/3346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</si>
  <si>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EarningsRelease</t>
    </r>
    <r>
      <rPr>
        <sz val="11"/>
        <color theme="1"/>
        <rFont val="Noto Sans CJK SC"/>
        <family val="2"/>
      </rPr>
      <t xml:space="preserve">（公司）</t>
    </r>
  </si>
  <si>
    <t xml:space="preserve">https://investor.tsmc.com/english/encrypt/files/encrypt_file/reports/2026-10/526b65af7305df2dde6b9ece6812b1fdf1e49f9b/3Q26%20EarningsRelease.pdf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</si>
  <si>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Noto Sans CJK SC"/>
        <family val="2"/>
      </rPr>
      <t xml:space="preserve">（含指引）</t>
    </r>
  </si>
  <si>
    <t xml:space="preserve">https://www.sec.gov/Archives/edgar/data/0001046179/000104617926000726/a3q26e_withguidancexfinal.htm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</si>
  <si>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逐字稿（公司）</t>
    </r>
  </si>
  <si>
    <t xml:space="preserve">https://investor.tsmc.com/english/encrypt/files/encrypt_file/reports/2026-10/eba4fac72873bf546b669bd2b5d973df5c93215d/TSMC%203Q26%20Transcript.pdf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</si>
  <si>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</t>
    </r>
  </si>
  <si>
    <t xml:space="preserve">https://pr.tsmc.com/english/news/3297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</si>
  <si>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2Q26 6-K</t>
    </r>
    <r>
      <rPr>
        <sz val="11"/>
        <color theme="1"/>
        <rFont val="Noto Sans CJK SC"/>
        <family val="2"/>
      </rPr>
      <t xml:space="preserve">（含指引）</t>
    </r>
  </si>
  <si>
    <t xml:space="preserve">https://www.sec.gov/Archives/edgar/data/0001046179/000104617926000451/a2q26e_withguidancexfinal.htm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</si>
  <si>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StockFeel 3Q26 </t>
    </r>
    <r>
      <rPr>
        <sz val="11"/>
        <color theme="1"/>
        <rFont val="Noto Sans CJK SC"/>
        <family val="2"/>
      </rPr>
      <t xml:space="preserve">法說重點</t>
    </r>
  </si>
  <si>
    <t xml:space="preserve">https://www.stockfeel.com.tw/%E5%8F%B0%E7%A9%8D%E9%9B%BB-2330-2026q3-%E6%B3%95%E8%AA%AA%E6%9C%83/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</si>
  <si>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】媒體：民視財經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</t>
    </r>
  </si>
  <si>
    <t xml:space="preserve">https://finance.ftvnews.com.tw/news/detail/2026A15W0572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</si>
  <si>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Futurum 3Q26</t>
    </r>
  </si>
  <si>
    <t xml:space="preserve">https://futurumgroup.com/insights/tsmc-q3-fy-2026-earnings-beat-and-raise-on-ai-and-hpc-demand/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</si>
  <si>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BigGo Finance 3Q26</t>
    </r>
  </si>
  <si>
    <t xml:space="preserve">https://finance.biggo.com/news/US_TSM_2026-10-15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</si>
  <si>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vestedfinance 3Q26</t>
    </r>
  </si>
  <si>
    <t xml:space="preserve">https://vestedfinance.com/blog/us-stocks/tsmc-q3-earnings-2026/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</si>
  <si>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券商解讀 </t>
    </r>
    <r>
      <rPr>
        <sz val="11"/>
        <color theme="1"/>
        <rFont val="Calibri"/>
        <family val="2"/>
        <charset val="1"/>
      </rPr>
      <t xml:space="preserve">3Q26</t>
    </r>
  </si>
  <si>
    <t xml:space="preserve">https://www.trendforce.com/news/2026/10/16/news-after-tsmcs-3q26-earnings-key-brokerage-takeaways-as-2028-capex-forecasts-reach-us105b/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</si>
  <si>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年報</t>
    </r>
  </si>
  <si>
    <t xml:space="preserve">https://investor.tsmc.com/static/annualReports/2024/english/index.html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</si>
  <si>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</t>
    </r>
  </si>
  <si>
    <t xml:space="preserve">https://investor.tsmc.com/static/annualReports/2025/english/index.html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</si>
  <si>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（利息、匯兌）</t>
    </r>
  </si>
  <si>
    <t xml:space="preserve">https://investor.tsmc.com/sites/ir/sec-filings/2025_20F%20Report.pdf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</si>
  <si>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Management Report</t>
    </r>
  </si>
  <si>
    <t xml:space="preserve">https://investor.tsmc.com/schinese/encrypt/files/encrypt_file/qr/phase4_reports/2026-10/f53a64fd40fc0b453f94e077e5aba8cad506f27b/3Q26%20ManagementReport.pdf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</si>
  <si>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）損益表</t>
    </r>
  </si>
  <si>
    <t xml:space="preserve">https://www.moneydj.com/kmdj/news/newsviewer.aspx?a=0c9c7a58-321f-4b5c-83c9-7f4837872969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</si>
  <si>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</t>
    </r>
  </si>
  <si>
    <t xml:space="preserve">https://www.ctee.com.tw/news/20260416702066-430502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</si>
  <si>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63,202,285 </t>
    </r>
    <r>
      <rPr>
        <sz val="11"/>
        <color theme="1"/>
        <rFont val="Noto Sans CJK SC"/>
        <family val="2"/>
      </rPr>
      <t xml:space="preserve">千元）</t>
    </r>
  </si>
  <si>
    <t xml:space="preserve">https://www.sec.gov/Archives/edgar/data/0001046179/000104617926000541/a2026q2consolidatedreport-.htm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</si>
  <si>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：台積電出售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股權公告（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</si>
  <si>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https://www.sec.gov/Archives/edgar/data/0001046179/000104617926000280/tsmctosell81ofvanguardinte.htm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</si>
  <si>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Noto Sans CJK SC"/>
        <family val="2"/>
      </rPr>
      <t xml:space="preserve">（核對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營業利益、稅前淨利、淨利）</t>
    </r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</si>
  <si>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：中央社（處分 </t>
    </r>
    <r>
      <rPr>
        <sz val="11"/>
        <color theme="1"/>
        <rFont val="Calibri"/>
        <family val="2"/>
        <charset val="1"/>
      </rPr>
      <t xml:space="preserve">VIS 1.52 </t>
    </r>
    <r>
      <rPr>
        <sz val="11"/>
        <color theme="1"/>
        <rFont val="Noto Sans CJK SC"/>
        <family val="2"/>
      </rPr>
      <t xml:space="preserve">億股）</t>
    </r>
  </si>
  <si>
    <t xml:space="preserve">https://www.cna.com.tw/news/afe/202605180297.aspx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</si>
  <si>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：東森財經（估獲利 </t>
    </r>
    <r>
      <rPr>
        <sz val="11"/>
        <color theme="1"/>
        <rFont val="Calibri"/>
        <family val="2"/>
        <charset val="1"/>
      </rPr>
      <t xml:space="preserve">632.02 </t>
    </r>
    <r>
      <rPr>
        <sz val="11"/>
        <color theme="1"/>
        <rFont val="Noto Sans CJK SC"/>
        <family val="2"/>
      </rPr>
      <t xml:space="preserve">億）</t>
    </r>
  </si>
  <si>
    <t xml:space="preserve">https://fnc.ebc.net.tw/fncnews/stock/210975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</si>
  <si>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：鏡報（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處分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利益）</t>
    </r>
  </si>
  <si>
    <t xml:space="preserve">https://www.mirrordaily.news/story/79601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</si>
  <si>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：鉅亨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財報分析</t>
    </r>
  </si>
  <si>
    <t xml:space="preserve">https://hao.cnyes.com/post/259466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</si>
  <si>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】查證方式說明</t>
    </r>
  </si>
  <si>
    <r>
      <rPr>
        <sz val="11"/>
        <color theme="1"/>
        <rFont val="Noto Sans CJK SC"/>
        <family val="2"/>
      </rPr>
      <t xml:space="preserve">公司原文頁面在本次建置環境無法直接開啟（網路限制），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數字取自搜尋引擎對公司新聞稿的摘錄，並與至少兩則獨立媒體交叉；公司逐字稿原文待人工複核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</si>
  <si>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</si>
  <si>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自由現金流列：台積電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折舊攤銷 </t>
    </r>
    <r>
      <rPr>
        <sz val="11"/>
        <color theme="1"/>
        <rFont val="Calibri"/>
        <family val="2"/>
        <charset val="1"/>
      </rPr>
      <t xml:space="preserve">681,649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1,272,411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3,809,054</t>
    </r>
    <r>
      <rPr>
        <sz val="11"/>
        <color theme="1"/>
        <rFont val="Noto Sans CJK SC"/>
        <family val="2"/>
      </rPr>
      <t xml:space="preserve">（百萬新台幣；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</si>
  <si>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https://stockanalysis.com/quote/tpe/2330/financials/cash-flow-statement/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https://stockanalysis.com/quote/tpe/2330/financials/</t>
    </r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</si>
  <si>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營收各年、資本支出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收斂欄）維持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實績比率</t>
    </r>
  </si>
  <si>
    <t xml:space="preserve">本模型假設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</si>
</sst>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"/>
    <numFmt numFmtId="166" formatCode="0.0%"/>
    <numFmt numFmtId="167" formatCode="#,##0"/>
    <numFmt numFmtId="168" formatCode="0%"/>
    <numFmt numFmtId="169" formatCode="0.0"/>
    <numFmt numFmtId="170" formatCode="0.0\x"/>
    <numFmt numFmtId="171" formatCode="0.00"/>
    <numFmt numFmtId="172" formatCode="#,##0.0"/>
    <numFmt numFmtId="173" formatCode="@"/>
    <numFmt numFmtId="174" formatCode="0"/>
    <numFmt numFmtId="175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2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2"/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3" t="s">
        <v>9</v>
      </c>
    </row>
    <row r="13" customFormat="false" ht="17.15" hidden="false" customHeight="false" outlineLevel="0" collapsed="false">
      <c r="A13" s="3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3" t="s">
        <v>13</v>
      </c>
    </row>
    <row r="17" customFormat="false" ht="17.15" hidden="false" customHeight="false" outlineLevel="0" collapsed="false">
      <c r="A17" s="3" t="s">
        <v>14</v>
      </c>
    </row>
    <row r="18" customFormat="false" ht="17.15" hidden="false" customHeight="false" outlineLevel="0" collapsed="false">
      <c r="A18" s="2" t="s">
        <v>15</v>
      </c>
    </row>
    <row r="19" customFormat="false" ht="17.15" hidden="false" customHeight="false" outlineLevel="0" collapsed="false">
      <c r="A19" s="0" t="s">
        <v>16</v>
      </c>
    </row>
    <row r="20" customFormat="false" ht="15" hidden="false" customHeight="false" outlineLevel="0" collapsed="false">
      <c r="A20" s="0" t="str">
        <f aca="false">"投資建議："&amp;Val!B116&amp;"（依上檔空間固定規則）"</f>
        <v>投資建議：中立（依上檔空間固定規則）</v>
      </c>
    </row>
    <row r="21" customFormat="false" ht="17.15" hidden="false" customHeight="false" outlineLevel="0" collapsed="false">
      <c r="A21" s="0" t="str">
        <f aca="false">"重點觀察 1：目標價 NT$"&amp;TEXT(Val!$B$94,"#,##0")&amp;"（DCF "&amp;TEXT(Val!$B$79,"#,##0")&amp;"、Comparable（相對倍數調整後）"&amp;TEXT(tp_comp_adj,"#,##0")&amp;"；DCF 權重 "&amp;TEXT(tp_w_dcf,"0%")&amp;"），比現價 "&amp;TEXT(px,"#,##0")&amp;"（2026-10-22）"&amp;IF(Val!$B$97&gt;=0,"高 "&amp;TEXT(Val!$B$97,"0.0%"),"低 "&amp;TEXT(-Val!$B$97,"0.0%"))&amp;"，級距 "&amp;Val!$B$115&amp;"、投資建議 "&amp;Val!$B$116&amp;"。相對倍數調整係數 "&amp;TEXT(rm_factor,"0.00")&amp;"（本公司 10 年前瞻倍數中位數 ÷ 同業的中位數，夾在 0.5–2.0；Val 第 0.5 節），調整前加權上檔空間 "&amp;TEXT((tp_w_dcf*Val!$B$79+(1-tp_w_dcf)*Val!$B$90)/px-1,"+0.0%;−0.0%")&amp;"；Comparable 單獨（市場主流同業法、未調整）為 "&amp;TEXT(Val!$B$98,"+0.0%;−0.0%")&amp;"。"&amp;"以下為 2026-10-29 相對倍數調整前撰寫的說明，其中數字為調整前：與共識目標價 3,390 的差距主要是 EPS：本模型 12 個月後前瞻 EPS 134.0 比共識前瞻 EPS 低 26.2%，倍數因素只 −8.7%（共識目標價隱含 18.7 倍，同業中位數 20.5 倍）。"</f>
        <v>重點觀察 1：目標價 NT$2,803（DCF 2,155、Comparable（相對倍數調整後）3,451；DCF 權重 50%），比現價 2,385（2026-10-22）高 17.5%，級距 0%–25%、投資建議 中立。相對倍數調整係數 1.26（本公司 10 年前瞻倍數中位數 ÷ 同業的中位數，夾在 0.5–2.0；Val 第 0.5 節），調整前加權上檔空間 +2.7%；Comparable 單獨（市場主流同業法、未調整）為 +15.1%。以下為 2026-10-29 相對倍數調整前撰寫的說明，其中數字為調整前：與共識目標價 3,390 的差距主要是 EPS：本模型 12 個月後前瞻 EPS 134.0 比共識前瞻 EPS 低 26.2%，倍數因素只 −8.7%（共識目標價隱含 18.7 倍，同業中位數 20.5 倍）。</v>
      </c>
    </row>
    <row r="22" customFormat="false" ht="17.15" hidden="false" customHeight="false" outlineLevel="0" collapsed="false">
      <c r="A22" s="4" t="s">
        <v>17</v>
      </c>
    </row>
    <row r="23" customFormat="false" ht="17.15" hidden="false" customHeight="false" outlineLevel="0" collapsed="false">
      <c r="A23" s="4" t="s">
        <v>18</v>
      </c>
    </row>
    <row r="25" customFormat="false" ht="17.15" hidden="false" customHeight="false" outlineLevel="0" collapsed="false">
      <c r="A25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10"/>
  </cols>
  <sheetData>
    <row r="1" customFormat="false" ht="17.15" hidden="false" customHeight="false" outlineLevel="0" collapsed="false">
      <c r="A1" s="0" t="s">
        <v>20</v>
      </c>
    </row>
    <row r="3" customFormat="false" ht="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4" t="s">
        <v>32</v>
      </c>
      <c r="E5" s="7" t="n">
        <v>5.4</v>
      </c>
      <c r="G5" s="8" t="s">
        <v>33</v>
      </c>
      <c r="H5" s="8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4" t="s">
        <v>32</v>
      </c>
      <c r="E6" s="7" t="n">
        <v>2.4</v>
      </c>
      <c r="G6" s="8" t="s">
        <v>33</v>
      </c>
      <c r="H6" s="4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4" t="s">
        <v>32</v>
      </c>
      <c r="E7" s="7" t="n">
        <v>0.5</v>
      </c>
      <c r="G7" s="8" t="s">
        <v>33</v>
      </c>
      <c r="H7" s="4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42</v>
      </c>
      <c r="D8" s="7" t="n">
        <v>-0.7</v>
      </c>
      <c r="E8" s="7" t="n">
        <v>-0.5</v>
      </c>
      <c r="F8" s="7" t="n">
        <v>-0.3</v>
      </c>
      <c r="G8" s="8" t="s">
        <v>43</v>
      </c>
      <c r="H8" s="8" t="s">
        <v>44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4" t="s">
        <v>32</v>
      </c>
      <c r="E9" s="7" t="n">
        <v>1.7</v>
      </c>
      <c r="G9" s="8" t="s">
        <v>33</v>
      </c>
      <c r="H9" s="8" t="s">
        <v>47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4" t="s">
        <v>32</v>
      </c>
      <c r="E10" s="7" t="n">
        <v>7</v>
      </c>
      <c r="G10" s="8" t="s">
        <v>33</v>
      </c>
      <c r="H10" s="4" t="s">
        <v>37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4" t="s">
        <v>32</v>
      </c>
      <c r="E11" s="7" t="n">
        <v>7</v>
      </c>
      <c r="G11" s="8" t="s">
        <v>33</v>
      </c>
      <c r="H11" s="4" t="s">
        <v>37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42</v>
      </c>
      <c r="D12" s="7" t="n">
        <v>0.05</v>
      </c>
      <c r="E12" s="7" t="n">
        <v>0.15</v>
      </c>
      <c r="F12" s="7" t="n">
        <v>0.25</v>
      </c>
      <c r="G12" s="8" t="s">
        <v>43</v>
      </c>
      <c r="H12" s="4" t="s">
        <v>37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4" t="s">
        <v>32</v>
      </c>
      <c r="E13" s="7" t="n">
        <v>0</v>
      </c>
      <c r="G13" s="8" t="s">
        <v>43</v>
      </c>
      <c r="H13" s="8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4" t="s">
        <v>32</v>
      </c>
      <c r="E14" s="7" t="n">
        <v>0.3</v>
      </c>
      <c r="G14" s="8" t="s">
        <v>43</v>
      </c>
      <c r="H14" s="4" t="s">
        <v>37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4" t="s">
        <v>32</v>
      </c>
      <c r="E15" s="7" t="n">
        <v>2</v>
      </c>
      <c r="G15" s="8" t="s">
        <v>43</v>
      </c>
      <c r="H15" s="4" t="s">
        <v>37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0" t="s">
        <v>42</v>
      </c>
      <c r="D16" s="7" t="n">
        <v>0.05</v>
      </c>
      <c r="E16" s="7" t="n">
        <v>0.15</v>
      </c>
      <c r="F16" s="7" t="n">
        <v>0.25</v>
      </c>
      <c r="G16" s="8" t="s">
        <v>43</v>
      </c>
      <c r="H16" s="4" t="s">
        <v>37</v>
      </c>
    </row>
    <row r="17" customFormat="false" ht="17.15" hidden="false" customHeight="false" outlineLevel="0" collapsed="false">
      <c r="A17" s="0" t="s">
        <v>63</v>
      </c>
      <c r="B17" s="0" t="s">
        <v>64</v>
      </c>
      <c r="C17" s="4" t="s">
        <v>32</v>
      </c>
      <c r="E17" s="7" t="n">
        <v>0.5</v>
      </c>
      <c r="G17" s="8" t="s">
        <v>33</v>
      </c>
      <c r="H17" s="8" t="s">
        <v>65</v>
      </c>
    </row>
    <row r="18" customFormat="false" ht="17.15" hidden="false" customHeight="false" outlineLevel="0" collapsed="false">
      <c r="A18" s="0" t="s">
        <v>66</v>
      </c>
      <c r="B18" s="0" t="s">
        <v>67</v>
      </c>
      <c r="C18" s="4" t="s">
        <v>32</v>
      </c>
      <c r="E18" s="7" t="n">
        <v>0</v>
      </c>
      <c r="G18" s="8" t="s">
        <v>33</v>
      </c>
      <c r="H18" s="4" t="s">
        <v>37</v>
      </c>
    </row>
    <row r="19" customFormat="false" ht="17.15" hidden="false" customHeight="false" outlineLevel="0" collapsed="false">
      <c r="A19" s="0" t="s">
        <v>68</v>
      </c>
      <c r="B19" s="0" t="s">
        <v>69</v>
      </c>
      <c r="C19" s="4" t="s">
        <v>32</v>
      </c>
      <c r="E19" s="7" t="n">
        <v>0</v>
      </c>
      <c r="G19" s="8" t="s">
        <v>33</v>
      </c>
      <c r="H19" s="4" t="s">
        <v>37</v>
      </c>
    </row>
    <row r="20" customFormat="false" ht="17.15" hidden="false" customHeight="false" outlineLevel="0" collapsed="false">
      <c r="A20" s="0" t="s">
        <v>70</v>
      </c>
      <c r="B20" s="0" t="s">
        <v>71</v>
      </c>
      <c r="C20" s="0" t="s">
        <v>42</v>
      </c>
      <c r="D20" s="7" t="n">
        <v>0</v>
      </c>
      <c r="E20" s="7" t="n">
        <v>0</v>
      </c>
      <c r="F20" s="7" t="n">
        <v>0</v>
      </c>
      <c r="G20" s="8" t="s">
        <v>43</v>
      </c>
      <c r="H20" s="4" t="s">
        <v>37</v>
      </c>
    </row>
    <row r="21" customFormat="false" ht="17.15" hidden="false" customHeight="false" outlineLevel="0" collapsed="false">
      <c r="A21" s="0" t="s">
        <v>72</v>
      </c>
      <c r="B21" s="0" t="s">
        <v>73</v>
      </c>
      <c r="C21" s="4" t="s">
        <v>32</v>
      </c>
      <c r="E21" s="7" t="n">
        <v>0.75</v>
      </c>
      <c r="G21" s="8" t="s">
        <v>74</v>
      </c>
      <c r="H21" s="8" t="s">
        <v>75</v>
      </c>
    </row>
    <row r="22" customFormat="false" ht="17.15" hidden="false" customHeight="false" outlineLevel="0" collapsed="false">
      <c r="A22" s="0" t="s">
        <v>76</v>
      </c>
      <c r="B22" s="0" t="s">
        <v>77</v>
      </c>
      <c r="C22" s="4" t="s">
        <v>32</v>
      </c>
      <c r="E22" s="7" t="n">
        <v>1.5</v>
      </c>
      <c r="G22" s="8" t="s">
        <v>74</v>
      </c>
      <c r="H22" s="4" t="s">
        <v>37</v>
      </c>
    </row>
    <row r="23" customFormat="false" ht="17.15" hidden="false" customHeight="false" outlineLevel="0" collapsed="false">
      <c r="A23" s="0" t="s">
        <v>78</v>
      </c>
      <c r="B23" s="0" t="s">
        <v>79</v>
      </c>
      <c r="C23" s="4" t="s">
        <v>32</v>
      </c>
      <c r="E23" s="7" t="n">
        <v>2</v>
      </c>
      <c r="G23" s="8" t="s">
        <v>74</v>
      </c>
      <c r="H23" s="4" t="s">
        <v>37</v>
      </c>
    </row>
    <row r="24" customFormat="false" ht="17.15" hidden="false" customHeight="false" outlineLevel="0" collapsed="false">
      <c r="A24" s="0" t="s">
        <v>80</v>
      </c>
      <c r="B24" s="0" t="s">
        <v>81</v>
      </c>
      <c r="C24" s="0" t="s">
        <v>42</v>
      </c>
      <c r="D24" s="7" t="n">
        <v>0.05</v>
      </c>
      <c r="E24" s="7" t="n">
        <v>0.15</v>
      </c>
      <c r="F24" s="7" t="n">
        <v>0.25</v>
      </c>
      <c r="G24" s="8" t="s">
        <v>43</v>
      </c>
      <c r="H24" s="4" t="s">
        <v>37</v>
      </c>
    </row>
    <row r="25" customFormat="false" ht="17.15" hidden="false" customHeight="false" outlineLevel="0" collapsed="false">
      <c r="A25" s="0" t="s">
        <v>82</v>
      </c>
      <c r="B25" s="0" t="s">
        <v>83</v>
      </c>
      <c r="C25" s="4" t="s">
        <v>32</v>
      </c>
      <c r="E25" s="7" t="n">
        <v>3.85</v>
      </c>
      <c r="G25" s="8" t="s">
        <v>33</v>
      </c>
      <c r="H25" s="8" t="s">
        <v>84</v>
      </c>
    </row>
    <row r="26" customFormat="false" ht="17.15" hidden="false" customHeight="false" outlineLevel="0" collapsed="false">
      <c r="A26" s="0" t="s">
        <v>85</v>
      </c>
      <c r="B26" s="0" t="s">
        <v>86</v>
      </c>
      <c r="C26" s="4" t="s">
        <v>32</v>
      </c>
      <c r="E26" s="7" t="n">
        <v>5.5</v>
      </c>
      <c r="G26" s="8" t="s">
        <v>33</v>
      </c>
      <c r="H26" s="4" t="s">
        <v>37</v>
      </c>
    </row>
    <row r="27" customFormat="false" ht="17.15" hidden="false" customHeight="false" outlineLevel="0" collapsed="false">
      <c r="A27" s="0" t="s">
        <v>87</v>
      </c>
      <c r="B27" s="0" t="s">
        <v>88</v>
      </c>
      <c r="C27" s="4" t="s">
        <v>32</v>
      </c>
      <c r="E27" s="7" t="n">
        <v>7</v>
      </c>
      <c r="G27" s="8" t="s">
        <v>33</v>
      </c>
      <c r="H27" s="4" t="s">
        <v>37</v>
      </c>
    </row>
    <row r="28" customFormat="false" ht="17.15" hidden="false" customHeight="false" outlineLevel="0" collapsed="false">
      <c r="A28" s="0" t="s">
        <v>89</v>
      </c>
      <c r="B28" s="0" t="s">
        <v>90</v>
      </c>
      <c r="C28" s="0" t="s">
        <v>42</v>
      </c>
      <c r="D28" s="7" t="n">
        <v>0.05</v>
      </c>
      <c r="E28" s="7" t="n">
        <v>0.15</v>
      </c>
      <c r="F28" s="7" t="n">
        <v>0.25</v>
      </c>
      <c r="G28" s="8" t="s">
        <v>43</v>
      </c>
      <c r="H28" s="4" t="s">
        <v>37</v>
      </c>
    </row>
    <row r="29" customFormat="false" ht="17.15" hidden="false" customHeight="false" outlineLevel="0" collapsed="false">
      <c r="A29" s="0" t="s">
        <v>91</v>
      </c>
      <c r="B29" s="0" t="s">
        <v>92</v>
      </c>
      <c r="C29" s="4" t="s">
        <v>32</v>
      </c>
      <c r="E29" s="7" t="n">
        <v>2</v>
      </c>
      <c r="G29" s="8" t="s">
        <v>43</v>
      </c>
      <c r="H29" s="8" t="s">
        <v>93</v>
      </c>
    </row>
    <row r="30" customFormat="false" ht="17.15" hidden="false" customHeight="false" outlineLevel="0" collapsed="false">
      <c r="A30" s="0" t="s">
        <v>94</v>
      </c>
      <c r="B30" s="0" t="s">
        <v>95</v>
      </c>
      <c r="C30" s="4" t="s">
        <v>32</v>
      </c>
      <c r="E30" s="7" t="n">
        <v>2.5</v>
      </c>
      <c r="G30" s="8" t="s">
        <v>43</v>
      </c>
      <c r="H30" s="4" t="s">
        <v>37</v>
      </c>
    </row>
    <row r="31" customFormat="false" ht="17.15" hidden="false" customHeight="false" outlineLevel="0" collapsed="false">
      <c r="A31" s="0" t="s">
        <v>96</v>
      </c>
      <c r="B31" s="0" t="s">
        <v>97</v>
      </c>
      <c r="C31" s="4" t="s">
        <v>32</v>
      </c>
      <c r="E31" s="7" t="n">
        <v>3</v>
      </c>
      <c r="G31" s="8" t="s">
        <v>43</v>
      </c>
      <c r="H31" s="4" t="s">
        <v>37</v>
      </c>
    </row>
    <row r="32" customFormat="false" ht="17.15" hidden="false" customHeight="false" outlineLevel="0" collapsed="false">
      <c r="A32" s="0" t="s">
        <v>98</v>
      </c>
      <c r="B32" s="0" t="s">
        <v>99</v>
      </c>
      <c r="C32" s="0" t="s">
        <v>42</v>
      </c>
      <c r="D32" s="7" t="n">
        <v>0.05</v>
      </c>
      <c r="E32" s="7" t="n">
        <v>0.15</v>
      </c>
      <c r="F32" s="7" t="n">
        <v>0.25</v>
      </c>
      <c r="G32" s="8" t="s">
        <v>43</v>
      </c>
      <c r="H32" s="4" t="s">
        <v>37</v>
      </c>
    </row>
    <row r="33" customFormat="false" ht="17.15" hidden="false" customHeight="false" outlineLevel="0" collapsed="false">
      <c r="A33" s="0" t="s">
        <v>100</v>
      </c>
      <c r="B33" s="4" t="s">
        <v>101</v>
      </c>
      <c r="C33" s="4" t="s">
        <v>32</v>
      </c>
      <c r="E33" s="7" t="n">
        <v>1</v>
      </c>
      <c r="G33" s="8" t="s">
        <v>102</v>
      </c>
      <c r="H33" s="8" t="s">
        <v>103</v>
      </c>
    </row>
    <row r="34" customFormat="false" ht="17.15" hidden="false" customHeight="false" outlineLevel="0" collapsed="false">
      <c r="A34" s="0" t="s">
        <v>104</v>
      </c>
      <c r="B34" s="4" t="s">
        <v>105</v>
      </c>
      <c r="C34" s="4" t="s">
        <v>32</v>
      </c>
      <c r="E34" s="7" t="n">
        <v>4.5</v>
      </c>
      <c r="G34" s="8" t="s">
        <v>102</v>
      </c>
      <c r="H34" s="4" t="s">
        <v>37</v>
      </c>
    </row>
    <row r="35" customFormat="false" ht="17.15" hidden="false" customHeight="false" outlineLevel="0" collapsed="false">
      <c r="A35" s="0" t="s">
        <v>106</v>
      </c>
      <c r="B35" s="4" t="s">
        <v>107</v>
      </c>
      <c r="C35" s="4" t="s">
        <v>32</v>
      </c>
      <c r="E35" s="7" t="n">
        <v>5</v>
      </c>
      <c r="G35" s="8" t="s">
        <v>102</v>
      </c>
      <c r="H35" s="4" t="s">
        <v>37</v>
      </c>
    </row>
    <row r="36" customFormat="false" ht="17.15" hidden="false" customHeight="false" outlineLevel="0" collapsed="false">
      <c r="A36" s="0" t="s">
        <v>108</v>
      </c>
      <c r="B36" s="4" t="s">
        <v>109</v>
      </c>
      <c r="C36" s="0" t="s">
        <v>42</v>
      </c>
      <c r="D36" s="7" t="n">
        <v>0.05</v>
      </c>
      <c r="E36" s="7" t="n">
        <v>0.15</v>
      </c>
      <c r="F36" s="7" t="n">
        <v>0.25</v>
      </c>
      <c r="G36" s="8" t="s">
        <v>43</v>
      </c>
      <c r="H36" s="4" t="s">
        <v>37</v>
      </c>
    </row>
    <row r="37" customFormat="false" ht="17.15" hidden="false" customHeight="false" outlineLevel="0" collapsed="false">
      <c r="A37" s="0" t="s">
        <v>110</v>
      </c>
      <c r="B37" s="4" t="s">
        <v>111</v>
      </c>
      <c r="C37" s="0" t="s">
        <v>112</v>
      </c>
      <c r="E37" s="7" t="n">
        <v>1</v>
      </c>
      <c r="G37" s="8" t="s">
        <v>43</v>
      </c>
      <c r="H37" s="8" t="s">
        <v>113</v>
      </c>
    </row>
    <row r="38" customFormat="false" ht="17.15" hidden="false" customHeight="false" outlineLevel="0" collapsed="false">
      <c r="A38" s="0" t="s">
        <v>114</v>
      </c>
      <c r="B38" s="4" t="s">
        <v>115</v>
      </c>
      <c r="C38" s="0" t="s">
        <v>112</v>
      </c>
      <c r="E38" s="7" t="n">
        <v>1</v>
      </c>
      <c r="G38" s="8" t="s">
        <v>43</v>
      </c>
    </row>
    <row r="39" customFormat="false" ht="17.15" hidden="false" customHeight="false" outlineLevel="0" collapsed="false">
      <c r="A39" s="0" t="s">
        <v>116</v>
      </c>
      <c r="B39" s="4" t="s">
        <v>117</v>
      </c>
      <c r="C39" s="0" t="s">
        <v>112</v>
      </c>
      <c r="E39" s="7" t="n">
        <v>0.8</v>
      </c>
      <c r="G39" s="8" t="s">
        <v>43</v>
      </c>
    </row>
    <row r="40" customFormat="false" ht="17.15" hidden="false" customHeight="false" outlineLevel="0" collapsed="false">
      <c r="A40" s="0" t="s">
        <v>118</v>
      </c>
      <c r="B40" s="4" t="s">
        <v>119</v>
      </c>
      <c r="C40" s="0" t="s">
        <v>112</v>
      </c>
      <c r="E40" s="7" t="n">
        <v>0.85</v>
      </c>
      <c r="G40" s="8" t="s">
        <v>43</v>
      </c>
    </row>
    <row r="41" customFormat="false" ht="17.15" hidden="false" customHeight="false" outlineLevel="0" collapsed="false">
      <c r="A41" s="0" t="s">
        <v>120</v>
      </c>
      <c r="B41" s="4" t="s">
        <v>121</v>
      </c>
      <c r="C41" s="0" t="s">
        <v>112</v>
      </c>
      <c r="E41" s="7" t="n">
        <v>0.6</v>
      </c>
      <c r="G41" s="8" t="s">
        <v>43</v>
      </c>
    </row>
    <row r="42" customFormat="false" ht="17.15" hidden="false" customHeight="false" outlineLevel="0" collapsed="false">
      <c r="A42" s="0" t="s">
        <v>122</v>
      </c>
      <c r="B42" s="4" t="s">
        <v>123</v>
      </c>
      <c r="C42" s="0" t="s">
        <v>112</v>
      </c>
      <c r="E42" s="7" t="n">
        <v>0.6</v>
      </c>
      <c r="G42" s="8" t="s">
        <v>43</v>
      </c>
    </row>
    <row r="43" customFormat="false" ht="17.15" hidden="false" customHeight="false" outlineLevel="0" collapsed="false">
      <c r="A43" s="6" t="s">
        <v>124</v>
      </c>
    </row>
    <row r="44" customFormat="false" ht="17.15" hidden="false" customHeight="false" outlineLevel="0" collapsed="false">
      <c r="A44" s="0" t="s">
        <v>125</v>
      </c>
      <c r="B44" s="0" t="s">
        <v>126</v>
      </c>
      <c r="C44" s="4" t="s">
        <v>127</v>
      </c>
      <c r="D44" s="7" t="n">
        <v>11.2</v>
      </c>
      <c r="E44" s="7" t="n">
        <v>14</v>
      </c>
      <c r="F44" s="7" t="n">
        <v>16.8</v>
      </c>
      <c r="G44" s="8" t="s">
        <v>128</v>
      </c>
      <c r="H44" s="4" t="s">
        <v>129</v>
      </c>
    </row>
    <row r="45" customFormat="false" ht="17.15" hidden="false" customHeight="false" outlineLevel="0" collapsed="false">
      <c r="A45" s="0" t="s">
        <v>130</v>
      </c>
      <c r="B45" s="0" t="s">
        <v>131</v>
      </c>
      <c r="C45" s="0" t="s">
        <v>132</v>
      </c>
      <c r="D45" s="7" t="n">
        <v>1.84</v>
      </c>
      <c r="E45" s="7" t="n">
        <v>2.3</v>
      </c>
      <c r="F45" s="7" t="n">
        <v>2.76</v>
      </c>
      <c r="G45" s="8" t="s">
        <v>128</v>
      </c>
      <c r="H45" s="4" t="s">
        <v>37</v>
      </c>
    </row>
    <row r="46" customFormat="false" ht="17.15" hidden="false" customHeight="false" outlineLevel="0" collapsed="false">
      <c r="A46" s="0" t="s">
        <v>133</v>
      </c>
      <c r="B46" s="0" t="s">
        <v>134</v>
      </c>
      <c r="C46" s="4" t="s">
        <v>127</v>
      </c>
      <c r="D46" s="7" t="n">
        <v>6.4</v>
      </c>
      <c r="E46" s="7" t="n">
        <v>8</v>
      </c>
      <c r="F46" s="7" t="n">
        <v>9.6</v>
      </c>
      <c r="G46" s="8" t="s">
        <v>128</v>
      </c>
      <c r="H46" s="8" t="s">
        <v>135</v>
      </c>
    </row>
    <row r="47" customFormat="false" ht="17.15" hidden="false" customHeight="false" outlineLevel="0" collapsed="false">
      <c r="A47" s="0" t="s">
        <v>136</v>
      </c>
      <c r="B47" s="0" t="s">
        <v>137</v>
      </c>
      <c r="C47" s="0" t="s">
        <v>132</v>
      </c>
      <c r="D47" s="7" t="n">
        <v>2.24</v>
      </c>
      <c r="E47" s="7" t="n">
        <v>2.8</v>
      </c>
      <c r="F47" s="7" t="n">
        <v>3.36</v>
      </c>
      <c r="G47" s="8" t="s">
        <v>128</v>
      </c>
      <c r="H47" s="4" t="s">
        <v>37</v>
      </c>
    </row>
    <row r="48" customFormat="false" ht="17.15" hidden="false" customHeight="false" outlineLevel="0" collapsed="false">
      <c r="A48" s="0" t="s">
        <v>138</v>
      </c>
      <c r="B48" s="0" t="s">
        <v>139</v>
      </c>
      <c r="C48" s="4" t="s">
        <v>127</v>
      </c>
      <c r="D48" s="7" t="n">
        <v>3.2</v>
      </c>
      <c r="E48" s="7" t="n">
        <v>4</v>
      </c>
      <c r="F48" s="7" t="n">
        <v>4.8</v>
      </c>
      <c r="G48" s="8" t="s">
        <v>43</v>
      </c>
      <c r="H48" s="8" t="s">
        <v>140</v>
      </c>
    </row>
    <row r="49" customFormat="false" ht="17.15" hidden="false" customHeight="false" outlineLevel="0" collapsed="false">
      <c r="A49" s="0" t="s">
        <v>141</v>
      </c>
      <c r="B49" s="0" t="s">
        <v>142</v>
      </c>
      <c r="C49" s="0" t="s">
        <v>132</v>
      </c>
      <c r="D49" s="7" t="n">
        <v>4.8</v>
      </c>
      <c r="E49" s="7" t="n">
        <v>6</v>
      </c>
      <c r="F49" s="7" t="n">
        <v>7.2</v>
      </c>
      <c r="G49" s="8" t="s">
        <v>43</v>
      </c>
      <c r="H49" s="4" t="s">
        <v>37</v>
      </c>
    </row>
    <row r="50" customFormat="false" ht="17.15" hidden="false" customHeight="false" outlineLevel="0" collapsed="false">
      <c r="A50" s="0" t="s">
        <v>143</v>
      </c>
      <c r="B50" s="0" t="s">
        <v>144</v>
      </c>
      <c r="C50" s="4" t="s">
        <v>127</v>
      </c>
      <c r="D50" s="7" t="n">
        <v>23.2</v>
      </c>
      <c r="E50" s="7" t="n">
        <v>29</v>
      </c>
      <c r="F50" s="7" t="n">
        <v>34.8</v>
      </c>
      <c r="G50" s="8" t="s">
        <v>145</v>
      </c>
      <c r="H50" s="8" t="s">
        <v>146</v>
      </c>
    </row>
    <row r="51" customFormat="false" ht="17.15" hidden="false" customHeight="false" outlineLevel="0" collapsed="false">
      <c r="A51" s="0" t="s">
        <v>147</v>
      </c>
      <c r="B51" s="0" t="s">
        <v>148</v>
      </c>
      <c r="C51" s="0" t="s">
        <v>132</v>
      </c>
      <c r="D51" s="7" t="n">
        <v>0.88</v>
      </c>
      <c r="E51" s="7" t="n">
        <v>1.1</v>
      </c>
      <c r="F51" s="7" t="n">
        <v>1.32</v>
      </c>
      <c r="G51" s="8" t="s">
        <v>145</v>
      </c>
      <c r="H51" s="4" t="s">
        <v>37</v>
      </c>
    </row>
    <row r="52" customFormat="false" ht="17.15" hidden="false" customHeight="false" outlineLevel="0" collapsed="false">
      <c r="A52" s="0" t="s">
        <v>149</v>
      </c>
      <c r="B52" s="0" t="s">
        <v>150</v>
      </c>
      <c r="C52" s="4" t="s">
        <v>127</v>
      </c>
      <c r="D52" s="7" t="n">
        <v>6.8</v>
      </c>
      <c r="E52" s="7" t="n">
        <v>8.5</v>
      </c>
      <c r="F52" s="7" t="n">
        <v>10.2</v>
      </c>
      <c r="G52" s="8" t="s">
        <v>151</v>
      </c>
      <c r="H52" s="8" t="s">
        <v>152</v>
      </c>
    </row>
    <row r="53" customFormat="false" ht="17.15" hidden="false" customHeight="false" outlineLevel="0" collapsed="false">
      <c r="A53" s="0" t="s">
        <v>153</v>
      </c>
      <c r="B53" s="0" t="s">
        <v>154</v>
      </c>
      <c r="C53" s="0" t="s">
        <v>132</v>
      </c>
      <c r="D53" s="7" t="n">
        <v>1.6</v>
      </c>
      <c r="E53" s="7" t="n">
        <v>2</v>
      </c>
      <c r="F53" s="7" t="n">
        <v>2.4</v>
      </c>
      <c r="G53" s="8" t="s">
        <v>151</v>
      </c>
      <c r="H53" s="4" t="s">
        <v>37</v>
      </c>
    </row>
    <row r="54" customFormat="false" ht="17.15" hidden="false" customHeight="false" outlineLevel="0" collapsed="false">
      <c r="A54" s="0" t="s">
        <v>155</v>
      </c>
      <c r="B54" s="0" t="s">
        <v>156</v>
      </c>
      <c r="C54" s="4" t="s">
        <v>127</v>
      </c>
      <c r="D54" s="7" t="n">
        <v>4.8</v>
      </c>
      <c r="E54" s="7" t="n">
        <v>6</v>
      </c>
      <c r="F54" s="7" t="n">
        <v>7.2</v>
      </c>
      <c r="G54" s="8" t="s">
        <v>43</v>
      </c>
      <c r="H54" s="8" t="s">
        <v>157</v>
      </c>
    </row>
    <row r="55" customFormat="false" ht="17.15" hidden="false" customHeight="false" outlineLevel="0" collapsed="false">
      <c r="A55" s="0" t="s">
        <v>158</v>
      </c>
      <c r="B55" s="0" t="s">
        <v>159</v>
      </c>
      <c r="C55" s="0" t="s">
        <v>132</v>
      </c>
      <c r="D55" s="7" t="n">
        <v>2.4</v>
      </c>
      <c r="E55" s="7" t="n">
        <v>3</v>
      </c>
      <c r="F55" s="7" t="n">
        <v>3.6</v>
      </c>
      <c r="G55" s="8" t="s">
        <v>43</v>
      </c>
      <c r="H55" s="4" t="s">
        <v>37</v>
      </c>
    </row>
    <row r="56" customFormat="false" ht="17.15" hidden="false" customHeight="false" outlineLevel="0" collapsed="false">
      <c r="A56" s="0" t="s">
        <v>160</v>
      </c>
      <c r="B56" s="0" t="s">
        <v>161</v>
      </c>
      <c r="C56" s="4" t="s">
        <v>127</v>
      </c>
      <c r="D56" s="7" t="n">
        <v>22.4</v>
      </c>
      <c r="E56" s="7" t="n">
        <v>28</v>
      </c>
      <c r="F56" s="7" t="n">
        <v>33.6</v>
      </c>
      <c r="G56" s="8" t="s">
        <v>102</v>
      </c>
      <c r="H56" s="8" t="s">
        <v>162</v>
      </c>
    </row>
    <row r="57" customFormat="false" ht="17.15" hidden="false" customHeight="false" outlineLevel="0" collapsed="false">
      <c r="A57" s="0" t="s">
        <v>163</v>
      </c>
      <c r="B57" s="0" t="s">
        <v>164</v>
      </c>
      <c r="C57" s="0" t="s">
        <v>132</v>
      </c>
      <c r="D57" s="7" t="n">
        <v>1.2</v>
      </c>
      <c r="E57" s="7" t="n">
        <v>1.5</v>
      </c>
      <c r="F57" s="7" t="n">
        <v>1.8</v>
      </c>
      <c r="G57" s="8" t="s">
        <v>102</v>
      </c>
      <c r="H57" s="4" t="s">
        <v>37</v>
      </c>
    </row>
    <row r="58" customFormat="false" ht="17.15" hidden="false" customHeight="false" outlineLevel="0" collapsed="false">
      <c r="A58" s="0" t="s">
        <v>165</v>
      </c>
      <c r="B58" s="0" t="s">
        <v>166</v>
      </c>
      <c r="C58" s="4" t="s">
        <v>127</v>
      </c>
      <c r="D58" s="7" t="n">
        <v>19.2</v>
      </c>
      <c r="E58" s="7" t="n">
        <v>24</v>
      </c>
      <c r="F58" s="7" t="n">
        <v>28.8</v>
      </c>
      <c r="G58" s="8" t="s">
        <v>43</v>
      </c>
      <c r="H58" s="8" t="s">
        <v>167</v>
      </c>
    </row>
    <row r="59" customFormat="false" ht="17.15" hidden="false" customHeight="false" outlineLevel="0" collapsed="false">
      <c r="A59" s="0" t="s">
        <v>168</v>
      </c>
      <c r="B59" s="0" t="s">
        <v>169</v>
      </c>
      <c r="C59" s="0" t="s">
        <v>132</v>
      </c>
      <c r="D59" s="7" t="n">
        <v>1.44</v>
      </c>
      <c r="E59" s="7" t="n">
        <v>1.8</v>
      </c>
      <c r="F59" s="7" t="n">
        <v>2.16</v>
      </c>
      <c r="G59" s="8" t="s">
        <v>43</v>
      </c>
      <c r="H59" s="4" t="s">
        <v>37</v>
      </c>
    </row>
    <row r="60" customFormat="false" ht="17.15" hidden="false" customHeight="false" outlineLevel="0" collapsed="false">
      <c r="A60" s="0" t="s">
        <v>170</v>
      </c>
      <c r="B60" s="0" t="s">
        <v>171</v>
      </c>
      <c r="C60" s="4" t="s">
        <v>127</v>
      </c>
      <c r="D60" s="7" t="n">
        <v>24</v>
      </c>
      <c r="E60" s="7" t="n">
        <v>30</v>
      </c>
      <c r="F60" s="7" t="n">
        <v>36</v>
      </c>
      <c r="G60" s="8" t="s">
        <v>102</v>
      </c>
      <c r="H60" s="8" t="s">
        <v>172</v>
      </c>
    </row>
    <row r="61" customFormat="false" ht="17.15" hidden="false" customHeight="false" outlineLevel="0" collapsed="false">
      <c r="A61" s="0" t="s">
        <v>173</v>
      </c>
      <c r="B61" s="0" t="s">
        <v>174</v>
      </c>
      <c r="C61" s="0" t="s">
        <v>132</v>
      </c>
      <c r="D61" s="7" t="n">
        <v>0.96</v>
      </c>
      <c r="E61" s="7" t="n">
        <v>1.2</v>
      </c>
      <c r="F61" s="7" t="n">
        <v>1.44</v>
      </c>
      <c r="G61" s="8" t="s">
        <v>102</v>
      </c>
      <c r="H61" s="4" t="s">
        <v>37</v>
      </c>
    </row>
    <row r="62" customFormat="false" ht="17.15" hidden="false" customHeight="false" outlineLevel="0" collapsed="false">
      <c r="A62" s="0" t="s">
        <v>175</v>
      </c>
      <c r="B62" s="0" t="s">
        <v>176</v>
      </c>
      <c r="C62" s="4" t="s">
        <v>127</v>
      </c>
      <c r="D62" s="7" t="n">
        <v>16</v>
      </c>
      <c r="E62" s="7" t="n">
        <v>20</v>
      </c>
      <c r="F62" s="7" t="n">
        <v>24</v>
      </c>
      <c r="G62" s="8" t="s">
        <v>43</v>
      </c>
      <c r="H62" s="4" t="s">
        <v>177</v>
      </c>
    </row>
    <row r="63" customFormat="false" ht="17.15" hidden="false" customHeight="false" outlineLevel="0" collapsed="false">
      <c r="A63" s="0" t="s">
        <v>178</v>
      </c>
      <c r="B63" s="0" t="s">
        <v>179</v>
      </c>
      <c r="C63" s="0" t="s">
        <v>132</v>
      </c>
      <c r="D63" s="7" t="n">
        <v>0.96</v>
      </c>
      <c r="E63" s="7" t="n">
        <v>1.2</v>
      </c>
      <c r="F63" s="7" t="n">
        <v>1.44</v>
      </c>
      <c r="G63" s="8" t="s">
        <v>43</v>
      </c>
      <c r="H63" s="4" t="s">
        <v>37</v>
      </c>
    </row>
    <row r="64" customFormat="false" ht="17.15" hidden="false" customHeight="false" outlineLevel="0" collapsed="false">
      <c r="A64" s="0" t="s">
        <v>180</v>
      </c>
      <c r="B64" s="4" t="s">
        <v>181</v>
      </c>
      <c r="C64" s="4" t="s">
        <v>182</v>
      </c>
      <c r="D64" s="7" t="n">
        <v>100</v>
      </c>
      <c r="E64" s="7" t="n">
        <v>150</v>
      </c>
      <c r="F64" s="7" t="n">
        <v>200</v>
      </c>
      <c r="G64" s="8" t="s">
        <v>43</v>
      </c>
      <c r="H64" s="8" t="s">
        <v>183</v>
      </c>
    </row>
    <row r="65" customFormat="false" ht="17.15" hidden="false" customHeight="false" outlineLevel="0" collapsed="false">
      <c r="A65" s="0" t="s">
        <v>184</v>
      </c>
      <c r="B65" s="4" t="s">
        <v>185</v>
      </c>
      <c r="C65" s="0" t="s">
        <v>42</v>
      </c>
      <c r="D65" s="7" t="n">
        <v>0.15</v>
      </c>
      <c r="E65" s="7" t="n">
        <v>0.25</v>
      </c>
      <c r="F65" s="7" t="n">
        <v>0.35</v>
      </c>
      <c r="G65" s="8" t="s">
        <v>43</v>
      </c>
      <c r="H65" s="4" t="s">
        <v>186</v>
      </c>
    </row>
    <row r="66" customFormat="false" ht="17.15" hidden="false" customHeight="false" outlineLevel="0" collapsed="false">
      <c r="A66" s="6" t="s">
        <v>187</v>
      </c>
    </row>
    <row r="67" customFormat="false" ht="17.15" hidden="false" customHeight="false" outlineLevel="0" collapsed="false">
      <c r="A67" s="0" t="s">
        <v>188</v>
      </c>
      <c r="B67" s="0" t="s">
        <v>189</v>
      </c>
      <c r="C67" s="4" t="s">
        <v>190</v>
      </c>
      <c r="E67" s="7" t="n">
        <v>77.5</v>
      </c>
      <c r="G67" s="8" t="s">
        <v>33</v>
      </c>
      <c r="H67" s="8" t="s">
        <v>191</v>
      </c>
    </row>
    <row r="68" customFormat="false" ht="17.15" hidden="false" customHeight="false" outlineLevel="0" collapsed="false">
      <c r="A68" s="0" t="s">
        <v>192</v>
      </c>
      <c r="B68" s="0" t="s">
        <v>193</v>
      </c>
      <c r="C68" s="4" t="s">
        <v>190</v>
      </c>
      <c r="E68" s="7" t="n">
        <v>130</v>
      </c>
      <c r="G68" s="8" t="s">
        <v>33</v>
      </c>
      <c r="H68" s="8" t="s">
        <v>194</v>
      </c>
    </row>
    <row r="69" customFormat="false" ht="17.15" hidden="false" customHeight="false" outlineLevel="0" collapsed="false">
      <c r="A69" s="0" t="s">
        <v>195</v>
      </c>
      <c r="B69" s="0" t="s">
        <v>196</v>
      </c>
      <c r="C69" s="4" t="s">
        <v>190</v>
      </c>
      <c r="E69" s="7" t="n">
        <v>200</v>
      </c>
      <c r="G69" s="8" t="s">
        <v>33</v>
      </c>
      <c r="H69" s="8" t="s">
        <v>197</v>
      </c>
    </row>
    <row r="70" customFormat="false" ht="17.15" hidden="false" customHeight="false" outlineLevel="0" collapsed="false">
      <c r="A70" s="0" t="s">
        <v>198</v>
      </c>
      <c r="B70" s="0" t="s">
        <v>199</v>
      </c>
      <c r="C70" s="4" t="s">
        <v>190</v>
      </c>
      <c r="E70" s="7" t="n">
        <v>260</v>
      </c>
      <c r="G70" s="8" t="s">
        <v>33</v>
      </c>
      <c r="H70" s="8" t="s">
        <v>200</v>
      </c>
    </row>
    <row r="71" customFormat="false" ht="17.15" hidden="false" customHeight="false" outlineLevel="0" collapsed="false">
      <c r="A71" s="0" t="s">
        <v>201</v>
      </c>
      <c r="B71" s="0" t="s">
        <v>202</v>
      </c>
      <c r="C71" s="4" t="s">
        <v>190</v>
      </c>
      <c r="D71" s="7" t="n">
        <v>280</v>
      </c>
      <c r="E71" s="7" t="n">
        <v>320</v>
      </c>
      <c r="F71" s="7" t="n">
        <v>380</v>
      </c>
      <c r="G71" s="8" t="s">
        <v>43</v>
      </c>
      <c r="H71" s="8" t="s">
        <v>203</v>
      </c>
    </row>
    <row r="72" customFormat="false" ht="17.15" hidden="false" customHeight="false" outlineLevel="0" collapsed="false">
      <c r="A72" s="0" t="s">
        <v>204</v>
      </c>
      <c r="B72" s="4" t="s">
        <v>205</v>
      </c>
      <c r="C72" s="0" t="s">
        <v>42</v>
      </c>
      <c r="D72" s="7" t="n">
        <v>0.05</v>
      </c>
      <c r="E72" s="7" t="n">
        <v>0.1</v>
      </c>
      <c r="F72" s="7" t="n">
        <v>0.2</v>
      </c>
      <c r="G72" s="8" t="s">
        <v>43</v>
      </c>
      <c r="H72" s="4" t="s">
        <v>206</v>
      </c>
    </row>
    <row r="73" customFormat="false" ht="17.15" hidden="false" customHeight="false" outlineLevel="0" collapsed="false">
      <c r="A73" s="0" t="s">
        <v>207</v>
      </c>
      <c r="B73" s="0" t="s">
        <v>208</v>
      </c>
      <c r="C73" s="4" t="s">
        <v>182</v>
      </c>
      <c r="E73" s="7" t="n">
        <v>1394</v>
      </c>
      <c r="G73" s="8" t="s">
        <v>33</v>
      </c>
      <c r="H73" s="8" t="s">
        <v>209</v>
      </c>
    </row>
    <row r="74" customFormat="false" ht="17.15" hidden="false" customHeight="false" outlineLevel="0" collapsed="false">
      <c r="A74" s="0" t="s">
        <v>210</v>
      </c>
      <c r="B74" s="0" t="s">
        <v>211</v>
      </c>
      <c r="C74" s="4" t="s">
        <v>182</v>
      </c>
      <c r="E74" s="7" t="n">
        <v>2509</v>
      </c>
      <c r="G74" s="8" t="s">
        <v>33</v>
      </c>
      <c r="H74" s="8" t="s">
        <v>212</v>
      </c>
    </row>
    <row r="75" customFormat="false" ht="17.15" hidden="false" customHeight="false" outlineLevel="0" collapsed="false">
      <c r="A75" s="0" t="s">
        <v>213</v>
      </c>
      <c r="B75" s="0" t="s">
        <v>214</v>
      </c>
      <c r="C75" s="0" t="s">
        <v>42</v>
      </c>
      <c r="E75" s="7" t="n">
        <v>0.210219254415343</v>
      </c>
      <c r="G75" s="8" t="s">
        <v>128</v>
      </c>
      <c r="H75" s="8" t="s">
        <v>215</v>
      </c>
    </row>
    <row r="76" customFormat="false" ht="17.15" hidden="false" customHeight="false" outlineLevel="0" collapsed="false">
      <c r="A76" s="6" t="s">
        <v>216</v>
      </c>
    </row>
    <row r="77" customFormat="false" ht="17.15" hidden="false" customHeight="false" outlineLevel="0" collapsed="false">
      <c r="A77" s="0" t="s">
        <v>217</v>
      </c>
      <c r="B77" s="4" t="s">
        <v>218</v>
      </c>
      <c r="C77" s="0" t="s">
        <v>219</v>
      </c>
      <c r="D77" s="7" t="n">
        <v>30</v>
      </c>
      <c r="E77" s="7" t="n">
        <v>32</v>
      </c>
      <c r="F77" s="7" t="n">
        <v>33</v>
      </c>
      <c r="G77" s="8" t="s">
        <v>43</v>
      </c>
      <c r="H77" s="8" t="s">
        <v>220</v>
      </c>
    </row>
    <row r="78" customFormat="false" ht="17.15" hidden="false" customHeight="false" outlineLevel="0" collapsed="false">
      <c r="A78" s="0" t="s">
        <v>221</v>
      </c>
      <c r="B78" s="4" t="s">
        <v>222</v>
      </c>
      <c r="C78" s="0" t="s">
        <v>223</v>
      </c>
      <c r="E78" s="7" t="n">
        <v>122.43</v>
      </c>
      <c r="G78" s="8" t="s">
        <v>224</v>
      </c>
      <c r="H78" s="4" t="s">
        <v>225</v>
      </c>
    </row>
    <row r="79" customFormat="false" ht="17.15" hidden="false" customHeight="false" outlineLevel="0" collapsed="false">
      <c r="A79" s="0" t="s">
        <v>226</v>
      </c>
      <c r="B79" s="4" t="s">
        <v>227</v>
      </c>
      <c r="C79" s="0" t="s">
        <v>223</v>
      </c>
      <c r="E79" s="7" t="n">
        <v>35.9</v>
      </c>
      <c r="G79" s="8" t="s">
        <v>224</v>
      </c>
      <c r="H79" s="4" t="s">
        <v>228</v>
      </c>
    </row>
    <row r="80" customFormat="false" ht="17.15" hidden="false" customHeight="false" outlineLevel="0" collapsed="false">
      <c r="A80" s="0" t="s">
        <v>229</v>
      </c>
      <c r="B80" s="4" t="s">
        <v>230</v>
      </c>
      <c r="C80" s="0" t="s">
        <v>223</v>
      </c>
      <c r="E80" s="7" t="n">
        <v>40.2</v>
      </c>
      <c r="G80" s="8" t="s">
        <v>224</v>
      </c>
      <c r="H80" s="4" t="s">
        <v>231</v>
      </c>
    </row>
    <row r="81" customFormat="false" ht="17.15" hidden="false" customHeight="false" outlineLevel="0" collapsed="false">
      <c r="A81" s="0" t="s">
        <v>232</v>
      </c>
      <c r="B81" s="4" t="s">
        <v>233</v>
      </c>
      <c r="C81" s="0" t="s">
        <v>223</v>
      </c>
      <c r="E81" s="7" t="n">
        <v>46.72</v>
      </c>
      <c r="G81" s="8" t="s">
        <v>224</v>
      </c>
      <c r="H81" s="4" t="s">
        <v>234</v>
      </c>
    </row>
    <row r="82" customFormat="false" ht="17.15" hidden="false" customHeight="false" outlineLevel="0" collapsed="false">
      <c r="A82" s="0" t="s">
        <v>235</v>
      </c>
      <c r="B82" s="4" t="s">
        <v>236</v>
      </c>
      <c r="C82" s="0" t="s">
        <v>223</v>
      </c>
      <c r="D82" s="7" t="n">
        <v>52.3</v>
      </c>
      <c r="E82" s="7" t="n">
        <v>53.3</v>
      </c>
      <c r="F82" s="7" t="n">
        <v>54.3</v>
      </c>
      <c r="G82" s="8" t="s">
        <v>33</v>
      </c>
      <c r="H82" s="4" t="s">
        <v>237</v>
      </c>
    </row>
    <row r="83" customFormat="false" ht="17.15" hidden="false" customHeight="false" outlineLevel="0" collapsed="false">
      <c r="A83" s="0" t="s">
        <v>238</v>
      </c>
      <c r="B83" s="0" t="s">
        <v>239</v>
      </c>
      <c r="C83" s="0" t="s">
        <v>219</v>
      </c>
      <c r="E83" s="7" t="n">
        <v>31.8</v>
      </c>
      <c r="G83" s="8" t="s">
        <v>33</v>
      </c>
      <c r="H83" s="4" t="s">
        <v>240</v>
      </c>
    </row>
    <row r="84" customFormat="false" ht="17.15" hidden="false" customHeight="false" outlineLevel="0" collapsed="false">
      <c r="A84" s="0" t="s">
        <v>241</v>
      </c>
      <c r="B84" s="4" t="s">
        <v>242</v>
      </c>
      <c r="C84" s="0" t="s">
        <v>243</v>
      </c>
      <c r="E84" s="7" t="n">
        <v>1134.1</v>
      </c>
      <c r="G84" s="8" t="s">
        <v>224</v>
      </c>
      <c r="H84" s="4" t="s">
        <v>244</v>
      </c>
    </row>
    <row r="85" customFormat="false" ht="17.15" hidden="false" customHeight="false" outlineLevel="0" collapsed="false">
      <c r="A85" s="0" t="s">
        <v>245</v>
      </c>
      <c r="B85" s="4" t="s">
        <v>246</v>
      </c>
      <c r="C85" s="0" t="s">
        <v>243</v>
      </c>
      <c r="E85" s="7" t="n">
        <v>1270.38</v>
      </c>
      <c r="G85" s="8" t="s">
        <v>224</v>
      </c>
      <c r="H85" s="4" t="s">
        <v>247</v>
      </c>
    </row>
    <row r="86" customFormat="false" ht="17.15" hidden="false" customHeight="false" outlineLevel="0" collapsed="false">
      <c r="A86" s="0" t="s">
        <v>248</v>
      </c>
      <c r="B86" s="4" t="s">
        <v>249</v>
      </c>
      <c r="C86" s="0" t="s">
        <v>243</v>
      </c>
      <c r="E86" s="7" t="n">
        <v>1494.24</v>
      </c>
      <c r="G86" s="8" t="s">
        <v>224</v>
      </c>
      <c r="H86" s="4" t="s">
        <v>250</v>
      </c>
    </row>
    <row r="87" customFormat="false" ht="17.15" hidden="false" customHeight="false" outlineLevel="0" collapsed="false">
      <c r="A87" s="0" t="s">
        <v>251</v>
      </c>
      <c r="B87" s="4" t="s">
        <v>252</v>
      </c>
      <c r="C87" s="0" t="s">
        <v>243</v>
      </c>
      <c r="D87" s="0" t="n">
        <f aca="false">rev26_4q_lo*fx26_4q</f>
        <v>1663.14</v>
      </c>
      <c r="E87" s="0" t="n">
        <f aca="false">rev26_4q*fx26_4q</f>
        <v>1694.94</v>
      </c>
      <c r="F87" s="0" t="n">
        <f aca="false">rev26_4q_hi*fx26_4q</f>
        <v>1726.74</v>
      </c>
      <c r="G87" s="0" t="s">
        <v>128</v>
      </c>
    </row>
    <row r="88" customFormat="false" ht="17.15" hidden="false" customHeight="false" outlineLevel="0" collapsed="false">
      <c r="A88" s="0" t="s">
        <v>253</v>
      </c>
      <c r="B88" s="4" t="s">
        <v>254</v>
      </c>
      <c r="C88" s="0" t="s">
        <v>42</v>
      </c>
      <c r="E88" s="7" t="n">
        <v>0.662</v>
      </c>
      <c r="G88" s="8" t="s">
        <v>224</v>
      </c>
      <c r="H88" s="4" t="s">
        <v>244</v>
      </c>
    </row>
    <row r="89" customFormat="false" ht="17.15" hidden="false" customHeight="false" outlineLevel="0" collapsed="false">
      <c r="A89" s="0" t="s">
        <v>255</v>
      </c>
      <c r="B89" s="4" t="s">
        <v>256</v>
      </c>
      <c r="C89" s="0" t="s">
        <v>42</v>
      </c>
      <c r="E89" s="7" t="n">
        <v>0.677</v>
      </c>
      <c r="G89" s="8" t="s">
        <v>224</v>
      </c>
      <c r="H89" s="4" t="s">
        <v>247</v>
      </c>
    </row>
    <row r="90" customFormat="false" ht="17.15" hidden="false" customHeight="false" outlineLevel="0" collapsed="false">
      <c r="A90" s="0" t="s">
        <v>257</v>
      </c>
      <c r="B90" s="4" t="s">
        <v>258</v>
      </c>
      <c r="C90" s="0" t="s">
        <v>42</v>
      </c>
      <c r="E90" s="7" t="n">
        <v>0.664</v>
      </c>
      <c r="G90" s="8" t="s">
        <v>224</v>
      </c>
      <c r="H90" s="4" t="s">
        <v>259</v>
      </c>
    </row>
    <row r="91" customFormat="false" ht="17.15" hidden="false" customHeight="false" outlineLevel="0" collapsed="false">
      <c r="A91" s="0" t="s">
        <v>260</v>
      </c>
      <c r="B91" s="4" t="s">
        <v>261</v>
      </c>
      <c r="C91" s="0" t="s">
        <v>42</v>
      </c>
      <c r="D91" s="7" t="n">
        <v>0.65</v>
      </c>
      <c r="E91" s="7" t="n">
        <v>0.66</v>
      </c>
      <c r="F91" s="7" t="n">
        <v>0.67</v>
      </c>
      <c r="G91" s="8" t="s">
        <v>33</v>
      </c>
      <c r="H91" s="4" t="s">
        <v>262</v>
      </c>
    </row>
    <row r="92" customFormat="false" ht="17.15" hidden="false" customHeight="false" outlineLevel="0" collapsed="false">
      <c r="A92" s="0" t="s">
        <v>263</v>
      </c>
      <c r="B92" s="4" t="s">
        <v>264</v>
      </c>
      <c r="C92" s="0" t="s">
        <v>42</v>
      </c>
      <c r="E92" s="7" t="n">
        <v>0.581</v>
      </c>
      <c r="G92" s="8" t="s">
        <v>224</v>
      </c>
      <c r="H92" s="4" t="s">
        <v>244</v>
      </c>
    </row>
    <row r="93" customFormat="false" ht="17.15" hidden="false" customHeight="false" outlineLevel="0" collapsed="false">
      <c r="A93" s="0" t="s">
        <v>265</v>
      </c>
      <c r="B93" s="4" t="s">
        <v>266</v>
      </c>
      <c r="C93" s="0" t="s">
        <v>42</v>
      </c>
      <c r="E93" s="7" t="n">
        <v>0.603</v>
      </c>
      <c r="G93" s="8" t="s">
        <v>224</v>
      </c>
      <c r="H93" s="4" t="s">
        <v>247</v>
      </c>
    </row>
    <row r="94" customFormat="false" ht="17.15" hidden="false" customHeight="false" outlineLevel="0" collapsed="false">
      <c r="A94" s="0" t="s">
        <v>267</v>
      </c>
      <c r="B94" s="4" t="s">
        <v>268</v>
      </c>
      <c r="C94" s="0" t="s">
        <v>42</v>
      </c>
      <c r="E94" s="7" t="n">
        <v>0.587</v>
      </c>
      <c r="G94" s="8" t="s">
        <v>224</v>
      </c>
      <c r="H94" s="4" t="s">
        <v>250</v>
      </c>
    </row>
    <row r="95" customFormat="false" ht="17.15" hidden="false" customHeight="false" outlineLevel="0" collapsed="false">
      <c r="A95" s="0" t="s">
        <v>269</v>
      </c>
      <c r="B95" s="4" t="s">
        <v>270</v>
      </c>
      <c r="C95" s="0" t="s">
        <v>42</v>
      </c>
      <c r="D95" s="7" t="n">
        <v>0.565</v>
      </c>
      <c r="E95" s="7" t="n">
        <v>0.575</v>
      </c>
      <c r="F95" s="7" t="n">
        <v>0.585</v>
      </c>
      <c r="G95" s="8" t="s">
        <v>33</v>
      </c>
      <c r="H95" s="4" t="s">
        <v>271</v>
      </c>
    </row>
    <row r="96" customFormat="false" ht="17.15" hidden="false" customHeight="false" outlineLevel="0" collapsed="false">
      <c r="A96" s="0" t="s">
        <v>272</v>
      </c>
      <c r="B96" s="4" t="s">
        <v>273</v>
      </c>
      <c r="C96" s="0" t="s">
        <v>243</v>
      </c>
      <c r="E96" s="7" t="n">
        <v>572.48</v>
      </c>
      <c r="G96" s="8" t="s">
        <v>224</v>
      </c>
      <c r="H96" s="4" t="s">
        <v>274</v>
      </c>
    </row>
    <row r="97" customFormat="false" ht="17.15" hidden="false" customHeight="false" outlineLevel="0" collapsed="false">
      <c r="A97" s="0" t="s">
        <v>275</v>
      </c>
      <c r="B97" s="4" t="s">
        <v>276</v>
      </c>
      <c r="C97" s="0" t="s">
        <v>243</v>
      </c>
      <c r="E97" s="7" t="n">
        <v>706.56</v>
      </c>
      <c r="G97" s="8" t="s">
        <v>224</v>
      </c>
      <c r="H97" s="4" t="s">
        <v>277</v>
      </c>
    </row>
    <row r="98" customFormat="false" ht="17.15" hidden="false" customHeight="false" outlineLevel="0" collapsed="false">
      <c r="A98" s="0" t="s">
        <v>278</v>
      </c>
      <c r="B98" s="4" t="s">
        <v>279</v>
      </c>
      <c r="C98" s="0" t="s">
        <v>243</v>
      </c>
      <c r="E98" s="7" t="n">
        <v>763.06</v>
      </c>
      <c r="G98" s="8" t="s">
        <v>224</v>
      </c>
      <c r="H98" s="4" t="s">
        <v>280</v>
      </c>
    </row>
    <row r="99" customFormat="false" ht="17.15" hidden="false" customHeight="false" outlineLevel="0" collapsed="false">
      <c r="A99" s="0" t="s">
        <v>281</v>
      </c>
      <c r="B99" s="0" t="s">
        <v>282</v>
      </c>
      <c r="C99" s="0" t="s">
        <v>283</v>
      </c>
      <c r="E99" s="0" t="n">
        <f aca="false">22.08+27.25+29.43</f>
        <v>78.76</v>
      </c>
      <c r="G99" s="0" t="s">
        <v>224</v>
      </c>
      <c r="H99" s="4" t="s">
        <v>284</v>
      </c>
    </row>
    <row r="100" customFormat="false" ht="17.15" hidden="false" customHeight="false" outlineLevel="0" collapsed="false">
      <c r="A100" s="0" t="s">
        <v>285</v>
      </c>
      <c r="B100" s="0" t="s">
        <v>286</v>
      </c>
      <c r="C100" s="0" t="s">
        <v>42</v>
      </c>
      <c r="E100" s="7" t="n">
        <v>0.68</v>
      </c>
      <c r="G100" s="8" t="s">
        <v>224</v>
      </c>
      <c r="H100" s="4" t="s">
        <v>287</v>
      </c>
    </row>
    <row r="101" customFormat="false" ht="17.15" hidden="false" customHeight="false" outlineLevel="0" collapsed="false">
      <c r="A101" s="0" t="s">
        <v>288</v>
      </c>
      <c r="B101" s="4" t="s">
        <v>289</v>
      </c>
      <c r="C101" s="0" t="s">
        <v>42</v>
      </c>
      <c r="E101" s="7" t="n">
        <v>0.44</v>
      </c>
      <c r="G101" s="8" t="s">
        <v>33</v>
      </c>
      <c r="H101" s="4" t="s">
        <v>290</v>
      </c>
    </row>
    <row r="102" customFormat="false" ht="17.15" hidden="false" customHeight="false" outlineLevel="0" collapsed="false">
      <c r="A102" s="0" t="s">
        <v>291</v>
      </c>
      <c r="B102" s="4" t="s">
        <v>292</v>
      </c>
      <c r="C102" s="0" t="s">
        <v>223</v>
      </c>
      <c r="D102" s="0" t="n">
        <f aca="false">rev26_1q+rev26_2q+rev26_3q+rev26_4q_lo</f>
        <v>175.12</v>
      </c>
      <c r="E102" s="0" t="n">
        <f aca="false">rev26_1q+rev26_2q+rev26_3q+rev26_4q</f>
        <v>176.12</v>
      </c>
      <c r="F102" s="0" t="n">
        <f aca="false">rev26_1q+rev26_2q+rev26_3q+rev26_4q_hi</f>
        <v>177.12</v>
      </c>
      <c r="G102" s="0" t="s">
        <v>128</v>
      </c>
      <c r="H102" s="0" t="s">
        <v>293</v>
      </c>
    </row>
    <row r="103" customFormat="false" ht="17.15" hidden="false" customHeight="false" outlineLevel="0" collapsed="false">
      <c r="A103" s="0" t="s">
        <v>294</v>
      </c>
      <c r="B103" s="4" t="s">
        <v>295</v>
      </c>
      <c r="C103" s="0" t="s">
        <v>243</v>
      </c>
      <c r="E103" s="0" t="n">
        <f aca="false">ntd26_1q+ntd26_2q+ntd26_3q+ntd26_4q</f>
        <v>5593.66</v>
      </c>
      <c r="G103" s="0" t="s">
        <v>128</v>
      </c>
    </row>
    <row r="104" customFormat="false" ht="17.15" hidden="false" customHeight="false" outlineLevel="0" collapsed="false">
      <c r="A104" s="0" t="s">
        <v>296</v>
      </c>
      <c r="B104" s="0" t="s">
        <v>297</v>
      </c>
      <c r="C104" s="0" t="s">
        <v>219</v>
      </c>
      <c r="E104" s="0" t="n">
        <f aca="false">ntd26/rev26</f>
        <v>31.7605042016807</v>
      </c>
      <c r="G104" s="0" t="s">
        <v>128</v>
      </c>
      <c r="H104" s="4" t="s">
        <v>298</v>
      </c>
    </row>
    <row r="105" customFormat="false" ht="17.15" hidden="false" customHeight="false" outlineLevel="0" collapsed="false">
      <c r="A105" s="0" t="s">
        <v>299</v>
      </c>
      <c r="B105" s="4" t="s">
        <v>300</v>
      </c>
      <c r="C105" s="0" t="s">
        <v>42</v>
      </c>
      <c r="D105" s="7" t="n">
        <v>0</v>
      </c>
      <c r="E105" s="7" t="n">
        <v>0.2</v>
      </c>
      <c r="F105" s="7" t="n">
        <v>0.4</v>
      </c>
      <c r="G105" s="8" t="s">
        <v>43</v>
      </c>
      <c r="H105" s="4" t="s">
        <v>301</v>
      </c>
    </row>
    <row r="106" customFormat="false" ht="17.15" hidden="false" customHeight="false" outlineLevel="0" collapsed="false">
      <c r="A106" s="0" t="s">
        <v>302</v>
      </c>
      <c r="B106" s="0" t="s">
        <v>303</v>
      </c>
      <c r="C106" s="0" t="s">
        <v>42</v>
      </c>
      <c r="E106" s="7" t="n">
        <v>0.12</v>
      </c>
      <c r="G106" s="8" t="s">
        <v>304</v>
      </c>
      <c r="H106" s="8" t="s">
        <v>305</v>
      </c>
    </row>
    <row r="107" customFormat="false" ht="17.15" hidden="false" customHeight="false" outlineLevel="0" collapsed="false">
      <c r="A107" s="0" t="s">
        <v>306</v>
      </c>
      <c r="B107" s="0" t="s">
        <v>307</v>
      </c>
      <c r="C107" s="0" t="s">
        <v>42</v>
      </c>
      <c r="E107" s="7" t="n">
        <v>0.08</v>
      </c>
      <c r="G107" s="8" t="s">
        <v>304</v>
      </c>
      <c r="H107" s="8" t="s">
        <v>43</v>
      </c>
    </row>
    <row r="108" customFormat="false" ht="17.15" hidden="false" customHeight="false" outlineLevel="0" collapsed="false">
      <c r="A108" s="0" t="s">
        <v>308</v>
      </c>
      <c r="B108" s="0" t="s">
        <v>309</v>
      </c>
      <c r="C108" s="0" t="s">
        <v>42</v>
      </c>
      <c r="E108" s="7" t="n">
        <v>0.05</v>
      </c>
      <c r="G108" s="8" t="s">
        <v>304</v>
      </c>
      <c r="H108" s="8" t="s">
        <v>43</v>
      </c>
    </row>
    <row r="109" customFormat="false" ht="17.15" hidden="false" customHeight="false" outlineLevel="0" collapsed="false">
      <c r="A109" s="0" t="s">
        <v>310</v>
      </c>
      <c r="B109" s="4" t="s">
        <v>311</v>
      </c>
      <c r="C109" s="0" t="s">
        <v>42</v>
      </c>
      <c r="E109" s="7" t="n">
        <v>0.12</v>
      </c>
      <c r="G109" s="8" t="s">
        <v>43</v>
      </c>
      <c r="H109" s="4" t="s">
        <v>312</v>
      </c>
    </row>
    <row r="110" customFormat="false" ht="17.15" hidden="false" customHeight="false" outlineLevel="0" collapsed="false">
      <c r="A110" s="0" t="s">
        <v>313</v>
      </c>
      <c r="B110" s="4" t="s">
        <v>314</v>
      </c>
      <c r="C110" s="0" t="s">
        <v>42</v>
      </c>
      <c r="E110" s="7" t="n">
        <v>0.1</v>
      </c>
      <c r="G110" s="8" t="s">
        <v>43</v>
      </c>
    </row>
    <row r="111" customFormat="false" ht="17.15" hidden="false" customHeight="false" outlineLevel="0" collapsed="false">
      <c r="A111" s="0" t="s">
        <v>315</v>
      </c>
      <c r="B111" s="4" t="s">
        <v>316</v>
      </c>
      <c r="C111" s="0" t="s">
        <v>42</v>
      </c>
      <c r="E111" s="7" t="n">
        <v>0.08</v>
      </c>
      <c r="G111" s="8" t="s">
        <v>43</v>
      </c>
    </row>
    <row r="112" customFormat="false" ht="17.15" hidden="false" customHeight="false" outlineLevel="0" collapsed="false">
      <c r="A112" s="0" t="s">
        <v>317</v>
      </c>
      <c r="B112" s="4" t="s">
        <v>318</v>
      </c>
      <c r="C112" s="0" t="s">
        <v>42</v>
      </c>
      <c r="E112" s="7" t="n">
        <v>0.12</v>
      </c>
      <c r="G112" s="8" t="s">
        <v>43</v>
      </c>
    </row>
    <row r="113" customFormat="false" ht="17.15" hidden="false" customHeight="false" outlineLevel="0" collapsed="false">
      <c r="A113" s="0" t="s">
        <v>319</v>
      </c>
      <c r="B113" s="4" t="s">
        <v>320</v>
      </c>
      <c r="C113" s="0" t="s">
        <v>42</v>
      </c>
      <c r="E113" s="7" t="n">
        <v>0.05</v>
      </c>
      <c r="G113" s="8" t="s">
        <v>43</v>
      </c>
    </row>
    <row r="114" customFormat="false" ht="17.15" hidden="false" customHeight="false" outlineLevel="0" collapsed="false">
      <c r="A114" s="0" t="s">
        <v>321</v>
      </c>
      <c r="B114" s="4" t="s">
        <v>322</v>
      </c>
      <c r="C114" s="0" t="s">
        <v>42</v>
      </c>
      <c r="E114" s="7" t="n">
        <v>0.03</v>
      </c>
      <c r="G114" s="8" t="s">
        <v>43</v>
      </c>
    </row>
    <row r="115" customFormat="false" ht="17.15" hidden="false" customHeight="false" outlineLevel="0" collapsed="false">
      <c r="A115" s="0" t="s">
        <v>323</v>
      </c>
      <c r="B115" s="4" t="s">
        <v>324</v>
      </c>
      <c r="C115" s="0" t="s">
        <v>42</v>
      </c>
      <c r="E115" s="7" t="n">
        <v>0.12</v>
      </c>
      <c r="G115" s="8" t="s">
        <v>43</v>
      </c>
    </row>
    <row r="116" customFormat="false" ht="17.15" hidden="false" customHeight="false" outlineLevel="0" collapsed="false">
      <c r="A116" s="0" t="s">
        <v>325</v>
      </c>
      <c r="B116" s="4" t="s">
        <v>326</v>
      </c>
      <c r="C116" s="0" t="s">
        <v>42</v>
      </c>
      <c r="E116" s="7" t="n">
        <v>0</v>
      </c>
      <c r="G116" s="8" t="s">
        <v>43</v>
      </c>
    </row>
    <row r="117" customFormat="false" ht="17.15" hidden="false" customHeight="false" outlineLevel="0" collapsed="false">
      <c r="A117" s="0" t="s">
        <v>327</v>
      </c>
      <c r="B117" s="4" t="s">
        <v>328</v>
      </c>
      <c r="C117" s="0" t="s">
        <v>42</v>
      </c>
      <c r="E117" s="7" t="n">
        <v>-0.03</v>
      </c>
      <c r="G117" s="8" t="s">
        <v>43</v>
      </c>
    </row>
    <row r="118" customFormat="false" ht="17.15" hidden="false" customHeight="false" outlineLevel="0" collapsed="false">
      <c r="A118" s="6" t="s">
        <v>329</v>
      </c>
    </row>
    <row r="119" customFormat="false" ht="17.15" hidden="false" customHeight="false" outlineLevel="0" collapsed="false">
      <c r="A119" s="0" t="s">
        <v>330</v>
      </c>
      <c r="B119" s="4" t="s">
        <v>331</v>
      </c>
      <c r="C119" s="0" t="s">
        <v>42</v>
      </c>
      <c r="E119" s="7" t="n">
        <v>0.58</v>
      </c>
      <c r="G119" s="8" t="s">
        <v>224</v>
      </c>
      <c r="H119" s="4" t="s">
        <v>332</v>
      </c>
    </row>
    <row r="120" customFormat="false" ht="17.15" hidden="false" customHeight="false" outlineLevel="0" collapsed="false">
      <c r="A120" s="0" t="s">
        <v>333</v>
      </c>
      <c r="B120" s="4" t="s">
        <v>334</v>
      </c>
      <c r="C120" s="0" t="s">
        <v>42</v>
      </c>
      <c r="E120" s="7" t="n">
        <v>0.61</v>
      </c>
      <c r="G120" s="8" t="s">
        <v>224</v>
      </c>
      <c r="H120" s="4" t="s">
        <v>335</v>
      </c>
    </row>
    <row r="121" customFormat="false" ht="17.15" hidden="false" customHeight="false" outlineLevel="0" collapsed="false">
      <c r="A121" s="0" t="s">
        <v>336</v>
      </c>
      <c r="B121" s="4" t="s">
        <v>337</v>
      </c>
      <c r="C121" s="0" t="s">
        <v>42</v>
      </c>
      <c r="E121" s="7" t="n">
        <v>0.66</v>
      </c>
      <c r="G121" s="8" t="s">
        <v>224</v>
      </c>
      <c r="H121" s="4" t="s">
        <v>338</v>
      </c>
    </row>
    <row r="122" customFormat="false" ht="17.15" hidden="false" customHeight="false" outlineLevel="0" collapsed="false">
      <c r="A122" s="0" t="s">
        <v>339</v>
      </c>
      <c r="B122" s="4" t="s">
        <v>340</v>
      </c>
      <c r="C122" s="0" t="s">
        <v>42</v>
      </c>
      <c r="E122" s="7" t="n">
        <v>0.68</v>
      </c>
      <c r="G122" s="8" t="s">
        <v>224</v>
      </c>
      <c r="H122" s="4" t="s">
        <v>341</v>
      </c>
    </row>
    <row r="123" customFormat="false" ht="17.15" hidden="false" customHeight="false" outlineLevel="0" collapsed="false">
      <c r="A123" s="0" t="s">
        <v>342</v>
      </c>
      <c r="B123" s="4" t="s">
        <v>343</v>
      </c>
      <c r="C123" s="0" t="s">
        <v>42</v>
      </c>
      <c r="E123" s="7" t="n">
        <v>0.29</v>
      </c>
      <c r="G123" s="8" t="s">
        <v>224</v>
      </c>
      <c r="H123" s="4" t="s">
        <v>332</v>
      </c>
    </row>
    <row r="124" customFormat="false" ht="17.15" hidden="false" customHeight="false" outlineLevel="0" collapsed="false">
      <c r="A124" s="0" t="s">
        <v>344</v>
      </c>
      <c r="B124" s="4" t="s">
        <v>345</v>
      </c>
      <c r="C124" s="0" t="s">
        <v>42</v>
      </c>
      <c r="E124" s="7" t="n">
        <v>0.26</v>
      </c>
      <c r="G124" s="8" t="s">
        <v>224</v>
      </c>
      <c r="H124" s="4" t="s">
        <v>335</v>
      </c>
    </row>
    <row r="125" customFormat="false" ht="17.15" hidden="false" customHeight="false" outlineLevel="0" collapsed="false">
      <c r="A125" s="0" t="s">
        <v>346</v>
      </c>
      <c r="B125" s="4" t="s">
        <v>347</v>
      </c>
      <c r="C125" s="0" t="s">
        <v>42</v>
      </c>
      <c r="E125" s="7" t="n">
        <v>0.22</v>
      </c>
      <c r="G125" s="8" t="s">
        <v>224</v>
      </c>
      <c r="H125" s="4" t="s">
        <v>338</v>
      </c>
    </row>
    <row r="126" customFormat="false" ht="17.15" hidden="false" customHeight="false" outlineLevel="0" collapsed="false">
      <c r="A126" s="0" t="s">
        <v>348</v>
      </c>
      <c r="B126" s="4" t="s">
        <v>349</v>
      </c>
      <c r="C126" s="0" t="s">
        <v>42</v>
      </c>
      <c r="E126" s="7" t="n">
        <v>0.21</v>
      </c>
      <c r="G126" s="8" t="s">
        <v>224</v>
      </c>
      <c r="H126" s="4" t="s">
        <v>341</v>
      </c>
    </row>
    <row r="127" customFormat="false" ht="17.15" hidden="false" customHeight="false" outlineLevel="0" collapsed="false">
      <c r="A127" s="0" t="s">
        <v>350</v>
      </c>
      <c r="B127" s="4" t="s">
        <v>351</v>
      </c>
      <c r="C127" s="0" t="s">
        <v>42</v>
      </c>
      <c r="E127" s="7" t="n">
        <v>0.05</v>
      </c>
      <c r="G127" s="8" t="s">
        <v>224</v>
      </c>
      <c r="H127" s="4" t="s">
        <v>332</v>
      </c>
    </row>
    <row r="128" customFormat="false" ht="17.15" hidden="false" customHeight="false" outlineLevel="0" collapsed="false">
      <c r="A128" s="0" t="s">
        <v>352</v>
      </c>
      <c r="B128" s="4" t="s">
        <v>353</v>
      </c>
      <c r="C128" s="0" t="s">
        <v>42</v>
      </c>
      <c r="E128" s="7" t="n">
        <v>0.06</v>
      </c>
      <c r="G128" s="8" t="s">
        <v>224</v>
      </c>
      <c r="H128" s="4" t="s">
        <v>335</v>
      </c>
    </row>
    <row r="129" customFormat="false" ht="17.15" hidden="false" customHeight="false" outlineLevel="0" collapsed="false">
      <c r="A129" s="0" t="s">
        <v>354</v>
      </c>
      <c r="B129" s="4" t="s">
        <v>355</v>
      </c>
      <c r="C129" s="0" t="s">
        <v>42</v>
      </c>
      <c r="E129" s="7" t="n">
        <v>0.05</v>
      </c>
      <c r="G129" s="8" t="s">
        <v>224</v>
      </c>
      <c r="H129" s="4" t="s">
        <v>338</v>
      </c>
    </row>
    <row r="130" customFormat="false" ht="17.15" hidden="false" customHeight="false" outlineLevel="0" collapsed="false">
      <c r="A130" s="0" t="s">
        <v>356</v>
      </c>
      <c r="B130" s="4" t="s">
        <v>357</v>
      </c>
      <c r="C130" s="0" t="s">
        <v>42</v>
      </c>
      <c r="E130" s="7" t="n">
        <v>0.04</v>
      </c>
      <c r="G130" s="8" t="s">
        <v>224</v>
      </c>
      <c r="H130" s="4" t="s">
        <v>341</v>
      </c>
    </row>
    <row r="131" customFormat="false" ht="17.15" hidden="false" customHeight="false" outlineLevel="0" collapsed="false">
      <c r="A131" s="0" t="s">
        <v>358</v>
      </c>
      <c r="B131" s="4" t="s">
        <v>359</v>
      </c>
      <c r="C131" s="0" t="s">
        <v>42</v>
      </c>
      <c r="E131" s="7" t="n">
        <v>0.05</v>
      </c>
      <c r="G131" s="8" t="s">
        <v>224</v>
      </c>
      <c r="H131" s="4" t="s">
        <v>332</v>
      </c>
    </row>
    <row r="132" customFormat="false" ht="17.15" hidden="false" customHeight="false" outlineLevel="0" collapsed="false">
      <c r="A132" s="0" t="s">
        <v>360</v>
      </c>
      <c r="B132" s="4" t="s">
        <v>361</v>
      </c>
      <c r="C132" s="0" t="s">
        <v>42</v>
      </c>
      <c r="E132" s="7" t="n">
        <v>0.04</v>
      </c>
      <c r="G132" s="8" t="s">
        <v>224</v>
      </c>
      <c r="H132" s="4" t="s">
        <v>335</v>
      </c>
    </row>
    <row r="133" customFormat="false" ht="17.15" hidden="false" customHeight="false" outlineLevel="0" collapsed="false">
      <c r="A133" s="0" t="s">
        <v>362</v>
      </c>
      <c r="B133" s="4" t="s">
        <v>363</v>
      </c>
      <c r="C133" s="0" t="s">
        <v>42</v>
      </c>
      <c r="E133" s="7" t="n">
        <v>0.04</v>
      </c>
      <c r="G133" s="8" t="s">
        <v>224</v>
      </c>
      <c r="H133" s="4" t="s">
        <v>338</v>
      </c>
    </row>
    <row r="134" customFormat="false" ht="17.15" hidden="false" customHeight="false" outlineLevel="0" collapsed="false">
      <c r="A134" s="0" t="s">
        <v>364</v>
      </c>
      <c r="B134" s="4" t="s">
        <v>365</v>
      </c>
      <c r="C134" s="0" t="s">
        <v>42</v>
      </c>
      <c r="E134" s="7" t="n">
        <v>0.04</v>
      </c>
      <c r="G134" s="8" t="s">
        <v>224</v>
      </c>
      <c r="H134" s="4" t="s">
        <v>341</v>
      </c>
    </row>
    <row r="135" customFormat="false" ht="17.15" hidden="false" customHeight="false" outlineLevel="0" collapsed="false">
      <c r="A135" s="0" t="s">
        <v>366</v>
      </c>
      <c r="B135" s="4" t="s">
        <v>367</v>
      </c>
      <c r="C135" s="0" t="s">
        <v>42</v>
      </c>
      <c r="E135" s="7" t="n">
        <v>0.01</v>
      </c>
      <c r="G135" s="8" t="s">
        <v>224</v>
      </c>
      <c r="H135" s="4" t="s">
        <v>332</v>
      </c>
    </row>
    <row r="136" customFormat="false" ht="17.15" hidden="false" customHeight="false" outlineLevel="0" collapsed="false">
      <c r="A136" s="0" t="s">
        <v>368</v>
      </c>
      <c r="B136" s="4" t="s">
        <v>369</v>
      </c>
      <c r="C136" s="0" t="s">
        <v>42</v>
      </c>
      <c r="E136" s="7" t="n">
        <v>0.01</v>
      </c>
      <c r="G136" s="8" t="s">
        <v>224</v>
      </c>
      <c r="H136" s="4" t="s">
        <v>335</v>
      </c>
    </row>
    <row r="137" customFormat="false" ht="17.15" hidden="false" customHeight="false" outlineLevel="0" collapsed="false">
      <c r="A137" s="0" t="s">
        <v>370</v>
      </c>
      <c r="B137" s="4" t="s">
        <v>371</v>
      </c>
      <c r="C137" s="0" t="s">
        <v>42</v>
      </c>
      <c r="E137" s="7" t="n">
        <v>0.01</v>
      </c>
      <c r="G137" s="8" t="s">
        <v>224</v>
      </c>
      <c r="H137" s="4" t="s">
        <v>338</v>
      </c>
    </row>
    <row r="138" customFormat="false" ht="17.15" hidden="false" customHeight="false" outlineLevel="0" collapsed="false">
      <c r="A138" s="0" t="s">
        <v>372</v>
      </c>
      <c r="B138" s="4" t="s">
        <v>373</v>
      </c>
      <c r="C138" s="0" t="s">
        <v>42</v>
      </c>
      <c r="E138" s="7" t="n">
        <v>0.01</v>
      </c>
      <c r="G138" s="8" t="s">
        <v>224</v>
      </c>
      <c r="H138" s="4" t="s">
        <v>341</v>
      </c>
    </row>
    <row r="139" customFormat="false" ht="17.15" hidden="false" customHeight="false" outlineLevel="0" collapsed="false">
      <c r="A139" s="0" t="s">
        <v>374</v>
      </c>
      <c r="B139" s="4" t="s">
        <v>375</v>
      </c>
      <c r="C139" s="0" t="s">
        <v>42</v>
      </c>
      <c r="E139" s="0" t="n">
        <f aca="false">1-pf25_hpc-pf25_sp-pf25_iot-pf25_au-pf25_dce</f>
        <v>0.0200000000000001</v>
      </c>
      <c r="G139" s="0" t="s">
        <v>128</v>
      </c>
      <c r="H139" s="0" t="s">
        <v>376</v>
      </c>
    </row>
    <row r="140" customFormat="false" ht="17.15" hidden="false" customHeight="false" outlineLevel="0" collapsed="false">
      <c r="A140" s="0" t="s">
        <v>377</v>
      </c>
      <c r="B140" s="4" t="s">
        <v>378</v>
      </c>
      <c r="C140" s="0" t="s">
        <v>42</v>
      </c>
      <c r="E140" s="0" t="n">
        <f aca="false">1-pf26_1q_hpc-pf26_1q_sp-pf26_1q_iot-pf26_1q_au-pf26_1q_dce</f>
        <v>0.02</v>
      </c>
      <c r="G140" s="0" t="s">
        <v>128</v>
      </c>
      <c r="H140" s="0" t="s">
        <v>376</v>
      </c>
    </row>
    <row r="141" customFormat="false" ht="17.15" hidden="false" customHeight="false" outlineLevel="0" collapsed="false">
      <c r="A141" s="0" t="s">
        <v>379</v>
      </c>
      <c r="B141" s="4" t="s">
        <v>380</v>
      </c>
      <c r="C141" s="0" t="s">
        <v>42</v>
      </c>
      <c r="E141" s="0" t="n">
        <f aca="false">1-pf26_2q_hpc-pf26_2q_sp-pf26_2q_iot-pf26_2q_au-pf26_2q_dce</f>
        <v>0.02</v>
      </c>
      <c r="G141" s="0" t="s">
        <v>128</v>
      </c>
      <c r="H141" s="0" t="s">
        <v>376</v>
      </c>
    </row>
    <row r="142" customFormat="false" ht="17.15" hidden="false" customHeight="false" outlineLevel="0" collapsed="false">
      <c r="A142" s="0" t="s">
        <v>381</v>
      </c>
      <c r="B142" s="4" t="s">
        <v>382</v>
      </c>
      <c r="C142" s="0" t="s">
        <v>42</v>
      </c>
      <c r="E142" s="0" t="n">
        <f aca="false">1-pf26_3q_hpc-pf26_3q_sp-pf26_3q_iot-pf26_3q_au-pf26_3q_dce</f>
        <v>0.02</v>
      </c>
      <c r="G142" s="0" t="s">
        <v>128</v>
      </c>
      <c r="H142" s="0" t="s">
        <v>376</v>
      </c>
    </row>
    <row r="143" customFormat="false" ht="17.15" hidden="false" customHeight="false" outlineLevel="0" collapsed="false">
      <c r="A143" s="0" t="s">
        <v>383</v>
      </c>
      <c r="B143" s="0" t="s">
        <v>384</v>
      </c>
      <c r="C143" s="0" t="s">
        <v>385</v>
      </c>
      <c r="D143" s="7" t="n">
        <v>-0.01</v>
      </c>
      <c r="E143" s="7" t="n">
        <v>0.01</v>
      </c>
      <c r="F143" s="7" t="n">
        <v>0.03</v>
      </c>
      <c r="G143" s="8" t="s">
        <v>43</v>
      </c>
      <c r="H143" s="8" t="s">
        <v>386</v>
      </c>
    </row>
    <row r="144" customFormat="false" ht="17.15" hidden="false" customHeight="false" outlineLevel="0" collapsed="false">
      <c r="A144" s="0" t="s">
        <v>387</v>
      </c>
      <c r="B144" s="4" t="s">
        <v>388</v>
      </c>
      <c r="C144" s="0" t="s">
        <v>385</v>
      </c>
      <c r="D144" s="7" t="n">
        <v>-0.04</v>
      </c>
      <c r="E144" s="7" t="n">
        <v>-0.02</v>
      </c>
      <c r="F144" s="7" t="n">
        <v>0</v>
      </c>
      <c r="G144" s="8" t="s">
        <v>43</v>
      </c>
      <c r="H144" s="8" t="s">
        <v>389</v>
      </c>
    </row>
    <row r="145" customFormat="false" ht="17.15" hidden="false" customHeight="false" outlineLevel="0" collapsed="false">
      <c r="A145" s="0" t="s">
        <v>390</v>
      </c>
      <c r="B145" s="4" t="s">
        <v>391</v>
      </c>
      <c r="C145" s="0" t="s">
        <v>385</v>
      </c>
      <c r="D145" s="7" t="n">
        <v>-0.02</v>
      </c>
      <c r="E145" s="7" t="n">
        <v>0</v>
      </c>
      <c r="F145" s="7" t="n">
        <v>0.02</v>
      </c>
      <c r="G145" s="8" t="s">
        <v>43</v>
      </c>
      <c r="H145" s="8" t="s">
        <v>392</v>
      </c>
    </row>
    <row r="146" customFormat="false" ht="17.15" hidden="false" customHeight="false" outlineLevel="0" collapsed="false">
      <c r="A146" s="0" t="s">
        <v>393</v>
      </c>
      <c r="B146" s="4" t="s">
        <v>394</v>
      </c>
      <c r="C146" s="0" t="s">
        <v>385</v>
      </c>
      <c r="D146" s="7" t="n">
        <v>0</v>
      </c>
      <c r="E146" s="7" t="n">
        <v>0.02</v>
      </c>
      <c r="F146" s="7" t="n">
        <v>0.04</v>
      </c>
      <c r="G146" s="8" t="s">
        <v>43</v>
      </c>
      <c r="H146" s="8" t="s">
        <v>395</v>
      </c>
    </row>
    <row r="147" customFormat="false" ht="17.15" hidden="false" customHeight="false" outlineLevel="0" collapsed="false">
      <c r="A147" s="0" t="s">
        <v>396</v>
      </c>
      <c r="B147" s="4" t="s">
        <v>397</v>
      </c>
      <c r="C147" s="0" t="s">
        <v>385</v>
      </c>
      <c r="D147" s="7" t="n">
        <v>-0.05</v>
      </c>
      <c r="E147" s="7" t="n">
        <v>-0.03</v>
      </c>
      <c r="F147" s="7" t="n">
        <v>-0.01</v>
      </c>
      <c r="G147" s="8" t="s">
        <v>43</v>
      </c>
      <c r="H147" s="8" t="s">
        <v>398</v>
      </c>
    </row>
    <row r="148" customFormat="false" ht="17.15" hidden="false" customHeight="false" outlineLevel="0" collapsed="false">
      <c r="A148" s="0" t="s">
        <v>399</v>
      </c>
      <c r="B148" s="4" t="s">
        <v>400</v>
      </c>
      <c r="C148" s="0" t="s">
        <v>385</v>
      </c>
      <c r="D148" s="7" t="n">
        <v>-0.02</v>
      </c>
      <c r="E148" s="7" t="n">
        <v>0</v>
      </c>
      <c r="F148" s="7" t="n">
        <v>0.02</v>
      </c>
      <c r="G148" s="8" t="s">
        <v>43</v>
      </c>
      <c r="H148" s="4" t="s">
        <v>401</v>
      </c>
    </row>
    <row r="149" customFormat="false" ht="17.15" hidden="false" customHeight="false" outlineLevel="0" collapsed="false">
      <c r="A149" s="6" t="s">
        <v>402</v>
      </c>
    </row>
    <row r="150" customFormat="false" ht="17.15" hidden="false" customHeight="false" outlineLevel="0" collapsed="false">
      <c r="A150" s="0" t="s">
        <v>403</v>
      </c>
      <c r="B150" s="4" t="s">
        <v>404</v>
      </c>
      <c r="C150" s="0" t="s">
        <v>42</v>
      </c>
      <c r="E150" s="0" t="n">
        <f aca="false">(ntd26_1q*gm26_1q+ntd26_2q*gm26_2q+ntd26_3q*gm26_3q+ntd26_4q*gm26_4q)/ntd26</f>
        <v>0.665334900583875</v>
      </c>
      <c r="G150" s="0" t="s">
        <v>128</v>
      </c>
      <c r="H150" s="0" t="s">
        <v>405</v>
      </c>
    </row>
    <row r="151" customFormat="false" ht="17.15" hidden="false" customHeight="false" outlineLevel="0" collapsed="false">
      <c r="A151" s="0" t="s">
        <v>406</v>
      </c>
      <c r="B151" s="4" t="s">
        <v>407</v>
      </c>
      <c r="C151" s="0" t="s">
        <v>42</v>
      </c>
      <c r="E151" s="0" t="n">
        <f aca="false">(ntd26_1q*opm26_1q+ntd26_2q*opm26_2q+ntd26_3q*opm26_3q+ntd26_4q*opm26_4q)/ntd26</f>
        <v>0.58578115580854</v>
      </c>
      <c r="G151" s="0" t="s">
        <v>128</v>
      </c>
    </row>
    <row r="152" customFormat="false" ht="17.15" hidden="false" customHeight="false" outlineLevel="0" collapsed="false">
      <c r="A152" s="0" t="s">
        <v>408</v>
      </c>
      <c r="B152" s="4" t="s">
        <v>409</v>
      </c>
      <c r="C152" s="0" t="s">
        <v>42</v>
      </c>
      <c r="E152" s="0" t="n">
        <f aca="false">gm26-opm26</f>
        <v>0.0795537447753351</v>
      </c>
      <c r="G152" s="0" t="s">
        <v>128</v>
      </c>
      <c r="H152" s="4" t="s">
        <v>410</v>
      </c>
    </row>
    <row r="153" customFormat="false" ht="17.15" hidden="false" customHeight="false" outlineLevel="0" collapsed="false">
      <c r="A153" s="0" t="s">
        <v>411</v>
      </c>
      <c r="B153" s="4" t="s">
        <v>412</v>
      </c>
      <c r="C153" s="0" t="s">
        <v>112</v>
      </c>
      <c r="E153" s="0" t="n">
        <f aca="false">(ni26_1q+ni26_2q+ni26_3q)/(ntd26_1q*opm26_1q+ntd26_2q*opm26_2q+ntd26_3q*opm26_3q)</f>
        <v>0.887071154896012</v>
      </c>
      <c r="G153" s="0" t="s">
        <v>128</v>
      </c>
      <c r="H153" s="0" t="s">
        <v>413</v>
      </c>
    </row>
    <row r="154" customFormat="false" ht="17.15" hidden="false" customHeight="false" outlineLevel="0" collapsed="false">
      <c r="A154" s="0" t="s">
        <v>414</v>
      </c>
      <c r="B154" s="4" t="s">
        <v>415</v>
      </c>
      <c r="C154" s="0" t="s">
        <v>42</v>
      </c>
      <c r="E154" s="7" t="n">
        <v>0.64</v>
      </c>
      <c r="G154" s="8" t="s">
        <v>102</v>
      </c>
      <c r="H154" s="8" t="s">
        <v>416</v>
      </c>
    </row>
    <row r="155" customFormat="false" ht="17.15" hidden="false" customHeight="false" outlineLevel="0" collapsed="false">
      <c r="A155" s="0" t="s">
        <v>417</v>
      </c>
      <c r="B155" s="4" t="s">
        <v>418</v>
      </c>
      <c r="C155" s="0" t="s">
        <v>42</v>
      </c>
      <c r="E155" s="7" t="n">
        <v>0.63</v>
      </c>
      <c r="G155" s="8" t="s">
        <v>102</v>
      </c>
    </row>
    <row r="156" customFormat="false" ht="17.15" hidden="false" customHeight="false" outlineLevel="0" collapsed="false">
      <c r="A156" s="0" t="s">
        <v>419</v>
      </c>
      <c r="B156" s="4" t="s">
        <v>420</v>
      </c>
      <c r="C156" s="0" t="s">
        <v>42</v>
      </c>
      <c r="E156" s="7" t="n">
        <v>0.62</v>
      </c>
      <c r="G156" s="8" t="s">
        <v>102</v>
      </c>
    </row>
    <row r="157" customFormat="false" ht="17.15" hidden="false" customHeight="false" outlineLevel="0" collapsed="false">
      <c r="A157" s="0" t="s">
        <v>421</v>
      </c>
      <c r="B157" s="4" t="s">
        <v>422</v>
      </c>
      <c r="C157" s="0" t="s">
        <v>42</v>
      </c>
      <c r="E157" s="7" t="n">
        <v>0.64</v>
      </c>
      <c r="G157" s="8" t="s">
        <v>102</v>
      </c>
    </row>
    <row r="158" customFormat="false" ht="17.15" hidden="false" customHeight="false" outlineLevel="0" collapsed="false">
      <c r="A158" s="0" t="s">
        <v>423</v>
      </c>
      <c r="B158" s="4" t="s">
        <v>424</v>
      </c>
      <c r="C158" s="0" t="s">
        <v>42</v>
      </c>
      <c r="E158" s="7" t="n">
        <v>0.58</v>
      </c>
      <c r="G158" s="8" t="s">
        <v>102</v>
      </c>
    </row>
    <row r="159" customFormat="false" ht="17.15" hidden="false" customHeight="false" outlineLevel="0" collapsed="false">
      <c r="A159" s="0" t="s">
        <v>425</v>
      </c>
      <c r="B159" s="4" t="s">
        <v>426</v>
      </c>
      <c r="C159" s="0" t="s">
        <v>42</v>
      </c>
      <c r="E159" s="7" t="n">
        <v>0.56</v>
      </c>
      <c r="G159" s="8" t="s">
        <v>102</v>
      </c>
    </row>
    <row r="160" customFormat="false" ht="17.15" hidden="false" customHeight="false" outlineLevel="0" collapsed="false">
      <c r="A160" s="0" t="s">
        <v>427</v>
      </c>
      <c r="B160" s="4" t="s">
        <v>428</v>
      </c>
      <c r="C160" s="0" t="s">
        <v>42</v>
      </c>
      <c r="E160" s="7" t="n">
        <v>0.64</v>
      </c>
      <c r="G160" s="8" t="s">
        <v>102</v>
      </c>
    </row>
    <row r="161" customFormat="false" ht="17.15" hidden="false" customHeight="false" outlineLevel="0" collapsed="false">
      <c r="A161" s="0" t="s">
        <v>429</v>
      </c>
      <c r="B161" s="4" t="s">
        <v>430</v>
      </c>
      <c r="C161" s="0" t="s">
        <v>42</v>
      </c>
      <c r="E161" s="7" t="n">
        <v>0.54</v>
      </c>
      <c r="G161" s="8" t="s">
        <v>102</v>
      </c>
    </row>
    <row r="162" customFormat="false" ht="17.15" hidden="false" customHeight="false" outlineLevel="0" collapsed="false">
      <c r="A162" s="0" t="s">
        <v>431</v>
      </c>
      <c r="B162" s="4" t="s">
        <v>432</v>
      </c>
      <c r="C162" s="0" t="s">
        <v>42</v>
      </c>
      <c r="E162" s="7" t="n">
        <v>0.52</v>
      </c>
      <c r="G162" s="8" t="s">
        <v>102</v>
      </c>
    </row>
    <row r="163" customFormat="false" ht="17.15" hidden="false" customHeight="false" outlineLevel="0" collapsed="false">
      <c r="A163" s="0" t="s">
        <v>433</v>
      </c>
      <c r="B163" s="4" t="s">
        <v>434</v>
      </c>
      <c r="C163" s="0" t="s">
        <v>42</v>
      </c>
      <c r="E163" s="7" t="n">
        <v>0.075</v>
      </c>
      <c r="G163" s="8" t="s">
        <v>128</v>
      </c>
      <c r="H163" s="8" t="s">
        <v>435</v>
      </c>
    </row>
    <row r="164" customFormat="false" ht="17.15" hidden="false" customHeight="false" outlineLevel="0" collapsed="false">
      <c r="A164" s="0" t="s">
        <v>436</v>
      </c>
      <c r="B164" s="4" t="s">
        <v>437</v>
      </c>
      <c r="C164" s="0" t="s">
        <v>112</v>
      </c>
      <c r="D164" s="9" t="n">
        <f aca="false">ni_op_underlying</f>
        <v>0.864414533026079</v>
      </c>
      <c r="E164" s="8" t="n">
        <f aca="false">(1+nonop_hist)*(1-etr_new)</f>
        <v>0.874593626904623</v>
      </c>
      <c r="F164" s="9" t="n">
        <f aca="false">ni_op_2023</f>
        <v>0.909166874667651</v>
      </c>
      <c r="G164" s="8" t="s">
        <v>128</v>
      </c>
      <c r="H164" s="4" t="s">
        <v>438</v>
      </c>
    </row>
    <row r="165" customFormat="false" ht="17.15" hidden="false" customHeight="false" outlineLevel="0" collapsed="false">
      <c r="A165" s="0" t="s">
        <v>439</v>
      </c>
      <c r="B165" s="4" t="s">
        <v>440</v>
      </c>
      <c r="C165" s="4" t="s">
        <v>441</v>
      </c>
      <c r="E165" s="7" t="n">
        <v>25.93</v>
      </c>
      <c r="G165" s="8" t="s">
        <v>128</v>
      </c>
      <c r="H165" s="4" t="s">
        <v>442</v>
      </c>
    </row>
    <row r="166" customFormat="false" ht="17.15" hidden="false" customHeight="false" outlineLevel="0" collapsed="false">
      <c r="A166" s="0" t="s">
        <v>443</v>
      </c>
      <c r="B166" s="4" t="s">
        <v>444</v>
      </c>
      <c r="C166" s="0" t="s">
        <v>283</v>
      </c>
      <c r="E166" s="7" t="n">
        <v>2385</v>
      </c>
      <c r="G166" s="8" t="s">
        <v>224</v>
      </c>
      <c r="H166" s="8" t="s">
        <v>445</v>
      </c>
    </row>
    <row r="167" customFormat="false" ht="17.15" hidden="false" customHeight="false" outlineLevel="0" collapsed="false">
      <c r="A167" s="0" t="s">
        <v>446</v>
      </c>
      <c r="B167" s="4" t="s">
        <v>447</v>
      </c>
      <c r="C167" s="0" t="s">
        <v>223</v>
      </c>
      <c r="E167" s="7" t="n">
        <v>62</v>
      </c>
      <c r="G167" s="8" t="s">
        <v>33</v>
      </c>
      <c r="H167" s="4" t="s">
        <v>448</v>
      </c>
    </row>
    <row r="168" customFormat="false" ht="17.15" hidden="false" customHeight="false" outlineLevel="0" collapsed="false">
      <c r="A168" s="0" t="s">
        <v>449</v>
      </c>
      <c r="B168" s="4" t="s">
        <v>450</v>
      </c>
      <c r="C168" s="0" t="s">
        <v>223</v>
      </c>
      <c r="E168" s="7" t="n">
        <v>77</v>
      </c>
      <c r="G168" s="8" t="s">
        <v>33</v>
      </c>
      <c r="H168" s="8" t="s">
        <v>451</v>
      </c>
    </row>
    <row r="169" customFormat="false" ht="17.15" hidden="false" customHeight="false" outlineLevel="0" collapsed="false">
      <c r="A169" s="0" t="s">
        <v>452</v>
      </c>
      <c r="B169" s="4" t="s">
        <v>453</v>
      </c>
      <c r="C169" s="0" t="s">
        <v>223</v>
      </c>
      <c r="E169" s="7" t="n">
        <v>90</v>
      </c>
      <c r="G169" s="8" t="s">
        <v>33</v>
      </c>
      <c r="H169" s="8" t="s">
        <v>454</v>
      </c>
    </row>
    <row r="170" customFormat="false" ht="17.15" hidden="false" customHeight="false" outlineLevel="0" collapsed="false">
      <c r="A170" s="0" t="s">
        <v>455</v>
      </c>
      <c r="B170" s="4" t="s">
        <v>456</v>
      </c>
      <c r="C170" s="0" t="s">
        <v>223</v>
      </c>
      <c r="E170" s="7" t="n">
        <v>95</v>
      </c>
      <c r="G170" s="8" t="s">
        <v>43</v>
      </c>
    </row>
    <row r="171" customFormat="false" ht="17.15" hidden="false" customHeight="false" outlineLevel="0" collapsed="false">
      <c r="A171" s="0" t="s">
        <v>457</v>
      </c>
      <c r="B171" s="0" t="s">
        <v>458</v>
      </c>
      <c r="C171" s="0" t="s">
        <v>112</v>
      </c>
      <c r="E171" s="7" t="n">
        <v>15</v>
      </c>
      <c r="G171" s="8" t="s">
        <v>33</v>
      </c>
      <c r="H171" s="4" t="s">
        <v>459</v>
      </c>
    </row>
    <row r="172" customFormat="false" ht="17.15" hidden="false" customHeight="false" outlineLevel="0" collapsed="false">
      <c r="A172" s="0" t="s">
        <v>460</v>
      </c>
      <c r="B172" s="0" t="s">
        <v>461</v>
      </c>
      <c r="C172" s="0" t="s">
        <v>112</v>
      </c>
      <c r="E172" s="7" t="n">
        <v>20.5</v>
      </c>
      <c r="G172" s="8" t="s">
        <v>33</v>
      </c>
      <c r="H172" s="8" t="s">
        <v>462</v>
      </c>
    </row>
    <row r="173" customFormat="false" ht="17.15" hidden="false" customHeight="false" outlineLevel="0" collapsed="false">
      <c r="A173" s="0" t="s">
        <v>463</v>
      </c>
      <c r="B173" s="0" t="s">
        <v>464</v>
      </c>
      <c r="C173" s="0" t="s">
        <v>112</v>
      </c>
      <c r="E173" s="7" t="n">
        <v>32.7</v>
      </c>
      <c r="G173" s="8" t="s">
        <v>33</v>
      </c>
      <c r="H173" s="8" t="s">
        <v>465</v>
      </c>
    </row>
    <row r="174" customFormat="false" ht="17.15" hidden="false" customHeight="false" outlineLevel="0" collapsed="false">
      <c r="A174" s="0" t="s">
        <v>466</v>
      </c>
      <c r="B174" s="4" t="s">
        <v>467</v>
      </c>
      <c r="C174" s="0" t="s">
        <v>223</v>
      </c>
      <c r="E174" s="7" t="n">
        <v>229</v>
      </c>
      <c r="G174" s="8" t="s">
        <v>33</v>
      </c>
      <c r="H174" s="8" t="s">
        <v>468</v>
      </c>
    </row>
    <row r="175" customFormat="false" ht="17.15" hidden="false" customHeight="false" outlineLevel="0" collapsed="false">
      <c r="A175" s="0" t="s">
        <v>469</v>
      </c>
      <c r="B175" s="4" t="s">
        <v>470</v>
      </c>
      <c r="C175" s="0" t="s">
        <v>283</v>
      </c>
      <c r="E175" s="7" t="n">
        <v>107.6</v>
      </c>
      <c r="G175" s="8" t="s">
        <v>33</v>
      </c>
      <c r="H175" s="8" t="s">
        <v>471</v>
      </c>
    </row>
    <row r="176" customFormat="false" ht="17.15" hidden="false" customHeight="false" outlineLevel="0" collapsed="false">
      <c r="A176" s="0" t="s">
        <v>472</v>
      </c>
      <c r="B176" s="4" t="s">
        <v>473</v>
      </c>
      <c r="C176" s="0" t="s">
        <v>283</v>
      </c>
      <c r="E176" s="7" t="n">
        <v>142</v>
      </c>
      <c r="G176" s="8" t="s">
        <v>33</v>
      </c>
      <c r="H176" s="8" t="s">
        <v>471</v>
      </c>
    </row>
    <row r="177" customFormat="false" ht="17.15" hidden="false" customHeight="false" outlineLevel="0" collapsed="false">
      <c r="A177" s="0" t="s">
        <v>474</v>
      </c>
      <c r="B177" s="0" t="s">
        <v>475</v>
      </c>
      <c r="C177" s="0" t="s">
        <v>42</v>
      </c>
      <c r="E177" s="7" t="n">
        <v>0.18</v>
      </c>
      <c r="G177" s="8" t="s">
        <v>224</v>
      </c>
      <c r="H177" s="4" t="s">
        <v>476</v>
      </c>
    </row>
    <row r="178" customFormat="false" ht="17.15" hidden="false" customHeight="false" outlineLevel="0" collapsed="false">
      <c r="A178" s="0" t="s">
        <v>477</v>
      </c>
      <c r="B178" s="0" t="s">
        <v>478</v>
      </c>
      <c r="C178" s="0" t="s">
        <v>42</v>
      </c>
      <c r="E178" s="7" t="n">
        <v>0.57</v>
      </c>
      <c r="G178" s="8" t="s">
        <v>224</v>
      </c>
      <c r="H178" s="4" t="s">
        <v>479</v>
      </c>
    </row>
    <row r="179" customFormat="false" ht="17.15" hidden="false" customHeight="false" outlineLevel="0" collapsed="false">
      <c r="A179" s="10" t="s">
        <v>480</v>
      </c>
      <c r="B179" s="11" t="s">
        <v>481</v>
      </c>
      <c r="C179" s="10" t="s">
        <v>42</v>
      </c>
      <c r="D179" s="10"/>
      <c r="E179" s="12" t="n">
        <v>0.3</v>
      </c>
      <c r="F179" s="10"/>
      <c r="G179" s="10" t="s">
        <v>43</v>
      </c>
      <c r="H179" s="10" t="s">
        <v>482</v>
      </c>
    </row>
    <row r="180" customFormat="false" ht="17.15" hidden="false" customHeight="false" outlineLevel="0" collapsed="false">
      <c r="A180" s="10" t="s">
        <v>483</v>
      </c>
      <c r="B180" s="11" t="s">
        <v>484</v>
      </c>
      <c r="C180" s="10" t="s">
        <v>42</v>
      </c>
      <c r="D180" s="10"/>
      <c r="E180" s="12" t="n">
        <v>0.5</v>
      </c>
      <c r="F180" s="10"/>
      <c r="G180" s="10" t="s">
        <v>43</v>
      </c>
      <c r="H180" s="10" t="s">
        <v>482</v>
      </c>
    </row>
    <row r="181" customFormat="false" ht="17.15" hidden="false" customHeight="false" outlineLevel="0" collapsed="false">
      <c r="A181" s="10" t="s">
        <v>485</v>
      </c>
      <c r="B181" s="11" t="s">
        <v>486</v>
      </c>
      <c r="C181" s="10" t="s">
        <v>42</v>
      </c>
      <c r="D181" s="10"/>
      <c r="E181" s="12" t="n">
        <v>0.2</v>
      </c>
      <c r="F181" s="10"/>
      <c r="G181" s="10" t="s">
        <v>43</v>
      </c>
      <c r="H181" s="10" t="s">
        <v>482</v>
      </c>
    </row>
    <row r="182" customFormat="false" ht="17.15" hidden="false" customHeight="false" outlineLevel="0" collapsed="false">
      <c r="A182" s="10" t="s">
        <v>487</v>
      </c>
      <c r="B182" s="11" t="s">
        <v>488</v>
      </c>
      <c r="C182" s="10" t="s">
        <v>42</v>
      </c>
      <c r="D182" s="10"/>
      <c r="E182" s="12" t="n">
        <v>0.1</v>
      </c>
      <c r="F182" s="10"/>
      <c r="G182" s="10" t="s">
        <v>43</v>
      </c>
      <c r="H182" s="10" t="s">
        <v>489</v>
      </c>
    </row>
    <row r="183" customFormat="false" ht="17.15" hidden="false" customHeight="false" outlineLevel="0" collapsed="false">
      <c r="A183" s="10" t="s">
        <v>490</v>
      </c>
      <c r="B183" s="11" t="s">
        <v>491</v>
      </c>
      <c r="C183" s="10" t="s">
        <v>42</v>
      </c>
      <c r="D183" s="10"/>
      <c r="E183" s="12" t="n">
        <v>0.04</v>
      </c>
      <c r="F183" s="10"/>
      <c r="G183" s="10" t="s">
        <v>43</v>
      </c>
      <c r="H183" s="10" t="s">
        <v>492</v>
      </c>
    </row>
    <row r="184" customFormat="false" ht="17.15" hidden="false" customHeight="false" outlineLevel="0" collapsed="false">
      <c r="A184" s="10" t="s">
        <v>493</v>
      </c>
      <c r="B184" s="10" t="s">
        <v>494</v>
      </c>
      <c r="C184" s="10" t="s">
        <v>42</v>
      </c>
      <c r="D184" s="10"/>
      <c r="E184" s="10" t="n">
        <f aca="false">AVERAGE(0.2671,0.2994,0.3504)</f>
        <v>0.305633333333333</v>
      </c>
      <c r="F184" s="10"/>
      <c r="G184" s="10" t="s">
        <v>128</v>
      </c>
      <c r="H184" s="10" t="s">
        <v>495</v>
      </c>
    </row>
    <row r="185" customFormat="false" ht="17.15" hidden="false" customHeight="false" outlineLevel="0" collapsed="false">
      <c r="A185" s="10" t="s">
        <v>496</v>
      </c>
      <c r="B185" s="11" t="s">
        <v>497</v>
      </c>
      <c r="C185" s="10" t="s">
        <v>42</v>
      </c>
      <c r="D185" s="10"/>
      <c r="E185" s="12" t="n">
        <v>0.5</v>
      </c>
      <c r="F185" s="10"/>
      <c r="G185" s="10" t="s">
        <v>43</v>
      </c>
      <c r="H185" s="10" t="s">
        <v>498</v>
      </c>
    </row>
    <row r="186" customFormat="false" ht="17.15" hidden="false" customHeight="false" outlineLevel="0" collapsed="false">
      <c r="A186" s="10" t="s">
        <v>499</v>
      </c>
      <c r="B186" s="11" t="s">
        <v>500</v>
      </c>
      <c r="C186" s="10" t="s">
        <v>42</v>
      </c>
      <c r="D186" s="10"/>
      <c r="E186" s="10" t="n">
        <f aca="false">AVERAGE(334.25/947.94,343.15/977.45,351.13/1031.47,345.26/1069.99,517.89/1339.26,0.3758,0.449,0.3879,0.4054,0.451)</f>
        <v>0.382256486791746</v>
      </c>
      <c r="F186" s="10"/>
      <c r="G186" s="10" t="s">
        <v>128</v>
      </c>
      <c r="H186" s="10" t="s">
        <v>501</v>
      </c>
    </row>
    <row r="187" customFormat="false" ht="17.15" hidden="false" customHeight="false" outlineLevel="0" collapsed="false">
      <c r="A187" s="10" t="s">
        <v>502</v>
      </c>
      <c r="B187" s="11" t="s">
        <v>503</v>
      </c>
      <c r="C187" s="10" t="s">
        <v>42</v>
      </c>
      <c r="D187" s="10"/>
      <c r="E187" s="10" t="n">
        <f aca="false">tp_g+0.02</f>
        <v>0.06</v>
      </c>
      <c r="F187" s="10"/>
      <c r="G187" s="10" t="s">
        <v>43</v>
      </c>
      <c r="H187" s="11" t="s">
        <v>504</v>
      </c>
    </row>
    <row r="188" customFormat="false" ht="17.15" hidden="false" customHeight="false" outlineLevel="0" collapsed="false">
      <c r="A188" s="10" t="s">
        <v>505</v>
      </c>
      <c r="B188" s="11" t="s">
        <v>506</v>
      </c>
      <c r="C188" s="10" t="s">
        <v>42</v>
      </c>
      <c r="D188" s="10"/>
      <c r="E188" s="10" t="n">
        <f aca="false">tp_g</f>
        <v>0.04</v>
      </c>
      <c r="F188" s="10"/>
      <c r="G188" s="10" t="s">
        <v>43</v>
      </c>
      <c r="H188" s="11" t="s">
        <v>504</v>
      </c>
    </row>
    <row r="189" customFormat="false" ht="17.15" hidden="false" customHeight="false" outlineLevel="0" collapsed="false">
      <c r="A189" s="10" t="s">
        <v>507</v>
      </c>
      <c r="B189" s="11" t="s">
        <v>508</v>
      </c>
      <c r="C189" s="10" t="s">
        <v>42</v>
      </c>
      <c r="D189" s="10"/>
      <c r="E189" s="10" t="n">
        <f aca="false">tp_g-0.02</f>
        <v>0.02</v>
      </c>
      <c r="F189" s="10"/>
      <c r="G189" s="10" t="s">
        <v>43</v>
      </c>
      <c r="H189" s="11" t="s">
        <v>504</v>
      </c>
    </row>
    <row r="190" customFormat="false" ht="17.15" hidden="false" customHeight="false" outlineLevel="0" collapsed="false">
      <c r="A190" s="10" t="s">
        <v>509</v>
      </c>
      <c r="B190" s="11" t="s">
        <v>510</v>
      </c>
      <c r="C190" s="10" t="s">
        <v>42</v>
      </c>
      <c r="D190" s="10"/>
      <c r="E190" s="13" t="n">
        <f aca="false">PL!E21</f>
        <v>0.476653526663019</v>
      </c>
      <c r="F190" s="10"/>
      <c r="G190" s="10" t="s">
        <v>128</v>
      </c>
      <c r="H190" s="10" t="s">
        <v>511</v>
      </c>
    </row>
    <row r="191" customFormat="false" ht="17.15" hidden="false" customHeight="false" outlineLevel="0" collapsed="false">
      <c r="A191" s="10" t="s">
        <v>512</v>
      </c>
      <c r="B191" s="11" t="s">
        <v>513</v>
      </c>
      <c r="C191" s="10" t="s">
        <v>42</v>
      </c>
      <c r="D191" s="10"/>
      <c r="E191" s="12" t="n">
        <f aca="false">(PL!H21+nim10)/2</f>
        <v>0.403217197920244</v>
      </c>
      <c r="F191" s="10"/>
      <c r="G191" s="10" t="s">
        <v>128</v>
      </c>
      <c r="H191" s="10" t="s">
        <v>511</v>
      </c>
    </row>
    <row r="192" customFormat="false" ht="17.15" hidden="false" customHeight="false" outlineLevel="0" collapsed="false">
      <c r="A192" s="10" t="s">
        <v>514</v>
      </c>
      <c r="B192" s="11" t="s">
        <v>515</v>
      </c>
      <c r="C192" s="10" t="s">
        <v>42</v>
      </c>
      <c r="D192" s="10"/>
      <c r="E192" s="12" t="n">
        <f aca="false">nim10</f>
        <v>0.382256486791746</v>
      </c>
      <c r="F192" s="10"/>
      <c r="G192" s="10" t="s">
        <v>128</v>
      </c>
      <c r="H192" s="10" t="s">
        <v>511</v>
      </c>
    </row>
    <row r="193" customFormat="false" ht="17.15" hidden="false" customHeight="false" outlineLevel="0" collapsed="false">
      <c r="A193" s="10" t="s">
        <v>516</v>
      </c>
      <c r="B193" s="11" t="s">
        <v>517</v>
      </c>
      <c r="C193" s="10" t="s">
        <v>283</v>
      </c>
      <c r="D193" s="12" t="n">
        <v>2650</v>
      </c>
      <c r="E193" s="12" t="n">
        <v>3390.43</v>
      </c>
      <c r="F193" s="12" t="n">
        <v>5000</v>
      </c>
      <c r="G193" s="10" t="s">
        <v>33</v>
      </c>
      <c r="H193" s="10" t="s">
        <v>518</v>
      </c>
    </row>
    <row r="194" customFormat="false" ht="17.15" hidden="false" customHeight="false" outlineLevel="0" collapsed="false">
      <c r="A194" s="10" t="s">
        <v>519</v>
      </c>
      <c r="B194" s="11" t="s">
        <v>520</v>
      </c>
      <c r="C194" s="10" t="s">
        <v>283</v>
      </c>
      <c r="D194" s="10"/>
      <c r="E194" s="12" t="n">
        <v>148.1</v>
      </c>
      <c r="F194" s="10"/>
      <c r="G194" s="10" t="s">
        <v>33</v>
      </c>
      <c r="H194" s="10" t="s">
        <v>521</v>
      </c>
    </row>
    <row r="195" customFormat="false" ht="17.15" hidden="false" customHeight="false" outlineLevel="0" collapsed="false">
      <c r="A195" s="10" t="s">
        <v>522</v>
      </c>
      <c r="B195" s="11" t="s">
        <v>523</v>
      </c>
      <c r="C195" s="10" t="s">
        <v>283</v>
      </c>
      <c r="D195" s="10"/>
      <c r="E195" s="12" t="n">
        <v>188.2</v>
      </c>
      <c r="F195" s="10"/>
      <c r="G195" s="10" t="s">
        <v>33</v>
      </c>
      <c r="H195" s="10" t="s">
        <v>524</v>
      </c>
    </row>
    <row r="196" customFormat="false" ht="17.15" hidden="false" customHeight="false" outlineLevel="0" collapsed="false">
      <c r="A196" s="0" t="s">
        <v>525</v>
      </c>
      <c r="B196" s="4" t="s">
        <v>526</v>
      </c>
      <c r="C196" s="0" t="s">
        <v>42</v>
      </c>
      <c r="E196" s="14" t="n">
        <f aca="false">681.649/3809.054</f>
        <v>0.178954932117003</v>
      </c>
      <c r="G196" s="8" t="s">
        <v>43</v>
      </c>
      <c r="H196" s="8" t="s">
        <v>527</v>
      </c>
      <c r="I196" s="4" t="s">
        <v>528</v>
      </c>
    </row>
    <row r="197" customFormat="false" ht="17.15" hidden="false" customHeight="false" outlineLevel="0" collapsed="false">
      <c r="A197" s="0" t="s">
        <v>529</v>
      </c>
      <c r="B197" s="4" t="s">
        <v>530</v>
      </c>
      <c r="C197" s="0" t="s">
        <v>42</v>
      </c>
      <c r="E197" s="14" t="n">
        <f aca="false">1272.411/3809.054</f>
        <v>0.334049084103297</v>
      </c>
      <c r="G197" s="8" t="s">
        <v>43</v>
      </c>
      <c r="H197" s="8" t="s">
        <v>531</v>
      </c>
      <c r="I197" s="4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6" style="0" width="40"/>
  </cols>
  <sheetData>
    <row r="1" customFormat="false" ht="17.15" hidden="false" customHeight="false" outlineLevel="0" collapsed="false">
      <c r="A1" s="0" t="s">
        <v>532</v>
      </c>
    </row>
    <row r="3" customFormat="false" ht="15" hidden="false" customHeight="false" outlineLevel="0" collapsed="false">
      <c r="A3" s="5" t="s">
        <v>22</v>
      </c>
      <c r="B3" s="15" t="s">
        <v>533</v>
      </c>
      <c r="C3" s="15" t="s">
        <v>534</v>
      </c>
      <c r="D3" s="15" t="s">
        <v>535</v>
      </c>
      <c r="E3" s="15" t="s">
        <v>536</v>
      </c>
      <c r="F3" s="5" t="s">
        <v>537</v>
      </c>
    </row>
    <row r="4" customFormat="false" ht="17.15" hidden="false" customHeight="false" outlineLevel="0" collapsed="false">
      <c r="A4" s="3" t="s">
        <v>538</v>
      </c>
      <c r="B4" s="16" t="n">
        <f aca="false">u_bw_26/pp_GB*1000</f>
        <v>385.714285714286</v>
      </c>
      <c r="C4" s="16" t="n">
        <f aca="false">u_bw_27/pp_GB*1000</f>
        <v>171.428571428571</v>
      </c>
      <c r="D4" s="16" t="n">
        <f aca="false">u_bw_28*um28_A/pp_GB*1000</f>
        <v>35.7142857142857</v>
      </c>
      <c r="E4" s="16" t="n">
        <f aca="false">u_bw_28*(1+g29_bw)*um29_A/pp_GB*1000</f>
        <v>17.8571428571429</v>
      </c>
    </row>
    <row r="5" customFormat="false" ht="15" hidden="false" customHeight="false" outlineLevel="0" collapsed="false">
      <c r="A5" s="3" t="s">
        <v>539</v>
      </c>
      <c r="B5" s="16" t="n">
        <f aca="false">u_rb_26/pp_VR*1000</f>
        <v>212.5</v>
      </c>
      <c r="C5" s="16" t="n">
        <f aca="false">u_rb_27/pp_VR*1000</f>
        <v>875</v>
      </c>
      <c r="D5" s="16" t="n">
        <f aca="false">u_rb_28*um28_A/pp_VR*1000</f>
        <v>875</v>
      </c>
      <c r="E5" s="16" t="n">
        <f aca="false">u_rb_28*(1+g29_rb)*um29_A/pp_VR*1000</f>
        <v>1006.25</v>
      </c>
    </row>
    <row r="6" customFormat="false" ht="15" hidden="false" customHeight="false" outlineLevel="0" collapsed="false">
      <c r="A6" s="3" t="s">
        <v>540</v>
      </c>
      <c r="B6" s="16" t="n">
        <f aca="false">u_ru_26/pp_RU*1000</f>
        <v>0</v>
      </c>
      <c r="C6" s="16" t="n">
        <f aca="false">u_ru_27/pp_RU*1000</f>
        <v>75</v>
      </c>
      <c r="D6" s="16" t="n">
        <f aca="false">u_ru_28*um28_A/pp_RU*1000</f>
        <v>500</v>
      </c>
      <c r="E6" s="16" t="n">
        <f aca="false">u_ru_28*(1+g29_ru)*um29_A/pp_RU*1000</f>
        <v>575</v>
      </c>
    </row>
    <row r="7" customFormat="false" ht="17.15" hidden="false" customHeight="false" outlineLevel="0" collapsed="false">
      <c r="A7" s="3" t="s">
        <v>541</v>
      </c>
      <c r="B7" s="16" t="n">
        <f aca="false">u_hp_26/pp_HP*1000</f>
        <v>17.2413793103448</v>
      </c>
      <c r="C7" s="16" t="n">
        <f aca="false">u_hp_27/pp_HP*1000</f>
        <v>0</v>
      </c>
      <c r="D7" s="16" t="n">
        <f aca="false">u_hp_28*um28_A/pp_HP*1000</f>
        <v>0</v>
      </c>
      <c r="E7" s="16" t="n">
        <f aca="false">u_hp_28*(1+g29_hp)*um29_A/pp_HP*1000</f>
        <v>0</v>
      </c>
    </row>
    <row r="8" customFormat="false" ht="15" hidden="false" customHeight="false" outlineLevel="0" collapsed="false">
      <c r="A8" s="3" t="s">
        <v>542</v>
      </c>
      <c r="B8" s="16" t="n">
        <f aca="false">u_amd_26/pp_AMD8*1000</f>
        <v>88.2352941176471</v>
      </c>
      <c r="C8" s="16" t="n">
        <f aca="false">u_amd_27/pp_AMDR*1000</f>
        <v>250</v>
      </c>
      <c r="D8" s="16" t="n">
        <f aca="false">u_amd_28*um28_A/pp_AMDR*1000</f>
        <v>333.333333333333</v>
      </c>
      <c r="E8" s="16" t="n">
        <f aca="false">u_amd_28*(1+g29_amd)*um29_A/pp_AMDR*1000</f>
        <v>383.333333333333</v>
      </c>
    </row>
    <row r="9" customFormat="false" ht="15" hidden="false" customHeight="false" outlineLevel="0" collapsed="false">
      <c r="A9" s="3" t="s">
        <v>543</v>
      </c>
      <c r="B9" s="16" t="n">
        <f aca="false">u_tpu_26/pp_TPU7*1000</f>
        <v>137.5</v>
      </c>
      <c r="C9" s="16" t="n">
        <f aca="false">u_tpu_27/pp_TPU8*1000</f>
        <v>229.166666666667</v>
      </c>
      <c r="D9" s="16" t="n">
        <f aca="false">u_tpu_28*um28_A/pp_TPU8*1000</f>
        <v>291.666666666667</v>
      </c>
      <c r="E9" s="16" t="n">
        <f aca="false">u_tpu_28*(1+g29_tpu)*um29_A/pp_TPU8*1000</f>
        <v>335.416666666667</v>
      </c>
    </row>
    <row r="10" customFormat="false" ht="15" hidden="false" customHeight="false" outlineLevel="0" collapsed="false">
      <c r="A10" s="3" t="s">
        <v>544</v>
      </c>
      <c r="B10" s="16" t="n">
        <f aca="false">u_trn_26/pp_TRN*1000</f>
        <v>66.6666666666667</v>
      </c>
      <c r="C10" s="16" t="n">
        <f aca="false">u_trn_27/pp_TRN*1000</f>
        <v>83.3333333333333</v>
      </c>
      <c r="D10" s="16" t="n">
        <f aca="false">u_trn_28*um28_A/pp_TRN*1000</f>
        <v>100</v>
      </c>
      <c r="E10" s="16" t="n">
        <f aca="false">u_trn_28*(1+g29_trn)*um29_A/pp_TRN*1000</f>
        <v>115</v>
      </c>
    </row>
    <row r="11" customFormat="false" ht="17.15" hidden="false" customHeight="false" outlineLevel="0" collapsed="false">
      <c r="A11" s="2" t="s">
        <v>545</v>
      </c>
      <c r="B11" s="16" t="n">
        <f aca="false">u_oth_26/pp_ASIC*1000</f>
        <v>50</v>
      </c>
      <c r="C11" s="16" t="n">
        <f aca="false">u_oth_27/pp_ASIC*1000</f>
        <v>225</v>
      </c>
      <c r="D11" s="16" t="n">
        <f aca="false">u_oth_28*um28_A/pp_ASIC*1000</f>
        <v>250</v>
      </c>
      <c r="E11" s="16" t="n">
        <f aca="false">u_oth_28*(1+g29_oth)*um29_A/pp_ASIC*1000</f>
        <v>287.5</v>
      </c>
    </row>
    <row r="12" customFormat="false" ht="17.15" hidden="false" customHeight="false" outlineLevel="0" collapsed="false">
      <c r="A12" s="2" t="s">
        <v>546</v>
      </c>
      <c r="B12" s="16" t="n">
        <f aca="false">cow_oth26</f>
        <v>150</v>
      </c>
      <c r="C12" s="16" t="n">
        <f aca="false">B12*(1+cow_oth_g)</f>
        <v>187.5</v>
      </c>
      <c r="D12" s="16" t="n">
        <f aca="false">C12*(1+cow_oth_g)</f>
        <v>234.375</v>
      </c>
      <c r="E12" s="16" t="n">
        <f aca="false">D12*(1+cow_oth_g)</f>
        <v>292.96875</v>
      </c>
    </row>
    <row r="13" customFormat="false" ht="15" hidden="false" customHeight="false" outlineLevel="0" collapsed="false">
      <c r="A13" s="1" t="s">
        <v>547</v>
      </c>
      <c r="B13" s="16" t="n">
        <f aca="false">SUM(B4:B12)</f>
        <v>1107.85762580894</v>
      </c>
      <c r="C13" s="16" t="n">
        <f aca="false">SUM(C4:C12)</f>
        <v>2096.42857142857</v>
      </c>
      <c r="D13" s="16" t="n">
        <f aca="false">SUM(D4:D12)</f>
        <v>2620.08928571429</v>
      </c>
      <c r="E13" s="16" t="n">
        <f aca="false">SUM(E4:E12)</f>
        <v>3013.32589285714</v>
      </c>
    </row>
    <row r="14" customFormat="false" ht="17.15" hidden="false" customHeight="false" outlineLevel="0" collapsed="false">
      <c r="A14" s="2" t="s">
        <v>548</v>
      </c>
      <c r="B14" s="16" t="n">
        <f aca="false">B4+B5+B6+B7</f>
        <v>615.455665024631</v>
      </c>
      <c r="C14" s="16" t="n">
        <f aca="false">C4+C5+C6+C7</f>
        <v>1121.42857142857</v>
      </c>
      <c r="D14" s="16" t="n">
        <f aca="false">D4+D5+D6+D7</f>
        <v>1410.71428571429</v>
      </c>
      <c r="E14" s="16" t="n">
        <f aca="false">E4+E5+E6+E7</f>
        <v>1599.10714285714</v>
      </c>
    </row>
    <row r="15" customFormat="false" ht="17.15" hidden="false" customHeight="false" outlineLevel="0" collapsed="false">
      <c r="A15" s="2" t="s">
        <v>549</v>
      </c>
      <c r="B15" s="16" t="n">
        <f aca="false">(cap_end25+cap_end26)/2*12</f>
        <v>1245</v>
      </c>
      <c r="C15" s="16" t="n">
        <f aca="false">(cap_end26+cap_end27)/2*12</f>
        <v>1980</v>
      </c>
      <c r="D15" s="16" t="n">
        <f aca="false">(cap_end27+cap_end28)/2*12</f>
        <v>2760</v>
      </c>
      <c r="E15" s="16" t="n">
        <f aca="false">(cap_end28+cap_end29)/2*12</f>
        <v>3480</v>
      </c>
    </row>
    <row r="16" customFormat="false" ht="15" hidden="false" customHeight="false" outlineLevel="0" collapsed="false">
      <c r="A16" s="2" t="s">
        <v>550</v>
      </c>
      <c r="B16" s="16" t="n">
        <f aca="false">B15*(1+osat)</f>
        <v>1369.5</v>
      </c>
      <c r="C16" s="16" t="n">
        <f aca="false">C15*(1+osat)</f>
        <v>2178</v>
      </c>
      <c r="D16" s="16" t="n">
        <f aca="false">D15*(1+osat)</f>
        <v>3036</v>
      </c>
      <c r="E16" s="16" t="n">
        <f aca="false">E15*(1+osat)</f>
        <v>3828</v>
      </c>
    </row>
    <row r="17" customFormat="false" ht="17.15" hidden="false" customHeight="false" outlineLevel="0" collapsed="false">
      <c r="A17" s="2" t="s">
        <v>551</v>
      </c>
      <c r="B17" s="17" t="n">
        <f aca="false">B13/B16</f>
        <v>0.808950438706787</v>
      </c>
      <c r="C17" s="17" t="n">
        <f aca="false">C13/C16</f>
        <v>0.962547553456644</v>
      </c>
      <c r="D17" s="17" t="n">
        <f aca="false">D13/D16</f>
        <v>0.863007011104837</v>
      </c>
      <c r="E17" s="17" t="n">
        <f aca="false">E13/E16</f>
        <v>0.787180222794447</v>
      </c>
      <c r="F17" s="8" t="s">
        <v>552</v>
      </c>
    </row>
    <row r="18" customFormat="false" ht="17.15" hidden="false" customHeight="false" outlineLevel="0" collapsed="false">
      <c r="A18" s="2" t="s">
        <v>553</v>
      </c>
      <c r="C18" s="17" t="n">
        <f aca="false">hbm_gap27</f>
        <v>0.210219254415343</v>
      </c>
      <c r="F18" s="8" t="s">
        <v>554</v>
      </c>
    </row>
    <row r="19" customFormat="false" ht="17.15" hidden="false" customHeight="false" outlineLevel="0" collapsed="false">
      <c r="A19" s="2" t="s">
        <v>555</v>
      </c>
      <c r="B19" s="16" t="n">
        <f aca="false">ms_dem26</f>
        <v>1394</v>
      </c>
      <c r="C19" s="16" t="n">
        <f aca="false">ms_dem27</f>
        <v>2509</v>
      </c>
    </row>
    <row r="20" customFormat="false" ht="17.15" hidden="false" customHeight="false" outlineLevel="0" collapsed="false">
      <c r="A20" s="2" t="s">
        <v>556</v>
      </c>
      <c r="B20" s="17" t="n">
        <f aca="false">B13/B19-1</f>
        <v>-0.205267126392436</v>
      </c>
      <c r="C20" s="17" t="n">
        <f aca="false">C13/C19-1</f>
        <v>-0.16443659966976</v>
      </c>
    </row>
    <row r="21" customFormat="false" ht="17.15" hidden="false" customHeight="false" outlineLevel="0" collapsed="false">
      <c r="A21" s="3" t="s">
        <v>557</v>
      </c>
      <c r="B21" s="17" t="n">
        <f aca="false">B14/660-1</f>
        <v>-0.0674914166293474</v>
      </c>
      <c r="C21" s="17" t="n">
        <f aca="false">C14/1222-1</f>
        <v>-0.082300678045359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0"/>
    <col collapsed="false" customWidth="true" hidden="false" outlineLevel="0" max="20" min="12" style="0" width="11"/>
  </cols>
  <sheetData>
    <row r="1" customFormat="false" ht="17.15" hidden="false" customHeight="false" outlineLevel="0" collapsed="false">
      <c r="A1" s="0" t="s">
        <v>558</v>
      </c>
    </row>
    <row r="3" customFormat="false" ht="17.15" hidden="false" customHeight="false" outlineLevel="0" collapsed="false">
      <c r="A3" s="5" t="s">
        <v>22</v>
      </c>
      <c r="B3" s="15" t="s">
        <v>533</v>
      </c>
      <c r="C3" s="15" t="s">
        <v>559</v>
      </c>
      <c r="D3" s="15" t="s">
        <v>560</v>
      </c>
      <c r="E3" s="15" t="s">
        <v>561</v>
      </c>
      <c r="F3" s="15" t="s">
        <v>562</v>
      </c>
      <c r="G3" s="15" t="s">
        <v>563</v>
      </c>
      <c r="H3" s="15" t="s">
        <v>564</v>
      </c>
      <c r="I3" s="15" t="s">
        <v>565</v>
      </c>
      <c r="J3" s="15" t="s">
        <v>566</v>
      </c>
      <c r="K3" s="15" t="s">
        <v>567</v>
      </c>
      <c r="L3" s="15" t="s">
        <v>568</v>
      </c>
      <c r="M3" s="15" t="s">
        <v>569</v>
      </c>
      <c r="N3" s="15" t="s">
        <v>570</v>
      </c>
      <c r="O3" s="15" t="s">
        <v>571</v>
      </c>
      <c r="P3" s="15" t="s">
        <v>572</v>
      </c>
      <c r="Q3" s="15" t="s">
        <v>573</v>
      </c>
      <c r="R3" s="15" t="s">
        <v>574</v>
      </c>
      <c r="S3" s="15" t="s">
        <v>575</v>
      </c>
      <c r="T3" s="15" t="s">
        <v>576</v>
      </c>
    </row>
    <row r="4" customFormat="false" ht="17.15" hidden="false" customHeight="false" outlineLevel="0" collapsed="false">
      <c r="A4" s="0" t="s">
        <v>577</v>
      </c>
      <c r="B4" s="18" t="n">
        <f aca="false">(u_bw_26*ct_GB+u_rb_26*ct_VR+u_ru_26*ct_RU+u_hp_26*ct_HP+u_amd_26*ct_AMD8+u_tpu_26*ct_TPU7+u_trn_26*ct_TRN+u_oth_26*ct_ASIC)*1</f>
        <v>28.605</v>
      </c>
      <c r="C4" s="18" t="n">
        <f aca="false">(u_bw_27*ct_GB+u_rb_27*ct_VR+u_ru_27*ct_RU+u_hp_27*ct_HP+u_amd_27*ct_AMDR+u_tpu_27*ct_TPU8+u_trn_27*ct_TRN+u_oth_27*ct_ASIC)*(1+px27)</f>
        <v>55.6864</v>
      </c>
      <c r="D4" s="18" t="n">
        <f aca="false">(u_bw_28*um28_A*ct_GB+u_rb_28*um28_A*ct_VR+u_ru_28*um28_A*ct_RU+u_hp_28*um28_A*ct_HP+u_amd_28*um28_A*ct_AMDR+u_tpu_28*um28_A*ct_TPU8+u_trn_28*um28_A*ct_TRN+u_oth_28*um28_A*ct_ASIC)*(1+px27)*(1+px28)</f>
        <v>73.72512</v>
      </c>
      <c r="E4" s="18" t="n">
        <f aca="false">(u_bw_28*(1+g29_bw)*um29_A*ct_GB+u_rb_28*(1+g29_rb)*um29_A*ct_VR+u_ru_28*(1+g29_ru)*um29_A*ct_RU+u_hp_28*(1+g29_hp)*um29_A*ct_HP+u_amd_28*(1+g29_amd)*um29_A*ct_AMDR+u_tpu_28*(1+g29_tpu)*um29_A*ct_TPU8+u_trn_28*(1+g29_trn)*um29_A*ct_TRN+u_oth_28*(1+g29_oth)*um29_A*ct_ASIC)*(1+px27)*(1+px28)*(1+px29)</f>
        <v>88.0736976</v>
      </c>
      <c r="F4" s="18" t="n">
        <f aca="false">(u_bw_27*ct_GB+u_rb_27*ct_VR+u_ru_27*ct_RU+u_hp_27*ct_HP+u_amd_27*ct_AMDR+u_tpu_27*ct_TPU8+u_trn_27*ct_TRN+u_oth_27*ct_ASIC)*(1+px27)</f>
        <v>55.6864</v>
      </c>
      <c r="G4" s="18" t="n">
        <f aca="false">(u_bw_28*um28_B*ct_GB+u_rb_28*um28_B*ct_VR+u_ru_28*um28_B*ct_RU+u_hp_28*um28_B*ct_HP+u_amd_28*um28_B*ct_AMDR+u_tpu_28*um28_B*ct_TPU8+u_trn_28*um28_B*ct_TRN+u_oth_28*um28_B*ct_ASIC)*(1+px27)*(1+px28)</f>
        <v>58.980096</v>
      </c>
      <c r="H4" s="18" t="n">
        <f aca="false">(u_bw_28*(1+g29_bw)*um29_B*ct_GB+u_rb_28*(1+g29_rb)*um29_B*ct_VR+u_ru_28*(1+g29_ru)*um29_B*ct_RU+u_hp_28*(1+g29_hp)*um29_B*ct_HP+u_amd_28*(1+g29_amd)*um29_B*ct_AMDR+u_tpu_28*(1+g29_tpu)*um29_B*ct_TPU8+u_trn_28*(1+g29_trn)*um29_B*ct_TRN+u_oth_28*(1+g29_oth)*um29_B*ct_ASIC)*(1+px27)*(1+px28)*(1+px29)</f>
        <v>74.86264296</v>
      </c>
      <c r="I4" s="18" t="n">
        <f aca="false">(u_bw_27*ct_GB+u_rb_27*ct_VR+u_ru_27*ct_RU+u_hp_27*ct_HP+u_amd_27*ct_AMDR+u_tpu_27*ct_TPU8+u_trn_27*ct_TRN+u_oth_27*ct_ASIC)*(1+px27)</f>
        <v>55.6864</v>
      </c>
      <c r="J4" s="18" t="n">
        <f aca="false">(u_bw_28*um28_C*ct_GB+u_rb_28*um28_C*ct_VR+u_ru_28*um28_C*ct_RU+u_hp_28*um28_C*ct_HP+u_amd_28*um28_C*ct_AMDR+u_tpu_28*um28_C*ct_TPU8+u_trn_28*um28_C*ct_TRN+u_oth_28*um28_C*ct_ASIC)*(1+px27)*(1+px28)</f>
        <v>44.235072</v>
      </c>
      <c r="K4" s="18" t="n">
        <f aca="false">(u_bw_28*(1+g29_bw)*um29_C*ct_GB+u_rb_28*(1+g29_rb)*um29_C*ct_VR+u_ru_28*(1+g29_ru)*um29_C*ct_RU+u_hp_28*(1+g29_hp)*um29_C*ct_HP+u_amd_28*(1+g29_amd)*um29_C*ct_AMDR+u_tpu_28*(1+g29_tpu)*um29_C*ct_TPU8+u_trn_28*(1+g29_trn)*um29_C*ct_TRN+u_oth_28*(1+g29_oth)*um29_C*ct_ASIC)*(1+px27)*(1+px28)*(1+px29)</f>
        <v>52.84421856</v>
      </c>
    </row>
    <row r="5" customFormat="false" ht="17.15" hidden="false" customHeight="false" outlineLevel="0" collapsed="false">
      <c r="A5" s="0" t="s">
        <v>578</v>
      </c>
      <c r="B5" s="18" t="n">
        <f aca="false">B4*(1+ai_oth)</f>
        <v>34.326</v>
      </c>
      <c r="C5" s="18" t="n">
        <f aca="false">C4*(1+ai_oth)</f>
        <v>66.82368</v>
      </c>
      <c r="D5" s="18" t="n">
        <f aca="false">D4*(1+ai_oth)</f>
        <v>88.470144</v>
      </c>
      <c r="E5" s="18" t="n">
        <f aca="false">E4*(1+ai_oth)</f>
        <v>105.68843712</v>
      </c>
      <c r="F5" s="18" t="n">
        <f aca="false">F4*(1+ai_oth)</f>
        <v>66.82368</v>
      </c>
      <c r="G5" s="18" t="n">
        <f aca="false">G4*(1+ai_oth)</f>
        <v>70.7761152</v>
      </c>
      <c r="H5" s="18" t="n">
        <f aca="false">H4*(1+ai_oth)</f>
        <v>89.835171552</v>
      </c>
      <c r="I5" s="18" t="n">
        <f aca="false">I4*(1+ai_oth)</f>
        <v>66.82368</v>
      </c>
      <c r="J5" s="18" t="n">
        <f aca="false">J4*(1+ai_oth)</f>
        <v>53.0820864</v>
      </c>
      <c r="K5" s="18" t="n">
        <f aca="false">K4*(1+ai_oth)</f>
        <v>63.413062272</v>
      </c>
    </row>
    <row r="6" customFormat="false" ht="17.15" hidden="false" customHeight="false" outlineLevel="0" collapsed="false">
      <c r="A6" s="4" t="s">
        <v>579</v>
      </c>
      <c r="B6" s="18" t="n">
        <f aca="false">B7-B5</f>
        <v>141.794</v>
      </c>
      <c r="C6" s="18" t="n">
        <f aca="false">C29+C30+C31+C32+C33+C34</f>
        <v>158.934882</v>
      </c>
      <c r="D6" s="18" t="n">
        <f aca="false">D29+D30+D31+D32+D33+D34</f>
        <v>174.99733218</v>
      </c>
      <c r="E6" s="18" t="n">
        <f aca="false">E29+E30+E31+E32+E33+E34</f>
        <v>189.2144366682</v>
      </c>
      <c r="F6" s="18" t="n">
        <f aca="false">F29+F30+F31+F32+F33+F34</f>
        <v>158.934882</v>
      </c>
      <c r="G6" s="18" t="n">
        <f aca="false">G29+G30+G31+G32+G33+G34</f>
        <v>167.05058808</v>
      </c>
      <c r="H6" s="18" t="n">
        <f aca="false">H29+H30+H31+H32+H33+H34</f>
        <v>172.2709755372</v>
      </c>
      <c r="I6" s="18" t="n">
        <f aca="false">I29+I30+I31+I32+I33+I34</f>
        <v>158.934882</v>
      </c>
      <c r="J6" s="18" t="n">
        <f aca="false">J29+J30+J31+J32+J33+J34</f>
        <v>159.10384398</v>
      </c>
      <c r="K6" s="18" t="n">
        <f aca="false">K29+K30+K31+K32+K33+K34</f>
        <v>154.5311503764</v>
      </c>
    </row>
    <row r="7" customFormat="false" ht="15" hidden="false" customHeight="false" outlineLevel="0" collapsed="false">
      <c r="A7" s="4" t="s">
        <v>580</v>
      </c>
      <c r="B7" s="18" t="n">
        <f aca="false">rev26</f>
        <v>176.12</v>
      </c>
      <c r="C7" s="18" t="n">
        <f aca="false">C5+C6</f>
        <v>225.758562</v>
      </c>
      <c r="D7" s="18" t="n">
        <f aca="false">D5+D6</f>
        <v>263.46747618</v>
      </c>
      <c r="E7" s="18" t="n">
        <f aca="false">E5+E6</f>
        <v>294.9028737882</v>
      </c>
      <c r="F7" s="18" t="n">
        <f aca="false">F5+F6</f>
        <v>225.758562</v>
      </c>
      <c r="G7" s="18" t="n">
        <f aca="false">G5+G6</f>
        <v>237.82670328</v>
      </c>
      <c r="H7" s="18" t="n">
        <f aca="false">H5+H6</f>
        <v>262.1061470892</v>
      </c>
      <c r="I7" s="18" t="n">
        <f aca="false">I5+I6</f>
        <v>225.758562</v>
      </c>
      <c r="J7" s="18" t="n">
        <f aca="false">J5+J6</f>
        <v>212.18593038</v>
      </c>
      <c r="K7" s="18" t="n">
        <f aca="false">K5+K6</f>
        <v>217.9442126484</v>
      </c>
      <c r="L7" s="19" t="n">
        <f aca="false">E7*(1+L20)</f>
        <v>324.258321470765</v>
      </c>
      <c r="M7" s="19" t="n">
        <f aca="false">L7*(1+M20)</f>
        <v>350.12485618215</v>
      </c>
      <c r="N7" s="19" t="n">
        <f aca="false">M7*(1+N20)</f>
        <v>371.132347553079</v>
      </c>
      <c r="O7" s="19" t="n">
        <f aca="false">H7*(1+O20)</f>
        <v>283.439631184329</v>
      </c>
      <c r="P7" s="19" t="n">
        <f aca="false">O7*(1+P20)</f>
        <v>300.64335904504</v>
      </c>
      <c r="Q7" s="19" t="n">
        <f aca="false">P7*(1+Q20)</f>
        <v>312.669093406841</v>
      </c>
      <c r="R7" s="19" t="n">
        <f aca="false">K7*(1+R20)</f>
        <v>223.340207401478</v>
      </c>
      <c r="S7" s="19" t="n">
        <f aca="false">R7*(1+S20)</f>
        <v>228.338405504359</v>
      </c>
      <c r="T7" s="19" t="n">
        <f aca="false">S7*(1+T20)</f>
        <v>232.905173614446</v>
      </c>
    </row>
    <row r="8" customFormat="false" ht="17.15" hidden="false" customHeight="false" outlineLevel="0" collapsed="false">
      <c r="A8" s="0" t="s">
        <v>581</v>
      </c>
      <c r="B8" s="14" t="n">
        <f aca="false">B5/B7</f>
        <v>0.194901203724733</v>
      </c>
      <c r="C8" s="14" t="n">
        <f aca="false">C5/C7</f>
        <v>0.295996215638546</v>
      </c>
      <c r="D8" s="14" t="n">
        <f aca="false">D5/D7</f>
        <v>0.335791518872552</v>
      </c>
      <c r="E8" s="14" t="n">
        <f aca="false">E5/E7</f>
        <v>0.358383883352407</v>
      </c>
      <c r="F8" s="14" t="n">
        <f aca="false">F5/F7</f>
        <v>0.295996215638546</v>
      </c>
      <c r="G8" s="14" t="n">
        <f aca="false">G5/G7</f>
        <v>0.297595325604263</v>
      </c>
      <c r="H8" s="14" t="n">
        <f aca="false">H5/H7</f>
        <v>0.342743474541356</v>
      </c>
      <c r="I8" s="14" t="n">
        <f aca="false">I5/I7</f>
        <v>0.295996215638546</v>
      </c>
      <c r="J8" s="14" t="n">
        <f aca="false">J5/J7</f>
        <v>0.250167795314874</v>
      </c>
      <c r="K8" s="14" t="n">
        <f aca="false">K5/K7</f>
        <v>0.290960064969936</v>
      </c>
    </row>
    <row r="9" customFormat="false" ht="15" hidden="false" customHeight="false" outlineLevel="0" collapsed="false">
      <c r="A9" s="4" t="s">
        <v>582</v>
      </c>
      <c r="B9" s="14" t="n">
        <f aca="false">gm26</f>
        <v>0.665334900583875</v>
      </c>
      <c r="C9" s="14" t="n">
        <f aca="false">gm27_A</f>
        <v>0.64</v>
      </c>
      <c r="D9" s="14" t="n">
        <f aca="false">gm28_A</f>
        <v>0.63</v>
      </c>
      <c r="E9" s="14" t="n">
        <f aca="false">gm29_A</f>
        <v>0.62</v>
      </c>
      <c r="F9" s="14" t="n">
        <f aca="false">gm27_B</f>
        <v>0.64</v>
      </c>
      <c r="G9" s="14" t="n">
        <f aca="false">gm28_B</f>
        <v>0.58</v>
      </c>
      <c r="H9" s="14" t="n">
        <f aca="false">gm29_B</f>
        <v>0.56</v>
      </c>
      <c r="I9" s="14" t="n">
        <f aca="false">gm27_C</f>
        <v>0.64</v>
      </c>
      <c r="J9" s="14" t="n">
        <f aca="false">gm28_C</f>
        <v>0.54</v>
      </c>
      <c r="K9" s="14" t="n">
        <f aca="false">gm29_C</f>
        <v>0.52</v>
      </c>
    </row>
    <row r="10" customFormat="false" ht="15" hidden="false" customHeight="false" outlineLevel="0" collapsed="false">
      <c r="A10" s="4" t="s">
        <v>583</v>
      </c>
      <c r="B10" s="18" t="n">
        <f aca="false">B7*B9</f>
        <v>117.178782690832</v>
      </c>
      <c r="C10" s="18" t="n">
        <f aca="false">C7*C9</f>
        <v>144.48547968</v>
      </c>
      <c r="D10" s="18" t="n">
        <f aca="false">D7*D9</f>
        <v>165.9845099934</v>
      </c>
      <c r="E10" s="18" t="n">
        <f aca="false">E7*E9</f>
        <v>182.839781748684</v>
      </c>
      <c r="F10" s="18" t="n">
        <f aca="false">F7*F9</f>
        <v>144.48547968</v>
      </c>
      <c r="G10" s="18" t="n">
        <f aca="false">G7*G9</f>
        <v>137.9394879024</v>
      </c>
      <c r="H10" s="18" t="n">
        <f aca="false">H7*H9</f>
        <v>146.779442369952</v>
      </c>
      <c r="I10" s="18" t="n">
        <f aca="false">I7*I9</f>
        <v>144.48547968</v>
      </c>
      <c r="J10" s="18" t="n">
        <f aca="false">J7*J9</f>
        <v>114.5804024052</v>
      </c>
      <c r="K10" s="18" t="n">
        <f aca="false">K7*K9</f>
        <v>113.330990577168</v>
      </c>
    </row>
    <row r="11" customFormat="false" ht="15" hidden="false" customHeight="false" outlineLevel="0" collapsed="false">
      <c r="A11" s="4" t="s">
        <v>584</v>
      </c>
      <c r="B11" s="18" t="n">
        <f aca="false">B7*(B9-opex_26)</f>
        <v>103.167777161</v>
      </c>
      <c r="C11" s="18" t="n">
        <f aca="false">C7*(C9-opex)</f>
        <v>127.55358753</v>
      </c>
      <c r="D11" s="18" t="n">
        <f aca="false">D7*(D9-opex)</f>
        <v>146.2244492799</v>
      </c>
      <c r="E11" s="18" t="n">
        <f aca="false">E7*(E9-opex)</f>
        <v>160.722066214569</v>
      </c>
      <c r="F11" s="18" t="n">
        <f aca="false">F7*(F9-opex)</f>
        <v>127.55358753</v>
      </c>
      <c r="G11" s="18" t="n">
        <f aca="false">G7*(G9-opex)</f>
        <v>120.1024851564</v>
      </c>
      <c r="H11" s="18" t="n">
        <f aca="false">H7*(H9-opex)</f>
        <v>127.121481338262</v>
      </c>
      <c r="I11" s="18" t="n">
        <f aca="false">I7*(I9-opex)</f>
        <v>127.55358753</v>
      </c>
      <c r="J11" s="18" t="n">
        <f aca="false">J7*(J9-opex)</f>
        <v>98.6664576267</v>
      </c>
      <c r="K11" s="18" t="n">
        <f aca="false">K7*(K9-opex)</f>
        <v>96.985174628538</v>
      </c>
    </row>
    <row r="12" customFormat="false" ht="15" hidden="false" customHeight="false" outlineLevel="0" collapsed="false">
      <c r="A12" s="4" t="s">
        <v>585</v>
      </c>
      <c r="B12" s="18" t="n">
        <f aca="false">B11*ni_op_26</f>
        <v>91.5171592342628</v>
      </c>
      <c r="C12" s="18" t="n">
        <f aca="false">C11*ni_op</f>
        <v>111.557554742559</v>
      </c>
      <c r="D12" s="18" t="n">
        <f aca="false">D11*ni_op</f>
        <v>127.886971437839</v>
      </c>
      <c r="E12" s="18" t="n">
        <f aca="false">E11*ni_op</f>
        <v>140.566494814205</v>
      </c>
      <c r="F12" s="18" t="n">
        <f aca="false">F11*ni_op</f>
        <v>111.557554742559</v>
      </c>
      <c r="G12" s="18" t="n">
        <f aca="false">G11*ni_op</f>
        <v>105.040868093195</v>
      </c>
      <c r="H12" s="18" t="n">
        <f aca="false">H11*ni_op</f>
        <v>111.179637421119</v>
      </c>
      <c r="I12" s="18" t="n">
        <f aca="false">I11*ni_op</f>
        <v>111.557554742559</v>
      </c>
      <c r="J12" s="18" t="n">
        <f aca="false">J11*ni_op</f>
        <v>86.2930550295668</v>
      </c>
      <c r="K12" s="18" t="n">
        <f aca="false">K11*ni_op</f>
        <v>84.8226156343512</v>
      </c>
      <c r="L12" s="19" t="n">
        <f aca="false">L7*L21</f>
        <v>154.558872478871</v>
      </c>
      <c r="M12" s="19" t="n">
        <f aca="false">M7*M21</f>
        <v>166.888247471604</v>
      </c>
      <c r="N12" s="19" t="n">
        <f aca="false">N7*N21</f>
        <v>176.901542319901</v>
      </c>
      <c r="O12" s="19" t="n">
        <f aca="false">O7*O21</f>
        <v>118.248464686774</v>
      </c>
      <c r="P12" s="19" t="n">
        <f aca="false">P7*P21</f>
        <v>123.325139008019</v>
      </c>
      <c r="Q12" s="19" t="n">
        <f aca="false">Q7*Q21</f>
        <v>126.07355571977</v>
      </c>
      <c r="R12" s="19" t="n">
        <f aca="false">R7*R21</f>
        <v>86.4062178809266</v>
      </c>
      <c r="S12" s="19" t="n">
        <f aca="false">S7*S21</f>
        <v>87.8118827361822</v>
      </c>
      <c r="T12" s="19" t="n">
        <f aca="false">T7*T21</f>
        <v>89.0295134214798</v>
      </c>
    </row>
    <row r="13" customFormat="false" ht="17.15" hidden="false" customHeight="false" outlineLevel="0" collapsed="false">
      <c r="A13" s="0" t="s">
        <v>586</v>
      </c>
      <c r="B13" s="18" t="n">
        <f aca="false">B12*fx_26/shares</f>
        <v>112.095299667786</v>
      </c>
      <c r="C13" s="18" t="n">
        <f aca="false">C12*fx/shares</f>
        <v>137.672261926799</v>
      </c>
      <c r="D13" s="18" t="n">
        <f aca="false">D12*fx/shares</f>
        <v>157.8242609337</v>
      </c>
      <c r="E13" s="18" t="n">
        <f aca="false">E12*fx/shares</f>
        <v>173.471956577499</v>
      </c>
      <c r="F13" s="18" t="n">
        <f aca="false">F12*fx/shares</f>
        <v>137.672261926799</v>
      </c>
      <c r="G13" s="18" t="n">
        <f aca="false">G12*fx/shares</f>
        <v>129.630072463642</v>
      </c>
      <c r="H13" s="18" t="n">
        <f aca="false">H12*fx/shares</f>
        <v>137.205877264782</v>
      </c>
      <c r="I13" s="18" t="n">
        <f aca="false">I12*fx/shares</f>
        <v>137.672261926799</v>
      </c>
      <c r="J13" s="18" t="n">
        <f aca="false">J12*fx/shares</f>
        <v>106.493550364294</v>
      </c>
      <c r="K13" s="18" t="n">
        <f aca="false">K12*fx/shares</f>
        <v>104.67889318547</v>
      </c>
      <c r="L13" s="19" t="n">
        <f aca="false">L12*fx/shares</f>
        <v>190.739834914149</v>
      </c>
      <c r="M13" s="19" t="n">
        <f aca="false">M12*fx/shares</f>
        <v>205.955415313974</v>
      </c>
      <c r="N13" s="19" t="n">
        <f aca="false">N12*fx/shares</f>
        <v>218.312740232812</v>
      </c>
      <c r="O13" s="19" t="n">
        <f aca="false">O12*fx/shares</f>
        <v>145.929458926987</v>
      </c>
      <c r="P13" s="19" t="n">
        <f aca="false">P12*fx/shares</f>
        <v>152.194541004883</v>
      </c>
      <c r="Q13" s="19" t="n">
        <f aca="false">Q12*fx/shares</f>
        <v>155.586339492195</v>
      </c>
      <c r="R13" s="19" t="n">
        <f aca="false">R12*fx/shares</f>
        <v>106.633203709589</v>
      </c>
      <c r="S13" s="19" t="n">
        <f aca="false">S12*fx/shares</f>
        <v>108.367923160734</v>
      </c>
      <c r="T13" s="19" t="n">
        <f aca="false">T12*fx/shares</f>
        <v>109.870591187326</v>
      </c>
    </row>
    <row r="14" customFormat="false" ht="17.15" hidden="false" customHeight="false" outlineLevel="0" collapsed="false">
      <c r="A14" s="4" t="s">
        <v>587</v>
      </c>
      <c r="B14" s="20" t="n">
        <f aca="false">px/B13</f>
        <v>21.2765388653081</v>
      </c>
      <c r="C14" s="20" t="n">
        <f aca="false">px/C13</f>
        <v>17.3237511073082</v>
      </c>
      <c r="D14" s="20" t="n">
        <f aca="false">px/D13</f>
        <v>15.1117450884304</v>
      </c>
      <c r="E14" s="20" t="n">
        <f aca="false">px/E13</f>
        <v>13.7486199328967</v>
      </c>
      <c r="F14" s="20" t="n">
        <f aca="false">px/F13</f>
        <v>17.3237511073082</v>
      </c>
      <c r="G14" s="20" t="n">
        <f aca="false">px/G13</f>
        <v>18.3985085765415</v>
      </c>
      <c r="H14" s="20" t="n">
        <f aca="false">px/H13</f>
        <v>17.3826373005683</v>
      </c>
      <c r="I14" s="20" t="n">
        <f aca="false">px/I13</f>
        <v>17.3237511073082</v>
      </c>
      <c r="J14" s="20" t="n">
        <f aca="false">px/J13</f>
        <v>22.3957224812336</v>
      </c>
      <c r="K14" s="20" t="n">
        <f aca="false">px/K13</f>
        <v>22.783962720873</v>
      </c>
      <c r="L14" s="21" t="n">
        <f aca="false">px/L13</f>
        <v>12.5039428762926</v>
      </c>
      <c r="M14" s="21" t="n">
        <f aca="false">px/M13</f>
        <v>11.5801762064092</v>
      </c>
      <c r="N14" s="21" t="n">
        <f aca="false">px/N13</f>
        <v>10.9246945343483</v>
      </c>
      <c r="O14" s="21" t="n">
        <f aca="false">px/O13</f>
        <v>16.3435129379414</v>
      </c>
      <c r="P14" s="21" t="n">
        <f aca="false">px/P13</f>
        <v>15.6707328939182</v>
      </c>
      <c r="Q14" s="21" t="n">
        <f aca="false">px/Q13</f>
        <v>15.3291092764583</v>
      </c>
      <c r="R14" s="21" t="n">
        <f aca="false">px/R13</f>
        <v>22.3663916775439</v>
      </c>
      <c r="S14" s="21" t="n">
        <f aca="false">px/S13</f>
        <v>22.0083575511779</v>
      </c>
      <c r="T14" s="21" t="n">
        <f aca="false">px/T13</f>
        <v>21.7073556647534</v>
      </c>
    </row>
    <row r="15" customFormat="false" ht="15" hidden="false" customHeight="false" outlineLevel="0" collapsed="false">
      <c r="A15" s="4" t="s">
        <v>588</v>
      </c>
      <c r="B15" s="18" t="n">
        <f aca="false">capex26</f>
        <v>62</v>
      </c>
      <c r="C15" s="18" t="n">
        <f aca="false">capex27</f>
        <v>77</v>
      </c>
      <c r="D15" s="18" t="n">
        <f aca="false">capex28</f>
        <v>90</v>
      </c>
      <c r="E15" s="18" t="n">
        <f aca="false">capex29</f>
        <v>95</v>
      </c>
      <c r="F15" s="18" t="n">
        <f aca="false">capex27</f>
        <v>77</v>
      </c>
      <c r="G15" s="18" t="n">
        <f aca="false">capex28</f>
        <v>90</v>
      </c>
      <c r="H15" s="18" t="n">
        <f aca="false">capex29</f>
        <v>95</v>
      </c>
      <c r="I15" s="18" t="n">
        <f aca="false">capex27</f>
        <v>77</v>
      </c>
      <c r="J15" s="18" t="n">
        <f aca="false">capex28</f>
        <v>90</v>
      </c>
      <c r="K15" s="18" t="n">
        <f aca="false">capex29</f>
        <v>95</v>
      </c>
    </row>
    <row r="16" customFormat="false" ht="15" hidden="false" customHeight="false" outlineLevel="0" collapsed="false">
      <c r="A16" s="4" t="s">
        <v>589</v>
      </c>
      <c r="B16" s="18" t="n">
        <f aca="false">B12-B15</f>
        <v>29.5171592342628</v>
      </c>
      <c r="C16" s="18" t="n">
        <f aca="false">C12-C15</f>
        <v>34.557554742559</v>
      </c>
      <c r="D16" s="18" t="n">
        <f aca="false">D12-D15</f>
        <v>37.8869714378388</v>
      </c>
      <c r="E16" s="18" t="n">
        <f aca="false">E12-E15</f>
        <v>45.5664948142049</v>
      </c>
      <c r="F16" s="18" t="n">
        <f aca="false">F12-F15</f>
        <v>34.557554742559</v>
      </c>
      <c r="G16" s="18" t="n">
        <f aca="false">G12-G15</f>
        <v>15.0408680931945</v>
      </c>
      <c r="H16" s="18" t="n">
        <f aca="false">H12-H15</f>
        <v>16.1796374211189</v>
      </c>
      <c r="I16" s="18" t="n">
        <f aca="false">I12-I15</f>
        <v>34.557554742559</v>
      </c>
      <c r="J16" s="18" t="n">
        <f aca="false">J12-J15</f>
        <v>-3.70694497043317</v>
      </c>
      <c r="K16" s="18" t="n">
        <f aca="false">K12-K15</f>
        <v>-10.1773843656488</v>
      </c>
    </row>
    <row r="18" customFormat="false" ht="17.15" hidden="false" customHeight="false" outlineLevel="0" collapsed="false">
      <c r="A18" s="4" t="s">
        <v>590</v>
      </c>
    </row>
    <row r="19" customFormat="false" ht="17.15" hidden="false" customHeight="false" outlineLevel="0" collapsed="false">
      <c r="A19" s="4" t="s">
        <v>591</v>
      </c>
    </row>
    <row r="20" customFormat="false" ht="15" hidden="false" customHeight="false" outlineLevel="0" collapsed="false">
      <c r="A20" s="4" t="s">
        <v>592</v>
      </c>
      <c r="B20" s="14" t="n">
        <f aca="false">B7/rev25-1</f>
        <v>0.438536306460835</v>
      </c>
      <c r="C20" s="14" t="n">
        <f aca="false">C7/B7-1</f>
        <v>0.281845116965705</v>
      </c>
      <c r="D20" s="14" t="n">
        <f aca="false">D7/C7-1</f>
        <v>0.167032044525514</v>
      </c>
      <c r="E20" s="14" t="n">
        <f aca="false">E7/D7-1</f>
        <v>0.119314148615154</v>
      </c>
      <c r="F20" s="14" t="n">
        <f aca="false">F7/B7-1</f>
        <v>0.281845116965705</v>
      </c>
      <c r="G20" s="14" t="n">
        <f aca="false">G7/F7-1</f>
        <v>0.0534559627466089</v>
      </c>
      <c r="H20" s="14" t="n">
        <f aca="false">H7/G7-1</f>
        <v>0.102088804471276</v>
      </c>
      <c r="I20" s="14" t="n">
        <f aca="false">I7/B7-1</f>
        <v>0.281845116965705</v>
      </c>
      <c r="J20" s="14" t="n">
        <f aca="false">J7/I7-1</f>
        <v>-0.0601201190322963</v>
      </c>
      <c r="K20" s="14" t="n">
        <f aca="false">K7/J7-1</f>
        <v>0.0271379080511491</v>
      </c>
      <c r="L20" s="22" t="n">
        <f aca="false">$E20+(fade_gA-$E20)*1/3</f>
        <v>0.0995427657434359</v>
      </c>
      <c r="M20" s="22" t="n">
        <f aca="false">$E20+(fade_gA-$E20)*2/3</f>
        <v>0.079771382871718</v>
      </c>
      <c r="N20" s="22" t="n">
        <f aca="false">$E20+(fade_gA-$E20)*3/3</f>
        <v>0.06</v>
      </c>
      <c r="O20" s="22" t="n">
        <f aca="false">$H20+(fade_gB-$H20)*1/3</f>
        <v>0.0813925363141837</v>
      </c>
      <c r="P20" s="22" t="n">
        <f aca="false">$H20+(fade_gB-$H20)*2/3</f>
        <v>0.0606962681570919</v>
      </c>
      <c r="Q20" s="22" t="n">
        <f aca="false">$H20+(fade_gB-$H20)*3/3</f>
        <v>0.04</v>
      </c>
      <c r="R20" s="22" t="n">
        <f aca="false">$K20+(fade_gC-$K20)*1/3</f>
        <v>0.0247586053674328</v>
      </c>
      <c r="S20" s="22" t="n">
        <f aca="false">$K20+(fade_gC-$K20)*2/3</f>
        <v>0.0223793026837164</v>
      </c>
      <c r="T20" s="22" t="n">
        <f aca="false">$K20+(fade_gC-$K20)*3/3</f>
        <v>0.02</v>
      </c>
    </row>
    <row r="21" customFormat="false" ht="17.15" hidden="false" customHeight="false" outlineLevel="0" collapsed="false">
      <c r="A21" s="4" t="s">
        <v>593</v>
      </c>
      <c r="B21" s="14" t="n">
        <f aca="false">B12/B7</f>
        <v>0.519629566399402</v>
      </c>
      <c r="C21" s="14" t="n">
        <f aca="false">C12/C7</f>
        <v>0.494145399201112</v>
      </c>
      <c r="D21" s="14" t="n">
        <f aca="false">D12/D7</f>
        <v>0.485399462932066</v>
      </c>
      <c r="E21" s="14" t="n">
        <f aca="false">E12/E7</f>
        <v>0.476653526663019</v>
      </c>
      <c r="F21" s="14" t="n">
        <f aca="false">F12/F7</f>
        <v>0.494145399201112</v>
      </c>
      <c r="G21" s="14" t="n">
        <f aca="false">G12/G7</f>
        <v>0.441669781586834</v>
      </c>
      <c r="H21" s="14" t="n">
        <f aca="false">H12/H7</f>
        <v>0.424177909048742</v>
      </c>
      <c r="I21" s="14" t="n">
        <f aca="false">I12/I7</f>
        <v>0.494145399201112</v>
      </c>
      <c r="J21" s="14" t="n">
        <f aca="false">J12/J7</f>
        <v>0.40668603651065</v>
      </c>
      <c r="K21" s="14" t="n">
        <f aca="false">K12/K7</f>
        <v>0.389194163972557</v>
      </c>
      <c r="L21" s="22" t="n">
        <f aca="false">$E21+(fade_mA-$E21)*1/3</f>
        <v>0.476653526663019</v>
      </c>
      <c r="M21" s="22" t="n">
        <f aca="false">$E21+(fade_mA-$E21)*2/3</f>
        <v>0.476653526663019</v>
      </c>
      <c r="N21" s="22" t="n">
        <f aca="false">$E21+(fade_mA-$E21)*3/3</f>
        <v>0.476653526663019</v>
      </c>
      <c r="O21" s="22" t="n">
        <f aca="false">$H21+(fade_mB-$H21)*1/3</f>
        <v>0.417191005339243</v>
      </c>
      <c r="P21" s="22" t="n">
        <f aca="false">$H21+(fade_mB-$H21)*2/3</f>
        <v>0.410204101629743</v>
      </c>
      <c r="Q21" s="22" t="n">
        <f aca="false">$H21+(fade_mB-$H21)*3/3</f>
        <v>0.403217197920244</v>
      </c>
      <c r="R21" s="22" t="n">
        <f aca="false">$K21+(fade_mC-$K21)*1/3</f>
        <v>0.386881604912287</v>
      </c>
      <c r="S21" s="22" t="n">
        <f aca="false">$K21+(fade_mC-$K21)*2/3</f>
        <v>0.384569045852016</v>
      </c>
      <c r="T21" s="22" t="n">
        <f aca="false">$K21+(fade_mC-$K21)*3/3</f>
        <v>0.382256486791746</v>
      </c>
    </row>
    <row r="26" customFormat="false" ht="17.15" hidden="false" customHeight="false" outlineLevel="0" collapsed="false">
      <c r="A26" s="1" t="s">
        <v>594</v>
      </c>
    </row>
    <row r="27" customFormat="false" ht="17.15" hidden="false" customHeight="false" outlineLevel="0" collapsed="false">
      <c r="A27" s="4" t="s">
        <v>595</v>
      </c>
      <c r="B27" s="23" t="n">
        <f aca="false">rev26_1q*pf26_1q_hpc+rev26_2q*pf26_2q_hpc+rev26_3q*pf26_3q_hpc+rev26_4q*pf26_3q_hpc</f>
        <v>116.4446</v>
      </c>
      <c r="C27" s="23" t="n">
        <f aca="false">C28+C29</f>
        <v>159.617698</v>
      </c>
      <c r="D27" s="23" t="n">
        <f aca="false">D28+D29</f>
        <v>191.47150398</v>
      </c>
      <c r="E27" s="23" t="n">
        <f aca="false">E28+E29</f>
        <v>217.9599194982</v>
      </c>
      <c r="F27" s="23" t="n">
        <f aca="false">F28+F29</f>
        <v>159.617698</v>
      </c>
      <c r="G27" s="23" t="n">
        <f aca="false">G28+G29</f>
        <v>169.13777428</v>
      </c>
      <c r="H27" s="23" t="n">
        <f aca="false">H28+H29</f>
        <v>192.1312969952</v>
      </c>
      <c r="I27" s="23" t="n">
        <f aca="false">I28+I29</f>
        <v>159.617698</v>
      </c>
      <c r="J27" s="23" t="n">
        <f aca="false">J28+J29</f>
        <v>146.80404458</v>
      </c>
      <c r="K27" s="23" t="n">
        <f aca="false">K28+K29</f>
        <v>155.2605812884</v>
      </c>
    </row>
    <row r="28" customFormat="false" ht="17.15" hidden="false" customHeight="false" outlineLevel="0" collapsed="false">
      <c r="A28" s="0" t="s">
        <v>596</v>
      </c>
      <c r="B28" s="23" t="n">
        <f aca="false">B5</f>
        <v>34.326</v>
      </c>
      <c r="C28" s="23" t="n">
        <f aca="false">C5</f>
        <v>66.82368</v>
      </c>
      <c r="D28" s="23" t="n">
        <f aca="false">D5</f>
        <v>88.470144</v>
      </c>
      <c r="E28" s="23" t="n">
        <f aca="false">E5</f>
        <v>105.68843712</v>
      </c>
      <c r="F28" s="23" t="n">
        <f aca="false">F5</f>
        <v>66.82368</v>
      </c>
      <c r="G28" s="23" t="n">
        <f aca="false">G5</f>
        <v>70.7761152</v>
      </c>
      <c r="H28" s="23" t="n">
        <f aca="false">H5</f>
        <v>89.835171552</v>
      </c>
      <c r="I28" s="23" t="n">
        <f aca="false">I5</f>
        <v>66.82368</v>
      </c>
      <c r="J28" s="23" t="n">
        <f aca="false">J5</f>
        <v>53.0820864</v>
      </c>
      <c r="K28" s="23" t="n">
        <f aca="false">K5</f>
        <v>63.413062272</v>
      </c>
    </row>
    <row r="29" customFormat="false" ht="17.15" hidden="false" customHeight="false" outlineLevel="0" collapsed="false">
      <c r="A29" s="0" t="s">
        <v>597</v>
      </c>
      <c r="B29" s="23" t="n">
        <f aca="false">B27-B28</f>
        <v>82.1186</v>
      </c>
      <c r="C29" s="23" t="n">
        <f aca="false">B29*(1+na27_A+dp_hpc)</f>
        <v>92.794018</v>
      </c>
      <c r="D29" s="23" t="n">
        <f aca="false">C29*(1+na28_A+dp_hpc)</f>
        <v>103.00135998</v>
      </c>
      <c r="E29" s="23" t="n">
        <f aca="false">D29*(1+na29_A+dp_hpc)</f>
        <v>112.2714823782</v>
      </c>
      <c r="F29" s="23" t="n">
        <f aca="false">B29*(1+na27_B+dp_hpc)</f>
        <v>92.794018</v>
      </c>
      <c r="G29" s="23" t="n">
        <f aca="false">F29*(1+na28_B+dp_hpc)</f>
        <v>98.36165908</v>
      </c>
      <c r="H29" s="23" t="n">
        <f aca="false">G29*(1+na29_B+dp_hpc)</f>
        <v>102.2961254432</v>
      </c>
      <c r="I29" s="23" t="n">
        <f aca="false">B29*(1+na27_C+dp_hpc)</f>
        <v>92.794018</v>
      </c>
      <c r="J29" s="23" t="n">
        <f aca="false">I29*(1+na28_C+dp_hpc)</f>
        <v>93.72195818</v>
      </c>
      <c r="K29" s="23" t="n">
        <f aca="false">J29*(1+na29_C+dp_hpc)</f>
        <v>91.8475190164</v>
      </c>
    </row>
    <row r="30" customFormat="false" ht="15" hidden="false" customHeight="false" outlineLevel="0" collapsed="false">
      <c r="A30" s="4" t="s">
        <v>598</v>
      </c>
      <c r="B30" s="23" t="n">
        <f aca="false">rev26_1q*pf26_1q_sp+rev26_2q*pf26_2q_sp+rev26_3q*pf26_3q_sp+rev26_4q*pf26_3q_sp</f>
        <v>39.1822</v>
      </c>
      <c r="C30" s="23" t="n">
        <f aca="false">B30*(1+na27_A+dp_sp)</f>
        <v>43.10042</v>
      </c>
      <c r="D30" s="23" t="n">
        <f aca="false">C30*(1+na28_A+dp_sp)</f>
        <v>46.5484536</v>
      </c>
      <c r="E30" s="23" t="n">
        <f aca="false">D30*(1+na29_A+dp_sp)</f>
        <v>49.341360816</v>
      </c>
      <c r="F30" s="23" t="n">
        <f aca="false">B30*(1+na27_B+dp_sp)</f>
        <v>43.10042</v>
      </c>
      <c r="G30" s="23" t="n">
        <f aca="false">F30*(1+na28_B+dp_sp)</f>
        <v>44.3934326</v>
      </c>
      <c r="H30" s="23" t="n">
        <f aca="false">G30*(1+na29_B+dp_sp)</f>
        <v>44.837366926</v>
      </c>
      <c r="I30" s="23" t="n">
        <f aca="false">B30*(1+na27_C+dp_sp)</f>
        <v>43.10042</v>
      </c>
      <c r="J30" s="23" t="n">
        <f aca="false">I30*(1+na28_C+dp_sp)</f>
        <v>42.2384116</v>
      </c>
      <c r="K30" s="23" t="n">
        <f aca="false">J30*(1+na29_C+dp_sp)</f>
        <v>40.12649102</v>
      </c>
    </row>
    <row r="31" customFormat="false" ht="15" hidden="false" customHeight="false" outlineLevel="0" collapsed="false">
      <c r="A31" s="4" t="s">
        <v>599</v>
      </c>
      <c r="B31" s="23" t="n">
        <f aca="false">rev26_1q*pf26_1q_iot+rev26_2q*pf26_2q_iot+rev26_3q*pf26_3q_iot+rev26_4q*pf26_3q_iot</f>
        <v>8.1648</v>
      </c>
      <c r="C31" s="23" t="n">
        <f aca="false">B31*(1+na27_A+dp_iot)</f>
        <v>9.144576</v>
      </c>
      <c r="D31" s="23" t="n">
        <f aca="false">C31*(1+na28_A+dp_iot)</f>
        <v>10.0590336</v>
      </c>
      <c r="E31" s="23" t="n">
        <f aca="false">D31*(1+na29_A+dp_iot)</f>
        <v>10.863756288</v>
      </c>
      <c r="F31" s="23" t="n">
        <f aca="false">B31*(1+na27_B+dp_iot)</f>
        <v>9.144576</v>
      </c>
      <c r="G31" s="23" t="n">
        <f aca="false">F31*(1+na28_B+dp_iot)</f>
        <v>9.6018048</v>
      </c>
      <c r="H31" s="23" t="n">
        <f aca="false">G31*(1+na29_B+dp_iot)</f>
        <v>9.889858944</v>
      </c>
      <c r="I31" s="23" t="n">
        <f aca="false">B31*(1+na27_C+dp_iot)</f>
        <v>9.144576</v>
      </c>
      <c r="J31" s="23" t="n">
        <f aca="false">I31*(1+na28_C+dp_iot)</f>
        <v>9.144576</v>
      </c>
      <c r="K31" s="23" t="n">
        <f aca="false">J31*(1+na29_C+dp_iot)</f>
        <v>8.87023872</v>
      </c>
    </row>
    <row r="32" customFormat="false" ht="15" hidden="false" customHeight="false" outlineLevel="0" collapsed="false">
      <c r="A32" s="4" t="s">
        <v>600</v>
      </c>
      <c r="B32" s="23" t="n">
        <f aca="false">rev26_1q*pf26_1q_au+rev26_2q*pf26_2q_au+rev26_3q*pf26_3q_au+rev26_4q*pf26_3q_au</f>
        <v>7.0448</v>
      </c>
      <c r="C32" s="23" t="n">
        <f aca="false">B32*(1+na27_A+dp_au)</f>
        <v>8.031072</v>
      </c>
      <c r="D32" s="23" t="n">
        <f aca="false">C32*(1+na28_A+dp_au)</f>
        <v>8.99480064</v>
      </c>
      <c r="E32" s="23" t="n">
        <f aca="false">D32*(1+na29_A+dp_au)</f>
        <v>9.894280704</v>
      </c>
      <c r="F32" s="23" t="n">
        <f aca="false">B32*(1+na27_B+dp_au)</f>
        <v>8.031072</v>
      </c>
      <c r="G32" s="23" t="n">
        <f aca="false">F32*(1+na28_B+dp_au)</f>
        <v>8.59324704</v>
      </c>
      <c r="H32" s="23" t="n">
        <f aca="false">G32*(1+na29_B+dp_au)</f>
        <v>9.022909392</v>
      </c>
      <c r="I32" s="23" t="n">
        <f aca="false">B32*(1+na27_C+dp_au)</f>
        <v>8.031072</v>
      </c>
      <c r="J32" s="23" t="n">
        <f aca="false">I32*(1+na28_C+dp_au)</f>
        <v>8.19169344</v>
      </c>
      <c r="K32" s="23" t="n">
        <f aca="false">J32*(1+na29_C+dp_au)</f>
        <v>8.1097765056</v>
      </c>
    </row>
    <row r="33" customFormat="false" ht="17.15" hidden="false" customHeight="false" outlineLevel="0" collapsed="false">
      <c r="A33" s="4" t="s">
        <v>601</v>
      </c>
      <c r="B33" s="23" t="n">
        <f aca="false">rev26_1q*pf26_1q_dce+rev26_2q*pf26_2q_dce+rev26_3q*pf26_3q_dce+rev26_4q*pf26_3q_dce</f>
        <v>1.7612</v>
      </c>
      <c r="C33" s="23" t="n">
        <f aca="false">B33*(1+na27_A+dp_dce)</f>
        <v>1.919708</v>
      </c>
      <c r="D33" s="23" t="n">
        <f aca="false">C33*(1+na28_A+dp_dce)</f>
        <v>2.05408756</v>
      </c>
      <c r="E33" s="23" t="n">
        <f aca="false">D33*(1+na29_A+dp_dce)</f>
        <v>2.156791938</v>
      </c>
      <c r="F33" s="23" t="n">
        <f aca="false">B33*(1+na27_B+dp_dce)</f>
        <v>1.919708</v>
      </c>
      <c r="G33" s="23" t="n">
        <f aca="false">F33*(1+na28_B+dp_dce)</f>
        <v>1.95810216</v>
      </c>
      <c r="H33" s="23" t="n">
        <f aca="false">G33*(1+na29_B+dp_dce)</f>
        <v>1.95810216</v>
      </c>
      <c r="I33" s="23" t="n">
        <f aca="false">B33*(1+na27_C+dp_dce)</f>
        <v>1.919708</v>
      </c>
      <c r="J33" s="23" t="n">
        <f aca="false">I33*(1+na28_C+dp_dce)</f>
        <v>1.86211676</v>
      </c>
      <c r="K33" s="23" t="n">
        <f aca="false">J33*(1+na29_C+dp_dce)</f>
        <v>1.7503897544</v>
      </c>
    </row>
    <row r="34" customFormat="false" ht="15" hidden="false" customHeight="false" outlineLevel="0" collapsed="false">
      <c r="A34" s="4" t="s">
        <v>602</v>
      </c>
      <c r="B34" s="23" t="n">
        <f aca="false">rev26_1q*pf26_1q_oth+rev26_2q*pf26_2q_oth+rev26_3q*pf26_3q_oth+rev26_4q*pf26_3q_oth</f>
        <v>3.52239999999999</v>
      </c>
      <c r="C34" s="23" t="n">
        <f aca="false">B34*(1+na27_A+dp_oth)</f>
        <v>3.94508799999999</v>
      </c>
      <c r="D34" s="23" t="n">
        <f aca="false">C34*(1+na28_A+dp_oth)</f>
        <v>4.33959679999999</v>
      </c>
      <c r="E34" s="23" t="n">
        <f aca="false">D34*(1+na29_A+dp_oth)</f>
        <v>4.68676454399999</v>
      </c>
      <c r="F34" s="23" t="n">
        <f aca="false">B34*(1+na27_B+dp_oth)</f>
        <v>3.94508799999999</v>
      </c>
      <c r="G34" s="23" t="n">
        <f aca="false">F34*(1+na28_B+dp_oth)</f>
        <v>4.14234239999999</v>
      </c>
      <c r="H34" s="23" t="n">
        <f aca="false">G34*(1+na29_B+dp_oth)</f>
        <v>4.26661267199999</v>
      </c>
      <c r="I34" s="23" t="n">
        <f aca="false">B34*(1+na27_C+dp_oth)</f>
        <v>3.94508799999999</v>
      </c>
      <c r="J34" s="23" t="n">
        <f aca="false">I34*(1+na28_C+dp_oth)</f>
        <v>3.94508799999999</v>
      </c>
      <c r="K34" s="23" t="n">
        <f aca="false">J34*(1+na29_C+dp_oth)</f>
        <v>3.82673535999999</v>
      </c>
    </row>
    <row r="35" customFormat="false" ht="15" hidden="false" customHeight="false" outlineLevel="0" collapsed="false">
      <c r="A35" s="4" t="s">
        <v>603</v>
      </c>
      <c r="B35" s="23" t="n">
        <f aca="false">B27+B30+B31+B32+B33+B34-B7</f>
        <v>0</v>
      </c>
      <c r="C35" s="23" t="n">
        <f aca="false">C27+C30+C31+C32+C33+C34-C7</f>
        <v>0</v>
      </c>
      <c r="D35" s="23" t="n">
        <f aca="false">D27+D30+D31+D32+D33+D34-D7</f>
        <v>0</v>
      </c>
      <c r="E35" s="23" t="n">
        <f aca="false">E27+E30+E31+E32+E33+E34-E7</f>
        <v>0</v>
      </c>
      <c r="F35" s="23" t="n">
        <f aca="false">F27+F30+F31+F32+F33+F34-F7</f>
        <v>0</v>
      </c>
      <c r="G35" s="23" t="n">
        <f aca="false">G27+G30+G31+G32+G33+G34-G7</f>
        <v>0</v>
      </c>
      <c r="H35" s="23" t="n">
        <f aca="false">H27+H30+H31+H32+H33+H34-H7</f>
        <v>0</v>
      </c>
      <c r="I35" s="23" t="n">
        <f aca="false">I27+I30+I31+I32+I33+I34-I7</f>
        <v>0</v>
      </c>
      <c r="J35" s="23" t="n">
        <f aca="false">J27+J30+J31+J32+J33+J34-J7</f>
        <v>0</v>
      </c>
      <c r="K35" s="23" t="n">
        <f aca="false">K27+K30+K31+K32+K33+K34-K7</f>
        <v>0</v>
      </c>
    </row>
    <row r="37" customFormat="false" ht="17.15" hidden="false" customHeight="false" outlineLevel="0" collapsed="false">
      <c r="A37" s="6" t="s">
        <v>604</v>
      </c>
    </row>
    <row r="38" customFormat="false" ht="17.15" hidden="false" customHeight="false" outlineLevel="0" collapsed="false">
      <c r="A38" s="0" t="s">
        <v>605</v>
      </c>
      <c r="B38" s="23" t="n">
        <f aca="false">rev25*pf25_hpc</f>
        <v>71.0094</v>
      </c>
    </row>
    <row r="39" customFormat="false" ht="17.15" hidden="false" customHeight="false" outlineLevel="0" collapsed="false">
      <c r="A39" s="0" t="s">
        <v>606</v>
      </c>
      <c r="B39" s="23" t="n">
        <f aca="false">rev25*pf25_sp</f>
        <v>35.5047</v>
      </c>
    </row>
    <row r="40" customFormat="false" ht="17.15" hidden="false" customHeight="false" outlineLevel="0" collapsed="false">
      <c r="A40" s="0" t="s">
        <v>607</v>
      </c>
      <c r="B40" s="23" t="n">
        <f aca="false">rev25*pf25_iot</f>
        <v>6.1215</v>
      </c>
    </row>
    <row r="41" customFormat="false" ht="17.15" hidden="false" customHeight="false" outlineLevel="0" collapsed="false">
      <c r="A41" s="0" t="s">
        <v>608</v>
      </c>
      <c r="B41" s="23" t="n">
        <f aca="false">rev25*pf25_au</f>
        <v>6.1215</v>
      </c>
    </row>
    <row r="42" customFormat="false" ht="17.15" hidden="false" customHeight="false" outlineLevel="0" collapsed="false">
      <c r="A42" s="0" t="s">
        <v>609</v>
      </c>
      <c r="B42" s="23" t="n">
        <f aca="false">rev25*pf25_dce</f>
        <v>1.2243</v>
      </c>
    </row>
    <row r="43" customFormat="false" ht="17.15" hidden="false" customHeight="false" outlineLevel="0" collapsed="false">
      <c r="A43" s="0" t="s">
        <v>610</v>
      </c>
      <c r="B43" s="23" t="n">
        <f aca="false">rev25*pf25_oth</f>
        <v>2.44860000000001</v>
      </c>
    </row>
    <row r="44" customFormat="false" ht="17.15" hidden="false" customHeight="false" outlineLevel="0" collapsed="false">
      <c r="A44" s="4" t="s">
        <v>611</v>
      </c>
      <c r="B44" s="9" t="n">
        <f aca="false">SUM(B38:B43)-rev25</f>
        <v>0</v>
      </c>
    </row>
    <row r="45" customFormat="false" ht="15" hidden="false" customHeight="false" outlineLevel="0" collapsed="false">
      <c r="A45" s="4" t="s">
        <v>612</v>
      </c>
      <c r="B45" s="18" t="n">
        <f aca="false">B12+B7*da_rev-B15</f>
        <v>61.0347018787094</v>
      </c>
      <c r="C45" s="18" t="n">
        <f aca="false">C12+C7*da_rev-C15</f>
        <v>74.9581628801013</v>
      </c>
      <c r="D45" s="18" t="n">
        <f aca="false">D12+D7*da_rev-D15</f>
        <v>85.0357757526689</v>
      </c>
      <c r="E45" s="18" t="n">
        <f aca="false">E12+E7*da_rev-E15</f>
        <v>98.3408185740814</v>
      </c>
      <c r="F45" s="18" t="n">
        <f aca="false">F12+F7*da_rev-F15</f>
        <v>74.9581628801013</v>
      </c>
      <c r="G45" s="18" t="n">
        <f aca="false">G12+G7*da_rev-G15</f>
        <v>57.6011296342776</v>
      </c>
      <c r="H45" s="18" t="n">
        <f aca="false">H12+H7*da_rev-H15</f>
        <v>63.084825180916</v>
      </c>
      <c r="I45" s="18" t="n">
        <f aca="false">I12+I7*da_rev-I15</f>
        <v>74.9581628801013</v>
      </c>
      <c r="J45" s="18" t="n">
        <f aca="false">J12+J7*da_rev-J15</f>
        <v>34.2647737969029</v>
      </c>
      <c r="K45" s="18" t="n">
        <f aca="false">K12+K7*da_rev-K15</f>
        <v>28.8248074141394</v>
      </c>
      <c r="L45" s="19" t="n">
        <f aca="false">L12+L7*(da_rev-cx_rev)</f>
        <v>104.268303085864</v>
      </c>
      <c r="M45" s="19" t="n">
        <f aca="false">M12+M7*(da_rev-cx_rev)</f>
        <v>112.585929812711</v>
      </c>
      <c r="N45" s="19" t="n">
        <f aca="false">N12+N7*(da_rev-cx_rev)</f>
        <v>119.341085601473</v>
      </c>
      <c r="O45" s="19" t="n">
        <f aca="false">O12+O7*(da_rev-cx_rev)</f>
        <v>74.2886354489329</v>
      </c>
      <c r="P45" s="19" t="n">
        <f aca="false">P12+P7*(da_rev-cx_rev)</f>
        <v>76.6971121866176</v>
      </c>
      <c r="Q45" s="19" t="n">
        <f aca="false">Q12+Q7*(da_rev-cx_rev)</f>
        <v>77.5804078255122</v>
      </c>
      <c r="R45" s="19" t="n">
        <f aca="false">R12+R7*(da_rev-cx_rev)</f>
        <v>51.7674578095515</v>
      </c>
      <c r="S45" s="19" t="n">
        <f aca="false">S12+S7*(da_rev-cx_rev)</f>
        <v>52.3979313685811</v>
      </c>
      <c r="T45" s="19" t="n">
        <f aca="false">T12+T7*(da_rev-cx_rev)</f>
        <v>52.9072830265268</v>
      </c>
    </row>
    <row r="46" customFormat="false" ht="17.15" hidden="false" customHeight="false" outlineLevel="0" collapsed="false">
      <c r="A46" s="4" t="s">
        <v>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614</v>
      </c>
    </row>
    <row r="3" customFormat="false" ht="17.15" hidden="false" customHeight="false" outlineLevel="0" collapsed="false">
      <c r="A3" s="5" t="s">
        <v>615</v>
      </c>
      <c r="B3" s="5" t="s">
        <v>616</v>
      </c>
      <c r="C3" s="15" t="s">
        <v>617</v>
      </c>
      <c r="D3" s="5" t="s">
        <v>618</v>
      </c>
      <c r="E3" s="15" t="s">
        <v>619</v>
      </c>
      <c r="F3" s="5" t="s">
        <v>620</v>
      </c>
      <c r="G3" s="5" t="s">
        <v>621</v>
      </c>
    </row>
    <row r="4" customFormat="false" ht="15" hidden="false" customHeight="false" outlineLevel="0" collapsed="false">
      <c r="A4" s="0" t="s">
        <v>622</v>
      </c>
      <c r="B4" s="0" t="n">
        <f aca="false">pe_1</f>
        <v>15</v>
      </c>
      <c r="C4" s="0" t="s">
        <v>534</v>
      </c>
      <c r="D4" s="0" t="s">
        <v>623</v>
      </c>
      <c r="E4" s="18" t="n">
        <f aca="false">PL!C13</f>
        <v>137.672261926799</v>
      </c>
      <c r="F4" s="16" t="n">
        <f aca="false">B4*E4</f>
        <v>2065.08392890198</v>
      </c>
      <c r="G4" s="17" t="n">
        <f aca="false">F4/px-1</f>
        <v>-0.134136717441518</v>
      </c>
    </row>
    <row r="5" customFormat="false" ht="15" hidden="false" customHeight="false" outlineLevel="0" collapsed="false">
      <c r="A5" s="0" t="s">
        <v>622</v>
      </c>
      <c r="B5" s="0" t="n">
        <f aca="false">pe_2</f>
        <v>20.5</v>
      </c>
      <c r="C5" s="0" t="s">
        <v>534</v>
      </c>
      <c r="D5" s="0" t="s">
        <v>623</v>
      </c>
      <c r="E5" s="18" t="n">
        <f aca="false">PL!C13</f>
        <v>137.672261926799</v>
      </c>
      <c r="F5" s="16" t="n">
        <f aca="false">B5*E5</f>
        <v>2822.28136949937</v>
      </c>
      <c r="G5" s="17" t="n">
        <f aca="false">F5/px-1</f>
        <v>0.183346486163258</v>
      </c>
    </row>
    <row r="6" customFormat="false" ht="15" hidden="false" customHeight="false" outlineLevel="0" collapsed="false">
      <c r="A6" s="0" t="s">
        <v>622</v>
      </c>
      <c r="B6" s="0" t="n">
        <f aca="false">pe_3</f>
        <v>32.7</v>
      </c>
      <c r="C6" s="0" t="s">
        <v>534</v>
      </c>
      <c r="D6" s="0" t="s">
        <v>623</v>
      </c>
      <c r="E6" s="18" t="n">
        <f aca="false">PL!C13</f>
        <v>137.672261926799</v>
      </c>
      <c r="F6" s="16" t="n">
        <f aca="false">B6*E6</f>
        <v>4501.88296500631</v>
      </c>
      <c r="G6" s="17" t="n">
        <f aca="false">F6/px-1</f>
        <v>0.88758195597749</v>
      </c>
    </row>
    <row r="7" customFormat="false" ht="15" hidden="false" customHeight="false" outlineLevel="0" collapsed="false">
      <c r="A7" s="0" t="s">
        <v>622</v>
      </c>
      <c r="B7" s="0" t="n">
        <f aca="false">pe_1</f>
        <v>15</v>
      </c>
      <c r="C7" s="0" t="s">
        <v>535</v>
      </c>
      <c r="D7" s="0" t="s">
        <v>623</v>
      </c>
      <c r="E7" s="18" t="n">
        <f aca="false">PL!D13</f>
        <v>157.8242609337</v>
      </c>
      <c r="F7" s="16" t="n">
        <f aca="false">B7*E7</f>
        <v>2367.3639140055</v>
      </c>
      <c r="G7" s="17" t="n">
        <f aca="false">F7/px-1</f>
        <v>-0.00739458532264126</v>
      </c>
    </row>
    <row r="8" customFormat="false" ht="15" hidden="false" customHeight="false" outlineLevel="0" collapsed="false">
      <c r="A8" s="0" t="s">
        <v>622</v>
      </c>
      <c r="B8" s="0" t="n">
        <f aca="false">pe_2</f>
        <v>20.5</v>
      </c>
      <c r="C8" s="0" t="s">
        <v>535</v>
      </c>
      <c r="D8" s="0" t="s">
        <v>623</v>
      </c>
      <c r="E8" s="18" t="n">
        <f aca="false">PL!D13</f>
        <v>157.8242609337</v>
      </c>
      <c r="F8" s="16" t="n">
        <f aca="false">B8*E8</f>
        <v>3235.39734914085</v>
      </c>
      <c r="G8" s="17" t="n">
        <f aca="false">F8/px-1</f>
        <v>0.35656073339239</v>
      </c>
    </row>
    <row r="9" customFormat="false" ht="15" hidden="false" customHeight="false" outlineLevel="0" collapsed="false">
      <c r="A9" s="0" t="s">
        <v>622</v>
      </c>
      <c r="B9" s="0" t="n">
        <f aca="false">pe_3</f>
        <v>32.7</v>
      </c>
      <c r="C9" s="0" t="s">
        <v>535</v>
      </c>
      <c r="D9" s="0" t="s">
        <v>623</v>
      </c>
      <c r="E9" s="18" t="n">
        <f aca="false">PL!D13</f>
        <v>157.8242609337</v>
      </c>
      <c r="F9" s="16" t="n">
        <f aca="false">B9*E9</f>
        <v>5160.85333253199</v>
      </c>
      <c r="G9" s="17" t="n">
        <f aca="false">F9/px-1</f>
        <v>1.16387980399664</v>
      </c>
    </row>
    <row r="10" customFormat="false" ht="15" hidden="false" customHeight="false" outlineLevel="0" collapsed="false">
      <c r="A10" s="0" t="s">
        <v>622</v>
      </c>
      <c r="B10" s="0" t="n">
        <f aca="false">pe_1</f>
        <v>15</v>
      </c>
      <c r="C10" s="0" t="s">
        <v>534</v>
      </c>
      <c r="D10" s="0" t="s">
        <v>624</v>
      </c>
      <c r="E10" s="18" t="n">
        <f aca="false">PL!F13</f>
        <v>137.672261926799</v>
      </c>
      <c r="F10" s="16" t="n">
        <f aca="false">B10*E10</f>
        <v>2065.08392890198</v>
      </c>
      <c r="G10" s="17" t="n">
        <f aca="false">F10/px-1</f>
        <v>-0.134136717441518</v>
      </c>
    </row>
    <row r="11" customFormat="false" ht="15" hidden="false" customHeight="false" outlineLevel="0" collapsed="false">
      <c r="A11" s="0" t="s">
        <v>622</v>
      </c>
      <c r="B11" s="0" t="n">
        <f aca="false">pe_2</f>
        <v>20.5</v>
      </c>
      <c r="C11" s="0" t="s">
        <v>534</v>
      </c>
      <c r="D11" s="0" t="s">
        <v>624</v>
      </c>
      <c r="E11" s="18" t="n">
        <f aca="false">PL!F13</f>
        <v>137.672261926799</v>
      </c>
      <c r="F11" s="16" t="n">
        <f aca="false">B11*E11</f>
        <v>2822.28136949937</v>
      </c>
      <c r="G11" s="17" t="n">
        <f aca="false">F11/px-1</f>
        <v>0.183346486163258</v>
      </c>
    </row>
    <row r="12" customFormat="false" ht="15" hidden="false" customHeight="false" outlineLevel="0" collapsed="false">
      <c r="A12" s="0" t="s">
        <v>622</v>
      </c>
      <c r="B12" s="0" t="n">
        <f aca="false">pe_3</f>
        <v>32.7</v>
      </c>
      <c r="C12" s="0" t="s">
        <v>534</v>
      </c>
      <c r="D12" s="0" t="s">
        <v>624</v>
      </c>
      <c r="E12" s="18" t="n">
        <f aca="false">PL!F13</f>
        <v>137.672261926799</v>
      </c>
      <c r="F12" s="16" t="n">
        <f aca="false">B12*E12</f>
        <v>4501.88296500631</v>
      </c>
      <c r="G12" s="17" t="n">
        <f aca="false">F12/px-1</f>
        <v>0.88758195597749</v>
      </c>
    </row>
    <row r="13" customFormat="false" ht="15" hidden="false" customHeight="false" outlineLevel="0" collapsed="false">
      <c r="A13" s="0" t="s">
        <v>622</v>
      </c>
      <c r="B13" s="0" t="n">
        <f aca="false">pe_1</f>
        <v>15</v>
      </c>
      <c r="C13" s="0" t="s">
        <v>535</v>
      </c>
      <c r="D13" s="0" t="s">
        <v>624</v>
      </c>
      <c r="E13" s="18" t="n">
        <f aca="false">PL!G13</f>
        <v>129.630072463642</v>
      </c>
      <c r="F13" s="16" t="n">
        <f aca="false">B13*E13</f>
        <v>1944.45108695462</v>
      </c>
      <c r="G13" s="17" t="n">
        <f aca="false">F13/px-1</f>
        <v>-0.184716525385902</v>
      </c>
    </row>
    <row r="14" customFormat="false" ht="15" hidden="false" customHeight="false" outlineLevel="0" collapsed="false">
      <c r="A14" s="0" t="s">
        <v>622</v>
      </c>
      <c r="B14" s="0" t="n">
        <f aca="false">pe_2</f>
        <v>20.5</v>
      </c>
      <c r="C14" s="0" t="s">
        <v>535</v>
      </c>
      <c r="D14" s="0" t="s">
        <v>624</v>
      </c>
      <c r="E14" s="18" t="n">
        <f aca="false">PL!G13</f>
        <v>129.630072463642</v>
      </c>
      <c r="F14" s="16" t="n">
        <f aca="false">B14*E14</f>
        <v>2657.41648550465</v>
      </c>
      <c r="G14" s="17" t="n">
        <f aca="false">F14/px-1</f>
        <v>0.114220748639267</v>
      </c>
    </row>
    <row r="15" customFormat="false" ht="15" hidden="false" customHeight="false" outlineLevel="0" collapsed="false">
      <c r="A15" s="0" t="s">
        <v>622</v>
      </c>
      <c r="B15" s="0" t="n">
        <f aca="false">pe_3</f>
        <v>32.7</v>
      </c>
      <c r="C15" s="0" t="s">
        <v>535</v>
      </c>
      <c r="D15" s="0" t="s">
        <v>624</v>
      </c>
      <c r="E15" s="18" t="n">
        <f aca="false">PL!G13</f>
        <v>129.630072463642</v>
      </c>
      <c r="F15" s="16" t="n">
        <f aca="false">B15*E15</f>
        <v>4238.90336956108</v>
      </c>
      <c r="G15" s="17" t="n">
        <f aca="false">F15/px-1</f>
        <v>0.777317974658733</v>
      </c>
    </row>
    <row r="16" customFormat="false" ht="15" hidden="false" customHeight="false" outlineLevel="0" collapsed="false">
      <c r="A16" s="0" t="s">
        <v>622</v>
      </c>
      <c r="B16" s="0" t="n">
        <f aca="false">pe_1</f>
        <v>15</v>
      </c>
      <c r="C16" s="0" t="s">
        <v>534</v>
      </c>
      <c r="D16" s="0" t="s">
        <v>625</v>
      </c>
      <c r="E16" s="18" t="n">
        <f aca="false">PL!I13</f>
        <v>137.672261926799</v>
      </c>
      <c r="F16" s="16" t="n">
        <f aca="false">B16*E16</f>
        <v>2065.08392890198</v>
      </c>
      <c r="G16" s="17" t="n">
        <f aca="false">F16/px-1</f>
        <v>-0.134136717441518</v>
      </c>
    </row>
    <row r="17" customFormat="false" ht="15" hidden="false" customHeight="false" outlineLevel="0" collapsed="false">
      <c r="A17" s="0" t="s">
        <v>622</v>
      </c>
      <c r="B17" s="0" t="n">
        <f aca="false">pe_2</f>
        <v>20.5</v>
      </c>
      <c r="C17" s="0" t="s">
        <v>534</v>
      </c>
      <c r="D17" s="0" t="s">
        <v>625</v>
      </c>
      <c r="E17" s="18" t="n">
        <f aca="false">PL!I13</f>
        <v>137.672261926799</v>
      </c>
      <c r="F17" s="16" t="n">
        <f aca="false">B17*E17</f>
        <v>2822.28136949937</v>
      </c>
      <c r="G17" s="17" t="n">
        <f aca="false">F17/px-1</f>
        <v>0.183346486163258</v>
      </c>
    </row>
    <row r="18" customFormat="false" ht="15" hidden="false" customHeight="false" outlineLevel="0" collapsed="false">
      <c r="A18" s="0" t="s">
        <v>622</v>
      </c>
      <c r="B18" s="0" t="n">
        <f aca="false">pe_3</f>
        <v>32.7</v>
      </c>
      <c r="C18" s="0" t="s">
        <v>534</v>
      </c>
      <c r="D18" s="0" t="s">
        <v>625</v>
      </c>
      <c r="E18" s="18" t="n">
        <f aca="false">PL!I13</f>
        <v>137.672261926799</v>
      </c>
      <c r="F18" s="16" t="n">
        <f aca="false">B18*E18</f>
        <v>4501.88296500631</v>
      </c>
      <c r="G18" s="17" t="n">
        <f aca="false">F18/px-1</f>
        <v>0.88758195597749</v>
      </c>
    </row>
    <row r="19" customFormat="false" ht="15" hidden="false" customHeight="false" outlineLevel="0" collapsed="false">
      <c r="A19" s="0" t="s">
        <v>622</v>
      </c>
      <c r="B19" s="0" t="n">
        <f aca="false">pe_1</f>
        <v>15</v>
      </c>
      <c r="C19" s="0" t="s">
        <v>535</v>
      </c>
      <c r="D19" s="0" t="s">
        <v>625</v>
      </c>
      <c r="E19" s="18" t="n">
        <f aca="false">PL!J13</f>
        <v>106.493550364294</v>
      </c>
      <c r="F19" s="16" t="n">
        <f aca="false">B19*E19</f>
        <v>1597.40325546441</v>
      </c>
      <c r="G19" s="17" t="n">
        <f aca="false">F19/px-1</f>
        <v>-0.330229242991863</v>
      </c>
    </row>
    <row r="20" customFormat="false" ht="15" hidden="false" customHeight="false" outlineLevel="0" collapsed="false">
      <c r="A20" s="0" t="s">
        <v>622</v>
      </c>
      <c r="B20" s="0" t="n">
        <f aca="false">pe_2</f>
        <v>20.5</v>
      </c>
      <c r="C20" s="0" t="s">
        <v>535</v>
      </c>
      <c r="D20" s="0" t="s">
        <v>625</v>
      </c>
      <c r="E20" s="18" t="n">
        <f aca="false">PL!J13</f>
        <v>106.493550364294</v>
      </c>
      <c r="F20" s="16" t="n">
        <f aca="false">B20*E20</f>
        <v>2183.11778246802</v>
      </c>
      <c r="G20" s="17" t="n">
        <f aca="false">F20/px-1</f>
        <v>-0.0846466320888792</v>
      </c>
    </row>
    <row r="21" customFormat="false" ht="15" hidden="false" customHeight="false" outlineLevel="0" collapsed="false">
      <c r="A21" s="0" t="s">
        <v>622</v>
      </c>
      <c r="B21" s="0" t="n">
        <f aca="false">pe_3</f>
        <v>32.7</v>
      </c>
      <c r="C21" s="0" t="s">
        <v>535</v>
      </c>
      <c r="D21" s="0" t="s">
        <v>625</v>
      </c>
      <c r="E21" s="18" t="n">
        <f aca="false">PL!J13</f>
        <v>106.493550364294</v>
      </c>
      <c r="F21" s="16" t="n">
        <f aca="false">B21*E21</f>
        <v>3482.33909691241</v>
      </c>
      <c r="G21" s="17" t="n">
        <f aca="false">F21/px-1</f>
        <v>0.460100250277739</v>
      </c>
    </row>
    <row r="23" customFormat="false" ht="17.15" hidden="false" customHeight="false" outlineLevel="0" collapsed="false">
      <c r="A23" s="4" t="s">
        <v>626</v>
      </c>
    </row>
    <row r="26" customFormat="false" ht="17.15" hidden="false" customHeight="false" outlineLevel="0" collapsed="false">
      <c r="A26" s="6" t="s">
        <v>627</v>
      </c>
    </row>
    <row r="27" customFormat="false" ht="17.15" hidden="false" customHeight="false" outlineLevel="0" collapsed="false">
      <c r="A27" s="4" t="s">
        <v>628</v>
      </c>
    </row>
    <row r="29" customFormat="false" ht="17.15" hidden="false" customHeight="false" outlineLevel="0" collapsed="false">
      <c r="A29" s="6" t="s">
        <v>629</v>
      </c>
    </row>
    <row r="30" customFormat="false" ht="15" hidden="false" customHeight="false" outlineLevel="0" collapsed="false">
      <c r="A30" s="5" t="s">
        <v>630</v>
      </c>
      <c r="B30" s="15" t="s">
        <v>631</v>
      </c>
      <c r="C30" s="15" t="s">
        <v>632</v>
      </c>
      <c r="D30" s="5" t="s">
        <v>633</v>
      </c>
    </row>
    <row r="31" customFormat="false" ht="17.15" hidden="false" customHeight="false" outlineLevel="0" collapsed="false">
      <c r="A31" s="0" t="s">
        <v>634</v>
      </c>
      <c r="B31" s="24" t="n">
        <v>14.5</v>
      </c>
      <c r="C31" s="24" t="n">
        <v>11.6</v>
      </c>
      <c r="D31" s="8" t="s">
        <v>635</v>
      </c>
    </row>
    <row r="32" customFormat="false" ht="15" hidden="false" customHeight="false" outlineLevel="0" collapsed="false">
      <c r="A32" s="0" t="s">
        <v>636</v>
      </c>
      <c r="B32" s="24" t="n">
        <v>17.71</v>
      </c>
      <c r="C32" s="24" t="n">
        <v>14.8</v>
      </c>
    </row>
    <row r="33" customFormat="false" ht="15" hidden="false" customHeight="false" outlineLevel="0" collapsed="false">
      <c r="A33" s="0" t="s">
        <v>637</v>
      </c>
      <c r="B33" s="24" t="n">
        <v>16.13</v>
      </c>
      <c r="C33" s="24" t="n">
        <v>14.2</v>
      </c>
    </row>
    <row r="34" customFormat="false" ht="15" hidden="false" customHeight="false" outlineLevel="0" collapsed="false">
      <c r="A34" s="0" t="s">
        <v>638</v>
      </c>
      <c r="B34" s="24" t="n">
        <v>25.62</v>
      </c>
      <c r="C34" s="24" t="n">
        <v>23.5</v>
      </c>
    </row>
    <row r="35" customFormat="false" ht="15" hidden="false" customHeight="false" outlineLevel="0" collapsed="false">
      <c r="A35" s="0" t="s">
        <v>639</v>
      </c>
      <c r="B35" s="24" t="n">
        <v>31.11</v>
      </c>
      <c r="C35" s="24" t="n">
        <v>28.3</v>
      </c>
    </row>
    <row r="36" customFormat="false" ht="15" hidden="false" customHeight="false" outlineLevel="0" collapsed="false">
      <c r="A36" s="0" t="s">
        <v>640</v>
      </c>
      <c r="B36" s="24" t="n">
        <v>29.18</v>
      </c>
      <c r="C36" s="24" t="n">
        <v>27.2</v>
      </c>
    </row>
    <row r="37" customFormat="false" ht="15" hidden="false" customHeight="false" outlineLevel="0" collapsed="false">
      <c r="A37" s="0" t="s">
        <v>641</v>
      </c>
      <c r="B37" s="24" t="n">
        <v>11.94</v>
      </c>
      <c r="C37" s="24" t="n">
        <v>11.2</v>
      </c>
    </row>
    <row r="38" customFormat="false" ht="15" hidden="false" customHeight="false" outlineLevel="0" collapsed="false">
      <c r="A38" s="0" t="s">
        <v>642</v>
      </c>
      <c r="B38" s="24" t="n">
        <v>19.46</v>
      </c>
      <c r="C38" s="24" t="n">
        <v>19.3</v>
      </c>
    </row>
    <row r="39" customFormat="false" ht="15" hidden="false" customHeight="false" outlineLevel="0" collapsed="false">
      <c r="A39" s="0" t="s">
        <v>643</v>
      </c>
      <c r="B39" s="24" t="n">
        <v>28.72</v>
      </c>
      <c r="C39" s="24" t="n">
        <v>28.8</v>
      </c>
    </row>
    <row r="40" customFormat="false" ht="15" hidden="false" customHeight="false" outlineLevel="0" collapsed="false">
      <c r="A40" s="0" t="s">
        <v>644</v>
      </c>
      <c r="B40" s="24" t="n">
        <v>29.03</v>
      </c>
      <c r="C40" s="24" t="n">
        <v>28.3</v>
      </c>
    </row>
    <row r="41" customFormat="false" ht="17.15" hidden="false" customHeight="false" outlineLevel="0" collapsed="false">
      <c r="A41" s="0" t="s">
        <v>645</v>
      </c>
      <c r="B41" s="23" t="n">
        <f aca="false">PERCENTILE(B31:B40,0.25)</f>
        <v>16.525</v>
      </c>
      <c r="C41" s="23" t="n">
        <f aca="false">PERCENTILE(C31:C40,0.25)</f>
        <v>14.35</v>
      </c>
    </row>
    <row r="42" customFormat="false" ht="15" hidden="false" customHeight="false" outlineLevel="0" collapsed="false">
      <c r="A42" s="4" t="s">
        <v>646</v>
      </c>
      <c r="B42" s="23" t="n">
        <f aca="false">MEDIAN(B31:B40)</f>
        <v>22.54</v>
      </c>
      <c r="C42" s="23" t="n">
        <f aca="false">MEDIAN(C31:C40)</f>
        <v>21.4</v>
      </c>
    </row>
    <row r="43" customFormat="false" ht="17.15" hidden="false" customHeight="false" outlineLevel="0" collapsed="false">
      <c r="A43" s="0" t="s">
        <v>647</v>
      </c>
      <c r="B43" s="23" t="n">
        <f aca="false">PERCENTILE(B31:B40,0.75)</f>
        <v>28.9525</v>
      </c>
      <c r="C43" s="23" t="n">
        <f aca="false">PERCENTILE(C31:C40,0.75)</f>
        <v>28.025</v>
      </c>
    </row>
    <row r="44" customFormat="false" ht="15" hidden="false" customHeight="false" outlineLevel="0" collapsed="false">
      <c r="A44" s="4" t="s">
        <v>648</v>
      </c>
      <c r="B44" s="23" t="n">
        <f aca="false">MIN(B31:B40)</f>
        <v>11.94</v>
      </c>
      <c r="C44" s="23" t="n">
        <f aca="false">MIN(C31:C40)</f>
        <v>11.2</v>
      </c>
    </row>
    <row r="45" customFormat="false" ht="15" hidden="false" customHeight="false" outlineLevel="0" collapsed="false">
      <c r="A45" s="4" t="s">
        <v>649</v>
      </c>
      <c r="B45" s="23" t="n">
        <f aca="false">MAX(B31:B40)</f>
        <v>31.11</v>
      </c>
      <c r="C45" s="23" t="n">
        <f aca="false">MAX(C31:C40)</f>
        <v>28.8</v>
      </c>
    </row>
    <row r="46" customFormat="false" ht="17.15" hidden="false" customHeight="false" outlineLevel="0" collapsed="false">
      <c r="A46" s="1" t="s">
        <v>650</v>
      </c>
      <c r="B46" s="23" t="n">
        <f aca="false">ROUND(AVERAGE(B41,C41),2)</f>
        <v>15.44</v>
      </c>
    </row>
    <row r="47" customFormat="false" ht="17.15" hidden="false" customHeight="false" outlineLevel="0" collapsed="false">
      <c r="A47" s="1" t="s">
        <v>651</v>
      </c>
      <c r="B47" s="23" t="n">
        <f aca="false">ROUND(AVERAGE(B42,C42),2)</f>
        <v>21.97</v>
      </c>
    </row>
    <row r="48" customFormat="false" ht="17.15" hidden="false" customHeight="false" outlineLevel="0" collapsed="false">
      <c r="A48" s="1" t="s">
        <v>652</v>
      </c>
      <c r="B48" s="23" t="n">
        <f aca="false">ROUND(AVERAGE(B43,C43),2)</f>
        <v>28.49</v>
      </c>
    </row>
    <row r="49" customFormat="false" ht="17.15" hidden="false" customHeight="false" outlineLevel="0" collapsed="false">
      <c r="A49" s="1" t="s">
        <v>653</v>
      </c>
      <c r="B49" s="23" t="n">
        <f aca="false">ROUND(MIN(B44,C44),2)</f>
        <v>11.2</v>
      </c>
    </row>
    <row r="50" customFormat="false" ht="17.15" hidden="false" customHeight="false" outlineLevel="0" collapsed="false">
      <c r="A50" s="1" t="s">
        <v>654</v>
      </c>
      <c r="B50" s="23" t="n">
        <f aca="false">ROUND(MAX(B45,C45),2)</f>
        <v>31.11</v>
      </c>
    </row>
    <row r="52" customFormat="false" ht="17.15" hidden="false" customHeight="false" outlineLevel="0" collapsed="false">
      <c r="A52" s="6" t="s">
        <v>655</v>
      </c>
    </row>
    <row r="53" customFormat="false" ht="17.15" hidden="false" customHeight="false" outlineLevel="0" collapsed="false">
      <c r="A53" s="5" t="s">
        <v>656</v>
      </c>
      <c r="B53" s="5" t="s">
        <v>657</v>
      </c>
      <c r="C53" s="5" t="s">
        <v>616</v>
      </c>
      <c r="D53" s="5" t="s">
        <v>25</v>
      </c>
      <c r="E53" s="5" t="s">
        <v>658</v>
      </c>
      <c r="F53" s="5" t="s">
        <v>620</v>
      </c>
      <c r="G53" s="5" t="s">
        <v>621</v>
      </c>
      <c r="H53" s="5" t="s">
        <v>659</v>
      </c>
    </row>
    <row r="54" customFormat="false" ht="17.15" hidden="false" customHeight="false" outlineLevel="0" collapsed="false">
      <c r="A54" s="4" t="s">
        <v>660</v>
      </c>
      <c r="B54" s="4" t="s">
        <v>661</v>
      </c>
      <c r="C54" s="23" t="n">
        <f aca="false">B47</f>
        <v>21.97</v>
      </c>
      <c r="D54" s="8" t="s">
        <v>662</v>
      </c>
      <c r="E54" s="18" t="n">
        <f aca="false">PL!C13</f>
        <v>137.672261926799</v>
      </c>
      <c r="F54" s="25" t="n">
        <f aca="false">C54*E54</f>
        <v>3024.65959453177</v>
      </c>
      <c r="G54" s="14" t="n">
        <f aca="false">F54/px-1</f>
        <v>0.26820108785399</v>
      </c>
      <c r="H54" s="23" t="n">
        <f aca="false">px/E54</f>
        <v>17.3237511073082</v>
      </c>
    </row>
    <row r="55" customFormat="false" ht="17.15" hidden="false" customHeight="false" outlineLevel="0" collapsed="false">
      <c r="A55" s="4" t="s">
        <v>663</v>
      </c>
      <c r="B55" s="0" t="s">
        <v>664</v>
      </c>
      <c r="C55" s="23" t="n">
        <f aca="false">B46</f>
        <v>15.44</v>
      </c>
      <c r="D55" s="8" t="s">
        <v>662</v>
      </c>
      <c r="E55" s="18" t="n">
        <f aca="false">PL!C13</f>
        <v>137.672261926799</v>
      </c>
      <c r="F55" s="25" t="n">
        <f aca="false">C55*E55</f>
        <v>2125.65972414977</v>
      </c>
      <c r="G55" s="14" t="n">
        <f aca="false">F55/px-1</f>
        <v>-0.108738061153136</v>
      </c>
      <c r="H55" s="23" t="n">
        <f aca="false">px/E55</f>
        <v>17.3237511073082</v>
      </c>
    </row>
    <row r="56" customFormat="false" ht="17.15" hidden="false" customHeight="false" outlineLevel="0" collapsed="false">
      <c r="A56" s="4" t="s">
        <v>665</v>
      </c>
      <c r="B56" s="0" t="s">
        <v>666</v>
      </c>
      <c r="C56" s="23" t="n">
        <f aca="false">B48</f>
        <v>28.49</v>
      </c>
      <c r="D56" s="8" t="s">
        <v>662</v>
      </c>
      <c r="E56" s="18" t="n">
        <f aca="false">PL!C13</f>
        <v>137.672261926799</v>
      </c>
      <c r="F56" s="25" t="n">
        <f aca="false">C56*E56</f>
        <v>3922.28274229449</v>
      </c>
      <c r="G56" s="14" t="n">
        <f aca="false">F56/px-1</f>
        <v>0.644562994672743</v>
      </c>
      <c r="H56" s="23" t="n">
        <f aca="false">px/E56</f>
        <v>17.3237511073082</v>
      </c>
    </row>
    <row r="57" customFormat="false" ht="17.15" hidden="false" customHeight="false" outlineLevel="0" collapsed="false">
      <c r="A57" s="4" t="s">
        <v>667</v>
      </c>
      <c r="B57" s="4" t="s">
        <v>668</v>
      </c>
      <c r="C57" s="23" t="n">
        <f aca="false">B48</f>
        <v>28.49</v>
      </c>
      <c r="D57" s="8" t="s">
        <v>669</v>
      </c>
      <c r="E57" s="18" t="n">
        <f aca="false">PL!J13</f>
        <v>106.493550364294</v>
      </c>
      <c r="F57" s="25" t="n">
        <f aca="false">C57*E57</f>
        <v>3034.00124987873</v>
      </c>
      <c r="G57" s="14" t="n">
        <f aca="false">F57/px-1</f>
        <v>0.272117924477455</v>
      </c>
      <c r="H57" s="23" t="n">
        <f aca="false">px/E57</f>
        <v>22.3957224812336</v>
      </c>
    </row>
    <row r="59" customFormat="false" ht="17.15" hidden="false" customHeight="false" outlineLevel="0" collapsed="false">
      <c r="A59" s="6" t="s">
        <v>670</v>
      </c>
    </row>
    <row r="60" customFormat="false" ht="17.15" hidden="false" customHeight="false" outlineLevel="0" collapsed="false">
      <c r="A60" s="6" t="s">
        <v>671</v>
      </c>
    </row>
    <row r="61" customFormat="false" ht="17.15" hidden="false" customHeight="false" outlineLevel="0" collapsed="false">
      <c r="A61" s="5" t="s">
        <v>22</v>
      </c>
      <c r="B61" s="15" t="s">
        <v>672</v>
      </c>
      <c r="C61" s="15" t="s">
        <v>673</v>
      </c>
      <c r="D61" s="15" t="s">
        <v>674</v>
      </c>
      <c r="E61" s="5" t="s">
        <v>537</v>
      </c>
    </row>
    <row r="62" customFormat="false" ht="17.15" hidden="false" customHeight="false" outlineLevel="0" collapsed="false">
      <c r="A62" s="4" t="s">
        <v>675</v>
      </c>
      <c r="E62" s="0" t="s">
        <v>676</v>
      </c>
    </row>
    <row r="63" customFormat="false" ht="15" hidden="false" customHeight="false" outlineLevel="0" collapsed="false">
      <c r="A63" s="0" t="s">
        <v>677</v>
      </c>
      <c r="B63" s="23" t="n">
        <f aca="false">PL!C13</f>
        <v>137.672261926799</v>
      </c>
      <c r="C63" s="23" t="n">
        <f aca="false">PL!F13</f>
        <v>137.672261926799</v>
      </c>
      <c r="D63" s="23" t="n">
        <f aca="false">PL!I13</f>
        <v>137.672261926799</v>
      </c>
    </row>
    <row r="64" customFormat="false" ht="15" hidden="false" customHeight="false" outlineLevel="0" collapsed="false">
      <c r="A64" s="0" t="s">
        <v>678</v>
      </c>
      <c r="B64" s="23" t="n">
        <f aca="false">PL!D13</f>
        <v>157.8242609337</v>
      </c>
      <c r="C64" s="23" t="n">
        <f aca="false">PL!G13</f>
        <v>129.630072463642</v>
      </c>
      <c r="D64" s="23" t="n">
        <f aca="false">PL!J13</f>
        <v>106.493550364294</v>
      </c>
    </row>
    <row r="65" customFormat="false" ht="15" hidden="false" customHeight="false" outlineLevel="0" collapsed="false">
      <c r="A65" s="0" t="s">
        <v>679</v>
      </c>
      <c r="B65" s="23" t="n">
        <f aca="false">PL!E13</f>
        <v>173.471956577499</v>
      </c>
      <c r="C65" s="23" t="n">
        <f aca="false">PL!H13</f>
        <v>137.205877264782</v>
      </c>
      <c r="D65" s="23" t="n">
        <f aca="false">PL!K13</f>
        <v>104.67889318547</v>
      </c>
    </row>
    <row r="66" customFormat="false" ht="15" hidden="false" customHeight="false" outlineLevel="0" collapsed="false">
      <c r="A66" s="0" t="s">
        <v>680</v>
      </c>
      <c r="B66" s="23" t="n">
        <f aca="false">PL!L13</f>
        <v>190.739834914149</v>
      </c>
      <c r="C66" s="23" t="n">
        <f aca="false">PL!O13</f>
        <v>145.929458926987</v>
      </c>
      <c r="D66" s="23" t="n">
        <f aca="false">PL!R13</f>
        <v>106.633203709589</v>
      </c>
    </row>
    <row r="67" customFormat="false" ht="15" hidden="false" customHeight="false" outlineLevel="0" collapsed="false">
      <c r="A67" s="0" t="s">
        <v>681</v>
      </c>
      <c r="B67" s="23" t="n">
        <f aca="false">PL!M13</f>
        <v>205.955415313974</v>
      </c>
      <c r="C67" s="23" t="n">
        <f aca="false">PL!P13</f>
        <v>152.194541004883</v>
      </c>
      <c r="D67" s="23" t="n">
        <f aca="false">PL!S13</f>
        <v>108.367923160734</v>
      </c>
    </row>
    <row r="68" customFormat="false" ht="15" hidden="false" customHeight="false" outlineLevel="0" collapsed="false">
      <c r="A68" s="0" t="s">
        <v>682</v>
      </c>
      <c r="B68" s="23" t="n">
        <f aca="false">PL!N13</f>
        <v>218.312740232812</v>
      </c>
      <c r="C68" s="23" t="n">
        <f aca="false">PL!Q13</f>
        <v>155.586339492195</v>
      </c>
      <c r="D68" s="23" t="n">
        <f aca="false">PL!T13</f>
        <v>109.870591187326</v>
      </c>
    </row>
    <row r="69" customFormat="false" ht="17.15" hidden="false" customHeight="false" outlineLevel="0" collapsed="false">
      <c r="A69" s="4" t="s">
        <v>683</v>
      </c>
      <c r="E69" s="4" t="s">
        <v>684</v>
      </c>
    </row>
    <row r="70" customFormat="false" ht="17.15" hidden="false" customHeight="false" outlineLevel="0" collapsed="false">
      <c r="A70" s="4" t="s">
        <v>685</v>
      </c>
      <c r="B70" s="14" t="n">
        <f aca="false">MIN(tp_g/tp_roe,0.8)</f>
        <v>0.130875777074926</v>
      </c>
      <c r="E70" s="8" t="s">
        <v>686</v>
      </c>
    </row>
    <row r="71" customFormat="false" ht="15" hidden="false" customHeight="false" outlineLevel="0" collapsed="false">
      <c r="A71" s="0" t="s">
        <v>677</v>
      </c>
      <c r="B71" s="23" t="n">
        <f aca="false">B63*(1-$B$70)</f>
        <v>119.654297665466</v>
      </c>
      <c r="C71" s="23" t="n">
        <f aca="false">C63*(1-$B$70)</f>
        <v>119.654297665466</v>
      </c>
      <c r="D71" s="23" t="n">
        <f aca="false">D63*(1-$B$70)</f>
        <v>119.654297665466</v>
      </c>
    </row>
    <row r="72" customFormat="false" ht="15" hidden="false" customHeight="false" outlineLevel="0" collapsed="false">
      <c r="A72" s="0" t="s">
        <v>678</v>
      </c>
      <c r="B72" s="23" t="n">
        <f aca="false">B64*(1-$B$70)</f>
        <v>137.168888142726</v>
      </c>
      <c r="C72" s="23" t="n">
        <f aca="false">C64*(1-$B$70)</f>
        <v>112.664635997683</v>
      </c>
      <c r="D72" s="23" t="n">
        <f aca="false">D64*(1-$B$70)</f>
        <v>92.5561242068991</v>
      </c>
    </row>
    <row r="73" customFormat="false" ht="15" hidden="false" customHeight="false" outlineLevel="0" collapsed="false">
      <c r="A73" s="0" t="s">
        <v>679</v>
      </c>
      <c r="B73" s="23" t="n">
        <f aca="false">B65*(1-$B$70)</f>
        <v>150.768679459711</v>
      </c>
      <c r="C73" s="23" t="n">
        <f aca="false">C65*(1-$B$70)</f>
        <v>119.248951458507</v>
      </c>
      <c r="D73" s="23" t="n">
        <f aca="false">D65*(1-$B$70)</f>
        <v>90.9789616964785</v>
      </c>
    </row>
    <row r="74" customFormat="false" ht="15" hidden="false" customHeight="false" outlineLevel="0" collapsed="false">
      <c r="A74" s="0" t="s">
        <v>680</v>
      </c>
      <c r="B74" s="23" t="n">
        <f aca="false">B66*(1-$B$70)</f>
        <v>165.776610800616</v>
      </c>
      <c r="C74" s="23" t="n">
        <f aca="false">C66*(1-$B$70)</f>
        <v>126.830827591794</v>
      </c>
      <c r="D74" s="23" t="n">
        <f aca="false">D66*(1-$B$70)</f>
        <v>92.6775003121079</v>
      </c>
    </row>
    <row r="75" customFormat="false" ht="15" hidden="false" customHeight="false" outlineLevel="0" collapsed="false">
      <c r="A75" s="0" t="s">
        <v>681</v>
      </c>
      <c r="B75" s="23" t="n">
        <f aca="false">B67*(1-$B$70)</f>
        <v>179.000840291968</v>
      </c>
      <c r="C75" s="23" t="n">
        <f aca="false">C67*(1-$B$70)</f>
        <v>132.275962184307</v>
      </c>
      <c r="D75" s="23" t="n">
        <f aca="false">D67*(1-$B$70)</f>
        <v>94.1851870070769</v>
      </c>
    </row>
    <row r="76" customFormat="false" ht="15" hidden="false" customHeight="false" outlineLevel="0" collapsed="false">
      <c r="A76" s="0" t="s">
        <v>682</v>
      </c>
      <c r="B76" s="23" t="n">
        <f aca="false">B68*(1-$B$70)</f>
        <v>189.740890709486</v>
      </c>
      <c r="C76" s="23" t="n">
        <f aca="false">C68*(1-$B$70)</f>
        <v>135.223856408911</v>
      </c>
      <c r="D76" s="23" t="n">
        <f aca="false">D68*(1-$B$70)</f>
        <v>95.4911921880029</v>
      </c>
    </row>
    <row r="77" customFormat="false" ht="17.15" hidden="false" customHeight="false" outlineLevel="0" collapsed="false">
      <c r="A77" s="0" t="s">
        <v>687</v>
      </c>
      <c r="B77" s="16" t="n">
        <f aca="false">SUMPRODUCT(B71:B76,1/(1+tp_r)^{1;2;3;4;5;6})+B76*(1+tp_g)/(tp_r-tp_g)/(1+tp_r)^6</f>
        <v>2523.35660141217</v>
      </c>
      <c r="C77" s="16" t="n">
        <f aca="false">SUMPRODUCT(C71:C76,1/(1+tp_r)^{1;2;3;4;5;6})+C76*(1+tp_g)/(tp_r-tp_g)/(1+tp_r)^6</f>
        <v>1859.63113030873</v>
      </c>
      <c r="D77" s="16" t="n">
        <f aca="false">SUMPRODUCT(D71:D76,1/(1+tp_r)^{1;2;3;4;5;6})+D76*(1+tp_g)/(tp_r-tp_g)/(1+tp_r)^6</f>
        <v>1363.61333325131</v>
      </c>
      <c r="E77" s="8" t="s">
        <v>688</v>
      </c>
    </row>
    <row r="78" customFormat="false" ht="17.15" hidden="false" customHeight="false" outlineLevel="0" collapsed="false">
      <c r="A78" s="0" t="s">
        <v>689</v>
      </c>
      <c r="B78" s="16" t="n">
        <f aca="false">B77*(1+tp_r)</f>
        <v>2775.69226155338</v>
      </c>
      <c r="C78" s="16" t="n">
        <f aca="false">C77*(1+tp_r)</f>
        <v>2045.5942433396</v>
      </c>
      <c r="D78" s="16" t="n">
        <f aca="false">D77*(1+tp_r)</f>
        <v>1499.97466657645</v>
      </c>
    </row>
    <row r="79" customFormat="false" ht="17.15" hidden="false" customHeight="false" outlineLevel="0" collapsed="false">
      <c r="A79" s="0" t="s">
        <v>690</v>
      </c>
      <c r="B79" s="26" t="n">
        <f aca="false">tp_wA*B78+tp_wB*C78+tp_wC*D78</f>
        <v>2155.49973345111</v>
      </c>
      <c r="E79" s="8" t="s">
        <v>691</v>
      </c>
    </row>
    <row r="81" customFormat="false" ht="17.15" hidden="false" customHeight="false" outlineLevel="0" collapsed="false">
      <c r="A81" s="6" t="s">
        <v>692</v>
      </c>
    </row>
    <row r="82" customFormat="false" ht="17.15" hidden="false" customHeight="false" outlineLevel="0" collapsed="false">
      <c r="A82" s="5" t="s">
        <v>693</v>
      </c>
      <c r="B82" s="5" t="s">
        <v>694</v>
      </c>
      <c r="C82" s="5" t="s">
        <v>695</v>
      </c>
      <c r="D82" s="5" t="s">
        <v>696</v>
      </c>
      <c r="E82" s="5" t="s">
        <v>697</v>
      </c>
      <c r="F82" s="5" t="s">
        <v>27</v>
      </c>
    </row>
    <row r="83" customFormat="false" ht="17.15" hidden="false" customHeight="false" outlineLevel="0" collapsed="false">
      <c r="A83" s="4" t="s">
        <v>698</v>
      </c>
      <c r="B83" s="0" t="s">
        <v>699</v>
      </c>
      <c r="C83" s="27" t="n">
        <v>20.46</v>
      </c>
      <c r="D83" s="8" t="s">
        <v>700</v>
      </c>
      <c r="E83" s="8" t="s">
        <v>701</v>
      </c>
      <c r="F83" s="8" t="s">
        <v>33</v>
      </c>
    </row>
    <row r="84" customFormat="false" ht="17.15" hidden="false" customHeight="false" outlineLevel="0" collapsed="false">
      <c r="A84" s="4" t="s">
        <v>702</v>
      </c>
      <c r="B84" s="0" t="s">
        <v>703</v>
      </c>
      <c r="C84" s="27" t="n">
        <v>20.04</v>
      </c>
      <c r="D84" s="8" t="s">
        <v>704</v>
      </c>
      <c r="E84" s="8" t="s">
        <v>701</v>
      </c>
      <c r="F84" s="8" t="s">
        <v>33</v>
      </c>
    </row>
    <row r="85" customFormat="false" ht="17.15" hidden="false" customHeight="false" outlineLevel="0" collapsed="false">
      <c r="A85" s="4" t="s">
        <v>705</v>
      </c>
      <c r="B85" s="0" t="s">
        <v>706</v>
      </c>
      <c r="C85" s="27" t="n">
        <v>50.64</v>
      </c>
      <c r="D85" s="8" t="s">
        <v>700</v>
      </c>
      <c r="E85" s="8" t="s">
        <v>701</v>
      </c>
      <c r="F85" s="8" t="s">
        <v>33</v>
      </c>
    </row>
    <row r="86" customFormat="false" ht="17.15" hidden="false" customHeight="false" outlineLevel="0" collapsed="false">
      <c r="A86" s="4" t="s">
        <v>707</v>
      </c>
      <c r="B86" s="0" t="s">
        <v>708</v>
      </c>
      <c r="C86" s="27" t="n">
        <v>37.14</v>
      </c>
      <c r="D86" s="8" t="s">
        <v>709</v>
      </c>
      <c r="E86" s="8" t="s">
        <v>701</v>
      </c>
      <c r="F86" s="8" t="s">
        <v>33</v>
      </c>
    </row>
    <row r="87" customFormat="false" ht="17.15" hidden="false" customHeight="false" outlineLevel="0" collapsed="false">
      <c r="A87" s="4" t="s">
        <v>710</v>
      </c>
      <c r="B87" s="0" t="s">
        <v>711</v>
      </c>
      <c r="C87" s="27" t="n">
        <v>3.35</v>
      </c>
      <c r="D87" s="8" t="s">
        <v>712</v>
      </c>
      <c r="E87" s="8" t="s">
        <v>701</v>
      </c>
      <c r="F87" s="8" t="s">
        <v>33</v>
      </c>
    </row>
    <row r="88" customFormat="false" ht="17.15" hidden="false" customHeight="false" outlineLevel="0" collapsed="false">
      <c r="A88" s="4" t="s">
        <v>713</v>
      </c>
      <c r="B88" s="18" t="n">
        <f aca="false">MEDIAN(C83:C87)</f>
        <v>20.46</v>
      </c>
      <c r="E88" s="4" t="s">
        <v>714</v>
      </c>
    </row>
    <row r="89" customFormat="false" ht="17.15" hidden="false" customHeight="false" outlineLevel="0" collapsed="false">
      <c r="A89" s="0" t="s">
        <v>715</v>
      </c>
      <c r="B89" s="23" t="n">
        <f aca="false">tp_wA*(2/12*B63+10/12*B64)+tp_wB*(2/12*C63+10/12*C64)+tp_wC*(2/12*D63+10/12*D64)</f>
        <v>134.162897475124</v>
      </c>
      <c r="E89" s="4" t="s">
        <v>716</v>
      </c>
    </row>
    <row r="90" customFormat="false" ht="17.15" hidden="false" customHeight="false" outlineLevel="0" collapsed="false">
      <c r="A90" s="0" t="s">
        <v>717</v>
      </c>
      <c r="B90" s="26" t="n">
        <f aca="false">B88*B89</f>
        <v>2744.97288234104</v>
      </c>
      <c r="E90" s="4" t="s">
        <v>718</v>
      </c>
    </row>
    <row r="92" customFormat="false" ht="17.15" hidden="false" customHeight="false" outlineLevel="0" collapsed="false">
      <c r="A92" s="6" t="s">
        <v>719</v>
      </c>
    </row>
    <row r="93" customFormat="false" ht="15" hidden="false" customHeight="false" outlineLevel="0" collapsed="false">
      <c r="A93" s="5" t="s">
        <v>22</v>
      </c>
      <c r="B93" s="5" t="s">
        <v>720</v>
      </c>
      <c r="C93" s="5"/>
      <c r="D93" s="5"/>
      <c r="E93" s="5" t="s">
        <v>537</v>
      </c>
    </row>
    <row r="94" customFormat="false" ht="17.15" hidden="false" customHeight="false" outlineLevel="0" collapsed="false">
      <c r="A94" s="4" t="s">
        <v>721</v>
      </c>
      <c r="B94" s="26" t="n">
        <f aca="false">tp_w_dcf*B79+(1-tp_w_dcf)*tp_comp_adj</f>
        <v>2803.49822381737</v>
      </c>
      <c r="E94" s="8" t="s">
        <v>722</v>
      </c>
    </row>
    <row r="95" customFormat="false" ht="17.15" hidden="false" customHeight="false" outlineLevel="0" collapsed="false">
      <c r="A95" s="0" t="s">
        <v>723</v>
      </c>
      <c r="B95" s="16" t="n">
        <f aca="false">B90</f>
        <v>2744.97288234104</v>
      </c>
    </row>
    <row r="96" customFormat="false" ht="17.15" hidden="false" customHeight="false" outlineLevel="0" collapsed="false">
      <c r="A96" s="4" t="s">
        <v>724</v>
      </c>
      <c r="B96" s="16" t="n">
        <f aca="false">cons_tp</f>
        <v>3390.43</v>
      </c>
      <c r="E96" s="8" t="s">
        <v>725</v>
      </c>
    </row>
    <row r="97" customFormat="false" ht="17.15" hidden="false" customHeight="false" outlineLevel="0" collapsed="false">
      <c r="A97" s="4" t="s">
        <v>726</v>
      </c>
      <c r="B97" s="14" t="n">
        <f aca="false">B94/px-1</f>
        <v>0.175470953382545</v>
      </c>
      <c r="E97" s="4" t="s">
        <v>727</v>
      </c>
    </row>
    <row r="98" customFormat="false" ht="17.15" hidden="false" customHeight="false" outlineLevel="0" collapsed="false">
      <c r="A98" s="4" t="s">
        <v>728</v>
      </c>
      <c r="B98" s="14" t="n">
        <f aca="false">B95/px-1</f>
        <v>0.150932026138803</v>
      </c>
    </row>
    <row r="99" customFormat="false" ht="17.15" hidden="false" customHeight="false" outlineLevel="0" collapsed="false">
      <c r="A99" s="4" t="s">
        <v>729</v>
      </c>
      <c r="B99" s="14" t="n">
        <f aca="false">B89/(2/12*cons_feps27+10/12*cons_feps28)-1</f>
        <v>-0.260878353823574</v>
      </c>
      <c r="E99" s="4" t="s">
        <v>730</v>
      </c>
    </row>
    <row r="100" customFormat="false" ht="17.15" hidden="false" customHeight="false" outlineLevel="0" collapsed="false">
      <c r="A100" s="4" t="s">
        <v>731</v>
      </c>
      <c r="B100" s="14" t="n">
        <f aca="false">(cons_tp/(2/12*cons_feps27+10/12*cons_feps28))/B88-1</f>
        <v>-0.0870801606212023</v>
      </c>
      <c r="E100" s="0" t="str">
        <f aca="false">"共識目標價隱含 "&amp;TEXT(cons_tp/(2/12*cons_feps27+10/12*cons_feps28),"0.0")&amp;"x（÷ 共識前瞻 EPS），同業中位數 "&amp;TEXT(B88,"0.0")&amp;"x"</f>
        <v>共識目標價隱含 18.7x（÷ 共識前瞻 EPS），同業中位數 20.5x</v>
      </c>
    </row>
    <row r="101" customFormat="false" ht="17.15" hidden="false" customHeight="false" outlineLevel="0" collapsed="false">
      <c r="A101" s="4" t="s">
        <v>732</v>
      </c>
      <c r="B101" s="28" t="str">
        <f aca="false">TEXT(D78,"#,##0")&amp;"～"&amp;TEXT(B78,"#,##0")</f>
        <v>1,500～2,776</v>
      </c>
      <c r="E101" s="8" t="s">
        <v>733</v>
      </c>
    </row>
    <row r="102" customFormat="false" ht="17.15" hidden="false" customHeight="false" outlineLevel="0" collapsed="false">
      <c r="A102" s="4" t="s">
        <v>734</v>
      </c>
      <c r="B102" s="17" t="n">
        <f aca="false">IF(px/B64&gt;=MAX($C$31:$C$40),1,IF(px/B64&lt;=MIN($C$31:$C$40),0,PERCENTRANK($C$31:$C$40,px/B64)))</f>
        <v>0.341</v>
      </c>
      <c r="C102" s="17" t="n">
        <f aca="false">IF(px/C64&gt;=MAX($C$31:$C$40),1,IF(px/C64&lt;=MIN($C$31:$C$40),0,PERCENTRANK($C$31:$C$40,px/C64)))</f>
        <v>0.422</v>
      </c>
      <c r="D102" s="17" t="n">
        <f aca="false">IF(px/D64&gt;=MAX($C$31:$C$40),1,IF(px/D64&lt;=MIN($C$31:$C$40),0,PERCENTRANK($C$31:$C$40,px/D64)))</f>
        <v>0.526</v>
      </c>
      <c r="E102" s="4" t="s">
        <v>735</v>
      </c>
    </row>
    <row r="103" customFormat="false" ht="17.15" hidden="false" customHeight="false" outlineLevel="0" collapsed="false">
      <c r="A103" s="4" t="s">
        <v>736</v>
      </c>
      <c r="B103" s="0" t="s">
        <v>737</v>
      </c>
    </row>
    <row r="105" customFormat="false" ht="15" hidden="false" customHeight="false" outlineLevel="0" collapsed="false">
      <c r="A105" s="1" t="s">
        <v>738</v>
      </c>
    </row>
    <row r="106" customFormat="false" ht="15" hidden="false" customHeight="false" outlineLevel="0" collapsed="false">
      <c r="A106" s="5" t="s">
        <v>22</v>
      </c>
      <c r="B106" s="5" t="s">
        <v>720</v>
      </c>
      <c r="C106" s="5"/>
      <c r="D106" s="5"/>
      <c r="E106" s="5" t="s">
        <v>537</v>
      </c>
    </row>
    <row r="107" customFormat="false" ht="17.15" hidden="false" customHeight="false" outlineLevel="0" collapsed="false">
      <c r="A107" s="4" t="s">
        <v>739</v>
      </c>
      <c r="B107" s="16" t="n">
        <f aca="false">tp_wA*B109+tp_wB*B110+tp_wC*B111</f>
        <v>3024.65959453177</v>
      </c>
      <c r="E107" s="4" t="s">
        <v>740</v>
      </c>
    </row>
    <row r="108" customFormat="false" ht="17.15" hidden="false" customHeight="false" outlineLevel="0" collapsed="false">
      <c r="A108" s="4" t="s">
        <v>741</v>
      </c>
      <c r="B108" s="14" t="n">
        <f aca="false">B107/px-1</f>
        <v>0.26820108785399</v>
      </c>
    </row>
    <row r="109" customFormat="false" ht="17.15" hidden="false" customHeight="false" outlineLevel="0" collapsed="false">
      <c r="A109" s="4" t="s">
        <v>742</v>
      </c>
      <c r="B109" s="16" t="n">
        <f aca="false">$C$54*PL!C13</f>
        <v>3024.65959453177</v>
      </c>
      <c r="E109" s="4" t="s">
        <v>743</v>
      </c>
    </row>
    <row r="110" customFormat="false" ht="17.15" hidden="false" customHeight="false" outlineLevel="0" collapsed="false">
      <c r="A110" s="4" t="s">
        <v>744</v>
      </c>
      <c r="B110" s="16" t="n">
        <f aca="false">$C$54*PL!F13</f>
        <v>3024.65959453177</v>
      </c>
      <c r="E110" s="4" t="s">
        <v>745</v>
      </c>
    </row>
    <row r="111" customFormat="false" ht="17.15" hidden="false" customHeight="false" outlineLevel="0" collapsed="false">
      <c r="A111" s="4" t="s">
        <v>746</v>
      </c>
      <c r="B111" s="16" t="n">
        <f aca="false">$C$54*PL!I13</f>
        <v>3024.65959453177</v>
      </c>
      <c r="E111" s="4" t="s">
        <v>747</v>
      </c>
    </row>
    <row r="112" customFormat="false" ht="17.15" hidden="false" customHeight="false" outlineLevel="0" collapsed="false">
      <c r="A112" s="4" t="s">
        <v>748</v>
      </c>
      <c r="B112" s="17" t="n">
        <f aca="false">tp_wA</f>
        <v>0.3</v>
      </c>
      <c r="C112" s="17" t="n">
        <f aca="false">tp_wB</f>
        <v>0.5</v>
      </c>
      <c r="D112" s="17" t="n">
        <f aca="false">tp_wC</f>
        <v>0.2</v>
      </c>
      <c r="E112" s="0" t="str">
        <f aca="false">"合計 "&amp;TEXT(B112+C112+D112,"0%")&amp;"；In 頁 tp_wA／tp_wB／tp_wC（Assumed，Andy 可改）"</f>
        <v>合計 100%；In 頁 tp_wA／tp_wB／tp_wC（Assumed，Andy 可改）</v>
      </c>
    </row>
    <row r="113" customFormat="false" ht="17.15" hidden="false" customHeight="false" outlineLevel="0" collapsed="false">
      <c r="A113" s="4" t="s">
        <v>749</v>
      </c>
      <c r="B113" s="4" t="s">
        <v>750</v>
      </c>
    </row>
    <row r="115" customFormat="false" ht="17.15" hidden="false" customHeight="false" outlineLevel="0" collapsed="false">
      <c r="A115" s="4" t="s">
        <v>751</v>
      </c>
      <c r="B115" s="28" t="str">
        <f aca="false">IF(B97&gt;0.5,"大於 50%",IF(B97&gt;0.25,"25%–50%",IF(B97&gt;=0,"0%–25%",IF(B97&gt;=-0.25,"0%～−25%",IF(B97&gt;=-0.5,"−25%～−50%","小於 −50%")))))</f>
        <v>0%–25%</v>
      </c>
      <c r="E115" s="4" t="s">
        <v>752</v>
      </c>
    </row>
    <row r="116" customFormat="false" ht="17.15" hidden="false" customHeight="false" outlineLevel="0" collapsed="false">
      <c r="A116" s="4" t="s">
        <v>753</v>
      </c>
      <c r="B116" s="28" t="str">
        <f aca="false">IF(B97&gt;0.5,"強力買進",IF(B97&gt;0.25,"買進",IF(B97&gt;=-0.25,"中立",IF(B97&gt;=-0.5,"放空","強力放空"))))</f>
        <v>中立</v>
      </c>
      <c r="E116" s="4" t="s">
        <v>754</v>
      </c>
    </row>
    <row r="119" customFormat="false" ht="17.15" hidden="false" customHeight="false" outlineLevel="0" collapsed="false">
      <c r="A119" s="6" t="s">
        <v>755</v>
      </c>
    </row>
    <row r="120" customFormat="false" ht="17.15" hidden="false" customHeight="false" outlineLevel="0" collapsed="false">
      <c r="A120" s="4" t="s">
        <v>756</v>
      </c>
    </row>
    <row r="121" customFormat="false" ht="17.15" hidden="false" customHeight="false" outlineLevel="0" collapsed="false">
      <c r="A121" s="5" t="s">
        <v>757</v>
      </c>
      <c r="B121" s="5" t="s">
        <v>694</v>
      </c>
      <c r="C121" s="5" t="s">
        <v>758</v>
      </c>
      <c r="D121" s="15" t="s">
        <v>759</v>
      </c>
      <c r="E121" s="15" t="s">
        <v>760</v>
      </c>
      <c r="F121" s="15" t="s">
        <v>761</v>
      </c>
      <c r="G121" s="15" t="s">
        <v>762</v>
      </c>
      <c r="H121" s="15" t="s">
        <v>763</v>
      </c>
      <c r="I121" s="15" t="s">
        <v>764</v>
      </c>
      <c r="J121" s="15" t="s">
        <v>765</v>
      </c>
      <c r="K121" s="15" t="s">
        <v>766</v>
      </c>
      <c r="L121" s="15" t="s">
        <v>767</v>
      </c>
      <c r="M121" s="15" t="s">
        <v>768</v>
      </c>
      <c r="N121" s="5" t="s">
        <v>769</v>
      </c>
      <c r="O121" s="15" t="s">
        <v>770</v>
      </c>
      <c r="P121" s="5" t="s">
        <v>771</v>
      </c>
      <c r="Q121" s="5" t="s">
        <v>697</v>
      </c>
    </row>
    <row r="122" customFormat="false" ht="17.15" hidden="false" customHeight="false" outlineLevel="0" collapsed="false">
      <c r="A122" s="4" t="s">
        <v>772</v>
      </c>
      <c r="B122" s="0" t="s">
        <v>773</v>
      </c>
      <c r="C122" s="4" t="s">
        <v>774</v>
      </c>
      <c r="D122" s="24" t="n">
        <v>14.156</v>
      </c>
      <c r="E122" s="24" t="n">
        <v>16.0605</v>
      </c>
      <c r="F122" s="24" t="n">
        <v>17.9995</v>
      </c>
      <c r="G122" s="24" t="n">
        <v>18.751</v>
      </c>
      <c r="H122" s="24" t="n">
        <v>24.5295</v>
      </c>
      <c r="I122" s="24" t="n">
        <v>16.0195</v>
      </c>
      <c r="J122" s="24" t="n">
        <v>14.927</v>
      </c>
      <c r="K122" s="24" t="n">
        <v>18.821</v>
      </c>
      <c r="L122" s="24" t="n">
        <v>17.7185</v>
      </c>
      <c r="M122" s="24" t="n">
        <v>19.3025</v>
      </c>
      <c r="N122" s="8" t="n">
        <f aca="false">COUNT(D122:M122)</f>
        <v>10</v>
      </c>
      <c r="O122" s="23" t="n">
        <f aca="false">IF(N122&gt;0,MEDIAN(D122:M122),"")</f>
        <v>17.859</v>
      </c>
      <c r="P122" s="23" t="n">
        <f aca="false">IF(N122&gt;=7,O122,"")</f>
        <v>17.859</v>
      </c>
      <c r="Q122" s="8" t="s">
        <v>775</v>
      </c>
    </row>
    <row r="123" customFormat="false" ht="17.15" hidden="false" customHeight="false" outlineLevel="0" collapsed="false">
      <c r="A123" s="4" t="s">
        <v>698</v>
      </c>
      <c r="B123" s="0" t="s">
        <v>776</v>
      </c>
      <c r="C123" s="4" t="s">
        <v>777</v>
      </c>
      <c r="D123" s="24" t="n">
        <v>18.5065</v>
      </c>
      <c r="E123" s="24" t="n">
        <v>20.0135</v>
      </c>
      <c r="F123" s="24" t="n">
        <v>20.6125</v>
      </c>
      <c r="G123" s="24" t="n">
        <v>14.4285</v>
      </c>
      <c r="H123" s="24" t="n">
        <v>15.9615</v>
      </c>
      <c r="I123" s="24" t="n">
        <v>7.8765</v>
      </c>
      <c r="J123" s="24" t="n">
        <v>10.0455</v>
      </c>
      <c r="K123" s="24" t="n">
        <v>11.4775</v>
      </c>
      <c r="L123" s="24" t="n">
        <v>12.522</v>
      </c>
      <c r="M123" s="24" t="n">
        <v>17.0705</v>
      </c>
      <c r="N123" s="8" t="n">
        <f aca="false">COUNT(D123:M123)</f>
        <v>10</v>
      </c>
      <c r="O123" s="23" t="n">
        <f aca="false">IF(N123&gt;0,MEDIAN(D123:M123),"")</f>
        <v>15.195</v>
      </c>
      <c r="P123" s="23" t="n">
        <f aca="false">IF(N123&gt;=7,O123,"")</f>
        <v>15.195</v>
      </c>
      <c r="Q123" s="8" t="s">
        <v>778</v>
      </c>
    </row>
    <row r="124" customFormat="false" ht="17.15" hidden="false" customHeight="false" outlineLevel="0" collapsed="false">
      <c r="A124" s="4" t="s">
        <v>702</v>
      </c>
      <c r="B124" s="0" t="s">
        <v>703</v>
      </c>
      <c r="C124" s="4" t="s">
        <v>777</v>
      </c>
      <c r="I124" s="24" t="n">
        <v>25.3475</v>
      </c>
      <c r="J124" s="24" t="n">
        <v>24.295</v>
      </c>
      <c r="K124" s="24" t="n">
        <v>28.656</v>
      </c>
      <c r="L124" s="24" t="n">
        <v>19.676</v>
      </c>
      <c r="M124" s="24" t="n">
        <v>22.1005</v>
      </c>
      <c r="N124" s="8" t="n">
        <f aca="false">COUNT(D124:M124)</f>
        <v>5</v>
      </c>
      <c r="O124" s="23" t="n">
        <f aca="false">IF(N124&gt;0,MEDIAN(D124:M124),"")</f>
        <v>24.295</v>
      </c>
      <c r="P124" s="23" t="str">
        <f aca="false">IF(N124&gt;=7,O124,"")</f>
        <v/>
      </c>
      <c r="Q124" s="8" t="s">
        <v>779</v>
      </c>
    </row>
    <row r="125" customFormat="false" ht="17.15" hidden="false" customHeight="false" outlineLevel="0" collapsed="false">
      <c r="A125" s="4" t="s">
        <v>705</v>
      </c>
      <c r="B125" s="0" t="s">
        <v>706</v>
      </c>
      <c r="C125" s="4" t="s">
        <v>777</v>
      </c>
      <c r="D125" s="24" t="n">
        <v>12.454</v>
      </c>
      <c r="E125" s="24" t="n">
        <v>13.3745</v>
      </c>
      <c r="F125" s="24" t="n">
        <v>11.224</v>
      </c>
      <c r="G125" s="24" t="n">
        <v>11.8385</v>
      </c>
      <c r="H125" s="24" t="n">
        <v>12.1295</v>
      </c>
      <c r="I125" s="24" t="n">
        <v>13.0485</v>
      </c>
      <c r="J125" s="24" t="n">
        <v>27.5115</v>
      </c>
      <c r="K125" s="24" t="n">
        <v>25.866</v>
      </c>
      <c r="L125" s="24" t="n">
        <v>39.641</v>
      </c>
      <c r="M125" s="24" t="n">
        <v>67.9365</v>
      </c>
      <c r="N125" s="8" t="n">
        <f aca="false">COUNT(D125:M125)</f>
        <v>10</v>
      </c>
      <c r="O125" s="23" t="n">
        <f aca="false">IF(N125&gt;0,MEDIAN(D125:M125),"")</f>
        <v>13.2115</v>
      </c>
      <c r="P125" s="23" t="n">
        <f aca="false">IF(N125&gt;=7,O125,"")</f>
        <v>13.2115</v>
      </c>
      <c r="Q125" s="8" t="s">
        <v>780</v>
      </c>
    </row>
    <row r="126" customFormat="false" ht="17.15" hidden="false" customHeight="false" outlineLevel="0" collapsed="false">
      <c r="A126" s="4" t="s">
        <v>707</v>
      </c>
      <c r="B126" s="0" t="s">
        <v>708</v>
      </c>
      <c r="C126" s="4" t="s">
        <v>777</v>
      </c>
      <c r="D126" s="24" t="n">
        <v>15.6775</v>
      </c>
      <c r="E126" s="24" t="n">
        <v>56.43</v>
      </c>
      <c r="F126" s="24" t="n">
        <v>78.239</v>
      </c>
      <c r="G126" s="24" t="n">
        <v>51.8865</v>
      </c>
      <c r="H126" s="24" t="n">
        <v>41.8545</v>
      </c>
      <c r="I126" s="24" t="n">
        <v>10.7145</v>
      </c>
      <c r="J126" s="24" t="n">
        <v>20.6075</v>
      </c>
      <c r="K126" s="24" t="n">
        <v>28.124</v>
      </c>
      <c r="L126" s="24" t="n">
        <v>51.468</v>
      </c>
      <c r="M126" s="24" t="n">
        <v>64.8</v>
      </c>
      <c r="N126" s="8" t="n">
        <f aca="false">COUNT(D126:M126)</f>
        <v>10</v>
      </c>
      <c r="O126" s="23" t="n">
        <f aca="false">IF(N126&gt;0,MEDIAN(D126:M126),"")</f>
        <v>46.66125</v>
      </c>
      <c r="P126" s="23" t="n">
        <f aca="false">IF(N126&gt;=7,O126,"")</f>
        <v>46.66125</v>
      </c>
      <c r="Q126" s="8" t="s">
        <v>781</v>
      </c>
    </row>
    <row r="127" customFormat="false" ht="17.15" hidden="false" customHeight="false" outlineLevel="0" collapsed="false">
      <c r="A127" s="4" t="s">
        <v>710</v>
      </c>
      <c r="B127" s="0" t="s">
        <v>711</v>
      </c>
      <c r="C127" s="4" t="s">
        <v>777</v>
      </c>
      <c r="D127" s="24" t="n">
        <v>8.3275</v>
      </c>
      <c r="E127" s="24" t="n">
        <v>6.7735</v>
      </c>
      <c r="F127" s="24" t="n">
        <v>11.3775</v>
      </c>
      <c r="G127" s="24" t="n">
        <v>11.787</v>
      </c>
      <c r="H127" s="24" t="n">
        <v>12.8055</v>
      </c>
      <c r="I127" s="24" t="n">
        <v>9.5745</v>
      </c>
      <c r="J127" s="24" t="n">
        <v>20.782</v>
      </c>
      <c r="K127" s="24" t="n">
        <v>13.1575</v>
      </c>
      <c r="L127" s="24" t="n">
        <v>11.434</v>
      </c>
      <c r="M127" s="24" t="n">
        <v>6.1985</v>
      </c>
      <c r="N127" s="8" t="n">
        <f aca="false">COUNT(D127:M127)</f>
        <v>10</v>
      </c>
      <c r="O127" s="23" t="n">
        <f aca="false">IF(N127&gt;0,MEDIAN(D127:M127),"")</f>
        <v>11.40575</v>
      </c>
      <c r="P127" s="23" t="n">
        <f aca="false">IF(N127&gt;=7,O127,"")</f>
        <v>11.40575</v>
      </c>
      <c r="Q127" s="8" t="s">
        <v>782</v>
      </c>
    </row>
    <row r="129" customFormat="false" ht="17.15" hidden="false" customHeight="false" outlineLevel="0" collapsed="false">
      <c r="A129" s="4" t="s">
        <v>783</v>
      </c>
      <c r="B129" s="23" t="n">
        <f aca="false">P122</f>
        <v>17.859</v>
      </c>
      <c r="E129" s="4" t="s">
        <v>784</v>
      </c>
    </row>
    <row r="130" customFormat="false" ht="15" hidden="false" customHeight="false" outlineLevel="0" collapsed="false">
      <c r="A130" s="4" t="s">
        <v>785</v>
      </c>
      <c r="B130" s="29" t="n">
        <f aca="false">COUNT(P123:P127)</f>
        <v>4</v>
      </c>
    </row>
    <row r="131" customFormat="false" ht="17.15" hidden="false" customHeight="false" outlineLevel="0" collapsed="false">
      <c r="A131" s="4" t="s">
        <v>786</v>
      </c>
      <c r="B131" s="23" t="n">
        <f aca="false">IF(B130&gt;0,MEDIAN(P123:P127),"")</f>
        <v>14.20325</v>
      </c>
    </row>
    <row r="132" customFormat="false" ht="17.15" hidden="false" customHeight="false" outlineLevel="0" collapsed="false">
      <c r="A132" s="4" t="s">
        <v>787</v>
      </c>
      <c r="B132" s="23" t="n">
        <f aca="false">IF(AND(ISNUMBER(B129),B130&gt;=2),B129/B131,"")</f>
        <v>1.25738827381057</v>
      </c>
      <c r="E132" s="4" t="s">
        <v>788</v>
      </c>
    </row>
    <row r="133" customFormat="false" ht="17.15" hidden="false" customHeight="false" outlineLevel="0" collapsed="false">
      <c r="A133" s="4" t="s">
        <v>789</v>
      </c>
      <c r="B133" s="24" t="n">
        <v>0.5</v>
      </c>
      <c r="E133" s="8" t="s">
        <v>790</v>
      </c>
    </row>
    <row r="134" customFormat="false" ht="17.15" hidden="false" customHeight="false" outlineLevel="0" collapsed="false">
      <c r="A134" s="4" t="s">
        <v>791</v>
      </c>
      <c r="B134" s="24" t="n">
        <v>2</v>
      </c>
      <c r="E134" s="8" t="s">
        <v>792</v>
      </c>
    </row>
    <row r="135" customFormat="false" ht="17.15" hidden="false" customHeight="false" outlineLevel="0" collapsed="false">
      <c r="A135" s="1" t="s">
        <v>793</v>
      </c>
      <c r="B135" s="30" t="n">
        <f aca="false">IF(ISNUMBER(B132),MIN(MAX(B132,B133),B134),1)</f>
        <v>1.25738827381057</v>
      </c>
      <c r="E135" s="4" t="s">
        <v>794</v>
      </c>
    </row>
    <row r="136" customFormat="false" ht="17.15" hidden="false" customHeight="false" outlineLevel="0" collapsed="false">
      <c r="A136" s="6" t="s">
        <v>795</v>
      </c>
      <c r="B136" s="26" t="n">
        <f aca="false">Val!$B$90*B135</f>
        <v>3451.49671418364</v>
      </c>
      <c r="E136" s="4" t="s">
        <v>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797</v>
      </c>
    </row>
    <row r="3" customFormat="false" ht="15" hidden="false" customHeight="false" outlineLevel="0" collapsed="false">
      <c r="A3" s="5" t="s">
        <v>22</v>
      </c>
      <c r="B3" s="5" t="s">
        <v>798</v>
      </c>
      <c r="C3" s="5" t="s">
        <v>799</v>
      </c>
      <c r="D3" s="5" t="s">
        <v>800</v>
      </c>
      <c r="E3" s="5" t="s">
        <v>801</v>
      </c>
    </row>
    <row r="4" customFormat="false" ht="17.15" hidden="false" customHeight="false" outlineLevel="0" collapsed="false">
      <c r="A4" s="0" t="s">
        <v>802</v>
      </c>
      <c r="B4" s="25" t="n">
        <f aca="false">PL!B5</f>
        <v>34.326</v>
      </c>
      <c r="C4" s="25" t="n">
        <f aca="false">rev25*ai25_share*(1+ai_cagr)</f>
        <v>34.598718</v>
      </c>
      <c r="D4" s="17" t="n">
        <f aca="false">B4/C4-1</f>
        <v>-0.00788231517711135</v>
      </c>
      <c r="E4" s="8" t="s">
        <v>803</v>
      </c>
    </row>
    <row r="5" customFormat="false" ht="17.15" hidden="false" customHeight="false" outlineLevel="0" collapsed="false">
      <c r="A5" s="0" t="s">
        <v>804</v>
      </c>
      <c r="B5" s="25" t="n">
        <f aca="false">PL!B4</f>
        <v>28.605</v>
      </c>
      <c r="C5" s="25" t="n">
        <f aca="false">rev25*ai25_share*(1+ai_cagr)</f>
        <v>34.598718</v>
      </c>
      <c r="D5" s="17" t="n">
        <f aca="false">B5/C5-1</f>
        <v>-0.173235262647593</v>
      </c>
      <c r="E5" s="4" t="s">
        <v>805</v>
      </c>
    </row>
    <row r="6" customFormat="false" ht="17.15" hidden="false" customHeight="false" outlineLevel="0" collapsed="false">
      <c r="A6" s="0" t="s">
        <v>806</v>
      </c>
      <c r="B6" s="25" t="n">
        <f aca="false">PL!B13</f>
        <v>112.095299667786</v>
      </c>
      <c r="C6" s="25" t="n">
        <f aca="false">cons_eps26</f>
        <v>107.6</v>
      </c>
      <c r="D6" s="17" t="n">
        <f aca="false">B6/C6-1</f>
        <v>0.0417778779533982</v>
      </c>
      <c r="E6" s="8" t="s">
        <v>471</v>
      </c>
    </row>
    <row r="7" customFormat="false" ht="17.15" hidden="false" customHeight="false" outlineLevel="0" collapsed="false">
      <c r="A7" s="0" t="s">
        <v>807</v>
      </c>
      <c r="B7" s="25" t="n">
        <f aca="false">PL!B7</f>
        <v>176.12</v>
      </c>
      <c r="C7" s="25" t="n">
        <f aca="false">rev25*(1+g26_guid)</f>
        <v>176.2992</v>
      </c>
      <c r="D7" s="17" t="n">
        <f aca="false">B7/C7-1</f>
        <v>-0.00101645384664262</v>
      </c>
      <c r="E7" s="4" t="s">
        <v>808</v>
      </c>
    </row>
    <row r="8" customFormat="false" ht="17.15" hidden="false" customHeight="false" outlineLevel="0" collapsed="false">
      <c r="A8" s="0" t="s">
        <v>809</v>
      </c>
      <c r="B8" s="25" t="n">
        <f aca="false">PL!B13</f>
        <v>112.095299667786</v>
      </c>
      <c r="C8" s="25" t="n">
        <f aca="false">eps26_1to3q+ntd26_4q*opm26_4q*ni_op_26/shares</f>
        <v>112.100961063852</v>
      </c>
      <c r="D8" s="17" t="n">
        <f aca="false">B8/C8-1</f>
        <v>-5.0502654148521E-005</v>
      </c>
      <c r="E8" s="4" t="s">
        <v>810</v>
      </c>
    </row>
    <row r="9" customFormat="false" ht="17.15" hidden="false" customHeight="false" outlineLevel="0" collapsed="false">
      <c r="A9" s="0" t="s">
        <v>811</v>
      </c>
      <c r="B9" s="25" t="n">
        <f aca="false">PL!C7</f>
        <v>225.758562</v>
      </c>
      <c r="C9" s="25" t="n">
        <f aca="false">cons_rev27</f>
        <v>229</v>
      </c>
      <c r="D9" s="17" t="n">
        <f aca="false">B9/C9-1</f>
        <v>-0.0141547510917028</v>
      </c>
      <c r="E9" s="8" t="s">
        <v>471</v>
      </c>
    </row>
    <row r="10" customFormat="false" ht="17.15" hidden="false" customHeight="false" outlineLevel="0" collapsed="false">
      <c r="A10" s="0" t="s">
        <v>812</v>
      </c>
      <c r="B10" s="25" t="n">
        <f aca="false">PL!C13</f>
        <v>137.672261926799</v>
      </c>
      <c r="C10" s="25" t="n">
        <f aca="false">cons_eps27</f>
        <v>142</v>
      </c>
      <c r="D10" s="17" t="n">
        <f aca="false">B10/C10-1</f>
        <v>-0.030477028684517</v>
      </c>
      <c r="E10" s="8" t="s">
        <v>471</v>
      </c>
    </row>
    <row r="11" customFormat="false" ht="17.15" hidden="false" customHeight="false" outlineLevel="0" collapsed="false">
      <c r="A11" s="0" t="s">
        <v>813</v>
      </c>
      <c r="B11" s="25" t="n">
        <f aca="false">CoWoS!B13</f>
        <v>1107.85762580894</v>
      </c>
      <c r="C11" s="25" t="n">
        <f aca="false">ms_dem26</f>
        <v>1394</v>
      </c>
      <c r="D11" s="17" t="n">
        <f aca="false">B11/C11-1</f>
        <v>-0.205267126392436</v>
      </c>
      <c r="E11" s="4" t="s">
        <v>182</v>
      </c>
    </row>
    <row r="12" customFormat="false" ht="17.15" hidden="false" customHeight="false" outlineLevel="0" collapsed="false">
      <c r="A12" s="0" t="s">
        <v>814</v>
      </c>
      <c r="B12" s="25" t="n">
        <f aca="false">CoWoS!C13</f>
        <v>2096.42857142857</v>
      </c>
      <c r="C12" s="25" t="n">
        <f aca="false">ms_dem27</f>
        <v>2509</v>
      </c>
      <c r="D12" s="17" t="n">
        <f aca="false">B12/C12-1</f>
        <v>-0.16443659966976</v>
      </c>
      <c r="E12" s="4" t="s">
        <v>182</v>
      </c>
    </row>
    <row r="13" customFormat="false" ht="17.15" hidden="false" customHeight="false" outlineLevel="0" collapsed="false">
      <c r="A13" s="0" t="s">
        <v>815</v>
      </c>
      <c r="B13" s="25" t="n">
        <f aca="false">PL!C13</f>
        <v>137.672261926799</v>
      </c>
      <c r="C13" s="25" t="n">
        <f aca="false">cons_feps27</f>
        <v>148.1</v>
      </c>
      <c r="D13" s="17" t="n">
        <f aca="false">B13/C13-1</f>
        <v>-0.0704101152815759</v>
      </c>
      <c r="E13" s="8" t="s">
        <v>816</v>
      </c>
    </row>
    <row r="14" customFormat="false" ht="17.15" hidden="false" customHeight="false" outlineLevel="0" collapsed="false">
      <c r="A14" s="0" t="s">
        <v>817</v>
      </c>
      <c r="B14" s="25" t="n">
        <f aca="false">PL!D13</f>
        <v>157.8242609337</v>
      </c>
      <c r="C14" s="25" t="n">
        <f aca="false">cons_feps28</f>
        <v>188.2</v>
      </c>
      <c r="D14" s="17" t="n">
        <f aca="false">B14/C14-1</f>
        <v>-0.161401376547821</v>
      </c>
      <c r="E14" s="8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818</v>
      </c>
    </row>
    <row r="3" customFormat="false" ht="17.15" hidden="false" customHeight="false" outlineLevel="0" collapsed="false">
      <c r="A3" s="5" t="s">
        <v>819</v>
      </c>
      <c r="B3" s="15" t="s">
        <v>820</v>
      </c>
      <c r="C3" s="5" t="s">
        <v>821</v>
      </c>
      <c r="D3" s="15" t="s">
        <v>822</v>
      </c>
    </row>
    <row r="4" customFormat="false" ht="15" hidden="false" customHeight="false" outlineLevel="0" collapsed="false">
      <c r="A4" s="4" t="s">
        <v>25</v>
      </c>
      <c r="B4" s="18" t="n">
        <f aca="false">(PL!C7)*(gm27_A-opex)*ni_op*fx/shares</f>
        <v>137.672261926799</v>
      </c>
      <c r="C4" s="17" t="n">
        <f aca="false">B4/B$4-1</f>
        <v>0</v>
      </c>
      <c r="D4" s="17" t="n">
        <f aca="false">CoWoS!C17</f>
        <v>0.962547553456644</v>
      </c>
    </row>
    <row r="5" customFormat="false" ht="17.15" hidden="false" customHeight="false" outlineLevel="0" collapsed="false">
      <c r="A5" s="0" t="s">
        <v>823</v>
      </c>
      <c r="B5" s="18" t="n">
        <f aca="false">(PL!C7-0.3*u_rb_27*ct_VR*(1+px27)*(1+ai_oth))*(gm27_A-opex)*ni_op*fx/shares</f>
        <v>132.85301906781</v>
      </c>
      <c r="C5" s="17" t="n">
        <f aca="false">B5/B$4-1</f>
        <v>-0.0350051839894338</v>
      </c>
      <c r="D5" s="17" t="n">
        <f aca="false">(CoWoS!C13-0.3*CoWoS!C5)/CoWoS!C16</f>
        <v>0.842024137478683</v>
      </c>
    </row>
    <row r="6" customFormat="false" ht="17.15" hidden="false" customHeight="false" outlineLevel="0" collapsed="false">
      <c r="A6" s="0" t="s">
        <v>824</v>
      </c>
      <c r="B6" s="18" t="n">
        <f aca="false">(PL!C7-PL!C5*px27/(1+px27))*(gm27_A-opex)*ni_op*fx/shares</f>
        <v>133.30614029872</v>
      </c>
      <c r="C6" s="17" t="n">
        <f aca="false">B6/B$4-1</f>
        <v>-0.0317138802469871</v>
      </c>
      <c r="D6" s="17" t="n">
        <f aca="false">CoWoS!C17</f>
        <v>0.962547553456644</v>
      </c>
    </row>
    <row r="7" customFormat="false" ht="17.15" hidden="false" customHeight="false" outlineLevel="0" collapsed="false">
      <c r="A7" s="4" t="s">
        <v>825</v>
      </c>
      <c r="B7" s="18" t="n">
        <f aca="false">(PL!C7)*(0.6-opex)*ni_op*fx/shares</f>
        <v>127.925553117822</v>
      </c>
      <c r="C7" s="17" t="n">
        <f aca="false">B7/B$4-1</f>
        <v>-0.0707964601769912</v>
      </c>
      <c r="D7" s="17" t="n">
        <f aca="false">CoWoS!C17</f>
        <v>0.962547553456644</v>
      </c>
    </row>
    <row r="8" customFormat="false" ht="17.15" hidden="false" customHeight="false" outlineLevel="0" collapsed="false">
      <c r="A8" s="4" t="s">
        <v>826</v>
      </c>
      <c r="B8" s="18" t="n">
        <f aca="false">(PL!C7)*(0.67-opex)*ni_op*fx/shares</f>
        <v>144.982293533531</v>
      </c>
      <c r="C8" s="17" t="n">
        <f aca="false">B8/B$4-1</f>
        <v>0.0530973451327432</v>
      </c>
      <c r="D8" s="17" t="n">
        <f aca="false">CoWoS!C17</f>
        <v>0.962547553456644</v>
      </c>
    </row>
    <row r="9" customFormat="false" ht="17.15" hidden="false" customHeight="false" outlineLevel="0" collapsed="false">
      <c r="A9" s="4" t="s">
        <v>827</v>
      </c>
      <c r="B9" s="18" t="n">
        <f aca="false">(PL!C7-PL!B6*na27_A)*(gm27_A-opex)*ni_op*fx/shares</f>
        <v>127.295990638723</v>
      </c>
      <c r="C9" s="17" t="n">
        <f aca="false">B9/B$4-1</f>
        <v>-0.0753693673863851</v>
      </c>
      <c r="D9" s="17" t="n">
        <f aca="false">CoWoS!C17</f>
        <v>0.962547553456644</v>
      </c>
    </row>
    <row r="10" customFormat="false" ht="17.15" hidden="false" customHeight="false" outlineLevel="0" collapsed="false">
      <c r="A10" s="0" t="s">
        <v>828</v>
      </c>
      <c r="B10" s="18" t="n">
        <f aca="false">(PL!C7)*(gm27_A-opex)*ni_op*fx/shares</f>
        <v>137.672261926799</v>
      </c>
      <c r="C10" s="17" t="n">
        <f aca="false">B10/B$4-1</f>
        <v>0</v>
      </c>
      <c r="D10" s="17" t="n">
        <f aca="false">CoWoS!C13/((cap_end26+170)/2*12*(1+osat))</f>
        <v>1.05880230880231</v>
      </c>
    </row>
    <row r="13" customFormat="false" ht="17.15" hidden="false" customHeight="false" outlineLevel="0" collapsed="false">
      <c r="A13" s="1" t="s">
        <v>829</v>
      </c>
    </row>
    <row r="14" customFormat="false" ht="15" hidden="false" customHeight="false" outlineLevel="0" collapsed="false">
      <c r="A14" s="5" t="s">
        <v>830</v>
      </c>
      <c r="B14" s="5" t="s">
        <v>831</v>
      </c>
      <c r="C14" s="15" t="s">
        <v>820</v>
      </c>
      <c r="D14" s="5" t="s">
        <v>821</v>
      </c>
      <c r="E14" s="15" t="s">
        <v>832</v>
      </c>
      <c r="F14" s="5" t="s">
        <v>821</v>
      </c>
    </row>
    <row r="15" customFormat="false" ht="15" hidden="false" customHeight="false" outlineLevel="0" collapsed="false">
      <c r="A15" s="4" t="s">
        <v>833</v>
      </c>
      <c r="B15" s="9" t="n">
        <f aca="false">ni_op</f>
        <v>0.874593626904623</v>
      </c>
      <c r="C15" s="18" t="n">
        <f aca="false">PL!C11*B15*fx/shares</f>
        <v>137.672261926799</v>
      </c>
      <c r="D15" s="14" t="n">
        <f aca="false">C15/C$15-1</f>
        <v>0</v>
      </c>
      <c r="E15" s="18" t="n">
        <f aca="false">PL!D11*B15*fx/shares</f>
        <v>157.8242609337</v>
      </c>
      <c r="F15" s="14" t="n">
        <f aca="false">E15/E$15-1</f>
        <v>0</v>
      </c>
    </row>
    <row r="16" customFormat="false" ht="17.15" hidden="false" customHeight="false" outlineLevel="0" collapsed="false">
      <c r="A16" s="4" t="s">
        <v>834</v>
      </c>
      <c r="B16" s="9" t="n">
        <f aca="false">ni_op_lo</f>
        <v>0.864414533026079</v>
      </c>
      <c r="C16" s="18" t="n">
        <f aca="false">PL!C11*B16*fx/shares</f>
        <v>136.069941905803</v>
      </c>
      <c r="D16" s="14" t="n">
        <f aca="false">C16/C$15-1</f>
        <v>-0.0116386554456952</v>
      </c>
      <c r="E16" s="18" t="n">
        <f aca="false">PL!D11*B16*fx/shares</f>
        <v>155.987398739721</v>
      </c>
      <c r="F16" s="14" t="n">
        <f aca="false">E16/E$15-1</f>
        <v>-0.0116386554456951</v>
      </c>
    </row>
    <row r="17" customFormat="false" ht="17.15" hidden="false" customHeight="false" outlineLevel="0" collapsed="false">
      <c r="A17" s="4" t="s">
        <v>835</v>
      </c>
      <c r="B17" s="9" t="n">
        <f aca="false">ni_op_hi</f>
        <v>0.909166874667651</v>
      </c>
      <c r="C17" s="18" t="n">
        <f aca="false">PL!C11*B17*fx/shares</f>
        <v>143.114534858214</v>
      </c>
      <c r="D17" s="14" t="n">
        <f aca="false">C17/C$15-1</f>
        <v>0.0395306422313986</v>
      </c>
      <c r="E17" s="18" t="n">
        <f aca="false">PL!D11*B17*fx/shares</f>
        <v>164.063155328105</v>
      </c>
      <c r="F17" s="14" t="n">
        <f aca="false">E17/E$15-1</f>
        <v>0.0395306422313986</v>
      </c>
    </row>
    <row r="21" customFormat="false" ht="17.15" hidden="false" customHeight="false" outlineLevel="0" collapsed="false">
      <c r="A21" s="1" t="s">
        <v>836</v>
      </c>
    </row>
    <row r="22" customFormat="false" ht="17.15" hidden="false" customHeight="false" outlineLevel="0" collapsed="false">
      <c r="A22" s="5" t="s">
        <v>837</v>
      </c>
      <c r="B22" s="5" t="s">
        <v>830</v>
      </c>
      <c r="C22" s="15" t="s">
        <v>838</v>
      </c>
      <c r="D22" s="15" t="s">
        <v>795</v>
      </c>
      <c r="E22" s="5" t="s">
        <v>839</v>
      </c>
      <c r="F22" s="5" t="s">
        <v>821</v>
      </c>
    </row>
    <row r="23" customFormat="false" ht="17.15" hidden="false" customHeight="false" outlineLevel="0" collapsed="false">
      <c r="A23" s="4" t="s">
        <v>25</v>
      </c>
      <c r="B23" s="0" t="s">
        <v>840</v>
      </c>
      <c r="C23" s="16" t="n">
        <f aca="false">(tp_wA*(Val!B63*(1-MIN(tp_g/tp_roe,0.8))/(1+tp_r)^1+Val!B64*(1-MIN(tp_g/tp_roe,0.8))/(1+tp_r)^2+Val!B65*(1-MIN(tp_g/tp_roe,0.8))/(1+tp_r)^3+Val!B66*(1-MIN(tp_g/tp_roe,0.8))/(1+tp_r)^4+Val!B67*(1-MIN(tp_g/tp_roe,0.8))/(1+tp_r)^5+Val!B68*(1-MIN(tp_g/tp_roe,0.8))/(1+tp_r)^6+Val!B68*(1-MIN(tp_g/tp_roe,0.8))*(1+tp_g)/(tp_r-tp_g)/(1+tp_r)^6)+tp_wB*(Val!C63*(1-MIN(tp_g/tp_roe,0.8))/(1+tp_r)^1+Val!C64*(1-MIN(tp_g/tp_roe,0.8))/(1+tp_r)^2+Val!C65*(1-MIN(tp_g/tp_roe,0.8))/(1+tp_r)^3+Val!C66*(1-MIN(tp_g/tp_roe,0.8))/(1+tp_r)^4+Val!C67*(1-MIN(tp_g/tp_roe,0.8))/(1+tp_r)^5+Val!C68*(1-MIN(tp_g/tp_roe,0.8))/(1+tp_r)^6+Val!C68*(1-MIN(tp_g/tp_roe,0.8))*(1+tp_g)/(tp_r-tp_g)/(1+tp_r)^6)+tp_wC*(Val!D63*(1-MIN(tp_g/tp_roe,0.8))/(1+tp_r)^1+Val!D64*(1-MIN(tp_g/tp_roe,0.8))/(1+tp_r)^2+Val!D65*(1-MIN(tp_g/tp_roe,0.8))/(1+tp_r)^3+Val!D66*(1-MIN(tp_g/tp_roe,0.8))/(1+tp_r)^4+Val!D67*(1-MIN(tp_g/tp_roe,0.8))/(1+tp_r)^5+Val!D68*(1-MIN(tp_g/tp_roe,0.8))/(1+tp_r)^6+Val!D68*(1-MIN(tp_g/tp_roe,0.8))*(1+tp_g)/(tp_r-tp_g)/(1+tp_r)^6))*(1+tp_r)</f>
        <v>2155.49973345111</v>
      </c>
      <c r="D23" s="16" t="n">
        <f aca="false">tp_comp_adj</f>
        <v>3451.49671418364</v>
      </c>
      <c r="E23" s="16" t="n">
        <f aca="false">tp_w_dcf*C23+(1-tp_w_dcf)*D23</f>
        <v>2803.49822381737</v>
      </c>
      <c r="F23" s="14" t="n">
        <f aca="false">E23/E$23-1</f>
        <v>0</v>
      </c>
    </row>
    <row r="24" customFormat="false" ht="17.15" hidden="false" customHeight="false" outlineLevel="0" collapsed="false">
      <c r="A24" s="4" t="s">
        <v>841</v>
      </c>
      <c r="B24" s="0" t="s">
        <v>842</v>
      </c>
      <c r="C24" s="16" t="n">
        <f aca="false">(tp_wA*(Val!B63*(1-MIN(tp_g/tp_roe,0.8))/(1+(tp_r+0.01))^1+Val!B64*(1-MIN(tp_g/tp_roe,0.8))/(1+(tp_r+0.01))^2+Val!B65*(1-MIN(tp_g/tp_roe,0.8))/(1+(tp_r+0.01))^3+Val!B66*(1-MIN(tp_g/tp_roe,0.8))/(1+(tp_r+0.01))^4+Val!B67*(1-MIN(tp_g/tp_roe,0.8))/(1+(tp_r+0.01))^5+Val!B68*(1-MIN(tp_g/tp_roe,0.8))/(1+(tp_r+0.01))^6+Val!B68*(1-MIN(tp_g/tp_roe,0.8))*(1+tp_g)/((tp_r+0.01)-tp_g)/(1+(tp_r+0.01))^6)+tp_wB*(Val!C63*(1-MIN(tp_g/tp_roe,0.8))/(1+(tp_r+0.01))^1+Val!C64*(1-MIN(tp_g/tp_roe,0.8))/(1+(tp_r+0.01))^2+Val!C65*(1-MIN(tp_g/tp_roe,0.8))/(1+(tp_r+0.01))^3+Val!C66*(1-MIN(tp_g/tp_roe,0.8))/(1+(tp_r+0.01))^4+Val!C67*(1-MIN(tp_g/tp_roe,0.8))/(1+(tp_r+0.01))^5+Val!C68*(1-MIN(tp_g/tp_roe,0.8))/(1+(tp_r+0.01))^6+Val!C68*(1-MIN(tp_g/tp_roe,0.8))*(1+tp_g)/((tp_r+0.01)-tp_g)/(1+(tp_r+0.01))^6)+tp_wC*(Val!D63*(1-MIN(tp_g/tp_roe,0.8))/(1+(tp_r+0.01))^1+Val!D64*(1-MIN(tp_g/tp_roe,0.8))/(1+(tp_r+0.01))^2+Val!D65*(1-MIN(tp_g/tp_roe,0.8))/(1+(tp_r+0.01))^3+Val!D66*(1-MIN(tp_g/tp_roe,0.8))/(1+(tp_r+0.01))^4+Val!D67*(1-MIN(tp_g/tp_roe,0.8))/(1+(tp_r+0.01))^5+Val!D68*(1-MIN(tp_g/tp_roe,0.8))/(1+(tp_r+0.01))^6+Val!D68*(1-MIN(tp_g/tp_roe,0.8))*(1+tp_g)/((tp_r+0.01)-tp_g)/(1+(tp_r+0.01))^6))*(1+(tp_r+0.01))</f>
        <v>1863.30501824391</v>
      </c>
      <c r="D24" s="16" t="n">
        <f aca="false">tp_comp_adj</f>
        <v>3451.49671418364</v>
      </c>
      <c r="E24" s="16" t="n">
        <f aca="false">tp_w_dcf*C24+(1-tp_w_dcf)*D24</f>
        <v>2657.40086621377</v>
      </c>
      <c r="F24" s="14" t="n">
        <f aca="false">E24/E$23-1</f>
        <v>-0.0521125201230438</v>
      </c>
    </row>
    <row r="25" customFormat="false" ht="17.15" hidden="false" customHeight="false" outlineLevel="0" collapsed="false">
      <c r="A25" s="4" t="s">
        <v>843</v>
      </c>
      <c r="B25" s="0" t="s">
        <v>844</v>
      </c>
      <c r="C25" s="16" t="n">
        <f aca="false">(tp_wA*(Val!B63*(1-MIN(tp_g/tp_roe,0.8))/(1+(tp_r-0.01))^1+Val!B64*(1-MIN(tp_g/tp_roe,0.8))/(1+(tp_r-0.01))^2+Val!B65*(1-MIN(tp_g/tp_roe,0.8))/(1+(tp_r-0.01))^3+Val!B66*(1-MIN(tp_g/tp_roe,0.8))/(1+(tp_r-0.01))^4+Val!B67*(1-MIN(tp_g/tp_roe,0.8))/(1+(tp_r-0.01))^5+Val!B68*(1-MIN(tp_g/tp_roe,0.8))/(1+(tp_r-0.01))^6+Val!B68*(1-MIN(tp_g/tp_roe,0.8))*(1+tp_g)/((tp_r-0.01)-tp_g)/(1+(tp_r-0.01))^6)+tp_wB*(Val!C63*(1-MIN(tp_g/tp_roe,0.8))/(1+(tp_r-0.01))^1+Val!C64*(1-MIN(tp_g/tp_roe,0.8))/(1+(tp_r-0.01))^2+Val!C65*(1-MIN(tp_g/tp_roe,0.8))/(1+(tp_r-0.01))^3+Val!C66*(1-MIN(tp_g/tp_roe,0.8))/(1+(tp_r-0.01))^4+Val!C67*(1-MIN(tp_g/tp_roe,0.8))/(1+(tp_r-0.01))^5+Val!C68*(1-MIN(tp_g/tp_roe,0.8))/(1+(tp_r-0.01))^6+Val!C68*(1-MIN(tp_g/tp_roe,0.8))*(1+tp_g)/((tp_r-0.01)-tp_g)/(1+(tp_r-0.01))^6)+tp_wC*(Val!D63*(1-MIN(tp_g/tp_roe,0.8))/(1+(tp_r-0.01))^1+Val!D64*(1-MIN(tp_g/tp_roe,0.8))/(1+(tp_r-0.01))^2+Val!D65*(1-MIN(tp_g/tp_roe,0.8))/(1+(tp_r-0.01))^3+Val!D66*(1-MIN(tp_g/tp_roe,0.8))/(1+(tp_r-0.01))^4+Val!D67*(1-MIN(tp_g/tp_roe,0.8))/(1+(tp_r-0.01))^5+Val!D68*(1-MIN(tp_g/tp_roe,0.8))/(1+(tp_r-0.01))^6+Val!D68*(1-MIN(tp_g/tp_roe,0.8))*(1+tp_g)/((tp_r-0.01)-tp_g)/(1+(tp_r-0.01))^6))*(1+(tp_r-0.01))</f>
        <v>2564.62239361724</v>
      </c>
      <c r="D25" s="16" t="n">
        <f aca="false">tp_comp_adj</f>
        <v>3451.49671418364</v>
      </c>
      <c r="E25" s="16" t="n">
        <f aca="false">tp_w_dcf*C25+(1-tp_w_dcf)*D25</f>
        <v>3008.05955390044</v>
      </c>
      <c r="F25" s="14" t="n">
        <f aca="false">E25/E$23-1</f>
        <v>0.0729664561030206</v>
      </c>
    </row>
    <row r="26" customFormat="false" ht="17.15" hidden="false" customHeight="false" outlineLevel="0" collapsed="false">
      <c r="A26" s="4" t="s">
        <v>845</v>
      </c>
      <c r="B26" s="0" t="s">
        <v>846</v>
      </c>
      <c r="C26" s="16" t="n">
        <f aca="false">(tp_wA*(Val!B63*(1-MIN((tp_g+0.01)/tp_roe,0.8))/(1+tp_r)^1+Val!B64*(1-MIN((tp_g+0.01)/tp_roe,0.8))/(1+tp_r)^2+Val!B65*(1-MIN((tp_g+0.01)/tp_roe,0.8))/(1+tp_r)^3+Val!B66*(1-MIN((tp_g+0.01)/tp_roe,0.8))/(1+tp_r)^4+Val!B67*(1-MIN((tp_g+0.01)/tp_roe,0.8))/(1+tp_r)^5+Val!B68*(1-MIN((tp_g+0.01)/tp_roe,0.8))/(1+tp_r)^6+Val!B68*(1-MIN((tp_g+0.01)/tp_roe,0.8))*(1+(tp_g+0.01))/(tp_r-(tp_g+0.01))/(1+tp_r)^6)+tp_wB*(Val!C63*(1-MIN((tp_g+0.01)/tp_roe,0.8))/(1+tp_r)^1+Val!C64*(1-MIN((tp_g+0.01)/tp_roe,0.8))/(1+tp_r)^2+Val!C65*(1-MIN((tp_g+0.01)/tp_roe,0.8))/(1+tp_r)^3+Val!C66*(1-MIN((tp_g+0.01)/tp_roe,0.8))/(1+tp_r)^4+Val!C67*(1-MIN((tp_g+0.01)/tp_roe,0.8))/(1+tp_r)^5+Val!C68*(1-MIN((tp_g+0.01)/tp_roe,0.8))/(1+tp_r)^6+Val!C68*(1-MIN((tp_g+0.01)/tp_roe,0.8))*(1+(tp_g+0.01))/(tp_r-(tp_g+0.01))/(1+tp_r)^6)+tp_wC*(Val!D63*(1-MIN((tp_g+0.01)/tp_roe,0.8))/(1+tp_r)^1+Val!D64*(1-MIN((tp_g+0.01)/tp_roe,0.8))/(1+tp_r)^2+Val!D65*(1-MIN((tp_g+0.01)/tp_roe,0.8))/(1+tp_r)^3+Val!D66*(1-MIN((tp_g+0.01)/tp_roe,0.8))/(1+tp_r)^4+Val!D67*(1-MIN((tp_g+0.01)/tp_roe,0.8))/(1+tp_r)^5+Val!D68*(1-MIN((tp_g+0.01)/tp_roe,0.8))/(1+tp_r)^6+Val!D68*(1-MIN((tp_g+0.01)/tp_roe,0.8))*(1+(tp_g+0.01))/(tp_r-(tp_g+0.01))/(1+tp_r)^6))*(1+tp_r)</f>
        <v>2389.05310638326</v>
      </c>
      <c r="D26" s="16" t="n">
        <f aca="false">tp_comp_adj</f>
        <v>3451.49671418364</v>
      </c>
      <c r="E26" s="16" t="n">
        <f aca="false">tp_w_dcf*C26+(1-tp_w_dcf)*D26</f>
        <v>2920.27491028345</v>
      </c>
      <c r="F26" s="14" t="n">
        <f aca="false">E26/E$23-1</f>
        <v>0.0416539184772755</v>
      </c>
    </row>
    <row r="27" customFormat="false" ht="17.15" hidden="false" customHeight="false" outlineLevel="0" collapsed="false">
      <c r="A27" s="4" t="s">
        <v>847</v>
      </c>
      <c r="B27" s="0" t="s">
        <v>848</v>
      </c>
      <c r="C27" s="16" t="n">
        <f aca="false">(tp_wA*(Val!B63*(1-MIN((tp_g-0.01)/tp_roe,0.8))/(1+tp_r)^1+Val!B64*(1-MIN((tp_g-0.01)/tp_roe,0.8))/(1+tp_r)^2+Val!B65*(1-MIN((tp_g-0.01)/tp_roe,0.8))/(1+tp_r)^3+Val!B66*(1-MIN((tp_g-0.01)/tp_roe,0.8))/(1+tp_r)^4+Val!B67*(1-MIN((tp_g-0.01)/tp_roe,0.8))/(1+tp_r)^5+Val!B68*(1-MIN((tp_g-0.01)/tp_roe,0.8))/(1+tp_r)^6+Val!B68*(1-MIN((tp_g-0.01)/tp_roe,0.8))*(1+(tp_g-0.01))/(tp_r-(tp_g-0.01))/(1+tp_r)^6)+tp_wB*(Val!C63*(1-MIN((tp_g-0.01)/tp_roe,0.8))/(1+tp_r)^1+Val!C64*(1-MIN((tp_g-0.01)/tp_roe,0.8))/(1+tp_r)^2+Val!C65*(1-MIN((tp_g-0.01)/tp_roe,0.8))/(1+tp_r)^3+Val!C66*(1-MIN((tp_g-0.01)/tp_roe,0.8))/(1+tp_r)^4+Val!C67*(1-MIN((tp_g-0.01)/tp_roe,0.8))/(1+tp_r)^5+Val!C68*(1-MIN((tp_g-0.01)/tp_roe,0.8))/(1+tp_r)^6+Val!C68*(1-MIN((tp_g-0.01)/tp_roe,0.8))*(1+(tp_g-0.01))/(tp_r-(tp_g-0.01))/(1+tp_r)^6)+tp_wC*(Val!D63*(1-MIN((tp_g-0.01)/tp_roe,0.8))/(1+tp_r)^1+Val!D64*(1-MIN((tp_g-0.01)/tp_roe,0.8))/(1+tp_r)^2+Val!D65*(1-MIN((tp_g-0.01)/tp_roe,0.8))/(1+tp_r)^3+Val!D66*(1-MIN((tp_g-0.01)/tp_roe,0.8))/(1+tp_r)^4+Val!D67*(1-MIN((tp_g-0.01)/tp_roe,0.8))/(1+tp_r)^5+Val!D68*(1-MIN((tp_g-0.01)/tp_roe,0.8))/(1+tp_r)^6+Val!D68*(1-MIN((tp_g-0.01)/tp_roe,0.8))*(1+(tp_g-0.01))/(tp_r-(tp_g-0.01))/(1+tp_r)^6))*(1+tp_r)</f>
        <v>1994.2738554254</v>
      </c>
      <c r="D27" s="16" t="n">
        <f aca="false">tp_comp_adj</f>
        <v>3451.49671418364</v>
      </c>
      <c r="E27" s="16" t="n">
        <f aca="false">tp_w_dcf*C27+(1-tp_w_dcf)*D27</f>
        <v>2722.88528480452</v>
      </c>
      <c r="F27" s="14" t="n">
        <f aca="false">E27/E$23-1</f>
        <v>-0.0287544105888852</v>
      </c>
    </row>
    <row r="28" customFormat="false" ht="17.15" hidden="false" customHeight="false" outlineLevel="0" collapsed="false">
      <c r="A28" s="0" t="s">
        <v>849</v>
      </c>
      <c r="B28" s="0" t="s">
        <v>850</v>
      </c>
      <c r="C28" s="16" t="n">
        <f aca="false">(tp_wA*(Val!B63*(1-MIN(tp_g/tp_roe,0.8))/(1+tp_r)^1+Val!B64*(1-MIN(tp_g/tp_roe,0.8))/(1+tp_r)^2+Val!B65*(1-MIN(tp_g/tp_roe,0.8))/(1+tp_r)^3+Val!B66*(1-MIN(tp_g/tp_roe,0.8))/(1+tp_r)^4+Val!B67*(1-MIN(tp_g/tp_roe,0.8))/(1+tp_r)^5+Val!B68*(1-MIN(tp_g/tp_roe,0.8))/(1+tp_r)^6+Val!B68*(1-MIN(tp_g/tp_roe,0.8))*(1+tp_g)/(tp_r-tp_g)/(1+tp_r)^6)+tp_wB*(Val!C63*(1-MIN(tp_g/tp_roe,0.8))/(1+tp_r)^1+Val!C64*(1-MIN(tp_g/tp_roe,0.8))/(1+tp_r)^2+Val!C65*(1-MIN(tp_g/tp_roe,0.8))/(1+tp_r)^3+Val!C66*(1-MIN(tp_g/tp_roe,0.8))/(1+tp_r)^4+Val!C67*(1-MIN(tp_g/tp_roe,0.8))/(1+tp_r)^5+Val!C68*(1-MIN(tp_g/tp_roe,0.8))/(1+tp_r)^6+Val!C68*(1-MIN(tp_g/tp_roe,0.8))*(1+tp_g)/(tp_r-tp_g)/(1+tp_r)^6)+tp_wC*(Val!D63*(1-MIN(tp_g/tp_roe,0.8))/(1+tp_r)^1+Val!D64*(1-MIN(tp_g/tp_roe,0.8))/(1+tp_r)^2+Val!D65*(1-MIN(tp_g/tp_roe,0.8))/(1+tp_r)^3+Val!D66*(1-MIN(tp_g/tp_roe,0.8))/(1+tp_r)^4+Val!D67*(1-MIN(tp_g/tp_roe,0.8))/(1+tp_r)^5+Val!D68*(1-MIN(tp_g/tp_roe,0.8))/(1+tp_r)^6+Val!D68*(1-MIN(tp_g/tp_roe,0.8))*(1+tp_g)/(tp_r-tp_g)/(1+tp_r)^6))*(1+tp_r)</f>
        <v>2155.49973345111</v>
      </c>
      <c r="D28" s="16" t="n">
        <f aca="false">tp_comp_adj</f>
        <v>3451.49671418364</v>
      </c>
      <c r="E28" s="16" t="n">
        <f aca="false">0.3*C28+(1-0.3)*D28</f>
        <v>3062.69761996388</v>
      </c>
      <c r="F28" s="14" t="n">
        <f aca="false">E28/E$23-1</f>
        <v>0.0924557019314134</v>
      </c>
    </row>
    <row r="29" customFormat="false" ht="17.15" hidden="false" customHeight="false" outlineLevel="0" collapsed="false">
      <c r="A29" s="0" t="s">
        <v>851</v>
      </c>
      <c r="B29" s="0" t="s">
        <v>852</v>
      </c>
      <c r="C29" s="16" t="n">
        <f aca="false">(tp_wA*(Val!B63*(1-MIN(tp_g/tp_roe,0.8))/(1+tp_r)^1+Val!B64*(1-MIN(tp_g/tp_roe,0.8))/(1+tp_r)^2+Val!B65*(1-MIN(tp_g/tp_roe,0.8))/(1+tp_r)^3+Val!B66*(1-MIN(tp_g/tp_roe,0.8))/(1+tp_r)^4+Val!B67*(1-MIN(tp_g/tp_roe,0.8))/(1+tp_r)^5+Val!B68*(1-MIN(tp_g/tp_roe,0.8))/(1+tp_r)^6+Val!B68*(1-MIN(tp_g/tp_roe,0.8))*(1+tp_g)/(tp_r-tp_g)/(1+tp_r)^6)+tp_wB*(Val!C63*(1-MIN(tp_g/tp_roe,0.8))/(1+tp_r)^1+Val!C64*(1-MIN(tp_g/tp_roe,0.8))/(1+tp_r)^2+Val!C65*(1-MIN(tp_g/tp_roe,0.8))/(1+tp_r)^3+Val!C66*(1-MIN(tp_g/tp_roe,0.8))/(1+tp_r)^4+Val!C67*(1-MIN(tp_g/tp_roe,0.8))/(1+tp_r)^5+Val!C68*(1-MIN(tp_g/tp_roe,0.8))/(1+tp_r)^6+Val!C68*(1-MIN(tp_g/tp_roe,0.8))*(1+tp_g)/(tp_r-tp_g)/(1+tp_r)^6)+tp_wC*(Val!D63*(1-MIN(tp_g/tp_roe,0.8))/(1+tp_r)^1+Val!D64*(1-MIN(tp_g/tp_roe,0.8))/(1+tp_r)^2+Val!D65*(1-MIN(tp_g/tp_roe,0.8))/(1+tp_r)^3+Val!D66*(1-MIN(tp_g/tp_roe,0.8))/(1+tp_r)^4+Val!D67*(1-MIN(tp_g/tp_roe,0.8))/(1+tp_r)^5+Val!D68*(1-MIN(tp_g/tp_roe,0.8))/(1+tp_r)^6+Val!D68*(1-MIN(tp_g/tp_roe,0.8))*(1+tp_g)/(tp_r-tp_g)/(1+tp_r)^6))*(1+tp_r)</f>
        <v>2155.49973345111</v>
      </c>
      <c r="D29" s="16" t="n">
        <f aca="false">tp_comp_adj</f>
        <v>3451.49671418364</v>
      </c>
      <c r="E29" s="16" t="n">
        <f aca="false">0.7*C29+(1-0.7)*D29</f>
        <v>2544.29882767086</v>
      </c>
      <c r="F29" s="14" t="n">
        <f aca="false">E29/E$23-1</f>
        <v>-0.0924557019314135</v>
      </c>
    </row>
    <row r="30" customFormat="false" ht="17.15" hidden="false" customHeight="false" outlineLevel="0" collapsed="false">
      <c r="A30" s="4" t="s">
        <v>853</v>
      </c>
      <c r="C30" s="31" t="n">
        <f aca="false">C23-Val!B79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22"/>
    <col collapsed="false" customWidth="true" hidden="false" outlineLevel="0" max="16" min="16" style="0" width="120"/>
  </cols>
  <sheetData>
    <row r="1" customFormat="false" ht="17.15" hidden="false" customHeight="false" outlineLevel="0" collapsed="false">
      <c r="A1" s="0" t="s">
        <v>854</v>
      </c>
    </row>
    <row r="3" customFormat="false" ht="17.15" hidden="false" customHeight="false" outlineLevel="0" collapsed="false">
      <c r="A3" s="5" t="s">
        <v>855</v>
      </c>
      <c r="B3" s="5" t="s">
        <v>584</v>
      </c>
      <c r="C3" s="5" t="s">
        <v>856</v>
      </c>
      <c r="D3" s="5" t="s">
        <v>857</v>
      </c>
      <c r="E3" s="5" t="s">
        <v>858</v>
      </c>
      <c r="F3" s="5" t="s">
        <v>585</v>
      </c>
      <c r="G3" s="5" t="s">
        <v>859</v>
      </c>
      <c r="H3" s="5" t="s">
        <v>860</v>
      </c>
      <c r="I3" s="5" t="s">
        <v>861</v>
      </c>
      <c r="J3" s="5" t="s">
        <v>862</v>
      </c>
      <c r="K3" s="5" t="s">
        <v>863</v>
      </c>
      <c r="L3" s="5" t="s">
        <v>864</v>
      </c>
      <c r="M3" s="5" t="s">
        <v>865</v>
      </c>
      <c r="N3" s="5" t="s">
        <v>866</v>
      </c>
      <c r="O3" s="5" t="s">
        <v>27</v>
      </c>
      <c r="P3" s="5" t="s">
        <v>28</v>
      </c>
    </row>
    <row r="4" customFormat="false" ht="17.15" hidden="false" customHeight="false" outlineLevel="0" collapsed="false">
      <c r="A4" s="0" t="s">
        <v>641</v>
      </c>
      <c r="B4" s="32" t="n">
        <v>1121.28</v>
      </c>
      <c r="C4" s="32" t="n">
        <v>22.91</v>
      </c>
      <c r="D4" s="25" t="n">
        <f aca="false">B4+C4</f>
        <v>1144.19</v>
      </c>
      <c r="E4" s="25" t="n">
        <f aca="false">D4-F4</f>
        <v>127.29</v>
      </c>
      <c r="F4" s="32" t="n">
        <v>1016.9</v>
      </c>
      <c r="G4" s="25"/>
      <c r="H4" s="25"/>
      <c r="I4" s="32" t="n">
        <v>0</v>
      </c>
      <c r="J4" s="14" t="n">
        <f aca="false">E4/D4</f>
        <v>0.111249005846931</v>
      </c>
      <c r="K4" s="14" t="n">
        <f aca="false">C4/B4</f>
        <v>0.0204320062785388</v>
      </c>
      <c r="L4" s="9" t="n">
        <f aca="false">F4/(D4-E4)</f>
        <v>1</v>
      </c>
      <c r="M4" s="9" t="n">
        <f aca="false">F4/B4</f>
        <v>0.906909960045662</v>
      </c>
      <c r="N4" s="0" t="n">
        <v>1</v>
      </c>
      <c r="O4" s="8" t="s">
        <v>867</v>
      </c>
      <c r="P4" s="4" t="s">
        <v>868</v>
      </c>
    </row>
    <row r="5" customFormat="false" ht="17.15" hidden="false" customHeight="false" outlineLevel="0" collapsed="false">
      <c r="A5" s="0" t="s">
        <v>642</v>
      </c>
      <c r="B5" s="32" t="n">
        <v>921.47</v>
      </c>
      <c r="C5" s="32" t="n">
        <v>57.71</v>
      </c>
      <c r="D5" s="25" t="n">
        <f aca="false">B5+C5</f>
        <v>979.18</v>
      </c>
      <c r="E5" s="32" t="n">
        <v>141.4</v>
      </c>
      <c r="F5" s="32" t="n">
        <v>837.77</v>
      </c>
      <c r="G5" s="32" t="n">
        <v>60.29</v>
      </c>
      <c r="H5" s="25"/>
      <c r="I5" s="32" t="n">
        <v>0</v>
      </c>
      <c r="J5" s="14" t="n">
        <f aca="false">E5/D5</f>
        <v>0.144406544251312</v>
      </c>
      <c r="K5" s="14" t="n">
        <f aca="false">C5/B5</f>
        <v>0.0626281919107513</v>
      </c>
      <c r="L5" s="9" t="n">
        <f aca="false">F5/(D5-E5)</f>
        <v>0.999988063692139</v>
      </c>
      <c r="M5" s="9" t="n">
        <f aca="false">F5/B5</f>
        <v>0.909166874667651</v>
      </c>
      <c r="N5" s="0" t="n">
        <v>2</v>
      </c>
      <c r="O5" s="8" t="s">
        <v>224</v>
      </c>
      <c r="P5" s="4" t="s">
        <v>869</v>
      </c>
    </row>
    <row r="6" customFormat="false" ht="17.15" hidden="false" customHeight="false" outlineLevel="0" collapsed="false">
      <c r="A6" s="0" t="s">
        <v>643</v>
      </c>
      <c r="B6" s="32" t="n">
        <v>1322.05</v>
      </c>
      <c r="C6" s="32" t="n">
        <v>83.79</v>
      </c>
      <c r="D6" s="25" t="n">
        <f aca="false">B6+C6</f>
        <v>1405.84</v>
      </c>
      <c r="E6" s="32" t="n">
        <v>233.41</v>
      </c>
      <c r="F6" s="32" t="n">
        <v>1172.43</v>
      </c>
      <c r="G6" s="32" t="n">
        <v>87.21</v>
      </c>
      <c r="H6" s="32" t="n">
        <v>10</v>
      </c>
      <c r="I6" s="32" t="n">
        <v>0</v>
      </c>
      <c r="J6" s="14" t="n">
        <f aca="false">E6/D6</f>
        <v>0.166028851078359</v>
      </c>
      <c r="K6" s="14" t="n">
        <f aca="false">C6/B6</f>
        <v>0.063378843462804</v>
      </c>
      <c r="L6" s="9" t="n">
        <f aca="false">F6/(D6-E6)</f>
        <v>1</v>
      </c>
      <c r="M6" s="9" t="n">
        <f aca="false">F6/B6</f>
        <v>0.886827275821641</v>
      </c>
      <c r="N6" s="0" t="n">
        <v>2</v>
      </c>
      <c r="O6" s="8" t="s">
        <v>224</v>
      </c>
      <c r="P6" s="4" t="s">
        <v>870</v>
      </c>
    </row>
    <row r="7" customFormat="false" ht="17.15" hidden="false" customHeight="false" outlineLevel="0" collapsed="false">
      <c r="A7" s="0" t="s">
        <v>644</v>
      </c>
      <c r="B7" s="32" t="n">
        <v>1936.09</v>
      </c>
      <c r="C7" s="32" t="n">
        <v>105.56</v>
      </c>
      <c r="D7" s="25" t="n">
        <f aca="false">B7+C7</f>
        <v>2041.65</v>
      </c>
      <c r="E7" s="32" t="n">
        <v>326.25</v>
      </c>
      <c r="F7" s="32" t="n">
        <v>1715.4</v>
      </c>
      <c r="G7" s="32" t="n">
        <v>105.74</v>
      </c>
      <c r="H7" s="32" t="n">
        <v>13.83</v>
      </c>
      <c r="I7" s="32" t="n">
        <v>0</v>
      </c>
      <c r="J7" s="14" t="n">
        <f aca="false">E7/D7</f>
        <v>0.159797222834472</v>
      </c>
      <c r="K7" s="14" t="n">
        <f aca="false">C7/B7</f>
        <v>0.0545222587792923</v>
      </c>
      <c r="L7" s="9" t="n">
        <f aca="false">F7/(D7-E7)</f>
        <v>1</v>
      </c>
      <c r="M7" s="9" t="n">
        <f aca="false">F7/B7</f>
        <v>0.886012530409227</v>
      </c>
      <c r="N7" s="0" t="n">
        <v>2</v>
      </c>
      <c r="O7" s="8" t="s">
        <v>224</v>
      </c>
      <c r="P7" s="4" t="s">
        <v>871</v>
      </c>
    </row>
    <row r="8" customFormat="false" ht="17.15" hidden="false" customHeight="false" outlineLevel="0" collapsed="false">
      <c r="A8" s="0" t="s">
        <v>872</v>
      </c>
      <c r="B8" s="25" t="n">
        <f aca="false">ntd26_1q*opm26_1q</f>
        <v>658.9121</v>
      </c>
      <c r="C8" s="32" t="n">
        <v>28.83</v>
      </c>
      <c r="D8" s="25" t="n">
        <f aca="false">B8+C8</f>
        <v>687.7421</v>
      </c>
      <c r="E8" s="25" t="n">
        <f aca="false">D8-F8</f>
        <v>115.2621</v>
      </c>
      <c r="F8" s="32" t="n">
        <v>572.48</v>
      </c>
      <c r="G8" s="25"/>
      <c r="H8" s="25"/>
      <c r="I8" s="32" t="n">
        <v>0</v>
      </c>
      <c r="J8" s="14" t="n">
        <f aca="false">E8/D8</f>
        <v>0.167594945837982</v>
      </c>
      <c r="K8" s="14" t="n">
        <f aca="false">C8/B8</f>
        <v>0.0437539392583624</v>
      </c>
      <c r="L8" s="9" t="n">
        <f aca="false">F8/(D8-E8)</f>
        <v>1</v>
      </c>
      <c r="M8" s="9" t="n">
        <f aca="false">F8/B8</f>
        <v>0.868826054340177</v>
      </c>
      <c r="N8" s="0" t="n">
        <v>1</v>
      </c>
      <c r="O8" s="8" t="s">
        <v>128</v>
      </c>
      <c r="P8" s="4" t="s">
        <v>873</v>
      </c>
    </row>
    <row r="9" customFormat="false" ht="17.15" hidden="false" customHeight="false" outlineLevel="0" collapsed="false">
      <c r="A9" s="0" t="s">
        <v>874</v>
      </c>
      <c r="B9" s="25" t="n">
        <f aca="false">ntd26_2q*opm26_2q</f>
        <v>766.03914</v>
      </c>
      <c r="C9" s="32" t="n">
        <v>95.83</v>
      </c>
      <c r="D9" s="25" t="n">
        <f aca="false">B9+C9</f>
        <v>861.86914</v>
      </c>
      <c r="E9" s="32" t="n">
        <v>155.65</v>
      </c>
      <c r="F9" s="32" t="n">
        <v>706.56</v>
      </c>
      <c r="G9" s="25"/>
      <c r="H9" s="25"/>
      <c r="I9" s="32" t="n">
        <v>63.2</v>
      </c>
      <c r="J9" s="14" t="n">
        <f aca="false">E9/D9</f>
        <v>0.180595861687309</v>
      </c>
      <c r="K9" s="14" t="n">
        <f aca="false">C9/B9</f>
        <v>0.125098046556733</v>
      </c>
      <c r="L9" s="9" t="n">
        <f aca="false">F9/(D9-E9)</f>
        <v>1.00048265471819</v>
      </c>
      <c r="M9" s="9" t="n">
        <f aca="false">F9/B9</f>
        <v>0.922354959565121</v>
      </c>
      <c r="N9" s="0" t="n">
        <v>2</v>
      </c>
      <c r="O9" s="8" t="s">
        <v>875</v>
      </c>
      <c r="P9" s="4" t="s">
        <v>876</v>
      </c>
    </row>
    <row r="10" customFormat="false" ht="17.15" hidden="false" customHeight="false" outlineLevel="0" collapsed="false">
      <c r="A10" s="0" t="s">
        <v>877</v>
      </c>
      <c r="B10" s="32" t="n">
        <v>876.45</v>
      </c>
      <c r="C10" s="32" t="n">
        <v>34.59</v>
      </c>
      <c r="D10" s="25" t="n">
        <f aca="false">B10+C10</f>
        <v>911.04</v>
      </c>
      <c r="E10" s="32" t="n">
        <v>147.7</v>
      </c>
      <c r="F10" s="32" t="n">
        <v>763.06</v>
      </c>
      <c r="G10" s="25"/>
      <c r="H10" s="25"/>
      <c r="I10" s="32" t="n">
        <v>0</v>
      </c>
      <c r="J10" s="14" t="n">
        <f aca="false">E10/D10</f>
        <v>0.162122409553916</v>
      </c>
      <c r="K10" s="14" t="n">
        <f aca="false">C10/B10</f>
        <v>0.0394660277254835</v>
      </c>
      <c r="L10" s="9" t="n">
        <f aca="false">F10/(D10-E10)</f>
        <v>0.999633190976498</v>
      </c>
      <c r="M10" s="9" t="n">
        <f aca="false">F10/B10</f>
        <v>0.870625820069599</v>
      </c>
      <c r="N10" s="0" t="n">
        <v>2</v>
      </c>
      <c r="O10" s="8" t="s">
        <v>224</v>
      </c>
      <c r="P10" s="4" t="s">
        <v>878</v>
      </c>
    </row>
    <row r="11" customFormat="false" ht="17.15" hidden="false" customHeight="false" outlineLevel="0" collapsed="false">
      <c r="A11" s="0" t="s">
        <v>879</v>
      </c>
      <c r="B11" s="25" t="n">
        <f aca="false">SUM(B8:B10)</f>
        <v>2301.40124</v>
      </c>
      <c r="C11" s="25" t="n">
        <f aca="false">SUM(C8:C10)</f>
        <v>159.25</v>
      </c>
      <c r="D11" s="25" t="n">
        <f aca="false">SUM(D8:D10)</f>
        <v>2460.65124</v>
      </c>
      <c r="E11" s="25" t="n">
        <f aca="false">SUM(E8:E10)</f>
        <v>418.6121</v>
      </c>
      <c r="F11" s="25" t="n">
        <f aca="false">SUM(F8:F10)</f>
        <v>2042.1</v>
      </c>
      <c r="G11" s="25"/>
      <c r="H11" s="25"/>
      <c r="I11" s="25" t="n">
        <f aca="false">SUM(I8:I10)</f>
        <v>63.2</v>
      </c>
      <c r="J11" s="14" t="n">
        <f aca="false">E11/D11</f>
        <v>0.170122483509691</v>
      </c>
      <c r="K11" s="14" t="n">
        <f aca="false">C11/B11</f>
        <v>0.0691969732318385</v>
      </c>
      <c r="L11" s="9" t="n">
        <f aca="false">F11/(D11-E11)</f>
        <v>1.00002980354236</v>
      </c>
      <c r="M11" s="9" t="n">
        <f aca="false">F11/B11</f>
        <v>0.887328973543092</v>
      </c>
      <c r="O11" s="8" t="s">
        <v>128</v>
      </c>
      <c r="P11" s="4" t="s">
        <v>880</v>
      </c>
    </row>
    <row r="13" customFormat="false" ht="17.15" hidden="false" customHeight="false" outlineLevel="0" collapsed="false">
      <c r="A13" s="1" t="s">
        <v>881</v>
      </c>
    </row>
    <row r="14" customFormat="false" ht="17.15" hidden="false" customHeight="false" outlineLevel="0" collapsed="false">
      <c r="A14" s="4" t="s">
        <v>882</v>
      </c>
      <c r="B14" s="14" t="n">
        <f aca="false">(E6+E7+E11)/(D6+D7+D11)</f>
        <v>0.165580350953154</v>
      </c>
      <c r="P14" s="4" t="s">
        <v>883</v>
      </c>
    </row>
    <row r="15" customFormat="false" ht="17.15" hidden="false" customHeight="false" outlineLevel="0" collapsed="false">
      <c r="A15" s="4" t="s">
        <v>884</v>
      </c>
      <c r="B15" s="14" t="n">
        <f aca="false">(SUM(C4:C7)+C11-I11)/(SUM(B4:B7)+B11)</f>
        <v>0.0481460113069807</v>
      </c>
      <c r="P15" s="4" t="s">
        <v>885</v>
      </c>
    </row>
    <row r="16" customFormat="false" ht="17.15" hidden="false" customHeight="false" outlineLevel="0" collapsed="false">
      <c r="A16" s="4" t="s">
        <v>886</v>
      </c>
      <c r="B16" s="9" t="n">
        <f aca="false">(1+B15)*(1-B14)</f>
        <v>0.874593626904623</v>
      </c>
      <c r="P16" s="4" t="s">
        <v>887</v>
      </c>
    </row>
    <row r="17" customFormat="false" ht="17.15" hidden="false" customHeight="false" outlineLevel="0" collapsed="false">
      <c r="A17" s="4" t="s">
        <v>888</v>
      </c>
      <c r="B17" s="9" t="n">
        <f aca="false">(F6+F7)/(B6+B7)</f>
        <v>0.886343128287919</v>
      </c>
    </row>
    <row r="18" customFormat="false" ht="17.15" hidden="false" customHeight="false" outlineLevel="0" collapsed="false">
      <c r="A18" s="4" t="s">
        <v>889</v>
      </c>
      <c r="B18" s="9" t="n">
        <f aca="false">M11</f>
        <v>0.887328973543092</v>
      </c>
      <c r="P18" s="4" t="s">
        <v>890</v>
      </c>
    </row>
    <row r="19" customFormat="false" ht="17.15" hidden="false" customHeight="false" outlineLevel="0" collapsed="false">
      <c r="A19" s="4" t="s">
        <v>891</v>
      </c>
      <c r="B19" s="9" t="n">
        <f aca="false">(F11-I11*(1-B14))/B11</f>
        <v>0.864414533026079</v>
      </c>
      <c r="P19" s="8" t="s">
        <v>892</v>
      </c>
    </row>
    <row r="20" customFormat="false" ht="17.15" hidden="false" customHeight="false" outlineLevel="0" collapsed="false">
      <c r="A20" s="4" t="s">
        <v>893</v>
      </c>
      <c r="B20" s="9" t="n">
        <f aca="false">M5</f>
        <v>0.909166874667651</v>
      </c>
      <c r="P20" s="8" t="s">
        <v>894</v>
      </c>
    </row>
    <row r="21" customFormat="false" ht="17.15" hidden="false" customHeight="false" outlineLevel="0" collapsed="false">
      <c r="A21" s="4" t="s">
        <v>895</v>
      </c>
      <c r="B21" s="14" t="n">
        <f aca="false">(SUM(C4:C7)+C11)/(SUM(B4:B7)+B11)</f>
        <v>0.0564592945007984</v>
      </c>
      <c r="P21" s="4" t="s">
        <v>896</v>
      </c>
    </row>
    <row r="22" customFormat="false" ht="17.15" hidden="false" customHeight="false" outlineLevel="0" collapsed="false">
      <c r="A22" s="4" t="s">
        <v>897</v>
      </c>
      <c r="B22" s="9" t="n">
        <f aca="false">(1+B21)*(1-B14)</f>
        <v>0.881530393749635</v>
      </c>
      <c r="P22" s="4" t="s">
        <v>898</v>
      </c>
    </row>
    <row r="25" customFormat="false" ht="17.15" hidden="false" customHeight="false" outlineLevel="0" collapsed="false">
      <c r="A25" s="4" t="s">
        <v>899</v>
      </c>
    </row>
    <row r="27" customFormat="false" ht="17.15" hidden="false" customHeight="false" outlineLevel="0" collapsed="false">
      <c r="A27" s="4" t="s"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697</v>
      </c>
    </row>
    <row r="2" customFormat="false" ht="17.15" hidden="false" customHeight="false" outlineLevel="0" collapsed="false">
      <c r="A2" s="4" t="s">
        <v>901</v>
      </c>
      <c r="B2" s="0" t="s">
        <v>902</v>
      </c>
    </row>
    <row r="3" customFormat="false" ht="17.15" hidden="false" customHeight="false" outlineLevel="0" collapsed="false">
      <c r="A3" s="4" t="s">
        <v>903</v>
      </c>
      <c r="B3" s="0" t="s">
        <v>904</v>
      </c>
    </row>
    <row r="4" customFormat="false" ht="17.15" hidden="false" customHeight="false" outlineLevel="0" collapsed="false">
      <c r="A4" s="4" t="s">
        <v>905</v>
      </c>
      <c r="B4" s="0" t="s">
        <v>906</v>
      </c>
    </row>
    <row r="5" customFormat="false" ht="17.15" hidden="false" customHeight="false" outlineLevel="0" collapsed="false">
      <c r="A5" s="4" t="s">
        <v>907</v>
      </c>
      <c r="B5" s="0" t="s">
        <v>908</v>
      </c>
    </row>
    <row r="6" customFormat="false" ht="15" hidden="false" customHeight="false" outlineLevel="0" collapsed="false">
      <c r="A6" s="0" t="s">
        <v>909</v>
      </c>
      <c r="B6" s="0" t="s">
        <v>910</v>
      </c>
    </row>
    <row r="7" customFormat="false" ht="15" hidden="false" customHeight="false" outlineLevel="0" collapsed="false">
      <c r="A7" s="0" t="s">
        <v>911</v>
      </c>
      <c r="B7" s="0" t="s">
        <v>912</v>
      </c>
    </row>
    <row r="8" customFormat="false" ht="17.15" hidden="false" customHeight="false" outlineLevel="0" collapsed="false">
      <c r="A8" s="4" t="s">
        <v>913</v>
      </c>
      <c r="B8" s="0" t="s">
        <v>914</v>
      </c>
    </row>
    <row r="9" customFormat="false" ht="17.15" hidden="false" customHeight="false" outlineLevel="0" collapsed="false">
      <c r="A9" s="0" t="s">
        <v>915</v>
      </c>
      <c r="B9" s="0" t="s">
        <v>916</v>
      </c>
    </row>
    <row r="10" customFormat="false" ht="17.15" hidden="false" customHeight="false" outlineLevel="0" collapsed="false">
      <c r="A10" s="4" t="s">
        <v>917</v>
      </c>
      <c r="B10" s="0" t="s">
        <v>918</v>
      </c>
    </row>
    <row r="11" customFormat="false" ht="17.15" hidden="false" customHeight="false" outlineLevel="0" collapsed="false">
      <c r="A11" s="0" t="s">
        <v>919</v>
      </c>
      <c r="B11" s="0" t="s">
        <v>920</v>
      </c>
    </row>
    <row r="12" customFormat="false" ht="17.15" hidden="false" customHeight="false" outlineLevel="0" collapsed="false">
      <c r="A12" s="0" t="s">
        <v>921</v>
      </c>
      <c r="B12" s="0" t="s">
        <v>922</v>
      </c>
    </row>
    <row r="13" customFormat="false" ht="15" hidden="false" customHeight="false" outlineLevel="0" collapsed="false">
      <c r="A13" s="0" t="s">
        <v>923</v>
      </c>
      <c r="B13" s="0" t="s">
        <v>924</v>
      </c>
    </row>
    <row r="14" customFormat="false" ht="17.15" hidden="false" customHeight="false" outlineLevel="0" collapsed="false">
      <c r="A14" s="4" t="s">
        <v>925</v>
      </c>
      <c r="B14" s="0" t="s">
        <v>926</v>
      </c>
    </row>
    <row r="15" customFormat="false" ht="17.15" hidden="false" customHeight="false" outlineLevel="0" collapsed="false">
      <c r="A15" s="4" t="s">
        <v>927</v>
      </c>
      <c r="B15" s="0" t="s">
        <v>928</v>
      </c>
    </row>
    <row r="16" customFormat="false" ht="17.15" hidden="false" customHeight="false" outlineLevel="0" collapsed="false">
      <c r="A16" s="4" t="s">
        <v>929</v>
      </c>
      <c r="B16" s="0" t="s">
        <v>930</v>
      </c>
    </row>
    <row r="17" customFormat="false" ht="17.15" hidden="false" customHeight="false" outlineLevel="0" collapsed="false">
      <c r="A17" s="4" t="s">
        <v>931</v>
      </c>
      <c r="B17" s="0" t="s">
        <v>932</v>
      </c>
    </row>
    <row r="18" customFormat="false" ht="17.15" hidden="false" customHeight="false" outlineLevel="0" collapsed="false">
      <c r="A18" s="4" t="s">
        <v>933</v>
      </c>
      <c r="B18" s="0" t="s">
        <v>934</v>
      </c>
    </row>
    <row r="19" customFormat="false" ht="17.15" hidden="false" customHeight="false" outlineLevel="0" collapsed="false">
      <c r="A19" s="4" t="s">
        <v>935</v>
      </c>
      <c r="B19" s="0" t="s">
        <v>936</v>
      </c>
    </row>
    <row r="20" customFormat="false" ht="17.15" hidden="false" customHeight="false" outlineLevel="0" collapsed="false">
      <c r="A20" s="4" t="s">
        <v>937</v>
      </c>
      <c r="B20" s="0" t="s">
        <v>938</v>
      </c>
    </row>
    <row r="21" customFormat="false" ht="17.15" hidden="false" customHeight="false" outlineLevel="0" collapsed="false">
      <c r="A21" s="4" t="s">
        <v>939</v>
      </c>
      <c r="B21" s="0" t="s">
        <v>940</v>
      </c>
    </row>
    <row r="22" customFormat="false" ht="17.15" hidden="false" customHeight="false" outlineLevel="0" collapsed="false">
      <c r="A22" s="4" t="s">
        <v>941</v>
      </c>
      <c r="B22" s="0" t="s">
        <v>942</v>
      </c>
    </row>
    <row r="23" customFormat="false" ht="17.15" hidden="false" customHeight="false" outlineLevel="0" collapsed="false">
      <c r="A23" s="4" t="s">
        <v>943</v>
      </c>
      <c r="B23" s="0" t="s">
        <v>944</v>
      </c>
    </row>
    <row r="24" customFormat="false" ht="17.15" hidden="false" customHeight="false" outlineLevel="0" collapsed="false">
      <c r="A24" s="4" t="s">
        <v>945</v>
      </c>
      <c r="B24" s="0" t="s">
        <v>946</v>
      </c>
    </row>
    <row r="25" customFormat="false" ht="17.15" hidden="false" customHeight="false" outlineLevel="0" collapsed="false">
      <c r="A25" s="4" t="s">
        <v>947</v>
      </c>
      <c r="B25" s="0" t="s">
        <v>948</v>
      </c>
    </row>
    <row r="26" customFormat="false" ht="17.15" hidden="false" customHeight="false" outlineLevel="0" collapsed="false">
      <c r="A26" s="4" t="s">
        <v>949</v>
      </c>
      <c r="B26" s="0" t="s">
        <v>950</v>
      </c>
    </row>
    <row r="27" customFormat="false" ht="17.15" hidden="false" customHeight="false" outlineLevel="0" collapsed="false">
      <c r="A27" s="4" t="s">
        <v>951</v>
      </c>
      <c r="B27" s="0" t="s">
        <v>952</v>
      </c>
    </row>
    <row r="28" customFormat="false" ht="17.15" hidden="false" customHeight="false" outlineLevel="0" collapsed="false">
      <c r="A28" s="4" t="s">
        <v>953</v>
      </c>
      <c r="B28" s="0" t="s">
        <v>954</v>
      </c>
    </row>
    <row r="29" customFormat="false" ht="17.15" hidden="false" customHeight="false" outlineLevel="0" collapsed="false">
      <c r="A29" s="4" t="s">
        <v>955</v>
      </c>
      <c r="B29" s="0" t="s">
        <v>956</v>
      </c>
    </row>
    <row r="30" customFormat="false" ht="17.15" hidden="false" customHeight="false" outlineLevel="0" collapsed="false">
      <c r="A30" s="4" t="s">
        <v>957</v>
      </c>
      <c r="B30" s="0" t="s">
        <v>958</v>
      </c>
    </row>
    <row r="31" customFormat="false" ht="17.15" hidden="false" customHeight="false" outlineLevel="0" collapsed="false">
      <c r="A31" s="4" t="s">
        <v>959</v>
      </c>
      <c r="B31" s="0" t="s">
        <v>960</v>
      </c>
    </row>
    <row r="32" customFormat="false" ht="17.15" hidden="false" customHeight="false" outlineLevel="0" collapsed="false">
      <c r="A32" s="4" t="s">
        <v>961</v>
      </c>
      <c r="B32" s="0" t="s">
        <v>962</v>
      </c>
    </row>
    <row r="33" customFormat="false" ht="17.15" hidden="false" customHeight="false" outlineLevel="0" collapsed="false">
      <c r="A33" s="4" t="s">
        <v>963</v>
      </c>
      <c r="B33" s="0" t="s">
        <v>964</v>
      </c>
    </row>
    <row r="34" customFormat="false" ht="17.15" hidden="false" customHeight="false" outlineLevel="0" collapsed="false">
      <c r="A34" s="4" t="s">
        <v>965</v>
      </c>
      <c r="B34" s="0" t="s">
        <v>930</v>
      </c>
    </row>
    <row r="35" customFormat="false" ht="17.15" hidden="false" customHeight="false" outlineLevel="0" collapsed="false">
      <c r="A35" s="4" t="s">
        <v>966</v>
      </c>
      <c r="B35" s="0" t="s">
        <v>967</v>
      </c>
    </row>
    <row r="36" customFormat="false" ht="17.15" hidden="false" customHeight="false" outlineLevel="0" collapsed="false">
      <c r="A36" s="4" t="s">
        <v>968</v>
      </c>
      <c r="B36" s="0" t="s">
        <v>969</v>
      </c>
    </row>
    <row r="37" customFormat="false" ht="17.15" hidden="false" customHeight="false" outlineLevel="0" collapsed="false">
      <c r="A37" s="4" t="s">
        <v>970</v>
      </c>
      <c r="B37" s="0" t="s">
        <v>971</v>
      </c>
    </row>
    <row r="38" customFormat="false" ht="17.15" hidden="false" customHeight="false" outlineLevel="0" collapsed="false">
      <c r="A38" s="4" t="s">
        <v>972</v>
      </c>
      <c r="B38" s="0" t="s">
        <v>973</v>
      </c>
    </row>
    <row r="39" customFormat="false" ht="17.15" hidden="false" customHeight="false" outlineLevel="0" collapsed="false">
      <c r="A39" s="4" t="s">
        <v>974</v>
      </c>
      <c r="B39" s="4" t="s">
        <v>975</v>
      </c>
    </row>
    <row r="40" customFormat="false" ht="17.15" hidden="false" customHeight="false" outlineLevel="0" collapsed="false">
      <c r="A40" s="0" t="s">
        <v>976</v>
      </c>
    </row>
    <row r="41" customFormat="false" ht="17.15" hidden="false" customHeight="false" outlineLevel="0" collapsed="false">
      <c r="A41" s="0" t="s">
        <v>977</v>
      </c>
      <c r="B41" s="0" t="s">
        <v>978</v>
      </c>
    </row>
    <row r="42" customFormat="false" ht="17.15" hidden="false" customHeight="false" outlineLevel="0" collapsed="false">
      <c r="A42" s="0" t="s">
        <v>979</v>
      </c>
      <c r="B42" s="4" t="s">
        <v>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2026-10-29T07:22:55Z</dcterms:created>
  <dc:creator>openpyxl</dc:creator>
  <dc:description/>
  <dc:language>en-US</dc:language>
  <cp:lastModifiedBy/>
  <dcterms:modified xsi:type="dcterms:W3CDTF">2026-10-29T07:22:55Z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