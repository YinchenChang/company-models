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<sst xmlns="http://schemas.openxmlformats.org/spreadsheetml/2006/main" count="4440" uniqueCount="2517">
  <si>
    <r>
      <rPr>
        <b val="true"/>
        <sz val="14"/>
        <rFont val="Arial"/>
        <family val="0"/>
        <charset val="1"/>
      </rPr>
      <t xml:space="preserve">Microsoft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v0.1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2026-10-09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v0.1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</si>
  <si>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</si>
  <si>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</si>
  <si>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</si>
  <si>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</si>
  <si>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</si>
  <si>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年初至今 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</si>
  <si>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</si>
  <si>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</si>
  <si>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</si>
  <si>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</si>
  <si>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＝全年模型）。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</si>
  <si>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</si>
  <si>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</si>
  <si>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</si>
  <si>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</si>
  <si>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</si>
  <si>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</si>
  <si>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</si>
  <si>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</si>
  <si>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</si>
  <si>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</si>
  <si>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</si>
  <si>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</si>
  <si>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</si>
  <si>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＝ 年初至今 實際 ＋ 全年 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</si>
  <si>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</si>
  <si>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</si>
  <si>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</si>
  <si>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</si>
  <si>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</si>
  <si>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</si>
  <si>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</si>
  <si>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</si>
  <si>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</si>
  <si>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</si>
  <si>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</si>
  <si>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</si>
  <si>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</si>
  <si>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</si>
  <si>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</si>
  <si>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</si>
  <si>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</si>
  <si>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</si>
  <si>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</si>
  <si>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</si>
  <si>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</si>
  <si>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</si>
  <si>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</si>
  <si>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</si>
  <si>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</si>
  <si>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</si>
  <si>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</si>
  <si>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</si>
  <si>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</si>
  <si>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</si>
  <si>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</si>
  <si>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</si>
  <si>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</si>
  <si>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</si>
  <si>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</si>
  <si>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</si>
  <si>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</si>
  <si>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</si>
  <si>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</si>
  <si>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</si>
  <si>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</si>
  <si>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</si>
  <si>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</si>
  <si>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</si>
  <si>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</si>
  <si>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模型＝年初至今 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）＋全年 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</si>
  <si>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</si>
  <si>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</si>
  <si>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</si>
  <si>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</si>
  <si>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</si>
  <si>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</si>
  <si>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</si>
  <si>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</si>
  <si>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</si>
  <si>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</si>
  <si>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實際毛額＋全年 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</si>
  <si>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</si>
  <si>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</si>
  <si>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</si>
  <si>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</si>
  <si>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</si>
  <si>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</si>
  <si>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</si>
  <si>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</si>
  <si>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</si>
  <si>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</si>
  <si>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</si>
  <si>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</si>
  <si>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</si>
  <si>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</si>
  <si>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</si>
  <si>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</si>
  <si>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</si>
  <si>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</si>
  <si>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</si>
  <si>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</si>
  <si>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</si>
  <si>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</si>
  <si>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</si>
  <si>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</si>
  <si>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</si>
  <si>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</si>
  <si>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</si>
  <si>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</si>
  <si>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</si>
  <si>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</si>
  <si>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</si>
  <si>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</si>
  <si>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</si>
  <si>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</si>
  <si>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</si>
  <si>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</si>
  <si>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</si>
  <si>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</si>
  <si>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</si>
  <si>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</si>
  <si>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</si>
  <si>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</si>
  <si>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</si>
  <si>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</si>
  <si>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</si>
  <si>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</si>
  <si>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</si>
  <si>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</si>
  <si>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</si>
  <si>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</si>
  <si>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</si>
  <si>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</si>
  <si>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</si>
  <si>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</si>
  <si>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</si>
  <si>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</si>
  <si>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</si>
  <si>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</si>
  <si>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</si>
  <si>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</si>
  <si>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</si>
  <si>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391.271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S&amp;P 391.3 </t>
    </r>
    <r>
      <rPr>
        <sz val="9"/>
        <color rgb="FF595959"/>
        <rFont val="Noto Sans CJK SC"/>
        <family val="2"/>
      </rPr>
      <t xml:space="preserve">一致，視為同一底層來源。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預估通常來自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FY27 391.04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家）、</t>
    </r>
    <r>
      <rPr>
        <sz val="9"/>
        <color rgb="FF595959"/>
        <rFont val="Arial"/>
        <family val="0"/>
        <charset val="1"/>
      </rPr>
      <t xml:space="preserve">FY28 467.31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51 </t>
    </r>
    <r>
      <rPr>
        <sz val="9"/>
        <color rgb="FF595959"/>
        <rFont val="Noto Sans CJK SC"/>
        <family val="2"/>
      </rPr>
      <t xml:space="preserve">家），與 </t>
    </r>
    <r>
      <rPr>
        <sz val="9"/>
        <color rgb="FF595959"/>
        <rFont val="Arial"/>
        <family val="0"/>
        <charset val="1"/>
      </rPr>
      <t xml:space="preserve">MarketScreener 391.27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467.96 </t>
    </r>
    <r>
      <rPr>
        <sz val="9"/>
        <color rgb="FF595959"/>
        <rFont val="Noto Sans CJK SC"/>
        <family val="2"/>
      </rPr>
      <t xml:space="preserve">一致；但 </t>
    </r>
    <r>
      <rPr>
        <sz val="9"/>
        <color rgb="FF595959"/>
        <rFont val="Arial"/>
        <family val="0"/>
        <charset val="1"/>
      </rPr>
      <t xml:space="preserve">Yahoo FY27 </t>
    </r>
    <r>
      <rPr>
        <sz val="9"/>
        <color rgb="FF595959"/>
        <rFont val="Noto Sans CJK SC"/>
        <family val="2"/>
      </rPr>
      <t xml:space="preserve">高低值（</t>
    </r>
    <r>
      <rPr>
        <sz val="9"/>
        <color rgb="FF595959"/>
        <rFont val="Arial"/>
        <family val="0"/>
        <charset val="1"/>
      </rPr>
      <t xml:space="preserve">402.72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380.0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完全相同、分析師數同為 </t>
    </r>
    <r>
      <rPr>
        <sz val="9"/>
        <color rgb="FF595959"/>
        <rFont val="Arial"/>
        <family val="0"/>
        <charset val="1"/>
      </rPr>
      <t xml:space="preserve">50 → </t>
    </r>
    <r>
      <rPr>
        <sz val="9"/>
        <color rgb="FF595959"/>
        <rFont val="Noto Sans CJK SC"/>
        <family val="2"/>
      </rPr>
      <t xml:space="preserve">獨立性存疑，不視為強獨立交叉。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587.63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相同，推測同源。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</si>
  <si>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</si>
  <si>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</si>
  <si>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參考：年初至今 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</si>
  <si>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</si>
  <si>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依公司容量目標）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</si>
  <si>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</si>
  <si>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</si>
  <si>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</si>
  <si>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</si>
  <si>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</si>
  <si>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FY32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</si>
  <si>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</si>
  <si>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</si>
  <si>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</si>
  <si>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</si>
  <si>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</si>
  <si>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</si>
  <si>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</si>
  <si>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</si>
  <si>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</si>
  <si>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可辨識站點的已交付＋在建：</t>
    </r>
    <r>
      <rPr>
        <sz val="9"/>
        <color rgb="FF595959"/>
        <rFont val="Arial"/>
        <family val="0"/>
        <charset val="1"/>
      </rPr>
      <t xml:space="preserve">Fairwater Wisconsin 369 → 2028Q2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+1,894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1.75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 → </t>
    </r>
    <r>
      <rPr>
        <sz val="9"/>
        <color rgb="FF595959"/>
        <rFont val="Noto Sans CJK SC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+650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4,386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Atlanta 636 </t>
    </r>
    <r>
      <rPr>
        <sz val="9"/>
        <color rgb="FF595959"/>
        <rFont val="Noto Sans CJK SC"/>
        <family val="2"/>
      </rPr>
      <t xml:space="preserve">已全數運轉）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</si>
  <si>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</si>
  <si>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</si>
  <si>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</si>
  <si>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資本支出（公司口徑含融資租賃）</t>
    </r>
    <r>
      <rPr>
        <sz val="9"/>
        <color rgb="FF595959"/>
        <rFont val="Arial"/>
        <family val="0"/>
        <charset val="1"/>
      </rPr>
      <t xml:space="preserve">204.2 −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資本支出＝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Noto Sans CJK SC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Noto Sans CJK SC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</t>
    </r>
    <r>
      <rPr>
        <sz val="9"/>
        <color rgb="FF595959"/>
        <rFont val="Noto Sans CJK SC"/>
        <family val="2"/>
      </rPr>
      <t xml:space="preserve">（下半年＝上半年；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&gt;50 </t>
    </r>
    <r>
      <rPr>
        <sz val="9"/>
        <color rgb="FF595959"/>
        <rFont val="Noto Sans CJK SC"/>
        <family val="2"/>
      </rPr>
      <t xml:space="preserve">吻合）；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</si>
  <si>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</si>
  <si>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</si>
  <si>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</si>
  <si>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Noto Sans CJK SC"/>
        <family val="2"/>
      </rPr>
      <t xml:space="preserve">公司目標：總產能約兩年翻倍（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起多次重申）。以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總容量約 </t>
    </r>
    <r>
      <rPr>
        <sz val="9"/>
        <color rgb="FF595959"/>
        <rFont val="Arial"/>
        <family val="0"/>
        <charset val="1"/>
      </rPr>
      <t xml:space="preserve">12 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，口徑不明）為基數 → 每年 </t>
    </r>
    <r>
      <rPr>
        <sz val="9"/>
        <color rgb="FF595959"/>
        <rFont val="Arial"/>
        <family val="0"/>
        <charset val="1"/>
      </rPr>
      <t xml:space="preserve">+6 GW</t>
    </r>
    <r>
      <rPr>
        <sz val="9"/>
        <color rgb="FF595959"/>
        <rFont val="Noto Sans CJK SC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</t>
    </r>
    <r>
      <rPr>
        <sz val="9"/>
        <color rgb="FF595959"/>
        <rFont val="Noto Sans CJK SC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 </t>
    </r>
    <r>
      <rPr>
        <sz val="9"/>
        <color rgb="FF595959"/>
        <rFont val="Noto Sans CJK SC"/>
        <family val="2"/>
      </rPr>
      <t xml:space="preserve">中點）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+2,400 MW-IT [Derived</t>
    </r>
    <r>
      <rPr>
        <sz val="9"/>
        <color rgb="FF595959"/>
        <rFont val="Noto Sans CJK SC"/>
        <family val="2"/>
      </rPr>
      <t xml:space="preserve">；總容量為第三方報導，非公司揭露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</si>
  <si>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</si>
  <si>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營收校準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</si>
  <si>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</si>
  <si>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</si>
  <si>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</si>
  <si>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</si>
  <si>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</si>
  <si>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</si>
  <si>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</si>
  <si>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</si>
  <si>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</si>
  <si>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</si>
  <si>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</si>
  <si>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</si>
  <si>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684.0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</si>
  <si>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</si>
  <si>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</si>
  <si>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</si>
  <si>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</si>
  <si>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</si>
  <si>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</si>
  <si>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</si>
  <si>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末（評價日）對外 </t>
    </r>
    <r>
      <rPr>
        <sz val="9"/>
        <color rgb="FF595959"/>
        <rFont val="Arial"/>
        <family val="0"/>
        <charset val="1"/>
      </rPr>
      <t xml:space="preserve">AI MW-IT 3,250</t>
    </r>
    <r>
      <rPr>
        <sz val="9"/>
        <color rgb="FF595959"/>
        <rFont val="Noto Sans CJK SC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4,500 × 60%</t>
    </r>
    <r>
      <rPr>
        <sz val="9"/>
        <color rgb="FF595959"/>
        <rFont val="Noto Sans CJK SC"/>
        <family val="2"/>
      </rPr>
      <t xml:space="preserve">＋租用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Noto Sans CJK SC"/>
        <family val="2"/>
      </rPr>
      <t xml:space="preserve">；三法交叉，事實總帳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</si>
  <si>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</si>
  <si>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</si>
  <si>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</si>
  <si>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</si>
  <si>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</si>
  <si>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</si>
  <si>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</si>
  <si>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</si>
  <si>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</si>
  <si>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</si>
  <si>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</si>
  <si>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</si>
  <si>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</si>
  <si>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桶（商用 </t>
    </r>
    <r>
      <rPr>
        <sz val="9"/>
        <color rgb="FF595959"/>
        <rFont val="Arial"/>
        <family val="0"/>
        <charset val="1"/>
      </rPr>
      <t xml:space="preserve">RPO 678B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Noto Sans CJK SC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個月內、加權平均 </t>
    </r>
    <r>
      <rPr>
        <sz val="9"/>
        <color rgb="FF595959"/>
        <rFont val="Arial"/>
        <family val="0"/>
        <charset val="1"/>
      </rPr>
      <t xml:space="preserve">2.3 </t>
    </r>
    <r>
      <rPr>
        <sz val="9"/>
        <color rgb="FF595959"/>
        <rFont val="Noto Sans CJK SC"/>
        <family val="2"/>
      </rPr>
      <t xml:space="preserve">年；約 </t>
    </r>
    <r>
      <rPr>
        <sz val="9"/>
        <color rgb="FF595959"/>
        <rFont val="Arial"/>
        <family val="0"/>
        <charset val="1"/>
      </rPr>
      <t xml:space="preserve">45% </t>
    </r>
    <r>
      <rPr>
        <sz val="9"/>
        <color rgb="FF595959"/>
        <rFont val="Noto Sans CJK SC"/>
        <family val="2"/>
      </rPr>
      <t xml:space="preserve">來自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Noto Sans CJK SC"/>
        <family val="2"/>
      </rPr>
      <t xml:space="preserve">）含 </t>
    </r>
    <r>
      <rPr>
        <sz val="9"/>
        <color rgb="FF595959"/>
        <rFont val="Arial"/>
        <family val="0"/>
        <charset val="1"/>
      </rPr>
      <t xml:space="preserve">M365 </t>
    </r>
    <r>
      <rPr>
        <sz val="9"/>
        <color rgb="FF595959"/>
        <rFont val="Noto Sans CJK SC"/>
        <family val="2"/>
      </rPr>
      <t xml:space="preserve">與非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</si>
  <si>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</si>
  <si>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</si>
  <si>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</si>
  <si>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</si>
  <si>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</si>
  <si>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</si>
  <si>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</si>
  <si>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</si>
  <si>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</si>
  <si>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</si>
  <si>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</si>
  <si>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</si>
  <si>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</si>
  <si>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</si>
  <si>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</si>
  <si>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</si>
  <si>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</si>
  <si>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</si>
  <si>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未分攤公司層費用：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分部營業利益合計＝合併營業利益（無未分攤項）→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；租用算力租金另由 </t>
    </r>
    <r>
      <rPr>
        <sz val="9"/>
        <color rgb="FF595959"/>
        <rFont val="Arial"/>
        <family val="0"/>
        <charset val="1"/>
      </rPr>
      <t xml:space="preserve">leases.rentedCompute </t>
    </r>
    <r>
      <rPr>
        <sz val="9"/>
        <color rgb="FF595959"/>
        <rFont val="Noto Sans CJK SC"/>
        <family val="2"/>
      </rPr>
      <t xml:space="preserve">自本列扣除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</si>
  <si>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</si>
  <si>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</si>
  <si>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700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</si>
  <si>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Noto Sans CJK SC"/>
        <family val="2"/>
      </rPr>
      <t xml:space="preserve">｜在租年數</t>
    </r>
  </si>
  <si>
    <r>
      <rPr>
        <sz val="9"/>
        <color rgb="FF595959"/>
        <rFont val="Noto Sans CJK SC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Noto Sans CJK SC"/>
        <family val="2"/>
      </rPr>
      <t xml:space="preserve">（建置時由日曆推算）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</si>
  <si>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</si>
  <si>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</si>
  <si>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</si>
  <si>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</si>
  <si>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200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</si>
  <si>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</si>
  <si>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</si>
  <si>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411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</si>
  <si>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Noto Sans CJK SC"/>
        <family val="2"/>
      </rPr>
      <t xml:space="preserve">｜在租年數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</si>
  <si>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Noto Sans CJK SC"/>
        <family val="2"/>
      </rPr>
      <t xml:space="preserve">｜年租金</t>
    </r>
  </si>
  <si>
    <r>
      <rPr>
        <sz val="9"/>
        <color rgb="FF595959"/>
        <rFont val="Noto Sans CJK SC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55 MW</t>
    </r>
    <r>
      <rPr>
        <sz val="9"/>
        <color rgb="FF595959"/>
        <rFont val="Noto Sans CJK SC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</si>
  <si>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Noto Sans CJK SC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Noto Sans CJK SC"/>
        <family val="2"/>
      </rPr>
      <t xml:space="preserve">｜在租年數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</si>
  <si>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</si>
  <si>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與營運現金；不是資本支出）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</si>
  <si>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</si>
  <si>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</si>
  <si>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</si>
  <si>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</t>
    </r>
    <r>
      <rPr>
        <sz val="9"/>
        <color rgb="FF595959"/>
        <rFont val="Arial"/>
        <family val="0"/>
        <charset val="1"/>
      </rPr>
      <t xml:space="preserve">FY26 SBC 12.405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</si>
  <si>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</si>
  <si>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全年）營運資金變動＝上一年度同期實際：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營運資產與負債變動合計 −</t>
    </r>
    <r>
      <rPr>
        <sz val="9"/>
        <color rgb="FF595959"/>
        <rFont val="Arial"/>
        <family val="0"/>
        <charset val="1"/>
      </rPr>
      <t xml:space="preserve">4.895</t>
    </r>
    <r>
      <rPr>
        <sz val="9"/>
        <color rgb="FF595959"/>
        <rFont val="Noto Sans CJK SC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12.737</t>
    </r>
    <r>
      <rPr>
        <sz val="9"/>
        <color rgb="FF595959"/>
        <rFont val="Noto Sans CJK SC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0.461</t>
    </r>
    <r>
      <rPr>
        <sz val="9"/>
        <color rgb="FF595959"/>
        <rFont val="Noto Sans CJK SC"/>
        <family val="2"/>
      </rPr>
      <t xml:space="preserve">、其他流動資產 −</t>
    </r>
    <r>
      <rPr>
        <sz val="9"/>
        <color rgb="FF595959"/>
        <rFont val="Arial"/>
        <family val="0"/>
        <charset val="1"/>
      </rPr>
      <t xml:space="preserve">2.627</t>
    </r>
    <r>
      <rPr>
        <sz val="9"/>
        <color rgb="FF595959"/>
        <rFont val="Noto Sans CJK SC"/>
        <family val="2"/>
      </rPr>
      <t xml:space="preserve">、其他長期資產 −</t>
    </r>
    <r>
      <rPr>
        <sz val="9"/>
        <color rgb="FF595959"/>
        <rFont val="Arial"/>
        <family val="0"/>
        <charset val="1"/>
      </rPr>
      <t xml:space="preserve">3.964</t>
    </r>
    <r>
      <rPr>
        <sz val="9"/>
        <color rgb="FF595959"/>
        <rFont val="Noto Sans CJK SC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+5.268</t>
    </r>
    <r>
      <rPr>
        <sz val="9"/>
        <color rgb="FF595959"/>
        <rFont val="Noto Sans CJK SC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+9.361</t>
    </r>
    <r>
      <rPr>
        <sz val="9"/>
        <color rgb="FF595959"/>
        <rFont val="Noto Sans CJK SC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1.875</t>
    </r>
    <r>
      <rPr>
        <sz val="9"/>
        <color rgb="FF595959"/>
        <rFont val="Noto Sans CJK SC"/>
        <family val="2"/>
      </rPr>
      <t xml:space="preserve">、其他流動負債 </t>
    </r>
    <r>
      <rPr>
        <sz val="9"/>
        <color rgb="FF595959"/>
        <rFont val="Arial"/>
        <family val="0"/>
        <charset val="1"/>
      </rPr>
      <t xml:space="preserve">+6.847</t>
    </r>
    <r>
      <rPr>
        <sz val="9"/>
        <color rgb="FF595959"/>
        <rFont val="Noto Sans CJK SC"/>
        <family val="2"/>
      </rPr>
      <t xml:space="preserve">、其他長期負債 −</t>
    </r>
    <r>
      <rPr>
        <sz val="9"/>
        <color rgb="FF595959"/>
        <rFont val="Arial"/>
        <family val="0"/>
        <charset val="1"/>
      </rPr>
      <t xml:space="preserve">4.707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現金流量表，</t>
    </r>
    <r>
      <rPr>
        <sz val="9"/>
        <color rgb="FF595959"/>
        <rFont val="Arial"/>
        <family val="0"/>
        <charset val="1"/>
      </rPr>
      <t xml:space="preserve">SEC XBRL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；首期為全年，季節性不適用，照字面套用上一年度全年）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</si>
  <si>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</si>
  <si>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</si>
  <si>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</si>
  <si>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</si>
  <si>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</si>
  <si>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</si>
  <si>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</si>
  <si>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</si>
  <si>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</si>
  <si>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IREN–Microsoft 0.76</t>
    </r>
    <r>
      <rPr>
        <sz val="9"/>
        <color rgb="FF595959"/>
        <rFont val="Noto Sans CJK SC"/>
        <family val="2"/>
      </rPr>
      <t xml:space="preserve">（一手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0.88</t>
    </r>
    <r>
      <rPr>
        <sz val="9"/>
        <color rgb="FF595959"/>
        <rFont val="Noto Sans CJK SC"/>
        <family val="2"/>
      </rPr>
      <t xml:space="preserve">（金額二手）、</t>
    </r>
    <r>
      <rPr>
        <sz val="9"/>
        <color rgb="FF595959"/>
        <rFont val="Arial"/>
        <family val="0"/>
        <charset val="1"/>
      </rPr>
      <t xml:space="preserve">Anthropic–Azure 0.39–0.71</t>
    </r>
    <r>
      <rPr>
        <sz val="9"/>
        <color rgb="FF595959"/>
        <rFont val="Noto Sans CJK SC"/>
        <family val="2"/>
      </rPr>
      <t xml:space="preserve">（年期假設）、</t>
    </r>
    <r>
      <rPr>
        <sz val="9"/>
        <color rgb="FF595959"/>
        <rFont val="Arial"/>
        <family val="0"/>
        <charset val="1"/>
      </rPr>
      <t xml:space="preserve">Nebius ≤1.33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Noto Sans CJK SC"/>
        <family val="2"/>
      </rPr>
      <t xml:space="preserve">；低＝長約區間下緣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隱含）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longContracts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</si>
  <si>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</si>
  <si>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1.76</t>
    </r>
    <r>
      <rPr>
        <sz val="9"/>
        <color rgb="FF595959"/>
        <rFont val="Noto Sans CJK SC"/>
        <family val="2"/>
      </rPr>
      <t xml:space="preserve">＝與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同一市場現貨指數（對照表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牌價換算（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12.29 ÷ IF_GPUhrEcon H100 1.605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7.66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kevidence az.h100.od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同取隨需層；牌價不是大客戶成交價，只作上限；替代：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3.36 → </t>
    </r>
    <r>
      <rPr>
        <sz val="9"/>
        <color rgb="FF595959"/>
        <rFont val="Noto Sans CJK SC"/>
        <family val="2"/>
      </rPr>
      <t xml:space="preserve">混合 </t>
    </r>
    <r>
      <rPr>
        <sz val="9"/>
        <color rgb="FF595959"/>
        <rFont val="Arial"/>
        <family val="0"/>
        <charset val="1"/>
      </rPr>
      <t xml:space="preserve">1.54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</si>
  <si>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</si>
  <si>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等長約；</t>
    </r>
    <r>
      <rPr>
        <sz val="9"/>
        <color rgb="FF595959"/>
        <rFont val="Arial"/>
        <family val="0"/>
        <charset val="1"/>
      </rPr>
      <t xml:space="preserve">45%–100% [Assumed]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</si>
  <si>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</si>
  <si>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</si>
  <si>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</si>
  <si>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</si>
  <si>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</si>
  <si>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Maia 100 → Hopper</t>
    </r>
    <r>
      <rPr>
        <sz val="9"/>
        <color rgb="FF595959"/>
        <rFont val="Noto Sans CJK SC"/>
        <family val="2"/>
      </rPr>
      <t xml:space="preserve">（期初未列，部署量不存在）、</t>
    </r>
    <r>
      <rPr>
        <sz val="9"/>
        <color rgb="FF595959"/>
        <rFont val="Arial"/>
        <family val="0"/>
        <charset val="1"/>
      </rPr>
      <t xml:space="preserve">Maia 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起量產）→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交付前修訂，查核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Noto Sans CJK SC"/>
        <family val="2"/>
      </rPr>
      <t xml:space="preserve">誤對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（收入端單邊與收入＋資本支出雙邊兩版）。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IF_NonNV_Maia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</si>
  <si>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</si>
  <si>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Maia 200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</si>
  <si>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</si>
  <si>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</si>
  <si>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</si>
  <si>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</si>
  <si>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</si>
  <si>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</si>
  <si>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</si>
  <si>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</si>
  <si>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</si>
  <si>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</si>
  <si>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期初在役（評價日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20%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45%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mw.genMix.open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Maia </t>
    </r>
    <r>
      <rPr>
        <sz val="9"/>
        <color rgb="FF595959"/>
        <rFont val="Noto Sans CJK SC"/>
        <family val="2"/>
      </rPr>
      <t xml:space="preserve">部署量未揭露，期初不另列）。新增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Maia 200 10%</t>
    </r>
    <r>
      <rPr>
        <sz val="9"/>
        <color rgb="FF595959"/>
        <rFont val="Noto Sans CJK SC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；「</t>
    </r>
    <r>
      <rPr>
        <sz val="9"/>
        <color rgb="FF595959"/>
        <rFont val="Arial"/>
        <family val="0"/>
        <charset val="1"/>
      </rPr>
      <t xml:space="preserve">continues to scale</t>
    </r>
    <r>
      <rPr>
        <sz val="9"/>
        <color rgb="FF595959"/>
        <rFont val="Noto Sans CJK SC"/>
        <family val="2"/>
      </rPr>
      <t xml:space="preserve">」，部署量不存在，</t>
    </r>
    <r>
      <rPr>
        <sz val="9"/>
        <color rgb="FF595959"/>
        <rFont val="Arial"/>
        <family val="0"/>
        <charset val="1"/>
      </rPr>
      <t xml:space="preserve">[Assumed] 0%–20%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FY27 GB300 60%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30%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GB300 20%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70%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90% [Assumed]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2026 </t>
    </r>
    <r>
      <rPr>
        <sz val="9"/>
        <color rgb="FF595959"/>
        <rFont val="Noto Sans CJK SC"/>
        <family val="2"/>
      </rPr>
      <t xml:space="preserve">下半年起出貨）。在役占比＝各世代累計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</si>
  <si>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</si>
  <si>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</si>
  <si>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</si>
  <si>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</si>
  <si>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</si>
  <si>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</si>
  <si>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</si>
  <si>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</si>
  <si>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</si>
  <si>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</si>
  <si>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</si>
  <si>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</si>
  <si>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</si>
  <si>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</si>
  <si>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</si>
  <si>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</si>
  <si>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</si>
  <si>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</si>
  <si>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</si>
  <si>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</si>
  <si>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</si>
  <si>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</si>
  <si>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</si>
  <si>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</si>
  <si>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</si>
  <si>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</si>
  <si>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</si>
  <si>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</si>
  <si>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</si>
  <si>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</si>
  <si>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</si>
  <si>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</si>
  <si>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</si>
  <si>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</si>
  <si>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</si>
  <si>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Arial"/>
        <family val="0"/>
        <charset val="1"/>
      </rPr>
      <t xml:space="preserve">Tokenomics IF_RevGWFleet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；理論上限，只作檢查）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</si>
  <si>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</si>
  <si>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</si>
  <si>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</si>
  <si>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</si>
  <si>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</si>
  <si>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</si>
  <si>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</si>
  <si>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</si>
  <si>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</si>
  <si>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</si>
  <si>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IF_RevGWFleet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</si>
  <si>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</si>
  <si>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</si>
  <si>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Noto Sans CJK SC"/>
        <family val="2"/>
      </rPr>
      <t xml:space="preserve">模型期＝全年 − 年初至今 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</si>
  <si>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</si>
  <si>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</si>
  <si>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</si>
  <si>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</si>
  <si>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</si>
  <si>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</si>
  <si>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</si>
  <si>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</si>
  <si>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雲端（商用＋消費）｜年初至今 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</si>
  <si>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</si>
  <si>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</si>
  <si>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</si>
  <si>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</si>
  <si>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（舊 </t>
    </r>
    <r>
      <rPr>
        <sz val="9"/>
        <color rgb="FF595959"/>
        <rFont val="Arial"/>
        <family val="0"/>
        <charset val="1"/>
      </rPr>
      <t xml:space="preserve">PBP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59.9% </t>
    </r>
    <r>
      <rPr>
        <sz val="9"/>
        <color rgb="FF595959"/>
        <rFont val="Noto Sans CJK SC"/>
        <family val="2"/>
      </rPr>
      <t xml:space="preserve">類比）＋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按營收 </t>
    </r>
    <r>
      <rPr>
        <sz val="9"/>
        <color rgb="FF595959"/>
        <rFont val="Arial"/>
        <family val="0"/>
        <charset val="1"/>
      </rPr>
      <t xml:space="preserve">11.6%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</si>
  <si>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</si>
  <si>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</si>
  <si>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</si>
  <si>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</si>
  <si>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</si>
  <si>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</si>
  <si>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</si>
  <si>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</si>
  <si>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</si>
  <si>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</si>
  <si>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</si>
  <si>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</si>
  <si>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</si>
  <si>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− 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</si>
  <si>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</si>
  <si>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</si>
  <si>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</si>
  <si>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Noto Sans CJK SC"/>
        <family val="2"/>
      </rPr>
      <t xml:space="preserve">雲端（商用＋消費）｜其他攤銷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</si>
  <si>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</si>
  <si>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</si>
  <si>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</si>
  <si>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</si>
  <si>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</si>
  <si>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  <r>
      <rPr>
        <sz val="9"/>
        <color rgb="FF595959"/>
        <rFont val="Noto Sans CJK SC"/>
        <family val="2"/>
      </rPr>
      <t xml:space="preserve">（產品線利潤不揭露）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</si>
  <si>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</si>
  <si>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</si>
  <si>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</si>
  <si>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</si>
  <si>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</si>
  <si>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</si>
  <si>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</si>
  <si>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</si>
  <si>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</si>
  <si>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事業｜生產力與伺服器授權｜其他攤銷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</si>
  <si>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</si>
  <si>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</si>
  <si>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</si>
  <si>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</si>
  <si>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</si>
  <si>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</si>
  <si>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</si>
  <si>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</si>
  <si>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</si>
  <si>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</si>
  <si>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</si>
  <si>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</si>
  <si>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</si>
  <si>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</si>
  <si>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Noto Sans CJK SC"/>
        <family val="2"/>
      </rPr>
      <t xml:space="preserve">與支援服務｜其他攤銷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</si>
  <si>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</si>
  <si>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</si>
  <si>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</si>
  <si>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</si>
  <si>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</si>
  <si>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</si>
  <si>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</si>
  <si>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</si>
  <si>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</si>
  <si>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</si>
  <si>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</si>
  <si>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</si>
  <si>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</si>
  <si>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Noto Sans CJK SC"/>
        <family val="2"/>
      </rPr>
      <t xml:space="preserve">行銷）｜其他攤銷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</si>
  <si>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</si>
  <si>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｜年初至今 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</si>
  <si>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</si>
  <si>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</si>
  <si>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Devices and Consumer </t>
    </r>
    <r>
      <rPr>
        <sz val="9"/>
        <color rgb="FF595959"/>
        <rFont val="Noto Sans CJK SC"/>
        <family val="2"/>
      </rPr>
      <t xml:space="preserve">分部扣搜尋與廣告後的殘差 </t>
    </r>
    <r>
      <rPr>
        <sz val="9"/>
        <color rgb="FF595959"/>
        <rFont val="Arial"/>
        <family val="0"/>
        <charset val="1"/>
      </rPr>
      <t xml:space="preserve">29.4%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</si>
  <si>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</si>
  <si>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</si>
  <si>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</si>
  <si>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</si>
  <si>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</si>
  <si>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</si>
  <si>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</si>
  <si>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</si>
  <si>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</si>
  <si>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Noto Sans CJK SC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Noto Sans CJK SC"/>
        <family val="2"/>
      </rPr>
      <t xml:space="preserve">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</si>
  <si>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 年初至今 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</si>
  <si>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</si>
  <si>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雲端｜分部去年同期實際（全年）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</si>
  <si>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</si>
  <si>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</si>
  <si>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</si>
  <si>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</si>
  <si>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</si>
  <si>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</si>
  <si>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</si>
  <si>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</si>
  <si>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</si>
  <si>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</si>
  <si>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</si>
  <si>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</si>
  <si>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年初至今 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</si>
  <si>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</si>
  <si>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</si>
  <si>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</si>
  <si>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</si>
  <si>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</si>
  <si>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</si>
  <si>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</si>
  <si>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雲端｜年初至今 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</si>
  <si>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</si>
  <si>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</si>
  <si>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</si>
  <si>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</si>
  <si>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</si>
  <si>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</si>
  <si>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</si>
  <si>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</si>
  <si>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</si>
  <si>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＝分部首期估計（年初至今＋去年同期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年初至今 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</si>
  <si>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</si>
  <si>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</si>
  <si>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</si>
  <si>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</si>
  <si>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</si>
  <si>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</si>
  <si>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</si>
  <si>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</si>
  <si>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</si>
  <si>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</si>
  <si>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</si>
  <si>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率＝分配營業利益率（分部合計＝實際）＋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按營收分攤 </t>
    </r>
    <r>
      <rPr>
        <sz val="9"/>
        <color rgb="FF595959"/>
        <rFont val="Arial"/>
        <family val="0"/>
        <charset val="1"/>
      </rPr>
      <t xml:space="preserve">11.6%</t>
    </r>
    <r>
      <rPr>
        <sz val="9"/>
        <color rgb="FF595959"/>
        <rFont val="Noto Sans CJK SC"/>
        <family val="2"/>
      </rPr>
      <t xml:space="preserve">（分部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不揭露）；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Azure EBITDA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</si>
  <si>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核對（年初至今＋模型期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</si>
  <si>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</si>
  <si>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</si>
  <si>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</si>
  <si>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</si>
  <si>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</si>
  <si>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</si>
  <si>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</si>
  <si>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</si>
  <si>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</si>
  <si>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</si>
  <si>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</si>
  <si>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</si>
  <si>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</si>
  <si>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</si>
  <si>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</si>
  <si>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</si>
  <si>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</si>
  <si>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</si>
  <si>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</si>
  <si>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</si>
  <si>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</si>
  <si>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FY32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</si>
  <si>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</si>
  <si>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</si>
  <si>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</si>
  <si>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</si>
  <si>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伺服器與網路設備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Noto Sans CJK SC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pl.usefulLife.servers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</si>
  <si>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</si>
  <si>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50%–75%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mw.ai.externalShare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GitHub Copilot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MAI</t>
    </r>
    <r>
      <rPr>
        <sz val="9"/>
        <color rgb="FF595959"/>
        <rFont val="Noto Sans CJK SC"/>
        <family val="2"/>
      </rPr>
      <t xml:space="preserve">）同樣需要資本支出，影子收入只作對照。期初對外計費 </t>
    </r>
    <r>
      <rPr>
        <sz val="9"/>
        <color rgb="FF595959"/>
        <rFont val="Arial"/>
        <family val="0"/>
        <charset val="1"/>
      </rPr>
      <t xml:space="preserve">MW 3,250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租用對外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Noto Sans CJK SC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C20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，自有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3,250 ÷ 60% − 550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4,500 </t>
    </r>
    <r>
      <rPr>
        <sz val="9"/>
        <color rgb="FF595959"/>
        <rFont val="Noto Sans CJK SC"/>
        <family val="2"/>
      </rPr>
      <t xml:space="preserve">加上自有部分的自用；差額來自對外比例套在含租用的總數上）</t>
    </r>
  </si>
  <si>
    <t xml:space="preserve">自建機房比例</t>
  </si>
  <si>
    <r>
      <rPr>
        <sz val="9"/>
        <color rgb="FF595959"/>
        <rFont val="Noto Sans CJK SC"/>
        <family val="2"/>
      </rPr>
      <t xml:space="preserve">機房自建比例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（自建＋融資租賃；</t>
    </r>
    <r>
      <rPr>
        <sz val="9"/>
        <color rgb="FF595959"/>
        <rFont val="Arial"/>
        <family val="0"/>
        <charset val="1"/>
      </rPr>
      <t xml:space="preserve">[Assumed] 40%–80%</t>
    </r>
    <r>
      <rPr>
        <sz val="9"/>
        <color rgb="FF595959"/>
        <rFont val="Noto Sans CJK SC"/>
        <family val="2"/>
      </rPr>
      <t xml:space="preserve">）：公司口徑資本支出含融資租賃取得的機房；營業租賃部分（約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）不計機房資本支出，租金由未起租租賃的營業部分承擔（</t>
    </r>
    <r>
      <rPr>
        <sz val="9"/>
        <color rgb="FF595959"/>
        <rFont val="Arial"/>
        <family val="0"/>
        <charset val="1"/>
      </rPr>
      <t xml:space="preserve">leases.uncommenced</t>
    </r>
    <r>
      <rPr>
        <sz val="9"/>
        <color rgb="FF595959"/>
        <rFont val="Noto Sans CJK SC"/>
        <family val="2"/>
      </rPr>
      <t xml:space="preserve">）。未起租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Noto Sans CJK SC"/>
        <family val="2"/>
      </rPr>
      <t xml:space="preserve">遠大於在帳租賃，顯示租用機房占比上升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</si>
  <si>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</si>
  <si>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FY26Q4</t>
    </r>
    <r>
      <rPr>
        <sz val="9"/>
        <color rgb="FF595959"/>
        <rFont val="Noto Sans CJK SC"/>
        <family val="2"/>
      </rPr>
      <t xml:space="preserve">）折舊、攤銷及其他 </t>
    </r>
    <r>
      <rPr>
        <sz val="9"/>
        <color rgb="FF595959"/>
        <rFont val="Arial"/>
        <family val="0"/>
        <charset val="1"/>
      </rPr>
      <t xml:space="preserve">11.022 × 4</t>
    </r>
    <r>
      <rPr>
        <sz val="9"/>
        <color rgb="FF595959"/>
        <rFont val="Noto Sans CJK SC"/>
        <family val="2"/>
      </rPr>
      <t xml:space="preserve">（現金流量表；分部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不揭露，以合併數代替；含無形資產攤銷約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／季）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</si>
  <si>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</si>
  <si>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Noto Sans CJK SC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640</t>
    </r>
    <r>
      <rPr>
        <sz val="9"/>
        <color rgb="FF595959"/>
        <rFont val="Noto Sans CJK SC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租用約 </t>
    </r>
    <r>
      <rPr>
        <sz val="9"/>
        <color rgb="FF595959"/>
        <rFont val="Arial"/>
        <family val="0"/>
        <charset val="1"/>
      </rPr>
      <t xml:space="preserve">200 ×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Omdia 2023–24 Hopper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635k </t>
    </r>
    <r>
      <rPr>
        <sz val="9"/>
        <color rgb="FF595959"/>
        <rFont val="Noto Sans CJK SC"/>
        <family val="2"/>
      </rPr>
      <t xml:space="preserve">顆，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</si>
  <si>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</si>
  <si>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1,630</t>
    </r>
    <r>
      <rPr>
        <sz val="9"/>
        <color rgb="FF595959"/>
        <rFont val="Noto Sans CJK SC"/>
        <family val="2"/>
      </rPr>
      <t xml:space="preserve">（自有約 </t>
    </r>
    <r>
      <rPr>
        <sz val="9"/>
        <color rgb="FF595959"/>
        <rFont val="Arial"/>
        <family val="0"/>
        <charset val="1"/>
      </rPr>
      <t xml:space="preserve">2,300 × 60%</t>
    </r>
    <r>
      <rPr>
        <sz val="9"/>
        <color rgb="FF595959"/>
        <rFont val="Noto Sans CJK SC"/>
        <family val="2"/>
      </rPr>
      <t xml:space="preserve">＋租用約 </t>
    </r>
    <r>
      <rPr>
        <sz val="9"/>
        <color rgb="FF595959"/>
        <rFont val="Arial"/>
        <family val="0"/>
        <charset val="1"/>
      </rPr>
      <t xml:space="preserve">500 × 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&gt;2 GW</t>
    </r>
    <r>
      <rPr>
        <sz val="9"/>
        <color rgb="FF595959"/>
        <rFont val="Noto Sans CJK SC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70–90% ÷ PUE 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</si>
  <si>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</si>
  <si>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313.1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；含融資租賃資產 </t>
    </r>
    <r>
      <rPr>
        <sz val="9"/>
        <color rgb="FF595959"/>
        <rFont val="Arial"/>
        <family val="0"/>
        <charset val="1"/>
      </rPr>
      <t xml:space="preserve">67.3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</si>
  <si>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</si>
  <si>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</si>
  <si>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</si>
  <si>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60%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v5.27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</si>
  <si>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</si>
  <si>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</si>
  <si>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</si>
  <si>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</si>
  <si>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</si>
  <si>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</si>
  <si>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</si>
  <si>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</si>
  <si>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</si>
  <si>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</si>
  <si>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</si>
  <si>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</si>
  <si>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</si>
  <si>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</si>
  <si>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</si>
  <si>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</si>
  <si>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</si>
  <si>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</si>
  <si>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</si>
  <si>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</si>
  <si>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</si>
  <si>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</si>
  <si>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（公司稱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起更多資料中心租約改列營業租賃；在帳負債營業占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Noto Sans CJK SC"/>
        <family val="2"/>
      </rPr>
      <t xml:space="preserve">是改分類前的結構；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25%–100%</t>
    </r>
    <r>
      <rPr>
        <sz val="9"/>
        <color rgb="FF595959"/>
        <rFont val="Noto Sans CJK SC"/>
        <family val="2"/>
      </rPr>
      <t xml:space="preserve">）。注意：本家資本支出採含融資租賃口徑，融資部分起租時也進資本支出（與自現金扣除的融資租金重複，偏保守）；營業部分的機房租金依 </t>
    </r>
    <r>
      <rPr>
        <sz val="9"/>
        <color rgb="FF595959"/>
        <rFont val="Arial"/>
        <family val="0"/>
        <charset val="1"/>
      </rPr>
      <t xml:space="preserve">C22 </t>
    </r>
    <r>
      <rPr>
        <sz val="9"/>
        <color rgb="FF595959"/>
        <rFont val="Noto Sans CJK SC"/>
        <family val="2"/>
      </rPr>
      <t xml:space="preserve">計入對外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營運成本（只進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</si>
  <si>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</si>
  <si>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</si>
  <si>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</si>
  <si>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</si>
  <si>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</si>
  <si>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</si>
  <si>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</si>
  <si>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</si>
  <si>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3250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</si>
  <si>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</si>
  <si>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</si>
  <si>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</si>
  <si>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Noto Sans CJK SC"/>
        <family val="2"/>
      </rPr>
      <t xml:space="preserve">租用的對外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  <r>
      <rPr>
        <sz val="9"/>
        <color rgb="FF595959"/>
        <rFont val="Noto Sans CJK SC"/>
        <family val="2"/>
      </rPr>
      <t xml:space="preserve">）：期初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1,100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nc.mwLeased.open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起加 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205.5 → 756</t>
    </r>
    <r>
      <rPr>
        <sz val="9"/>
        <color rgb="FF595959"/>
        <rFont val="Noto Sans CJK SC"/>
        <family val="2"/>
      </rPr>
      <t xml:space="preserve">，之後到期假設以相同條件續約（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）。收入照算（含在對外計費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內）、不計資本支出、投入資本與折舊；每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年租金＝已揭露合約全額年租金 </t>
    </r>
    <r>
      <rPr>
        <sz val="9"/>
        <color rgb="FF595959"/>
        <rFont val="Arial"/>
        <family val="0"/>
        <charset val="1"/>
      </rPr>
      <t xml:space="preserve">13.96 ÷ 1,571 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8.88 </t>
    </r>
    <r>
      <rPr>
        <sz val="9"/>
        <color rgb="FF595959"/>
        <rFont val="Noto Sans CJK SC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2.34</t>
    </r>
    <r>
      <rPr>
        <sz val="9"/>
        <color rgb="FF595959"/>
        <rFont val="Noto Sans CJK SC"/>
        <family val="2"/>
      </rPr>
      <t xml:space="preserve">（已在 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內）＝淨額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</si>
  <si>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</si>
  <si>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</si>
  <si>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</si>
  <si>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</si>
  <si>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</si>
  <si>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</si>
  <si>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</si>
  <si>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</si>
  <si>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</si>
  <si>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</si>
  <si>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</si>
  <si>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</si>
  <si>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</t>
    </r>
    <r>
      <rPr>
        <sz val="9"/>
        <color rgb="FF595959"/>
        <rFont val="Noto Sans CJK SC"/>
        <family val="2"/>
      </rPr>
      <t xml:space="preserve">年初至今 已認列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</si>
  <si>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</si>
  <si>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</si>
  <si>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</si>
  <si>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</si>
  <si>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</si>
  <si>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</si>
  <si>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</si>
  <si>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</si>
  <si>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</si>
  <si>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</si>
  <si>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</si>
  <si>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</si>
  <si>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</si>
  <si>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</si>
  <si>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</si>
  <si>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</si>
  <si>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</si>
  <si>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</si>
  <si>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</si>
  <si>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</si>
  <si>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</si>
  <si>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</si>
  <si>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</si>
  <si>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</si>
  <si>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</si>
  <si>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</si>
  <si>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（在役機隊約 </t>
    </r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0.9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4.5 GW-IT → </t>
    </r>
    <r>
      <rPr>
        <sz val="9"/>
        <color rgb="FF595959"/>
        <rFont val="Noto Sans CJK SC"/>
        <family val="2"/>
      </rPr>
      <t xml:space="preserve">平均約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65%–90%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</si>
  <si>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</si>
  <si>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起資料中心與辦公建物耐用年限 </t>
    </r>
    <r>
      <rPr>
        <sz val="9"/>
        <color rgb="FF595959"/>
        <rFont val="Arial"/>
        <family val="0"/>
        <charset val="1"/>
      </rPr>
      <t xml:space="preserve">15 → 25 </t>
    </r>
    <r>
      <rPr>
        <sz val="9"/>
        <color rgb="FF595959"/>
        <rFont val="Noto Sans CJK SC"/>
        <family val="2"/>
      </rPr>
      <t xml:space="preserve">年、伺服器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、法說）；差額列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</si>
  <si>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</si>
  <si>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</si>
  <si>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</si>
  <si>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</si>
  <si>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</si>
  <si>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</si>
  <si>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</si>
  <si>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</si>
  <si>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</si>
  <si>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</si>
  <si>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</si>
  <si>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</si>
  <si>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</si>
  <si>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</si>
  <si>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</si>
  <si>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</si>
  <si>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</si>
  <si>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</si>
  <si>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</si>
  <si>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20.935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55.908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</si>
  <si>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</si>
  <si>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</si>
  <si>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</si>
  <si>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</si>
  <si>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</si>
  <si>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無已揭露的循環信用額度（不列入瀑布）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</si>
  <si>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</si>
  <si>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</si>
  <si>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</si>
  <si>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</si>
  <si>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</si>
  <si>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</si>
  <si>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</si>
  <si>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</si>
  <si>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</si>
  <si>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</si>
  <si>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</si>
  <si>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</si>
  <si>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</si>
  <si>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</si>
  <si>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Noto Sans CJK SC"/>
        <family val="2"/>
      </rPr>
      <t xml:space="preserve">宣告，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sh.dpsQ.fy27q1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8%)^n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defaults.dividend.growth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</si>
  <si>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</si>
  <si>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每股股利年增 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Noto Sans CJK SC"/>
        <family val="2"/>
      </rPr>
      <t xml:space="preserve">宣告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，較前季 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FY25→FY26 +9.6%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</si>
  <si>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</si>
  <si>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</si>
  <si>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</si>
  <si>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</si>
  <si>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</si>
  <si>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</si>
  <si>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22.271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現金流量表普通股買回，含員工扣稅買回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Noto Sans CJK SC"/>
        <family val="2"/>
      </rPr>
      <t xml:space="preserve">；計畫內 </t>
    </r>
    <r>
      <rPr>
        <sz val="9"/>
        <color rgb="FF595959"/>
        <rFont val="Arial"/>
        <family val="0"/>
        <charset val="1"/>
      </rPr>
      <t xml:space="preserve">16.719</t>
    </r>
    <r>
      <rPr>
        <sz val="9"/>
        <color rgb="FF595959"/>
        <rFont val="Noto Sans CJK SC"/>
        <family val="2"/>
      </rPr>
      <t xml:space="preserve">；授權餘額 </t>
    </r>
    <r>
      <rPr>
        <sz val="9"/>
        <color rgb="FF595959"/>
        <rFont val="Arial"/>
        <family val="0"/>
        <charset val="1"/>
      </rPr>
      <t xml:space="preserve">40.6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cf.buyback.fy2026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Noto Sans CJK SC"/>
        <family val="2"/>
      </rPr>
      <t xml:space="preserve">＝可全數取消（對照表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</si>
  <si>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</si>
  <si>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</si>
  <si>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</si>
  <si>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</si>
  <si>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</si>
  <si>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</si>
  <si>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</si>
  <si>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</si>
  <si>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</si>
  <si>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</si>
  <si>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</si>
  <si>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</si>
  <si>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</si>
  <si>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</si>
  <si>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</si>
  <si>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</si>
  <si>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</si>
  <si>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</si>
  <si>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</si>
  <si>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</si>
  <si>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</si>
  <si>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</si>
  <si>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</si>
  <si>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</si>
  <si>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</si>
  <si>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</si>
  <si>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MSFT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</si>
  <si>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</si>
  <si>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</si>
  <si>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</si>
  <si>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</si>
  <si>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</si>
  <si>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</si>
  <si>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</si>
  <si>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</si>
  <si>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</si>
  <si>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34.385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</si>
  <si>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</si>
  <si>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瀑布新債利率以 </t>
    </r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Noto Sans CJK SC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 </t>
    </r>
    <r>
      <rPr>
        <sz val="9"/>
        <color rgb="FF595959"/>
        <rFont val="Noto Sans CJK SC"/>
        <family val="2"/>
      </rPr>
      <t xml:space="preserve">類比（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個別長債殖利率找不到）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</si>
  <si>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</si>
  <si>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</si>
  <si>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</si>
  <si>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</si>
  <si>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（統計頁）（</t>
    </r>
    <r>
      <rPr>
        <sz val="9"/>
        <color rgb="FF595959"/>
        <rFont val="Arial"/>
        <family val="0"/>
        <charset val="1"/>
      </rPr>
      <t xml:space="preserve">https://stockanalysis.com/stocks/msft/statistics/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</si>
  <si>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</si>
  <si>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</t>
    </r>
    <r>
      <rPr>
        <sz val="9"/>
        <color rgb="FF595959"/>
        <rFont val="Noto Sans CJK SC"/>
        <family val="2"/>
      </rPr>
      <t xml:space="preserve">＋稀釋加權股數 </t>
    </r>
    <r>
      <rPr>
        <sz val="9"/>
        <color rgb="FF595959"/>
        <rFont val="Arial"/>
        <family val="0"/>
        <charset val="1"/>
      </rPr>
      <t xml:space="preserve">7.453bn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Noto Sans CJK SC"/>
        <family val="2"/>
      </rPr>
      <t xml:space="preserve">）；期末流通 </t>
    </r>
    <r>
      <rPr>
        <sz val="9"/>
        <color rgb="FF595959"/>
        <rFont val="Arial"/>
        <family val="0"/>
        <charset val="1"/>
      </rPr>
      <t xml:space="preserve">7.427bn 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</si>
  <si>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</si>
  <si>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</si>
  <si>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</si>
  <si>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</si>
  <si>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</si>
  <si>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as-converted</t>
    </r>
    <r>
      <rPr>
        <sz val="9"/>
        <color rgb="FF595959"/>
        <rFont val="Noto Sans CJK SC"/>
        <family val="2"/>
      </rPr>
      <t xml:space="preserve">；重組時約 </t>
    </r>
    <r>
      <rPr>
        <sz val="9"/>
        <color rgb="FF595959"/>
        <rFont val="Arial"/>
        <family val="0"/>
        <charset val="1"/>
      </rPr>
      <t xml:space="preserve">27%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；投後估值 </t>
    </r>
    <r>
      <rPr>
        <sz val="9"/>
        <color rgb="FF595959"/>
        <rFont val="Arial"/>
        <family val="0"/>
        <charset val="1"/>
      </rPr>
      <t xml:space="preserve">852B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結案、募資 </t>
    </r>
    <r>
      <rPr>
        <sz val="9"/>
        <color rgb="FF595959"/>
        <rFont val="Arial"/>
        <family val="0"/>
        <charset val="1"/>
      </rPr>
      <t xml:space="preserve">122B</t>
    </r>
    <r>
      <rPr>
        <sz val="9"/>
        <color rgb="FF595959"/>
        <rFont val="Noto Sans CJK SC"/>
        <family val="2"/>
      </rPr>
      <t xml:space="preserve">；新創自報估值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持股比例未揭露 → 不估值（列資料缺口；帳列成本法約 </t>
    </r>
    <r>
      <rPr>
        <sz val="9"/>
        <color rgb="FF595959"/>
        <rFont val="Arial"/>
        <family val="0"/>
        <charset val="1"/>
      </rPr>
      <t xml:space="preserve">12.4 </t>
    </r>
    <r>
      <rPr>
        <sz val="9"/>
        <color rgb="FF595959"/>
        <rFont val="Noto Sans CJK SC"/>
        <family val="2"/>
      </rPr>
      <t xml:space="preserve">內）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</si>
  <si>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</si>
  <si>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</si>
  <si>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</si>
  <si>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</si>
  <si>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25% × 852 × 0.8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170.4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比例未揭露，不估值（少計約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</si>
  <si>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</si>
  <si>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</si>
  <si>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</si>
  <si>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FY24–FY26 </t>
    </r>
    <r>
      <rPr>
        <sz val="9"/>
        <color rgb="FF595959"/>
        <rFont val="Noto Sans CJK SC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指引約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（採用）；</t>
    </r>
    <r>
      <rPr>
        <sz val="9"/>
        <color rgb="FF595959"/>
        <rFont val="Arial"/>
        <family val="0"/>
        <charset val="1"/>
      </rPr>
      <t xml:space="preserve">IRS </t>
    </r>
    <r>
      <rPr>
        <sz val="9"/>
        <color rgb="FF595959"/>
        <rFont val="Noto Sans CJK SC"/>
        <family val="2"/>
      </rPr>
      <t xml:space="preserve">移轉訂價補稅主張 </t>
    </r>
    <r>
      <rPr>
        <sz val="9"/>
        <color rgb="FF595959"/>
        <rFont val="Arial"/>
        <family val="0"/>
        <charset val="1"/>
      </rPr>
      <t xml:space="preserve">28.9B </t>
    </r>
    <r>
      <rPr>
        <sz val="9"/>
        <color rgb="FF595959"/>
        <rFont val="Noto Sans CJK SC"/>
        <family val="2"/>
      </rPr>
      <t xml:space="preserve">為或有事項，模型不計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</si>
  <si>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</si>
  <si>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</si>
  <si>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</si>
  <si>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1.1741 → 1.137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1.10–1.174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</si>
  <si>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</si>
  <si>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</si>
  <si>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</si>
  <si>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</si>
  <si>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</si>
  <si>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Noto Sans CJK SC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）類比；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個別長債殖利率找不到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</si>
  <si>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</si>
  <si>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</si>
  <si>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</si>
  <si>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</si>
  <si>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</si>
  <si>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</si>
  <si>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</si>
  <si>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</si>
  <si>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</si>
  <si>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</si>
  <si>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</si>
  <si>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</si>
  <si>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</si>
  <si>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</si>
  <si>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</si>
  <si>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</si>
  <si>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</si>
  <si>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</si>
  <si>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</si>
  <si>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</si>
  <si>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</si>
  <si>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</si>
  <si>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</si>
  <si>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</si>
  <si>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</si>
  <si>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</si>
  <si>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</si>
  <si>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</si>
  <si>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val.peer.sw.adbe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</si>
  <si>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</si>
  <si>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</si>
  <si>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ORCL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</si>
  <si>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SAP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</si>
  <si>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CRM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</si>
  <si>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ADBE</t>
    </r>
  </si>
  <si>
    <r>
      <rPr>
        <sz val="10"/>
        <rFont val="Noto Sans CJK SC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NOW</t>
    </r>
  </si>
  <si>
    <r>
      <rPr>
        <sz val="10"/>
        <rFont val="Noto Sans CJK SC"/>
        <family val="2"/>
      </rPr>
      <t xml:space="preserve">分部倍數｜企業軟體（同業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</si>
  <si>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</si>
  <si>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</si>
  <si>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</si>
  <si>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</si>
  <si>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</si>
  <si>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</si>
  <si>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</si>
  <si>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</si>
  <si>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</si>
  <si>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</si>
  <si>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</si>
  <si>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</si>
  <si>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</si>
  <si>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</si>
  <si>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TTWO</t>
    </r>
  </si>
  <si>
    <r>
      <rPr>
        <sz val="9"/>
        <color rgb="FF595959"/>
        <rFont val="Arial"/>
        <family val="0"/>
        <charset val="1"/>
      </rPr>
      <t xml:space="preserve">Take-Two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val.peer.game.ttwo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</si>
  <si>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NTDOY</t>
    </r>
  </si>
  <si>
    <r>
      <rPr>
        <sz val="9"/>
        <color rgb="FF595959"/>
        <rFont val="Arial"/>
        <family val="0"/>
        <charset val="1"/>
      </rPr>
      <t xml:space="preserve">Nintendo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val.peer.game.ntdoy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</si>
  <si>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NTES</t>
    </r>
  </si>
  <si>
    <r>
      <rPr>
        <sz val="9"/>
        <color rgb="FF595959"/>
        <rFont val="Arial"/>
        <family val="0"/>
        <charset val="1"/>
      </rPr>
      <t xml:space="preserve">NetEase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</si>
  <si>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HPQ</t>
    </r>
  </si>
  <si>
    <r>
      <rPr>
        <sz val="9"/>
        <color rgb="FF595959"/>
        <rFont val="Arial"/>
        <family val="0"/>
        <charset val="1"/>
      </rPr>
      <t xml:space="preserve">HP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val.peer.pc.hpq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</si>
  <si>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DELL</t>
    </r>
  </si>
  <si>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val.peer.pc.dell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，含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伺服器））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</si>
  <si>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／裝置｜</t>
    </r>
    <r>
      <rPr>
        <sz val="10"/>
        <rFont val="Arial"/>
        <family val="0"/>
        <charset val="1"/>
      </rPr>
      <t xml:space="preserve">0992.HK</t>
    </r>
  </si>
  <si>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val.peer.pc.0992.hk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</si>
  <si>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／裝置（同業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</si>
  <si>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</si>
  <si>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</si>
  <si>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</si>
  <si>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</si>
  <si>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</si>
  <si>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</si>
  <si>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</si>
  <si>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</si>
  <si>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</si>
  <si>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</si>
  <si>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</si>
  <si>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</si>
  <si>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</si>
  <si>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</si>
  <si>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</si>
  <si>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</si>
  <si>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</si>
  <si>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</si>
  <si>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家）：企業軟體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ADBE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，不含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本身）；數位廣告共用同業組 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Noto Sans CJK SC"/>
        <family val="2"/>
      </rPr>
      <t xml:space="preserve">複製）；遊戲與 </t>
    </r>
    <r>
      <rPr>
        <sz val="9"/>
        <color rgb="FF595959"/>
        <rFont val="Arial"/>
        <family val="0"/>
        <charset val="1"/>
      </rPr>
      <t xml:space="preserve">PC TTWO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NTDOY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HPQ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找不到）；非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Noto Sans CJK SC"/>
        <family val="2"/>
      </rPr>
      <t xml:space="preserve">複製）；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</si>
  <si>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</si>
  <si>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</si>
  <si>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</si>
  <si>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</si>
  <si>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</si>
  <si>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</si>
  <si>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</si>
  <si>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</si>
  <si>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</si>
  <si>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</si>
  <si>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</si>
  <si>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</si>
  <si>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</si>
  <si>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</si>
  <si>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Noto Sans CJK SC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SBC 0.0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</si>
  <si>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</si>
  <si>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</si>
  <si>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</si>
  <si>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</si>
  <si>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</si>
  <si>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</si>
  <si>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</si>
  <si>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</si>
  <si>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</si>
  <si>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</si>
  <si>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</si>
  <si>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</si>
  <si>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FY26Q4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</si>
  <si>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</si>
  <si>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</si>
  <si>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</si>
  <si>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</si>
  <si>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</si>
  <si>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</si>
  <si>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</si>
  <si>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</si>
  <si>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</si>
  <si>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</si>
  <si>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</si>
  <si>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</si>
  <si>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2026-10-09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</si>
  <si>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</si>
  <si>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</si>
  <si>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</si>
  <si>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</si>
  <si>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</si>
  <si>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</si>
  <si>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</si>
  <si>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</si>
  <si>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2028-06-30</t>
  </si>
  <si>
    <t xml:space="preserve">2029-06-30</t>
  </si>
  <si>
    <t xml:space="preserve">2030-06-30</t>
  </si>
  <si>
    <t xml:space="preserve">2031-06-30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</si>
  <si>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</si>
  <si>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</si>
  <si>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</si>
  <si>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</si>
  <si>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</si>
  <si>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</si>
  <si>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</si>
  <si>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</si>
  <si>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</si>
  <si>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</si>
  <si>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</si>
  <si>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</si>
  <si>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</si>
  <si>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</si>
  <si>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</si>
  <si>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</si>
  <si>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</si>
  <si>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</si>
  <si>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｜參考：年初至今 實際（季報，</t>
    </r>
    <r>
      <rPr>
        <b val="true"/>
        <sz val="10"/>
        <rFont val="Arial"/>
        <family val="0"/>
        <charset val="1"/>
      </rPr>
      <t xml:space="preserve">2026-07-01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</si>
  <si>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</si>
  <si>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Noto Sans CJK SC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）現金及約當現金 </t>
    </r>
    <r>
      <rPr>
        <sz val="9"/>
        <color rgb="FF595959"/>
        <rFont val="Arial"/>
        <family val="0"/>
        <charset val="1"/>
      </rPr>
      <t xml:space="preserve">20,935</t>
    </r>
    <r>
      <rPr>
        <sz val="9"/>
        <color rgb="FF595959"/>
        <rFont val="Noto Sans CJK SC"/>
        <family val="2"/>
      </rPr>
      <t xml:space="preserve">＋短期投資 </t>
    </r>
    <r>
      <rPr>
        <sz val="9"/>
        <color rgb="FF595959"/>
        <rFont val="Arial"/>
        <family val="0"/>
        <charset val="1"/>
      </rPr>
      <t xml:space="preserve">55,908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76,843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經查核；模型現金口徑含短期投資）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</si>
  <si>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</si>
  <si>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年初至今無實際數）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</si>
  <si>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</si>
  <si>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t xml:space="preserve">不適用</t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</si>
  <si>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</si>
  <si>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</si>
  <si>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t xml:space="preserve">借款</t>
  </si>
  <si>
    <t xml:space="preserve">還款</t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</si>
  <si>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</si>
  <si>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私募股權</t>
  </si>
  <si>
    <t xml:space="preserve">利息費用</t>
  </si>
  <si>
    <t xml:space="preserve">租賃現金支付</t>
  </si>
  <si>
    <t xml:space="preserve">營收</t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</si>
  <si>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</si>
  <si>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t xml:space="preserve">淨損</t>
  </si>
  <si>
    <t xml:space="preserve">遞延收入淨流入</t>
  </si>
  <si>
    <t xml:space="preserve">不適用（無客戶預付融資機制）</t>
  </si>
  <si>
    <t xml:space="preserve">D&amp;A</t>
  </si>
  <si>
    <t xml:space="preserve">SBC</t>
  </si>
  <si>
    <t xml:space="preserve">GAAP EPS</t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</si>
  <si>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</si>
  <si>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t xml:space="preserve">股利支付（普通股＋特別股）</t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</si>
  <si>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（年初至今）</t>
    </r>
  </si>
  <si>
    <r>
      <rPr>
        <sz val="9"/>
        <color rgb="FF595959"/>
        <rFont val="Noto Sans CJK SC"/>
        <family val="2"/>
      </rPr>
      <t xml:space="preserve">；；不適用（首期＝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全年模型，年初至今無實際數）。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</si>
  <si>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回購（買回庫藏股）</t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</si>
  <si>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</si>
  <si>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</si>
  <si>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</si>
  <si>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</si>
  <si>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</si>
  <si>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</si>
  <si>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data/consensus_msft_20261008.json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</si>
  <si>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＝賣方分析師預估：有利益關係；「共識是多少」可查證，但內容屬利害關係人觀點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</si>
  <si>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</si>
  <si>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</si>
  <si>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</si>
  <si>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</si>
  <si>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</si>
  <si>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</si>
  <si>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</si>
  <si>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</si>
  <si>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（統計頁）｜</t>
    </r>
    <r>
      <rPr>
        <sz val="9"/>
        <color rgb="FF595959"/>
        <rFont val="Arial"/>
        <family val="0"/>
        <charset val="1"/>
      </rPr>
      <t xml:space="preserve">https://stockanalysis.com/stocks/msft/statistics/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</si>
  <si>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</si>
  <si>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</si>
  <si>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</si>
  <si>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</si>
  <si>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https://stockanalysis.com/stocks/msft/forecast/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</si>
  <si>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</si>
  <si>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</si>
  <si>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</si>
  <si>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</si>
  <si>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</si>
  <si>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</si>
  <si>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</si>
  <si>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https://www.marketbeat.com/stocks/NASDAQ/MSFT/forecast/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</si>
  <si>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</si>
  <si>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</si>
  <si>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</si>
  <si>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</si>
  <si>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https://finance.yahoo.com/quote/MSFT/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</si>
  <si>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</si>
  <si>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</si>
  <si>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</si>
  <si>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</si>
  <si>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</si>
  <si>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</si>
  <si>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</si>
  <si>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</si>
  <si>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</si>
  <si>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https://www.marketscreener.com/quote/stock/MICROSOFT-CORPORATION-4835/finances/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</si>
  <si>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</si>
  <si>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</si>
  <si>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</si>
  <si>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</si>
  <si>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</si>
  <si>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</si>
  <si>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</si>
  <si>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</si>
  <si>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</si>
  <si>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</si>
  <si>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FY26 155.237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10-K </t>
    </r>
    <r>
      <rPr>
        <sz val="10"/>
        <rFont val="Noto Sans CJK SC"/>
        <family val="2"/>
      </rPr>
      <t xml:space="preserve">相同）；</t>
    </r>
    <r>
      <rPr>
        <sz val="10"/>
        <rFont val="Arial"/>
        <family val="0"/>
        <charset val="1"/>
      </rPr>
      <t xml:space="preserve">EBITDA FY26 198.685</t>
    </r>
    <r>
      <rPr>
        <sz val="10"/>
        <rFont val="Noto Sans CJK SC"/>
        <family val="2"/>
      </rPr>
      <t xml:space="preserve">（＝營業利益＋約 </t>
    </r>
    <r>
      <rPr>
        <sz val="10"/>
        <rFont val="Arial"/>
        <family val="0"/>
        <charset val="1"/>
      </rPr>
      <t xml:space="preserve">43.4 </t>
    </r>
    <r>
      <rPr>
        <sz val="10"/>
        <rFont val="Noto Sans CJK SC"/>
        <family val="2"/>
      </rPr>
      <t xml:space="preserve">折舊攤銷，口徑較 </t>
    </r>
    <r>
      <rPr>
        <sz val="10"/>
        <rFont val="Arial"/>
        <family val="0"/>
        <charset val="1"/>
      </rPr>
      <t xml:space="preserve">10-K D&amp;A 39.0 </t>
    </r>
    <r>
      <rPr>
        <sz val="10"/>
        <rFont val="Noto Sans CJK SC"/>
        <family val="2"/>
      </rPr>
      <t xml:space="preserve">寬）；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稀釋（</t>
    </r>
    <r>
      <rPr>
        <sz val="10"/>
        <rFont val="Arial"/>
        <family val="0"/>
        <charset val="1"/>
      </rPr>
      <t xml:space="preserve">FY26 17.95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CAPEX FY26 115.948</t>
    </r>
    <r>
      <rPr>
        <sz val="10"/>
        <rFont val="Noto Sans CJK SC"/>
        <family val="2"/>
      </rPr>
      <t xml:space="preserve">＝現金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增添（不含融資租賃）→ 預估推定同口徑；淨負債負值＝淨現金（是否含租賃未揭露）。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</si>
  <si>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</si>
  <si>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</si>
  <si>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</si>
  <si>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</si>
  <si>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</si>
  <si>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Noto Sans CJK SC"/>
        <family val="2"/>
      </rPr>
      <t xml:space="preserve">調整後，排除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損益）；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起需付費。</t>
    </r>
  </si>
  <si>
    <r>
      <rPr>
        <b val="true"/>
        <sz val="11"/>
        <color rgb="FFFFFFFF"/>
        <rFont val="Noto Sans CJK SC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FY27Q1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</si>
  <si>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共識｜季度｜營收</t>
  </si>
  <si>
    <t xml:space="preserve">未列</t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</si>
  <si>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</si>
  <si>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</si>
  <si>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</si>
  <si>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</si>
  <si>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90.7 </t>
    </r>
    <r>
      <rPr>
        <sz val="10"/>
        <rFont val="Noto Sans CJK SC"/>
        <family val="2"/>
      </rPr>
      <t xml:space="preserve">落在公司指引 </t>
    </r>
    <r>
      <rPr>
        <sz val="10"/>
        <rFont val="Arial"/>
        <family val="0"/>
        <charset val="1"/>
      </rPr>
      <t xml:space="preserve">89.85–90.95 </t>
    </r>
    <r>
      <rPr>
        <sz val="10"/>
        <rFont val="Noto Sans CJK SC"/>
        <family val="2"/>
      </rPr>
      <t xml:space="preserve">上半部</t>
    </r>
  </si>
  <si>
    <t xml:space="preserve">公司指引（管理層預估）</t>
  </si>
  <si>
    <t xml:space="preserve">共識｜公司指引｜下一季營收（低／高）</t>
  </si>
  <si>
    <r>
      <rPr>
        <sz val="9"/>
        <color rgb="FF595959"/>
        <rFont val="Arial"/>
        <family val="0"/>
        <charset val="1"/>
      </rPr>
      <t xml:space="preserve">8-K 2026-09-02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Q1 </t>
    </r>
    <r>
      <rPr>
        <sz val="9"/>
        <color rgb="FF595959"/>
        <rFont val="Noto Sans CJK SC"/>
        <family val="2"/>
      </rPr>
      <t xml:space="preserve">調整後指引）；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全年為 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Microsoft IR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https://www.sec.gov/Archives/edgar/data/789019/000119312526380280/d291965dex991.htm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</si>
  <si>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</si>
  <si>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</si>
  <si>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系（與 </t>
    </r>
    <r>
      <rPr>
        <sz val="10"/>
        <rFont val="Arial"/>
        <family val="0"/>
        <charset val="1"/>
      </rPr>
      <t xml:space="preserve">ORCL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Noto Sans CJK SC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391.271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S&amp;P 391.3 </t>
    </r>
    <r>
      <rPr>
        <sz val="10"/>
        <rFont val="Noto Sans CJK SC"/>
        <family val="2"/>
      </rPr>
      <t xml:space="preserve">一致，視為同一底層來源。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預估通常來自 </t>
    </r>
    <r>
      <rPr>
        <sz val="10"/>
        <rFont val="Arial"/>
        <family val="0"/>
        <charset val="1"/>
      </rPr>
      <t xml:space="preserve">LSEG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FY27 391.04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50 </t>
    </r>
    <r>
      <rPr>
        <sz val="10"/>
        <rFont val="Noto Sans CJK SC"/>
        <family val="2"/>
      </rPr>
      <t xml:space="preserve">家）、</t>
    </r>
    <r>
      <rPr>
        <sz val="10"/>
        <rFont val="Arial"/>
        <family val="0"/>
        <charset val="1"/>
      </rPr>
      <t xml:space="preserve">FY28 467.31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51 </t>
    </r>
    <r>
      <rPr>
        <sz val="10"/>
        <rFont val="Noto Sans CJK SC"/>
        <family val="2"/>
      </rPr>
      <t xml:space="preserve">家），與 </t>
    </r>
    <r>
      <rPr>
        <sz val="10"/>
        <rFont val="Arial"/>
        <family val="0"/>
        <charset val="1"/>
      </rPr>
      <t xml:space="preserve">MarketScreener 391.27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467.96 </t>
    </r>
    <r>
      <rPr>
        <sz val="10"/>
        <rFont val="Noto Sans CJK SC"/>
        <family val="2"/>
      </rPr>
      <t xml:space="preserve">一致；但 </t>
    </r>
    <r>
      <rPr>
        <sz val="10"/>
        <rFont val="Arial"/>
        <family val="0"/>
        <charset val="1"/>
      </rPr>
      <t xml:space="preserve">Yahoo FY27 </t>
    </r>
    <r>
      <rPr>
        <sz val="10"/>
        <rFont val="Noto Sans CJK SC"/>
        <family val="2"/>
      </rPr>
      <t xml:space="preserve">高低值（</t>
    </r>
    <r>
      <rPr>
        <sz val="10"/>
        <rFont val="Arial"/>
        <family val="0"/>
        <charset val="1"/>
      </rPr>
      <t xml:space="preserve">402.72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380.0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完全相同、分析師數同為 </t>
    </r>
    <r>
      <rPr>
        <sz val="10"/>
        <rFont val="Arial"/>
        <family val="0"/>
        <charset val="1"/>
      </rPr>
      <t xml:space="preserve">50 → </t>
    </r>
    <r>
      <rPr>
        <sz val="10"/>
        <rFont val="Noto Sans CJK SC"/>
        <family val="2"/>
      </rPr>
      <t xml:space="preserve">獨立性存疑，不視為強獨立交叉。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目標價 </t>
    </r>
    <r>
      <rPr>
        <sz val="10"/>
        <rFont val="Arial"/>
        <family val="0"/>
        <charset val="1"/>
      </rPr>
      <t xml:space="preserve">587.63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相同，推測同源。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</si>
  <si>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</si>
  <si>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</si>
  <si>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FY28–FY29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的第二個確定獨立來源（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需付費；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只到 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且疑似同源）——「找不到」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</si>
  <si>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</si>
  <si>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Noto Sans CJK SC"/>
        <family val="2"/>
      </rPr>
      <t xml:space="preserve">以後共識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</si>
  <si>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</si>
  <si>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t xml:space="preserve">資本支出共識的第二來源與口徑（含融資租賃與否）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</si>
  <si>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</si>
  <si>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共識高低區間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</si>
  <si>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</si>
  <si>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r>
      <rPr>
        <sz val="10"/>
        <rFont val="Noto Sans CJK SC"/>
        <family val="2"/>
      </rPr>
      <t xml:space="preserve">分部（新 </t>
    </r>
    <r>
      <rPr>
        <sz val="10"/>
        <rFont val="Arial"/>
        <family val="0"/>
        <charset val="1"/>
      </rPr>
      <t xml:space="preserve">Agents and Infra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Devices and Consumer</t>
    </r>
    <r>
      <rPr>
        <sz val="10"/>
        <rFont val="Noto Sans CJK SC"/>
        <family val="2"/>
      </rPr>
      <t xml:space="preserve">）共識</t>
    </r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</si>
  <si>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</si>
  <si>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</si>
  <si>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</si>
  <si>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</si>
  <si>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</si>
  <si>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</si>
  <si>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Q1 FY27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</si>
  <si>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</si>
  <si>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</si>
  <si>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</si>
  <si>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</si>
  <si>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</si>
  <si>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</si>
  <si>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</si>
  <si>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</si>
  <si>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</si>
  <si>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</si>
  <si>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FY26Q4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</si>
  <si>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</si>
  <si>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</si>
  <si>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Noto Sans CJK SC"/>
        <family val="2"/>
      </rPr>
      <t xml:space="preserve">（自有在役 </t>
    </r>
    <r>
      <rPr>
        <sz val="9"/>
        <color rgb="FF595959"/>
        <rFont val="Arial"/>
        <family val="0"/>
        <charset val="1"/>
      </rPr>
      <t xml:space="preserve">AI 4,500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</si>
  <si>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</si>
  <si>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</si>
  <si>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</si>
  <si>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</si>
  <si>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</si>
  <si>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</si>
  <si>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</si>
  <si>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</si>
  <si>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</si>
  <si>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</si>
  <si>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2026-09-02 8-K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Noto Sans CJK SC"/>
        <family val="2"/>
      </rPr>
      <t xml:space="preserve">調整後指引）：營收 </t>
    </r>
    <r>
      <rPr>
        <sz val="9"/>
        <color rgb="FF595959"/>
        <rFont val="Arial"/>
        <family val="0"/>
        <charset val="1"/>
      </rPr>
      <t xml:space="preserve">89.85–90.95B</t>
    </r>
    <r>
      <rPr>
        <sz val="9"/>
        <color rgb="FF595959"/>
        <rFont val="Noto Sans CJK SC"/>
        <family val="2"/>
      </rPr>
      <t xml:space="preserve">；營業成本 </t>
    </r>
    <r>
      <rPr>
        <sz val="9"/>
        <color rgb="FF595959"/>
        <rFont val="Arial"/>
        <family val="0"/>
        <charset val="1"/>
      </rPr>
      <t xml:space="preserve">29.6–29.8</t>
    </r>
    <r>
      <rPr>
        <sz val="9"/>
        <color rgb="FF595959"/>
        <rFont val="Noto Sans CJK SC"/>
        <family val="2"/>
      </rPr>
      <t xml:space="preserve">、營業費用 </t>
    </r>
    <r>
      <rPr>
        <sz val="9"/>
        <color rgb="FF595959"/>
        <rFont val="Arial"/>
        <family val="0"/>
        <charset val="1"/>
      </rPr>
      <t xml:space="preserve">16.8–16.9 →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43.15–44.55 [Derived]</t>
    </r>
    <r>
      <rPr>
        <sz val="9"/>
        <color rgb="FF595959"/>
        <rFont val="Noto Sans CJK SC"/>
        <family val="2"/>
      </rPr>
      <t xml:space="preserve">；資本支出 </t>
    </r>
    <r>
      <rPr>
        <sz val="9"/>
        <color rgb="FF595959"/>
        <rFont val="Arial"/>
        <family val="0"/>
        <charset val="1"/>
      </rPr>
      <t xml:space="preserve">&gt;50</t>
    </r>
    <r>
      <rPr>
        <sz val="9"/>
        <color rgb="FF595959"/>
        <rFont val="Noto Sans CJK SC"/>
        <family val="2"/>
      </rPr>
      <t xml:space="preserve">（含融資租賃）</t>
    </r>
    <r>
      <rPr>
        <sz val="9"/>
        <color rgb="FF595959"/>
        <rFont val="Arial"/>
        <family val="0"/>
        <charset val="1"/>
      </rPr>
      <t xml:space="preserve">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</si>
  <si>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</si>
  <si>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</si>
  <si>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</si>
  <si>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FY27 CapEx</t>
    </r>
    <r>
      <rPr>
        <sz val="10"/>
        <rFont val="Noto Sans CJK SC"/>
        <family val="2"/>
      </rPr>
      <t xml:space="preserve">（毛額）（全年低／全年高／扣除 年初至今 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</si>
  <si>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資本支出公司未給金額：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Noto Sans CJK SC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Noto Sans CJK SC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 [Derived]</t>
    </r>
    <r>
      <rPr>
        <sz val="9"/>
        <color rgb="FF595959"/>
        <rFont val="Noto Sans CJK SC"/>
        <family val="2"/>
      </rPr>
      <t xml:space="preserve">；首期為全年模型，年初至今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</si>
  <si>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</si>
  <si>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欄＝年初至今 實際（季報現金流量表口徑）＋全年模型；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</si>
  <si>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</si>
  <si>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</si>
  <si>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</si>
  <si>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模型；對照公司全年指引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</si>
  <si>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</si>
  <si>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t xml:space="preserve">　客戶預付金額（抵減，全年 起）</t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</si>
  <si>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不計）；年初至今 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</si>
  <si>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</si>
  <si>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</si>
  <si>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</si>
  <si>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</si>
  <si>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</si>
  <si>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</si>
  <si>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</si>
  <si>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</si>
  <si>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（用途用：年初至今 現金／全年 毛額）</t>
    </r>
  </si>
  <si>
    <r>
      <rPr>
        <sz val="9"/>
        <color rgb="FF595959"/>
        <rFont val="Noto Sans CJK SC"/>
        <family val="2"/>
      </rPr>
      <t xml:space="preserve">年初至今 採現金流量表的現金購置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；全年 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</si>
  <si>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</si>
  <si>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欄僅 全年：年初至今 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</si>
  <si>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</si>
  <si>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329.1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</si>
  <si>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</si>
  <si>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</si>
  <si>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</si>
  <si>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</si>
  <si>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</si>
  <si>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</si>
  <si>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</si>
  <si>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</si>
  <si>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</si>
  <si>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</si>
  <si>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</si>
  <si>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Noto Sans CJK SC"/>
        <family val="2"/>
      </rPr>
      <t xml:space="preserve">）＋全年 模型。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</si>
  <si>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</si>
  <si>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實際＋全年 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</si>
  <si>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</si>
  <si>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實際＋全年 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</si>
  <si>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</si>
  <si>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</si>
  <si>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</si>
  <si>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</si>
  <si>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</si>
  <si>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支出（年初至今 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</si>
  <si>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</si>
  <si>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⑦ 現金稅（全年 起）</t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</si>
  <si>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；年初至今 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</si>
  <si>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</si>
  <si>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 年初至今 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）；年初至今 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</si>
  <si>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</si>
  <si>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</t>
    </r>
    <r>
      <rPr>
        <sz val="10"/>
        <rFont val="Noto Sans CJK SC"/>
        <family val="2"/>
      </rPr>
      <t xml:space="preserve">年初至今 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</si>
  <si>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季報實際值，取代模型推算；已含 年初至今 的利息、租金與客戶預付</t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</si>
  <si>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現金（全年 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</si>
  <si>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</si>
  <si>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</si>
  <si>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（全年 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</si>
  <si>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</si>
  <si>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（全年 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</si>
  <si>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</si>
  <si>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</si>
  <si>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</si>
  <si>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</si>
  <si>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；年初至今 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</si>
  <si>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</si>
  <si>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</si>
  <si>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t xml:space="preserve">Ⓓ 客戶預付（全年 起）</t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</si>
  <si>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</si>
  <si>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</si>
  <si>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</si>
  <si>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</si>
  <si>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含 年初至今 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</si>
  <si>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</si>
  <si>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＝全年模型（年初至今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）：不發股；股利每季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Noto Sans CJK SC"/>
        <family val="2"/>
      </rPr>
      <t xml:space="preserve">、回購基準 </t>
    </r>
    <r>
      <rPr>
        <sz val="9"/>
        <color rgb="FF595959"/>
        <rFont val="Arial"/>
        <family val="0"/>
        <charset val="1"/>
      </rPr>
      <t xml:space="preserve">22.3</t>
    </r>
    <r>
      <rPr>
        <sz val="9"/>
        <color rgb="FF595959"/>
        <rFont val="Noto Sans CJK SC"/>
        <family val="2"/>
      </rPr>
      <t xml:space="preserve">／年</t>
    </r>
  </si>
  <si>
    <t xml:space="preserve">Ⓕ 年初至今 實際借款（融資）</t>
  </si>
  <si>
    <r>
      <rPr>
        <sz val="9"/>
        <color rgb="FF595959"/>
        <rFont val="Noto Sans CJK SC"/>
        <family val="2"/>
      </rPr>
      <t xml:space="preserve">季報：年初至今 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</si>
  <si>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</si>
  <si>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</si>
  <si>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</si>
  <si>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</si>
  <si>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</si>
  <si>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</si>
  <si>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</si>
  <si>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</si>
  <si>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</si>
  <si>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</si>
  <si>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t xml:space="preserve">　年初至今 其他／受限現金調節</t>
  </si>
  <si>
    <r>
      <rPr>
        <sz val="9"/>
        <color rgb="FF595959"/>
        <rFont val="Noto Sans CJK SC"/>
        <family val="2"/>
      </rPr>
      <t xml:space="preserve">使 年初至今 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</si>
  <si>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</si>
  <si>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</si>
  <si>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</si>
  <si>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</si>
  <si>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</si>
  <si>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</si>
  <si>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</si>
  <si>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</si>
  <si>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</si>
  <si>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</si>
  <si>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</si>
  <si>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</si>
  <si>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</si>
  <si>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</si>
  <si>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</si>
  <si>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</si>
  <si>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</si>
  <si>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</si>
  <si>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</si>
  <si>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</si>
  <si>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</si>
  <si>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</si>
  <si>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</si>
  <si>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</si>
  <si>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</si>
  <si>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</si>
  <si>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</si>
  <si>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</si>
  <si>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</si>
  <si>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</si>
  <si>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</si>
  <si>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</si>
  <si>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</si>
  <si>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</si>
  <si>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</si>
  <si>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</si>
  <si>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</si>
  <si>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</si>
  <si>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</si>
  <si>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</si>
  <si>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</si>
  <si>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46.136)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</si>
  <si>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</si>
  <si>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</si>
  <si>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</si>
  <si>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</si>
  <si>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</si>
  <si>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</si>
  <si>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</si>
  <si>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</si>
  <si>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</si>
  <si>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</si>
  <si>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</si>
  <si>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</si>
  <si>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</si>
  <si>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</si>
  <si>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7.427bn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</si>
  <si>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</si>
  <si>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</si>
  <si>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</si>
  <si>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</si>
  <si>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</si>
  <si>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</si>
  <si>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</si>
  <si>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</si>
  <si>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</si>
  <si>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</si>
  <si>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</si>
  <si>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</si>
  <si>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</si>
  <si>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</si>
  <si>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</si>
  <si>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t xml:space="preserve">＋ 營運缺口合計</t>
  </si>
  <si>
    <t xml:space="preserve">＋ 股權／可轉債合計</t>
  </si>
  <si>
    <t xml:space="preserve">＋ 年初至今 實際借款</t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</si>
  <si>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（年初至今）</t>
    </r>
  </si>
  <si>
    <t xml:space="preserve">＋ 年初至今 其他／受限現金調節</t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</si>
  <si>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</si>
  <si>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</si>
  <si>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</si>
  <si>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</si>
  <si>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</si>
  <si>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</si>
  <si>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</si>
  <si>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總營收（年初至今 實際＋全年 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</si>
  <si>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</si>
  <si>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認列（年初至今＋全年）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</si>
  <si>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Noto Sans CJK SC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</si>
  <si>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利息（年初至今 實際＋全年 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</si>
  <si>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</si>
  <si>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租賃現金（年初至今 實際＋全年 模型）</t>
    </r>
  </si>
  <si>
    <r>
      <rPr>
        <sz val="9"/>
        <color rgb="FF595959"/>
        <rFont val="Noto Sans CJK SC"/>
        <family val="2"/>
      </rPr>
      <t xml:space="preserve">年初至今 實際支付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</si>
  <si>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排程還本（年初至今 實際＋全年）</t>
    </r>
  </si>
  <si>
    <r>
      <rPr>
        <sz val="9"/>
        <color rgb="FF595959"/>
        <rFont val="Noto Sans CJK SC"/>
        <family val="2"/>
      </rPr>
      <t xml:space="preserve">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</si>
  <si>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</si>
  <si>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</si>
  <si>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</si>
  <si>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</si>
  <si>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</si>
  <si>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</si>
  <si>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</si>
  <si>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</si>
  <si>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</si>
  <si>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</si>
  <si>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</si>
  <si>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</si>
  <si>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</si>
  <si>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</si>
  <si>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</si>
  <si>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</si>
  <si>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</si>
  <si>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</si>
  <si>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</si>
  <si>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</si>
  <si>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</si>
  <si>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</si>
  <si>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</si>
  <si>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</si>
  <si>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</si>
  <si>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</si>
  <si>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</si>
  <si>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</si>
  <si>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</si>
  <si>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</si>
  <si>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</si>
  <si>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</si>
  <si>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</si>
  <si>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</si>
  <si>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</si>
  <si>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</si>
  <si>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</si>
  <si>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</si>
  <si>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</si>
  <si>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</si>
  <si>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</si>
  <si>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</si>
  <si>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</si>
  <si>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</si>
  <si>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</si>
  <si>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</si>
  <si>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</si>
  <si>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</si>
  <si>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</si>
  <si>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</si>
  <si>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</si>
  <si>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</si>
  <si>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</si>
  <si>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</si>
  <si>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</si>
  <si>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</si>
  <si>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</si>
  <si>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</si>
  <si>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</si>
  <si>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</si>
  <si>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</si>
  <si>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</si>
  <si>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</si>
  <si>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</si>
  <si>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</si>
  <si>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</si>
  <si>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</si>
  <si>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</si>
  <si>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</si>
  <si>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</si>
  <si>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</si>
  <si>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</si>
  <si>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</si>
  <si>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</si>
  <si>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</si>
  <si>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</si>
  <si>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</si>
  <si>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</si>
  <si>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</si>
  <si>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</si>
  <si>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</si>
  <si>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</si>
  <si>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</si>
  <si>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</si>
  <si>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</si>
  <si>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</si>
  <si>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</si>
  <si>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</si>
  <si>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</si>
  <si>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</si>
  <si>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</si>
  <si>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</si>
  <si>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</si>
  <si>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</si>
  <si>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</si>
  <si>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</si>
  <si>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</si>
  <si>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</si>
  <si>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</si>
  <si>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</si>
  <si>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</si>
  <si>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</si>
  <si>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</si>
  <si>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</si>
  <si>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</si>
  <si>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</si>
  <si>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</si>
  <si>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</si>
  <si>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</si>
  <si>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</si>
  <si>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</si>
  <si>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</si>
  <si>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</si>
  <si>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</si>
  <si>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</si>
  <si>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</si>
  <si>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</si>
  <si>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</si>
  <si>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</si>
  <si>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</si>
  <si>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</si>
  <si>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</si>
  <si>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</si>
  <si>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</si>
  <si>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</si>
  <si>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</si>
  <si>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</si>
  <si>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</si>
  <si>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</si>
  <si>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</si>
  <si>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</si>
  <si>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</si>
  <si>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</si>
  <si>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</si>
  <si>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</si>
  <si>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</si>
  <si>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</si>
  <si>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</si>
  <si>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</si>
  <si>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</si>
  <si>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</si>
  <si>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</si>
  <si>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</si>
  <si>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</si>
  <si>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</si>
  <si>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</si>
  <si>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</si>
  <si>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</si>
  <si>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</si>
  <si>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</si>
  <si>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</si>
  <si>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</si>
  <si>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</si>
  <si>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</si>
  <si>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</si>
  <si>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</si>
  <si>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</si>
  <si>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</si>
  <si>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</si>
  <si>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</si>
  <si>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</si>
  <si>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</si>
  <si>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</si>
  <si>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</si>
  <si>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</si>
  <si>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</si>
  <si>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</si>
  <si>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</si>
  <si>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</si>
  <si>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</si>
  <si>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</si>
  <si>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</si>
  <si>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全年——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起算，年初至今 收入已實現、不再受產能約束。年初至今 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</si>
  <si>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的模型期只有全年；年初至今 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</si>
  <si>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</si>
  <si>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</si>
  <si>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</si>
  <si>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</si>
  <si>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</si>
  <si>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</si>
  <si>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</si>
  <si>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</si>
  <si>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</si>
  <si>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</si>
  <si>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欄為全年平均）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</si>
  <si>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</si>
  <si>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</si>
  <si>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</si>
  <si>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</si>
  <si>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</si>
  <si>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</si>
  <si>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</si>
  <si>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</si>
  <si>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</si>
  <si>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</si>
  <si>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</si>
  <si>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</si>
  <si>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</si>
  <si>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</si>
  <si>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</si>
  <si>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</si>
  <si>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</si>
  <si>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</si>
  <si>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</si>
  <si>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</si>
  <si>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</si>
  <si>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</si>
  <si>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</si>
  <si>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</si>
  <si>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</si>
  <si>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684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</si>
  <si>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t xml:space="preserve">年初至今 實際營收（季報，已實現）</t>
  </si>
  <si>
    <r>
      <rPr>
        <sz val="9"/>
        <color rgb="FF595959"/>
        <rFont val="Arial"/>
        <family val="0"/>
        <charset val="1"/>
      </rPr>
      <t xml:space="preserve">2026-07-01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已認列營收。已實現，不受全年產能約束，故不進入上方的瓶頸計算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</si>
  <si>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全年總營收（年初至今 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</si>
  <si>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</si>
  <si>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</si>
  <si>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</si>
  <si>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</si>
  <si>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</si>
  <si>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</si>
  <si>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</si>
  <si>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</si>
  <si>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</si>
  <si>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</si>
  <si>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</si>
  <si>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</si>
  <si>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</si>
  <si>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</si>
  <si>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（全年）與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</si>
  <si>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</si>
  <si>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</si>
  <si>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</si>
  <si>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</si>
  <si>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</si>
  <si>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</si>
  <si>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</si>
  <si>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</si>
  <si>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</si>
  <si>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</si>
  <si>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</si>
  <si>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</si>
  <si>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</si>
  <si>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</si>
  <si>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</si>
  <si>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</si>
  <si>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</si>
  <si>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</si>
  <si>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</si>
  <si>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</si>
  <si>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</si>
  <si>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</si>
  <si>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</si>
  <si>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</si>
  <si>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</si>
  <si>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</si>
  <si>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</si>
  <si>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</si>
  <si>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</si>
  <si>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</si>
  <si>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</si>
  <si>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</si>
  <si>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</si>
  <si>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</si>
  <si>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</si>
  <si>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</si>
  <si>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</si>
  <si>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</si>
  <si>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</si>
  <si>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</si>
  <si>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</si>
  <si>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</si>
  <si>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</si>
  <si>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</si>
  <si>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Fairwater Wisconsin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Mount Pleasant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</si>
  <si>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</si>
  <si>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</si>
  <si>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2026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</si>
  <si>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</si>
  <si>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369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2026-10-05 </t>
    </r>
    <r>
      <rPr>
        <sz val="9"/>
        <color rgb="FF595959"/>
        <rFont val="Noto Sans CJK SC"/>
        <family val="2"/>
      </rPr>
      <t xml:space="preserve">更新；</t>
    </r>
    <r>
      <rPr>
        <sz val="9"/>
        <color rgb="FF595959"/>
        <rFont val="Arial"/>
        <family val="0"/>
        <charset val="1"/>
      </rPr>
      <t xml:space="preserve">2028Q2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mw.epoch.fairwaterWI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</si>
  <si>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Fairwater Atlanta</t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</si>
  <si>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</si>
  <si>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Buildings 1–4 </t>
    </r>
    <r>
      <rPr>
        <sz val="9"/>
        <color rgb="FF595959"/>
        <rFont val="Noto Sans CJK SC"/>
        <family val="2"/>
      </rPr>
      <t xml:space="preserve">已運轉，</t>
    </r>
    <r>
      <rPr>
        <sz val="9"/>
        <color rgb="FF595959"/>
        <rFont val="Arial"/>
        <family val="0"/>
        <charset val="1"/>
      </rPr>
      <t xml:space="preserve">636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2026-06-14</t>
    </r>
    <r>
      <rPr>
        <sz val="9"/>
        <color rgb="FF595959"/>
        <rFont val="Noto Sans CJK SC"/>
        <family val="2"/>
      </rPr>
      <t xml:space="preserve">）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</si>
  <si>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</si>
  <si>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</si>
  <si>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</si>
  <si>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</si>
  <si>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</si>
  <si>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</si>
  <si>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</si>
  <si>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</si>
  <si>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</si>
  <si>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</si>
  <si>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</si>
  <si>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</si>
  <si>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</si>
  <si>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</si>
  <si>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</si>
  <si>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</si>
  <si>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</si>
  <si>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</si>
  <si>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</si>
  <si>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欄只含全年租金、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</si>
  <si>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</si>
  <si>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</si>
  <si>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</si>
  <si>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</si>
  <si>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</si>
  <si>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</si>
  <si>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</si>
  <si>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</si>
  <si>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</si>
  <si>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</si>
  <si>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</si>
  <si>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</si>
  <si>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</si>
  <si>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</si>
  <si>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</si>
  <si>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2009 </t>
    </r>
    <r>
      <rPr>
        <sz val="10"/>
        <rFont val="Noto Sans CJK SC"/>
        <family val="2"/>
      </rPr>
      <t xml:space="preserve">票據</t>
    </r>
  </si>
  <si>
    <t xml:space="preserve">無擔保</t>
  </si>
  <si>
    <t xml:space="preserve">2039-06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</si>
  <si>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520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5.20%–5.20%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2039–2039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</si>
  <si>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2010 </t>
    </r>
    <r>
      <rPr>
        <sz val="10"/>
        <rFont val="Noto Sans CJK SC"/>
        <family val="2"/>
      </rPr>
      <t xml:space="preserve">票據</t>
    </r>
  </si>
  <si>
    <t xml:space="preserve">2040-06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</si>
  <si>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486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4.50%–4.50%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2040–2040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</si>
  <si>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2011 </t>
    </r>
    <r>
      <rPr>
        <sz val="10"/>
        <rFont val="Noto Sans CJK SC"/>
        <family val="2"/>
      </rPr>
      <t xml:space="preserve">票據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</si>
  <si>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</si>
  <si>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718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5.30%–5.30%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2041–2041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</si>
  <si>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2012 </t>
    </r>
    <r>
      <rPr>
        <sz val="10"/>
        <rFont val="Noto Sans CJK SC"/>
        <family val="2"/>
      </rPr>
      <t xml:space="preserve">票據</t>
    </r>
  </si>
  <si>
    <t xml:space="preserve">2042-06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</si>
  <si>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454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3.50%–3.50%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2042–2042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</si>
  <si>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Noto Sans CJK SC"/>
        <family val="2"/>
      </rPr>
      <t xml:space="preserve">美元票據</t>
    </r>
  </si>
  <si>
    <t xml:space="preserve">2043-06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</si>
  <si>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314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3.75%–4.88%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2043–2043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</si>
  <si>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Noto Sans CJK SC"/>
        <family val="2"/>
      </rPr>
      <t xml:space="preserve">歐元票據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</si>
  <si>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</si>
  <si>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2,630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2.63%–3.13%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2028–2033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</si>
  <si>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票據</t>
    </r>
  </si>
  <si>
    <t xml:space="preserve">2045-06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</si>
  <si>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4,555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3.50%–4.75%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2035–2055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</si>
  <si>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2016 </t>
    </r>
    <r>
      <rPr>
        <sz val="10"/>
        <rFont val="Noto Sans CJK SC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</si>
  <si>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7,930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2.40%–3.95%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2026–2056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</si>
  <si>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Noto Sans CJK SC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</si>
  <si>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6,833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3.30%–4.50%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2026–2057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</si>
  <si>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票據（交換）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</si>
  <si>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10,111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1.35%–2.68%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2030–2060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</si>
  <si>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Noto Sans CJK SC"/>
        <family val="2"/>
      </rPr>
      <t xml:space="preserve">票據（交換）</t>
    </r>
  </si>
  <si>
    <t xml:space="preserve">2057-06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</si>
  <si>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8,185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2.92%–3.04%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2052–2062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</si>
  <si>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Noto Sans CJK SC"/>
        <family val="2"/>
      </rPr>
      <t xml:space="preserve">交換）</t>
    </r>
  </si>
  <si>
    <t xml:space="preserve">2038-06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</si>
  <si>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</si>
  <si>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Noto Sans CJK SC"/>
        <family val="2"/>
      </rPr>
      <t xml:space="preserve">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</si>
  <si>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3,344</t>
    </r>
    <r>
      <rPr>
        <sz val="9"/>
        <color rgb="FF595959"/>
        <rFont val="Noto Sans CJK SC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Noto Sans CJK SC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</si>
  <si>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</si>
  <si>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46.136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</si>
  <si>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</si>
  <si>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</si>
  <si>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</si>
  <si>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</si>
  <si>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</si>
  <si>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</si>
  <si>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</si>
  <si>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</si>
  <si>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</si>
  <si>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</si>
  <si>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</si>
  <si>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</si>
  <si>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</si>
  <si>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</si>
  <si>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Noto Sans CJK SC"/>
        <family val="2"/>
      </rPr>
      <t xml:space="preserve">為空清單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</si>
  <si>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</si>
  <si>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</si>
  <si>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</si>
  <si>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</si>
  <si>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</si>
  <si>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</si>
  <si>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</si>
  <si>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</si>
  <si>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</si>
  <si>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</si>
  <si>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</si>
  <si>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</si>
  <si>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</si>
  <si>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</si>
  <si>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</si>
  <si>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</si>
  <si>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</si>
  <si>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</si>
  <si>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</si>
  <si>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</si>
  <si>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</si>
  <si>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</si>
  <si>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</si>
  <si>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</si>
  <si>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</si>
  <si>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</si>
  <si>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</si>
  <si>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</si>
  <si>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</si>
  <si>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</si>
  <si>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</si>
  <si>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</si>
  <si>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</si>
  <si>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</si>
  <si>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</si>
  <si>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</si>
  <si>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</si>
  <si>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</si>
  <si>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</si>
  <si>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</si>
  <si>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</si>
  <si>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</si>
  <si>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</si>
  <si>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</si>
  <si>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</si>
  <si>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</si>
  <si>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</si>
  <si>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</si>
  <si>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</si>
  <si>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</si>
  <si>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</si>
  <si>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</si>
  <si>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</si>
  <si>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</si>
  <si>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</si>
  <si>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</si>
  <si>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</si>
  <si>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</si>
  <si>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</si>
  <si>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</si>
  <si>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</si>
  <si>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</si>
  <si>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</si>
  <si>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</si>
  <si>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</si>
  <si>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</si>
  <si>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</si>
  <si>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</si>
  <si>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</si>
  <si>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</si>
  <si>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</si>
  <si>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</si>
  <si>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</si>
  <si>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</si>
  <si>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</si>
  <si>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</si>
  <si>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</si>
  <si>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</si>
  <si>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</si>
  <si>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</si>
  <si>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</si>
  <si>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</si>
  <si>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</si>
  <si>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</si>
  <si>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</si>
  <si>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</si>
  <si>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</si>
  <si>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</si>
  <si>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</si>
  <si>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</si>
  <si>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21.925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66.594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</si>
  <si>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</si>
  <si>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</si>
  <si>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</si>
  <si>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</si>
  <si>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</si>
  <si>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</si>
  <si>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</si>
  <si>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</si>
  <si>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</si>
  <si>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</si>
  <si>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</si>
  <si>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</si>
  <si>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</si>
  <si>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（無已揭露的循環信用額度（不列入瀑布））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</si>
  <si>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</si>
  <si>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</si>
  <si>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</si>
  <si>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</si>
  <si>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</si>
  <si>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</si>
  <si>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</si>
  <si>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</si>
  <si>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</si>
  <si>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</si>
  <si>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</si>
  <si>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</si>
  <si>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</si>
  <si>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</si>
  <si>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</si>
  <si>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</si>
  <si>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</si>
  <si>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</si>
  <si>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</si>
  <si>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</si>
  <si>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</si>
  <si>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</si>
  <si>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</si>
  <si>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</si>
  <si>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</si>
  <si>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</si>
  <si>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</si>
  <si>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</si>
  <si>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</si>
  <si>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</si>
  <si>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</si>
  <si>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</si>
  <si>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</si>
  <si>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</si>
  <si>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</si>
  <si>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</si>
  <si>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</si>
  <si>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</si>
  <si>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欄只含全年；全年口徑見下方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</si>
  <si>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Noto Sans CJK SC"/>
        <family val="2"/>
      </rPr>
      <t xml:space="preserve">＝全年模型；與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</si>
  <si>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t xml:space="preserve">年初至今 實際營收（已實現）</t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</si>
  <si>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</si>
  <si>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</si>
  <si>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</si>
  <si>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</si>
  <si>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</si>
  <si>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</si>
  <si>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</si>
  <si>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Noto Sans CJK SC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0.000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</si>
  <si>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</si>
  <si>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</si>
  <si>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</si>
  <si>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</si>
  <si>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</si>
  <si>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</si>
  <si>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EPS 0.00</t>
    </r>
    <r>
      <rPr>
        <sz val="9"/>
        <color rgb="FF595959"/>
        <rFont val="Noto Sans CJK SC"/>
        <family val="2"/>
      </rPr>
      <t xml:space="preserve">＋全年淨利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</si>
  <si>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</si>
  <si>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</si>
  <si>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</si>
  <si>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</si>
  <si>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</si>
  <si>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</si>
  <si>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欄只含 全年 的建置支出，不含 年初至今 已發生的 </t>
    </r>
    <r>
      <rPr>
        <sz val="9"/>
        <color rgb="FF595959"/>
        <rFont val="Arial"/>
        <family val="0"/>
        <charset val="1"/>
      </rPr>
      <t xml:space="preserve">0.0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</si>
  <si>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</si>
  <si>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基期＝年初至今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</si>
  <si>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</si>
  <si>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</si>
  <si>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</si>
  <si>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</si>
  <si>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</si>
  <si>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</si>
  <si>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</si>
  <si>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</si>
  <si>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</si>
  <si>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</si>
  <si>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</si>
  <si>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</si>
  <si>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</si>
  <si>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模型期（全年）的現金流平均落在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</si>
  <si>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</si>
  <si>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</si>
  <si>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</si>
  <si>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</si>
  <si>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</si>
  <si>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</si>
  <si>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</si>
  <si>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</si>
  <si>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</si>
  <si>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</si>
  <si>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</si>
  <si>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</si>
  <si>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</si>
  <si>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</si>
  <si>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</si>
  <si>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</si>
  <si>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</si>
  <si>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</si>
  <si>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</si>
  <si>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</si>
  <si>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</si>
  <si>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</si>
  <si>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</si>
  <si>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</si>
  <si>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</si>
  <si>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</si>
  <si>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</si>
  <si>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</si>
  <si>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</si>
  <si>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</si>
  <si>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</si>
  <si>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</si>
  <si>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</si>
  <si>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</si>
  <si>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</si>
  <si>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</si>
  <si>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</si>
  <si>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</si>
  <si>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</si>
  <si>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</si>
  <si>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</si>
  <si>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</si>
  <si>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</si>
  <si>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</si>
  <si>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</si>
  <si>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</si>
  <si>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</si>
  <si>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</si>
  <si>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</si>
  <si>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</si>
  <si>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</si>
  <si>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</si>
  <si>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</si>
  <si>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</si>
  <si>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</si>
  <si>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</si>
  <si>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</si>
  <si>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</si>
  <si>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</si>
  <si>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</si>
  <si>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</si>
  <si>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</si>
  <si>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</si>
  <si>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</si>
  <si>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</si>
  <si>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</si>
  <si>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</si>
  <si>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</si>
  <si>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</si>
  <si>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</si>
  <si>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</si>
  <si>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</si>
  <si>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</si>
  <si>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</si>
  <si>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</si>
  <si>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</si>
  <si>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</si>
  <si>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</si>
  <si>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</si>
  <si>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</si>
  <si>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</si>
  <si>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</si>
  <si>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</si>
  <si>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</si>
  <si>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</si>
  <si>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</si>
  <si>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</si>
  <si>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</si>
  <si>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</si>
  <si>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</si>
  <si>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</si>
  <si>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</si>
  <si>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</si>
  <si>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</si>
  <si>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</si>
  <si>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</si>
  <si>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</si>
  <si>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</si>
  <si>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</si>
  <si>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</si>
  <si>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</si>
  <si>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</si>
  <si>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</si>
  <si>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</si>
  <si>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</si>
  <si>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</si>
  <si>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</si>
  <si>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</si>
  <si>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</si>
  <si>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</si>
  <si>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</si>
  <si>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</si>
  <si>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</si>
  <si>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</si>
  <si>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</si>
  <si>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</si>
  <si>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</si>
  <si>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</si>
  <si>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</si>
  <si>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</si>
  <si>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</si>
  <si>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</si>
  <si>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</si>
  <si>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</si>
  <si>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</si>
  <si>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</si>
  <si>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</si>
  <si>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</si>
  <si>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</si>
  <si>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</si>
  <si>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</si>
  <si>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</si>
  <si>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</si>
  <si>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</si>
  <si>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15.67×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</si>
  <si>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</si>
  <si>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</si>
  <si>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</si>
  <si>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第三方可辨識站點（價格軸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</si>
  <si>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</si>
  <si>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</si>
  <si>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</si>
  <si>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</si>
  <si>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</si>
  <si>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</si>
  <si>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</si>
  <si>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</si>
  <si>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</si>
  <si>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</si>
  <si>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</si>
  <si>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</si>
  <si>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</si>
  <si>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</si>
  <si>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</si>
  <si>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</si>
  <si>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</si>
  <si>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</si>
  <si>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</si>
  <si>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</si>
  <si>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</si>
  <si>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</si>
  <si>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</si>
  <si>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</si>
  <si>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</si>
  <si>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</si>
  <si>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</si>
  <si>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</si>
  <si>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</si>
  <si>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</si>
  <si>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</si>
  <si>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</si>
  <si>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</si>
  <si>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</si>
  <si>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</si>
  <si>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</si>
  <si>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</si>
  <si>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</si>
  <si>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</si>
  <si>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</si>
  <si>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9.70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</si>
  <si>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</si>
  <si>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</si>
  <si>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＋自建機房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）約 </t>
    </r>
    <r>
      <rPr>
        <sz val="9"/>
        <color rgb="FF595959"/>
        <rFont val="Arial"/>
        <family val="0"/>
        <charset val="1"/>
      </rPr>
      <t xml:space="preserve">$44m/MW-IT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</si>
  <si>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</si>
  <si>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</si>
  <si>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</si>
  <si>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</si>
  <si>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</si>
  <si>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</si>
  <si>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$31.6m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</si>
  <si>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$36.1m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</si>
  <si>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$40.7m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</si>
  <si>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$45.2m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</si>
  <si>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$49.7m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</si>
  <si>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</si>
  <si>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</si>
  <si>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</si>
  <si>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</si>
  <si>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</si>
  <si>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</si>
  <si>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</si>
  <si>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</si>
  <si>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</si>
  <si>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</si>
  <si>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</si>
  <si>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</si>
  <si>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</si>
  <si>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</si>
  <si>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</si>
  <si>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</si>
  <si>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</si>
  <si>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</si>
  <si>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</si>
  <si>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</si>
  <si>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</si>
  <si>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</si>
  <si>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</si>
  <si>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</si>
  <si>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</si>
  <si>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</si>
  <si>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</si>
  <si>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</si>
  <si>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</si>
  <si>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MSFT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Q4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</si>
  <si>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Q4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</si>
  <si>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21.925</t>
    </r>
  </si>
  <si>
    <r>
      <rPr>
        <sz val="10"/>
        <rFont val="Arial"/>
        <family val="0"/>
        <charset val="1"/>
      </rPr>
      <t xml:space="preserve">MSFT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</si>
  <si>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</si>
  <si>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為整體公司（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Noto Sans CJK SC"/>
        <family val="2"/>
      </rPr>
      <t xml:space="preserve">、授權、遊戲、搜尋＋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</si>
  <si>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自建與租賃並行（另有未起租承諾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Noto Sans CJK SC"/>
        <family val="2"/>
      </rPr>
      <t xml:space="preserve">尚未入表），並向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Noto Sans CJK SC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</si>
  <si>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</si>
  <si>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</si>
  <si>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Noto Sans CJK SC"/>
        <family val="2"/>
      </rPr>
      <t xml:space="preserve">只含 全年）；投入資本（全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</si>
  <si>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</si>
  <si>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</si>
  <si>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</si>
  <si>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</si>
  <si>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</si>
  <si>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</si>
  <si>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</si>
  <si>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</si>
  <si>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</si>
  <si>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</si>
  <si>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</si>
  <si>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</si>
  <si>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</si>
  <si>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</si>
  <si>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</si>
  <si>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</si>
  <si>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</si>
  <si>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</si>
  <si>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</si>
  <si>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</si>
  <si>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</si>
  <si>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</si>
  <si>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</si>
  <si>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</si>
  <si>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</si>
  <si>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</si>
  <si>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</si>
  <si>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</si>
  <si>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</si>
  <si>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</si>
  <si>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</si>
  <si>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</si>
  <si>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</si>
  <si>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</si>
  <si>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</si>
  <si>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</si>
  <si>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</si>
  <si>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</si>
  <si>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</si>
  <si>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</si>
  <si>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</si>
  <si>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</si>
  <si>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</si>
  <si>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</si>
  <si>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</si>
  <si>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</si>
  <si>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</si>
  <si>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</si>
  <si>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</si>
  <si>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</si>
  <si>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</si>
  <si>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</si>
  <si>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</si>
  <si>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</si>
  <si>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</si>
  <si>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</si>
  <si>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</si>
  <si>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</si>
  <si>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</si>
  <si>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</si>
  <si>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</si>
  <si>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</si>
  <si>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</si>
  <si>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</si>
  <si>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</si>
  <si>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</si>
  <si>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</si>
  <si>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</si>
  <si>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</si>
  <si>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</si>
  <si>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</si>
  <si>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</si>
  <si>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</si>
  <si>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90%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</si>
  <si>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</si>
  <si>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</si>
  <si>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</si>
  <si>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</si>
  <si>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</si>
  <si>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</si>
  <si>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204.2–204.2</t>
  </si>
  <si>
    <r>
      <rPr>
        <sz val="9"/>
        <color rgb="FF595959"/>
        <rFont val="Noto Sans CJK SC"/>
        <family val="2"/>
      </rPr>
      <t xml:space="preserve">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模型；全年指引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</si>
  <si>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</si>
  <si>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</si>
  <si>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Noto Sans CJK SC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＋全年 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</si>
  <si>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參考付費營收（五期最高）</t>
    </r>
  </si>
  <si>
    <t xml:space="preserve">≤50%</t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</si>
  <si>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</si>
  <si>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</si>
  <si>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雲端（殘差）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</si>
  <si>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</si>
  <si>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</si>
  <si>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Noto Sans CJK SC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</si>
  <si>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≥37</t>
    </r>
    <r>
      <rPr>
        <sz val="9"/>
        <color rgb="FF595959"/>
        <rFont val="Noto Sans CJK SC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</si>
  <si>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</si>
  <si>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</si>
  <si>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</si>
  <si>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</si>
  <si>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</si>
  <si>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</si>
  <si>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</si>
  <si>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</si>
  <si>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</si>
  <si>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</si>
  <si>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</si>
  <si>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</si>
  <si>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利息（年初至今 實際＋全年）</t>
    </r>
  </si>
  <si>
    <r>
      <rPr>
        <sz val="10"/>
        <rFont val="Arial"/>
        <family val="0"/>
        <charset val="1"/>
      </rPr>
      <t xml:space="preserve">FY29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</si>
  <si>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</si>
  <si>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</si>
  <si>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</si>
  <si>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</si>
  <si>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</si>
  <si>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</si>
  <si>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</si>
  <si>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</si>
  <si>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</si>
  <si>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</si>
  <si>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</si>
  <si>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</si>
  <si>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</si>
  <si>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</si>
  <si>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</si>
  <si>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</si>
  <si>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46.136 − </t>
    </r>
    <r>
      <rPr>
        <sz val="10"/>
        <rFont val="Noto Sans CJK SC"/>
        <family val="2"/>
      </rPr>
      <t xml:space="preserve">以股換債 ＋ 期後新發</t>
    </r>
  </si>
  <si>
    <t xml:space="preserve">46.136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</si>
  <si>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</si>
  <si>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</si>
  <si>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</si>
  <si>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</si>
  <si>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</si>
  <si>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</si>
  <si>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</si>
  <si>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</si>
  <si>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</si>
  <si>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</si>
  <si>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</si>
  <si>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</si>
  <si>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684 × 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</si>
  <si>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</si>
  <si>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</si>
  <si>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</si>
  <si>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</si>
  <si>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</si>
  <si>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增量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承諾（</t>
    </r>
    <r>
      <rPr>
        <sz val="10"/>
        <rFont val="Arial"/>
        <family val="0"/>
        <charset val="1"/>
      </rPr>
      <t xml:space="preserve">$250B</t>
    </r>
    <r>
      <rPr>
        <sz val="10"/>
        <rFont val="Noto Sans CJK SC"/>
        <family val="2"/>
      </rPr>
      <t xml:space="preserve">；年期未揭露，依 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2025–2030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</si>
  <si>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2025-10-28 </t>
    </r>
    <r>
      <rPr>
        <sz val="9"/>
        <color rgb="FF595959"/>
        <rFont val="Noto Sans CJK SC"/>
        <family val="2"/>
      </rPr>
      <t xml:space="preserve">公告（</t>
    </r>
    <r>
      <rPr>
        <sz val="9"/>
        <color rgb="FF595959"/>
        <rFont val="Arial"/>
        <family val="0"/>
        <charset val="1"/>
      </rPr>
      <t xml:space="preserve">10-Q FY26Q1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oai.azureCommit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openai/ v0.6 INP_182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</si>
  <si>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 Azure </t>
    </r>
    <r>
      <rPr>
        <sz val="10"/>
        <rFont val="Noto Sans CJK SC"/>
        <family val="2"/>
      </rPr>
      <t xml:space="preserve">承諾（</t>
    </r>
    <r>
      <rPr>
        <sz val="10"/>
        <rFont val="Arial"/>
        <family val="0"/>
        <charset val="1"/>
      </rPr>
      <t xml:space="preserve">$30B</t>
    </r>
    <r>
      <rPr>
        <sz val="10"/>
        <rFont val="Noto Sans CJK SC"/>
        <family val="2"/>
      </rPr>
      <t xml:space="preserve">，至多 </t>
    </r>
    <r>
      <rPr>
        <sz val="10"/>
        <rFont val="Arial"/>
        <family val="0"/>
        <charset val="1"/>
      </rPr>
      <t xml:space="preserve">1 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</si>
  <si>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2025-11-18 </t>
    </r>
    <r>
      <rPr>
        <sz val="9"/>
        <color rgb="FF595959"/>
        <rFont val="Noto Sans CJK SC"/>
        <family val="2"/>
      </rPr>
      <t xml:space="preserve">公告（事實總帳 </t>
    </r>
    <r>
      <rPr>
        <sz val="9"/>
        <color rgb="FF595959"/>
        <rFont val="Arial"/>
        <family val="0"/>
        <charset val="1"/>
      </rPr>
      <t xml:space="preserve">ant.azureCommit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；年期依 </t>
    </r>
    <r>
      <rPr>
        <sz val="9"/>
        <color rgb="FF595959"/>
        <rFont val="Arial"/>
        <family val="0"/>
        <charset val="1"/>
      </rPr>
      <t xml:space="preserve">anthropic/ v0.1 INP_135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2033-05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6.5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</si>
  <si>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</si>
  <si>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</si>
  <si>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</si>
  <si>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281B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Anthropic 30B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311 ÷ </t>
    </r>
    <r>
      <rPr>
        <sz val="9"/>
        <color rgb="FF595959"/>
        <rFont val="Noto Sans CJK SC"/>
        <family val="2"/>
      </rPr>
      <t xml:space="preserve">商用 </t>
    </r>
    <r>
      <rPr>
        <sz val="9"/>
        <color rgb="FF595959"/>
        <rFont val="Arial"/>
        <family val="0"/>
        <charset val="1"/>
      </rPr>
      <t xml:space="preserve">RPO 678 ≈ 46%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FY26Q4 </t>
    </r>
    <r>
      <rPr>
        <sz val="9"/>
        <color rgb="FF595959"/>
        <rFont val="Noto Sans CJK SC"/>
        <family val="2"/>
      </rPr>
      <t xml:space="preserve">最新比例找不到；事實總帳 </t>
    </r>
    <r>
      <rPr>
        <sz val="9"/>
        <color rgb="FF595959"/>
        <rFont val="Arial"/>
        <family val="0"/>
        <charset val="1"/>
      </rPr>
      <t xml:space="preserve">oai.rpoShare.fy26q2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</si>
  <si>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（合約實付）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</si>
  <si>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K09 </t>
    </r>
    <r>
      <rPr>
        <sz val="9"/>
        <color rgb="FF595959"/>
        <rFont val="Noto Sans CJK SC"/>
        <family val="2"/>
      </rPr>
      <t xml:space="preserve">日曆年 → 財年（只讀，不連動）；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實際：來自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24.1</t>
    </r>
    <r>
      <rPr>
        <sz val="9"/>
        <color rgb="FF595959"/>
        <rFont val="Noto Sans CJK SC"/>
        <family val="2"/>
      </rPr>
      <t xml:space="preserve">（含營收分成，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</si>
  <si>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營收分成（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，上限 </t>
    </r>
    <r>
      <rPr>
        <sz val="10"/>
        <rFont val="Arial"/>
        <family val="0"/>
        <charset val="1"/>
      </rPr>
      <t xml:space="preserve">38B </t>
    </r>
    <r>
      <rPr>
        <sz val="10"/>
        <rFont val="Noto Sans CJK SC"/>
        <family val="2"/>
      </rPr>
      <t xml:space="preserve">至 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</si>
  <si>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openai/ v0.6 Revenue R28</t>
    </r>
    <r>
      <rPr>
        <sz val="9"/>
        <color rgb="FF595959"/>
        <rFont val="Noto Sans CJK SC"/>
        <family val="2"/>
      </rPr>
      <t xml:space="preserve">（只讀）；營收分成只列對照，不進評價（已入帳營收除外）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</si>
  <si>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</si>
  <si>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K35</t>
    </r>
    <r>
      <rPr>
        <sz val="9"/>
        <color rgb="FF595959"/>
        <rFont val="Noto Sans CJK SC"/>
        <family val="2"/>
      </rPr>
      <t xml:space="preserve">（只讀，不連動）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</si>
  <si>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</si>
  <si>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</si>
  <si>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</si>
  <si>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</si>
  <si>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</si>
  <si>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</si>
  <si>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</si>
  <si>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</si>
  <si>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</si>
  <si>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全年口徑營運缺口（含 年初至今 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</si>
  <si>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</si>
  <si>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</si>
  <si>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</si>
  <si>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</si>
  <si>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</si>
  <si>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</si>
  <si>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</si>
  <si>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</si>
  <si>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</si>
  <si>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</si>
  <si>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共用引擎（</t>
    </r>
    <r>
      <rPr>
        <sz val="10"/>
        <rFont val="Arial"/>
        <family val="0"/>
        <charset val="1"/>
      </rPr>
      <t xml:space="preserve">Amazon v0.1b r3</t>
    </r>
    <r>
      <rPr>
        <sz val="10"/>
        <rFont val="Noto Sans CJK SC"/>
        <family val="2"/>
      </rPr>
      <t xml:space="preserve">）：對外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並列）；</t>
    </r>
    <r>
      <rPr>
        <sz val="10"/>
        <rFont val="Arial"/>
        <family val="0"/>
        <charset val="1"/>
      </rPr>
      <t xml:space="preserve">Microsoft </t>
    </r>
    <r>
      <rPr>
        <sz val="10"/>
        <rFont val="Noto Sans CJK SC"/>
        <family val="2"/>
      </rPr>
      <t xml:space="preserve">財年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月、首期 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全年、租用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MW</t>
    </r>
  </si>
  <si>
    <t xml:space="preserve">$353.6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</si>
  <si>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$382.3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$352.0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$422.5</t>
    </r>
    <r>
      <rPr>
        <sz val="10"/>
        <rFont val="Noto Sans CJK SC"/>
        <family val="2"/>
      </rPr>
      <t xml:space="preserve">；交付前修訂（查核後，不升版）：引擎同步 </t>
    </r>
    <r>
      <rPr>
        <sz val="10"/>
        <rFont val="Arial"/>
        <family val="0"/>
        <charset val="1"/>
      </rPr>
      <t xml:space="preserve">amazon@d07bfbe</t>
    </r>
    <r>
      <rPr>
        <sz val="10"/>
        <rFont val="Noto Sans CJK SC"/>
        <family val="2"/>
      </rPr>
      <t xml:space="preserve">（評價口徑敏感度與評等翻轉點、終值占比規則、晶片係數雙邊）、</t>
    </r>
    <r>
      <rPr>
        <sz val="10"/>
        <rFont val="Arial"/>
        <family val="0"/>
        <charset val="1"/>
      </rPr>
      <t xml:space="preserve">Maia 200 </t>
    </r>
    <r>
      <rPr>
        <sz val="10"/>
        <rFont val="Noto Sans CJK SC"/>
        <family val="2"/>
      </rPr>
      <t xml:space="preserve">改對應 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租約續約延續租金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</si>
  <si>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</si>
  <si>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</si>
  <si>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</si>
  <si>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FY26 10-K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2026-07-29</t>
    </r>
    <r>
      <rPr>
        <sz val="10"/>
        <rFont val="Noto Sans CJK SC"/>
        <family val="2"/>
      </rPr>
      <t xml:space="preserve">，經查核）：營收 </t>
    </r>
    <r>
      <rPr>
        <sz val="10"/>
        <rFont val="Arial"/>
        <family val="0"/>
        <charset val="1"/>
      </rPr>
      <t xml:space="preserve">331.8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Noto Sans CJK SC"/>
        <family val="2"/>
      </rPr>
      <t xml:space="preserve">新口徑 </t>
    </r>
    <r>
      <rPr>
        <sz val="10"/>
        <rFont val="Arial"/>
        <family val="0"/>
        <charset val="1"/>
      </rPr>
      <t xml:space="preserve">Agents and Infra 268.1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Devices and Consumer 63.7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155.2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38.5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12.4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133.7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利得 </t>
    </r>
    <r>
      <rPr>
        <sz val="10"/>
        <rFont val="Arial"/>
        <family val="0"/>
        <charset val="1"/>
      </rPr>
      <t xml:space="preserve">6.5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</si>
  <si>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20.9</t>
    </r>
    <r>
      <rPr>
        <sz val="10"/>
        <rFont val="Noto Sans CJK SC"/>
        <family val="2"/>
      </rPr>
      <t xml:space="preserve">、短期投資 </t>
    </r>
    <r>
      <rPr>
        <sz val="10"/>
        <rFont val="Arial"/>
        <family val="0"/>
        <charset val="1"/>
      </rPr>
      <t xml:space="preserve">55.9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313.1</t>
    </r>
    <r>
      <rPr>
        <sz val="10"/>
        <rFont val="Noto Sans CJK SC"/>
        <family val="2"/>
      </rPr>
      <t xml:space="preserve">；債務面額 </t>
    </r>
    <r>
      <rPr>
        <sz val="10"/>
        <rFont val="Arial"/>
        <family val="0"/>
        <charset val="1"/>
      </rPr>
      <t xml:space="preserve">46.1</t>
    </r>
    <r>
      <rPr>
        <sz val="10"/>
        <rFont val="Noto Sans CJK SC"/>
        <family val="2"/>
      </rPr>
      <t xml:space="preserve">；融資租賃負債 </t>
    </r>
    <r>
      <rPr>
        <sz val="10"/>
        <rFont val="Arial"/>
        <family val="0"/>
        <charset val="1"/>
      </rPr>
      <t xml:space="preserve">66.6</t>
    </r>
    <r>
      <rPr>
        <sz val="10"/>
        <rFont val="Noto Sans CJK SC"/>
        <family val="2"/>
      </rPr>
      <t xml:space="preserve">、營業 </t>
    </r>
    <r>
      <rPr>
        <sz val="10"/>
        <rFont val="Arial"/>
        <family val="0"/>
        <charset val="1"/>
      </rPr>
      <t xml:space="preserve">21.9</t>
    </r>
    <r>
      <rPr>
        <sz val="10"/>
        <rFont val="Noto Sans CJK SC"/>
        <family val="2"/>
      </rPr>
      <t xml:space="preserve">；尚未起租 </t>
    </r>
    <r>
      <rPr>
        <sz val="10"/>
        <rFont val="Arial"/>
        <family val="0"/>
        <charset val="1"/>
      </rPr>
      <t xml:space="preserve">329.1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442.4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</si>
  <si>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</t>
    </r>
    <r>
      <rPr>
        <sz val="10"/>
        <rFont val="Arial"/>
        <family val="0"/>
        <charset val="1"/>
      </rPr>
      <t xml:space="preserve">FY26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CFO 182.9</t>
    </r>
    <r>
      <rPr>
        <sz val="10"/>
        <rFont val="Noto Sans CJK SC"/>
        <family val="2"/>
      </rPr>
      <t xml:space="preserve">；現金資本支出 </t>
    </r>
    <r>
      <rPr>
        <sz val="10"/>
        <rFont val="Arial"/>
        <family val="0"/>
        <charset val="1"/>
      </rPr>
      <t xml:space="preserve">115.9</t>
    </r>
    <r>
      <rPr>
        <sz val="10"/>
        <rFont val="Noto Sans CJK SC"/>
        <family val="2"/>
      </rPr>
      <t xml:space="preserve">（含融資租賃 </t>
    </r>
    <r>
      <rPr>
        <sz val="10"/>
        <rFont val="Arial"/>
        <family val="0"/>
        <charset val="1"/>
      </rPr>
      <t xml:space="preserve">145.3</t>
    </r>
    <r>
      <rPr>
        <sz val="10"/>
        <rFont val="Noto Sans CJK SC"/>
        <family val="2"/>
      </rPr>
      <t xml:space="preserve">）；股利 </t>
    </r>
    <r>
      <rPr>
        <sz val="10"/>
        <rFont val="Arial"/>
        <family val="0"/>
        <charset val="1"/>
      </rPr>
      <t xml:space="preserve">26.4</t>
    </r>
    <r>
      <rPr>
        <sz val="10"/>
        <rFont val="Noto Sans CJK SC"/>
        <family val="2"/>
      </rPr>
      <t xml:space="preserve">、回購 </t>
    </r>
    <r>
      <rPr>
        <sz val="10"/>
        <rFont val="Arial"/>
        <family val="0"/>
        <charset val="1"/>
      </rPr>
      <t xml:space="preserve">22.3</t>
    </r>
    <r>
      <rPr>
        <sz val="10"/>
        <rFont val="Noto Sans CJK SC"/>
        <family val="2"/>
      </rPr>
      <t xml:space="preserve">；無新發債、償還 </t>
    </r>
    <r>
      <rPr>
        <sz val="10"/>
        <rFont val="Arial"/>
        <family val="0"/>
        <charset val="1"/>
      </rPr>
      <t xml:space="preserve">3.0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</si>
  <si>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2026-09-02 8-K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（新定義）</t>
    </r>
    <r>
      <rPr>
        <sz val="10"/>
        <rFont val="Arial"/>
        <family val="0"/>
        <charset val="1"/>
      </rPr>
      <t xml:space="preserve">FY26 101.9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Q4 29.4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+42%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FY27Q1 </t>
    </r>
    <r>
      <rPr>
        <sz val="10"/>
        <rFont val="Noto Sans CJK SC"/>
        <family val="2"/>
      </rPr>
      <t xml:space="preserve">指引營收 </t>
    </r>
    <r>
      <rPr>
        <sz val="10"/>
        <rFont val="Arial"/>
        <family val="0"/>
        <charset val="1"/>
      </rPr>
      <t xml:space="preserve">89.85–90.95</t>
    </r>
    <r>
      <rPr>
        <sz val="10"/>
        <rFont val="Noto Sans CJK SC"/>
        <family val="2"/>
      </rPr>
      <t xml:space="preserve">、資本支出 </t>
    </r>
    <r>
      <rPr>
        <sz val="10"/>
        <rFont val="Arial"/>
        <family val="0"/>
        <charset val="1"/>
      </rPr>
      <t xml:space="preserve">&gt;50</t>
    </r>
    <r>
      <rPr>
        <sz val="10"/>
        <rFont val="Noto Sans CJK SC"/>
        <family val="2"/>
      </rPr>
      <t xml:space="preserve">；曆年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資本支出約 </t>
    </r>
    <r>
      <rPr>
        <sz val="10"/>
        <rFont val="Arial"/>
        <family val="0"/>
        <charset val="1"/>
      </rPr>
      <t xml:space="preserve">175</t>
    </r>
    <r>
      <rPr>
        <sz val="10"/>
        <rFont val="Noto Sans CJK SC"/>
        <family val="2"/>
      </rPr>
      <t xml:space="preserve">（法說）。</t>
    </r>
  </si>
  <si>
    <r>
      <rPr>
        <sz val="10"/>
        <rFont val="Noto Sans CJK SC"/>
        <family val="2"/>
      </rPr>
      <t xml:space="preserve">關聯方：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持股約 </t>
    </r>
    <r>
      <rPr>
        <sz val="10"/>
        <rFont val="Arial"/>
        <family val="0"/>
        <charset val="1"/>
      </rPr>
      <t xml:space="preserve">25%</t>
    </r>
    <r>
      <rPr>
        <sz val="10"/>
        <rFont val="Noto Sans CJK SC"/>
        <family val="2"/>
      </rPr>
      <t xml:space="preserve">、來自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24.1</t>
    </r>
    <r>
      <rPr>
        <sz val="10"/>
        <rFont val="Noto Sans CJK SC"/>
        <family val="2"/>
      </rPr>
      <t xml:space="preserve">、增量 </t>
    </r>
    <r>
      <rPr>
        <sz val="10"/>
        <rFont val="Arial"/>
        <family val="0"/>
        <charset val="1"/>
      </rPr>
      <t xml:space="preserve">Azure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Anthropic Azure </t>
    </r>
    <r>
      <rPr>
        <sz val="10"/>
        <rFont val="Noto Sans CJK SC"/>
        <family val="2"/>
      </rPr>
      <t xml:space="preserve">承諾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（至多 </t>
    </r>
    <r>
      <rPr>
        <sz val="10"/>
        <rFont val="Arial"/>
        <family val="0"/>
        <charset val="1"/>
      </rPr>
      <t xml:space="preserve">1 GW</t>
    </r>
    <r>
      <rPr>
        <sz val="10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</si>
  <si>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MSFT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$529.76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3,934.50bn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7,427.00m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</si>
  <si>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$587.63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$586.00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$440.00–$870.00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56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$578.73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48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</si>
  <si>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</si>
  <si>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</si>
  <si>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</si>
  <si>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20261008_Tokenomics_v5.27.xlsx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ca78a8f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2026-10-09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</si>
  <si>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</si>
  <si>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</si>
  <si>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</si>
  <si>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</si>
  <si>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</si>
  <si>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</si>
  <si>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</si>
  <si>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</si>
  <si>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</si>
  <si>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</si>
  <si>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</si>
  <si>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</si>
  <si>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</si>
  <si>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</si>
  <si>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</si>
  <si>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v5.27 · ca78a8f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</si>
  <si>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</si>
  <si>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</si>
  <si>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</si>
  <si>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</si>
  <si>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</si>
  <si>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</si>
  <si>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</si>
  <si>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</si>
  <si>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</si>
  <si>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</si>
  <si>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</si>
  <si>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</si>
  <si>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</si>
  <si>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</si>
  <si>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</si>
  <si>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</si>
  <si>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</si>
  <si>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</si>
  <si>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</si>
  <si>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</si>
  <si>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</si>
  <si>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</si>
  <si>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</si>
  <si>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</si>
  <si>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</si>
  <si>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</si>
  <si>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</si>
  <si>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</si>
  <si>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</si>
  <si>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</si>
  <si>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</si>
  <si>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</si>
  <si>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</si>
  <si>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</si>
  <si>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</si>
  <si>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</si>
  <si>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</si>
  <si>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</si>
  <si>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</si>
  <si>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</si>
  <si>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</si>
  <si>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</si>
  <si>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</si>
  <si>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</si>
  <si>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</si>
  <si>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</si>
  <si>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</si>
  <si>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</si>
  <si>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</si>
  <si>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</si>
  <si>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</si>
  <si>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</si>
  <si>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</si>
  <si>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</si>
  <si>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</si>
  <si>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</si>
  <si>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</si>
  <si>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</si>
  <si>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</si>
  <si>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</si>
  <si>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</si>
  <si>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</si>
  <si>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</si>
  <si>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</si>
  <si>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</si>
  <si>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</si>
  <si>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</si>
  <si>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</si>
  <si>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</si>
  <si>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</si>
  <si>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</si>
  <si>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</si>
  <si>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</si>
  <si>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</si>
  <si>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</si>
  <si>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</si>
  <si>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</si>
  <si>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</si>
  <si>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</si>
  <si>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</si>
  <si>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</si>
  <si>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</si>
  <si>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</si>
  <si>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</si>
  <si>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</si>
  <si>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</si>
  <si>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</si>
  <si>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</si>
  <si>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</si>
  <si>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</si>
  <si>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</si>
  <si>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</si>
  <si>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</si>
  <si>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</si>
  <si>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</si>
  <si>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</si>
  <si>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</si>
  <si>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</si>
  <si>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</si>
  <si>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</si>
  <si>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</si>
  <si>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</si>
  <si>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</si>
  <si>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</si>
  <si>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</si>
  <si>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</si>
  <si>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</si>
  <si>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</si>
  <si>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</si>
  <si>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</si>
  <si>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</si>
  <si>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</si>
  <si>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</si>
  <si>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</si>
  <si>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</si>
  <si>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</si>
  <si>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</si>
  <si>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</si>
  <si>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</si>
  <si>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</si>
  <si>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</si>
  <si>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</si>
  <si>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</si>
  <si>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</si>
  <si>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</si>
  <si>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</si>
  <si>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</si>
  <si>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</si>
  <si>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</si>
  <si>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</si>
  <si>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</si>
  <si>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</si>
  <si>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</si>
  <si>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</si>
  <si>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</si>
  <si>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</si>
  <si>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</si>
  <si>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</si>
  <si>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</si>
  <si>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</si>
  <si>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</si>
  <si>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</si>
  <si>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</si>
  <si>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</si>
  <si>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</si>
  <si>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</si>
  <si>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</si>
  <si>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</si>
  <si>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</si>
  <si>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</si>
  <si>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</si>
  <si>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</si>
  <si>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</si>
  <si>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</si>
  <si>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</si>
  <si>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</si>
  <si>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</si>
  <si>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</si>
  <si>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</si>
  <si>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</si>
  <si>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</si>
  <si>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</si>
  <si>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</si>
  <si>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</si>
  <si>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</si>
  <si>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</si>
  <si>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</si>
  <si>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</si>
  <si>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</si>
  <si>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</si>
  <si>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</si>
  <si>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</si>
  <si>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</si>
  <si>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</si>
  <si>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</si>
  <si>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</si>
  <si>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</si>
  <si>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</si>
  <si>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</si>
  <si>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</si>
  <si>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</si>
  <si>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</si>
  <si>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</si>
  <si>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</si>
  <si>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</si>
  <si>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</si>
  <si>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</si>
  <si>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</si>
  <si>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</si>
  <si>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</si>
  <si>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</si>
  <si>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</si>
  <si>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</si>
  <si>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</si>
  <si>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</si>
  <si>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</si>
  <si>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</si>
  <si>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</si>
  <si>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</si>
  <si>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</si>
  <si>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</si>
  <si>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</si>
  <si>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</si>
  <si>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</si>
  <si>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</si>
  <si>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</si>
  <si>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</si>
  <si>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</si>
  <si>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</si>
  <si>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</si>
  <si>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</si>
  <si>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</si>
  <si>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</si>
  <si>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</si>
  <si>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</si>
  <si>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</si>
  <si>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</si>
  <si>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</si>
  <si>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</si>
  <si>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</si>
  <si>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</si>
  <si>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</si>
  <si>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</si>
  <si>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</si>
  <si>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</si>
  <si>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</si>
  <si>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</si>
  <si>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</si>
  <si>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</si>
  <si>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</si>
  <si>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</si>
  <si>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</si>
  <si>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</si>
  <si>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</si>
  <si>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</si>
  <si>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</si>
  <si>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</si>
  <si>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</si>
  <si>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</si>
  <si>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</si>
  <si>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</si>
  <si>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</si>
  <si>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</si>
  <si>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</si>
  <si>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</si>
  <si>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</si>
  <si>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</si>
  <si>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</si>
  <si>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</si>
  <si>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</si>
  <si>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</si>
  <si>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</si>
  <si>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</si>
  <si>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</si>
  <si>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</si>
  <si>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</si>
  <si>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</si>
  <si>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</si>
  <si>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</si>
  <si>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</si>
  <si>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</si>
  <si>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</si>
  <si>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</si>
  <si>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</si>
  <si>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</si>
  <si>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</si>
  <si>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</si>
  <si>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</si>
  <si>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</si>
  <si>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</si>
  <si>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</si>
  <si>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</si>
  <si>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</si>
  <si>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</si>
  <si>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</si>
  <si>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</si>
  <si>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</si>
  <si>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</si>
  <si>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</si>
  <si>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</si>
  <si>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</si>
  <si>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</si>
  <si>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</si>
  <si>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</si>
  <si>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</si>
  <si>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</si>
  <si>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</si>
  <si>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</si>
  <si>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</si>
  <si>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</si>
  <si>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</si>
  <si>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</si>
  <si>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</si>
  <si>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</si>
  <si>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</si>
  <si>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</si>
  <si>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</si>
  <si>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</si>
  <si>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</si>
  <si>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</si>
  <si>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</si>
  <si>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</si>
  <si>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</si>
  <si>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</si>
  <si>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TK_NonNVRatio</t>
  </si>
  <si>
    <t xml:space="preserve">IF_NonNVRatio</t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</si>
  <si>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</si>
  <si>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v5.27 </t>
    </r>
    <r>
      <rPr>
        <sz val="9"/>
        <color rgb="FF595959"/>
        <rFont val="Noto Sans CJK SC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Noto Sans CJK SC"/>
        <family val="2"/>
      </rPr>
      <t xml:space="preserve">，資料缺口已回報）；未建具名範圍</t>
    </r>
  </si>
  <si>
    <t xml:space="preserve">TK_NonNVCostRatio</t>
  </si>
  <si>
    <t xml:space="preserve">IF_NonNVCostRatio</t>
  </si>
  <si>
    <t xml:space="preserve">TK_NonNV_Maia</t>
  </si>
  <si>
    <t xml:space="preserve">IF_NonNV_Maia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</si>
</sst>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"（預設＝基準）；共識＝data/consensus_msft_20261008.json（2026-10-08）"</f>
        <v>模型端＝目前情境：基準 依資本支出指引（預設＝基準）；共識＝data/consensus_msft_20261008.json（2026-10-08）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353.553227344813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輸入與假設!$C$330</f>
        <v>529.76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-0.332616227452408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351.963854201418</v>
      </c>
      <c r="D10" s="12" t="n">
        <f aca="false">評價_DCF與目標價!D104</f>
        <v>382.252785106163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348.772316212897</v>
      </c>
      <c r="D11" s="12" t="n">
        <f aca="false">評價_DCF與目標價!D106</f>
        <v>353.553227344813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450.296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-96.7427726551875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$353.6，較現價 $529.76 低 33%；情境區間 $352.0–$382.3，方法區間 $348.8–$353.6；點位低於賣出門檻 $450.3 達 $96.7。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$382.3 低於現價 $529.76：賣出在三個擴張情境下都成立。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$298="ebitda",輸入與假設!$C$298="leaseAdj"),"需失去投資級才能融資的金額："&amp;IF(SUM(各期收支!C93:G93)&gt;0.05,"$"&amp;TEXT(SUM(各期收支!C93:G93),"0.0")&amp;"bn（五期高息債溢出）","$0")&amp;"；投資級上限＝"&amp;IF(輸入與假設!$C$298="leaseAdj","(總債務＋租賃負債) ≤ "&amp;IF(輸入與假設!$C$299=INT(輸入與假設!$C$299),TEXT(輸入與假設!$C$299,"0"),TEXT(輸入與假設!$C$299,"0.0"))&amp;"×(EBITDA＋租金)","總債務 ≤ "&amp;IF(輸入與假設!$C$299=INT(輸入與假設!$C$299),TEXT(輸入與假設!$C$299,"0"),TEXT(輸入與假設!$C$299,"0.0"))&amp;"× 當期 EBITDA")&amp;"，股權每年 ≤ 現市值 "&amp;IF(ROUND(ABS(輸入與假設!$C$309)*100,4)=INT(ROUND(ABS(輸入與假設!$C$309)*100,4)),TEXT(ROUND(ABS(輸入與假設!$C$309)*100,4),"0"),TEXT(ROUND(ABS(輸入與假設!$C$309)*100,4),"0.0"))&amp;"%"&amp;"。","")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$299=INT(輸入與假設!$C$299),TEXT(輸入與假設!$C$299,"0"),TEXT(輸入與假設!$C$299,"0.0"))&amp;"×，"&amp;IF(MAX(資產負債_新債與新股!$C$37:$G$37)&gt;輸入與假設!$C$299+0.000000001,CHOOSE(MATCH(MAX(資產負債_新債與新股!$C$37:$G$37),資產負債_新債與新股!$C$37:$G$37,0),"FY27","FY28","FY29","FY30","FY31")&amp;" 超過 "&amp;TEXT(MAX(資產負債_新債與新股!$C$37:$G$37)-輸入與假設!$C$299,"0.0")&amp;"×：需股權或失去投資級。","最小空間 "&amp;TEXT(輸入與假設!$C$299-MAX(資產負債_新債與新股!$C$37:$G$37),"0.0")&amp;"×（"&amp;CHOOSE(MATCH(MAX(資產負債_新債與新股!$C$37:$G$37),資產負債_新債與新股!$C$37:$G$37,0),"FY27","FY28","FY29","FY30","FY31")&amp;"）。")</f>
        <v>調整後槓桿（(債務＋租賃負債) ÷ (EBITDA＋租金)）路徑 0.8／0.8／0.8／0.8／0.7×；上限 3×，最小空間 2.2×（FY30）。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15.67×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$411.72（賣出）、WACC 10% $377.46（賣出）、WACC 11% $351.09（賣出）；非 AI 分部改用公司自身 NTM EV/EBITDA 15.67× $414.84（賣出）、AI 雲端 15× $396.58（賣出）、組合：WACC 9%＋非 AI 自身倍數＋AI 15× $519.69（中立）；評等翻轉點：WACC 約 8.2%（ERP 2.56%）以下由「賣出」轉為「中立」。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+"&amp;IF(ROUND(ABS(輸入與假設!$C$419)*100,4)=INT(ROUND(ABS(輸入與假設!$C$419)*100,4)),TEXT(ROUND(ABS(輸入與假設!$C$419)*100,4),"0"),TEXT(ROUND(ABS(輸入與假設!$C$419)*100,4),"0.0"))&amp;"%"&amp;" 且終值占 EV &lt; "&amp;IF(ROUND(ABS(輸入與假設!$C$420)*100,4)=INT(ROUND(ABS(輸入與假設!$C$420)*100,4)),TEXT(ROUND(ABS(輸入與假設!$C$420)*100,4),"0"),TEXT(ROUND(ABS(輸入與假設!$C$420)*100,4),"0.0"))&amp;"%"&amp;"；目前終值占 EV "&amp;TEXT(評價_DCF與目標價!C97*100,"0")&amp;"%"&amp;IF(評價_DCF與目標價!C97&gt;=輸入與假設!$C$420,"，此規則下只可能「賣出」或「中立」","")&amp;"（規則是否修改待 Andy 決定）。"</f>
        <v>評等規則：買進須空間 ≥ +25% 且終值占 EV &lt; 90%；目前終值占 EV 95%，此規則下只可能「賣出」或「中立」（規則是否修改待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1（影子收入不進評價）$353.55；讀法 2（自用 AI 價值中性：自用 MW 以 k＝1 計影子收入並進評價）$422.48；差額 +$68.93。主值取哪一個是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"&amp;TEXT(輸入與假設!$C$227*100,"0")&amp;"%，[Assumed]），是最大不確定："&amp;TEXT(評價_DCF與目標價!C112*100,"0")&amp;"%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60%，[Assumed]），是最大不確定：40% → $283.83、80% → $383.95（基準 $353.55）。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資本支出有沒有賺到資金成本）：FY29 對外 AI ROIC "&amp;TEXT(AI增量報酬!E23*100,"0.0")&amp;"% vs WACC "&amp;TEXT(輸入與假設!$C$349*100,"0.0")&amp;"%（"&amp;IF(AI增量報酬!E25&lt;0,"−","+")&amp;TEXT(ABS(AI增量報酬!E25)*100,"0.0")&amp;"pt）；打平 k "&amp;TEXT(AI增量報酬!C29,"0.00")&amp;"（目前 "&amp;TEXT(輸入與假設!$C$66,"0.00")&amp;"）；全 AI（含影子收入）"&amp;TEXT(AI增量報酬!E27*100,"0.0")&amp;"%。"</f>
        <v>主命題（AI 資本支出有沒有賺到資金成本）：FY29 對外 AI ROIC 10.1% vs WACC 10.9%（−0.8pt）；打平 k 1.08（目前 1.06）；全 AI（含影子收入）9.7%。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FY27（−$"&amp;TEXT(-各期收支!C44,"0.0")&amp;"bn）",IF(各期收支!D44&lt;0,"首次為負 FY28（−$"&amp;TEXT(-各期收支!D44,"0.0")&amp;"bn）",IF(各期收支!E44&lt;0,"首次為負 FY29（−$"&amp;TEXT(-各期收支!E44,"0.0")&amp;"bn）",IF(各期收支!F44&lt;0,"首次為負 FY30（−$"&amp;TEXT(-各期收支!F44,"0.0")&amp;"bn）",IF(各期收支!G44&lt;0,"首次為負 FY31（−$"&amp;TEXT(-各期收支!G44,"0.0")&amp;"bn）","五期皆為正")))))&amp;"；"&amp;IF(SUM(各期收支!C75:G75)&lt;=0.05,"無回購計畫（減少回購步驟不適用）",IF(SUM(各期收支!C77:G77)&gt;0,"回購被迫減少："&amp;MID(IF(各期收支!C77&gt;0.05,"、FY27 $"&amp;TEXT(各期收支!C77,"0.0"),"")&amp;IF(各期收支!D77&gt;0.05,"、FY28 $"&amp;TEXT(各期收支!D77,"0.0"),"")&amp;IF(各期收支!E77&gt;0.05,"、FY29 $"&amp;TEXT(各期收支!E77,"0.0"),"")&amp;IF(各期收支!F77&gt;0.05,"、FY30 $"&amp;TEXT(各期收支!F77,"0.0"),"")&amp;IF(各期收支!G77&gt;0.05,"、FY31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五期皆為正；回購被迫減少：FY27 $22.3、FY28 $21.5、FY31 $12.7bn；五期新債 $19.9bn、股權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$"&amp;TEXT(MAX(運營_產能與收入!$C$55:$G$55),"0.0")&amp;"bn（"&amp;CHOOSE(MATCH(MAX(運營_產能與收入!$C$55:$G$55),運營_產能與收入!$C$55:$G$55,0),"FY27","FY28","FY29","FY30","FY31")&amp;"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397.445587854</v>
      </c>
      <c r="D28" s="10" t="n">
        <f aca="false">損益!D29</f>
        <v>471.424331883435</v>
      </c>
      <c r="E28" s="10" t="n">
        <f aca="false">損益!E29</f>
        <v>545.537710592417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輸入與假設!$C$478</f>
        <v>391.271</v>
      </c>
      <c r="D29" s="10" t="n">
        <f aca="false">輸入與假設!$D$478</f>
        <v>467.955</v>
      </c>
      <c r="E29" s="10" t="n">
        <f aca="false">輸入與假設!$E$478</f>
        <v>569.502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0.0157808471724201</v>
      </c>
      <c r="D30" s="13" t="n">
        <f aca="false">D28/D29-1</f>
        <v>0.00741381518187656</v>
      </c>
      <c r="E30" s="13" t="n">
        <f aca="false">E28/E29-1</f>
        <v>-0.0420793770831054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輸入與假設!$C$448+損益!C22</f>
        <v>232.867283285892</v>
      </c>
      <c r="D31" s="10" t="n">
        <f aca="false">損益!D34</f>
        <v>282.294012512336</v>
      </c>
      <c r="E31" s="10" t="n">
        <f aca="false">損益!E34</f>
        <v>332.791012881362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輸入與假設!$C$479</f>
        <v>239.452</v>
      </c>
      <c r="D32" s="10" t="n">
        <f aca="false">輸入與假設!$D$479</f>
        <v>295.606</v>
      </c>
      <c r="E32" s="10" t="n">
        <f aca="false">輸入與假設!$E$479</f>
        <v>372.456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-0.0274991092749594</v>
      </c>
      <c r="D33" s="13" t="n">
        <f aca="false">D31/D32-1</f>
        <v>-0.0450328731069888</v>
      </c>
      <c r="E33" s="13" t="n">
        <f aca="false">E31/E32-1</f>
        <v>-0.106495766261353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-6.58471671410757</v>
      </c>
      <c r="D34" s="10" t="n">
        <f aca="false">D31-D32</f>
        <v>-13.3119874876645</v>
      </c>
      <c r="E34" s="10" t="n">
        <f aca="false">E31-E32</f>
        <v>-39.6649871186384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0.585909846284255</v>
      </c>
      <c r="D35" s="13" t="n">
        <f aca="false">D31/D28</f>
        <v>0.598810866177641</v>
      </c>
      <c r="E35" s="13" t="n">
        <f aca="false">E31/E28</f>
        <v>0.610023846967376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輸入與假設!$C$480</f>
        <v>0.611985043614272</v>
      </c>
      <c r="D36" s="13" t="n">
        <f aca="false">輸入與假設!$D$480</f>
        <v>0.631697492280241</v>
      </c>
      <c r="E36" s="13" t="n">
        <f aca="false">輸入與假設!$E$480</f>
        <v>0.654002971016783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-0.0260751973300176</v>
      </c>
      <c r="D37" s="13" t="n">
        <f aca="false">D35-D36</f>
        <v>-0.0328866261025995</v>
      </c>
      <c r="E37" s="13" t="n">
        <f aca="false">E35-E36</f>
        <v>-0.0439791240494069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輸入與假設!$C$431+輸入與假設!C$287</f>
        <v>204.201730580705</v>
      </c>
      <c r="D38" s="10" t="n">
        <f aca="false">輸入與假設!D$287</f>
        <v>216.207360041357</v>
      </c>
      <c r="E38" s="10" t="n">
        <f aca="false">輸入與假設!E$287</f>
        <v>221.965444269786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輸入與假設!$C$484</f>
        <v>192.827</v>
      </c>
      <c r="D39" s="10" t="n">
        <f aca="false">輸入與假設!$D$484</f>
        <v>216.787</v>
      </c>
      <c r="E39" s="10" t="n">
        <f aca="false">輸入與假設!$E$484</f>
        <v>251.173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0.058989304302328</v>
      </c>
      <c r="D40" s="13" t="n">
        <f aca="false">D38/D39-1</f>
        <v>-0.00267377637332078</v>
      </c>
      <c r="E40" s="13" t="n">
        <f aca="false">E38/E39-1</f>
        <v>-0.116284615504907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6.83165928632801</v>
      </c>
      <c r="D41" s="10" t="n">
        <f aca="false">資產負債_新債與新股!D25</f>
        <v>6.83165928632802</v>
      </c>
      <c r="E41" s="10" t="n">
        <f aca="false">資產負債_新債與新股!E25</f>
        <v>-11.9283511619443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輸入與假設!$C$486</f>
        <v>-51.842</v>
      </c>
      <c r="D42" s="10" t="n">
        <f aca="false">輸入與假設!$D$486</f>
        <v>-38.829</v>
      </c>
      <c r="E42" s="10" t="n">
        <f aca="false">輸入與假設!$E$486</f>
        <v>99.57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-1.1317784670022</v>
      </c>
      <c r="D43" s="13" t="n">
        <f aca="false">D41/D42-1</f>
        <v>-1.17594218976353</v>
      </c>
      <c r="E43" s="13" t="n">
        <f aca="false">E41/E42-1</f>
        <v>-1.11979864579637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58.673659286328</v>
      </c>
      <c r="D44" s="10" t="n">
        <f aca="false">D41-D42</f>
        <v>45.660659286328</v>
      </c>
      <c r="E44" s="10" t="n">
        <f aca="false">E41-E42</f>
        <v>-111.498351161944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MID(IF(ABS(C30)&gt;輸入與假設!$C$509,"、營收 "&amp;IF(C30&lt;0,"−","+")&amp;TEXT(ABS(C30)*100,"0.0")&amp;"%","")&amp;IF(ABS(C33)&gt;輸入與假設!$C$509,"、EBITDA "&amp;IF(C34&lt;0,"−","+")&amp;"$"&amp;TEXT(ABS(C34),"#,##0.00")&amp;"bn"&amp;"／"&amp;IF(C37&lt;0,"−","+")&amp;TEXT(ABS(C37)*100,"0.0")&amp;"pt","")&amp;IF(ABS(C40)&gt;輸入與假設!$C$509,"、CapEx "&amp;IF(C40&lt;0,"−","+")&amp;TEXT(ABS(C40)*100,"0.0")&amp;"%",""),2,999)</f>
        <v>CapEx +5.9%</v>
      </c>
      <c r="D45" s="10" t="str">
        <f aca="false">MID(IF(ABS(D30)&gt;輸入與假設!$C$509,"、營收 "&amp;IF(D30&lt;0,"−","+")&amp;TEXT(ABS(D30)*100,"0.0")&amp;"%","")&amp;IF(ABS(D33)&gt;輸入與假設!$C$509,"、EBITDA "&amp;IF(D34&lt;0,"−","+")&amp;"$"&amp;TEXT(ABS(D34),"#,##0.00")&amp;"bn"&amp;"／"&amp;IF(D37&lt;0,"−","+")&amp;TEXT(ABS(D37)*100,"0.0")&amp;"pt","")&amp;IF(ABS(D40)&gt;輸入與假設!$C$509,"、CapEx "&amp;IF(D40&lt;0,"−","+")&amp;TEXT(ABS(D40)*100,"0.0")&amp;"%",""),2,999)</f>
        <v/>
      </c>
      <c r="E45" s="10" t="str">
        <f aca="false">MID(IF(ABS(E30)&gt;輸入與假設!$C$509,"、營收 "&amp;IF(E30&lt;0,"−","+")&amp;TEXT(ABS(E30)*100,"0.0")&amp;"%","")&amp;IF(ABS(E33)&gt;輸入與假設!$C$509,"、EBITDA "&amp;IF(E34&lt;0,"−","+")&amp;"$"&amp;TEXT(ABS(E34),"#,##0.00")&amp;"bn"&amp;"／"&amp;IF(E37&lt;0,"−","+")&amp;TEXT(ABS(E37)*100,"0.0")&amp;"pt","")&amp;IF(ABS(E40)&gt;輸入與假設!$C$509,"、CapEx "&amp;IF(E40&lt;0,"−","+")&amp;TEXT(ABS(E40)*100,"0.0")&amp;"%",""),2,999)</f>
        <v>EBITDA −$39.66bn／−4.4pt、CapEx −11.6%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CHOOSE(C46+1,"FY27–FY29 營收、EBITDA、CapEx 與共識差距皆在 "&amp;IF(ROUND(ABS(輸入與假設!$C$509)*100,4)=INT(ROUND(ABS(輸入與假設!$C$509)*100,4)),TEXT(ROUND(ABS(輸入與假設!$C$509)*100,4),"0"),TEXT(ROUND(ABS(輸入與假設!$C$509)*100,4),"0.0"))&amp;"%"&amp;" 以內。","分歧始於 FY27（"&amp;C45&amp;"）"&amp;"；FY28 "&amp;IF(D45="","回到 "&amp;IF(ROUND(ABS(輸入與假設!$C$509)*100,4)=INT(ROUND(ABS(輸入與假設!$C$509)*100,4)),TEXT(ROUND(ABS(輸入與假設!$C$509)*100,4),"0"),TEXT(ROUND(ABS(輸入與假設!$C$509)*100,4),"0.0"))&amp;"%"&amp;" 以內",D45)&amp;"；FY29 "&amp;IF(E45="","回到 "&amp;IF(ROUND(ABS(輸入與假設!$C$509)*100,4)=INT(ROUND(ABS(輸入與假設!$C$509)*100,4)),TEXT(ROUND(ABS(輸入與假設!$C$509)*100,4),"0"),TEXT(ROUND(ABS(輸入與假設!$C$509)*100,4),"0.0"))&amp;"%"&amp;" 以內",E45)&amp;"。","FY27 營收、EBITDA、CapEx 與共識差距在 "&amp;IF(ROUND(ABS(輸入與假設!$C$509)*100,4)=INT(ROUND(ABS(輸入與假設!$C$509)*100,4)),TEXT(ROUND(ABS(輸入與假設!$C$509)*100,4),"0"),TEXT(ROUND(ABS(輸入與假設!$C$509)*100,4),"0.0"))&amp;"%"&amp;" 以內；分歧始於 FY28（"&amp;D45&amp;"）"&amp;"；FY29 "&amp;IF(E45="","回到 "&amp;IF(ROUND(ABS(輸入與假設!$C$509)*100,4)=INT(ROUND(ABS(輸入與假設!$C$509)*100,4)),TEXT(ROUND(ABS(輸入與假設!$C$509)*100,4),"0"),TEXT(ROUND(ABS(輸入與假設!$C$509)*100,4),"0.0"))&amp;"%"&amp;" 以內",E45)&amp;"。","FY27–FY28 營收、EBITDA、CapEx 與共識差距在 "&amp;IF(ROUND(ABS(輸入與假設!$C$509)*100,4)=INT(ROUND(ABS(輸入與假設!$C$509)*100,4)),TEXT(ROUND(ABS(輸入與假設!$C$509)*100,4),"0"),TEXT(ROUND(ABS(輸入與假設!$C$509)*100,4),"0.0"))&amp;"%"&amp;" 以內；分歧始於 FY29（"&amp;E45&amp;"）。")</f>
        <v>分歧始於 FY27（CapEx +5.9%）；FY28 回到 5% 以內；FY29 EBITDA −$39.66bn／−4.4pt、CapEx −11.6%。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IF(ABS(C30)&gt;輸入與假設!$C$509,"觀點","")</f>
        <v/>
      </c>
      <c r="D48" s="10" t="str">
        <f aca="false">IF(ABS(C30)&gt;輸入與假設!$C$509,"營收＝對外 AI 雲端（年底 "&amp;IF((輸入與假設!C$36)&lt;0,"−","")&amp;TEXT(ABS((輸入與假設!C$36)),"#,##0")&amp;" MW-IT × 每 MW 年收入，Tokenomics × k）＋M365 雲端／授權／產業＋Frontier／搜尋與廣告／Windows＋XBOX／Azure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IF(ABS(C37)&gt;輸入與假設!$C$510,"觀點","")</f>
        <v>觀點</v>
      </c>
      <c r="D49" s="10" t="str">
        <f aca="false">IF(ABS(C37)&gt;輸入與假設!$C$510,"營收差距 "&amp;IF((C30)&lt;0,"−","+")&amp;TEXT(ABS((C30))*100,"#,##0.0")&amp;"%"&amp;"；EBITDA 率 "&amp;IF((C35)&lt;0,"−","")&amp;TEXT(ABS((C35))*100,"#,##0.0")&amp;"%"&amp;" 對共識 "&amp;IF((C36)&lt;0,"−","")&amp;TEXT(ABS((C36))*100,"#,##0.0")&amp;"%"&amp;"（各線 EBITDA 率＝分配營業利益率＋D&amp;A 按營收分攤，五期固定；AI 雲端以 Tokenomics 營運成本推得；共識 EBITDA 口徑未揭露是否扣 SBC）","")</f>
        <v>營收差距 +1.6%；EBITDA 率 58.6% 對共識 61.2%（各線 EBITDA 率＝分配營業利益率＋D&amp;A 按營收分攤，五期固定；AI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IF(ABS(C40)&gt;輸入與假設!$C$509,"觀點","")</f>
        <v>觀點</v>
      </c>
      <c r="D50" s="10" t="str">
        <f aca="false">IF(ABS(C40)&gt;輸入與假設!$C$509,"CapEx：首期取 FY27 推估 204.2（公司口徑含融資租賃；共識推定現金口徑）；公司未給 FY28 以後指引 → 依新增 AI MW（"&amp;IF((輸入與假設!C$254)&lt;0,"−","")&amp;TEXT(ABS((輸入與假設!C$254)),"#,##0")&amp;" MW-IT 對外）÷ 對外比例 × 每 MW $"&amp;IF((輸入與假設!C$235)&lt;0,"−","")&amp;TEXT(ABS((輸入與假設!C$235)),"#,##0")&amp;"m＋非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MW（2,326 MW-IT 對外）÷ 對外比例 × 每 MW $45m＋非 AI 強度推導；基準情境 MW 速度由首期資本支出解出（對帳落差 0）</v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IF(ABS(C43)&gt;輸入與假設!$C$509,"觀點","")</f>
        <v>觀點</v>
      </c>
      <c r="D51" s="10" t="str">
        <f aca="false">IF(ABS(C43)&gt;輸入與假設!$C$509,"淨負債隨 CapEx、投資與融資瀑布而定（模型 CapEx 差距 "&amp;IF((C40)&lt;0,"−","+")&amp;TEXT(ABS((C40))*100,"#,##0.0")&amp;"%"&amp;"）；共識淨負債不含租賃","")</f>
        <v>淨負債隨 CapEx、投資與融資瀑布而定（模型 CapEx 差距 +5.9%）；共識淨負債不含租賃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IF(ABS(D30)&gt;輸入與假設!$C$509,"觀點","")</f>
        <v/>
      </c>
      <c r="D52" s="10" t="str">
        <f aca="false">IF(ABS(D30)&gt;輸入與假設!$C$509,"營收＝對外 AI 雲端（年底 "&amp;IF((輸入與假設!D$36)&lt;0,"−","")&amp;TEXT(ABS((輸入與假設!D$36)),"#,##0")&amp;"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IF(ABS(D37)&gt;輸入與假設!$C$510,"觀點","")</f>
        <v>觀點</v>
      </c>
      <c r="D53" s="10" t="str">
        <f aca="false">IF(ABS(D37)&gt;輸入與假設!$C$510,"營收差距 "&amp;IF((D30)&lt;0,"−","+")&amp;TEXT(ABS((D30))*100,"#,##0.0")&amp;"%"&amp;"；EBITDA 率 "&amp;IF((D35)&lt;0,"−","")&amp;TEXT(ABS((D35))*100,"#,##0.0")&amp;"%"&amp;" 對共識 "&amp;IF((D36)&lt;0,"−","")&amp;TEXT(ABS((D36))*100,"#,##0.0")&amp;"%"&amp;"（各線 EBITDA 率＝分配營業利益率＋D&amp;A 按營收分攤，五期固定；AI 雲端以 Tokenomics 營運成本推得；共識 EBITDA 口徑未揭露是否扣 SBC）","")</f>
        <v>營收差距 +0.7%；EBITDA 率 59.9% 對共識 63.2%（各線 EBITDA 率＝分配營業利益率＋D&amp;A 按營收分攤，五期固定；AI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IF(ABS(D40)&gt;輸入與假設!$C$509,"觀點","")</f>
        <v/>
      </c>
      <c r="D54" s="10" t="str">
        <f aca="false">IF(ABS(D40)&gt;輸入與假設!$C$509,"CapEx：首期取 FY27 推估 204.2（公司口徑含融資租賃；共識推定現金口徑）；公司未給 FY28 以後指引 → 依新增 AI MW（"&amp;IF((輸入與假設!D$254)&lt;0,"−","")&amp;TEXT(ABS((輸入與假設!D$254)),"#,##0")&amp;" MW-IT 對外）÷ 對外比例 × 每 MW $"&amp;IF((輸入與假設!D$235)&lt;0,"−","")&amp;TEXT(ABS((輸入與假設!D$235)),"#,##0")&amp;"m＋非 AI 強度推導；基準情境 MW 速度由首期資本支出解出（對帳落差 0）","")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IF(ABS(D43)&gt;輸入與假設!$C$509,"觀點","")</f>
        <v>觀點</v>
      </c>
      <c r="D55" s="10" t="str">
        <f aca="false">IF(ABS(D43)&gt;輸入與假設!$C$509,"淨負債隨 CapEx、投資與融資瀑布而定（模型 CapEx 差距 "&amp;IF((D40)&lt;0,"−","+")&amp;TEXT(ABS((D40))*100,"#,##0.0")&amp;"%"&amp;"）；共識淨負債不含租賃","")</f>
        <v>淨負債隨 CapEx、投資與融資瀑布而定（模型 CapEx 差距 −0.3%）；共識淨負債不含租賃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IF(ABS(E30)&gt;輸入與假設!$C$509,"觀點","")</f>
        <v/>
      </c>
      <c r="D56" s="10" t="str">
        <f aca="false">IF(ABS(E30)&gt;輸入與假設!$C$509,"營收＝對外 AI 雲端（年底 "&amp;IF((輸入與假設!E$36)&lt;0,"−","")&amp;TEXT(ABS((輸入與假設!E$36)),"#,##0")&amp;"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IF(ABS(E37)&gt;輸入與假設!$C$510,"觀點","")</f>
        <v>觀點</v>
      </c>
      <c r="D57" s="10" t="str">
        <f aca="false">IF(ABS(E37)&gt;輸入與假設!$C$510,"營收差距 "&amp;IF((E30)&lt;0,"−","+")&amp;TEXT(ABS((E30))*100,"#,##0.0")&amp;"%"&amp;"；EBITDA 率 "&amp;IF((E35)&lt;0,"−","")&amp;TEXT(ABS((E35))*100,"#,##0.0")&amp;"%"&amp;" 對共識 "&amp;IF((E36)&lt;0,"−","")&amp;TEXT(ABS((E36))*100,"#,##0.0")&amp;"%"&amp;"（各線 EBITDA 率＝分配營業利益率＋D&amp;A 按營收分攤，五期固定；AI 雲端以 Tokenomics 營運成本推得；共識 EBITDA 口徑未揭露是否扣 SBC）","")</f>
        <v>營收差距 −4.2%；EBITDA 率 61.0% 對共識 65.4%（各線 EBITDA 率＝分配營業利益率＋D&amp;A 按營收分攤，五期固定；AI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IF(ABS(E40)&gt;輸入與假設!$C$509,"觀點","")</f>
        <v>觀點</v>
      </c>
      <c r="D58" s="10" t="str">
        <f aca="false">IF(ABS(E40)&gt;輸入與假設!$C$509,"CapEx：首期取 FY27 推估 204.2（公司口徑含融資租賃；共識推定現金口徑）；公司未給 FY28 以後指引 → 依新增 AI MW（"&amp;IF((輸入與假設!E$254)&lt;0,"−","")&amp;TEXT(ABS((輸入與假設!E$254)),"#,##0")&amp;" MW-IT 對外）÷ 對外比例 × 每 MW $"&amp;IF((輸入與假設!E$235)&lt;0,"−","")&amp;TEXT(ABS((輸入與假設!E$235)),"#,##0")&amp;"m＋非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MW（2,326 MW-IT 對外）÷ 對外比例 × 每 MW $45m＋非 AI 強度推導；基準情境 MW 速度由首期資本支出解出（對帳落差 0）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IF(ABS(E43)&gt;輸入與假設!$C$509,"觀點","")</f>
        <v>觀點</v>
      </c>
      <c r="D59" s="10" t="str">
        <f aca="false">IF(ABS(E43)&gt;輸入與假設!$C$509,"淨負債隨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−11.6%）；共識淨負債不含租賃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SUMPRODUCT(--(ABS(C30:E30)&gt;輸入與假設!$C$509))+SUMPRODUCT(--(ABS(C37:E37)&gt;輸入與假設!$C$510))+SUMPRODUCT(--(ABS(C40:E40)&gt;輸入與假設!$C$509))+SUMPRODUCT(--(ABS(C43:E43)&gt;輸入與假設!$C$509))</f>
        <v>8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8 項差距：觀點 8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(輸入與假設!$C$460*輸入與假設!$C$331+輸入與假設!$E$486)/輸入與假設!$E$479</f>
        <v>12.0260551313444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(輸入與假設!$C$330*輸入與假設!$C$331+輸入與假設!$E$486)/輸入與假設!$E$479</f>
        <v>10.8680522800009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MAX(輸入與假設!$C$396,輸入與假設!$C$397)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輸入與假設!E$205</f>
        <v>251.982672316025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$460*輸入與假設!$C$331+輸入與假設!$E$486-輸入與假設!E$205*輸入與假設!$C$392)/MAX(輸入與假設!$E$479-輸入與假設!E$205,0.01))&lt;0.05,0,(輸入與假設!$C$460*輸入與假設!$C$331+輸入與假設!$E$486-輸入與假設!E$205*輸入與假設!$C$392)/MAX(輸入與假設!$E$479-輸入與假設!E$205,0.01))</f>
        <v>13.0023364641234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$330*輸入與假設!$C$331+輸入與假設!$E$486-輸入與假設!E$205*輸入與假設!$C$392)/MAX(輸入與假設!$E$479-輸入與假設!E$205,0.01))&lt;0.05,0,(輸入與假設!$C$330*輸入與假設!$C$331+輸入與假設!$E$486-輸入與假設!E$205*輸入與假設!$C$392)/MAX(輸入與假設!$E$479-輸入與假設!E$205,0.01))</f>
        <v>9.42224850364637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$"&amp;TEXT(輸入與假設!$C$460,"0.00")&amp;" 隱含 FY29 EV/EBITDA "&amp;TEXT(C64,"0.0")&amp;"x（扣除非 AI 事業 "&amp;TEXT(輸入與假設!$C$392,"0.0")&amp;"x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$"&amp;TEXT(輸入與假設!$C$330,"0.00")&amp;" 隱含 "&amp;TEXT(C65,"0.0")&amp;"x（AI 雲端 "&amp;TEXT(C69,"0.0")&amp;"x）。"</f>
        <v>共識平均目標價 $587.63 隱含 FY29 EV/EBITDA 12.0x（扣除非 AI 事業 11.6x × 模型 EBITDA $252.0bn 後，AI 雲端 13.0x），AI 雲端 倍數高於模型方法區間上緣 6x；現價 $529.76 隱含 10.9x（AI 雲端 9.4x）。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13.0191</v>
      </c>
      <c r="D71" s="17" t="n">
        <f aca="false">評價_反向DCF!C18</f>
        <v>34.3118</v>
      </c>
      <c r="E71" s="13" t="n">
        <f aca="false">評價_反向DCF!D18</f>
        <v>1.6355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45.1743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0.79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13.0191</v>
      </c>
      <c r="D74" s="17" t="n">
        <f aca="false">評價_反向DCF!C21</f>
        <v>35.5259</v>
      </c>
      <c r="E74" s="13" t="n">
        <f aca="false">評價_反向DCF!D21</f>
        <v>1.7288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Q1 FY27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93.7487587854</v>
      </c>
      <c r="D78" s="10" t="n">
        <f aca="false">季度追蹤!D6</f>
        <v>90.685</v>
      </c>
      <c r="E78" s="10" t="n">
        <f aca="false">季度追蹤!F6</f>
        <v>89.85</v>
      </c>
      <c r="F78" s="10" t="n">
        <f aca="false">季度追蹤!G6</f>
        <v>90.95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INDEX(季度追蹤!$C$129:$H$129,輸入與假設!$C$515)</f>
        <v>營收：模型 $93.75bn｜共識 $90.69bn（+3.4%）｜指引 $89.85–90.95bn（中點 +3.7%，高於上緣）〔觀點〕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41.0086777893517</v>
      </c>
      <c r="D80" s="10" t="str">
        <f aca="false">季度追蹤!D9</f>
        <v>不適用</v>
      </c>
      <c r="E80" s="10" t="n">
        <f aca="false">季度追蹤!F9</f>
        <v>43.15</v>
      </c>
      <c r="F80" s="10" t="n">
        <f aca="false">季度追蹤!G9</f>
        <v>44.55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INDEX(季度追蹤!$C$132:$H$132,輸入與假設!$C$515)</f>
        <v>調整後營業利益：模型 $41.01bn｜指引 $43.15–44.55bn（中點 −$2.84bn／−4.8pt，低於下緣）〔觀點〕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51.0504326451763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INDEX(季度追蹤!$C$133:$H$133,輸入與假設!$C$515)</f>
        <v>CapEx（毛額）：模型 $51.05bn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輸入與假設!$C$471</f>
        <v>41</v>
      </c>
      <c r="D84" s="9" t="n">
        <f aca="false">輸入與假設!$C$472</f>
        <v>14</v>
      </c>
      <c r="E84" s="9" t="n">
        <f aca="false">輸入與假設!$C$473</f>
        <v>1</v>
      </c>
      <c r="F84" s="9" t="n">
        <f aca="false">輸入與假設!$C$474</f>
        <v>0</v>
      </c>
      <c r="G84" s="9" t="n">
        <f aca="false">輸入與假設!$C$475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輸入與假設!$C$460</f>
        <v>587.63</v>
      </c>
      <c r="D85" s="12" t="n">
        <f aca="false">輸入與假設!$C$461</f>
        <v>586</v>
      </c>
      <c r="E85" s="12" t="n">
        <f aca="false">輸入與假設!$C$462</f>
        <v>440</v>
      </c>
      <c r="F85" s="12" t="n">
        <f aca="false">輸入與假設!$C$463</f>
        <v>870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3250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4386</v>
      </c>
      <c r="D9" s="21" t="n">
        <v>4386</v>
      </c>
      <c r="E9" s="21" t="n">
        <v>4386</v>
      </c>
      <c r="F9" s="21" t="n">
        <v>4386</v>
      </c>
      <c r="G9" s="21" t="n">
        <v>4386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650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3900</v>
      </c>
      <c r="D11" s="22" t="n">
        <f aca="false">MIN(D9,C11+輸入與假設!$C$10*D$34)</f>
        <v>4386</v>
      </c>
      <c r="E11" s="22" t="n">
        <f aca="false">MIN(E9,D11+輸入與假設!$C$10*E$34)</f>
        <v>4386</v>
      </c>
      <c r="F11" s="22" t="n">
        <f aca="false">MIN(F9,E11+輸入與假設!$C$10*F$34)</f>
        <v>4386</v>
      </c>
      <c r="G11" s="22" t="n">
        <f aca="false">MIN(G9,F11+輸入與假設!$C$10*G$34)</f>
        <v>4386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2325.9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5575.9</v>
      </c>
      <c r="D14" s="22" t="n">
        <f aca="false">MIN(D12,C14+輸入與假設!$C$13*D$34)</f>
        <v>7901.8</v>
      </c>
      <c r="E14" s="22" t="n">
        <f aca="false">MIN(E12,D14+輸入與假設!$C$13*E$34)</f>
        <v>10227.7</v>
      </c>
      <c r="F14" s="22" t="n">
        <f aca="false">MIN(F12,E14+輸入與假設!$C$13*F$34)</f>
        <v>12553.6</v>
      </c>
      <c r="G14" s="22" t="n">
        <f aca="false">MIN(G12,F14+輸入與假設!$C$13*G$34)</f>
        <v>14879.5</v>
      </c>
      <c r="I14" s="21" t="n">
        <v>2325.9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2400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5650</v>
      </c>
      <c r="D17" s="22" t="n">
        <f aca="false">MIN(D15,C17+輸入與假設!$C$16*D$34)</f>
        <v>8050</v>
      </c>
      <c r="E17" s="22" t="n">
        <f aca="false">MIN(E15,D17+輸入與假設!$C$16*E$34)</f>
        <v>10450</v>
      </c>
      <c r="F17" s="22" t="n">
        <f aca="false">MIN(F15,E17+輸入與假設!$C$16*F$34)</f>
        <v>12850</v>
      </c>
      <c r="G17" s="22" t="n">
        <f aca="false">MIN(G15,F17+輸入與假設!$C$16*G$34)</f>
        <v>15250</v>
      </c>
      <c r="I17" s="21" t="n">
        <v>2400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329.1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16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0.9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3250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3250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1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0.3</v>
      </c>
      <c r="D35" s="23" t="n">
        <v>0.25</v>
      </c>
      <c r="E35" s="23" t="n">
        <v>0.2</v>
      </c>
      <c r="F35" s="23" t="n">
        <v>0.1</v>
      </c>
      <c r="G35" s="23" t="n">
        <v>0.05</v>
      </c>
      <c r="H35" s="29" t="n">
        <f aca="false">SUM(C35:G35)</f>
        <v>0.9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5575.9</v>
      </c>
      <c r="D36" s="22" t="n">
        <f aca="false">CHOOSE(輸入與假設!$C$5,D11,D14,D17)</f>
        <v>7901.8</v>
      </c>
      <c r="E36" s="22" t="n">
        <f aca="false">CHOOSE(輸入與假設!$C$5,E11,E14,E17)</f>
        <v>10227.7</v>
      </c>
      <c r="F36" s="22" t="n">
        <f aca="false">CHOOSE(輸入與假設!$C$5,F11,F14,F17)</f>
        <v>12553.6</v>
      </c>
      <c r="G36" s="22" t="n">
        <f aca="false">CHOOSE(輸入與假設!$C$5,G11,G14,G17)</f>
        <v>14879.5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5576</v>
      </c>
      <c r="D37" s="22" t="n">
        <f aca="false">ROUND(D36*D18,0)</f>
        <v>7902</v>
      </c>
      <c r="E37" s="22" t="n">
        <f aca="false">ROUND(E36*E18,0)</f>
        <v>10228</v>
      </c>
      <c r="F37" s="22" t="n">
        <f aca="false">ROUND(F36*F18,0)</f>
        <v>12554</v>
      </c>
      <c r="G37" s="22" t="n">
        <f aca="false">ROUND(G36*G18,0)</f>
        <v>14879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C102*輸入與假設!$C$66/1000</f>
        <v>0.0121802799923803</v>
      </c>
      <c r="D39" s="30" t="n">
        <f aca="false">D102*輸入與假設!$C$66/1000</f>
        <v>0.0125734162141244</v>
      </c>
      <c r="E39" s="30" t="n">
        <f aca="false">E102*輸入與假設!$C$66/1000</f>
        <v>0.012789541586114</v>
      </c>
      <c r="F39" s="30" t="n">
        <f aca="false">F102*輸入與假設!$C$66/1000</f>
        <v>0.0129255806079394</v>
      </c>
      <c r="G39" s="30" t="n">
        <f aca="false">G102*輸入與假設!$C$66/1000</f>
        <v>0.013019089550009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2.985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1</v>
      </c>
      <c r="D46" s="31" t="n">
        <v>1</v>
      </c>
      <c r="E46" s="31" t="n">
        <v>1</v>
      </c>
      <c r="F46" s="31" t="n">
        <v>1</v>
      </c>
      <c r="G46" s="31" t="n">
        <v>1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231</v>
      </c>
      <c r="C47" s="24" t="n">
        <v>3.022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6" t="s">
        <v>184</v>
      </c>
      <c r="C48" s="31" t="n">
        <v>1</v>
      </c>
      <c r="D48" s="31" t="n">
        <v>1</v>
      </c>
      <c r="E48" s="31" t="n">
        <v>1</v>
      </c>
      <c r="F48" s="31" t="n">
        <v>1</v>
      </c>
      <c r="G48" s="31" t="n">
        <v>1</v>
      </c>
      <c r="I48" s="6" t="s">
        <v>234</v>
      </c>
    </row>
    <row r="49" customFormat="false" ht="15" hidden="false" customHeight="false" outlineLevel="1" collapsed="false">
      <c r="A49" s="3" t="s">
        <v>238</v>
      </c>
      <c r="B49" s="11" t="s">
        <v>231</v>
      </c>
      <c r="C49" s="24" t="n">
        <v>1.685</v>
      </c>
      <c r="I49" s="6" t="s">
        <v>239</v>
      </c>
    </row>
    <row r="50" customFormat="false" ht="15" hidden="false" customHeight="false" outlineLevel="1" collapsed="false">
      <c r="A50" s="3" t="s">
        <v>240</v>
      </c>
      <c r="B50" s="6" t="s">
        <v>184</v>
      </c>
      <c r="C50" s="31" t="n">
        <v>1</v>
      </c>
      <c r="D50" s="31" t="n">
        <v>1</v>
      </c>
      <c r="E50" s="31" t="n">
        <v>1</v>
      </c>
      <c r="F50" s="31" t="n">
        <v>1</v>
      </c>
      <c r="G50" s="31" t="n">
        <v>1</v>
      </c>
      <c r="I50" s="6" t="s">
        <v>234</v>
      </c>
    </row>
    <row r="51" customFormat="false" ht="15" hidden="false" customHeight="false" outlineLevel="1" collapsed="false">
      <c r="A51" s="3" t="s">
        <v>241</v>
      </c>
      <c r="B51" s="11" t="s">
        <v>231</v>
      </c>
      <c r="C51" s="24" t="n">
        <v>3.994</v>
      </c>
      <c r="I51" s="6" t="s">
        <v>242</v>
      </c>
    </row>
    <row r="52" customFormat="false" ht="15" hidden="false" customHeight="false" outlineLevel="1" collapsed="false">
      <c r="A52" s="3" t="s">
        <v>243</v>
      </c>
      <c r="B52" s="6" t="s">
        <v>184</v>
      </c>
      <c r="C52" s="31" t="n">
        <v>0.75</v>
      </c>
      <c r="D52" s="31" t="n">
        <v>1</v>
      </c>
      <c r="E52" s="31" t="n">
        <v>1</v>
      </c>
      <c r="F52" s="31" t="n">
        <v>1</v>
      </c>
      <c r="G52" s="31" t="n">
        <v>1</v>
      </c>
      <c r="I52" s="6" t="s">
        <v>234</v>
      </c>
    </row>
    <row r="53" customFormat="false" ht="15" hidden="false" customHeight="false" outlineLevel="1" collapsed="false">
      <c r="A53" s="3" t="s">
        <v>244</v>
      </c>
      <c r="B53" s="11" t="s">
        <v>231</v>
      </c>
      <c r="C53" s="24" t="n">
        <v>0.434</v>
      </c>
      <c r="I53" s="6" t="s">
        <v>245</v>
      </c>
    </row>
    <row r="54" customFormat="false" ht="15" hidden="false" customHeight="false" outlineLevel="1" collapsed="false">
      <c r="A54" s="3" t="s">
        <v>246</v>
      </c>
      <c r="B54" s="6" t="s">
        <v>184</v>
      </c>
      <c r="C54" s="31" t="n">
        <v>1</v>
      </c>
      <c r="D54" s="31" t="n">
        <v>1</v>
      </c>
      <c r="E54" s="31" t="n">
        <v>1</v>
      </c>
      <c r="F54" s="31" t="n">
        <v>1</v>
      </c>
      <c r="G54" s="31" t="n">
        <v>1</v>
      </c>
      <c r="I54" s="6" t="s">
        <v>234</v>
      </c>
    </row>
    <row r="55" customFormat="false" ht="15" hidden="false" customHeight="false" outlineLevel="1" collapsed="false">
      <c r="A55" s="3" t="s">
        <v>247</v>
      </c>
      <c r="B55" s="11" t="s">
        <v>65</v>
      </c>
      <c r="C55" s="32" t="n">
        <f aca="false">輸入與假設!$C$45*C46+輸入與假設!$C$47*C48+輸入與假設!$C$49*C50+輸入與假設!$C$51*C52+輸入與假設!$C$53*C54</f>
        <v>11.1215</v>
      </c>
      <c r="D55" s="32" t="n">
        <f aca="false">輸入與假設!$C$45*D46+輸入與假設!$C$47*D48+輸入與假設!$C$49*D50+輸入與假設!$C$51*D52+輸入與假設!$C$53*D54</f>
        <v>12.12</v>
      </c>
      <c r="E55" s="32" t="n">
        <f aca="false">輸入與假設!$C$45*E46+輸入與假設!$C$47*E48+輸入與假設!$C$49*E50+輸入與假設!$C$51*E52+輸入與假設!$C$53*E54</f>
        <v>12.12</v>
      </c>
      <c r="F55" s="32" t="n">
        <f aca="false">輸入與假設!$C$45*F46+輸入與假設!$C$47*F48+輸入與假設!$C$49*F50+輸入與假設!$C$51*F52+輸入與假設!$C$53*F54</f>
        <v>12.12</v>
      </c>
      <c r="G55" s="32" t="n">
        <f aca="false">輸入與假設!$C$45*G46+輸入與假設!$C$47*G48+輸入與假設!$C$49*G50+輸入與假設!$C$51*G52+輸入與假設!$C$53*G54</f>
        <v>12.12</v>
      </c>
      <c r="I55" s="6" t="s">
        <v>248</v>
      </c>
    </row>
    <row r="56" customFormat="false" ht="15" hidden="false" customHeight="false" outlineLevel="1" collapsed="false">
      <c r="A56" s="3" t="s">
        <v>249</v>
      </c>
      <c r="B56" s="11" t="s">
        <v>65</v>
      </c>
      <c r="C56" s="32" t="n">
        <f aca="false">C44-C55</f>
        <v>-11.1215</v>
      </c>
      <c r="D56" s="32" t="n">
        <f aca="false">D44-D55</f>
        <v>-12.12</v>
      </c>
      <c r="E56" s="32" t="n">
        <f aca="false">E44-E55</f>
        <v>-12.12</v>
      </c>
      <c r="F56" s="32" t="n">
        <f aca="false">F44-F55</f>
        <v>-12.12</v>
      </c>
      <c r="G56" s="32" t="n">
        <f aca="false">G44-G55</f>
        <v>-12.12</v>
      </c>
      <c r="I56" s="6" t="s">
        <v>250</v>
      </c>
    </row>
    <row r="57" customFormat="false" ht="15" hidden="false" customHeight="false" outlineLevel="1" collapsed="false">
      <c r="A57" s="3" t="s">
        <v>251</v>
      </c>
      <c r="B57" s="11" t="s">
        <v>42</v>
      </c>
      <c r="C57" s="33" t="n">
        <v>0.037383</v>
      </c>
      <c r="I57" s="6" t="s">
        <v>252</v>
      </c>
    </row>
    <row r="58" customFormat="false" ht="15" hidden="false" customHeight="false" outlineLevel="1" collapsed="false">
      <c r="A58" s="4" t="s">
        <v>253</v>
      </c>
      <c r="B58" s="11" t="s">
        <v>65</v>
      </c>
      <c r="C58" s="24" t="n">
        <v>-4.895</v>
      </c>
      <c r="I58" s="6" t="s">
        <v>254</v>
      </c>
    </row>
    <row r="59" customFormat="false" ht="15" hidden="false" customHeight="false" outlineLevel="1" collapsed="false">
      <c r="A59" s="34" t="s">
        <v>255</v>
      </c>
      <c r="B59" s="20"/>
      <c r="C59" s="20"/>
      <c r="D59" s="20"/>
      <c r="E59" s="20"/>
      <c r="F59" s="20"/>
      <c r="G59" s="20"/>
      <c r="H59" s="20"/>
    </row>
    <row r="60" customFormat="false" ht="15" hidden="false" customHeight="false" outlineLevel="2" collapsed="false">
      <c r="A60" s="2" t="s">
        <v>256</v>
      </c>
      <c r="C60" s="18" t="n">
        <v>2</v>
      </c>
      <c r="D60" s="2" t="str">
        <f aca="false">CHOOSE(C60,"低 長約下緣","基準 C1 混合","高 現貨改用 Azure 牌價")</f>
        <v>基準 C1 混合</v>
      </c>
      <c r="I60" s="6" t="s">
        <v>257</v>
      </c>
    </row>
    <row r="61" customFormat="false" ht="17.15" hidden="false" customHeight="false" outlineLevel="2" collapsed="false">
      <c r="A61" s="15" t="s">
        <v>258</v>
      </c>
      <c r="B61" s="14" t="s">
        <v>60</v>
      </c>
      <c r="C61" s="14" t="s">
        <v>259</v>
      </c>
      <c r="D61" s="14" t="s">
        <v>260</v>
      </c>
      <c r="E61" s="14" t="s">
        <v>261</v>
      </c>
    </row>
    <row r="62" customFormat="false" ht="15" hidden="false" customHeight="false" outlineLevel="2" collapsed="false">
      <c r="A62" s="4" t="s">
        <v>262</v>
      </c>
      <c r="B62" s="6" t="s">
        <v>263</v>
      </c>
      <c r="C62" s="35" t="n">
        <v>0.45</v>
      </c>
      <c r="D62" s="35" t="n">
        <v>0.76</v>
      </c>
      <c r="E62" s="35" t="n">
        <v>0.76</v>
      </c>
      <c r="I62" s="6" t="s">
        <v>264</v>
      </c>
    </row>
    <row r="63" customFormat="false" ht="15" hidden="false" customHeight="false" outlineLevel="2" collapsed="false">
      <c r="A63" s="4" t="s">
        <v>265</v>
      </c>
      <c r="B63" s="6" t="s">
        <v>263</v>
      </c>
      <c r="C63" s="35" t="n">
        <v>1.76</v>
      </c>
      <c r="D63" s="35" t="n">
        <v>1.76</v>
      </c>
      <c r="E63" s="35" t="n">
        <v>7.66</v>
      </c>
      <c r="I63" s="6" t="s">
        <v>266</v>
      </c>
    </row>
    <row r="64" customFormat="false" ht="15" hidden="false" customHeight="false" outlineLevel="2" collapsed="false">
      <c r="A64" s="3" t="s">
        <v>267</v>
      </c>
      <c r="B64" s="11" t="s">
        <v>42</v>
      </c>
      <c r="C64" s="23" t="n">
        <v>0.7</v>
      </c>
      <c r="D64" s="23" t="n">
        <v>0.7</v>
      </c>
      <c r="E64" s="23" t="n">
        <v>0.7</v>
      </c>
      <c r="I64" s="6" t="s">
        <v>268</v>
      </c>
    </row>
    <row r="65" customFormat="false" ht="15" hidden="false" customHeight="false" outlineLevel="2" collapsed="false">
      <c r="A65" s="3" t="s">
        <v>269</v>
      </c>
      <c r="B65" s="6" t="s">
        <v>263</v>
      </c>
      <c r="C65" s="31" t="n">
        <f aca="false">C64*C62+(1-C64)*C63</f>
        <v>0.843</v>
      </c>
      <c r="D65" s="31" t="n">
        <f aca="false">D64*D62+(1-D64)*D63</f>
        <v>1.06</v>
      </c>
      <c r="E65" s="31" t="n">
        <f aca="false">E64*E62+(1-E64)*E63</f>
        <v>2.83</v>
      </c>
      <c r="I65" s="6" t="s">
        <v>270</v>
      </c>
    </row>
    <row r="66" customFormat="false" ht="15" hidden="false" customHeight="false" outlineLevel="2" collapsed="false">
      <c r="A66" s="3" t="s">
        <v>271</v>
      </c>
      <c r="B66" s="6" t="s">
        <v>263</v>
      </c>
      <c r="C66" s="36" t="n">
        <f aca="false">CHOOSE(輸入與假設!$C$60,C65,D65,E65)</f>
        <v>1.06</v>
      </c>
      <c r="I66" s="6" t="s">
        <v>272</v>
      </c>
    </row>
    <row r="67" customFormat="false" ht="15" hidden="false" customHeight="false" outlineLevel="2" collapsed="false">
      <c r="A67" s="3" t="s">
        <v>273</v>
      </c>
      <c r="B67" s="6" t="s">
        <v>263</v>
      </c>
      <c r="C67" s="37" t="n">
        <v>1</v>
      </c>
      <c r="I67" s="6" t="s">
        <v>274</v>
      </c>
    </row>
    <row r="68" customFormat="false" ht="15" hidden="false" customHeight="false" outlineLevel="2" collapsed="false">
      <c r="A68" s="3" t="s">
        <v>275</v>
      </c>
      <c r="B68" s="6" t="s">
        <v>263</v>
      </c>
      <c r="C68" s="37" t="n">
        <v>1</v>
      </c>
      <c r="I68" s="6" t="s">
        <v>276</v>
      </c>
    </row>
    <row r="69" customFormat="false" ht="15" hidden="false" customHeight="false" outlineLevel="2" collapsed="false">
      <c r="A69" s="3" t="s">
        <v>277</v>
      </c>
      <c r="B69" s="11" t="s">
        <v>42</v>
      </c>
      <c r="C69" s="23" t="n">
        <v>0.5</v>
      </c>
      <c r="I69" s="6" t="s">
        <v>278</v>
      </c>
    </row>
    <row r="70" customFormat="false" ht="15" hidden="false" customHeight="false" outlineLevel="2" collapsed="false">
      <c r="A70" s="14" t="s">
        <v>59</v>
      </c>
      <c r="B70" s="14" t="s">
        <v>60</v>
      </c>
      <c r="C70" s="28" t="s">
        <v>61</v>
      </c>
      <c r="D70" s="28" t="s">
        <v>62</v>
      </c>
      <c r="E70" s="28" t="s">
        <v>63</v>
      </c>
      <c r="F70" s="28" t="s">
        <v>153</v>
      </c>
      <c r="G70" s="28" t="s">
        <v>154</v>
      </c>
      <c r="I70" s="14" t="s">
        <v>206</v>
      </c>
    </row>
    <row r="71" customFormat="false" ht="15" hidden="false" customHeight="false" outlineLevel="2" collapsed="false">
      <c r="A71" s="3" t="s">
        <v>279</v>
      </c>
      <c r="B71" s="11" t="s">
        <v>280</v>
      </c>
      <c r="C71" s="31" t="n">
        <f aca="false">TK_HoldEcon_H100</f>
        <v>10.0957952959174</v>
      </c>
      <c r="I71" s="11" t="s">
        <v>281</v>
      </c>
    </row>
    <row r="72" customFormat="false" ht="15" hidden="false" customHeight="false" outlineLevel="2" collapsed="false">
      <c r="A72" s="3" t="s">
        <v>282</v>
      </c>
      <c r="B72" s="11" t="s">
        <v>280</v>
      </c>
      <c r="C72" s="31" t="n">
        <f aca="false">TK_OpexGW_H100</f>
        <v>2.27737549</v>
      </c>
      <c r="I72" s="11" t="s">
        <v>283</v>
      </c>
    </row>
    <row r="73" customFormat="false" ht="15" hidden="false" customHeight="false" outlineLevel="2" collapsed="false">
      <c r="A73" s="3" t="s">
        <v>284</v>
      </c>
      <c r="B73" s="11" t="s">
        <v>280</v>
      </c>
      <c r="C73" s="31" t="n">
        <f aca="false">TK_RevGWFleet_H100</f>
        <v>4.00488774987164</v>
      </c>
      <c r="I73" s="11" t="s">
        <v>285</v>
      </c>
    </row>
    <row r="74" customFormat="false" ht="15" hidden="false" customHeight="false" outlineLevel="2" collapsed="false">
      <c r="A74" s="3" t="s">
        <v>286</v>
      </c>
      <c r="B74" s="11" t="s">
        <v>42</v>
      </c>
      <c r="C74" s="23" t="n">
        <v>0.2</v>
      </c>
      <c r="I74" s="6" t="s">
        <v>287</v>
      </c>
    </row>
    <row r="75" customFormat="false" ht="15" hidden="false" customHeight="false" outlineLevel="2" collapsed="false">
      <c r="A75" s="3" t="s">
        <v>288</v>
      </c>
      <c r="B75" s="11" t="s">
        <v>42</v>
      </c>
      <c r="C75" s="23" t="n">
        <v>0</v>
      </c>
      <c r="D75" s="23" t="n">
        <v>0</v>
      </c>
      <c r="E75" s="23" t="n">
        <v>0</v>
      </c>
      <c r="F75" s="23" t="n">
        <v>0</v>
      </c>
      <c r="G75" s="23" t="n">
        <v>0</v>
      </c>
      <c r="I75" s="6" t="s">
        <v>289</v>
      </c>
    </row>
    <row r="76" customFormat="false" ht="15" hidden="false" customHeight="false" outlineLevel="2" collapsed="false">
      <c r="A76" s="3" t="s">
        <v>290</v>
      </c>
      <c r="B76" s="11" t="s">
        <v>157</v>
      </c>
      <c r="C76" s="22" t="n">
        <f aca="false">輸入與假設!$C$74*輸入與假設!$C$29+MAX(0,C36-輸入與假設!$C$29)*C75</f>
        <v>650</v>
      </c>
      <c r="D76" s="22" t="n">
        <f aca="false">C76+MAX(0,D36-C36)*D75</f>
        <v>650</v>
      </c>
      <c r="E76" s="22" t="n">
        <f aca="false">D76+MAX(0,E36-D36)*E75</f>
        <v>650</v>
      </c>
      <c r="F76" s="22" t="n">
        <f aca="false">E76+MAX(0,F36-E36)*F75</f>
        <v>650</v>
      </c>
      <c r="G76" s="22" t="n">
        <f aca="false">F76+MAX(0,G36-F36)*G75</f>
        <v>650</v>
      </c>
      <c r="I76" s="6" t="s">
        <v>291</v>
      </c>
    </row>
    <row r="77" customFormat="false" ht="15" hidden="false" customHeight="false" outlineLevel="2" collapsed="false">
      <c r="A77" s="3" t="s">
        <v>292</v>
      </c>
      <c r="B77" s="11" t="s">
        <v>280</v>
      </c>
      <c r="C77" s="31" t="n">
        <f aca="false">TK_HoldEcon_GB200</f>
        <v>9.17098191725462</v>
      </c>
      <c r="I77" s="11" t="s">
        <v>293</v>
      </c>
    </row>
    <row r="78" customFormat="false" ht="15" hidden="false" customHeight="false" outlineLevel="2" collapsed="false">
      <c r="A78" s="3" t="s">
        <v>294</v>
      </c>
      <c r="B78" s="11" t="s">
        <v>280</v>
      </c>
      <c r="C78" s="31" t="n">
        <f aca="false">TK_OpexGW_GB200</f>
        <v>2.15504909</v>
      </c>
      <c r="I78" s="11" t="s">
        <v>295</v>
      </c>
    </row>
    <row r="79" customFormat="false" ht="15" hidden="false" customHeight="false" outlineLevel="2" collapsed="false">
      <c r="A79" s="3" t="s">
        <v>296</v>
      </c>
      <c r="B79" s="11" t="s">
        <v>280</v>
      </c>
      <c r="C79" s="31" t="n">
        <f aca="false">TK_RevGWFleet_GB200</f>
        <v>20.1746158611128</v>
      </c>
      <c r="I79" s="11" t="s">
        <v>297</v>
      </c>
    </row>
    <row r="80" customFormat="false" ht="15" hidden="false" customHeight="false" outlineLevel="2" collapsed="false">
      <c r="A80" s="3" t="s">
        <v>298</v>
      </c>
      <c r="B80" s="11" t="s">
        <v>42</v>
      </c>
      <c r="C80" s="23" t="n">
        <v>0.45</v>
      </c>
      <c r="I80" s="6" t="s">
        <v>299</v>
      </c>
    </row>
    <row r="81" customFormat="false" ht="15" hidden="false" customHeight="false" outlineLevel="2" collapsed="false">
      <c r="A81" s="3" t="s">
        <v>300</v>
      </c>
      <c r="B81" s="11" t="s">
        <v>42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6" t="s">
        <v>289</v>
      </c>
    </row>
    <row r="82" customFormat="false" ht="15" hidden="false" customHeight="false" outlineLevel="2" collapsed="false">
      <c r="A82" s="3" t="s">
        <v>301</v>
      </c>
      <c r="B82" s="11" t="s">
        <v>157</v>
      </c>
      <c r="C82" s="22" t="n">
        <f aca="false">輸入與假設!$C$80*輸入與假設!$C$29+MAX(0,C36-輸入與假設!$C$29)*C81</f>
        <v>1462.5</v>
      </c>
      <c r="D82" s="22" t="n">
        <f aca="false">C82+MAX(0,D36-C36)*D81</f>
        <v>1462.5</v>
      </c>
      <c r="E82" s="22" t="n">
        <f aca="false">D82+MAX(0,E36-D36)*E81</f>
        <v>1462.5</v>
      </c>
      <c r="F82" s="22" t="n">
        <f aca="false">E82+MAX(0,F36-E36)*F81</f>
        <v>1462.5</v>
      </c>
      <c r="G82" s="22" t="n">
        <f aca="false">F82+MAX(0,G36-F36)*G81</f>
        <v>1462.5</v>
      </c>
      <c r="I82" s="6" t="s">
        <v>291</v>
      </c>
    </row>
    <row r="83" customFormat="false" ht="15" hidden="false" customHeight="false" outlineLevel="2" collapsed="false">
      <c r="A83" s="3" t="s">
        <v>302</v>
      </c>
      <c r="B83" s="11" t="s">
        <v>280</v>
      </c>
      <c r="C83" s="31" t="n">
        <f aca="false">TK_HoldEcon_GB300</f>
        <v>12.7247463559608</v>
      </c>
      <c r="I83" s="11" t="s">
        <v>303</v>
      </c>
    </row>
    <row r="84" customFormat="false" ht="15" hidden="false" customHeight="false" outlineLevel="2" collapsed="false">
      <c r="A84" s="3" t="s">
        <v>304</v>
      </c>
      <c r="B84" s="11" t="s">
        <v>280</v>
      </c>
      <c r="C84" s="31" t="n">
        <f aca="false">TK_OpexGW_GB300</f>
        <v>2.62511064</v>
      </c>
      <c r="I84" s="11" t="s">
        <v>305</v>
      </c>
    </row>
    <row r="85" customFormat="false" ht="15" hidden="false" customHeight="false" outlineLevel="2" collapsed="false">
      <c r="A85" s="3" t="s">
        <v>306</v>
      </c>
      <c r="B85" s="11" t="s">
        <v>280</v>
      </c>
      <c r="C85" s="31" t="n">
        <f aca="false">TK_RevGWFleet_GB300</f>
        <v>26.2652356996766</v>
      </c>
      <c r="I85" s="11" t="s">
        <v>307</v>
      </c>
    </row>
    <row r="86" customFormat="false" ht="15" hidden="false" customHeight="false" outlineLevel="2" collapsed="false">
      <c r="A86" s="3" t="s">
        <v>308</v>
      </c>
      <c r="B86" s="11" t="s">
        <v>42</v>
      </c>
      <c r="C86" s="23" t="n">
        <v>0.35</v>
      </c>
      <c r="I86" s="6" t="s">
        <v>299</v>
      </c>
    </row>
    <row r="87" customFormat="false" ht="15" hidden="false" customHeight="false" outlineLevel="2" collapsed="false">
      <c r="A87" s="3" t="s">
        <v>309</v>
      </c>
      <c r="B87" s="11" t="s">
        <v>42</v>
      </c>
      <c r="C87" s="23" t="n">
        <v>0.6</v>
      </c>
      <c r="D87" s="23" t="n">
        <v>0.2</v>
      </c>
      <c r="E87" s="23" t="n">
        <v>0</v>
      </c>
      <c r="F87" s="23" t="n">
        <v>0</v>
      </c>
      <c r="G87" s="23" t="n">
        <v>0</v>
      </c>
      <c r="I87" s="6" t="s">
        <v>289</v>
      </c>
    </row>
    <row r="88" customFormat="false" ht="15" hidden="false" customHeight="false" outlineLevel="2" collapsed="false">
      <c r="A88" s="3" t="s">
        <v>310</v>
      </c>
      <c r="B88" s="11" t="s">
        <v>157</v>
      </c>
      <c r="C88" s="22" t="n">
        <f aca="false">輸入與假設!$C$86*輸入與假設!$C$29+MAX(0,C36-輸入與假設!$C$29)*C87</f>
        <v>2533.04</v>
      </c>
      <c r="D88" s="22" t="n">
        <f aca="false">C88+MAX(0,D36-C36)*D87</f>
        <v>2998.22</v>
      </c>
      <c r="E88" s="22" t="n">
        <f aca="false">D88+MAX(0,E36-D36)*E87</f>
        <v>2998.22</v>
      </c>
      <c r="F88" s="22" t="n">
        <f aca="false">E88+MAX(0,F36-E36)*F87</f>
        <v>2998.22</v>
      </c>
      <c r="G88" s="22" t="n">
        <f aca="false">F88+MAX(0,G36-F36)*G87</f>
        <v>2998.22</v>
      </c>
      <c r="I88" s="6" t="s">
        <v>291</v>
      </c>
    </row>
    <row r="89" customFormat="false" ht="15" hidden="false" customHeight="false" outlineLevel="2" collapsed="false">
      <c r="A89" s="3" t="s">
        <v>311</v>
      </c>
      <c r="B89" s="11" t="s">
        <v>280</v>
      </c>
      <c r="C89" s="31" t="n">
        <f aca="false">TK_HoldEcon_GB300*輸入與假設!$C$67</f>
        <v>12.7247463559608</v>
      </c>
      <c r="I89" s="11" t="s">
        <v>312</v>
      </c>
    </row>
    <row r="90" customFormat="false" ht="15" hidden="false" customHeight="false" outlineLevel="2" collapsed="false">
      <c r="A90" s="3" t="s">
        <v>313</v>
      </c>
      <c r="B90" s="11" t="s">
        <v>280</v>
      </c>
      <c r="C90" s="31" t="n">
        <f aca="false">TK_OpexGW_GB300</f>
        <v>2.62511064</v>
      </c>
      <c r="I90" s="11" t="s">
        <v>305</v>
      </c>
    </row>
    <row r="91" customFormat="false" ht="15" hidden="false" customHeight="false" outlineLevel="2" collapsed="false">
      <c r="A91" s="3" t="s">
        <v>314</v>
      </c>
      <c r="B91" s="11" t="s">
        <v>280</v>
      </c>
      <c r="C91" s="31" t="n">
        <f aca="false">TK_RevGWFleet_GB300</f>
        <v>26.2652356996766</v>
      </c>
      <c r="I91" s="11" t="s">
        <v>307</v>
      </c>
    </row>
    <row r="92" customFormat="false" ht="15" hidden="false" customHeight="false" outlineLevel="2" collapsed="false">
      <c r="A92" s="3" t="s">
        <v>315</v>
      </c>
      <c r="B92" s="11" t="s">
        <v>42</v>
      </c>
      <c r="C92" s="23" t="n">
        <v>0</v>
      </c>
      <c r="I92" s="6" t="s">
        <v>299</v>
      </c>
    </row>
    <row r="93" customFormat="false" ht="15" hidden="false" customHeight="false" outlineLevel="2" collapsed="false">
      <c r="A93" s="3" t="s">
        <v>316</v>
      </c>
      <c r="B93" s="11" t="s">
        <v>42</v>
      </c>
      <c r="C93" s="23" t="n">
        <v>0.1</v>
      </c>
      <c r="D93" s="23" t="n">
        <v>0.1</v>
      </c>
      <c r="E93" s="23" t="n">
        <v>0.1</v>
      </c>
      <c r="F93" s="23" t="n">
        <v>0.1</v>
      </c>
      <c r="G93" s="23" t="n">
        <v>0.1</v>
      </c>
      <c r="I93" s="6" t="s">
        <v>289</v>
      </c>
    </row>
    <row r="94" customFormat="false" ht="15" hidden="false" customHeight="false" outlineLevel="2" collapsed="false">
      <c r="A94" s="3" t="s">
        <v>317</v>
      </c>
      <c r="B94" s="11" t="s">
        <v>157</v>
      </c>
      <c r="C94" s="22" t="n">
        <f aca="false">輸入與假設!$C$92*輸入與假設!$C$29+MAX(0,C36-輸入與假設!$C$29)*C93</f>
        <v>232.59</v>
      </c>
      <c r="D94" s="22" t="n">
        <f aca="false">C94+MAX(0,D36-C36)*D93</f>
        <v>465.18</v>
      </c>
      <c r="E94" s="22" t="n">
        <f aca="false">D94+MAX(0,E36-D36)*E93</f>
        <v>697.77</v>
      </c>
      <c r="F94" s="22" t="n">
        <f aca="false">E94+MAX(0,F36-E36)*F93</f>
        <v>930.36</v>
      </c>
      <c r="G94" s="22" t="n">
        <f aca="false">F94+MAX(0,G36-F36)*G93</f>
        <v>1162.95</v>
      </c>
      <c r="I94" s="6" t="s">
        <v>291</v>
      </c>
    </row>
    <row r="95" customFormat="false" ht="15" hidden="false" customHeight="false" outlineLevel="2" collapsed="false">
      <c r="A95" s="3" t="s">
        <v>318</v>
      </c>
      <c r="B95" s="11" t="s">
        <v>280</v>
      </c>
      <c r="C95" s="31" t="n">
        <f aca="false">TK_HoldEcon_VR200</f>
        <v>12.7620157762701</v>
      </c>
      <c r="I95" s="11" t="s">
        <v>319</v>
      </c>
    </row>
    <row r="96" customFormat="false" ht="15" hidden="false" customHeight="false" outlineLevel="2" collapsed="false">
      <c r="A96" s="3" t="s">
        <v>320</v>
      </c>
      <c r="B96" s="11" t="s">
        <v>280</v>
      </c>
      <c r="C96" s="31" t="n">
        <f aca="false">TK_OpexGW_VR200</f>
        <v>2.63004032</v>
      </c>
      <c r="I96" s="11" t="s">
        <v>321</v>
      </c>
    </row>
    <row r="97" customFormat="false" ht="15" hidden="false" customHeight="false" outlineLevel="2" collapsed="false">
      <c r="A97" s="3" t="s">
        <v>322</v>
      </c>
      <c r="B97" s="11" t="s">
        <v>280</v>
      </c>
      <c r="C97" s="31" t="n">
        <f aca="false">TK_RevGWFleet_VR200</f>
        <v>48.7237019639935</v>
      </c>
      <c r="I97" s="11" t="s">
        <v>323</v>
      </c>
    </row>
    <row r="98" customFormat="false" ht="15" hidden="false" customHeight="false" outlineLevel="2" collapsed="false">
      <c r="A98" s="3" t="s">
        <v>324</v>
      </c>
      <c r="B98" s="11" t="s">
        <v>42</v>
      </c>
      <c r="C98" s="23" t="n">
        <v>0</v>
      </c>
      <c r="I98" s="6" t="s">
        <v>299</v>
      </c>
    </row>
    <row r="99" customFormat="false" ht="15" hidden="false" customHeight="false" outlineLevel="2" collapsed="false">
      <c r="A99" s="3" t="s">
        <v>325</v>
      </c>
      <c r="B99" s="11" t="s">
        <v>42</v>
      </c>
      <c r="C99" s="23" t="n">
        <v>0.3</v>
      </c>
      <c r="D99" s="23" t="n">
        <v>0.7</v>
      </c>
      <c r="E99" s="23" t="n">
        <v>0.9</v>
      </c>
      <c r="F99" s="23" t="n">
        <v>0.9</v>
      </c>
      <c r="G99" s="23" t="n">
        <v>0.9</v>
      </c>
      <c r="I99" s="6" t="s">
        <v>289</v>
      </c>
    </row>
    <row r="100" customFormat="false" ht="15" hidden="false" customHeight="false" outlineLevel="2" collapsed="false">
      <c r="A100" s="3" t="s">
        <v>326</v>
      </c>
      <c r="B100" s="11" t="s">
        <v>157</v>
      </c>
      <c r="C100" s="22" t="n">
        <f aca="false">輸入與假設!$C$98*輸入與假設!$C$29+MAX(0,C36-輸入與假設!$C$29)*C99</f>
        <v>697.77</v>
      </c>
      <c r="D100" s="22" t="n">
        <f aca="false">C100+MAX(0,D36-C36)*D99</f>
        <v>2325.9</v>
      </c>
      <c r="E100" s="22" t="n">
        <f aca="false">D100+MAX(0,E36-D36)*E99</f>
        <v>4419.21</v>
      </c>
      <c r="F100" s="22" t="n">
        <f aca="false">E100+MAX(0,F36-E36)*F99</f>
        <v>6512.52</v>
      </c>
      <c r="G100" s="22" t="n">
        <f aca="false">F100+MAX(0,G36-F36)*G99</f>
        <v>8605.83</v>
      </c>
      <c r="I100" s="6" t="s">
        <v>291</v>
      </c>
    </row>
    <row r="101" customFormat="false" ht="15" hidden="false" customHeight="false" outlineLevel="2" collapsed="false">
      <c r="A101" s="3" t="s">
        <v>327</v>
      </c>
      <c r="B101" s="11" t="s">
        <v>157</v>
      </c>
      <c r="C101" s="22" t="n">
        <f aca="false">C76+C82+C88+C94+C100</f>
        <v>5575.9</v>
      </c>
      <c r="D101" s="22" t="n">
        <f aca="false">D76+D82+D88+D94+D100</f>
        <v>7901.8</v>
      </c>
      <c r="E101" s="22" t="n">
        <f aca="false">E76+E82+E88+E94+E100</f>
        <v>10227.7</v>
      </c>
      <c r="F101" s="22" t="n">
        <f aca="false">F76+F82+F88+F94+F100</f>
        <v>12553.6</v>
      </c>
      <c r="G101" s="22" t="n">
        <f aca="false">G76+G82+G88+G94+G100</f>
        <v>14879.5</v>
      </c>
      <c r="I101" s="6" t="s">
        <v>328</v>
      </c>
    </row>
    <row r="102" customFormat="false" ht="15" hidden="false" customHeight="false" outlineLevel="2" collapsed="false">
      <c r="A102" s="3" t="s">
        <v>329</v>
      </c>
      <c r="B102" s="11" t="s">
        <v>280</v>
      </c>
      <c r="C102" s="31" t="n">
        <f aca="false">(C76*輸入與假設!$C$71+C82*輸入與假設!$C$77+C88*輸入與假設!$C$83+C94*輸入與假設!$C$89+C100*輸入與假設!$C$95)/MAX(0.000000001,C101)</f>
        <v>11.4908301814909</v>
      </c>
      <c r="D102" s="31" t="n">
        <f aca="false">(D76*輸入與假設!$C$71+D82*輸入與假設!$C$77+D88*輸入與假設!$C$83+D94*輸入與假設!$C$89+D100*輸入與假設!$C$95)/MAX(0.000000001,D101)</f>
        <v>11.8617134095513</v>
      </c>
      <c r="E102" s="31" t="n">
        <f aca="false">(E76*輸入與假設!$C$71+E82*輸入與假設!$C$77+E88*輸入與假設!$C$83+E94*輸入與假設!$C$89+E100*輸入與假設!$C$95)/MAX(0.000000001,E101)</f>
        <v>12.0656052699189</v>
      </c>
      <c r="F102" s="31" t="n">
        <f aca="false">(F76*輸入與假設!$C$71+F82*輸入與假設!$C$77+F88*輸入與假設!$C$83+F94*輸入與假設!$C$89+F100*輸入與假設!$C$95)/MAX(0.000000001,F101)</f>
        <v>12.1939439697542</v>
      </c>
      <c r="G102" s="31" t="n">
        <f aca="false">(G76*輸入與假設!$C$71+G82*輸入與假設!$C$77+G88*輸入與假設!$C$83+G94*輸入與假設!$C$89+G100*輸入與假設!$C$95)/MAX(0.000000001,G101)</f>
        <v>12.2821599528387</v>
      </c>
      <c r="I102" s="6" t="s">
        <v>330</v>
      </c>
    </row>
    <row r="103" customFormat="false" ht="15" hidden="false" customHeight="false" outlineLevel="2" collapsed="false">
      <c r="A103" s="3" t="s">
        <v>331</v>
      </c>
      <c r="B103" s="11" t="s">
        <v>280</v>
      </c>
      <c r="C103" s="31" t="n">
        <f aca="false">(C76*輸入與假設!$C$72+C82*輸入與假設!$C$78+C88*輸入與假設!$C$84+C94*輸入與假設!$C$90+C100*輸入與假設!$C$96)/MAX(0.000000001,C101)</f>
        <v>2.46189876719715</v>
      </c>
      <c r="D103" s="31" t="n">
        <f aca="false">(D76*輸入與假設!$C$72+D82*輸入與假設!$C$78+D88*輸入與假設!$C$84+D94*輸入與假設!$C$90+D100*輸入與假設!$C$96)/MAX(0.000000001,D101)</f>
        <v>2.51095602691653</v>
      </c>
      <c r="E103" s="31" t="n">
        <f aca="false">(E76*輸入與假設!$C$72+E82*輸入與假設!$C$78+E88*輸入與假設!$C$84+E94*輸入與假設!$C$90+E100*輸入與假設!$C$96)/MAX(0.000000001,E101)</f>
        <v>2.53792509748094</v>
      </c>
      <c r="F103" s="31" t="n">
        <f aca="false">(F76*輸入與假設!$C$72+F82*輸入與假設!$C$78+F88*輸入與假設!$C$84+F94*輸入與假設!$C$90+F100*輸入與假設!$C$96)/MAX(0.000000001,F101)</f>
        <v>2.55490064248682</v>
      </c>
      <c r="G103" s="31" t="n">
        <f aca="false">(G76*輸入與假設!$C$72+G82*輸入與假設!$C$78+G88*輸入與假設!$C$84+G94*輸入與假設!$C$90+G100*輸入與假設!$C$96)/MAX(0.000000001,G101)</f>
        <v>2.5665690978554</v>
      </c>
      <c r="I103" s="6" t="s">
        <v>332</v>
      </c>
    </row>
    <row r="104" customFormat="false" ht="15" hidden="false" customHeight="false" outlineLevel="2" collapsed="false">
      <c r="A104" s="3" t="s">
        <v>333</v>
      </c>
      <c r="B104" s="11" t="s">
        <v>280</v>
      </c>
      <c r="C104" s="31" t="n">
        <f aca="false">(C76*輸入與假設!$C$73+C82*輸入與假設!$C$79+C88*輸入與假設!$C$85+C94*輸入與假設!$C$91+C100*輸入與假設!$C$97)/MAX(0.000000001,C101)</f>
        <v>24.8832321350466</v>
      </c>
      <c r="D104" s="31" t="n">
        <f aca="false">(D76*輸入與假設!$C$73+D82*輸入與假設!$C$79+D88*輸入與假設!$C$85+D94*輸入與假設!$C$91+D100*輸入與假設!$C$97)/MAX(0.000000001,D101)</f>
        <v>29.9174907558539</v>
      </c>
      <c r="E104" s="31" t="n">
        <f aca="false">(E76*輸入與假設!$C$73+E82*輸入與假設!$C$79+E88*輸入與假設!$C$85+E94*輸入與假設!$C$91+E100*輸入與假設!$C$97)/MAX(0.000000001,E101)</f>
        <v>33.683513613446</v>
      </c>
      <c r="F104" s="31" t="n">
        <f aca="false">(F76*輸入與假設!$C$73+F82*輸入與假設!$C$79+F88*輸入與假設!$C$85+F94*輸入與假設!$C$91+F100*輸入與假設!$C$97)/MAX(0.000000001,F101)</f>
        <v>36.0540176454464</v>
      </c>
      <c r="G104" s="31" t="n">
        <f aca="false">(G76*輸入與假設!$C$73+G82*輸入與假設!$C$79+G88*輸入與假設!$C$85+G94*輸入與假設!$C$91+G100*輸入與假設!$C$97)/MAX(0.000000001,G101)</f>
        <v>37.683427510569</v>
      </c>
      <c r="I104" s="6" t="s">
        <v>334</v>
      </c>
    </row>
    <row r="105" customFormat="false" ht="15" hidden="false" customHeight="false" outlineLevel="2" collapsed="false">
      <c r="A105" s="3" t="s">
        <v>335</v>
      </c>
      <c r="B105" s="11" t="s">
        <v>42</v>
      </c>
      <c r="C105" s="38" t="n">
        <f aca="false">C102*輸入與假設!$C$66/MAX(0.000000001,C104)</f>
        <v>0.489497502827421</v>
      </c>
      <c r="D105" s="38" t="n">
        <f aca="false">D102*輸入與假設!$C$66/MAX(0.000000001,D104)</f>
        <v>0.420269745104347</v>
      </c>
      <c r="E105" s="38" t="n">
        <f aca="false">E102*輸入與假設!$C$66/MAX(0.000000001,E104)</f>
        <v>0.379697371624812</v>
      </c>
      <c r="F105" s="38" t="n">
        <f aca="false">F102*輸入與假設!$C$66/MAX(0.000000001,F104)</f>
        <v>0.358505971097286</v>
      </c>
      <c r="G105" s="38" t="n">
        <f aca="false">G102*輸入與假設!$C$66/MAX(0.000000001,G104)</f>
        <v>0.345485811935699</v>
      </c>
      <c r="I105" s="6" t="s">
        <v>336</v>
      </c>
    </row>
    <row r="106" customFormat="false" ht="15" hidden="false" customHeight="false" outlineLevel="1" collapsed="false">
      <c r="A106" s="34" t="s">
        <v>337</v>
      </c>
      <c r="B106" s="20"/>
      <c r="C106" s="20"/>
      <c r="D106" s="20"/>
      <c r="E106" s="20"/>
      <c r="F106" s="20"/>
      <c r="G106" s="20"/>
      <c r="H106" s="20"/>
    </row>
    <row r="107" customFormat="false" ht="15" hidden="false" customHeight="false" outlineLevel="2" collapsed="false">
      <c r="A107" s="3" t="s">
        <v>338</v>
      </c>
      <c r="B107" s="11" t="s">
        <v>65</v>
      </c>
      <c r="C107" s="39" t="n">
        <f aca="false">運營_產能與收入!C26</f>
        <v>53.7509665923748</v>
      </c>
      <c r="D107" s="39" t="n">
        <f aca="false">運營_產能與收入!D26</f>
        <v>84.7303658545521</v>
      </c>
      <c r="E107" s="39" t="n">
        <f aca="false">運營_產能與收入!E26</f>
        <v>115.933997092727</v>
      </c>
      <c r="F107" s="39" t="n">
        <f aca="false">運營_產能與收入!F26</f>
        <v>147.230764751825</v>
      </c>
      <c r="G107" s="39" t="n">
        <f aca="false">運營_產能與收入!G26</f>
        <v>178.573737994788</v>
      </c>
      <c r="I107" s="6" t="s">
        <v>339</v>
      </c>
    </row>
    <row r="108" customFormat="false" ht="15" hidden="false" customHeight="false" outlineLevel="2" collapsed="false">
      <c r="A108" s="4" t="s">
        <v>340</v>
      </c>
      <c r="B108" s="11" t="s">
        <v>218</v>
      </c>
      <c r="C108" s="30" t="n">
        <f aca="false">C39*輸入與假設!$C$32*C38</f>
        <v>0.0121802799923803</v>
      </c>
      <c r="I108" s="6" t="s">
        <v>341</v>
      </c>
    </row>
    <row r="109" customFormat="false" ht="15" hidden="false" customHeight="false" outlineLevel="2" collapsed="false">
      <c r="A109" s="4" t="s">
        <v>342</v>
      </c>
      <c r="B109" s="11" t="s">
        <v>42</v>
      </c>
      <c r="C109" s="38" t="n">
        <f aca="false">1-C103/1000/MAX(0.000000001,C39*輸入與假設!$C$32)</f>
        <v>0.797878310782901</v>
      </c>
      <c r="I109" s="6" t="s">
        <v>343</v>
      </c>
    </row>
    <row r="110" customFormat="false" ht="15" hidden="false" customHeight="false" outlineLevel="2" collapsed="false">
      <c r="A110" s="3" t="s">
        <v>344</v>
      </c>
      <c r="B110" s="11" t="s">
        <v>65</v>
      </c>
      <c r="C110" s="24" t="n">
        <v>100.299</v>
      </c>
      <c r="I110" s="6" t="s">
        <v>345</v>
      </c>
    </row>
    <row r="111" customFormat="false" ht="15" hidden="false" customHeight="false" outlineLevel="2" collapsed="false">
      <c r="A111" s="3" t="s">
        <v>346</v>
      </c>
      <c r="B111" s="11" t="s">
        <v>65</v>
      </c>
      <c r="C111" s="24" t="n">
        <v>0</v>
      </c>
      <c r="I111" s="6" t="s">
        <v>347</v>
      </c>
    </row>
    <row r="112" customFormat="false" ht="15" hidden="false" customHeight="false" outlineLevel="2" collapsed="false">
      <c r="A112" s="3" t="s">
        <v>348</v>
      </c>
      <c r="B112" s="11" t="s">
        <v>42</v>
      </c>
      <c r="C112" s="23" t="n">
        <v>0.185497</v>
      </c>
      <c r="I112" s="6" t="s">
        <v>349</v>
      </c>
    </row>
    <row r="113" customFormat="false" ht="15" hidden="false" customHeight="false" outlineLevel="2" collapsed="false">
      <c r="A113" s="3" t="s">
        <v>350</v>
      </c>
      <c r="B113" s="11" t="s">
        <v>42</v>
      </c>
      <c r="C113" s="23" t="n">
        <v>0.716123</v>
      </c>
      <c r="I113" s="6" t="s">
        <v>351</v>
      </c>
    </row>
    <row r="114" customFormat="false" ht="15" hidden="false" customHeight="false" outlineLevel="2" collapsed="false">
      <c r="A114" s="3" t="s">
        <v>352</v>
      </c>
      <c r="B114" s="11" t="s">
        <v>42</v>
      </c>
      <c r="C114" s="23" t="n">
        <v>0.1</v>
      </c>
      <c r="I114" s="6" t="s">
        <v>353</v>
      </c>
    </row>
    <row r="115" customFormat="false" ht="15" hidden="false" customHeight="false" outlineLevel="2" collapsed="false">
      <c r="A115" s="3" t="s">
        <v>354</v>
      </c>
      <c r="B115" s="11" t="s">
        <v>42</v>
      </c>
      <c r="C115" s="38" t="n">
        <f aca="false">輸入與假設!$C$113</f>
        <v>0.716123</v>
      </c>
      <c r="I115" s="6" t="s">
        <v>355</v>
      </c>
    </row>
    <row r="116" customFormat="false" ht="15" hidden="false" customHeight="false" outlineLevel="2" collapsed="false">
      <c r="A116" s="3" t="s">
        <v>356</v>
      </c>
      <c r="B116" s="11" t="s">
        <v>42</v>
      </c>
      <c r="C116" s="23" t="n">
        <v>0</v>
      </c>
      <c r="I116" s="6" t="s">
        <v>357</v>
      </c>
    </row>
    <row r="117" customFormat="false" ht="15" hidden="false" customHeight="false" outlineLevel="2" collapsed="false">
      <c r="A117" s="3" t="s">
        <v>358</v>
      </c>
      <c r="B117" s="11" t="s">
        <v>42</v>
      </c>
      <c r="C117" s="23" t="n">
        <v>0.1</v>
      </c>
      <c r="I117" s="6" t="s">
        <v>359</v>
      </c>
    </row>
    <row r="118" customFormat="false" ht="15" hidden="false" customHeight="false" outlineLevel="2" collapsed="false">
      <c r="A118" s="3" t="s">
        <v>360</v>
      </c>
      <c r="B118" s="11" t="s">
        <v>42</v>
      </c>
      <c r="C118" s="38" t="n">
        <f aca="false">輸入與假設!$C$112+(輸入與假設!$C$114-輸入與假設!$C$112)*0/4</f>
        <v>0.185497</v>
      </c>
      <c r="D118" s="38" t="n">
        <f aca="false">輸入與假設!$C$112+(輸入與假設!$C$114-輸入與假設!$C$112)*1/4</f>
        <v>0.16412275</v>
      </c>
      <c r="E118" s="38" t="n">
        <f aca="false">輸入與假設!$C$112+(輸入與假設!$C$114-輸入與假設!$C$112)*2/4</f>
        <v>0.1427485</v>
      </c>
      <c r="F118" s="38" t="n">
        <f aca="false">輸入與假設!$C$112+(輸入與假設!$C$114-輸入與假設!$C$112)*3/4</f>
        <v>0.12137425</v>
      </c>
      <c r="G118" s="38" t="n">
        <f aca="false">輸入與假設!$C$112+(輸入與假設!$C$114-輸入與假設!$C$112)*4/4</f>
        <v>0.1</v>
      </c>
      <c r="I118" s="6" t="s">
        <v>361</v>
      </c>
    </row>
    <row r="119" customFormat="false" ht="15" hidden="false" customHeight="false" outlineLevel="2" collapsed="false">
      <c r="A119" s="3" t="s">
        <v>362</v>
      </c>
      <c r="B119" s="11" t="s">
        <v>65</v>
      </c>
      <c r="C119" s="32" t="n">
        <f aca="false">輸入與假設!$C$110*(1+C118)</f>
        <v>118.904163603</v>
      </c>
      <c r="D119" s="32" t="n">
        <f aca="false">C119*(1+D118)</f>
        <v>138.419041919974</v>
      </c>
      <c r="E119" s="32" t="n">
        <f aca="false">D119*(1+E118)</f>
        <v>158.178152525488</v>
      </c>
      <c r="F119" s="32" t="n">
        <f aca="false">E119*(1+F118)</f>
        <v>177.376907154654</v>
      </c>
      <c r="G119" s="32" t="n">
        <f aca="false">F119*(1+G118)</f>
        <v>195.11459787012</v>
      </c>
      <c r="I119" s="6" t="s">
        <v>363</v>
      </c>
    </row>
    <row r="120" customFormat="false" ht="15" hidden="false" customHeight="false" outlineLevel="2" collapsed="false">
      <c r="A120" s="3" t="s">
        <v>364</v>
      </c>
      <c r="B120" s="11" t="s">
        <v>65</v>
      </c>
      <c r="C120" s="32" t="n">
        <f aca="false">C119-輸入與假設!$C$111</f>
        <v>118.904163603</v>
      </c>
      <c r="D120" s="32" t="n">
        <f aca="false">D119</f>
        <v>138.419041919974</v>
      </c>
      <c r="E120" s="32" t="n">
        <f aca="false">E119</f>
        <v>158.178152525488</v>
      </c>
      <c r="F120" s="32" t="n">
        <f aca="false">F119</f>
        <v>177.376907154654</v>
      </c>
      <c r="G120" s="32" t="n">
        <f aca="false">G119</f>
        <v>195.11459787012</v>
      </c>
      <c r="I120" s="11" t="s">
        <v>365</v>
      </c>
    </row>
    <row r="121" customFormat="false" ht="15" hidden="false" customHeight="false" outlineLevel="2" collapsed="false">
      <c r="A121" s="3" t="s">
        <v>366</v>
      </c>
      <c r="B121" s="11" t="s">
        <v>42</v>
      </c>
      <c r="C121" s="38" t="n">
        <f aca="false">輸入與假設!$C$113+(輸入與假設!$C$115-輸入與假設!$C$113)*0/4</f>
        <v>0.716123</v>
      </c>
      <c r="D121" s="38" t="n">
        <f aca="false">輸入與假設!$C$113+(輸入與假設!$C$115-輸入與假設!$C$113)*1/4</f>
        <v>0.716123</v>
      </c>
      <c r="E121" s="38" t="n">
        <f aca="false">輸入與假設!$C$113+(輸入與假設!$C$115-輸入與假設!$C$113)*2/4</f>
        <v>0.716123</v>
      </c>
      <c r="F121" s="38" t="n">
        <f aca="false">輸入與假設!$C$113+(輸入與假設!$C$115-輸入與假設!$C$113)*3/4</f>
        <v>0.716123</v>
      </c>
      <c r="G121" s="38" t="n">
        <f aca="false">輸入與假設!$C$113+(輸入與假設!$C$115-輸入與假設!$C$113)*4/4</f>
        <v>0.716123</v>
      </c>
      <c r="I121" s="6" t="s">
        <v>361</v>
      </c>
    </row>
    <row r="122" customFormat="false" ht="15" hidden="false" customHeight="false" outlineLevel="2" collapsed="false">
      <c r="A122" s="3" t="s">
        <v>367</v>
      </c>
      <c r="B122" s="11" t="s">
        <v>65</v>
      </c>
      <c r="C122" s="32" t="n">
        <f aca="false">C120*C121</f>
        <v>85.1500063518712</v>
      </c>
      <c r="D122" s="32" t="n">
        <f aca="false">D120*D121</f>
        <v>99.1250595568578</v>
      </c>
      <c r="E122" s="32" t="n">
        <f aca="false">E120*E121</f>
        <v>113.27501312101</v>
      </c>
      <c r="F122" s="32" t="n">
        <f aca="false">F120*F121</f>
        <v>127.023682882313</v>
      </c>
      <c r="G122" s="32" t="n">
        <f aca="false">G120*G121</f>
        <v>139.726051170544</v>
      </c>
      <c r="I122" s="6" t="s">
        <v>368</v>
      </c>
    </row>
    <row r="123" customFormat="false" ht="15" hidden="false" customHeight="false" outlineLevel="2" collapsed="false">
      <c r="A123" s="3" t="s">
        <v>369</v>
      </c>
      <c r="B123" s="11" t="s">
        <v>65</v>
      </c>
      <c r="C123" s="32" t="n">
        <f aca="false">C120*輸入與假設!$C$116</f>
        <v>0</v>
      </c>
      <c r="D123" s="32" t="n">
        <f aca="false">D120*輸入與假設!$C$116</f>
        <v>0</v>
      </c>
      <c r="E123" s="32" t="n">
        <f aca="false">E120*輸入與假設!$C$116</f>
        <v>0</v>
      </c>
      <c r="F123" s="32" t="n">
        <f aca="false">F120*輸入與假設!$C$116</f>
        <v>0</v>
      </c>
      <c r="G123" s="32" t="n">
        <f aca="false">G120*輸入與假設!$C$116</f>
        <v>0</v>
      </c>
      <c r="I123" s="6" t="s">
        <v>370</v>
      </c>
    </row>
    <row r="124" customFormat="false" ht="15" hidden="false" customHeight="false" outlineLevel="2" collapsed="false">
      <c r="A124" s="3" t="s">
        <v>371</v>
      </c>
      <c r="B124" s="11" t="s">
        <v>65</v>
      </c>
      <c r="C124" s="24" t="n">
        <v>37.285</v>
      </c>
      <c r="I124" s="6" t="s">
        <v>345</v>
      </c>
    </row>
    <row r="125" customFormat="false" ht="15" hidden="false" customHeight="false" outlineLevel="2" collapsed="false">
      <c r="A125" s="3" t="s">
        <v>372</v>
      </c>
      <c r="B125" s="11" t="s">
        <v>65</v>
      </c>
      <c r="C125" s="24" t="n">
        <v>0</v>
      </c>
      <c r="I125" s="6" t="s">
        <v>347</v>
      </c>
    </row>
    <row r="126" customFormat="false" ht="15" hidden="false" customHeight="false" outlineLevel="2" collapsed="false">
      <c r="A126" s="3" t="s">
        <v>373</v>
      </c>
      <c r="B126" s="11" t="s">
        <v>42</v>
      </c>
      <c r="C126" s="23" t="n">
        <v>0.053516</v>
      </c>
      <c r="I126" s="6" t="s">
        <v>349</v>
      </c>
    </row>
    <row r="127" customFormat="false" ht="15" hidden="false" customHeight="false" outlineLevel="2" collapsed="false">
      <c r="A127" s="3" t="s">
        <v>374</v>
      </c>
      <c r="B127" s="11" t="s">
        <v>42</v>
      </c>
      <c r="C127" s="23" t="n">
        <v>0.866123</v>
      </c>
      <c r="I127" s="6" t="s">
        <v>375</v>
      </c>
    </row>
    <row r="128" customFormat="false" ht="15" hidden="false" customHeight="false" outlineLevel="2" collapsed="false">
      <c r="A128" s="3" t="s">
        <v>376</v>
      </c>
      <c r="B128" s="11" t="s">
        <v>42</v>
      </c>
      <c r="C128" s="23" t="n">
        <v>0.02</v>
      </c>
      <c r="I128" s="6" t="s">
        <v>353</v>
      </c>
    </row>
    <row r="129" customFormat="false" ht="15" hidden="false" customHeight="false" outlineLevel="2" collapsed="false">
      <c r="A129" s="3" t="s">
        <v>377</v>
      </c>
      <c r="B129" s="11" t="s">
        <v>42</v>
      </c>
      <c r="C129" s="38" t="n">
        <f aca="false">輸入與假設!$C$127</f>
        <v>0.866123</v>
      </c>
      <c r="I129" s="6" t="s">
        <v>355</v>
      </c>
    </row>
    <row r="130" customFormat="false" ht="15" hidden="false" customHeight="false" outlineLevel="2" collapsed="false">
      <c r="A130" s="3" t="s">
        <v>378</v>
      </c>
      <c r="B130" s="11" t="s">
        <v>42</v>
      </c>
      <c r="C130" s="23" t="n">
        <v>0</v>
      </c>
      <c r="I130" s="6" t="s">
        <v>357</v>
      </c>
    </row>
    <row r="131" customFormat="false" ht="15" hidden="false" customHeight="false" outlineLevel="2" collapsed="false">
      <c r="A131" s="3" t="s">
        <v>379</v>
      </c>
      <c r="B131" s="11" t="s">
        <v>42</v>
      </c>
      <c r="C131" s="23" t="n">
        <v>0.02</v>
      </c>
      <c r="I131" s="6" t="s">
        <v>359</v>
      </c>
    </row>
    <row r="132" customFormat="false" ht="15" hidden="false" customHeight="false" outlineLevel="2" collapsed="false">
      <c r="A132" s="3" t="s">
        <v>380</v>
      </c>
      <c r="B132" s="11" t="s">
        <v>42</v>
      </c>
      <c r="C132" s="38" t="n">
        <f aca="false">輸入與假設!$C$126+(輸入與假設!$C$128-輸入與假設!$C$126)*0/4</f>
        <v>0.053516</v>
      </c>
      <c r="D132" s="38" t="n">
        <f aca="false">輸入與假設!$C$126+(輸入與假設!$C$128-輸入與假設!$C$126)*1/4</f>
        <v>0.045137</v>
      </c>
      <c r="E132" s="38" t="n">
        <f aca="false">輸入與假設!$C$126+(輸入與假設!$C$128-輸入與假設!$C$126)*2/4</f>
        <v>0.036758</v>
      </c>
      <c r="F132" s="38" t="n">
        <f aca="false">輸入與假設!$C$126+(輸入與假設!$C$128-輸入與假設!$C$126)*3/4</f>
        <v>0.028379</v>
      </c>
      <c r="G132" s="38" t="n">
        <f aca="false">輸入與假設!$C$126+(輸入與假設!$C$128-輸入與假設!$C$126)*4/4</f>
        <v>0.02</v>
      </c>
      <c r="I132" s="6" t="s">
        <v>361</v>
      </c>
    </row>
    <row r="133" customFormat="false" ht="15" hidden="false" customHeight="false" outlineLevel="2" collapsed="false">
      <c r="A133" s="3" t="s">
        <v>381</v>
      </c>
      <c r="B133" s="11" t="s">
        <v>65</v>
      </c>
      <c r="C133" s="32" t="n">
        <f aca="false">輸入與假設!$C$124*(1+C132)</f>
        <v>39.28034406</v>
      </c>
      <c r="D133" s="32" t="n">
        <f aca="false">C133*(1+D132)</f>
        <v>41.0533409498362</v>
      </c>
      <c r="E133" s="32" t="n">
        <f aca="false">D133*(1+E132)</f>
        <v>42.5623796564703</v>
      </c>
      <c r="F133" s="32" t="n">
        <f aca="false">E133*(1+F132)</f>
        <v>43.7702574287413</v>
      </c>
      <c r="G133" s="32" t="n">
        <f aca="false">F133*(1+G132)</f>
        <v>44.6456625773161</v>
      </c>
      <c r="I133" s="6" t="s">
        <v>363</v>
      </c>
    </row>
    <row r="134" customFormat="false" ht="15" hidden="false" customHeight="false" outlineLevel="2" collapsed="false">
      <c r="A134" s="3" t="s">
        <v>382</v>
      </c>
      <c r="B134" s="11" t="s">
        <v>65</v>
      </c>
      <c r="C134" s="32" t="n">
        <f aca="false">C133-輸入與假設!$C$125</f>
        <v>39.28034406</v>
      </c>
      <c r="D134" s="32" t="n">
        <f aca="false">D133</f>
        <v>41.0533409498362</v>
      </c>
      <c r="E134" s="32" t="n">
        <f aca="false">E133</f>
        <v>42.5623796564703</v>
      </c>
      <c r="F134" s="32" t="n">
        <f aca="false">F133</f>
        <v>43.7702574287413</v>
      </c>
      <c r="G134" s="32" t="n">
        <f aca="false">G133</f>
        <v>44.6456625773161</v>
      </c>
      <c r="I134" s="11" t="s">
        <v>365</v>
      </c>
    </row>
    <row r="135" customFormat="false" ht="15" hidden="false" customHeight="false" outlineLevel="2" collapsed="false">
      <c r="A135" s="3" t="s">
        <v>383</v>
      </c>
      <c r="B135" s="11" t="s">
        <v>42</v>
      </c>
      <c r="C135" s="38" t="n">
        <f aca="false">輸入與假設!$C$127+(輸入與假設!$C$129-輸入與假設!$C$127)*0/4</f>
        <v>0.866123</v>
      </c>
      <c r="D135" s="38" t="n">
        <f aca="false">輸入與假設!$C$127+(輸入與假設!$C$129-輸入與假設!$C$127)*1/4</f>
        <v>0.866123</v>
      </c>
      <c r="E135" s="38" t="n">
        <f aca="false">輸入與假設!$C$127+(輸入與假設!$C$129-輸入與假設!$C$127)*2/4</f>
        <v>0.866123</v>
      </c>
      <c r="F135" s="38" t="n">
        <f aca="false">輸入與假設!$C$127+(輸入與假設!$C$129-輸入與假設!$C$127)*3/4</f>
        <v>0.866123</v>
      </c>
      <c r="G135" s="38" t="n">
        <f aca="false">輸入與假設!$C$127+(輸入與假設!$C$129-輸入與假設!$C$127)*4/4</f>
        <v>0.866123</v>
      </c>
      <c r="I135" s="6" t="s">
        <v>361</v>
      </c>
    </row>
    <row r="136" customFormat="false" ht="15" hidden="false" customHeight="false" outlineLevel="2" collapsed="false">
      <c r="A136" s="3" t="s">
        <v>384</v>
      </c>
      <c r="B136" s="11" t="s">
        <v>65</v>
      </c>
      <c r="C136" s="32" t="n">
        <f aca="false">C134*C135</f>
        <v>34.0216094382794</v>
      </c>
      <c r="D136" s="32" t="n">
        <f aca="false">D134*D135</f>
        <v>35.557242823495</v>
      </c>
      <c r="E136" s="32" t="n">
        <f aca="false">E134*E135</f>
        <v>36.864255955201</v>
      </c>
      <c r="F136" s="32" t="n">
        <f aca="false">F134*F135</f>
        <v>37.9104266749537</v>
      </c>
      <c r="G136" s="32" t="n">
        <f aca="false">G134*G135</f>
        <v>38.6686352084527</v>
      </c>
      <c r="I136" s="6" t="s">
        <v>368</v>
      </c>
    </row>
    <row r="137" customFormat="false" ht="15" hidden="false" customHeight="false" outlineLevel="2" collapsed="false">
      <c r="A137" s="3" t="s">
        <v>385</v>
      </c>
      <c r="B137" s="11" t="s">
        <v>65</v>
      </c>
      <c r="C137" s="32" t="n">
        <f aca="false">C134*輸入與假設!$C$130</f>
        <v>0</v>
      </c>
      <c r="D137" s="32" t="n">
        <f aca="false">D134*輸入與假設!$C$130</f>
        <v>0</v>
      </c>
      <c r="E137" s="32" t="n">
        <f aca="false">E134*輸入與假設!$C$130</f>
        <v>0</v>
      </c>
      <c r="F137" s="32" t="n">
        <f aca="false">F134*輸入與假設!$C$130</f>
        <v>0</v>
      </c>
      <c r="G137" s="32" t="n">
        <f aca="false">G134*輸入與假設!$C$130</f>
        <v>0</v>
      </c>
      <c r="I137" s="6" t="s">
        <v>370</v>
      </c>
    </row>
    <row r="138" customFormat="false" ht="15" hidden="false" customHeight="false" outlineLevel="2" collapsed="false">
      <c r="A138" s="3" t="s">
        <v>386</v>
      </c>
      <c r="B138" s="11" t="s">
        <v>65</v>
      </c>
      <c r="C138" s="24" t="n">
        <v>28.605</v>
      </c>
      <c r="I138" s="6" t="s">
        <v>345</v>
      </c>
    </row>
    <row r="139" customFormat="false" ht="15" hidden="false" customHeight="false" outlineLevel="2" collapsed="false">
      <c r="A139" s="3" t="s">
        <v>387</v>
      </c>
      <c r="B139" s="11" t="s">
        <v>65</v>
      </c>
      <c r="C139" s="24" t="n">
        <v>0</v>
      </c>
      <c r="I139" s="6" t="s">
        <v>347</v>
      </c>
    </row>
    <row r="140" customFormat="false" ht="15" hidden="false" customHeight="false" outlineLevel="2" collapsed="false">
      <c r="A140" s="3" t="s">
        <v>388</v>
      </c>
      <c r="B140" s="11" t="s">
        <v>42</v>
      </c>
      <c r="C140" s="23" t="n">
        <v>0.092753</v>
      </c>
      <c r="I140" s="6" t="s">
        <v>349</v>
      </c>
    </row>
    <row r="141" customFormat="false" ht="15" hidden="false" customHeight="false" outlineLevel="2" collapsed="false">
      <c r="A141" s="3" t="s">
        <v>389</v>
      </c>
      <c r="B141" s="11" t="s">
        <v>42</v>
      </c>
      <c r="C141" s="23" t="n">
        <v>0.416123</v>
      </c>
      <c r="I141" s="6" t="s">
        <v>390</v>
      </c>
    </row>
    <row r="142" customFormat="false" ht="15" hidden="false" customHeight="false" outlineLevel="2" collapsed="false">
      <c r="A142" s="3" t="s">
        <v>391</v>
      </c>
      <c r="B142" s="11" t="s">
        <v>42</v>
      </c>
      <c r="C142" s="23" t="n">
        <v>0.07</v>
      </c>
      <c r="I142" s="6" t="s">
        <v>353</v>
      </c>
    </row>
    <row r="143" customFormat="false" ht="15" hidden="false" customHeight="false" outlineLevel="2" collapsed="false">
      <c r="A143" s="3" t="s">
        <v>392</v>
      </c>
      <c r="B143" s="11" t="s">
        <v>42</v>
      </c>
      <c r="C143" s="38" t="n">
        <f aca="false">輸入與假設!$C$141</f>
        <v>0.416123</v>
      </c>
      <c r="I143" s="6" t="s">
        <v>355</v>
      </c>
    </row>
    <row r="144" customFormat="false" ht="15" hidden="false" customHeight="false" outlineLevel="2" collapsed="false">
      <c r="A144" s="3" t="s">
        <v>393</v>
      </c>
      <c r="B144" s="11" t="s">
        <v>42</v>
      </c>
      <c r="C144" s="23" t="n">
        <v>0</v>
      </c>
      <c r="I144" s="6" t="s">
        <v>357</v>
      </c>
    </row>
    <row r="145" customFormat="false" ht="15" hidden="false" customHeight="false" outlineLevel="2" collapsed="false">
      <c r="A145" s="3" t="s">
        <v>394</v>
      </c>
      <c r="B145" s="11" t="s">
        <v>42</v>
      </c>
      <c r="C145" s="23" t="n">
        <v>0.05</v>
      </c>
      <c r="I145" s="6" t="s">
        <v>359</v>
      </c>
    </row>
    <row r="146" customFormat="false" ht="15" hidden="false" customHeight="false" outlineLevel="2" collapsed="false">
      <c r="A146" s="3" t="s">
        <v>395</v>
      </c>
      <c r="B146" s="11" t="s">
        <v>42</v>
      </c>
      <c r="C146" s="38" t="n">
        <f aca="false">輸入與假設!$C$140+(輸入與假設!$C$142-輸入與假設!$C$140)*0/4</f>
        <v>0.092753</v>
      </c>
      <c r="D146" s="38" t="n">
        <f aca="false">輸入與假設!$C$140+(輸入與假設!$C$142-輸入與假設!$C$140)*1/4</f>
        <v>0.08706475</v>
      </c>
      <c r="E146" s="38" t="n">
        <f aca="false">輸入與假設!$C$140+(輸入與假設!$C$142-輸入與假設!$C$140)*2/4</f>
        <v>0.0813765</v>
      </c>
      <c r="F146" s="38" t="n">
        <f aca="false">輸入與假設!$C$140+(輸入與假設!$C$142-輸入與假設!$C$140)*3/4</f>
        <v>0.07568825</v>
      </c>
      <c r="G146" s="38" t="n">
        <f aca="false">輸入與假設!$C$140+(輸入與假設!$C$142-輸入與假設!$C$140)*4/4</f>
        <v>0.07</v>
      </c>
      <c r="I146" s="6" t="s">
        <v>361</v>
      </c>
    </row>
    <row r="147" customFormat="false" ht="15" hidden="false" customHeight="false" outlineLevel="2" collapsed="false">
      <c r="A147" s="3" t="s">
        <v>396</v>
      </c>
      <c r="B147" s="11" t="s">
        <v>65</v>
      </c>
      <c r="C147" s="32" t="n">
        <f aca="false">輸入與假設!$C$138*(1+C146)</f>
        <v>31.258199565</v>
      </c>
      <c r="D147" s="32" t="n">
        <f aca="false">C147*(1+D146)</f>
        <v>33.9796868955768</v>
      </c>
      <c r="E147" s="32" t="n">
        <f aca="false">D147*(1+E146)</f>
        <v>36.7448348862347</v>
      </c>
      <c r="F147" s="32" t="n">
        <f aca="false">E147*(1+F146)</f>
        <v>39.5259871353128</v>
      </c>
      <c r="G147" s="32" t="n">
        <f aca="false">F147*(1+G146)</f>
        <v>42.2928062347847</v>
      </c>
      <c r="I147" s="6" t="s">
        <v>363</v>
      </c>
    </row>
    <row r="148" customFormat="false" ht="15" hidden="false" customHeight="false" outlineLevel="2" collapsed="false">
      <c r="A148" s="3" t="s">
        <v>397</v>
      </c>
      <c r="B148" s="11" t="s">
        <v>65</v>
      </c>
      <c r="C148" s="32" t="n">
        <f aca="false">C147-輸入與假設!$C$139</f>
        <v>31.258199565</v>
      </c>
      <c r="D148" s="32" t="n">
        <f aca="false">D147</f>
        <v>33.9796868955768</v>
      </c>
      <c r="E148" s="32" t="n">
        <f aca="false">E147</f>
        <v>36.7448348862347</v>
      </c>
      <c r="F148" s="32" t="n">
        <f aca="false">F147</f>
        <v>39.5259871353128</v>
      </c>
      <c r="G148" s="32" t="n">
        <f aca="false">G147</f>
        <v>42.2928062347847</v>
      </c>
      <c r="I148" s="11" t="s">
        <v>365</v>
      </c>
    </row>
    <row r="149" customFormat="false" ht="15" hidden="false" customHeight="false" outlineLevel="2" collapsed="false">
      <c r="A149" s="3" t="s">
        <v>398</v>
      </c>
      <c r="B149" s="11" t="s">
        <v>42</v>
      </c>
      <c r="C149" s="38" t="n">
        <f aca="false">輸入與假設!$C$141+(輸入與假設!$C$143-輸入與假設!$C$141)*0/4</f>
        <v>0.416123</v>
      </c>
      <c r="D149" s="38" t="n">
        <f aca="false">輸入與假設!$C$141+(輸入與假設!$C$143-輸入與假設!$C$141)*1/4</f>
        <v>0.416123</v>
      </c>
      <c r="E149" s="38" t="n">
        <f aca="false">輸入與假設!$C$141+(輸入與假設!$C$143-輸入與假設!$C$141)*2/4</f>
        <v>0.416123</v>
      </c>
      <c r="F149" s="38" t="n">
        <f aca="false">輸入與假設!$C$141+(輸入與假設!$C$143-輸入與假設!$C$141)*3/4</f>
        <v>0.416123</v>
      </c>
      <c r="G149" s="38" t="n">
        <f aca="false">輸入與假設!$C$141+(輸入與假設!$C$143-輸入與假設!$C$141)*4/4</f>
        <v>0.416123</v>
      </c>
      <c r="I149" s="6" t="s">
        <v>361</v>
      </c>
    </row>
    <row r="150" customFormat="false" ht="15" hidden="false" customHeight="false" outlineLevel="2" collapsed="false">
      <c r="A150" s="3" t="s">
        <v>399</v>
      </c>
      <c r="B150" s="11" t="s">
        <v>65</v>
      </c>
      <c r="C150" s="32" t="n">
        <f aca="false">C148*C149</f>
        <v>13.0072557775865</v>
      </c>
      <c r="D150" s="32" t="n">
        <f aca="false">D148*D149</f>
        <v>14.1397292500481</v>
      </c>
      <c r="E150" s="32" t="n">
        <f aca="false">E148*E149</f>
        <v>15.2903709273647</v>
      </c>
      <c r="F150" s="32" t="n">
        <f aca="false">F148*F149</f>
        <v>16.4476723447078</v>
      </c>
      <c r="G150" s="32" t="n">
        <f aca="false">G148*G149</f>
        <v>17.5990094088373</v>
      </c>
      <c r="I150" s="6" t="s">
        <v>368</v>
      </c>
    </row>
    <row r="151" customFormat="false" ht="15" hidden="false" customHeight="false" outlineLevel="2" collapsed="false">
      <c r="A151" s="3" t="s">
        <v>400</v>
      </c>
      <c r="B151" s="11" t="s">
        <v>65</v>
      </c>
      <c r="C151" s="32" t="n">
        <f aca="false">C148*輸入與假設!$C$144</f>
        <v>0</v>
      </c>
      <c r="D151" s="32" t="n">
        <f aca="false">D148*輸入與假設!$C$144</f>
        <v>0</v>
      </c>
      <c r="E151" s="32" t="n">
        <f aca="false">E148*輸入與假設!$C$144</f>
        <v>0</v>
      </c>
      <c r="F151" s="32" t="n">
        <f aca="false">F148*輸入與假設!$C$144</f>
        <v>0</v>
      </c>
      <c r="G151" s="32" t="n">
        <f aca="false">G148*輸入與假設!$C$144</f>
        <v>0</v>
      </c>
      <c r="I151" s="6" t="s">
        <v>370</v>
      </c>
    </row>
    <row r="152" customFormat="false" ht="15" hidden="false" customHeight="false" outlineLevel="2" collapsed="false">
      <c r="A152" s="3" t="s">
        <v>401</v>
      </c>
      <c r="B152" s="11" t="s">
        <v>65</v>
      </c>
      <c r="C152" s="24" t="n">
        <v>24.835</v>
      </c>
      <c r="I152" s="6" t="s">
        <v>345</v>
      </c>
    </row>
    <row r="153" customFormat="false" ht="15" hidden="false" customHeight="false" outlineLevel="2" collapsed="false">
      <c r="A153" s="3" t="s">
        <v>402</v>
      </c>
      <c r="B153" s="11" t="s">
        <v>65</v>
      </c>
      <c r="C153" s="24" t="n">
        <v>0</v>
      </c>
      <c r="I153" s="6" t="s">
        <v>347</v>
      </c>
    </row>
    <row r="154" customFormat="false" ht="15" hidden="false" customHeight="false" outlineLevel="2" collapsed="false">
      <c r="A154" s="3" t="s">
        <v>403</v>
      </c>
      <c r="B154" s="11" t="s">
        <v>42</v>
      </c>
      <c r="C154" s="23" t="n">
        <v>0.120157</v>
      </c>
      <c r="I154" s="6" t="s">
        <v>349</v>
      </c>
    </row>
    <row r="155" customFormat="false" ht="15" hidden="false" customHeight="false" outlineLevel="2" collapsed="false">
      <c r="A155" s="3" t="s">
        <v>404</v>
      </c>
      <c r="B155" s="11" t="s">
        <v>42</v>
      </c>
      <c r="C155" s="23" t="n">
        <v>0.416123</v>
      </c>
      <c r="I155" s="6" t="s">
        <v>390</v>
      </c>
    </row>
    <row r="156" customFormat="false" ht="15" hidden="false" customHeight="false" outlineLevel="2" collapsed="false">
      <c r="A156" s="3" t="s">
        <v>405</v>
      </c>
      <c r="B156" s="11" t="s">
        <v>42</v>
      </c>
      <c r="C156" s="23" t="n">
        <v>0.07</v>
      </c>
      <c r="I156" s="6" t="s">
        <v>353</v>
      </c>
    </row>
    <row r="157" customFormat="false" ht="15" hidden="false" customHeight="false" outlineLevel="2" collapsed="false">
      <c r="A157" s="3" t="s">
        <v>406</v>
      </c>
      <c r="B157" s="11" t="s">
        <v>42</v>
      </c>
      <c r="C157" s="38" t="n">
        <f aca="false">輸入與假設!$C$155</f>
        <v>0.416123</v>
      </c>
      <c r="I157" s="6" t="s">
        <v>355</v>
      </c>
    </row>
    <row r="158" customFormat="false" ht="15" hidden="false" customHeight="false" outlineLevel="2" collapsed="false">
      <c r="A158" s="3" t="s">
        <v>407</v>
      </c>
      <c r="B158" s="11" t="s">
        <v>42</v>
      </c>
      <c r="C158" s="23" t="n">
        <v>0</v>
      </c>
      <c r="I158" s="6" t="s">
        <v>357</v>
      </c>
    </row>
    <row r="159" customFormat="false" ht="15" hidden="false" customHeight="false" outlineLevel="2" collapsed="false">
      <c r="A159" s="3" t="s">
        <v>408</v>
      </c>
      <c r="B159" s="11" t="s">
        <v>42</v>
      </c>
      <c r="C159" s="23" t="n">
        <v>0.08</v>
      </c>
      <c r="I159" s="6" t="s">
        <v>359</v>
      </c>
    </row>
    <row r="160" customFormat="false" ht="15" hidden="false" customHeight="false" outlineLevel="2" collapsed="false">
      <c r="A160" s="3" t="s">
        <v>409</v>
      </c>
      <c r="B160" s="11" t="s">
        <v>42</v>
      </c>
      <c r="C160" s="38" t="n">
        <f aca="false">輸入與假設!$C$154+(輸入與假設!$C$156-輸入與假設!$C$154)*0/4</f>
        <v>0.120157</v>
      </c>
      <c r="D160" s="38" t="n">
        <f aca="false">輸入與假設!$C$154+(輸入與假設!$C$156-輸入與假設!$C$154)*1/4</f>
        <v>0.10761775</v>
      </c>
      <c r="E160" s="38" t="n">
        <f aca="false">輸入與假設!$C$154+(輸入與假設!$C$156-輸入與假設!$C$154)*2/4</f>
        <v>0.0950785</v>
      </c>
      <c r="F160" s="38" t="n">
        <f aca="false">輸入與假設!$C$154+(輸入與假設!$C$156-輸入與假設!$C$154)*3/4</f>
        <v>0.08253925</v>
      </c>
      <c r="G160" s="38" t="n">
        <f aca="false">輸入與假設!$C$154+(輸入與假設!$C$156-輸入與假設!$C$154)*4/4</f>
        <v>0.07</v>
      </c>
      <c r="I160" s="6" t="s">
        <v>361</v>
      </c>
    </row>
    <row r="161" customFormat="false" ht="15" hidden="false" customHeight="false" outlineLevel="2" collapsed="false">
      <c r="A161" s="3" t="s">
        <v>410</v>
      </c>
      <c r="B161" s="11" t="s">
        <v>65</v>
      </c>
      <c r="C161" s="32" t="n">
        <f aca="false">輸入與假設!$C$152*(1+C160)</f>
        <v>27.819099095</v>
      </c>
      <c r="D161" s="32" t="n">
        <f aca="false">C161*(1+D160)</f>
        <v>30.8129279466309</v>
      </c>
      <c r="E161" s="32" t="n">
        <f aca="false">D161*(1+E160)</f>
        <v>33.7425749164047</v>
      </c>
      <c r="F161" s="32" t="n">
        <f aca="false">E161*(1+F160)</f>
        <v>36.5276617430735</v>
      </c>
      <c r="G161" s="32" t="n">
        <f aca="false">F161*(1+G160)</f>
        <v>39.0845980650887</v>
      </c>
      <c r="I161" s="6" t="s">
        <v>363</v>
      </c>
    </row>
    <row r="162" customFormat="false" ht="15" hidden="false" customHeight="false" outlineLevel="2" collapsed="false">
      <c r="A162" s="3" t="s">
        <v>411</v>
      </c>
      <c r="B162" s="11" t="s">
        <v>65</v>
      </c>
      <c r="C162" s="32" t="n">
        <f aca="false">C161-輸入與假設!$C$153</f>
        <v>27.819099095</v>
      </c>
      <c r="D162" s="32" t="n">
        <f aca="false">D161</f>
        <v>30.8129279466309</v>
      </c>
      <c r="E162" s="32" t="n">
        <f aca="false">E161</f>
        <v>33.7425749164047</v>
      </c>
      <c r="F162" s="32" t="n">
        <f aca="false">F161</f>
        <v>36.5276617430735</v>
      </c>
      <c r="G162" s="32" t="n">
        <f aca="false">G161</f>
        <v>39.0845980650887</v>
      </c>
      <c r="I162" s="11" t="s">
        <v>365</v>
      </c>
    </row>
    <row r="163" customFormat="false" ht="15" hidden="false" customHeight="false" outlineLevel="2" collapsed="false">
      <c r="A163" s="3" t="s">
        <v>412</v>
      </c>
      <c r="B163" s="11" t="s">
        <v>42</v>
      </c>
      <c r="C163" s="38" t="n">
        <f aca="false">輸入與假設!$C$155+(輸入與假設!$C$157-輸入與假設!$C$155)*0/4</f>
        <v>0.416123</v>
      </c>
      <c r="D163" s="38" t="n">
        <f aca="false">輸入與假設!$C$155+(輸入與假設!$C$157-輸入與假設!$C$155)*1/4</f>
        <v>0.416123</v>
      </c>
      <c r="E163" s="38" t="n">
        <f aca="false">輸入與假設!$C$155+(輸入與假設!$C$157-輸入與假設!$C$155)*2/4</f>
        <v>0.416123</v>
      </c>
      <c r="F163" s="38" t="n">
        <f aca="false">輸入與假設!$C$155+(輸入與假設!$C$157-輸入與假設!$C$155)*3/4</f>
        <v>0.416123</v>
      </c>
      <c r="G163" s="38" t="n">
        <f aca="false">輸入與假設!$C$155+(輸入與假設!$C$157-輸入與假設!$C$155)*4/4</f>
        <v>0.416123</v>
      </c>
      <c r="I163" s="6" t="s">
        <v>361</v>
      </c>
    </row>
    <row r="164" customFormat="false" ht="15" hidden="false" customHeight="false" outlineLevel="2" collapsed="false">
      <c r="A164" s="3" t="s">
        <v>413</v>
      </c>
      <c r="B164" s="11" t="s">
        <v>65</v>
      </c>
      <c r="C164" s="32" t="n">
        <f aca="false">C162*C163</f>
        <v>11.5761669727087</v>
      </c>
      <c r="D164" s="32" t="n">
        <f aca="false">D162*D163</f>
        <v>12.8219680159359</v>
      </c>
      <c r="E164" s="32" t="n">
        <f aca="false">E162*E163</f>
        <v>14.0410615019391</v>
      </c>
      <c r="F164" s="32" t="n">
        <f aca="false">F162*F163</f>
        <v>15.200000187513</v>
      </c>
      <c r="G164" s="32" t="n">
        <f aca="false">G162*G163</f>
        <v>16.2640002006389</v>
      </c>
      <c r="I164" s="6" t="s">
        <v>368</v>
      </c>
    </row>
    <row r="165" customFormat="false" ht="15" hidden="false" customHeight="false" outlineLevel="2" collapsed="false">
      <c r="A165" s="3" t="s">
        <v>414</v>
      </c>
      <c r="B165" s="11" t="s">
        <v>65</v>
      </c>
      <c r="C165" s="32" t="n">
        <f aca="false">C162*輸入與假設!$C$158</f>
        <v>0</v>
      </c>
      <c r="D165" s="32" t="n">
        <f aca="false">D162*輸入與假設!$C$158</f>
        <v>0</v>
      </c>
      <c r="E165" s="32" t="n">
        <f aca="false">E162*輸入與假設!$C$158</f>
        <v>0</v>
      </c>
      <c r="F165" s="32" t="n">
        <f aca="false">F162*輸入與假設!$C$158</f>
        <v>0</v>
      </c>
      <c r="G165" s="32" t="n">
        <f aca="false">G162*輸入與假設!$C$158</f>
        <v>0</v>
      </c>
      <c r="I165" s="6" t="s">
        <v>370</v>
      </c>
    </row>
    <row r="166" customFormat="false" ht="15" hidden="false" customHeight="false" outlineLevel="2" collapsed="false">
      <c r="A166" s="3" t="s">
        <v>415</v>
      </c>
      <c r="B166" s="11" t="s">
        <v>65</v>
      </c>
      <c r="C166" s="24" t="n">
        <v>38.877</v>
      </c>
      <c r="I166" s="6" t="s">
        <v>345</v>
      </c>
    </row>
    <row r="167" customFormat="false" ht="15" hidden="false" customHeight="false" outlineLevel="2" collapsed="false">
      <c r="A167" s="3" t="s">
        <v>416</v>
      </c>
      <c r="B167" s="11" t="s">
        <v>65</v>
      </c>
      <c r="C167" s="24" t="n">
        <v>0</v>
      </c>
      <c r="I167" s="6" t="s">
        <v>347</v>
      </c>
    </row>
    <row r="168" customFormat="false" ht="15" hidden="false" customHeight="false" outlineLevel="2" collapsed="false">
      <c r="A168" s="3" t="s">
        <v>417</v>
      </c>
      <c r="B168" s="11" t="s">
        <v>42</v>
      </c>
      <c r="C168" s="23" t="n">
        <v>-0.046431</v>
      </c>
      <c r="I168" s="6" t="s">
        <v>349</v>
      </c>
    </row>
    <row r="169" customFormat="false" ht="15" hidden="false" customHeight="false" outlineLevel="2" collapsed="false">
      <c r="A169" s="3" t="s">
        <v>418</v>
      </c>
      <c r="B169" s="11" t="s">
        <v>42</v>
      </c>
      <c r="C169" s="23" t="n">
        <v>0.409908</v>
      </c>
      <c r="I169" s="11" t="s">
        <v>419</v>
      </c>
    </row>
    <row r="170" customFormat="false" ht="15" hidden="false" customHeight="false" outlineLevel="2" collapsed="false">
      <c r="A170" s="3" t="s">
        <v>420</v>
      </c>
      <c r="B170" s="11" t="s">
        <v>42</v>
      </c>
      <c r="C170" s="23" t="n">
        <v>0.02</v>
      </c>
      <c r="I170" s="6" t="s">
        <v>353</v>
      </c>
    </row>
    <row r="171" customFormat="false" ht="15" hidden="false" customHeight="false" outlineLevel="2" collapsed="false">
      <c r="A171" s="3" t="s">
        <v>421</v>
      </c>
      <c r="B171" s="11" t="s">
        <v>42</v>
      </c>
      <c r="C171" s="38" t="n">
        <f aca="false">輸入與假設!$C$169</f>
        <v>0.409908</v>
      </c>
      <c r="I171" s="6" t="s">
        <v>355</v>
      </c>
    </row>
    <row r="172" customFormat="false" ht="15" hidden="false" customHeight="false" outlineLevel="2" collapsed="false">
      <c r="A172" s="3" t="s">
        <v>422</v>
      </c>
      <c r="B172" s="11" t="s">
        <v>42</v>
      </c>
      <c r="C172" s="23" t="n">
        <v>0</v>
      </c>
      <c r="I172" s="6" t="s">
        <v>357</v>
      </c>
    </row>
    <row r="173" customFormat="false" ht="15" hidden="false" customHeight="false" outlineLevel="2" collapsed="false">
      <c r="A173" s="3" t="s">
        <v>423</v>
      </c>
      <c r="B173" s="11" t="s">
        <v>42</v>
      </c>
      <c r="C173" s="23" t="n">
        <v>0.03</v>
      </c>
      <c r="I173" s="6" t="s">
        <v>359</v>
      </c>
    </row>
    <row r="174" customFormat="false" ht="15" hidden="false" customHeight="false" outlineLevel="2" collapsed="false">
      <c r="A174" s="3" t="s">
        <v>424</v>
      </c>
      <c r="B174" s="11" t="s">
        <v>42</v>
      </c>
      <c r="C174" s="38" t="n">
        <f aca="false">輸入與假設!$C$168+(輸入與假設!$C$170-輸入與假設!$C$168)*0/4</f>
        <v>-0.046431</v>
      </c>
      <c r="D174" s="38" t="n">
        <f aca="false">輸入與假設!$C$168+(輸入與假設!$C$170-輸入與假設!$C$168)*1/4</f>
        <v>-0.02982325</v>
      </c>
      <c r="E174" s="38" t="n">
        <f aca="false">輸入與假設!$C$168+(輸入與假設!$C$170-輸入與假設!$C$168)*2/4</f>
        <v>-0.0132155</v>
      </c>
      <c r="F174" s="38" t="n">
        <f aca="false">輸入與假設!$C$168+(輸入與假設!$C$170-輸入與假設!$C$168)*3/4</f>
        <v>0.00339225</v>
      </c>
      <c r="G174" s="38" t="n">
        <f aca="false">輸入與假設!$C$168+(輸入與假設!$C$170-輸入與假設!$C$168)*4/4</f>
        <v>0.02</v>
      </c>
      <c r="I174" s="6" t="s">
        <v>361</v>
      </c>
    </row>
    <row r="175" customFormat="false" ht="15" hidden="false" customHeight="false" outlineLevel="2" collapsed="false">
      <c r="A175" s="3" t="s">
        <v>425</v>
      </c>
      <c r="B175" s="11" t="s">
        <v>65</v>
      </c>
      <c r="C175" s="32" t="n">
        <f aca="false">輸入與假設!$C$166*(1+C174)</f>
        <v>37.071902013</v>
      </c>
      <c r="D175" s="32" t="n">
        <f aca="false">C175*(1+D174)</f>
        <v>35.9662974112908</v>
      </c>
      <c r="E175" s="32" t="n">
        <f aca="false">D175*(1+E174)</f>
        <v>35.4909848078519</v>
      </c>
      <c r="F175" s="32" t="n">
        <f aca="false">E175*(1+F174)</f>
        <v>35.6113791010663</v>
      </c>
      <c r="G175" s="32" t="n">
        <f aca="false">F175*(1+G174)</f>
        <v>36.3236066830877</v>
      </c>
      <c r="I175" s="6" t="s">
        <v>363</v>
      </c>
    </row>
    <row r="176" customFormat="false" ht="15" hidden="false" customHeight="false" outlineLevel="2" collapsed="false">
      <c r="A176" s="3" t="s">
        <v>426</v>
      </c>
      <c r="B176" s="11" t="s">
        <v>65</v>
      </c>
      <c r="C176" s="32" t="n">
        <f aca="false">C175-輸入與假設!$C$167</f>
        <v>37.071902013</v>
      </c>
      <c r="D176" s="32" t="n">
        <f aca="false">D175</f>
        <v>35.9662974112908</v>
      </c>
      <c r="E176" s="32" t="n">
        <f aca="false">E175</f>
        <v>35.4909848078519</v>
      </c>
      <c r="F176" s="32" t="n">
        <f aca="false">F175</f>
        <v>35.6113791010663</v>
      </c>
      <c r="G176" s="32" t="n">
        <f aca="false">G175</f>
        <v>36.3236066830877</v>
      </c>
      <c r="I176" s="11" t="s">
        <v>365</v>
      </c>
    </row>
    <row r="177" customFormat="false" ht="15" hidden="false" customHeight="false" outlineLevel="2" collapsed="false">
      <c r="A177" s="3" t="s">
        <v>427</v>
      </c>
      <c r="B177" s="11" t="s">
        <v>42</v>
      </c>
      <c r="C177" s="38" t="n">
        <f aca="false">輸入與假設!$C$169+(輸入與假設!$C$171-輸入與假設!$C$169)*0/4</f>
        <v>0.409908</v>
      </c>
      <c r="D177" s="38" t="n">
        <f aca="false">輸入與假設!$C$169+(輸入與假設!$C$171-輸入與假設!$C$169)*1/4</f>
        <v>0.409908</v>
      </c>
      <c r="E177" s="38" t="n">
        <f aca="false">輸入與假設!$C$169+(輸入與假設!$C$171-輸入與假設!$C$169)*2/4</f>
        <v>0.409908</v>
      </c>
      <c r="F177" s="38" t="n">
        <f aca="false">輸入與假設!$C$169+(輸入與假設!$C$171-輸入與假設!$C$169)*3/4</f>
        <v>0.409908</v>
      </c>
      <c r="G177" s="38" t="n">
        <f aca="false">輸入與假設!$C$169+(輸入與假設!$C$171-輸入與假設!$C$169)*4/4</f>
        <v>0.409908</v>
      </c>
      <c r="I177" s="6" t="s">
        <v>361</v>
      </c>
    </row>
    <row r="178" customFormat="false" ht="15" hidden="false" customHeight="false" outlineLevel="2" collapsed="false">
      <c r="A178" s="3" t="s">
        <v>428</v>
      </c>
      <c r="B178" s="11" t="s">
        <v>65</v>
      </c>
      <c r="C178" s="32" t="n">
        <f aca="false">C176*C177</f>
        <v>15.1960692103448</v>
      </c>
      <c r="D178" s="32" t="n">
        <f aca="false">D176*D177</f>
        <v>14.7428730392674</v>
      </c>
      <c r="E178" s="32" t="n">
        <f aca="false">E176*E177</f>
        <v>14.5480386006169</v>
      </c>
      <c r="F178" s="32" t="n">
        <f aca="false">F176*F177</f>
        <v>14.5973891845599</v>
      </c>
      <c r="G178" s="32" t="n">
        <f aca="false">G176*G177</f>
        <v>14.8893369682511</v>
      </c>
      <c r="I178" s="6" t="s">
        <v>368</v>
      </c>
    </row>
    <row r="179" customFormat="false" ht="15" hidden="false" customHeight="false" outlineLevel="2" collapsed="false">
      <c r="A179" s="3" t="s">
        <v>429</v>
      </c>
      <c r="B179" s="11" t="s">
        <v>65</v>
      </c>
      <c r="C179" s="32" t="n">
        <f aca="false">C176*輸入與假設!$C$172</f>
        <v>0</v>
      </c>
      <c r="D179" s="32" t="n">
        <f aca="false">D176*輸入與假設!$C$172</f>
        <v>0</v>
      </c>
      <c r="E179" s="32" t="n">
        <f aca="false">E176*輸入與假設!$C$172</f>
        <v>0</v>
      </c>
      <c r="F179" s="32" t="n">
        <f aca="false">F176*輸入與假設!$C$172</f>
        <v>0</v>
      </c>
      <c r="G179" s="32" t="n">
        <f aca="false">G176*輸入與假設!$C$172</f>
        <v>0</v>
      </c>
      <c r="I179" s="6" t="s">
        <v>370</v>
      </c>
    </row>
    <row r="180" customFormat="false" ht="15" hidden="false" customHeight="false" outlineLevel="2" collapsed="false">
      <c r="A180" s="3" t="s">
        <v>430</v>
      </c>
      <c r="B180" s="11" t="s">
        <v>65</v>
      </c>
      <c r="C180" s="24" t="n">
        <v>0</v>
      </c>
      <c r="I180" s="6" t="s">
        <v>431</v>
      </c>
    </row>
    <row r="181" customFormat="false" ht="15" hidden="false" customHeight="false" outlineLevel="2" collapsed="false">
      <c r="A181" s="3" t="s">
        <v>432</v>
      </c>
      <c r="B181" s="11" t="s">
        <v>65</v>
      </c>
      <c r="C181" s="24" t="n">
        <v>101.938</v>
      </c>
      <c r="I181" s="6" t="s">
        <v>433</v>
      </c>
    </row>
    <row r="182" customFormat="false" ht="15" hidden="false" customHeight="false" outlineLevel="2" collapsed="false">
      <c r="A182" s="3" t="s">
        <v>434</v>
      </c>
      <c r="B182" s="11" t="s">
        <v>42</v>
      </c>
      <c r="C182" s="23" t="n">
        <v>0.403911</v>
      </c>
      <c r="I182" s="6" t="s">
        <v>435</v>
      </c>
    </row>
    <row r="183" customFormat="false" ht="15" hidden="false" customHeight="false" outlineLevel="2" collapsed="false">
      <c r="A183" s="3" t="s">
        <v>436</v>
      </c>
      <c r="B183" s="11" t="s">
        <v>65</v>
      </c>
      <c r="C183" s="24" t="n">
        <v>101.938</v>
      </c>
      <c r="I183" s="11" t="s">
        <v>437</v>
      </c>
    </row>
    <row r="184" customFormat="false" ht="15" hidden="false" customHeight="false" outlineLevel="2" collapsed="false">
      <c r="A184" s="3" t="s">
        <v>438</v>
      </c>
      <c r="B184" s="11" t="s">
        <v>65</v>
      </c>
      <c r="C184" s="24" t="n">
        <v>72.61</v>
      </c>
      <c r="I184" s="11" t="s">
        <v>437</v>
      </c>
    </row>
    <row r="185" customFormat="false" ht="15" hidden="false" customHeight="false" outlineLevel="2" collapsed="false">
      <c r="A185" s="3" t="s">
        <v>439</v>
      </c>
      <c r="B185" s="11" t="s">
        <v>65</v>
      </c>
      <c r="C185" s="24" t="n">
        <v>57.777653</v>
      </c>
      <c r="I185" s="6" t="s">
        <v>440</v>
      </c>
    </row>
    <row r="186" customFormat="false" ht="15" hidden="false" customHeight="false" outlineLevel="2" collapsed="false">
      <c r="A186" s="3" t="s">
        <v>441</v>
      </c>
      <c r="B186" s="11" t="s">
        <v>157</v>
      </c>
      <c r="C186" s="21" t="n">
        <v>2440</v>
      </c>
      <c r="I186" s="6" t="s">
        <v>442</v>
      </c>
    </row>
    <row r="187" customFormat="false" ht="15" hidden="false" customHeight="false" outlineLevel="2" collapsed="false">
      <c r="A187" s="3" t="s">
        <v>443</v>
      </c>
      <c r="B187" s="11" t="s">
        <v>157</v>
      </c>
      <c r="C187" s="21" t="n">
        <v>1135</v>
      </c>
      <c r="I187" s="6" t="s">
        <v>444</v>
      </c>
    </row>
    <row r="188" customFormat="false" ht="15" hidden="false" customHeight="false" outlineLevel="2" collapsed="false">
      <c r="A188" s="3" t="s">
        <v>445</v>
      </c>
      <c r="B188" s="11" t="s">
        <v>65</v>
      </c>
      <c r="C188" s="32" t="n">
        <f aca="false">輸入與假設!$C$108*(輸入與假設!$C$28+輸入與假設!$C$29)/2*0</f>
        <v>0</v>
      </c>
      <c r="I188" s="6" t="s">
        <v>446</v>
      </c>
    </row>
    <row r="189" customFormat="false" ht="15" hidden="false" customHeight="false" outlineLevel="2" collapsed="false">
      <c r="A189" s="3" t="s">
        <v>447</v>
      </c>
      <c r="B189" s="11" t="s">
        <v>65</v>
      </c>
      <c r="C189" s="32" t="n">
        <f aca="false">輸入與假設!$C$108*輸入與假設!$C$186</f>
        <v>29.719883181408</v>
      </c>
      <c r="I189" s="6" t="s">
        <v>448</v>
      </c>
    </row>
    <row r="190" customFormat="false" ht="15" hidden="false" customHeight="false" outlineLevel="2" collapsed="false">
      <c r="A190" s="3" t="s">
        <v>449</v>
      </c>
      <c r="B190" s="11" t="s">
        <v>65</v>
      </c>
      <c r="C190" s="32" t="n">
        <f aca="false">輸入與假設!$C$108*輸入與假設!$C$187</f>
        <v>13.8246177913517</v>
      </c>
      <c r="I190" s="6" t="s">
        <v>450</v>
      </c>
    </row>
    <row r="191" customFormat="false" ht="15" hidden="false" customHeight="false" outlineLevel="2" collapsed="false">
      <c r="A191" s="3" t="s">
        <v>451</v>
      </c>
      <c r="B191" s="11" t="s">
        <v>42</v>
      </c>
      <c r="C191" s="38" t="n">
        <f aca="false">(輸入與假設!$C$183-輸入與假設!$C$189)/(輸入與假設!$C$184-輸入與假設!$C$190)-1</f>
        <v>0.228504674210785</v>
      </c>
      <c r="I191" s="6" t="s">
        <v>452</v>
      </c>
    </row>
    <row r="192" customFormat="false" ht="15" hidden="false" customHeight="false" outlineLevel="2" collapsed="false">
      <c r="A192" s="3" t="s">
        <v>453</v>
      </c>
      <c r="B192" s="11" t="s">
        <v>65</v>
      </c>
      <c r="C192" s="32" t="n">
        <f aca="false">輸入與假設!$C$180-輸入與假設!$C$188</f>
        <v>0</v>
      </c>
      <c r="I192" s="6" t="s">
        <v>454</v>
      </c>
    </row>
    <row r="193" customFormat="false" ht="15" hidden="false" customHeight="false" outlineLevel="2" collapsed="false">
      <c r="A193" s="3" t="s">
        <v>455</v>
      </c>
      <c r="B193" s="11" t="s">
        <v>42</v>
      </c>
      <c r="C193" s="38" t="n">
        <f aca="false">(輸入與假設!$C$185-輸入與假設!$C$189*輸入與假設!$C$109)/(輸入與假設!$C$183-輸入與假設!$C$189)</f>
        <v>0.471693313412228</v>
      </c>
      <c r="I193" s="6" t="s">
        <v>456</v>
      </c>
    </row>
    <row r="194" customFormat="false" ht="15" hidden="false" customHeight="false" outlineLevel="2" collapsed="false">
      <c r="A194" s="3" t="s">
        <v>457</v>
      </c>
      <c r="B194" s="11" t="s">
        <v>42</v>
      </c>
      <c r="C194" s="23" t="n">
        <v>0.08</v>
      </c>
      <c r="I194" s="6" t="s">
        <v>353</v>
      </c>
    </row>
    <row r="195" customFormat="false" ht="15" hidden="false" customHeight="false" outlineLevel="2" collapsed="false">
      <c r="A195" s="3" t="s">
        <v>458</v>
      </c>
      <c r="B195" s="11" t="s">
        <v>42</v>
      </c>
      <c r="C195" s="38" t="n">
        <f aca="false">輸入與假設!$C$193</f>
        <v>0.471693313412228</v>
      </c>
      <c r="I195" s="6" t="s">
        <v>355</v>
      </c>
    </row>
    <row r="196" customFormat="false" ht="15" hidden="false" customHeight="false" outlineLevel="2" collapsed="false">
      <c r="A196" s="3" t="s">
        <v>459</v>
      </c>
      <c r="B196" s="11" t="s">
        <v>42</v>
      </c>
      <c r="C196" s="23" t="n">
        <v>0</v>
      </c>
      <c r="I196" s="6" t="s">
        <v>357</v>
      </c>
    </row>
    <row r="197" customFormat="false" ht="15" hidden="false" customHeight="false" outlineLevel="2" collapsed="false">
      <c r="A197" s="3" t="s">
        <v>460</v>
      </c>
      <c r="B197" s="11" t="s">
        <v>42</v>
      </c>
      <c r="C197" s="23" t="n">
        <v>0.2</v>
      </c>
      <c r="I197" s="6" t="s">
        <v>359</v>
      </c>
    </row>
    <row r="198" customFormat="false" ht="15" hidden="false" customHeight="false" outlineLevel="2" collapsed="false">
      <c r="A198" s="3" t="s">
        <v>461</v>
      </c>
      <c r="B198" s="11" t="s">
        <v>42</v>
      </c>
      <c r="C198" s="38" t="n">
        <f aca="false">輸入與假設!$C$191+(輸入與假設!$C$194-輸入與假設!$C$191)*0/4</f>
        <v>0.228504674210785</v>
      </c>
      <c r="D198" s="38" t="n">
        <f aca="false">輸入與假設!$C$191+(輸入與假設!$C$194-輸入與假設!$C$191)*1/4</f>
        <v>0.191378505658089</v>
      </c>
      <c r="E198" s="38" t="n">
        <f aca="false">輸入與假設!$C$191+(輸入與假設!$C$194-輸入與假設!$C$191)*2/4</f>
        <v>0.154252337105393</v>
      </c>
      <c r="F198" s="38" t="n">
        <f aca="false">輸入與假設!$C$191+(輸入與假設!$C$194-輸入與假設!$C$191)*3/4</f>
        <v>0.117126168552696</v>
      </c>
      <c r="G198" s="38" t="n">
        <f aca="false">輸入與假設!$C$191+(輸入與假設!$C$194-輸入與假設!$C$191)*4/4</f>
        <v>0.08</v>
      </c>
      <c r="I198" s="6" t="s">
        <v>361</v>
      </c>
    </row>
    <row r="199" customFormat="false" ht="15" hidden="false" customHeight="false" outlineLevel="2" collapsed="false">
      <c r="A199" s="3" t="s">
        <v>462</v>
      </c>
      <c r="B199" s="11" t="s">
        <v>65</v>
      </c>
      <c r="C199" s="32" t="n">
        <f aca="false">輸入與假設!$C$180+輸入與假設!$C$181*(1+輸入與假設!$C$182)-輸入與假設!$C$188-C107</f>
        <v>89.3609129256251</v>
      </c>
      <c r="D199" s="32" t="n">
        <f aca="false">C199*(1+D198)</f>
        <v>106.462670905574</v>
      </c>
      <c r="E199" s="32" t="n">
        <f aca="false">D199*(1+E198)</f>
        <v>122.884786707241</v>
      </c>
      <c r="F199" s="32" t="n">
        <f aca="false">E199*(1+F198)</f>
        <v>137.277810947675</v>
      </c>
      <c r="G199" s="32" t="n">
        <f aca="false">F199*(1+G198)</f>
        <v>148.260035823489</v>
      </c>
      <c r="I199" s="11" t="s">
        <v>463</v>
      </c>
    </row>
    <row r="200" customFormat="false" ht="15" hidden="false" customHeight="false" outlineLevel="2" collapsed="false">
      <c r="A200" s="3" t="s">
        <v>464</v>
      </c>
      <c r="B200" s="11" t="s">
        <v>65</v>
      </c>
      <c r="C200" s="32" t="n">
        <f aca="false">C199-輸入與假設!$C$192</f>
        <v>89.3609129256251</v>
      </c>
      <c r="D200" s="32" t="n">
        <f aca="false">D199</f>
        <v>106.462670905574</v>
      </c>
      <c r="E200" s="32" t="n">
        <f aca="false">E199</f>
        <v>122.884786707241</v>
      </c>
      <c r="F200" s="32" t="n">
        <f aca="false">F199</f>
        <v>137.277810947675</v>
      </c>
      <c r="G200" s="32" t="n">
        <f aca="false">G199</f>
        <v>148.260035823489</v>
      </c>
      <c r="I200" s="11" t="s">
        <v>365</v>
      </c>
    </row>
    <row r="201" customFormat="false" ht="15" hidden="false" customHeight="false" outlineLevel="2" collapsed="false">
      <c r="A201" s="3" t="s">
        <v>465</v>
      </c>
      <c r="B201" s="11" t="s">
        <v>42</v>
      </c>
      <c r="C201" s="38" t="n">
        <f aca="false">輸入與假設!$C$193+(輸入與假設!$C$195-輸入與假設!$C$193)*0/4</f>
        <v>0.471693313412228</v>
      </c>
      <c r="D201" s="38" t="n">
        <f aca="false">輸入與假設!$C$193+(輸入與假設!$C$195-輸入與假設!$C$193)*1/4</f>
        <v>0.471693313412228</v>
      </c>
      <c r="E201" s="38" t="n">
        <f aca="false">輸入與假設!$C$193+(輸入與假設!$C$195-輸入與假設!$C$193)*2/4</f>
        <v>0.471693313412228</v>
      </c>
      <c r="F201" s="38" t="n">
        <f aca="false">輸入與假設!$C$193+(輸入與假設!$C$195-輸入與假設!$C$193)*3/4</f>
        <v>0.471693313412228</v>
      </c>
      <c r="G201" s="38" t="n">
        <f aca="false">輸入與假設!$C$193+(輸入與假設!$C$195-輸入與假設!$C$193)*4/4</f>
        <v>0.471693313412228</v>
      </c>
      <c r="I201" s="6" t="s">
        <v>361</v>
      </c>
    </row>
    <row r="202" customFormat="false" ht="15" hidden="false" customHeight="false" outlineLevel="2" collapsed="false">
      <c r="A202" s="3" t="s">
        <v>466</v>
      </c>
      <c r="B202" s="11" t="s">
        <v>65</v>
      </c>
      <c r="C202" s="32" t="n">
        <f aca="false">C200*C201</f>
        <v>42.1509451074297</v>
      </c>
      <c r="D202" s="32" t="n">
        <f aca="false">D200*D201</f>
        <v>50.2177299941658</v>
      </c>
      <c r="E202" s="32" t="n">
        <f aca="false">E200*E201</f>
        <v>57.9639322098934</v>
      </c>
      <c r="F202" s="32" t="n">
        <f aca="false">F200*F201</f>
        <v>64.7530255038864</v>
      </c>
      <c r="G202" s="32" t="n">
        <f aca="false">G200*G201</f>
        <v>69.9332675441974</v>
      </c>
      <c r="I202" s="6" t="s">
        <v>368</v>
      </c>
    </row>
    <row r="203" customFormat="false" ht="15" hidden="false" customHeight="false" outlineLevel="2" collapsed="false">
      <c r="A203" s="3" t="s">
        <v>467</v>
      </c>
      <c r="B203" s="11" t="s">
        <v>65</v>
      </c>
      <c r="C203" s="32" t="n">
        <f aca="false">C200*輸入與假設!$C$196</f>
        <v>0</v>
      </c>
      <c r="D203" s="32" t="n">
        <f aca="false">D200*輸入與假設!$C$196</f>
        <v>0</v>
      </c>
      <c r="E203" s="32" t="n">
        <f aca="false">E200*輸入與假設!$C$196</f>
        <v>0</v>
      </c>
      <c r="F203" s="32" t="n">
        <f aca="false">F200*輸入與假設!$C$196</f>
        <v>0</v>
      </c>
      <c r="G203" s="32" t="n">
        <f aca="false">G200*輸入與假設!$C$196</f>
        <v>0</v>
      </c>
      <c r="I203" s="6" t="s">
        <v>370</v>
      </c>
    </row>
    <row r="204" customFormat="false" ht="15" hidden="false" customHeight="false" outlineLevel="2" collapsed="false">
      <c r="A204" s="3" t="s">
        <v>468</v>
      </c>
      <c r="B204" s="11" t="s">
        <v>65</v>
      </c>
      <c r="C204" s="32" t="n">
        <f aca="false">C120+C134+C148+C162+C176+C200</f>
        <v>343.694621261625</v>
      </c>
      <c r="D204" s="32" t="n">
        <f aca="false">D120+D134+D148+D162+D176+D200</f>
        <v>386.693966028883</v>
      </c>
      <c r="E204" s="32" t="n">
        <f aca="false">E120+E134+E148+E162+E176+E200</f>
        <v>429.60371349969</v>
      </c>
      <c r="F204" s="32" t="n">
        <f aca="false">F120+F134+F148+F162+F176+F200</f>
        <v>470.090003510524</v>
      </c>
      <c r="G204" s="32" t="n">
        <f aca="false">G120+G134+G148+G162+G176+G200</f>
        <v>505.721307253886</v>
      </c>
      <c r="I204" s="6" t="s">
        <v>469</v>
      </c>
    </row>
    <row r="205" customFormat="false" ht="15" hidden="false" customHeight="false" outlineLevel="2" collapsed="false">
      <c r="A205" s="3" t="s">
        <v>470</v>
      </c>
      <c r="B205" s="11" t="s">
        <v>65</v>
      </c>
      <c r="C205" s="32" t="n">
        <f aca="false">C122+C136+C150+C164+C178+C202</f>
        <v>201.10205285822</v>
      </c>
      <c r="D205" s="32" t="n">
        <f aca="false">D122+D136+D150+D164+D178+D202</f>
        <v>226.60460267977</v>
      </c>
      <c r="E205" s="32" t="n">
        <f aca="false">E122+E136+E150+E164+E178+E202</f>
        <v>251.982672316025</v>
      </c>
      <c r="F205" s="32" t="n">
        <f aca="false">F122+F136+F150+F164+F178+F202</f>
        <v>275.932196777933</v>
      </c>
      <c r="G205" s="32" t="n">
        <f aca="false">G122+G136+G150+G164+G178+G202</f>
        <v>297.080300500921</v>
      </c>
      <c r="I205" s="6" t="s">
        <v>471</v>
      </c>
    </row>
    <row r="206" customFormat="false" ht="15" hidden="false" customHeight="false" outlineLevel="2" collapsed="false">
      <c r="A206" s="3" t="s">
        <v>472</v>
      </c>
      <c r="B206" s="11" t="s">
        <v>65</v>
      </c>
      <c r="C206" s="32" t="n">
        <f aca="false">C123+C137+C151+C165+C179+C203</f>
        <v>0</v>
      </c>
      <c r="D206" s="32" t="n">
        <f aca="false">D123+D137+D151+D165+D179+D203</f>
        <v>0</v>
      </c>
      <c r="E206" s="32" t="n">
        <f aca="false">E123+E137+E151+E165+E179+E203</f>
        <v>0</v>
      </c>
      <c r="F206" s="32" t="n">
        <f aca="false">F123+F137+F151+F165+F179+F203</f>
        <v>0</v>
      </c>
      <c r="G206" s="32" t="n">
        <f aca="false">G123+G137+G151+G165+G179+G203</f>
        <v>0</v>
      </c>
      <c r="I206" s="6" t="s">
        <v>473</v>
      </c>
    </row>
    <row r="207" customFormat="false" ht="15" hidden="false" customHeight="false" outlineLevel="2" collapsed="false">
      <c r="A207" s="3" t="s">
        <v>474</v>
      </c>
      <c r="B207" s="11" t="s">
        <v>42</v>
      </c>
      <c r="C207" s="38" t="n">
        <f aca="false">C205/MAX(0.000000001,C204)</f>
        <v>0.585118417390473</v>
      </c>
      <c r="D207" s="38" t="n">
        <f aca="false">D205/MAX(0.000000001,D204)</f>
        <v>0.586005013232724</v>
      </c>
      <c r="E207" s="38" t="n">
        <f aca="false">E205/MAX(0.000000001,E204)</f>
        <v>0.586546774149816</v>
      </c>
      <c r="F207" s="38" t="n">
        <f aca="false">F205/MAX(0.000000001,F204)</f>
        <v>0.586977376071253</v>
      </c>
      <c r="G207" s="38" t="n">
        <f aca="false">G205/MAX(0.000000001,G204)</f>
        <v>0.587438765659479</v>
      </c>
      <c r="I207" s="6" t="s">
        <v>475</v>
      </c>
    </row>
    <row r="208" customFormat="false" ht="15" hidden="false" customHeight="false" outlineLevel="2" collapsed="false">
      <c r="A208" s="3" t="s">
        <v>476</v>
      </c>
      <c r="B208" s="11" t="s">
        <v>65</v>
      </c>
      <c r="C208" s="32" t="n">
        <f aca="false">輸入與假設!$C$111+C120-C119+輸入與假設!$C$125+C134-C133+輸入與假設!$C$139+C148-C147+輸入與假設!$C$153+C162-C161+輸入與假設!$C$167+C176-C175+輸入與假設!$C$192+C200-C199</f>
        <v>0</v>
      </c>
      <c r="I208" s="6" t="s">
        <v>477</v>
      </c>
    </row>
    <row r="210" customFormat="false" ht="15" hidden="false" customHeight="false" outlineLevel="0" collapsed="false">
      <c r="A210" s="7" t="s">
        <v>478</v>
      </c>
      <c r="B210" s="8"/>
      <c r="C210" s="8"/>
      <c r="D210" s="8"/>
      <c r="E210" s="8"/>
      <c r="F210" s="8"/>
      <c r="G210" s="8"/>
      <c r="H210" s="8"/>
    </row>
    <row r="211" customFormat="false" ht="15" hidden="false" customHeight="false" outlineLevel="1" collapsed="false">
      <c r="A211" s="3" t="s">
        <v>479</v>
      </c>
      <c r="B211" s="11" t="s">
        <v>42</v>
      </c>
      <c r="C211" s="40" t="n">
        <v>0.79</v>
      </c>
      <c r="I211" s="11" t="s">
        <v>480</v>
      </c>
    </row>
    <row r="212" customFormat="false" ht="15" hidden="false" customHeight="false" outlineLevel="1" collapsed="false">
      <c r="A212" s="3" t="s">
        <v>481</v>
      </c>
      <c r="B212" s="11" t="s">
        <v>42</v>
      </c>
      <c r="C212" s="40" t="n">
        <v>0.79</v>
      </c>
      <c r="I212" s="6" t="s">
        <v>482</v>
      </c>
    </row>
    <row r="213" customFormat="false" ht="15" hidden="false" customHeight="false" outlineLevel="1" collapsed="false">
      <c r="A213" s="14" t="s">
        <v>59</v>
      </c>
      <c r="B213" s="14" t="s">
        <v>60</v>
      </c>
      <c r="C213" s="28" t="s">
        <v>61</v>
      </c>
      <c r="D213" s="28" t="s">
        <v>62</v>
      </c>
      <c r="E213" s="28" t="s">
        <v>63</v>
      </c>
      <c r="F213" s="28" t="s">
        <v>153</v>
      </c>
      <c r="G213" s="28" t="s">
        <v>154</v>
      </c>
      <c r="I213" s="14" t="s">
        <v>206</v>
      </c>
    </row>
    <row r="214" customFormat="false" ht="15" hidden="false" customHeight="false" outlineLevel="1" collapsed="false">
      <c r="A214" s="4" t="s">
        <v>483</v>
      </c>
      <c r="B214" s="11" t="s">
        <v>42</v>
      </c>
      <c r="C214" s="38" t="n">
        <f aca="false">1-C103/1000/MAX(0.000000001,C39*輸入與假設!$C$32)</f>
        <v>0.797878310782901</v>
      </c>
      <c r="D214" s="38" t="n">
        <f aca="false">1-D103/1000/MAX(0.000000001,D39*輸入與假設!$C$32)</f>
        <v>0.800296436214699</v>
      </c>
      <c r="E214" s="38" t="n">
        <f aca="false">1-E103/1000/MAX(0.000000001,E39*輸入與假設!$C$32)</f>
        <v>0.80156246567614</v>
      </c>
      <c r="F214" s="38" t="n">
        <f aca="false">1-F103/1000/MAX(0.000000001,F39*輸入與假設!$C$32)</f>
        <v>0.802337649659042</v>
      </c>
      <c r="G214" s="38" t="n">
        <f aca="false">1-G103/1000/MAX(0.000000001,G39*輸入與假設!$C$32)</f>
        <v>0.802861091937598</v>
      </c>
      <c r="I214" s="6" t="s">
        <v>484</v>
      </c>
    </row>
    <row r="215" customFormat="false" ht="15" hidden="false" customHeight="false" outlineLevel="1" collapsed="false">
      <c r="A215" s="3" t="s">
        <v>485</v>
      </c>
      <c r="B215" s="11" t="s">
        <v>65</v>
      </c>
      <c r="C215" s="32" t="n">
        <f aca="false">輸入與假設!C$43*運營_產能與收入!C39</f>
        <v>0</v>
      </c>
      <c r="D215" s="32" t="n">
        <f aca="false">輸入與假設!D$43*運營_產能與收入!D39</f>
        <v>0</v>
      </c>
      <c r="E215" s="32" t="n">
        <f aca="false">輸入與假設!E$43*運營_產能與收入!E39</f>
        <v>0</v>
      </c>
      <c r="F215" s="32" t="n">
        <f aca="false">輸入與假設!F$43*運營_產能與收入!F39</f>
        <v>0</v>
      </c>
      <c r="G215" s="32" t="n">
        <f aca="false">輸入與假設!G$43*運營_產能與收入!G39</f>
        <v>0</v>
      </c>
      <c r="I215" s="6" t="s">
        <v>486</v>
      </c>
    </row>
    <row r="216" customFormat="false" ht="15" hidden="false" customHeight="false" outlineLevel="1" collapsed="true">
      <c r="A216" s="19" t="s">
        <v>487</v>
      </c>
      <c r="B216" s="20"/>
      <c r="C216" s="20"/>
      <c r="D216" s="20"/>
      <c r="E216" s="20"/>
      <c r="F216" s="20"/>
      <c r="G216" s="20"/>
      <c r="H216" s="20"/>
    </row>
    <row r="217" customFormat="false" ht="15" hidden="true" customHeight="false" outlineLevel="2" collapsed="false">
      <c r="A217" s="3" t="s">
        <v>488</v>
      </c>
      <c r="B217" s="6"/>
      <c r="C217" s="21" t="n">
        <v>0</v>
      </c>
      <c r="I217" s="11" t="s">
        <v>489</v>
      </c>
    </row>
    <row r="218" customFormat="false" ht="15" hidden="true" customHeight="false" outlineLevel="2" collapsed="false">
      <c r="A218" s="3" t="s">
        <v>490</v>
      </c>
      <c r="B218" s="11" t="s">
        <v>491</v>
      </c>
      <c r="C218" s="21" t="n">
        <v>60</v>
      </c>
      <c r="D218" s="21" t="n">
        <v>62</v>
      </c>
      <c r="E218" s="21" t="n">
        <v>64</v>
      </c>
      <c r="F218" s="21" t="n">
        <v>66</v>
      </c>
      <c r="G218" s="21" t="n">
        <v>68</v>
      </c>
      <c r="I218" s="11" t="s">
        <v>492</v>
      </c>
    </row>
    <row r="219" customFormat="false" ht="15" hidden="true" customHeight="false" outlineLevel="2" collapsed="false">
      <c r="A219" s="4" t="s">
        <v>493</v>
      </c>
      <c r="B219" s="6"/>
      <c r="C219" s="37" t="n">
        <v>1.2</v>
      </c>
      <c r="D219" s="37" t="n">
        <v>1.2</v>
      </c>
      <c r="E219" s="37" t="n">
        <v>1.2</v>
      </c>
      <c r="F219" s="37" t="n">
        <v>1.2</v>
      </c>
      <c r="G219" s="37" t="n">
        <v>1.2</v>
      </c>
      <c r="I219" s="11" t="s">
        <v>492</v>
      </c>
    </row>
    <row r="220" customFormat="false" ht="15" hidden="true" customHeight="false" outlineLevel="2" collapsed="false">
      <c r="A220" s="3" t="s">
        <v>494</v>
      </c>
      <c r="B220" s="11" t="s">
        <v>280</v>
      </c>
      <c r="C220" s="37" t="n">
        <v>0.15</v>
      </c>
      <c r="D220" s="37" t="n">
        <v>0.15</v>
      </c>
      <c r="E220" s="37" t="n">
        <v>0.16</v>
      </c>
      <c r="F220" s="37" t="n">
        <v>0.16</v>
      </c>
      <c r="G220" s="37" t="n">
        <v>0.17</v>
      </c>
      <c r="I220" s="11" t="s">
        <v>492</v>
      </c>
    </row>
    <row r="222" customFormat="false" ht="15" hidden="false" customHeight="false" outlineLevel="0" collapsed="false">
      <c r="A222" s="7" t="s">
        <v>495</v>
      </c>
      <c r="B222" s="8"/>
      <c r="C222" s="8"/>
      <c r="D222" s="8"/>
      <c r="E222" s="8"/>
      <c r="F222" s="8"/>
      <c r="G222" s="8"/>
      <c r="H222" s="8"/>
    </row>
    <row r="223" customFormat="false" ht="15" hidden="false" customHeight="false" outlineLevel="1" collapsed="false">
      <c r="A223" s="3" t="s">
        <v>496</v>
      </c>
      <c r="B223" s="11" t="s">
        <v>42</v>
      </c>
      <c r="C223" s="23" t="n">
        <v>0.35</v>
      </c>
      <c r="I223" s="6" t="s">
        <v>497</v>
      </c>
    </row>
    <row r="224" customFormat="false" ht="15" hidden="false" customHeight="false" outlineLevel="1" collapsed="false">
      <c r="A224" s="4" t="s">
        <v>498</v>
      </c>
      <c r="B224" s="11" t="s">
        <v>157</v>
      </c>
      <c r="C224" s="22" t="n">
        <f aca="false">CHOOSE(輸入與假設!$C$5,I11,I14,I17)</f>
        <v>2325.9</v>
      </c>
      <c r="I224" s="6" t="s">
        <v>499</v>
      </c>
    </row>
    <row r="225" customFormat="false" ht="15" hidden="false" customHeight="false" outlineLevel="1" collapsed="false">
      <c r="A225" s="4" t="s">
        <v>500</v>
      </c>
      <c r="B225" s="11" t="s">
        <v>65</v>
      </c>
      <c r="C225" s="24" t="n">
        <v>204.2</v>
      </c>
      <c r="I225" s="6" t="s">
        <v>501</v>
      </c>
    </row>
    <row r="226" customFormat="false" ht="15" hidden="false" customHeight="false" outlineLevel="1" collapsed="false">
      <c r="A226" s="4" t="s">
        <v>502</v>
      </c>
      <c r="B226" s="6" t="s">
        <v>184</v>
      </c>
      <c r="C226" s="21" t="n">
        <v>6</v>
      </c>
      <c r="I226" s="11" t="s">
        <v>503</v>
      </c>
    </row>
    <row r="227" customFormat="false" ht="15" hidden="false" customHeight="false" outlineLevel="1" collapsed="false">
      <c r="A227" s="3" t="s">
        <v>504</v>
      </c>
      <c r="B227" s="11" t="s">
        <v>42</v>
      </c>
      <c r="C227" s="23" t="n">
        <v>0.6</v>
      </c>
      <c r="I227" s="6" t="s">
        <v>505</v>
      </c>
    </row>
    <row r="228" customFormat="false" ht="15" hidden="false" customHeight="false" outlineLevel="1" collapsed="false">
      <c r="A228" s="3" t="s">
        <v>506</v>
      </c>
      <c r="B228" s="11" t="s">
        <v>42</v>
      </c>
      <c r="C228" s="23" t="n">
        <v>0.6</v>
      </c>
      <c r="I228" s="6" t="s">
        <v>507</v>
      </c>
    </row>
    <row r="229" customFormat="false" ht="15" hidden="false" customHeight="false" outlineLevel="1" collapsed="false">
      <c r="A229" s="3" t="s">
        <v>508</v>
      </c>
      <c r="B229" s="11" t="s">
        <v>65</v>
      </c>
      <c r="C229" s="24" t="n">
        <v>44.088</v>
      </c>
      <c r="I229" s="6" t="s">
        <v>509</v>
      </c>
    </row>
    <row r="230" customFormat="false" ht="15" hidden="false" customHeight="false" outlineLevel="1" collapsed="false">
      <c r="A230" s="4" t="s">
        <v>510</v>
      </c>
      <c r="B230" s="11" t="s">
        <v>157</v>
      </c>
      <c r="C230" s="21" t="n">
        <v>640</v>
      </c>
      <c r="I230" s="11" t="s">
        <v>511</v>
      </c>
    </row>
    <row r="231" customFormat="false" ht="15" hidden="false" customHeight="false" outlineLevel="1" collapsed="false">
      <c r="A231" s="4" t="s">
        <v>512</v>
      </c>
      <c r="B231" s="11" t="s">
        <v>157</v>
      </c>
      <c r="C231" s="21" t="n">
        <v>1630</v>
      </c>
      <c r="I231" s="11" t="s">
        <v>513</v>
      </c>
    </row>
    <row r="232" customFormat="false" ht="15" hidden="false" customHeight="false" outlineLevel="1" collapsed="false">
      <c r="A232" s="4" t="s">
        <v>514</v>
      </c>
      <c r="B232" s="11" t="s">
        <v>65</v>
      </c>
      <c r="C232" s="24" t="n">
        <v>313.076</v>
      </c>
      <c r="I232" s="6" t="s">
        <v>515</v>
      </c>
    </row>
    <row r="233" customFormat="false" ht="15" hidden="false" customHeight="false" outlineLevel="1" collapsed="false">
      <c r="A233" s="3" t="s">
        <v>516</v>
      </c>
      <c r="B233" s="11" t="s">
        <v>42</v>
      </c>
      <c r="C233" s="23" t="n">
        <v>1</v>
      </c>
      <c r="I233" s="6" t="s">
        <v>517</v>
      </c>
    </row>
    <row r="234" customFormat="false" ht="15" hidden="false" customHeight="false" outlineLevel="1" collapsed="false">
      <c r="A234" s="14" t="s">
        <v>59</v>
      </c>
      <c r="B234" s="14" t="s">
        <v>60</v>
      </c>
      <c r="C234" s="28" t="s">
        <v>61</v>
      </c>
      <c r="D234" s="28" t="s">
        <v>62</v>
      </c>
      <c r="E234" s="28" t="s">
        <v>63</v>
      </c>
      <c r="F234" s="28" t="s">
        <v>153</v>
      </c>
      <c r="G234" s="28" t="s">
        <v>154</v>
      </c>
      <c r="I234" s="14" t="s">
        <v>206</v>
      </c>
    </row>
    <row r="235" customFormat="false" ht="15" hidden="false" customHeight="false" outlineLevel="1" collapsed="false">
      <c r="A235" s="3" t="s">
        <v>518</v>
      </c>
      <c r="B235" s="11" t="s">
        <v>280</v>
      </c>
      <c r="C235" s="41" t="n">
        <f aca="false">C75*(TK_CapexIT_H100+輸入與假設!$C$228*TK_CapexFacility_H100)+C81*(TK_CapexIT_GB200+輸入與假設!$C$228*TK_CapexFacility_GB200)+C87*(TK_CapexIT_GB300+輸入與假設!$C$228*TK_CapexFacility_GB300)+C93*(TK_CapexIT_GB300*輸入與假設!$C$68+輸入與假設!$C$228*TK_CapexFacility_GB300)+C99*(TK_CapexIT_VR200+輸入與假設!$C$228*TK_CapexFacility_VR200)</f>
        <v>45.0897584</v>
      </c>
      <c r="D235" s="41" t="n">
        <f aca="false">D75*(TK_CapexIT_H100+輸入與假設!$C$228*TK_CapexFacility_H100)+D81*(TK_CapexIT_GB200+輸入與假設!$C$228*TK_CapexFacility_GB200)+D87*(TK_CapexIT_GB300+輸入與假設!$C$228*TK_CapexFacility_GB300)+D93*(TK_CapexIT_GB300*輸入與假設!$C$68+輸入與假設!$C$228*TK_CapexFacility_GB300)+D99*(TK_CapexIT_VR200+輸入與假設!$C$228*TK_CapexFacility_VR200)</f>
        <v>45.1460976</v>
      </c>
      <c r="E235" s="41" t="n">
        <f aca="false">E75*(TK_CapexIT_H100+輸入與假設!$C$228*TK_CapexFacility_H100)+E81*(TK_CapexIT_GB200+輸入與假設!$C$228*TK_CapexFacility_GB200)+E87*(TK_CapexIT_GB300+輸入與假設!$C$228*TK_CapexFacility_GB300)+E93*(TK_CapexIT_GB300*輸入與假設!$C$68+輸入與假設!$C$228*TK_CapexFacility_GB300)+E99*(TK_CapexIT_VR200+輸入與假設!$C$228*TK_CapexFacility_VR200)</f>
        <v>45.1742672</v>
      </c>
      <c r="F235" s="41" t="n">
        <f aca="false">F75*(TK_CapexIT_H100+輸入與假設!$C$228*TK_CapexFacility_H100)+F81*(TK_CapexIT_GB200+輸入與假設!$C$228*TK_CapexFacility_GB200)+F87*(TK_CapexIT_GB300+輸入與假設!$C$228*TK_CapexFacility_GB300)+F93*(TK_CapexIT_GB300*輸入與假設!$C$68+輸入與假設!$C$228*TK_CapexFacility_GB300)+F99*(TK_CapexIT_VR200+輸入與假設!$C$228*TK_CapexFacility_VR200)</f>
        <v>45.1742672</v>
      </c>
      <c r="G235" s="41" t="n">
        <f aca="false">G75*(TK_CapexIT_H100+輸入與假設!$C$228*TK_CapexFacility_H100)+G81*(TK_CapexIT_GB200+輸入與假設!$C$228*TK_CapexFacility_GB200)+G87*(TK_CapexIT_GB300+輸入與假設!$C$228*TK_CapexFacility_GB300)+G93*(TK_CapexIT_GB300*輸入與假設!$C$68+輸入與假設!$C$228*TK_CapexFacility_GB300)+G99*(TK_CapexIT_VR200+輸入與假設!$C$228*TK_CapexFacility_VR200)</f>
        <v>45.1742672</v>
      </c>
      <c r="I235" s="6" t="s">
        <v>519</v>
      </c>
    </row>
    <row r="236" customFormat="false" ht="15" hidden="false" customHeight="false" outlineLevel="1" collapsed="false">
      <c r="A236" s="3" t="s">
        <v>520</v>
      </c>
      <c r="B236" s="11" t="s">
        <v>280</v>
      </c>
      <c r="C236" s="41" t="n">
        <f aca="false">C75*TK_CapexIT_H100+C81*TK_CapexIT_GB200+C87*TK_CapexIT_GB300+C93*TK_CapexIT_GB300*輸入與假設!$C$68+C99*TK_CapexIT_VR200</f>
        <v>37.4877584</v>
      </c>
      <c r="D236" s="41" t="n">
        <f aca="false">D75*TK_CapexIT_H100+D81*TK_CapexIT_GB200+D87*TK_CapexIT_GB300+D93*TK_CapexIT_GB300*輸入與假設!$C$68+D99*TK_CapexIT_VR200</f>
        <v>37.5440976</v>
      </c>
      <c r="E236" s="41" t="n">
        <f aca="false">E75*TK_CapexIT_H100+E81*TK_CapexIT_GB200+E87*TK_CapexIT_GB300+E93*TK_CapexIT_GB300*輸入與假設!$C$68+E99*TK_CapexIT_VR200</f>
        <v>37.5722672</v>
      </c>
      <c r="F236" s="41" t="n">
        <f aca="false">F75*TK_CapexIT_H100+F81*TK_CapexIT_GB200+F87*TK_CapexIT_GB300+F93*TK_CapexIT_GB300*輸入與假設!$C$68+F99*TK_CapexIT_VR200</f>
        <v>37.5722672</v>
      </c>
      <c r="G236" s="41" t="n">
        <f aca="false">G75*TK_CapexIT_H100+G81*TK_CapexIT_GB200+G87*TK_CapexIT_GB300+G93*TK_CapexIT_GB300*輸入與假設!$C$68+G99*TK_CapexIT_VR200</f>
        <v>37.5722672</v>
      </c>
      <c r="I236" s="6" t="s">
        <v>521</v>
      </c>
    </row>
    <row r="237" customFormat="false" ht="15" hidden="false" customHeight="false" outlineLevel="1" collapsed="false">
      <c r="A237" s="3" t="s">
        <v>522</v>
      </c>
      <c r="B237" s="11" t="s">
        <v>42</v>
      </c>
      <c r="C237" s="23" t="n">
        <v>0</v>
      </c>
      <c r="I237" s="6" t="s">
        <v>523</v>
      </c>
    </row>
    <row r="238" customFormat="false" ht="15" hidden="false" customHeight="false" outlineLevel="1" collapsed="false">
      <c r="A238" s="3" t="s">
        <v>524</v>
      </c>
      <c r="B238" s="11" t="s">
        <v>42</v>
      </c>
      <c r="C238" s="23" t="n">
        <v>0</v>
      </c>
      <c r="I238" s="6" t="s">
        <v>525</v>
      </c>
    </row>
    <row r="239" customFormat="false" ht="15" hidden="false" customHeight="false" outlineLevel="1" collapsed="false">
      <c r="A239" s="3" t="s">
        <v>526</v>
      </c>
      <c r="B239" s="6" t="s">
        <v>184</v>
      </c>
      <c r="C239" s="25" t="n">
        <v>5</v>
      </c>
      <c r="I239" s="6" t="s">
        <v>527</v>
      </c>
    </row>
    <row r="240" customFormat="false" ht="15" hidden="false" customHeight="false" outlineLevel="1" collapsed="false">
      <c r="A240" s="4" t="s">
        <v>528</v>
      </c>
      <c r="B240" s="11" t="s">
        <v>65</v>
      </c>
      <c r="C240" s="24" t="n">
        <v>0</v>
      </c>
      <c r="I240" s="6" t="s">
        <v>525</v>
      </c>
    </row>
    <row r="241" customFormat="false" ht="15" hidden="false" customHeight="false" outlineLevel="1" collapsed="false">
      <c r="A241" s="3" t="s">
        <v>529</v>
      </c>
      <c r="B241" s="11" t="s">
        <v>42</v>
      </c>
      <c r="C241" s="23" t="n">
        <v>0</v>
      </c>
      <c r="I241" s="6" t="s">
        <v>530</v>
      </c>
    </row>
    <row r="242" customFormat="false" ht="15" hidden="false" customHeight="false" outlineLevel="1" collapsed="false">
      <c r="A242" s="14" t="s">
        <v>59</v>
      </c>
      <c r="B242" s="14" t="s">
        <v>60</v>
      </c>
      <c r="C242" s="28" t="s">
        <v>61</v>
      </c>
      <c r="D242" s="28" t="s">
        <v>62</v>
      </c>
      <c r="E242" s="28" t="s">
        <v>63</v>
      </c>
      <c r="F242" s="28" t="s">
        <v>153</v>
      </c>
      <c r="G242" s="28" t="s">
        <v>154</v>
      </c>
      <c r="I242" s="14" t="s">
        <v>206</v>
      </c>
    </row>
    <row r="243" customFormat="false" ht="15" hidden="false" customHeight="false" outlineLevel="1" collapsed="false">
      <c r="A243" s="3" t="s">
        <v>531</v>
      </c>
      <c r="B243" s="11" t="s">
        <v>42</v>
      </c>
      <c r="C243" s="38" t="n">
        <f aca="false">輸入與假設!$C$237*輸入與假設!$C$238</f>
        <v>0</v>
      </c>
      <c r="D243" s="38" t="n">
        <f aca="false">輸入與假設!$C$237*輸入與假設!$C$238</f>
        <v>0</v>
      </c>
      <c r="E243" s="38" t="n">
        <f aca="false">輸入與假設!$C$237*輸入與假設!$C$238</f>
        <v>0</v>
      </c>
      <c r="F243" s="38" t="n">
        <f aca="false">輸入與假設!$C$237*輸入與假設!$C$238</f>
        <v>0</v>
      </c>
      <c r="G243" s="38" t="n">
        <f aca="false">輸入與假設!$C$237*輸入與假設!$C$238</f>
        <v>0</v>
      </c>
      <c r="I243" s="6" t="s">
        <v>532</v>
      </c>
    </row>
    <row r="244" customFormat="false" ht="15" hidden="false" customHeight="false" outlineLevel="1" collapsed="false">
      <c r="A244" s="3" t="s">
        <v>533</v>
      </c>
      <c r="B244" s="11" t="s">
        <v>65</v>
      </c>
      <c r="C244" s="24" t="n">
        <v>13.203</v>
      </c>
      <c r="D244" s="24" t="n">
        <v>11.628</v>
      </c>
      <c r="E244" s="24" t="n">
        <v>9.814</v>
      </c>
      <c r="F244" s="24" t="n">
        <v>9.182</v>
      </c>
      <c r="G244" s="24" t="n">
        <v>8.859</v>
      </c>
      <c r="I244" s="6" t="s">
        <v>534</v>
      </c>
    </row>
    <row r="245" customFormat="false" ht="15" hidden="false" customHeight="false" outlineLevel="1" collapsed="false">
      <c r="A245" s="3" t="s">
        <v>535</v>
      </c>
      <c r="B245" s="6" t="s">
        <v>179</v>
      </c>
      <c r="C245" s="22" t="n">
        <f aca="false">ROUND(4*SUM($C$34:C$34),0)</f>
        <v>4</v>
      </c>
      <c r="D245" s="22" t="n">
        <f aca="false">ROUND(4*SUM($C$34:D$34),0)</f>
        <v>8</v>
      </c>
      <c r="E245" s="22" t="n">
        <f aca="false">ROUND(4*SUM($C$34:E$34),0)</f>
        <v>12</v>
      </c>
      <c r="F245" s="22" t="n">
        <f aca="false">ROUND(4*SUM($C$34:F$34),0)</f>
        <v>16</v>
      </c>
      <c r="G245" s="22" t="n">
        <f aca="false">ROUND(4*SUM($C$34:G$34),0)</f>
        <v>20</v>
      </c>
      <c r="I245" s="6" t="s">
        <v>536</v>
      </c>
    </row>
    <row r="246" customFormat="false" ht="15" hidden="false" customHeight="false" outlineLevel="1" collapsed="false">
      <c r="A246" s="3" t="s">
        <v>537</v>
      </c>
      <c r="B246" s="11" t="s">
        <v>65</v>
      </c>
      <c r="C246" s="32" t="n">
        <f aca="false">輸入與假設!$C$19/輸入與假設!$C$21/輸入與假設!$C$22/4*((MIN(MAX(0,C245-輸入與假設!$C$20),輸入與假設!$C$21)*(MIN(MAX(0,C245-輸入與假設!$C$20),輸入與假設!$C$21)+1)/2+輸入與假設!$C$21*MAX(0,MAX(0,C245-輸入與假設!$C$20)-輸入與假設!$C$21))-(MIN(MAX(0,0-輸入與假設!$C$20),輸入與假設!$C$21)*(MIN(MAX(0,0-輸入與假設!$C$20),輸入與假設!$C$21)+1)/2+輸入與假設!$C$21*MAX(0,MAX(0,0-輸入與假設!$C$20)-輸入與假設!$C$21)))</f>
        <v>3.428125</v>
      </c>
      <c r="D246" s="32" t="n">
        <f aca="false">輸入與假設!$C$19/輸入與假設!$C$21/輸入與假設!$C$22/4*((MIN(MAX(0,D245-輸入與假設!$C$20),輸入與假設!$C$21)*(MIN(MAX(0,D245-輸入與假設!$C$20),輸入與假設!$C$21)+1)/2+輸入與假設!$C$21*MAX(0,MAX(0,D245-輸入與假設!$C$20)-輸入與假設!$C$21))-(MIN(MAX(0,C245-輸入與假設!$C$20),輸入與假設!$C$21)*(MIN(MAX(0,C245-輸入與假設!$C$20),輸入與假設!$C$21)+1)/2+輸入與假設!$C$21*MAX(0,MAX(0,C245-輸入與假設!$C$20)-輸入與假設!$C$21)))</f>
        <v>8.913125</v>
      </c>
      <c r="E246" s="32" t="n">
        <f aca="false">輸入與假設!$C$19/輸入與假設!$C$21/輸入與假設!$C$22/4*((MIN(MAX(0,E245-輸入與假設!$C$20),輸入與假設!$C$21)*(MIN(MAX(0,E245-輸入與假設!$C$20),輸入與假設!$C$21)+1)/2+輸入與假設!$C$21*MAX(0,MAX(0,E245-輸入與假設!$C$20)-輸入與假設!$C$21))-(MIN(MAX(0,D245-輸入與假設!$C$20),輸入與假設!$C$21)*(MIN(MAX(0,D245-輸入與假設!$C$20),輸入與假設!$C$21)+1)/2+輸入與假設!$C$21*MAX(0,MAX(0,D245-輸入與假設!$C$20)-輸入與假設!$C$21)))</f>
        <v>14.398125</v>
      </c>
      <c r="F246" s="32" t="n">
        <f aca="false">輸入與假設!$C$19/輸入與假設!$C$21/輸入與假設!$C$22/4*((MIN(MAX(0,F245-輸入與假設!$C$20),輸入與假設!$C$21)*(MIN(MAX(0,F245-輸入與假設!$C$20),輸入與假設!$C$21)+1)/2+輸入與假設!$C$21*MAX(0,MAX(0,F245-輸入與假設!$C$20)-輸入與假設!$C$21))-(MIN(MAX(0,E245-輸入與假設!$C$20),輸入與假設!$C$21)*(MIN(MAX(0,E245-輸入與假設!$C$20),輸入與假設!$C$21)+1)/2+輸入與假設!$C$21*MAX(0,MAX(0,E245-輸入與假設!$C$20)-輸入與假設!$C$21)))</f>
        <v>19.883125</v>
      </c>
      <c r="G246" s="32" t="n">
        <f aca="false">輸入與假設!$C$19/輸入與假設!$C$21/輸入與假設!$C$22/4*((MIN(MAX(0,G245-輸入與假設!$C$20),輸入與假設!$C$21)*(MIN(MAX(0,G245-輸入與假設!$C$20),輸入與假設!$C$21)+1)/2+輸入與假設!$C$21*MAX(0,MAX(0,G245-輸入與假設!$C$20)-輸入與假設!$C$21))-(MIN(MAX(0,F245-輸入與假設!$C$20),輸入與假設!$C$21)*(MIN(MAX(0,F245-輸入與假設!$C$20),輸入與假設!$C$21)+1)/2+輸入與假設!$C$21*MAX(0,MAX(0,F245-輸入與假設!$C$20)-輸入與假設!$C$21)))</f>
        <v>21.94</v>
      </c>
      <c r="I246" s="6" t="s">
        <v>538</v>
      </c>
    </row>
    <row r="247" customFormat="false" ht="15" hidden="false" customHeight="false" outlineLevel="1" collapsed="false">
      <c r="A247" s="3" t="s">
        <v>539</v>
      </c>
      <c r="B247" s="11" t="s">
        <v>65</v>
      </c>
      <c r="C247" s="24" t="n">
        <v>7.121</v>
      </c>
      <c r="D247" s="24" t="n">
        <v>7.294</v>
      </c>
      <c r="E247" s="24" t="n">
        <v>6.668</v>
      </c>
      <c r="F247" s="24" t="n">
        <v>6.57</v>
      </c>
      <c r="G247" s="24" t="n">
        <v>6.543</v>
      </c>
      <c r="H247" s="24" t="n">
        <v>55.49</v>
      </c>
      <c r="I247" s="6" t="s">
        <v>540</v>
      </c>
    </row>
    <row r="248" customFormat="false" ht="15" hidden="false" customHeight="false" outlineLevel="1" collapsed="false">
      <c r="A248" s="3" t="s">
        <v>541</v>
      </c>
      <c r="B248" s="11" t="s">
        <v>42</v>
      </c>
      <c r="C248" s="23" t="n">
        <v>0.25</v>
      </c>
      <c r="I248" s="6" t="s">
        <v>542</v>
      </c>
    </row>
    <row r="249" customFormat="false" ht="15" hidden="false" customHeight="false" outlineLevel="1" collapsed="false">
      <c r="A249" s="4" t="s">
        <v>543</v>
      </c>
      <c r="B249" s="11" t="s">
        <v>65</v>
      </c>
      <c r="C249" s="24" t="n">
        <v>1.1</v>
      </c>
      <c r="D249" s="24" t="n">
        <v>0</v>
      </c>
      <c r="E249" s="24" t="n">
        <v>0</v>
      </c>
      <c r="F249" s="24" t="n">
        <v>0</v>
      </c>
      <c r="G249" s="24" t="n">
        <v>0</v>
      </c>
      <c r="I249" s="6" t="s">
        <v>544</v>
      </c>
    </row>
    <row r="250" customFormat="false" ht="15" hidden="false" customHeight="false" outlineLevel="1" collapsed="false">
      <c r="A250" s="4" t="s">
        <v>545</v>
      </c>
      <c r="B250" s="11" t="s">
        <v>65</v>
      </c>
      <c r="C250" s="24" t="n">
        <v>0</v>
      </c>
      <c r="D250" s="24" t="n">
        <v>0</v>
      </c>
      <c r="E250" s="24" t="n">
        <v>0</v>
      </c>
      <c r="F250" s="24" t="n">
        <v>0</v>
      </c>
      <c r="G250" s="24" t="n">
        <v>0</v>
      </c>
      <c r="I250" s="6" t="s">
        <v>546</v>
      </c>
    </row>
    <row r="251" customFormat="false" ht="15" hidden="false" customHeight="false" outlineLevel="1" collapsed="false">
      <c r="A251" s="4" t="s">
        <v>547</v>
      </c>
      <c r="B251" s="11" t="s">
        <v>65</v>
      </c>
      <c r="C251" s="32" t="n">
        <f aca="false">C249+C250</f>
        <v>1.1</v>
      </c>
      <c r="D251" s="32" t="n">
        <f aca="false">D249+D250</f>
        <v>0</v>
      </c>
      <c r="E251" s="32" t="n">
        <f aca="false">E249+E250</f>
        <v>0</v>
      </c>
      <c r="F251" s="32" t="n">
        <f aca="false">F249+F250</f>
        <v>0</v>
      </c>
      <c r="G251" s="32" t="n">
        <f aca="false">G249+G250</f>
        <v>0</v>
      </c>
      <c r="I251" s="6" t="s">
        <v>548</v>
      </c>
    </row>
    <row r="252" customFormat="false" ht="15" hidden="false" customHeight="false" outlineLevel="1" collapsed="true">
      <c r="A252" s="34" t="s">
        <v>549</v>
      </c>
      <c r="B252" s="20"/>
      <c r="C252" s="20"/>
      <c r="D252" s="20"/>
      <c r="E252" s="20"/>
      <c r="F252" s="20"/>
      <c r="G252" s="20"/>
      <c r="H252" s="20"/>
    </row>
    <row r="253" customFormat="false" ht="15" hidden="true" customHeight="false" outlineLevel="2" collapsed="false">
      <c r="A253" s="3" t="s">
        <v>550</v>
      </c>
      <c r="B253" s="11" t="s">
        <v>157</v>
      </c>
      <c r="C253" s="22" t="n">
        <f aca="false">輸入與假設!$C$28</f>
        <v>3250</v>
      </c>
      <c r="D253" s="22" t="n">
        <f aca="false">C36</f>
        <v>5575.9</v>
      </c>
      <c r="E253" s="22" t="n">
        <f aca="false">D36</f>
        <v>7901.8</v>
      </c>
      <c r="F253" s="22" t="n">
        <f aca="false">E36</f>
        <v>10227.7</v>
      </c>
      <c r="G253" s="22" t="n">
        <f aca="false">F36</f>
        <v>12553.6</v>
      </c>
      <c r="I253" s="11" t="s">
        <v>551</v>
      </c>
    </row>
    <row r="254" customFormat="false" ht="15" hidden="true" customHeight="false" outlineLevel="2" collapsed="false">
      <c r="A254" s="3" t="s">
        <v>552</v>
      </c>
      <c r="B254" s="11" t="s">
        <v>157</v>
      </c>
      <c r="C254" s="22" t="n">
        <f aca="false">C36-C253</f>
        <v>2325.9</v>
      </c>
      <c r="D254" s="22" t="n">
        <f aca="false">D36-D253</f>
        <v>2325.9</v>
      </c>
      <c r="E254" s="22" t="n">
        <f aca="false">E36-E253</f>
        <v>2325.9</v>
      </c>
      <c r="F254" s="22" t="n">
        <f aca="false">F36-F253</f>
        <v>2325.9</v>
      </c>
      <c r="G254" s="22" t="n">
        <f aca="false">G36-G253</f>
        <v>2325.9</v>
      </c>
    </row>
    <row r="255" customFormat="false" ht="15" hidden="true" customHeight="false" outlineLevel="2" collapsed="false">
      <c r="A255" s="3" t="s">
        <v>553</v>
      </c>
      <c r="B255" s="11" t="s">
        <v>157</v>
      </c>
      <c r="C255" s="22" t="n">
        <f aca="false">D36-C36</f>
        <v>2325.9</v>
      </c>
      <c r="D255" s="22" t="n">
        <f aca="false">E36-D36</f>
        <v>2325.9</v>
      </c>
      <c r="E255" s="22" t="n">
        <f aca="false">F36-E36</f>
        <v>2325.9</v>
      </c>
      <c r="F255" s="22" t="n">
        <f aca="false">G36-F36</f>
        <v>2325.9</v>
      </c>
      <c r="G255" s="22" t="n">
        <f aca="false">輸入與假設!$C$224</f>
        <v>2325.9</v>
      </c>
    </row>
    <row r="256" customFormat="false" ht="15" hidden="true" customHeight="false" outlineLevel="2" collapsed="false">
      <c r="A256" s="3" t="s">
        <v>554</v>
      </c>
      <c r="B256" s="11" t="s">
        <v>157</v>
      </c>
      <c r="C256" s="21" t="n">
        <v>550</v>
      </c>
      <c r="I256" s="6" t="s">
        <v>555</v>
      </c>
    </row>
    <row r="257" customFormat="false" ht="15" hidden="true" customHeight="false" outlineLevel="2" collapsed="false">
      <c r="A257" s="3" t="s">
        <v>556</v>
      </c>
      <c r="B257" s="11" t="s">
        <v>157</v>
      </c>
      <c r="C257" s="21" t="n">
        <v>756</v>
      </c>
      <c r="D257" s="21" t="n">
        <v>756</v>
      </c>
      <c r="E257" s="21" t="n">
        <v>756</v>
      </c>
      <c r="F257" s="21" t="n">
        <v>756</v>
      </c>
      <c r="G257" s="21" t="n">
        <v>756</v>
      </c>
      <c r="I257" s="11" t="s">
        <v>557</v>
      </c>
    </row>
    <row r="258" customFormat="false" ht="15" hidden="true" customHeight="false" outlineLevel="2" collapsed="false">
      <c r="A258" s="3" t="s">
        <v>558</v>
      </c>
      <c r="B258" s="11" t="s">
        <v>157</v>
      </c>
      <c r="C258" s="22" t="n">
        <f aca="false">C257-輸入與假設!$C$256</f>
        <v>206</v>
      </c>
      <c r="D258" s="22" t="n">
        <f aca="false">D257-C257</f>
        <v>0</v>
      </c>
      <c r="E258" s="22" t="n">
        <f aca="false">E257-D257</f>
        <v>0</v>
      </c>
      <c r="F258" s="22" t="n">
        <f aca="false">F257-E257</f>
        <v>0</v>
      </c>
      <c r="G258" s="22" t="n">
        <f aca="false">G257-F257</f>
        <v>0</v>
      </c>
      <c r="I258" s="6" t="s">
        <v>559</v>
      </c>
    </row>
    <row r="259" customFormat="false" ht="15" hidden="true" customHeight="false" outlineLevel="2" collapsed="false">
      <c r="A259" s="3" t="s">
        <v>560</v>
      </c>
      <c r="B259" s="11" t="s">
        <v>157</v>
      </c>
      <c r="C259" s="22" t="n">
        <f aca="false">D258</f>
        <v>0</v>
      </c>
      <c r="D259" s="22" t="n">
        <f aca="false">E258</f>
        <v>0</v>
      </c>
      <c r="E259" s="22" t="n">
        <f aca="false">F258</f>
        <v>0</v>
      </c>
      <c r="F259" s="22" t="n">
        <f aca="false">G258</f>
        <v>0</v>
      </c>
      <c r="G259" s="22" t="n">
        <f aca="false">0</f>
        <v>0</v>
      </c>
    </row>
    <row r="260" customFormat="false" ht="15" hidden="true" customHeight="false" outlineLevel="2" collapsed="false">
      <c r="A260" s="3" t="s">
        <v>561</v>
      </c>
      <c r="B260" s="11" t="s">
        <v>65</v>
      </c>
      <c r="C260" s="32" t="n">
        <f aca="false">MAX(0,(C254*(1-輸入與假設!$C$223)+C255*輸入與假設!$C$223)/輸入與假設!$C$227-(C258*(1-輸入與假設!$C$223)+C259*輸入與假設!$C$223))*C235*輸入與假設!$C$233/1000</f>
        <v>168.75292978784</v>
      </c>
      <c r="D260" s="32" t="n">
        <f aca="false">MAX(0,(D254*(1-輸入與假設!$C$223)+D255*輸入與假設!$C$223)/輸入與假設!$C$227-(D258*(1-輸入與假設!$C$223)+D259*輸入與假設!$C$223))*D235*輸入與假設!$C$233/1000</f>
        <v>175.0088473464</v>
      </c>
      <c r="E260" s="32" t="n">
        <f aca="false">MAX(0,(E254*(1-輸入與假設!$C$223)+E255*輸入與假設!$C$223)/輸入與假設!$C$227-(E258*(1-輸入與假設!$C$223)+E259*輸入與假設!$C$223))*E235*輸入與假設!$C$233/1000</f>
        <v>175.1180468008</v>
      </c>
      <c r="F260" s="32" t="n">
        <f aca="false">MAX(0,(F254*(1-輸入與假設!$C$223)+F255*輸入與假設!$C$223)/輸入與假設!$C$227-(F258*(1-輸入與假設!$C$223)+F259*輸入與假設!$C$223))*F235*輸入與假設!$C$233/1000</f>
        <v>175.1180468008</v>
      </c>
      <c r="G260" s="32" t="n">
        <f aca="false">MAX(0,(G254*(1-輸入與假設!$C$223)+G255*輸入與假設!$C$223)/輸入與假設!$C$227-(G258*(1-輸入與假設!$C$223)+G259*輸入與假設!$C$223))*G235*輸入與假設!$C$233/1000</f>
        <v>175.1180468008</v>
      </c>
      <c r="I260" s="6" t="s">
        <v>562</v>
      </c>
    </row>
    <row r="261" customFormat="false" ht="15" hidden="true" customHeight="false" outlineLevel="2" collapsed="false">
      <c r="A261" s="3" t="s">
        <v>563</v>
      </c>
      <c r="B261" s="11" t="s">
        <v>65</v>
      </c>
      <c r="C261" s="32" t="n">
        <f aca="false">C119*輸入與假設!$C$117+C133*輸入與假設!$C$131+C147*輸入與假設!$C$145+C161*輸入與假設!$C$159+C175*輸入與假設!$C$173+C199*輸入與假設!$C$197</f>
        <v>35.448800792865</v>
      </c>
      <c r="D261" s="32" t="n">
        <f aca="false">D119*輸入與假設!$C$117+D133*輸入與假設!$C$131+D147*輸入與假設!$C$145+D161*輸入與假設!$C$159+D175*輸入與假設!$C$173+D199*輸入與假設!$C$197</f>
        <v>41.198512694957</v>
      </c>
      <c r="E261" s="32" t="n">
        <f aca="false">E119*輸入與假設!$C$117+E133*輸入與假設!$C$131+E147*輸入與假設!$C$145+E161*輸入與假設!$C$159+E175*輸入與假設!$C$173+E199*輸入與假設!$C$197</f>
        <v>46.847397468986</v>
      </c>
      <c r="F261" s="32" t="n">
        <f aca="false">F119*輸入與假設!$C$117+F133*輸入與假設!$C$131+F147*輸入與假設!$C$145+F161*輸入與假設!$C$159+F175*輸入與假設!$C$173+F199*輸入與假設!$C$197</f>
        <v>52.0355117228189</v>
      </c>
      <c r="G261" s="32" t="n">
        <f aca="false">G119*輸入與假設!$C$117+G133*輸入與假設!$C$131+G147*輸入與假設!$C$145+G161*輸入與假設!$C$159+G175*輸入與假設!$C$173+G199*輸入與假設!$C$197</f>
        <v>56.3874965606952</v>
      </c>
      <c r="I261" s="6" t="s">
        <v>564</v>
      </c>
    </row>
    <row r="262" customFormat="false" ht="15" hidden="true" customHeight="false" outlineLevel="2" collapsed="false">
      <c r="A262" s="3" t="s">
        <v>565</v>
      </c>
      <c r="B262" s="11" t="s">
        <v>65</v>
      </c>
      <c r="C262" s="32" t="n">
        <f aca="false">C261*1</f>
        <v>35.448800792865</v>
      </c>
      <c r="D262" s="32" t="n">
        <f aca="false">D261</f>
        <v>41.198512694957</v>
      </c>
      <c r="E262" s="32" t="n">
        <f aca="false">E261</f>
        <v>46.847397468986</v>
      </c>
      <c r="F262" s="32" t="n">
        <f aca="false">F261</f>
        <v>52.0355117228189</v>
      </c>
      <c r="G262" s="32" t="n">
        <f aca="false">G261</f>
        <v>56.3874965606952</v>
      </c>
      <c r="I262" s="11" t="s">
        <v>566</v>
      </c>
    </row>
    <row r="263" customFormat="false" ht="15" hidden="true" customHeight="false" outlineLevel="2" collapsed="false">
      <c r="A263" s="3" t="s">
        <v>567</v>
      </c>
      <c r="B263" s="11" t="s">
        <v>65</v>
      </c>
      <c r="C263" s="32" t="n">
        <f aca="false">MAX(C260+C261,輸入與假設!$C$225)-輸入與假設!$C$431</f>
        <v>204.201730580705</v>
      </c>
      <c r="D263" s="32" t="n">
        <f aca="false">D260+D262</f>
        <v>216.207360041357</v>
      </c>
      <c r="E263" s="32" t="n">
        <f aca="false">E260+E262</f>
        <v>221.965444269786</v>
      </c>
      <c r="F263" s="32" t="n">
        <f aca="false">F260+F262</f>
        <v>227.153558523619</v>
      </c>
      <c r="G263" s="32" t="n">
        <f aca="false">G260+G262</f>
        <v>231.505543361495</v>
      </c>
      <c r="I263" s="11" t="s">
        <v>568</v>
      </c>
    </row>
    <row r="264" customFormat="false" ht="15" hidden="true" customHeight="false" outlineLevel="2" collapsed="false">
      <c r="A264" s="4" t="s">
        <v>569</v>
      </c>
      <c r="B264" s="11" t="s">
        <v>65</v>
      </c>
      <c r="C264" s="32" t="n">
        <f aca="false">C263-C262</f>
        <v>168.75292978784</v>
      </c>
      <c r="D264" s="32" t="n">
        <f aca="false">D263-D262</f>
        <v>175.0088473464</v>
      </c>
      <c r="E264" s="32" t="n">
        <f aca="false">E263-E262</f>
        <v>175.1180468008</v>
      </c>
      <c r="F264" s="32" t="n">
        <f aca="false">F263-F262</f>
        <v>175.1180468008</v>
      </c>
      <c r="G264" s="32" t="n">
        <f aca="false">G263-G262</f>
        <v>175.1180468008</v>
      </c>
      <c r="I264" s="6" t="s">
        <v>570</v>
      </c>
    </row>
    <row r="265" customFormat="false" ht="15" hidden="true" customHeight="false" outlineLevel="2" collapsed="false">
      <c r="A265" s="3" t="s">
        <v>571</v>
      </c>
      <c r="B265" s="11" t="s">
        <v>65</v>
      </c>
      <c r="C265" s="32" t="n">
        <f aca="false">IF(2027-輸入與假設!$C$226=2024,輸入與假設!$C$230,IF(2027-輸入與假設!$C$226=2025,輸入與假設!$C$231-輸入與假設!$C$230,IF(2027-輸入與假設!$C$226=2026,輸入與假設!$C$28-輸入與假設!$C$231,0)))/輸入與假設!$C$227*C236*輸入與假設!$C$233/1000</f>
        <v>0</v>
      </c>
      <c r="D265" s="32" t="n">
        <f aca="false">IF(2028-輸入與假設!$C$226=2024,輸入與假設!$C$230,IF(2028-輸入與假設!$C$226=2025,輸入與假設!$C$231-輸入與假設!$C$230,IF(2028-輸入與假設!$C$226=2026,輸入與假設!$C$28-輸入與假設!$C$231,0)))/輸入與假設!$C$227*D236*輸入與假設!$C$233/1000</f>
        <v>0</v>
      </c>
      <c r="E265" s="32" t="n">
        <f aca="false">IF(2029-輸入與假設!$C$226=2024,輸入與假設!$C$230,IF(2029-輸入與假設!$C$226=2025,輸入與假設!$C$231-輸入與假設!$C$230,IF(2029-輸入與假設!$C$226=2026,輸入與假設!$C$28-輸入與假設!$C$231,0)))/輸入與假設!$C$227*E236*輸入與假設!$C$233/1000</f>
        <v>0</v>
      </c>
      <c r="F265" s="32" t="n">
        <f aca="false">IF(2030-輸入與假設!$C$226=2024,輸入與假設!$C$230,IF(2030-輸入與假設!$C$226=2025,輸入與假設!$C$231-輸入與假設!$C$230,IF(2030-輸入與假設!$C$226=2026,輸入與假設!$C$28-輸入與假設!$C$231,0)))/輸入與假設!$C$227*F236*輸入與假設!$C$233/1000</f>
        <v>40.0770850133333</v>
      </c>
      <c r="G265" s="32" t="n">
        <f aca="false">IF(2031-輸入與假設!$C$226=2024,輸入與假設!$C$230,IF(2031-輸入與假設!$C$226=2025,輸入與假設!$C$231-輸入與假設!$C$230,IF(2031-輸入與假設!$C$226=2026,輸入與假設!$C$28-輸入與假設!$C$231,0)))/輸入與假設!$C$227*G236*輸入與假設!$C$233/1000</f>
        <v>61.99424088</v>
      </c>
      <c r="I265" s="6" t="s">
        <v>572</v>
      </c>
    </row>
    <row r="266" customFormat="false" ht="15" hidden="true" customHeight="false" outlineLevel="2" collapsed="false">
      <c r="A266" s="3" t="s">
        <v>573</v>
      </c>
      <c r="B266" s="11" t="s">
        <v>65</v>
      </c>
      <c r="C266" s="32" t="n">
        <f aca="false">(C253+C36)/2/輸入與假設!$C$227*C236*輸入與假設!$C$233/1000/輸入與假設!$C$226*C34</f>
        <v>45.9532231753556</v>
      </c>
      <c r="D266" s="32" t="n">
        <f aca="false">(D253+D36)/2/輸入與假設!$C$227*D236*輸入與假設!$C$233/1000/輸入與假設!$C$226*D34</f>
        <v>70.2789005866</v>
      </c>
      <c r="E266" s="32" t="n">
        <f aca="false">(E253+E36)/2/輸入與假設!$C$227*E236*輸入與假設!$C$233/1000/輸入與假設!$C$226*E34</f>
        <v>45.7755455386667</v>
      </c>
      <c r="F266" s="32" t="n">
        <f aca="false">(F253+F36)/2/輸入與假設!$C$227*F236*輸入與假設!$C$233/1000/輸入與假設!$C$226*F34</f>
        <v>45.7755455386667</v>
      </c>
      <c r="G266" s="32" t="n">
        <f aca="false">(G253+G36)/2/輸入與假設!$C$227*G236*輸入與假設!$C$233/1000/輸入與假設!$C$226*G34</f>
        <v>143.156078239489</v>
      </c>
      <c r="I266" s="6" t="s">
        <v>574</v>
      </c>
    </row>
    <row r="267" customFormat="false" ht="15" hidden="true" customHeight="false" outlineLevel="2" collapsed="false">
      <c r="A267" s="3" t="s">
        <v>575</v>
      </c>
      <c r="B267" s="6"/>
      <c r="C267" s="22" t="n">
        <f aca="false">IF(C254&lt;=0,1,0)</f>
        <v>0</v>
      </c>
      <c r="D267" s="22" t="n">
        <f aca="false">IF(D254&lt;=0,1,0)</f>
        <v>0</v>
      </c>
      <c r="E267" s="22" t="n">
        <f aca="false">IF(E254&lt;=0,1,0)</f>
        <v>0</v>
      </c>
      <c r="F267" s="22" t="n">
        <f aca="false">IF(F254&lt;=0,1,0)</f>
        <v>0</v>
      </c>
      <c r="G267" s="22" t="n">
        <f aca="false">1</f>
        <v>1</v>
      </c>
      <c r="I267" s="6" t="s">
        <v>576</v>
      </c>
    </row>
    <row r="268" customFormat="false" ht="15" hidden="true" customHeight="false" outlineLevel="2" collapsed="false">
      <c r="A268" s="4" t="s">
        <v>577</v>
      </c>
      <c r="B268" s="11" t="s">
        <v>65</v>
      </c>
      <c r="C268" s="32" t="n">
        <f aca="false">IF(C267=1,C266,C265)</f>
        <v>0</v>
      </c>
      <c r="D268" s="32" t="n">
        <f aca="false">IF(D267=1,D266,D265)</f>
        <v>0</v>
      </c>
      <c r="E268" s="32" t="n">
        <f aca="false">IF(E267=1,E266,E265)</f>
        <v>0</v>
      </c>
      <c r="F268" s="32" t="n">
        <f aca="false">IF(F267=1,F266,F265)</f>
        <v>40.0770850133333</v>
      </c>
      <c r="G268" s="32" t="n">
        <f aca="false">IF(G267=1,G266,G265)</f>
        <v>143.156078239489</v>
      </c>
      <c r="I268" s="6" t="s">
        <v>578</v>
      </c>
    </row>
    <row r="269" customFormat="false" ht="15" hidden="true" customHeight="false" outlineLevel="2" collapsed="false">
      <c r="A269" s="3" t="s">
        <v>579</v>
      </c>
      <c r="B269" s="11" t="s">
        <v>65</v>
      </c>
      <c r="C269" s="32" t="n">
        <f aca="false">輸入與假設!$C$232</f>
        <v>313.076</v>
      </c>
      <c r="D269" s="32" t="n">
        <f aca="false">C269+運營_產能與收入!C$54</f>
        <v>517.277730580705</v>
      </c>
      <c r="E269" s="32" t="n">
        <f aca="false">D269+運營_產能與收入!D$54</f>
        <v>733.485090622062</v>
      </c>
      <c r="F269" s="32" t="n">
        <f aca="false">E269+運營_產能與收入!E$54</f>
        <v>955.450534891848</v>
      </c>
      <c r="G269" s="32" t="n">
        <f aca="false">F269+運營_產能與收入!F$54</f>
        <v>1182.60409341547</v>
      </c>
      <c r="I269" s="6" t="s">
        <v>580</v>
      </c>
    </row>
    <row r="270" customFormat="false" ht="15" hidden="false" customHeight="false" outlineLevel="1" collapsed="false">
      <c r="A270" s="34" t="s">
        <v>581</v>
      </c>
      <c r="B270" s="20"/>
      <c r="C270" s="20"/>
      <c r="D270" s="20"/>
      <c r="E270" s="20"/>
      <c r="F270" s="20"/>
      <c r="G270" s="20"/>
      <c r="H270" s="20"/>
    </row>
    <row r="271" customFormat="false" ht="15" hidden="false" customHeight="false" outlineLevel="2" collapsed="false">
      <c r="A271" s="3" t="s">
        <v>582</v>
      </c>
      <c r="B271" s="11" t="s">
        <v>157</v>
      </c>
      <c r="C271" s="22" t="n">
        <f aca="false">MAX(0,輸入與假設!$C$29/輸入與假設!$C$227-輸入與假設!$C$256)</f>
        <v>4866.66666666667</v>
      </c>
      <c r="I271" s="6" t="s">
        <v>583</v>
      </c>
    </row>
    <row r="272" customFormat="false" ht="15" hidden="false" customHeight="false" outlineLevel="2" collapsed="false">
      <c r="A272" s="4" t="s">
        <v>584</v>
      </c>
      <c r="B272" s="11" t="s">
        <v>65</v>
      </c>
      <c r="C272" s="32" t="n">
        <f aca="false">輸入與假設!$C$271*(0.2*TK_CapexIT_H100+0.45*TK_CapexIT_GB200+0.35*TK_CapexIT_GB300+0*TK_CapexIT_GB300*輸入與假設!$C$68+0*TK_CapexIT_VR200)/1000</f>
        <v>143.1520145</v>
      </c>
      <c r="I272" s="6" t="s">
        <v>585</v>
      </c>
    </row>
    <row r="273" customFormat="false" ht="15" hidden="false" customHeight="false" outlineLevel="2" collapsed="false">
      <c r="A273" s="4" t="s">
        <v>586</v>
      </c>
      <c r="B273" s="11" t="s">
        <v>65</v>
      </c>
      <c r="C273" s="32" t="n">
        <f aca="false">輸入與假設!$C$271*輸入與假設!$C$228*(0.2*TK_CapexFacility_H100+0.45*TK_CapexFacility_GB200+0.35*TK_CapexFacility_GB300+0*TK_CapexFacility_GB300+0*TK_CapexFacility_VR200)/1000</f>
        <v>36.9964</v>
      </c>
      <c r="I273" s="6" t="s">
        <v>587</v>
      </c>
    </row>
    <row r="274" customFormat="false" ht="15" hidden="false" customHeight="false" outlineLevel="2" collapsed="false">
      <c r="A274" s="3" t="s">
        <v>588</v>
      </c>
      <c r="B274" s="6" t="s">
        <v>184</v>
      </c>
      <c r="C274" s="41" t="n">
        <f aca="false">(0.2*TK_CapexFacility_H100+0.45*TK_CapexFacility_GB200+0.35*TK_CapexFacility_GB300+0*TK_CapexFacility_GB300+0*TK_CapexFacility_VR200)/(0.2*TK_DeprFac_H100+0.45*TK_DeprFac_GB200+0.35*TK_DeprFac_GB300+0*TK_DeprFac_GB300+0*TK_DeprFac_VR200)</f>
        <v>19.9711020622619</v>
      </c>
      <c r="I274" s="6" t="s">
        <v>589</v>
      </c>
    </row>
    <row r="275" customFormat="false" ht="15" hidden="false" customHeight="false" outlineLevel="2" collapsed="false">
      <c r="A275" s="4" t="s">
        <v>590</v>
      </c>
      <c r="B275" s="11" t="s">
        <v>65</v>
      </c>
      <c r="C275" s="32" t="n">
        <f aca="false">輸入與假設!$C$272/輸入與假設!$C$226+輸入與假設!$C$273/輸入與假設!$C$274</f>
        <v>25.71116575</v>
      </c>
      <c r="I275" s="6" t="s">
        <v>591</v>
      </c>
    </row>
    <row r="276" customFormat="false" ht="15" hidden="false" customHeight="false" outlineLevel="2" collapsed="false">
      <c r="A276" s="3" t="s">
        <v>592</v>
      </c>
      <c r="B276" s="11" t="s">
        <v>65</v>
      </c>
      <c r="C276" s="32" t="n">
        <f aca="false">輸入與假設!$C$232-輸入與假設!$C$272-輸入與假設!$C$273</f>
        <v>132.9275855</v>
      </c>
      <c r="I276" s="6" t="s">
        <v>593</v>
      </c>
    </row>
    <row r="277" customFormat="false" ht="15" hidden="false" customHeight="false" outlineLevel="2" collapsed="false">
      <c r="A277" s="3" t="s">
        <v>594</v>
      </c>
      <c r="B277" s="11" t="s">
        <v>42</v>
      </c>
      <c r="C277" s="23" t="n">
        <v>0.8</v>
      </c>
      <c r="I277" s="6" t="s">
        <v>595</v>
      </c>
    </row>
    <row r="278" customFormat="false" ht="15" hidden="false" customHeight="false" outlineLevel="2" collapsed="false">
      <c r="A278" s="3" t="s">
        <v>596</v>
      </c>
      <c r="B278" s="6" t="s">
        <v>184</v>
      </c>
      <c r="C278" s="25" t="n">
        <v>10</v>
      </c>
      <c r="I278" s="6" t="s">
        <v>597</v>
      </c>
    </row>
    <row r="279" customFormat="false" ht="15" hidden="false" customHeight="false" outlineLevel="2" collapsed="false">
      <c r="A279" s="4" t="s">
        <v>598</v>
      </c>
      <c r="B279" s="11" t="s">
        <v>65</v>
      </c>
      <c r="C279" s="32" t="n">
        <f aca="false">輸入與假設!$C$229-輸入與假設!$C$275-輸入與假設!$C$276/輸入與假設!$C$278</f>
        <v>5.0840757</v>
      </c>
      <c r="I279" s="6" t="s">
        <v>599</v>
      </c>
    </row>
    <row r="280" customFormat="false" ht="15" hidden="false" customHeight="false" outlineLevel="2" collapsed="false">
      <c r="A280" s="14" t="s">
        <v>59</v>
      </c>
      <c r="B280" s="14" t="s">
        <v>60</v>
      </c>
      <c r="C280" s="28" t="s">
        <v>61</v>
      </c>
      <c r="D280" s="28" t="s">
        <v>62</v>
      </c>
      <c r="E280" s="28" t="s">
        <v>63</v>
      </c>
      <c r="F280" s="28" t="s">
        <v>153</v>
      </c>
      <c r="G280" s="28" t="s">
        <v>154</v>
      </c>
      <c r="I280" s="14" t="s">
        <v>206</v>
      </c>
    </row>
    <row r="281" customFormat="false" ht="15" hidden="false" customHeight="false" outlineLevel="2" collapsed="false">
      <c r="A281" s="4" t="s">
        <v>600</v>
      </c>
      <c r="B281" s="11" t="s">
        <v>65</v>
      </c>
      <c r="C281" s="32" t="n">
        <f aca="false">輸入與假設!$C$272</f>
        <v>143.1520145</v>
      </c>
      <c r="D281" s="32" t="n">
        <f aca="false">C281+(運營_產能與收入!C$54-C262)*C236/C235</f>
        <v>283.45369908784</v>
      </c>
      <c r="E281" s="32" t="n">
        <f aca="false">D281+(運營_產能與收入!D$54-D262)*D236/D235</f>
        <v>428.99339343424</v>
      </c>
      <c r="F281" s="32" t="n">
        <f aca="false">E281+(運營_產能與收入!E$54-E262)*E236/E235</f>
        <v>574.64228723504</v>
      </c>
      <c r="G281" s="32" t="n">
        <f aca="false">F281+(運營_產能與收入!F$54-F262)*F236/F235</f>
        <v>720.29118103584</v>
      </c>
      <c r="I281" s="6" t="s">
        <v>601</v>
      </c>
    </row>
    <row r="282" customFormat="false" ht="15" hidden="false" customHeight="false" outlineLevel="2" collapsed="false">
      <c r="A282" s="4" t="s">
        <v>602</v>
      </c>
      <c r="B282" s="11" t="s">
        <v>65</v>
      </c>
      <c r="C282" s="32" t="n">
        <f aca="false">輸入與假設!$C$273</f>
        <v>36.9964</v>
      </c>
      <c r="D282" s="32" t="n">
        <f aca="false">C282+(運營_產能與收入!C$54-C262)*(1-C236/C235)</f>
        <v>65.4476452</v>
      </c>
      <c r="E282" s="32" t="n">
        <f aca="false">D282+(運營_產能與收入!D$54-D262)*(1-D236/D235)</f>
        <v>94.9167982</v>
      </c>
      <c r="F282" s="32" t="n">
        <f aca="false">E282+(運營_產能與收入!E$54-E262)*(1-E236/E235)</f>
        <v>124.3859512</v>
      </c>
      <c r="G282" s="32" t="n">
        <f aca="false">F282+(運營_產能與收入!F$54-F262)*(1-F236/F235)</f>
        <v>153.8551042</v>
      </c>
      <c r="I282" s="6" t="s">
        <v>603</v>
      </c>
    </row>
    <row r="283" customFormat="false" ht="15" hidden="false" customHeight="false" outlineLevel="2" collapsed="false">
      <c r="A283" s="4" t="s">
        <v>604</v>
      </c>
      <c r="B283" s="11" t="s">
        <v>65</v>
      </c>
      <c r="C283" s="32" t="n">
        <f aca="false">((C281+0.5*(運營_產能與收入!C$54-C262)*C236/C235)/輸入與假設!$C$226+(C282+0.5*(運營_產能與收入!C$54-C262)*(1-C236/C235))/輸入與假設!$C$274)*C34</f>
        <v>38.1152831439867</v>
      </c>
      <c r="D283" s="32" t="n">
        <f aca="false">((D281+0.5*(運營_產能與收入!D$54-D262)*D236/D235)/輸入與假設!$C$226+(D282+0.5*(運營_產能與收入!D$54-D262)*(1-D236/D235))/輸入與假設!$C$274)*D34</f>
        <v>63.3855032626733</v>
      </c>
      <c r="E283" s="32" t="n">
        <f aca="false">((E281+0.5*(運營_產能與收入!E$54-E262)*E236/E235)/輸入與假設!$C$226+(E282+0.5*(運營_產能與收入!E$54-E262)*(1-E236/E235))/輸入與假設!$C$274)*E34</f>
        <v>89.1268086666067</v>
      </c>
      <c r="F283" s="32" t="n">
        <f aca="false">((F281+0.5*(運營_產能與收入!F$54-F262)*F236/F235)/輸入與假設!$C$226+(F282+0.5*(運營_產能與收入!F$54-F262)*(1-F236/F235))/輸入與假設!$C$274)*F34</f>
        <v>114.877214025073</v>
      </c>
      <c r="G283" s="32" t="n">
        <f aca="false">((G281+0.5*(運營_產能與收入!G$54-G262)*G236/G235)/輸入與假設!$C$226+(G282+0.5*(運營_產能與收入!G$54-G262)*(1-G236/G235))/輸入與假設!$C$274)*G34</f>
        <v>140.62761938354</v>
      </c>
      <c r="I283" s="6" t="s">
        <v>605</v>
      </c>
    </row>
    <row r="284" customFormat="false" ht="15" hidden="false" customHeight="false" outlineLevel="2" collapsed="false">
      <c r="A284" s="3" t="s">
        <v>606</v>
      </c>
      <c r="B284" s="11" t="s">
        <v>65</v>
      </c>
      <c r="C284" s="32" t="n">
        <f aca="false">輸入與假設!$C$276</f>
        <v>132.9275855</v>
      </c>
      <c r="D284" s="32" t="n">
        <f aca="false">C284+C262</f>
        <v>168.376386292865</v>
      </c>
      <c r="E284" s="32" t="n">
        <f aca="false">D284+D262</f>
        <v>209.574898987822</v>
      </c>
      <c r="F284" s="32" t="n">
        <f aca="false">E284+E262</f>
        <v>256.422296456808</v>
      </c>
      <c r="G284" s="32" t="n">
        <f aca="false">F284+F262</f>
        <v>308.457808179627</v>
      </c>
      <c r="I284" s="6" t="s">
        <v>607</v>
      </c>
    </row>
    <row r="285" customFormat="false" ht="15" hidden="false" customHeight="false" outlineLevel="2" collapsed="false">
      <c r="A285" s="3" t="s">
        <v>608</v>
      </c>
      <c r="B285" s="11" t="s">
        <v>65</v>
      </c>
      <c r="C285" s="32" t="n">
        <f aca="false">(C284+0.5*C262)/輸入與假設!$C$278*C34</f>
        <v>15.0651985896433</v>
      </c>
      <c r="D285" s="32" t="n">
        <f aca="false">(D284+0.5*D262)/輸入與假設!$C$278*D34</f>
        <v>18.8975642640344</v>
      </c>
      <c r="E285" s="32" t="n">
        <f aca="false">(E284+0.5*E262)/輸入與假設!$C$278*E34</f>
        <v>23.2998597722315</v>
      </c>
      <c r="F285" s="32" t="n">
        <f aca="false">(F284+0.5*F262)/輸入與假設!$C$278*F34</f>
        <v>28.2440052318218</v>
      </c>
      <c r="G285" s="32" t="n">
        <f aca="false">(G284+0.5*G262)/輸入與假設!$C$278*G34</f>
        <v>33.6651556459975</v>
      </c>
      <c r="I285" s="6" t="s">
        <v>609</v>
      </c>
    </row>
    <row r="286" customFormat="false" ht="15" hidden="false" customHeight="false" outlineLevel="1" collapsed="false">
      <c r="A286" s="34" t="s">
        <v>610</v>
      </c>
      <c r="B286" s="20"/>
      <c r="C286" s="20"/>
      <c r="D286" s="20"/>
      <c r="E286" s="20"/>
      <c r="F286" s="20"/>
      <c r="G286" s="20"/>
      <c r="H286" s="20"/>
    </row>
    <row r="287" customFormat="false" ht="15" hidden="false" customHeight="false" outlineLevel="2" collapsed="false">
      <c r="A287" s="3" t="s">
        <v>611</v>
      </c>
      <c r="B287" s="11" t="s">
        <v>65</v>
      </c>
      <c r="C287" s="42" t="n">
        <f aca="false">C263+C268</f>
        <v>204.201730580705</v>
      </c>
      <c r="D287" s="42" t="n">
        <f aca="false">D263+D268</f>
        <v>216.207360041357</v>
      </c>
      <c r="E287" s="42" t="n">
        <f aca="false">E263+E268</f>
        <v>221.965444269786</v>
      </c>
      <c r="F287" s="42" t="n">
        <f aca="false">F263+F268</f>
        <v>267.230643536952</v>
      </c>
      <c r="G287" s="42" t="n">
        <f aca="false">G263+G268</f>
        <v>374.661621600984</v>
      </c>
      <c r="I287" s="6" t="s">
        <v>612</v>
      </c>
    </row>
    <row r="288" customFormat="false" ht="15" hidden="false" customHeight="false" outlineLevel="2" collapsed="false">
      <c r="A288" s="4" t="s">
        <v>613</v>
      </c>
      <c r="B288" s="11" t="s">
        <v>65</v>
      </c>
      <c r="C288" s="42" t="n">
        <f aca="false">C283+C285</f>
        <v>53.1804817336299</v>
      </c>
      <c r="D288" s="42" t="n">
        <f aca="false">D283+D285</f>
        <v>82.2830675267077</v>
      </c>
      <c r="E288" s="42" t="n">
        <f aca="false">E283+E285</f>
        <v>112.426668438838</v>
      </c>
      <c r="F288" s="42" t="n">
        <f aca="false">F283+F285</f>
        <v>143.121219256895</v>
      </c>
      <c r="G288" s="42" t="n">
        <f aca="false">G283+G285</f>
        <v>174.292775029537</v>
      </c>
      <c r="I288" s="6" t="s">
        <v>614</v>
      </c>
    </row>
    <row r="290" customFormat="false" ht="15" hidden="false" customHeight="false" outlineLevel="0" collapsed="false">
      <c r="A290" s="7" t="s">
        <v>615</v>
      </c>
      <c r="B290" s="8"/>
      <c r="C290" s="8"/>
      <c r="D290" s="8"/>
      <c r="E290" s="8"/>
      <c r="F290" s="8"/>
      <c r="G290" s="8"/>
      <c r="H290" s="8"/>
    </row>
    <row r="291" customFormat="false" ht="15" hidden="false" customHeight="false" outlineLevel="1" collapsed="false">
      <c r="A291" s="3" t="s">
        <v>616</v>
      </c>
      <c r="B291" s="11" t="s">
        <v>65</v>
      </c>
      <c r="C291" s="24" t="n">
        <v>76.843</v>
      </c>
      <c r="I291" s="6" t="s">
        <v>617</v>
      </c>
    </row>
    <row r="292" customFormat="false" ht="15" hidden="false" customHeight="false" outlineLevel="1" collapsed="false">
      <c r="A292" s="3" t="s">
        <v>618</v>
      </c>
      <c r="B292" s="11" t="s">
        <v>65</v>
      </c>
      <c r="C292" s="24" t="n">
        <v>0</v>
      </c>
      <c r="I292" s="6" t="s">
        <v>619</v>
      </c>
    </row>
    <row r="293" customFormat="false" ht="15" hidden="false" customHeight="false" outlineLevel="1" collapsed="false">
      <c r="A293" s="3" t="s">
        <v>620</v>
      </c>
      <c r="B293" s="6"/>
      <c r="C293" s="21" t="n">
        <v>1</v>
      </c>
      <c r="I293" s="6" t="s">
        <v>621</v>
      </c>
    </row>
    <row r="294" customFormat="false" ht="15" hidden="false" customHeight="false" outlineLevel="1" collapsed="false">
      <c r="A294" s="3" t="s">
        <v>622</v>
      </c>
      <c r="B294" s="11" t="s">
        <v>65</v>
      </c>
      <c r="C294" s="24" t="n">
        <v>0</v>
      </c>
      <c r="I294" s="6" t="s">
        <v>623</v>
      </c>
    </row>
    <row r="295" customFormat="false" ht="15" hidden="false" customHeight="false" outlineLevel="1" collapsed="false">
      <c r="A295" s="3" t="s">
        <v>624</v>
      </c>
      <c r="B295" s="6"/>
      <c r="C295" s="21" t="n">
        <v>0</v>
      </c>
      <c r="I295" s="6" t="s">
        <v>625</v>
      </c>
    </row>
    <row r="296" customFormat="false" ht="15" hidden="false" customHeight="false" outlineLevel="1" collapsed="false">
      <c r="A296" s="3" t="s">
        <v>626</v>
      </c>
      <c r="B296" s="6"/>
      <c r="C296" s="21" t="n">
        <v>1</v>
      </c>
      <c r="I296" s="6" t="s">
        <v>627</v>
      </c>
    </row>
    <row r="297" customFormat="false" ht="15" hidden="false" customHeight="false" outlineLevel="1" collapsed="false">
      <c r="A297" s="3" t="s">
        <v>628</v>
      </c>
      <c r="B297" s="11" t="s">
        <v>111</v>
      </c>
      <c r="C297" s="43" t="n">
        <v>0.5</v>
      </c>
      <c r="I297" s="6" t="s">
        <v>629</v>
      </c>
    </row>
    <row r="298" customFormat="false" ht="15" hidden="false" customHeight="false" outlineLevel="1" collapsed="false">
      <c r="A298" s="3" t="s">
        <v>630</v>
      </c>
      <c r="B298" s="6"/>
      <c r="C298" s="27" t="s">
        <v>631</v>
      </c>
      <c r="I298" s="11" t="s">
        <v>632</v>
      </c>
    </row>
    <row r="299" customFormat="false" ht="15" hidden="false" customHeight="false" outlineLevel="1" collapsed="false">
      <c r="A299" s="3" t="s">
        <v>633</v>
      </c>
      <c r="B299" s="11" t="s">
        <v>111</v>
      </c>
      <c r="C299" s="43" t="n">
        <v>3</v>
      </c>
      <c r="I299" s="11" t="s">
        <v>634</v>
      </c>
    </row>
    <row r="300" customFormat="false" ht="15" hidden="false" customHeight="false" outlineLevel="1" collapsed="false">
      <c r="A300" s="3" t="s">
        <v>635</v>
      </c>
      <c r="B300" s="6" t="s">
        <v>184</v>
      </c>
      <c r="C300" s="21" t="n">
        <v>3</v>
      </c>
      <c r="I300" s="11" t="s">
        <v>636</v>
      </c>
    </row>
    <row r="301" customFormat="false" ht="15" hidden="false" customHeight="false" outlineLevel="1" collapsed="false">
      <c r="A301" s="3" t="s">
        <v>637</v>
      </c>
      <c r="B301" s="11" t="s">
        <v>39</v>
      </c>
      <c r="C301" s="44" t="n">
        <v>0.98</v>
      </c>
      <c r="I301" s="6" t="s">
        <v>638</v>
      </c>
    </row>
    <row r="302" customFormat="false" ht="15" hidden="false" customHeight="false" outlineLevel="1" collapsed="false">
      <c r="A302" s="3" t="s">
        <v>639</v>
      </c>
      <c r="B302" s="11" t="s">
        <v>42</v>
      </c>
      <c r="C302" s="23" t="n">
        <v>0.08</v>
      </c>
      <c r="I302" s="6" t="s">
        <v>640</v>
      </c>
    </row>
    <row r="303" customFormat="false" ht="15" hidden="false" customHeight="false" outlineLevel="1" collapsed="false">
      <c r="A303" s="3" t="s">
        <v>641</v>
      </c>
      <c r="B303" s="11" t="s">
        <v>642</v>
      </c>
      <c r="C303" s="45" t="n">
        <v>7.427</v>
      </c>
      <c r="I303" s="6" t="s">
        <v>643</v>
      </c>
    </row>
    <row r="304" customFormat="false" ht="15" hidden="false" customHeight="false" outlineLevel="1" collapsed="false">
      <c r="A304" s="3" t="s">
        <v>644</v>
      </c>
      <c r="B304" s="11" t="s">
        <v>65</v>
      </c>
      <c r="C304" s="24" t="n">
        <v>50</v>
      </c>
      <c r="I304" s="6" t="s">
        <v>645</v>
      </c>
    </row>
    <row r="305" customFormat="false" ht="15" hidden="false" customHeight="false" outlineLevel="1" collapsed="false">
      <c r="A305" s="3" t="s">
        <v>646</v>
      </c>
      <c r="B305" s="11" t="s">
        <v>65</v>
      </c>
      <c r="C305" s="24" t="n">
        <v>22.271</v>
      </c>
      <c r="I305" s="6" t="s">
        <v>647</v>
      </c>
    </row>
    <row r="306" customFormat="false" ht="15" hidden="false" customHeight="false" outlineLevel="1" collapsed="false">
      <c r="A306" s="3" t="s">
        <v>648</v>
      </c>
      <c r="B306" s="11" t="s">
        <v>42</v>
      </c>
      <c r="C306" s="23" t="n">
        <v>0</v>
      </c>
      <c r="I306" s="11" t="s">
        <v>649</v>
      </c>
    </row>
    <row r="307" customFormat="false" ht="15" hidden="false" customHeight="false" outlineLevel="1" collapsed="false">
      <c r="A307" s="3" t="s">
        <v>650</v>
      </c>
      <c r="B307" s="11" t="s">
        <v>39</v>
      </c>
      <c r="C307" s="44" t="n">
        <v>529.76</v>
      </c>
      <c r="I307" s="6" t="s">
        <v>651</v>
      </c>
    </row>
    <row r="308" customFormat="false" ht="15" hidden="false" customHeight="false" outlineLevel="1" collapsed="false">
      <c r="A308" s="3" t="s">
        <v>652</v>
      </c>
      <c r="B308" s="11" t="s">
        <v>42</v>
      </c>
      <c r="C308" s="23" t="n">
        <v>0.1</v>
      </c>
      <c r="I308" s="6" t="s">
        <v>653</v>
      </c>
    </row>
    <row r="309" customFormat="false" ht="15" hidden="false" customHeight="false" outlineLevel="1" collapsed="false">
      <c r="A309" s="3" t="s">
        <v>654</v>
      </c>
      <c r="B309" s="11" t="s">
        <v>42</v>
      </c>
      <c r="C309" s="23" t="n">
        <v>0.05</v>
      </c>
      <c r="I309" s="6" t="s">
        <v>655</v>
      </c>
    </row>
    <row r="310" customFormat="false" ht="15" hidden="false" customHeight="false" outlineLevel="1" collapsed="false">
      <c r="A310" s="3" t="s">
        <v>656</v>
      </c>
      <c r="B310" s="11" t="s">
        <v>642</v>
      </c>
      <c r="C310" s="45" t="n">
        <v>7.427</v>
      </c>
      <c r="I310" s="6" t="s">
        <v>657</v>
      </c>
    </row>
    <row r="311" customFormat="false" ht="15" hidden="false" customHeight="false" outlineLevel="1" collapsed="false">
      <c r="A311" s="3" t="s">
        <v>658</v>
      </c>
      <c r="B311" s="11" t="s">
        <v>231</v>
      </c>
      <c r="C311" s="24" t="n">
        <v>0</v>
      </c>
      <c r="I311" s="6" t="s">
        <v>659</v>
      </c>
    </row>
    <row r="312" customFormat="false" ht="15" hidden="false" customHeight="false" outlineLevel="1" collapsed="false">
      <c r="A312" s="3" t="s">
        <v>660</v>
      </c>
      <c r="B312" s="11" t="s">
        <v>231</v>
      </c>
      <c r="C312" s="24" t="n">
        <v>0</v>
      </c>
      <c r="I312" s="6" t="s">
        <v>659</v>
      </c>
    </row>
    <row r="313" customFormat="false" ht="15" hidden="false" customHeight="false" outlineLevel="1" collapsed="false">
      <c r="A313" s="3" t="s">
        <v>661</v>
      </c>
      <c r="B313" s="11" t="s">
        <v>231</v>
      </c>
      <c r="C313" s="24" t="n">
        <v>0</v>
      </c>
      <c r="I313" s="6" t="s">
        <v>659</v>
      </c>
    </row>
    <row r="314" customFormat="false" ht="15" hidden="false" customHeight="false" outlineLevel="1" collapsed="false">
      <c r="A314" s="3" t="s">
        <v>662</v>
      </c>
      <c r="B314" s="11" t="s">
        <v>231</v>
      </c>
      <c r="C314" s="32" t="n">
        <f aca="false">CHOOSE(輸入與假設!$C$5,輸入與假設!$C$311,輸入與假設!$C$312,輸入與假設!$C$313)</f>
        <v>0</v>
      </c>
      <c r="I314" s="6" t="s">
        <v>663</v>
      </c>
    </row>
    <row r="315" customFormat="false" ht="15" hidden="false" customHeight="false" outlineLevel="1" collapsed="false">
      <c r="A315" s="3" t="s">
        <v>664</v>
      </c>
      <c r="B315" s="11" t="s">
        <v>42</v>
      </c>
      <c r="C315" s="23" t="n">
        <v>0</v>
      </c>
      <c r="I315" s="11" t="s">
        <v>665</v>
      </c>
    </row>
    <row r="316" customFormat="false" ht="15" hidden="false" customHeight="false" outlineLevel="1" collapsed="false">
      <c r="A316" s="3" t="s">
        <v>666</v>
      </c>
      <c r="B316" s="11" t="s">
        <v>42</v>
      </c>
      <c r="C316" s="23" t="n">
        <v>0</v>
      </c>
      <c r="I316" s="11" t="s">
        <v>667</v>
      </c>
    </row>
    <row r="317" customFormat="false" ht="15" hidden="false" customHeight="false" outlineLevel="1" collapsed="false">
      <c r="A317" s="3" t="s">
        <v>668</v>
      </c>
      <c r="B317" s="11" t="s">
        <v>42</v>
      </c>
      <c r="C317" s="23" t="n">
        <v>0.12</v>
      </c>
      <c r="I317" s="6" t="s">
        <v>669</v>
      </c>
    </row>
    <row r="318" customFormat="false" ht="15" hidden="false" customHeight="false" outlineLevel="1" collapsed="false">
      <c r="A318" s="3" t="s">
        <v>670</v>
      </c>
      <c r="B318" s="11" t="s">
        <v>42</v>
      </c>
      <c r="C318" s="23" t="n">
        <v>0.2</v>
      </c>
      <c r="I318" s="6" t="s">
        <v>671</v>
      </c>
    </row>
    <row r="319" customFormat="false" ht="15" hidden="false" customHeight="false" outlineLevel="1" collapsed="false">
      <c r="A319" s="4" t="s">
        <v>672</v>
      </c>
      <c r="B319" s="11" t="s">
        <v>673</v>
      </c>
      <c r="C319" s="21"/>
      <c r="I319" s="6" t="s">
        <v>674</v>
      </c>
    </row>
    <row r="320" customFormat="false" ht="15" hidden="false" customHeight="false" outlineLevel="1" collapsed="false">
      <c r="A320" s="4" t="s">
        <v>675</v>
      </c>
      <c r="B320" s="6"/>
      <c r="C320" s="21" t="n">
        <v>0</v>
      </c>
      <c r="I320" s="6" t="s">
        <v>676</v>
      </c>
    </row>
    <row r="321" customFormat="false" ht="15" hidden="false" customHeight="false" outlineLevel="1" collapsed="false">
      <c r="A321" s="4" t="s">
        <v>677</v>
      </c>
      <c r="B321" s="11" t="s">
        <v>673</v>
      </c>
      <c r="C321" s="21" t="n">
        <v>450</v>
      </c>
      <c r="I321" s="11" t="s">
        <v>678</v>
      </c>
    </row>
    <row r="322" customFormat="false" ht="15" hidden="false" customHeight="false" outlineLevel="1" collapsed="false">
      <c r="A322" s="4" t="s">
        <v>679</v>
      </c>
      <c r="B322" s="11" t="s">
        <v>42</v>
      </c>
      <c r="C322" s="23" t="n">
        <v>0.4</v>
      </c>
      <c r="I322" s="6" t="s">
        <v>680</v>
      </c>
    </row>
    <row r="323" customFormat="false" ht="15" hidden="false" customHeight="false" outlineLevel="1" collapsed="false">
      <c r="A323" s="14" t="s">
        <v>59</v>
      </c>
      <c r="B323" s="14" t="s">
        <v>60</v>
      </c>
      <c r="C323" s="28" t="s">
        <v>61</v>
      </c>
      <c r="D323" s="28" t="s">
        <v>62</v>
      </c>
      <c r="E323" s="28" t="s">
        <v>63</v>
      </c>
      <c r="F323" s="28" t="s">
        <v>153</v>
      </c>
      <c r="G323" s="28" t="s">
        <v>154</v>
      </c>
      <c r="I323" s="14" t="s">
        <v>206</v>
      </c>
    </row>
    <row r="324" customFormat="false" ht="15" hidden="false" customHeight="false" outlineLevel="1" collapsed="false">
      <c r="A324" s="3" t="s">
        <v>681</v>
      </c>
      <c r="B324" s="11" t="s">
        <v>65</v>
      </c>
      <c r="C324" s="24" t="n">
        <v>0</v>
      </c>
      <c r="D324" s="24" t="n">
        <v>0</v>
      </c>
      <c r="E324" s="24" t="n">
        <v>0</v>
      </c>
      <c r="F324" s="24" t="n">
        <v>0</v>
      </c>
      <c r="G324" s="24" t="n">
        <v>0</v>
      </c>
      <c r="I324" s="6" t="s">
        <v>682</v>
      </c>
    </row>
    <row r="325" customFormat="false" ht="15" hidden="false" customHeight="false" outlineLevel="1" collapsed="false">
      <c r="A325" s="3" t="s">
        <v>683</v>
      </c>
      <c r="B325" s="11" t="s">
        <v>65</v>
      </c>
      <c r="C325" s="24" t="n">
        <v>9.25</v>
      </c>
      <c r="D325" s="24" t="n">
        <v>0</v>
      </c>
      <c r="E325" s="24" t="n">
        <v>2.001</v>
      </c>
      <c r="F325" s="24" t="n">
        <v>0</v>
      </c>
      <c r="G325" s="24" t="n">
        <v>0.5</v>
      </c>
      <c r="I325" s="6" t="s">
        <v>684</v>
      </c>
    </row>
    <row r="326" customFormat="false" ht="15" hidden="false" customHeight="false" outlineLevel="1" collapsed="false">
      <c r="A326" s="3" t="s">
        <v>685</v>
      </c>
      <c r="B326" s="11" t="s">
        <v>42</v>
      </c>
      <c r="C326" s="23" t="n">
        <v>0.05</v>
      </c>
      <c r="D326" s="23" t="n">
        <v>0.05</v>
      </c>
      <c r="E326" s="23" t="n">
        <v>0.05</v>
      </c>
      <c r="F326" s="23" t="n">
        <v>0.05</v>
      </c>
      <c r="G326" s="23" t="n">
        <v>0.05</v>
      </c>
      <c r="I326" s="6" t="s">
        <v>686</v>
      </c>
    </row>
    <row r="327" customFormat="false" ht="15" hidden="false" customHeight="false" outlineLevel="1" collapsed="false">
      <c r="A327" s="3" t="s">
        <v>687</v>
      </c>
      <c r="B327" s="11" t="s">
        <v>65</v>
      </c>
      <c r="C327" s="39" t="n">
        <f aca="false">資產負債_既有債務!C44</f>
        <v>1.30050734686579</v>
      </c>
      <c r="D327" s="39" t="n">
        <f aca="false">資產負債_既有債務!D44</f>
        <v>1.15560969373158</v>
      </c>
      <c r="E327" s="39" t="n">
        <f aca="false">資產負債_既有債務!E44</f>
        <v>1.12426480682114</v>
      </c>
      <c r="F327" s="39" t="n">
        <f aca="false">資產負債_既有債務!F44</f>
        <v>1.0929199199107</v>
      </c>
      <c r="G327" s="39" t="n">
        <f aca="false">資產負債_既有債務!G44</f>
        <v>1.08508761433588</v>
      </c>
      <c r="I327" s="6" t="s">
        <v>688</v>
      </c>
    </row>
    <row r="329" customFormat="false" ht="15" hidden="false" customHeight="false" outlineLevel="0" collapsed="false">
      <c r="A329" s="7" t="s">
        <v>689</v>
      </c>
      <c r="B329" s="8"/>
      <c r="C329" s="8"/>
      <c r="D329" s="8"/>
      <c r="E329" s="8"/>
      <c r="F329" s="8"/>
      <c r="G329" s="8"/>
      <c r="H329" s="8"/>
    </row>
    <row r="330" customFormat="false" ht="15" hidden="false" customHeight="false" outlineLevel="1" collapsed="false">
      <c r="A330" s="3" t="s">
        <v>690</v>
      </c>
      <c r="B330" s="11" t="s">
        <v>39</v>
      </c>
      <c r="C330" s="44" t="n">
        <v>529.76</v>
      </c>
      <c r="I330" s="11" t="s">
        <v>691</v>
      </c>
    </row>
    <row r="331" customFormat="false" ht="15" hidden="false" customHeight="false" outlineLevel="1" collapsed="false">
      <c r="A331" s="3" t="s">
        <v>692</v>
      </c>
      <c r="B331" s="11" t="s">
        <v>642</v>
      </c>
      <c r="C331" s="45" t="n">
        <v>7.453</v>
      </c>
      <c r="I331" s="6" t="s">
        <v>693</v>
      </c>
    </row>
    <row r="332" customFormat="false" ht="15" hidden="false" customHeight="false" outlineLevel="1" collapsed="false">
      <c r="A332" s="3" t="s">
        <v>694</v>
      </c>
      <c r="B332" s="11" t="s">
        <v>65</v>
      </c>
      <c r="C332" s="24" t="n">
        <v>-30.707</v>
      </c>
      <c r="I332" s="6" t="s">
        <v>695</v>
      </c>
    </row>
    <row r="333" customFormat="false" ht="15" hidden="false" customHeight="false" outlineLevel="1" collapsed="false">
      <c r="A333" s="3" t="s">
        <v>696</v>
      </c>
      <c r="B333" s="11" t="s">
        <v>42</v>
      </c>
      <c r="C333" s="23" t="n">
        <v>0.2</v>
      </c>
      <c r="I333" s="6" t="s">
        <v>697</v>
      </c>
    </row>
    <row r="334" customFormat="false" ht="15" hidden="false" customHeight="false" outlineLevel="1" collapsed="false">
      <c r="A334" s="4" t="s">
        <v>698</v>
      </c>
      <c r="B334" s="11" t="s">
        <v>65</v>
      </c>
      <c r="C334" s="24" t="n">
        <v>852</v>
      </c>
      <c r="I334" s="11" t="s">
        <v>699</v>
      </c>
    </row>
    <row r="335" customFormat="false" ht="15" hidden="false" customHeight="false" outlineLevel="1" collapsed="false">
      <c r="A335" s="4" t="s">
        <v>700</v>
      </c>
      <c r="B335" s="11" t="s">
        <v>42</v>
      </c>
      <c r="C335" s="23" t="n">
        <v>0.25</v>
      </c>
      <c r="I335" s="6"/>
    </row>
    <row r="336" customFormat="false" ht="15" hidden="false" customHeight="false" outlineLevel="1" collapsed="false">
      <c r="A336" s="4" t="s">
        <v>701</v>
      </c>
      <c r="B336" s="6"/>
      <c r="C336" s="21" t="n">
        <v>0</v>
      </c>
      <c r="I336" s="11" t="s">
        <v>702</v>
      </c>
    </row>
    <row r="337" customFormat="false" ht="15" hidden="false" customHeight="false" outlineLevel="1" collapsed="false">
      <c r="A337" s="3" t="s">
        <v>703</v>
      </c>
      <c r="B337" s="11" t="s">
        <v>65</v>
      </c>
      <c r="C337" s="32" t="n">
        <f aca="false">輸入與假設!$C$334*輸入與假設!$C$335*(1-IF(輸入與假設!$C$336=1,0,輸入與假設!$C$333))</f>
        <v>170.4</v>
      </c>
      <c r="I337" s="6" t="s">
        <v>704</v>
      </c>
    </row>
    <row r="338" customFormat="false" ht="15" hidden="false" customHeight="false" outlineLevel="1" collapsed="false">
      <c r="A338" s="3" t="s">
        <v>705</v>
      </c>
      <c r="B338" s="11" t="s">
        <v>65</v>
      </c>
      <c r="C338" s="32" t="n">
        <f aca="false">0-輸入與假設!$C$337</f>
        <v>-170.4</v>
      </c>
      <c r="I338" s="6" t="s">
        <v>706</v>
      </c>
    </row>
    <row r="339" customFormat="false" ht="15" hidden="false" customHeight="false" outlineLevel="1" collapsed="false">
      <c r="A339" s="3" t="s">
        <v>707</v>
      </c>
      <c r="B339" s="11" t="s">
        <v>42</v>
      </c>
      <c r="C339" s="23" t="n">
        <v>0.2</v>
      </c>
      <c r="I339" s="11" t="s">
        <v>708</v>
      </c>
    </row>
    <row r="340" customFormat="false" ht="15" hidden="false" customHeight="false" outlineLevel="1" collapsed="false">
      <c r="A340" s="3" t="s">
        <v>709</v>
      </c>
      <c r="B340" s="11" t="s">
        <v>42</v>
      </c>
      <c r="C340" s="23" t="n">
        <v>0.0528</v>
      </c>
      <c r="I340" s="11" t="s">
        <v>710</v>
      </c>
    </row>
    <row r="341" customFormat="false" ht="15" hidden="false" customHeight="false" outlineLevel="1" collapsed="false">
      <c r="A341" s="4" t="s">
        <v>711</v>
      </c>
      <c r="B341" s="11" t="s">
        <v>111</v>
      </c>
      <c r="C341" s="37" t="n">
        <v>1.137</v>
      </c>
      <c r="I341" s="11" t="s">
        <v>712</v>
      </c>
    </row>
    <row r="342" customFormat="false" ht="15" hidden="false" customHeight="false" outlineLevel="1" collapsed="false">
      <c r="A342" s="4" t="s">
        <v>713</v>
      </c>
      <c r="B342" s="11" t="s">
        <v>42</v>
      </c>
      <c r="C342" s="23" t="n">
        <v>0.05</v>
      </c>
      <c r="I342" s="11" t="s">
        <v>714</v>
      </c>
    </row>
    <row r="343" customFormat="false" ht="15" hidden="false" customHeight="false" outlineLevel="1" collapsed="false">
      <c r="A343" s="3" t="s">
        <v>715</v>
      </c>
      <c r="B343" s="11" t="s">
        <v>42</v>
      </c>
      <c r="C343" s="38" t="n">
        <f aca="false">輸入與假設!$C$340+輸入與假設!$C$341*輸入與假設!$C$342</f>
        <v>0.10965</v>
      </c>
      <c r="I343" s="11" t="s">
        <v>716</v>
      </c>
    </row>
    <row r="344" customFormat="false" ht="15" hidden="false" customHeight="false" outlineLevel="1" collapsed="false">
      <c r="A344" s="3" t="s">
        <v>717</v>
      </c>
      <c r="B344" s="11" t="s">
        <v>42</v>
      </c>
      <c r="C344" s="23" t="n">
        <v>0.0626</v>
      </c>
      <c r="I344" s="11" t="s">
        <v>718</v>
      </c>
    </row>
    <row r="345" customFormat="false" ht="15" hidden="false" customHeight="false" outlineLevel="1" collapsed="false">
      <c r="A345" s="3" t="s">
        <v>719</v>
      </c>
      <c r="B345" s="11" t="s">
        <v>65</v>
      </c>
      <c r="C345" s="32" t="n">
        <f aca="false">輸入與假設!$C$330*7.427</f>
        <v>3934.52752</v>
      </c>
      <c r="I345" s="6" t="s">
        <v>720</v>
      </c>
    </row>
    <row r="346" customFormat="false" ht="15" hidden="false" customHeight="false" outlineLevel="1" collapsed="false">
      <c r="A346" s="3" t="s">
        <v>721</v>
      </c>
      <c r="B346" s="11" t="s">
        <v>65</v>
      </c>
      <c r="C346" s="24" t="n">
        <v>46.136</v>
      </c>
      <c r="I346" s="6" t="s">
        <v>722</v>
      </c>
    </row>
    <row r="347" customFormat="false" ht="15" hidden="false" customHeight="false" outlineLevel="1" collapsed="false">
      <c r="A347" s="4" t="s">
        <v>723</v>
      </c>
      <c r="B347" s="11" t="s">
        <v>42</v>
      </c>
      <c r="C347" s="38" t="n">
        <f aca="false">輸入與假設!$C$345/(輸入與假設!$C$346+輸入與假設!$C$345)*輸入與假設!$C$343+輸入與假設!$C$346/(輸入與假設!$C$346+輸入與假設!$C$345)*輸入與假設!$C$344*(1-輸入與假設!$C$339)</f>
        <v>0.108959582056812</v>
      </c>
      <c r="I347" s="11" t="s">
        <v>724</v>
      </c>
    </row>
    <row r="348" customFormat="false" ht="15" hidden="false" customHeight="false" outlineLevel="1" collapsed="false">
      <c r="A348" s="4" t="s">
        <v>725</v>
      </c>
      <c r="B348" s="11" t="s">
        <v>42</v>
      </c>
      <c r="C348" s="23"/>
      <c r="I348" s="11" t="s">
        <v>726</v>
      </c>
    </row>
    <row r="349" customFormat="false" ht="15" hidden="false" customHeight="false" outlineLevel="1" collapsed="false">
      <c r="A349" s="4" t="s">
        <v>727</v>
      </c>
      <c r="B349" s="11" t="s">
        <v>42</v>
      </c>
      <c r="C349" s="38" t="n">
        <f aca="false">IF(ISBLANK(輸入與假設!$C$348),輸入與假設!$C$347,輸入與假設!$C$348)</f>
        <v>0.108959582056812</v>
      </c>
      <c r="I349" s="6" t="s">
        <v>728</v>
      </c>
    </row>
    <row r="350" customFormat="false" ht="15" hidden="false" customHeight="false" outlineLevel="1" collapsed="false">
      <c r="A350" s="3" t="s">
        <v>729</v>
      </c>
      <c r="B350" s="11" t="s">
        <v>42</v>
      </c>
      <c r="C350" s="23" t="n">
        <v>0.03</v>
      </c>
      <c r="I350" s="11" t="s">
        <v>225</v>
      </c>
    </row>
    <row r="351" customFormat="false" ht="15" hidden="false" customHeight="false" outlineLevel="1" collapsed="false">
      <c r="A351" s="3" t="s">
        <v>730</v>
      </c>
      <c r="B351" s="11" t="s">
        <v>42</v>
      </c>
      <c r="C351" s="23" t="n">
        <v>0.8</v>
      </c>
      <c r="I351" s="11" t="s">
        <v>731</v>
      </c>
    </row>
    <row r="352" customFormat="false" ht="15" hidden="false" customHeight="false" outlineLevel="1" collapsed="false">
      <c r="A352" s="3" t="s">
        <v>732</v>
      </c>
      <c r="B352" s="11" t="s">
        <v>65</v>
      </c>
      <c r="C352" s="24" t="n">
        <v>0</v>
      </c>
      <c r="I352" s="11" t="s">
        <v>733</v>
      </c>
    </row>
    <row r="353" customFormat="false" ht="15" hidden="false" customHeight="false" outlineLevel="1" collapsed="false">
      <c r="A353" s="4" t="s">
        <v>734</v>
      </c>
      <c r="B353" s="11" t="s">
        <v>42</v>
      </c>
      <c r="C353" s="23" t="n">
        <v>0.8</v>
      </c>
      <c r="I353" s="6" t="s">
        <v>735</v>
      </c>
    </row>
    <row r="354" customFormat="false" ht="15" hidden="false" customHeight="false" outlineLevel="1" collapsed="false">
      <c r="A354" s="3" t="s">
        <v>736</v>
      </c>
      <c r="B354" s="11" t="s">
        <v>42</v>
      </c>
      <c r="C354" s="23" t="n">
        <v>0</v>
      </c>
      <c r="I354" s="6" t="s">
        <v>737</v>
      </c>
    </row>
    <row r="355" customFormat="false" ht="15" hidden="false" customHeight="false" outlineLevel="1" collapsed="false">
      <c r="A355" s="4" t="s">
        <v>738</v>
      </c>
      <c r="B355" s="11" t="s">
        <v>111</v>
      </c>
      <c r="C355" s="46" t="n">
        <v>6</v>
      </c>
      <c r="I355" s="11" t="s">
        <v>739</v>
      </c>
    </row>
    <row r="356" customFormat="false" ht="15" hidden="false" customHeight="false" outlineLevel="1" collapsed="false">
      <c r="A356" s="3" t="s">
        <v>740</v>
      </c>
      <c r="B356" s="11" t="s">
        <v>111</v>
      </c>
      <c r="C356" s="46" t="n">
        <v>9.54</v>
      </c>
      <c r="I356" s="11" t="s">
        <v>741</v>
      </c>
    </row>
    <row r="357" customFormat="false" ht="15" hidden="false" customHeight="false" outlineLevel="1" collapsed="false">
      <c r="A357" s="3" t="s">
        <v>742</v>
      </c>
      <c r="B357" s="11" t="s">
        <v>111</v>
      </c>
      <c r="C357" s="46" t="n">
        <v>15.02</v>
      </c>
      <c r="I357" s="11" t="s">
        <v>743</v>
      </c>
    </row>
    <row r="358" customFormat="false" ht="15" hidden="false" customHeight="false" outlineLevel="1" collapsed="false">
      <c r="A358" s="3" t="s">
        <v>744</v>
      </c>
      <c r="B358" s="11" t="s">
        <v>111</v>
      </c>
      <c r="C358" s="46" t="n">
        <v>10.8</v>
      </c>
      <c r="I358" s="11" t="s">
        <v>745</v>
      </c>
    </row>
    <row r="359" customFormat="false" ht="15" hidden="false" customHeight="false" outlineLevel="1" collapsed="false">
      <c r="A359" s="3" t="s">
        <v>746</v>
      </c>
      <c r="B359" s="11" t="s">
        <v>111</v>
      </c>
      <c r="C359" s="46" t="n">
        <v>6.6</v>
      </c>
      <c r="I359" s="11" t="s">
        <v>747</v>
      </c>
    </row>
    <row r="360" customFormat="false" ht="15" hidden="false" customHeight="false" outlineLevel="1" collapsed="false">
      <c r="A360" s="3" t="s">
        <v>748</v>
      </c>
      <c r="B360" s="11" t="s">
        <v>111</v>
      </c>
      <c r="C360" s="46" t="n">
        <v>20.65</v>
      </c>
      <c r="I360" s="11" t="s">
        <v>749</v>
      </c>
    </row>
    <row r="361" customFormat="false" ht="15" hidden="false" customHeight="false" outlineLevel="1" collapsed="false">
      <c r="A361" s="3" t="s">
        <v>750</v>
      </c>
      <c r="B361" s="11" t="s">
        <v>111</v>
      </c>
      <c r="C361" s="46" t="n">
        <v>9.54</v>
      </c>
      <c r="I361" s="11" t="s">
        <v>741</v>
      </c>
    </row>
    <row r="362" customFormat="false" ht="15" hidden="false" customHeight="false" outlineLevel="1" collapsed="false">
      <c r="A362" s="3" t="s">
        <v>751</v>
      </c>
      <c r="B362" s="11" t="s">
        <v>111</v>
      </c>
      <c r="C362" s="46" t="n">
        <v>15.02</v>
      </c>
      <c r="I362" s="11" t="s">
        <v>743</v>
      </c>
    </row>
    <row r="363" customFormat="false" ht="15" hidden="false" customHeight="false" outlineLevel="1" collapsed="false">
      <c r="A363" s="3" t="s">
        <v>752</v>
      </c>
      <c r="B363" s="11" t="s">
        <v>111</v>
      </c>
      <c r="C363" s="46" t="n">
        <v>10.8</v>
      </c>
      <c r="I363" s="11" t="s">
        <v>745</v>
      </c>
    </row>
    <row r="364" customFormat="false" ht="15" hidden="false" customHeight="false" outlineLevel="1" collapsed="false">
      <c r="A364" s="3" t="s">
        <v>753</v>
      </c>
      <c r="B364" s="11" t="s">
        <v>111</v>
      </c>
      <c r="C364" s="46" t="n">
        <v>6.6</v>
      </c>
      <c r="I364" s="11" t="s">
        <v>747</v>
      </c>
    </row>
    <row r="365" customFormat="false" ht="15" hidden="false" customHeight="false" outlineLevel="1" collapsed="false">
      <c r="A365" s="3" t="s">
        <v>754</v>
      </c>
      <c r="B365" s="11" t="s">
        <v>111</v>
      </c>
      <c r="C365" s="46" t="n">
        <v>20.65</v>
      </c>
      <c r="I365" s="11" t="s">
        <v>749</v>
      </c>
    </row>
    <row r="366" customFormat="false" ht="15" hidden="false" customHeight="false" outlineLevel="1" collapsed="false">
      <c r="A366" s="3" t="s">
        <v>755</v>
      </c>
      <c r="B366" s="11" t="s">
        <v>111</v>
      </c>
      <c r="C366" s="47" t="n">
        <f aca="false">MEDIAN(輸入與假設!$C$361,輸入與假設!$C$362,輸入與假設!$C$363,輸入與假設!$C$364,輸入與假設!$C$365)</f>
        <v>10.8</v>
      </c>
      <c r="I366" s="6" t="s">
        <v>756</v>
      </c>
    </row>
    <row r="367" customFormat="false" ht="15" hidden="false" customHeight="false" outlineLevel="1" collapsed="false">
      <c r="A367" s="3" t="s">
        <v>757</v>
      </c>
      <c r="B367" s="11" t="s">
        <v>111</v>
      </c>
      <c r="C367" s="46" t="n">
        <v>10.79</v>
      </c>
      <c r="I367" s="11" t="s">
        <v>758</v>
      </c>
    </row>
    <row r="368" customFormat="false" ht="15" hidden="false" customHeight="false" outlineLevel="1" collapsed="false">
      <c r="A368" s="3" t="s">
        <v>759</v>
      </c>
      <c r="B368" s="11" t="s">
        <v>111</v>
      </c>
      <c r="C368" s="46" t="n">
        <v>6.91</v>
      </c>
      <c r="I368" s="11" t="s">
        <v>760</v>
      </c>
    </row>
    <row r="369" customFormat="false" ht="15" hidden="false" customHeight="false" outlineLevel="1" collapsed="false">
      <c r="A369" s="3" t="s">
        <v>761</v>
      </c>
      <c r="B369" s="11" t="s">
        <v>111</v>
      </c>
      <c r="C369" s="46" t="n">
        <v>6.53</v>
      </c>
      <c r="I369" s="11" t="s">
        <v>762</v>
      </c>
    </row>
    <row r="370" customFormat="false" ht="15" hidden="false" customHeight="false" outlineLevel="1" collapsed="false">
      <c r="A370" s="3" t="s">
        <v>763</v>
      </c>
      <c r="B370" s="11" t="s">
        <v>111</v>
      </c>
      <c r="C370" s="46" t="n">
        <v>11.38</v>
      </c>
      <c r="I370" s="11" t="s">
        <v>764</v>
      </c>
    </row>
    <row r="371" customFormat="false" ht="15" hidden="false" customHeight="false" outlineLevel="1" collapsed="false">
      <c r="A371" s="3" t="s">
        <v>765</v>
      </c>
      <c r="B371" s="11" t="s">
        <v>111</v>
      </c>
      <c r="C371" s="46" t="n">
        <v>13.63</v>
      </c>
      <c r="I371" s="11" t="s">
        <v>766</v>
      </c>
    </row>
    <row r="372" customFormat="false" ht="15" hidden="false" customHeight="false" outlineLevel="1" collapsed="false">
      <c r="A372" s="3" t="s">
        <v>767</v>
      </c>
      <c r="B372" s="11" t="s">
        <v>111</v>
      </c>
      <c r="C372" s="46" t="n">
        <v>7.43</v>
      </c>
      <c r="I372" s="11" t="s">
        <v>768</v>
      </c>
    </row>
    <row r="373" customFormat="false" ht="15" hidden="false" customHeight="false" outlineLevel="1" collapsed="false">
      <c r="A373" s="3" t="s">
        <v>769</v>
      </c>
      <c r="B373" s="11" t="s">
        <v>111</v>
      </c>
      <c r="C373" s="47" t="n">
        <f aca="false">MEDIAN(輸入與假設!$C$367,輸入與假設!$C$368,輸入與假設!$C$369,輸入與假設!$C$370,輸入與假設!$C$371,輸入與假設!$C$372)</f>
        <v>9.11</v>
      </c>
      <c r="I373" s="6" t="s">
        <v>756</v>
      </c>
    </row>
    <row r="374" customFormat="false" ht="15" hidden="false" customHeight="false" outlineLevel="1" collapsed="false">
      <c r="A374" s="3" t="s">
        <v>770</v>
      </c>
      <c r="B374" s="11" t="s">
        <v>111</v>
      </c>
      <c r="C374" s="46" t="n">
        <v>50.9</v>
      </c>
      <c r="I374" s="11" t="s">
        <v>771</v>
      </c>
    </row>
    <row r="375" customFormat="false" ht="15" hidden="false" customHeight="false" outlineLevel="1" collapsed="false">
      <c r="A375" s="3" t="s">
        <v>772</v>
      </c>
      <c r="B375" s="11" t="s">
        <v>111</v>
      </c>
      <c r="C375" s="46" t="n">
        <v>12.63</v>
      </c>
      <c r="I375" s="11" t="s">
        <v>773</v>
      </c>
    </row>
    <row r="376" customFormat="false" ht="15" hidden="false" customHeight="false" outlineLevel="1" collapsed="false">
      <c r="A376" s="3" t="s">
        <v>774</v>
      </c>
      <c r="B376" s="11" t="s">
        <v>111</v>
      </c>
      <c r="C376" s="46" t="n">
        <v>8.23</v>
      </c>
      <c r="I376" s="11" t="s">
        <v>775</v>
      </c>
    </row>
    <row r="377" customFormat="false" ht="15" hidden="false" customHeight="false" outlineLevel="1" collapsed="false">
      <c r="A377" s="3" t="s">
        <v>776</v>
      </c>
      <c r="B377" s="11" t="s">
        <v>111</v>
      </c>
      <c r="C377" s="46" t="n">
        <v>7.6</v>
      </c>
      <c r="I377" s="11" t="s">
        <v>777</v>
      </c>
    </row>
    <row r="378" customFormat="false" ht="15" hidden="false" customHeight="false" outlineLevel="1" collapsed="false">
      <c r="A378" s="3" t="s">
        <v>778</v>
      </c>
      <c r="B378" s="11" t="s">
        <v>111</v>
      </c>
      <c r="C378" s="46" t="n">
        <v>22.1</v>
      </c>
      <c r="I378" s="11" t="s">
        <v>779</v>
      </c>
    </row>
    <row r="379" customFormat="false" ht="15" hidden="false" customHeight="false" outlineLevel="1" collapsed="false">
      <c r="A379" s="3" t="s">
        <v>780</v>
      </c>
      <c r="B379" s="11" t="s">
        <v>111</v>
      </c>
      <c r="C379" s="46" t="n">
        <v>14.47</v>
      </c>
      <c r="I379" s="11" t="s">
        <v>781</v>
      </c>
    </row>
    <row r="380" customFormat="false" ht="15" hidden="false" customHeight="false" outlineLevel="1" collapsed="false">
      <c r="A380" s="3" t="s">
        <v>782</v>
      </c>
      <c r="B380" s="11" t="s">
        <v>111</v>
      </c>
      <c r="C380" s="47" t="n">
        <f aca="false">MEDIAN(輸入與假設!$C$374,輸入與假設!$C$375,輸入與假設!$C$376,輸入與假設!$C$377,輸入與假設!$C$378,輸入與假設!$C$379)</f>
        <v>13.55</v>
      </c>
      <c r="I380" s="6" t="s">
        <v>756</v>
      </c>
    </row>
    <row r="381" customFormat="false" ht="15" hidden="false" customHeight="false" outlineLevel="1" collapsed="false">
      <c r="A381" s="3" t="s">
        <v>783</v>
      </c>
      <c r="B381" s="11" t="s">
        <v>111</v>
      </c>
      <c r="C381" s="46" t="n">
        <v>9.49</v>
      </c>
      <c r="I381" s="11" t="s">
        <v>784</v>
      </c>
    </row>
    <row r="382" customFormat="false" ht="15" hidden="false" customHeight="false" outlineLevel="1" collapsed="false">
      <c r="A382" s="3" t="s">
        <v>785</v>
      </c>
      <c r="B382" s="11" t="s">
        <v>111</v>
      </c>
      <c r="C382" s="46" t="n">
        <v>12.51</v>
      </c>
      <c r="I382" s="11" t="s">
        <v>786</v>
      </c>
    </row>
    <row r="383" customFormat="false" ht="15" hidden="false" customHeight="false" outlineLevel="1" collapsed="false">
      <c r="A383" s="3" t="s">
        <v>787</v>
      </c>
      <c r="B383" s="11" t="s">
        <v>111</v>
      </c>
      <c r="C383" s="46" t="n">
        <v>15.13</v>
      </c>
      <c r="I383" s="11" t="s">
        <v>788</v>
      </c>
    </row>
    <row r="384" customFormat="false" ht="15" hidden="false" customHeight="false" outlineLevel="1" collapsed="false">
      <c r="A384" s="3" t="s">
        <v>789</v>
      </c>
      <c r="B384" s="11" t="s">
        <v>111</v>
      </c>
      <c r="C384" s="46" t="n">
        <v>10.81</v>
      </c>
      <c r="I384" s="11" t="s">
        <v>790</v>
      </c>
    </row>
    <row r="385" customFormat="false" ht="15" hidden="false" customHeight="false" outlineLevel="1" collapsed="false">
      <c r="A385" s="3" t="s">
        <v>791</v>
      </c>
      <c r="B385" s="11" t="s">
        <v>111</v>
      </c>
      <c r="C385" s="46" t="n">
        <v>20.63</v>
      </c>
      <c r="I385" s="11" t="s">
        <v>792</v>
      </c>
    </row>
    <row r="386" customFormat="false" ht="15" hidden="false" customHeight="false" outlineLevel="1" collapsed="false">
      <c r="A386" s="3" t="s">
        <v>793</v>
      </c>
      <c r="B386" s="11" t="s">
        <v>111</v>
      </c>
      <c r="C386" s="46" t="n">
        <v>9.7</v>
      </c>
      <c r="I386" s="11" t="s">
        <v>794</v>
      </c>
    </row>
    <row r="387" customFormat="false" ht="15" hidden="false" customHeight="false" outlineLevel="1" collapsed="false">
      <c r="A387" s="3" t="s">
        <v>795</v>
      </c>
      <c r="B387" s="11" t="s">
        <v>111</v>
      </c>
      <c r="C387" s="46" t="n">
        <v>21.2</v>
      </c>
      <c r="I387" s="11" t="s">
        <v>796</v>
      </c>
    </row>
    <row r="388" customFormat="false" ht="15" hidden="false" customHeight="false" outlineLevel="1" collapsed="false">
      <c r="A388" s="3" t="s">
        <v>797</v>
      </c>
      <c r="B388" s="11" t="s">
        <v>111</v>
      </c>
      <c r="C388" s="46" t="n">
        <v>24.49</v>
      </c>
      <c r="I388" s="11" t="s">
        <v>798</v>
      </c>
    </row>
    <row r="389" customFormat="false" ht="15" hidden="false" customHeight="false" outlineLevel="1" collapsed="false">
      <c r="A389" s="3" t="s">
        <v>799</v>
      </c>
      <c r="B389" s="11" t="s">
        <v>111</v>
      </c>
      <c r="C389" s="47" t="n">
        <f aca="false">MEDIAN(輸入與假設!$C$381,輸入與假設!$C$382,輸入與假設!$C$383,輸入與假設!$C$384,輸入與假設!$C$385,輸入與假設!$C$386,輸入與假設!$C$387,輸入與假設!$C$388)</f>
        <v>13.82</v>
      </c>
      <c r="I389" s="6" t="s">
        <v>756</v>
      </c>
    </row>
    <row r="390" customFormat="false" ht="15" hidden="false" customHeight="false" outlineLevel="1" collapsed="false">
      <c r="A390" s="3" t="s">
        <v>800</v>
      </c>
      <c r="B390" s="11" t="s">
        <v>111</v>
      </c>
      <c r="C390" s="47" t="n">
        <f aca="false">(INDEX(輸入與假設!$D$122:$G$122,1,輸入與假設!$C$393)*輸入與假設!$C$366+INDEX(輸入與假設!$D$136:$G$136,1,輸入與假設!$C$393)*輸入與假設!$C$366+INDEX(輸入與假設!$D$150:$G$150,1,輸入與假設!$C$393)*輸入與假設!$C$366+INDEX(輸入與假設!$D$164:$G$164,1,輸入與假設!$C$393)*輸入與假設!$C$373+INDEX(輸入與假設!$D$178:$G$178,1,輸入與假設!$C$393)*輸入與假設!$C$380+INDEX(輸入與假設!$D$202:$G$202,1,輸入與假設!$C$393)*輸入與假設!$C$389)/MAX(0.000000001,INDEX(輸入與假設!$D$122:$G$122,1,輸入與假設!$C$393)+INDEX(輸入與假設!$D$136:$G$136,1,輸入與假設!$C$393)+INDEX(輸入與假設!$D$150:$G$150,1,輸入與假設!$C$393)+INDEX(輸入與假設!$D$164:$G$164,1,輸入與假設!$C$393)+INDEX(輸入與假設!$D$178:$G$178,1,輸入與假設!$C$393)+INDEX(輸入與假設!$D$202:$G$202,1,輸入與假設!$C$393))</f>
        <v>11.559293429698</v>
      </c>
      <c r="I390" s="6" t="s">
        <v>801</v>
      </c>
    </row>
    <row r="391" customFormat="false" ht="15" hidden="false" customHeight="false" outlineLevel="1" collapsed="false">
      <c r="A391" s="3" t="s">
        <v>802</v>
      </c>
      <c r="B391" s="11" t="s">
        <v>111</v>
      </c>
      <c r="C391" s="46"/>
      <c r="I391" s="11" t="s">
        <v>803</v>
      </c>
    </row>
    <row r="392" customFormat="false" ht="15" hidden="false" customHeight="false" outlineLevel="1" collapsed="false">
      <c r="A392" s="3" t="s">
        <v>804</v>
      </c>
      <c r="B392" s="11" t="s">
        <v>111</v>
      </c>
      <c r="C392" s="47" t="n">
        <f aca="false">IF(ISBLANK(輸入與假設!$C$391),輸入與假設!$C$390,輸入與假設!$C$391)</f>
        <v>11.559293429698</v>
      </c>
      <c r="I392" s="6" t="s">
        <v>805</v>
      </c>
    </row>
    <row r="393" customFormat="false" ht="15" hidden="false" customHeight="false" outlineLevel="1" collapsed="false">
      <c r="A393" s="4" t="s">
        <v>806</v>
      </c>
      <c r="B393" s="6"/>
      <c r="C393" s="18" t="n">
        <v>2</v>
      </c>
      <c r="I393" s="6" t="s">
        <v>807</v>
      </c>
    </row>
    <row r="394" customFormat="false" ht="15" hidden="false" customHeight="false" outlineLevel="1" collapsed="false">
      <c r="A394" s="3" t="s">
        <v>808</v>
      </c>
      <c r="B394" s="11" t="s">
        <v>42</v>
      </c>
      <c r="C394" s="23" t="n">
        <v>0.45</v>
      </c>
      <c r="I394" s="6"/>
    </row>
    <row r="395" customFormat="false" ht="15" hidden="false" customHeight="false" outlineLevel="1" collapsed="false">
      <c r="A395" s="3" t="s">
        <v>809</v>
      </c>
      <c r="B395" s="11" t="s">
        <v>42</v>
      </c>
      <c r="C395" s="23" t="n">
        <v>0.55</v>
      </c>
      <c r="I395" s="6"/>
    </row>
    <row r="396" customFormat="false" ht="15" hidden="false" customHeight="false" outlineLevel="1" collapsed="false">
      <c r="A396" s="3" t="s">
        <v>810</v>
      </c>
      <c r="B396" s="11" t="s">
        <v>111</v>
      </c>
      <c r="C396" s="46" t="n">
        <v>5</v>
      </c>
      <c r="I396" s="11" t="s">
        <v>811</v>
      </c>
    </row>
    <row r="397" customFormat="false" ht="15" hidden="false" customHeight="false" outlineLevel="1" collapsed="false">
      <c r="A397" s="3" t="s">
        <v>812</v>
      </c>
      <c r="B397" s="11" t="s">
        <v>111</v>
      </c>
      <c r="C397" s="46" t="n">
        <v>6</v>
      </c>
      <c r="I397" s="6"/>
    </row>
    <row r="398" customFormat="false" ht="15" hidden="false" customHeight="false" outlineLevel="1" collapsed="false">
      <c r="A398" s="3" t="s">
        <v>813</v>
      </c>
      <c r="B398" s="11" t="s">
        <v>42</v>
      </c>
      <c r="C398" s="23" t="n">
        <v>0.01</v>
      </c>
      <c r="I398" s="6" t="s">
        <v>814</v>
      </c>
    </row>
    <row r="399" customFormat="false" ht="15" hidden="false" customHeight="false" outlineLevel="1" collapsed="false">
      <c r="A399" s="3" t="s">
        <v>815</v>
      </c>
      <c r="B399" s="11" t="s">
        <v>65</v>
      </c>
      <c r="C399" s="24" t="n">
        <v>12.405</v>
      </c>
      <c r="I399" s="6" t="s">
        <v>816</v>
      </c>
    </row>
    <row r="400" customFormat="false" ht="15" hidden="false" customHeight="false" outlineLevel="1" collapsed="false">
      <c r="A400" s="34" t="s">
        <v>817</v>
      </c>
      <c r="B400" s="20"/>
      <c r="C400" s="20"/>
      <c r="D400" s="20"/>
      <c r="E400" s="20"/>
      <c r="F400" s="20"/>
      <c r="G400" s="20"/>
      <c r="H400" s="20"/>
    </row>
    <row r="401" customFormat="false" ht="15" hidden="false" customHeight="false" outlineLevel="2" collapsed="false">
      <c r="A401" s="4" t="s">
        <v>818</v>
      </c>
      <c r="B401" s="6"/>
      <c r="C401" s="18" t="n">
        <v>1</v>
      </c>
      <c r="I401" s="11" t="s">
        <v>819</v>
      </c>
    </row>
    <row r="402" customFormat="false" ht="15" hidden="false" customHeight="false" outlineLevel="2" collapsed="false">
      <c r="A402" s="3" t="s">
        <v>820</v>
      </c>
      <c r="B402" s="11" t="s">
        <v>42</v>
      </c>
      <c r="C402" s="23" t="n">
        <v>0.5</v>
      </c>
      <c r="I402" s="6" t="s">
        <v>821</v>
      </c>
    </row>
    <row r="403" customFormat="false" ht="15" hidden="false" customHeight="false" outlineLevel="2" collapsed="false">
      <c r="A403" s="3" t="s">
        <v>822</v>
      </c>
      <c r="B403" s="6" t="s">
        <v>184</v>
      </c>
      <c r="C403" s="25" t="n">
        <v>5</v>
      </c>
      <c r="I403" s="6" t="s">
        <v>823</v>
      </c>
    </row>
    <row r="404" customFormat="false" ht="15" hidden="false" customHeight="false" outlineLevel="1" collapsed="false">
      <c r="A404" s="19" t="s">
        <v>824</v>
      </c>
      <c r="B404" s="20"/>
      <c r="C404" s="20"/>
      <c r="D404" s="20"/>
      <c r="E404" s="20"/>
      <c r="F404" s="20"/>
      <c r="G404" s="20"/>
      <c r="H404" s="20"/>
    </row>
    <row r="405" customFormat="false" ht="15" hidden="false" customHeight="false" outlineLevel="2" collapsed="false">
      <c r="A405" s="3" t="s">
        <v>825</v>
      </c>
      <c r="B405" s="6" t="s">
        <v>826</v>
      </c>
      <c r="C405" s="22" t="n">
        <v>6</v>
      </c>
      <c r="I405" s="11" t="s">
        <v>827</v>
      </c>
    </row>
    <row r="406" customFormat="false" ht="15" hidden="false" customHeight="false" outlineLevel="2" collapsed="false">
      <c r="A406" s="3" t="s">
        <v>828</v>
      </c>
      <c r="B406" s="6"/>
      <c r="C406" s="48" t="s">
        <v>829</v>
      </c>
      <c r="I406" s="11" t="s">
        <v>830</v>
      </c>
    </row>
    <row r="407" customFormat="false" ht="15" hidden="false" customHeight="false" outlineLevel="2" collapsed="false">
      <c r="A407" s="3" t="s">
        <v>831</v>
      </c>
      <c r="B407" s="6"/>
      <c r="C407" s="48" t="s">
        <v>832</v>
      </c>
      <c r="I407" s="11" t="s">
        <v>833</v>
      </c>
    </row>
    <row r="408" customFormat="false" ht="15" hidden="false" customHeight="false" outlineLevel="2" collapsed="false">
      <c r="A408" s="3" t="s">
        <v>834</v>
      </c>
      <c r="B408" s="6"/>
      <c r="C408" s="48" t="s">
        <v>835</v>
      </c>
      <c r="I408" s="6" t="s">
        <v>836</v>
      </c>
    </row>
    <row r="409" customFormat="false" ht="15" hidden="false" customHeight="false" outlineLevel="2" collapsed="false">
      <c r="A409" s="3" t="s">
        <v>837</v>
      </c>
      <c r="B409" s="6" t="s">
        <v>184</v>
      </c>
      <c r="C409" s="32" t="n">
        <v>1</v>
      </c>
      <c r="I409" s="6"/>
    </row>
    <row r="410" customFormat="false" ht="15" hidden="false" customHeight="false" outlineLevel="2" collapsed="false">
      <c r="A410" s="3" t="s">
        <v>838</v>
      </c>
      <c r="B410" s="6"/>
      <c r="C410" s="48" t="s">
        <v>839</v>
      </c>
      <c r="I410" s="6" t="s">
        <v>840</v>
      </c>
    </row>
    <row r="411" customFormat="false" ht="15" hidden="false" customHeight="false" outlineLevel="2" collapsed="false">
      <c r="A411" s="3" t="s">
        <v>841</v>
      </c>
      <c r="B411" s="6"/>
      <c r="C411" s="48" t="s">
        <v>842</v>
      </c>
      <c r="I411" s="11" t="s">
        <v>843</v>
      </c>
    </row>
    <row r="412" customFormat="false" ht="15" hidden="false" customHeight="false" outlineLevel="2" collapsed="false">
      <c r="A412" s="3" t="s">
        <v>844</v>
      </c>
      <c r="B412" s="6"/>
      <c r="C412" s="48" t="s">
        <v>845</v>
      </c>
      <c r="I412" s="11" t="s">
        <v>846</v>
      </c>
    </row>
    <row r="413" customFormat="false" ht="15" hidden="false" customHeight="false" outlineLevel="2" collapsed="false">
      <c r="A413" s="3" t="s">
        <v>847</v>
      </c>
      <c r="B413" s="6" t="s">
        <v>184</v>
      </c>
      <c r="C413" s="32" t="n">
        <v>0</v>
      </c>
      <c r="I413" s="11" t="s">
        <v>848</v>
      </c>
    </row>
    <row r="414" customFormat="false" ht="15" hidden="false" customHeight="false" outlineLevel="2" collapsed="false">
      <c r="A414" s="14" t="s">
        <v>849</v>
      </c>
      <c r="B414" s="14" t="s">
        <v>60</v>
      </c>
      <c r="C414" s="28" t="s">
        <v>61</v>
      </c>
      <c r="D414" s="28" t="s">
        <v>62</v>
      </c>
      <c r="E414" s="28" t="s">
        <v>63</v>
      </c>
      <c r="F414" s="28" t="s">
        <v>153</v>
      </c>
      <c r="G414" s="28" t="s">
        <v>154</v>
      </c>
      <c r="I414" s="14" t="s">
        <v>206</v>
      </c>
    </row>
    <row r="415" customFormat="false" ht="15" hidden="false" customHeight="false" outlineLevel="2" collapsed="false">
      <c r="A415" s="3" t="s">
        <v>850</v>
      </c>
      <c r="B415" s="6"/>
      <c r="C415" s="48" t="s">
        <v>835</v>
      </c>
      <c r="D415" s="48" t="s">
        <v>851</v>
      </c>
      <c r="E415" s="48" t="s">
        <v>852</v>
      </c>
      <c r="F415" s="48" t="s">
        <v>853</v>
      </c>
      <c r="G415" s="48" t="s">
        <v>854</v>
      </c>
      <c r="I415" s="6" t="s">
        <v>855</v>
      </c>
    </row>
    <row r="416" customFormat="false" ht="15" hidden="false" customHeight="false" outlineLevel="2" collapsed="false">
      <c r="A416" s="3" t="s">
        <v>856</v>
      </c>
      <c r="B416" s="6" t="s">
        <v>184</v>
      </c>
      <c r="C416" s="32" t="n">
        <v>1</v>
      </c>
      <c r="D416" s="32" t="n">
        <v>2</v>
      </c>
      <c r="E416" s="32" t="n">
        <v>3</v>
      </c>
      <c r="F416" s="32" t="n">
        <v>4</v>
      </c>
      <c r="G416" s="32" t="n">
        <v>5</v>
      </c>
      <c r="I416" s="6" t="s">
        <v>855</v>
      </c>
    </row>
    <row r="417" customFormat="false" ht="15" hidden="false" customHeight="false" outlineLevel="2" collapsed="false">
      <c r="A417" s="3" t="s">
        <v>857</v>
      </c>
      <c r="B417" s="6" t="s">
        <v>184</v>
      </c>
      <c r="C417" s="32" t="n">
        <v>0</v>
      </c>
      <c r="D417" s="32" t="n">
        <v>1</v>
      </c>
      <c r="E417" s="32" t="n">
        <v>2</v>
      </c>
      <c r="F417" s="32" t="n">
        <v>3</v>
      </c>
      <c r="G417" s="32" t="n">
        <v>4</v>
      </c>
      <c r="I417" s="6" t="s">
        <v>855</v>
      </c>
    </row>
    <row r="418" customFormat="false" ht="15" hidden="false" customHeight="false" outlineLevel="1" collapsed="false">
      <c r="A418" s="19" t="s">
        <v>858</v>
      </c>
      <c r="B418" s="20"/>
      <c r="C418" s="20"/>
      <c r="D418" s="20"/>
      <c r="E418" s="20"/>
      <c r="F418" s="20"/>
      <c r="G418" s="20"/>
      <c r="H418" s="20"/>
    </row>
    <row r="419" customFormat="false" ht="15" hidden="false" customHeight="false" outlineLevel="2" collapsed="false">
      <c r="A419" s="3" t="s">
        <v>859</v>
      </c>
      <c r="B419" s="11" t="s">
        <v>42</v>
      </c>
      <c r="C419" s="23" t="n">
        <v>0.25</v>
      </c>
      <c r="I419" s="6" t="s">
        <v>860</v>
      </c>
    </row>
    <row r="420" customFormat="false" ht="15" hidden="false" customHeight="false" outlineLevel="2" collapsed="false">
      <c r="A420" s="3" t="s">
        <v>861</v>
      </c>
      <c r="B420" s="11" t="s">
        <v>42</v>
      </c>
      <c r="C420" s="23" t="n">
        <v>0.9</v>
      </c>
      <c r="I420" s="6" t="s">
        <v>862</v>
      </c>
    </row>
    <row r="421" customFormat="false" ht="15" hidden="false" customHeight="false" outlineLevel="2" collapsed="false">
      <c r="A421" s="3" t="s">
        <v>863</v>
      </c>
      <c r="B421" s="11" t="s">
        <v>42</v>
      </c>
      <c r="C421" s="23" t="n">
        <v>-0.15</v>
      </c>
      <c r="I421" s="6" t="s">
        <v>864</v>
      </c>
    </row>
    <row r="422" customFormat="false" ht="15" hidden="false" customHeight="false" outlineLevel="2" collapsed="false">
      <c r="A422" s="3" t="s">
        <v>865</v>
      </c>
      <c r="B422" s="11" t="s">
        <v>111</v>
      </c>
      <c r="C422" s="46" t="n">
        <v>1.5</v>
      </c>
      <c r="I422" s="6" t="s">
        <v>866</v>
      </c>
    </row>
    <row r="423" customFormat="false" ht="15" hidden="false" customHeight="false" outlineLevel="2" collapsed="false">
      <c r="A423" s="3" t="s">
        <v>867</v>
      </c>
      <c r="B423" s="11" t="s">
        <v>42</v>
      </c>
      <c r="C423" s="23" t="n">
        <v>-0.08</v>
      </c>
      <c r="I423" s="6" t="s">
        <v>868</v>
      </c>
    </row>
    <row r="424" customFormat="false" ht="15" hidden="false" customHeight="false" outlineLevel="2" collapsed="false">
      <c r="A424" s="3" t="s">
        <v>869</v>
      </c>
      <c r="B424" s="11" t="s">
        <v>42</v>
      </c>
      <c r="C424" s="23" t="n">
        <v>0.05</v>
      </c>
      <c r="I424" s="6" t="s">
        <v>870</v>
      </c>
    </row>
    <row r="425" customFormat="false" ht="15" hidden="false" customHeight="false" outlineLevel="2" collapsed="false">
      <c r="A425" s="3" t="s">
        <v>871</v>
      </c>
      <c r="B425" s="11" t="s">
        <v>42</v>
      </c>
      <c r="C425" s="23" t="n">
        <v>0.85</v>
      </c>
      <c r="I425" s="6" t="s">
        <v>872</v>
      </c>
    </row>
    <row r="427" customFormat="false" ht="15" hidden="false" customHeight="false" outlineLevel="0" collapsed="true">
      <c r="A427" s="7" t="s">
        <v>873</v>
      </c>
      <c r="B427" s="8"/>
      <c r="C427" s="8"/>
      <c r="D427" s="8"/>
      <c r="E427" s="8"/>
      <c r="F427" s="8"/>
      <c r="G427" s="8"/>
      <c r="H427" s="8"/>
    </row>
    <row r="428" customFormat="false" ht="15" hidden="true" customHeight="false" outlineLevel="1" collapsed="false">
      <c r="A428" s="4" t="s">
        <v>874</v>
      </c>
      <c r="B428" s="11" t="s">
        <v>65</v>
      </c>
      <c r="C428" s="24" t="n">
        <v>76.843</v>
      </c>
      <c r="I428" s="6" t="s">
        <v>875</v>
      </c>
    </row>
    <row r="429" customFormat="false" ht="15" hidden="true" customHeight="false" outlineLevel="1" collapsed="false">
      <c r="A429" s="3" t="s">
        <v>876</v>
      </c>
      <c r="B429" s="11" t="s">
        <v>65</v>
      </c>
      <c r="C429" s="24" t="n">
        <v>0</v>
      </c>
      <c r="I429" s="6" t="s">
        <v>877</v>
      </c>
    </row>
    <row r="430" customFormat="false" ht="15" hidden="true" customHeight="false" outlineLevel="1" collapsed="false">
      <c r="A430" s="3" t="s">
        <v>878</v>
      </c>
      <c r="B430" s="11" t="s">
        <v>65</v>
      </c>
      <c r="C430" s="24" t="n">
        <v>0</v>
      </c>
      <c r="I430" s="6" t="s">
        <v>879</v>
      </c>
    </row>
    <row r="431" customFormat="false" ht="15" hidden="true" customHeight="false" outlineLevel="1" collapsed="false">
      <c r="A431" s="4" t="s">
        <v>880</v>
      </c>
      <c r="B431" s="11" t="s">
        <v>65</v>
      </c>
      <c r="C431" s="24" t="n">
        <v>0</v>
      </c>
      <c r="I431" s="6" t="s">
        <v>879</v>
      </c>
    </row>
    <row r="432" customFormat="false" ht="15" hidden="true" customHeight="false" outlineLevel="1" collapsed="false">
      <c r="A432" s="4" t="s">
        <v>881</v>
      </c>
      <c r="B432" s="11" t="s">
        <v>65</v>
      </c>
      <c r="C432" s="24" t="n">
        <v>0</v>
      </c>
      <c r="I432" s="6" t="s">
        <v>879</v>
      </c>
    </row>
    <row r="433" customFormat="false" ht="15" hidden="true" customHeight="false" outlineLevel="1" collapsed="false">
      <c r="A433" s="3" t="s">
        <v>882</v>
      </c>
      <c r="B433" s="11" t="s">
        <v>65</v>
      </c>
      <c r="C433" s="24" t="n">
        <v>0</v>
      </c>
      <c r="I433" s="6" t="s">
        <v>879</v>
      </c>
    </row>
    <row r="434" customFormat="false" ht="15" hidden="true" customHeight="false" outlineLevel="1" collapsed="false">
      <c r="A434" s="3" t="s">
        <v>883</v>
      </c>
      <c r="B434" s="11" t="s">
        <v>65</v>
      </c>
      <c r="C434" s="24" t="n">
        <v>0</v>
      </c>
      <c r="I434" s="6" t="s">
        <v>879</v>
      </c>
    </row>
    <row r="435" customFormat="false" ht="15" hidden="true" customHeight="false" outlineLevel="1" collapsed="false">
      <c r="A435" s="4" t="s">
        <v>884</v>
      </c>
      <c r="B435" s="11" t="s">
        <v>65</v>
      </c>
      <c r="C435" s="24" t="n">
        <v>0</v>
      </c>
      <c r="I435" s="6" t="s">
        <v>879</v>
      </c>
    </row>
    <row r="436" customFormat="false" ht="15" hidden="true" customHeight="false" outlineLevel="1" collapsed="false">
      <c r="A436" s="3" t="s">
        <v>885</v>
      </c>
      <c r="B436" s="11" t="s">
        <v>65</v>
      </c>
      <c r="C436" s="24" t="n">
        <v>0</v>
      </c>
      <c r="I436" s="6" t="s">
        <v>879</v>
      </c>
    </row>
    <row r="437" customFormat="false" ht="15" hidden="true" customHeight="false" outlineLevel="1" collapsed="false">
      <c r="A437" s="3" t="s">
        <v>886</v>
      </c>
      <c r="B437" s="11" t="s">
        <v>65</v>
      </c>
      <c r="C437" s="24" t="n">
        <v>0</v>
      </c>
      <c r="I437" s="6" t="s">
        <v>879</v>
      </c>
    </row>
    <row r="438" customFormat="false" ht="15" hidden="true" customHeight="false" outlineLevel="1" collapsed="false">
      <c r="A438" s="3" t="s">
        <v>887</v>
      </c>
      <c r="B438" s="11" t="s">
        <v>65</v>
      </c>
      <c r="C438" s="24" t="n">
        <v>0</v>
      </c>
      <c r="I438" s="6" t="s">
        <v>879</v>
      </c>
    </row>
    <row r="439" customFormat="false" ht="15" hidden="true" customHeight="false" outlineLevel="1" collapsed="false">
      <c r="A439" s="3" t="s">
        <v>888</v>
      </c>
      <c r="B439" s="11" t="s">
        <v>65</v>
      </c>
      <c r="C439" s="24" t="n">
        <v>0</v>
      </c>
      <c r="I439" s="6" t="s">
        <v>879</v>
      </c>
    </row>
    <row r="440" customFormat="false" ht="15" hidden="true" customHeight="false" outlineLevel="1" collapsed="false">
      <c r="A440" s="4" t="s">
        <v>889</v>
      </c>
      <c r="B440" s="11" t="s">
        <v>65</v>
      </c>
      <c r="C440" s="24" t="n">
        <v>0</v>
      </c>
      <c r="I440" s="6" t="s">
        <v>879</v>
      </c>
    </row>
    <row r="441" customFormat="false" ht="15" hidden="true" customHeight="false" outlineLevel="1" collapsed="false">
      <c r="A441" s="3" t="s">
        <v>890</v>
      </c>
      <c r="B441" s="11" t="s">
        <v>65</v>
      </c>
      <c r="C441" s="24" t="n">
        <v>0</v>
      </c>
      <c r="I441" s="6" t="s">
        <v>879</v>
      </c>
    </row>
    <row r="442" customFormat="false" ht="15" hidden="true" customHeight="false" outlineLevel="1" collapsed="false">
      <c r="A442" s="3" t="s">
        <v>891</v>
      </c>
      <c r="B442" s="11" t="s">
        <v>65</v>
      </c>
      <c r="C442" s="24" t="n">
        <v>0</v>
      </c>
      <c r="I442" s="6" t="s">
        <v>892</v>
      </c>
    </row>
    <row r="443" customFormat="false" ht="15" hidden="true" customHeight="false" outlineLevel="1" collapsed="false">
      <c r="A443" s="4" t="s">
        <v>893</v>
      </c>
      <c r="B443" s="11" t="s">
        <v>65</v>
      </c>
      <c r="C443" s="24" t="n">
        <v>0</v>
      </c>
      <c r="I443" s="6" t="s">
        <v>879</v>
      </c>
    </row>
    <row r="444" customFormat="false" ht="15" hidden="true" customHeight="false" outlineLevel="1" collapsed="false">
      <c r="A444" s="4" t="s">
        <v>894</v>
      </c>
      <c r="B444" s="11" t="s">
        <v>65</v>
      </c>
      <c r="C444" s="24" t="n">
        <v>0</v>
      </c>
      <c r="I444" s="6" t="s">
        <v>879</v>
      </c>
    </row>
    <row r="445" customFormat="false" ht="15" hidden="true" customHeight="false" outlineLevel="1" collapsed="false">
      <c r="A445" s="4" t="s">
        <v>895</v>
      </c>
      <c r="B445" s="11" t="s">
        <v>39</v>
      </c>
      <c r="C445" s="24" t="n">
        <v>0</v>
      </c>
      <c r="I445" s="6" t="s">
        <v>879</v>
      </c>
    </row>
    <row r="446" customFormat="false" ht="15" hidden="true" customHeight="false" outlineLevel="1" collapsed="false">
      <c r="A446" s="4" t="s">
        <v>896</v>
      </c>
      <c r="B446" s="11" t="s">
        <v>39</v>
      </c>
      <c r="C446" s="24" t="n">
        <v>0</v>
      </c>
      <c r="I446" s="6" t="s">
        <v>879</v>
      </c>
    </row>
    <row r="447" customFormat="false" ht="15" hidden="true" customHeight="false" outlineLevel="1" collapsed="false">
      <c r="A447" s="3" t="s">
        <v>897</v>
      </c>
      <c r="B447" s="11" t="s">
        <v>65</v>
      </c>
      <c r="C447" s="24" t="n">
        <v>0</v>
      </c>
      <c r="I447" s="6" t="s">
        <v>879</v>
      </c>
    </row>
    <row r="448" customFormat="false" ht="15" hidden="true" customHeight="false" outlineLevel="1" collapsed="false">
      <c r="A448" s="3" t="s">
        <v>898</v>
      </c>
      <c r="B448" s="11" t="s">
        <v>65</v>
      </c>
      <c r="C448" s="24" t="n">
        <v>0</v>
      </c>
      <c r="I448" s="6" t="s">
        <v>899</v>
      </c>
    </row>
    <row r="449" customFormat="false" ht="15" hidden="true" customHeight="false" outlineLevel="1" collapsed="false">
      <c r="A449" s="3" t="s">
        <v>900</v>
      </c>
      <c r="B449" s="11" t="s">
        <v>65</v>
      </c>
      <c r="C449" s="24" t="n">
        <v>0</v>
      </c>
      <c r="I449" s="6" t="s">
        <v>879</v>
      </c>
    </row>
    <row r="451" customFormat="false" ht="15" hidden="false" customHeight="false" outlineLevel="0" collapsed="false">
      <c r="A451" s="7" t="s">
        <v>901</v>
      </c>
      <c r="B451" s="8"/>
      <c r="C451" s="8"/>
      <c r="D451" s="8"/>
      <c r="E451" s="8"/>
      <c r="F451" s="8"/>
      <c r="G451" s="8"/>
      <c r="H451" s="8"/>
      <c r="I451" s="6" t="s">
        <v>902</v>
      </c>
    </row>
    <row r="452" customFormat="false" ht="15" hidden="false" customHeight="false" outlineLevel="1" collapsed="false">
      <c r="A452" s="3" t="s">
        <v>903</v>
      </c>
      <c r="D452" s="12" t="n">
        <f aca="false">評價_DCF與目標價!C51</f>
        <v>353.553227344813</v>
      </c>
      <c r="E452" s="9" t="n">
        <f aca="false">評價_DCF與目標價!C99</f>
        <v>-1</v>
      </c>
    </row>
    <row r="453" customFormat="false" ht="15" hidden="false" customHeight="false" outlineLevel="1" collapsed="false">
      <c r="A453" s="3" t="s">
        <v>904</v>
      </c>
      <c r="C453" s="9" t="n">
        <v>1</v>
      </c>
      <c r="D453" s="49" t="n">
        <f t="dataTable" ref="D453:E455" dt2D="0" dtr="0" r1="C5"/>
        <v>382.252785106163</v>
      </c>
      <c r="E453" s="50" t="n">
        <v>-1</v>
      </c>
    </row>
    <row r="454" customFormat="false" ht="15" hidden="false" customHeight="false" outlineLevel="1" collapsed="false">
      <c r="A454" s="3" t="s">
        <v>905</v>
      </c>
      <c r="C454" s="9" t="n">
        <v>2</v>
      </c>
      <c r="D454" s="49" t="n">
        <v>353.553227344813</v>
      </c>
      <c r="E454" s="50" t="n">
        <v>-1</v>
      </c>
    </row>
    <row r="455" customFormat="false" ht="15" hidden="false" customHeight="false" outlineLevel="1" collapsed="false">
      <c r="A455" s="3" t="s">
        <v>906</v>
      </c>
      <c r="C455" s="9" t="n">
        <v>3</v>
      </c>
      <c r="D455" s="49" t="n">
        <v>351.963854201418</v>
      </c>
      <c r="E455" s="50" t="n">
        <v>-1</v>
      </c>
    </row>
    <row r="457" customFormat="false" ht="15" hidden="false" customHeight="false" outlineLevel="0" collapsed="false">
      <c r="A457" s="7" t="s">
        <v>907</v>
      </c>
      <c r="B457" s="8"/>
      <c r="C457" s="8"/>
      <c r="D457" s="8"/>
      <c r="E457" s="8"/>
      <c r="F457" s="8"/>
      <c r="G457" s="8"/>
      <c r="H457" s="8"/>
      <c r="I457" s="6" t="s">
        <v>908</v>
      </c>
    </row>
    <row r="458" customFormat="false" ht="15" hidden="false" customHeight="false" outlineLevel="1" collapsed="false">
      <c r="A458" s="14" t="s">
        <v>909</v>
      </c>
      <c r="B458" s="14" t="s">
        <v>60</v>
      </c>
      <c r="C458" s="14" t="s">
        <v>910</v>
      </c>
      <c r="D458" s="14"/>
      <c r="E458" s="14"/>
      <c r="F458" s="14" t="s">
        <v>911</v>
      </c>
      <c r="G458" s="14" t="s">
        <v>912</v>
      </c>
      <c r="H458" s="14"/>
      <c r="I458" s="14" t="s">
        <v>913</v>
      </c>
      <c r="J458" s="14" t="s">
        <v>914</v>
      </c>
    </row>
    <row r="459" customFormat="false" ht="15" hidden="false" customHeight="false" outlineLevel="1" collapsed="false">
      <c r="A459" s="3" t="s">
        <v>915</v>
      </c>
      <c r="B459" s="11" t="s">
        <v>39</v>
      </c>
      <c r="C459" s="44" t="n">
        <v>529.76</v>
      </c>
      <c r="F459" s="11" t="s">
        <v>845</v>
      </c>
      <c r="G459" s="11" t="s">
        <v>916</v>
      </c>
      <c r="I459" s="11" t="s">
        <v>917</v>
      </c>
      <c r="J459" s="6" t="s">
        <v>918</v>
      </c>
    </row>
    <row r="460" customFormat="false" ht="15" hidden="false" customHeight="false" outlineLevel="1" collapsed="false">
      <c r="A460" s="3" t="s">
        <v>919</v>
      </c>
      <c r="B460" s="11" t="s">
        <v>39</v>
      </c>
      <c r="C460" s="44" t="n">
        <v>587.63</v>
      </c>
      <c r="F460" s="11" t="s">
        <v>920</v>
      </c>
      <c r="G460" s="11" t="s">
        <v>921</v>
      </c>
      <c r="I460" s="11" t="s">
        <v>922</v>
      </c>
      <c r="J460" s="6"/>
    </row>
    <row r="461" customFormat="false" ht="15" hidden="false" customHeight="false" outlineLevel="1" collapsed="false">
      <c r="A461" s="3" t="s">
        <v>923</v>
      </c>
      <c r="B461" s="11" t="s">
        <v>39</v>
      </c>
      <c r="C461" s="44" t="n">
        <v>586</v>
      </c>
      <c r="F461" s="11" t="s">
        <v>920</v>
      </c>
      <c r="G461" s="11" t="s">
        <v>921</v>
      </c>
      <c r="I461" s="11" t="s">
        <v>922</v>
      </c>
      <c r="J461" s="6"/>
    </row>
    <row r="462" customFormat="false" ht="15" hidden="false" customHeight="false" outlineLevel="1" collapsed="false">
      <c r="A462" s="3" t="s">
        <v>924</v>
      </c>
      <c r="B462" s="11" t="s">
        <v>39</v>
      </c>
      <c r="C462" s="44" t="n">
        <v>440</v>
      </c>
      <c r="F462" s="11" t="s">
        <v>920</v>
      </c>
      <c r="G462" s="11" t="s">
        <v>921</v>
      </c>
      <c r="I462" s="11" t="s">
        <v>922</v>
      </c>
      <c r="J462" s="6"/>
    </row>
    <row r="463" customFormat="false" ht="15" hidden="false" customHeight="false" outlineLevel="1" collapsed="false">
      <c r="A463" s="3" t="s">
        <v>925</v>
      </c>
      <c r="B463" s="11" t="s">
        <v>39</v>
      </c>
      <c r="C463" s="44" t="n">
        <v>870</v>
      </c>
      <c r="F463" s="11" t="s">
        <v>920</v>
      </c>
      <c r="G463" s="11" t="s">
        <v>921</v>
      </c>
      <c r="I463" s="11" t="s">
        <v>922</v>
      </c>
      <c r="J463" s="6"/>
    </row>
    <row r="464" customFormat="false" ht="15" hidden="false" customHeight="false" outlineLevel="1" collapsed="false">
      <c r="A464" s="3" t="s">
        <v>926</v>
      </c>
      <c r="B464" s="6" t="s">
        <v>140</v>
      </c>
      <c r="C464" s="21" t="n">
        <v>56</v>
      </c>
      <c r="F464" s="11" t="s">
        <v>920</v>
      </c>
      <c r="G464" s="11" t="s">
        <v>921</v>
      </c>
      <c r="I464" s="11" t="s">
        <v>922</v>
      </c>
      <c r="J464" s="6"/>
    </row>
    <row r="465" customFormat="false" ht="15" hidden="false" customHeight="false" outlineLevel="1" collapsed="false">
      <c r="A465" s="3" t="s">
        <v>927</v>
      </c>
      <c r="B465" s="6"/>
      <c r="C465" s="4" t="s">
        <v>928</v>
      </c>
      <c r="F465" s="11" t="s">
        <v>920</v>
      </c>
      <c r="G465" s="11" t="s">
        <v>921</v>
      </c>
      <c r="I465" s="11" t="s">
        <v>922</v>
      </c>
      <c r="J465" s="6"/>
    </row>
    <row r="466" customFormat="false" ht="15" hidden="false" customHeight="false" outlineLevel="1" collapsed="false">
      <c r="A466" s="3" t="s">
        <v>929</v>
      </c>
      <c r="B466" s="11" t="s">
        <v>39</v>
      </c>
      <c r="C466" s="44" t="n">
        <v>578.73</v>
      </c>
      <c r="F466" s="11" t="s">
        <v>920</v>
      </c>
      <c r="G466" s="11" t="s">
        <v>921</v>
      </c>
      <c r="I466" s="11" t="s">
        <v>930</v>
      </c>
      <c r="J466" s="6"/>
    </row>
    <row r="467" customFormat="false" ht="15" hidden="false" customHeight="false" outlineLevel="1" collapsed="false">
      <c r="A467" s="3" t="s">
        <v>931</v>
      </c>
      <c r="B467" s="6" t="s">
        <v>140</v>
      </c>
      <c r="C467" s="21" t="n">
        <v>48</v>
      </c>
      <c r="F467" s="11" t="s">
        <v>920</v>
      </c>
      <c r="G467" s="11" t="s">
        <v>921</v>
      </c>
      <c r="I467" s="11" t="s">
        <v>930</v>
      </c>
      <c r="J467" s="6"/>
    </row>
    <row r="468" customFormat="false" ht="15" hidden="false" customHeight="false" outlineLevel="1" collapsed="false">
      <c r="A468" s="3" t="s">
        <v>932</v>
      </c>
      <c r="B468" s="6"/>
      <c r="C468" s="4" t="s">
        <v>933</v>
      </c>
      <c r="F468" s="11" t="s">
        <v>920</v>
      </c>
      <c r="G468" s="11" t="s">
        <v>921</v>
      </c>
      <c r="I468" s="11" t="s">
        <v>930</v>
      </c>
      <c r="J468" s="6"/>
    </row>
    <row r="469" customFormat="false" ht="15" hidden="false" customHeight="false" outlineLevel="1" collapsed="false">
      <c r="A469" s="3" t="s">
        <v>934</v>
      </c>
      <c r="B469" s="11" t="s">
        <v>39</v>
      </c>
      <c r="C469" s="44" t="n">
        <v>587.63</v>
      </c>
      <c r="F469" s="11" t="s">
        <v>920</v>
      </c>
      <c r="G469" s="11" t="s">
        <v>921</v>
      </c>
      <c r="I469" s="11" t="s">
        <v>935</v>
      </c>
      <c r="J469" s="6"/>
    </row>
    <row r="470" customFormat="false" ht="17.15" hidden="false" customHeight="false" outlineLevel="1" collapsed="false">
      <c r="A470" s="14" t="s">
        <v>936</v>
      </c>
      <c r="B470" s="14" t="s">
        <v>60</v>
      </c>
      <c r="C470" s="14" t="s">
        <v>910</v>
      </c>
      <c r="D470" s="14"/>
      <c r="E470" s="14"/>
      <c r="F470" s="14" t="s">
        <v>911</v>
      </c>
      <c r="G470" s="14" t="s">
        <v>912</v>
      </c>
      <c r="H470" s="14"/>
      <c r="I470" s="14" t="s">
        <v>913</v>
      </c>
      <c r="J470" s="14" t="s">
        <v>914</v>
      </c>
    </row>
    <row r="471" customFormat="false" ht="15" hidden="false" customHeight="false" outlineLevel="1" collapsed="false">
      <c r="A471" s="3" t="s">
        <v>937</v>
      </c>
      <c r="B471" s="6" t="s">
        <v>140</v>
      </c>
      <c r="C471" s="21" t="n">
        <v>41</v>
      </c>
      <c r="F471" s="11" t="s">
        <v>920</v>
      </c>
      <c r="G471" s="11" t="s">
        <v>921</v>
      </c>
      <c r="I471" s="11" t="s">
        <v>922</v>
      </c>
      <c r="J471" s="6"/>
    </row>
    <row r="472" customFormat="false" ht="15" hidden="false" customHeight="false" outlineLevel="1" collapsed="false">
      <c r="A472" s="3" t="s">
        <v>938</v>
      </c>
      <c r="B472" s="6" t="s">
        <v>140</v>
      </c>
      <c r="C472" s="21" t="n">
        <v>14</v>
      </c>
      <c r="F472" s="11" t="s">
        <v>920</v>
      </c>
      <c r="G472" s="11" t="s">
        <v>921</v>
      </c>
      <c r="I472" s="11" t="s">
        <v>922</v>
      </c>
      <c r="J472" s="6"/>
    </row>
    <row r="473" customFormat="false" ht="15" hidden="false" customHeight="false" outlineLevel="1" collapsed="false">
      <c r="A473" s="3" t="s">
        <v>939</v>
      </c>
      <c r="B473" s="6" t="s">
        <v>140</v>
      </c>
      <c r="C473" s="21" t="n">
        <v>1</v>
      </c>
      <c r="F473" s="11" t="s">
        <v>920</v>
      </c>
      <c r="G473" s="11" t="s">
        <v>921</v>
      </c>
      <c r="I473" s="11" t="s">
        <v>922</v>
      </c>
      <c r="J473" s="6"/>
    </row>
    <row r="474" customFormat="false" ht="15" hidden="false" customHeight="false" outlineLevel="1" collapsed="false">
      <c r="A474" s="3" t="s">
        <v>940</v>
      </c>
      <c r="B474" s="6" t="s">
        <v>140</v>
      </c>
      <c r="C474" s="21" t="n">
        <v>0</v>
      </c>
      <c r="F474" s="11" t="s">
        <v>920</v>
      </c>
      <c r="G474" s="11" t="s">
        <v>921</v>
      </c>
      <c r="I474" s="11" t="s">
        <v>922</v>
      </c>
      <c r="J474" s="6"/>
    </row>
    <row r="475" customFormat="false" ht="15" hidden="false" customHeight="false" outlineLevel="1" collapsed="false">
      <c r="A475" s="3" t="s">
        <v>941</v>
      </c>
      <c r="B475" s="6" t="s">
        <v>140</v>
      </c>
      <c r="C475" s="21" t="n">
        <v>0</v>
      </c>
      <c r="F475" s="11" t="s">
        <v>920</v>
      </c>
      <c r="G475" s="11" t="s">
        <v>921</v>
      </c>
      <c r="I475" s="11" t="s">
        <v>922</v>
      </c>
      <c r="J475" s="6"/>
    </row>
    <row r="476" customFormat="false" ht="15" hidden="false" customHeight="false" outlineLevel="1" collapsed="false">
      <c r="A476" s="3" t="s">
        <v>942</v>
      </c>
      <c r="B476" s="6" t="s">
        <v>140</v>
      </c>
      <c r="C476" s="21" t="n">
        <v>56</v>
      </c>
      <c r="F476" s="11" t="s">
        <v>920</v>
      </c>
      <c r="G476" s="11" t="s">
        <v>921</v>
      </c>
      <c r="I476" s="11" t="s">
        <v>922</v>
      </c>
      <c r="J476" s="6"/>
    </row>
    <row r="477" customFormat="false" ht="17.15" hidden="false" customHeight="false" outlineLevel="1" collapsed="false">
      <c r="A477" s="14" t="s">
        <v>943</v>
      </c>
      <c r="B477" s="14" t="s">
        <v>60</v>
      </c>
      <c r="C477" s="14" t="s">
        <v>910</v>
      </c>
      <c r="D477" s="14"/>
      <c r="E477" s="14"/>
      <c r="F477" s="14" t="s">
        <v>911</v>
      </c>
      <c r="G477" s="14" t="s">
        <v>912</v>
      </c>
      <c r="H477" s="14"/>
      <c r="I477" s="14" t="s">
        <v>913</v>
      </c>
      <c r="J477" s="14" t="s">
        <v>914</v>
      </c>
    </row>
    <row r="478" customFormat="false" ht="15" hidden="false" customHeight="false" outlineLevel="1" collapsed="false">
      <c r="A478" s="3" t="s">
        <v>944</v>
      </c>
      <c r="B478" s="11" t="s">
        <v>65</v>
      </c>
      <c r="C478" s="51" t="n">
        <v>391.271</v>
      </c>
      <c r="D478" s="51" t="n">
        <v>467.955</v>
      </c>
      <c r="E478" s="51" t="n">
        <v>569.502</v>
      </c>
      <c r="F478" s="11" t="s">
        <v>920</v>
      </c>
      <c r="G478" s="11" t="s">
        <v>921</v>
      </c>
      <c r="I478" s="11" t="s">
        <v>945</v>
      </c>
      <c r="J478" s="6"/>
    </row>
    <row r="479" customFormat="false" ht="15" hidden="false" customHeight="false" outlineLevel="1" collapsed="false">
      <c r="A479" s="3" t="s">
        <v>946</v>
      </c>
      <c r="B479" s="11" t="s">
        <v>65</v>
      </c>
      <c r="C479" s="51" t="n">
        <v>239.452</v>
      </c>
      <c r="D479" s="51" t="n">
        <v>295.606</v>
      </c>
      <c r="E479" s="51" t="n">
        <v>372.456</v>
      </c>
      <c r="F479" s="11" t="s">
        <v>920</v>
      </c>
      <c r="G479" s="11" t="s">
        <v>921</v>
      </c>
      <c r="I479" s="11" t="s">
        <v>945</v>
      </c>
      <c r="J479" s="6"/>
    </row>
    <row r="480" customFormat="false" ht="15" hidden="false" customHeight="false" outlineLevel="1" collapsed="false">
      <c r="A480" s="3" t="s">
        <v>947</v>
      </c>
      <c r="B480" s="11" t="s">
        <v>42</v>
      </c>
      <c r="C480" s="23" t="n">
        <v>0.611985043614272</v>
      </c>
      <c r="D480" s="23" t="n">
        <v>0.631697492280241</v>
      </c>
      <c r="E480" s="23" t="n">
        <v>0.654002971016783</v>
      </c>
      <c r="F480" s="11" t="s">
        <v>920</v>
      </c>
      <c r="G480" s="11" t="s">
        <v>921</v>
      </c>
      <c r="I480" s="11" t="s">
        <v>945</v>
      </c>
      <c r="J480" s="6"/>
    </row>
    <row r="481" customFormat="false" ht="15" hidden="false" customHeight="false" outlineLevel="1" collapsed="false">
      <c r="A481" s="3" t="s">
        <v>948</v>
      </c>
      <c r="B481" s="11" t="s">
        <v>65</v>
      </c>
      <c r="C481" s="51" t="n">
        <v>182.305</v>
      </c>
      <c r="D481" s="51" t="n">
        <v>217.245</v>
      </c>
      <c r="E481" s="51" t="n">
        <v>262.608</v>
      </c>
      <c r="F481" s="11" t="s">
        <v>920</v>
      </c>
      <c r="G481" s="11" t="s">
        <v>921</v>
      </c>
      <c r="I481" s="11" t="s">
        <v>945</v>
      </c>
      <c r="J481" s="6"/>
    </row>
    <row r="482" customFormat="false" ht="15" hidden="false" customHeight="false" outlineLevel="1" collapsed="false">
      <c r="A482" s="3" t="s">
        <v>949</v>
      </c>
      <c r="B482" s="11" t="s">
        <v>65</v>
      </c>
      <c r="C482" s="51" t="n">
        <v>147.101</v>
      </c>
      <c r="D482" s="51" t="n">
        <v>175.968</v>
      </c>
      <c r="E482" s="51" t="n">
        <v>213.902</v>
      </c>
      <c r="F482" s="11" t="s">
        <v>920</v>
      </c>
      <c r="G482" s="11" t="s">
        <v>921</v>
      </c>
      <c r="I482" s="11" t="s">
        <v>945</v>
      </c>
      <c r="J482" s="6"/>
    </row>
    <row r="483" customFormat="false" ht="15" hidden="false" customHeight="false" outlineLevel="1" collapsed="false">
      <c r="A483" s="3" t="s">
        <v>950</v>
      </c>
      <c r="B483" s="11" t="s">
        <v>39</v>
      </c>
      <c r="C483" s="44" t="n">
        <v>19.72</v>
      </c>
      <c r="D483" s="44" t="n">
        <v>23.6</v>
      </c>
      <c r="E483" s="44" t="n">
        <v>29.03</v>
      </c>
      <c r="F483" s="11" t="s">
        <v>920</v>
      </c>
      <c r="G483" s="11" t="s">
        <v>921</v>
      </c>
      <c r="I483" s="11" t="s">
        <v>945</v>
      </c>
      <c r="J483" s="6"/>
    </row>
    <row r="484" customFormat="false" ht="15" hidden="false" customHeight="false" outlineLevel="1" collapsed="false">
      <c r="A484" s="3" t="s">
        <v>951</v>
      </c>
      <c r="B484" s="11" t="s">
        <v>65</v>
      </c>
      <c r="C484" s="51" t="n">
        <v>192.827</v>
      </c>
      <c r="D484" s="51" t="n">
        <v>216.787</v>
      </c>
      <c r="E484" s="51" t="n">
        <v>251.173</v>
      </c>
      <c r="F484" s="11" t="s">
        <v>920</v>
      </c>
      <c r="G484" s="11" t="s">
        <v>921</v>
      </c>
      <c r="I484" s="11" t="s">
        <v>945</v>
      </c>
      <c r="J484" s="6"/>
    </row>
    <row r="485" customFormat="false" ht="15" hidden="false" customHeight="false" outlineLevel="1" collapsed="false">
      <c r="A485" s="3" t="s">
        <v>952</v>
      </c>
      <c r="B485" s="11" t="s">
        <v>65</v>
      </c>
      <c r="C485" s="51" t="n">
        <v>32.903</v>
      </c>
      <c r="D485" s="51" t="n">
        <v>43.216</v>
      </c>
      <c r="E485" s="51" t="n">
        <v>89.023</v>
      </c>
      <c r="F485" s="11" t="s">
        <v>920</v>
      </c>
      <c r="G485" s="11" t="s">
        <v>921</v>
      </c>
      <c r="I485" s="11" t="s">
        <v>945</v>
      </c>
      <c r="J485" s="6"/>
    </row>
    <row r="486" customFormat="false" ht="15" hidden="false" customHeight="false" outlineLevel="1" collapsed="false">
      <c r="A486" s="3" t="s">
        <v>953</v>
      </c>
      <c r="B486" s="11" t="s">
        <v>65</v>
      </c>
      <c r="C486" s="51" t="n">
        <v>-51.842</v>
      </c>
      <c r="D486" s="51" t="n">
        <v>-38.829</v>
      </c>
      <c r="E486" s="51" t="n">
        <v>99.57</v>
      </c>
      <c r="F486" s="11" t="s">
        <v>920</v>
      </c>
      <c r="G486" s="11" t="s">
        <v>921</v>
      </c>
      <c r="I486" s="11" t="s">
        <v>945</v>
      </c>
      <c r="J486" s="6"/>
    </row>
    <row r="487" customFormat="false" ht="15" hidden="false" customHeight="false" outlineLevel="1" collapsed="false">
      <c r="A487" s="3" t="s">
        <v>954</v>
      </c>
      <c r="B487" s="11" t="s">
        <v>39</v>
      </c>
      <c r="C487" s="44" t="n">
        <v>3.858</v>
      </c>
      <c r="D487" s="44" t="n">
        <v>4.239</v>
      </c>
      <c r="E487" s="44" t="n">
        <v>4.447</v>
      </c>
      <c r="F487" s="11" t="s">
        <v>920</v>
      </c>
      <c r="G487" s="11" t="s">
        <v>921</v>
      </c>
      <c r="I487" s="11" t="s">
        <v>945</v>
      </c>
      <c r="J487" s="6"/>
    </row>
    <row r="488" customFormat="false" ht="15" hidden="false" customHeight="false" outlineLevel="1" collapsed="false">
      <c r="A488" s="3" t="s">
        <v>955</v>
      </c>
      <c r="B488" s="6"/>
      <c r="C488" s="4" t="s">
        <v>956</v>
      </c>
      <c r="F488" s="11" t="s">
        <v>920</v>
      </c>
      <c r="G488" s="11" t="s">
        <v>921</v>
      </c>
      <c r="I488" s="11" t="s">
        <v>945</v>
      </c>
      <c r="J488" s="6"/>
    </row>
    <row r="489" customFormat="false" ht="17.15" hidden="false" customHeight="false" outlineLevel="1" collapsed="false">
      <c r="A489" s="15" t="s">
        <v>957</v>
      </c>
      <c r="B489" s="14" t="s">
        <v>60</v>
      </c>
      <c r="C489" s="14" t="s">
        <v>910</v>
      </c>
      <c r="D489" s="14"/>
      <c r="E489" s="14"/>
      <c r="F489" s="14" t="s">
        <v>911</v>
      </c>
      <c r="G489" s="14" t="s">
        <v>912</v>
      </c>
      <c r="H489" s="14"/>
      <c r="I489" s="14" t="s">
        <v>913</v>
      </c>
      <c r="J489" s="14" t="s">
        <v>914</v>
      </c>
    </row>
    <row r="490" customFormat="false" ht="15" hidden="false" customHeight="false" outlineLevel="1" collapsed="false">
      <c r="A490" s="3" t="s">
        <v>958</v>
      </c>
      <c r="B490" s="11" t="s">
        <v>65</v>
      </c>
      <c r="C490" s="51" t="n">
        <v>391.3</v>
      </c>
      <c r="F490" s="11" t="s">
        <v>920</v>
      </c>
      <c r="G490" s="11" t="s">
        <v>921</v>
      </c>
      <c r="I490" s="11" t="s">
        <v>922</v>
      </c>
      <c r="J490" s="6"/>
    </row>
    <row r="491" customFormat="false" ht="15" hidden="false" customHeight="false" outlineLevel="1" collapsed="false">
      <c r="A491" s="3" t="s">
        <v>959</v>
      </c>
      <c r="B491" s="11" t="s">
        <v>65</v>
      </c>
      <c r="C491" s="51" t="n">
        <v>380</v>
      </c>
      <c r="D491" s="51" t="n">
        <v>402.7</v>
      </c>
      <c r="F491" s="11" t="s">
        <v>920</v>
      </c>
      <c r="G491" s="11" t="s">
        <v>921</v>
      </c>
      <c r="I491" s="11" t="s">
        <v>922</v>
      </c>
      <c r="J491" s="6"/>
    </row>
    <row r="492" customFormat="false" ht="15" hidden="false" customHeight="false" outlineLevel="1" collapsed="false">
      <c r="A492" s="3" t="s">
        <v>960</v>
      </c>
      <c r="B492" s="11" t="s">
        <v>39</v>
      </c>
      <c r="C492" s="44" t="n">
        <v>19.77</v>
      </c>
      <c r="F492" s="11" t="s">
        <v>920</v>
      </c>
      <c r="G492" s="11" t="s">
        <v>921</v>
      </c>
      <c r="I492" s="11" t="s">
        <v>922</v>
      </c>
      <c r="J492" s="6"/>
    </row>
    <row r="493" customFormat="false" ht="15" hidden="false" customHeight="false" outlineLevel="1" collapsed="false">
      <c r="A493" s="3" t="s">
        <v>961</v>
      </c>
      <c r="B493" s="6" t="s">
        <v>140</v>
      </c>
      <c r="C493" s="21" t="n">
        <v>50</v>
      </c>
      <c r="F493" s="11" t="s">
        <v>920</v>
      </c>
      <c r="G493" s="11" t="s">
        <v>921</v>
      </c>
      <c r="I493" s="11" t="s">
        <v>922</v>
      </c>
      <c r="J493" s="11" t="s">
        <v>962</v>
      </c>
    </row>
    <row r="494" customFormat="false" ht="17.15" hidden="false" customHeight="false" outlineLevel="1" collapsed="false">
      <c r="A494" s="14" t="s">
        <v>963</v>
      </c>
      <c r="B494" s="14" t="s">
        <v>60</v>
      </c>
      <c r="C494" s="14" t="s">
        <v>910</v>
      </c>
      <c r="D494" s="14"/>
      <c r="E494" s="14"/>
      <c r="F494" s="14" t="s">
        <v>911</v>
      </c>
      <c r="G494" s="14" t="s">
        <v>912</v>
      </c>
      <c r="H494" s="14"/>
      <c r="I494" s="14" t="s">
        <v>913</v>
      </c>
      <c r="J494" s="14" t="s">
        <v>914</v>
      </c>
    </row>
    <row r="495" customFormat="false" ht="15" hidden="false" customHeight="false" outlineLevel="1" collapsed="false">
      <c r="A495" s="3" t="s">
        <v>964</v>
      </c>
      <c r="B495" s="11" t="s">
        <v>65</v>
      </c>
      <c r="C495" s="51" t="n">
        <v>90.685</v>
      </c>
      <c r="F495" s="6" t="s">
        <v>965</v>
      </c>
      <c r="G495" s="11" t="s">
        <v>921</v>
      </c>
      <c r="I495" s="6"/>
      <c r="J495" s="6"/>
    </row>
    <row r="496" customFormat="false" ht="15" hidden="false" customHeight="false" outlineLevel="1" collapsed="false">
      <c r="A496" s="3" t="s">
        <v>966</v>
      </c>
      <c r="B496" s="11" t="s">
        <v>65</v>
      </c>
      <c r="C496" s="51" t="n">
        <v>56.56</v>
      </c>
      <c r="F496" s="6" t="s">
        <v>965</v>
      </c>
      <c r="G496" s="11" t="s">
        <v>921</v>
      </c>
      <c r="I496" s="6"/>
      <c r="J496" s="6"/>
    </row>
    <row r="497" customFormat="false" ht="15" hidden="false" customHeight="false" outlineLevel="1" collapsed="false">
      <c r="A497" s="3" t="s">
        <v>967</v>
      </c>
      <c r="B497" s="11" t="s">
        <v>65</v>
      </c>
      <c r="C497" s="51" t="n">
        <v>43.994</v>
      </c>
      <c r="F497" s="6" t="s">
        <v>965</v>
      </c>
      <c r="G497" s="11" t="s">
        <v>921</v>
      </c>
      <c r="I497" s="6"/>
      <c r="J497" s="6"/>
    </row>
    <row r="498" customFormat="false" ht="15" hidden="false" customHeight="false" outlineLevel="1" collapsed="false">
      <c r="A498" s="3" t="s">
        <v>968</v>
      </c>
      <c r="B498" s="11" t="s">
        <v>65</v>
      </c>
      <c r="C498" s="51" t="n">
        <v>35.132</v>
      </c>
      <c r="F498" s="6" t="s">
        <v>965</v>
      </c>
      <c r="G498" s="11" t="s">
        <v>921</v>
      </c>
      <c r="I498" s="6"/>
      <c r="J498" s="6"/>
    </row>
    <row r="499" customFormat="false" ht="15" hidden="false" customHeight="false" outlineLevel="1" collapsed="false">
      <c r="A499" s="3" t="s">
        <v>969</v>
      </c>
      <c r="B499" s="6"/>
      <c r="C499" s="3" t="s">
        <v>970</v>
      </c>
      <c r="F499" s="6" t="s">
        <v>965</v>
      </c>
      <c r="G499" s="11" t="s">
        <v>921</v>
      </c>
      <c r="I499" s="6"/>
      <c r="J499" s="6"/>
    </row>
    <row r="500" customFormat="false" ht="15" hidden="false" customHeight="false" outlineLevel="1" collapsed="false">
      <c r="A500" s="14" t="s">
        <v>971</v>
      </c>
      <c r="B500" s="14" t="s">
        <v>60</v>
      </c>
      <c r="C500" s="14" t="s">
        <v>910</v>
      </c>
      <c r="D500" s="14"/>
      <c r="E500" s="14"/>
      <c r="F500" s="14" t="s">
        <v>911</v>
      </c>
      <c r="G500" s="14" t="s">
        <v>912</v>
      </c>
      <c r="H500" s="14"/>
      <c r="I500" s="14" t="s">
        <v>913</v>
      </c>
      <c r="J500" s="14" t="s">
        <v>914</v>
      </c>
    </row>
    <row r="501" customFormat="false" ht="15" hidden="false" customHeight="false" outlineLevel="1" collapsed="false">
      <c r="A501" s="3" t="s">
        <v>972</v>
      </c>
      <c r="B501" s="11" t="s">
        <v>65</v>
      </c>
      <c r="C501" s="51" t="n">
        <v>89.85</v>
      </c>
      <c r="D501" s="51" t="n">
        <v>90.95</v>
      </c>
      <c r="F501" s="6" t="s">
        <v>965</v>
      </c>
      <c r="G501" s="11" t="s">
        <v>921</v>
      </c>
      <c r="I501" s="11" t="s">
        <v>973</v>
      </c>
      <c r="J501" s="6"/>
    </row>
    <row r="502" customFormat="false" ht="15" hidden="false" customHeight="false" outlineLevel="1" collapsed="false">
      <c r="A502" s="14" t="s">
        <v>974</v>
      </c>
      <c r="B502" s="14" t="s">
        <v>60</v>
      </c>
      <c r="C502" s="14" t="s">
        <v>910</v>
      </c>
      <c r="D502" s="14"/>
      <c r="E502" s="14"/>
      <c r="F502" s="14" t="s">
        <v>911</v>
      </c>
      <c r="G502" s="14" t="s">
        <v>912</v>
      </c>
      <c r="H502" s="14"/>
      <c r="I502" s="14" t="s">
        <v>913</v>
      </c>
      <c r="J502" s="14" t="s">
        <v>914</v>
      </c>
    </row>
    <row r="503" customFormat="false" ht="15" hidden="false" customHeight="false" outlineLevel="1" collapsed="false">
      <c r="A503" s="3" t="s">
        <v>975</v>
      </c>
      <c r="B503" s="6"/>
      <c r="C503" s="4" t="s">
        <v>976</v>
      </c>
      <c r="F503" s="11" t="s">
        <v>920</v>
      </c>
      <c r="G503" s="6"/>
      <c r="I503" s="6" t="s">
        <v>977</v>
      </c>
      <c r="J503" s="6"/>
    </row>
    <row r="504" customFormat="false" ht="15" hidden="false" customHeight="false" outlineLevel="1" collapsed="false">
      <c r="A504" s="3" t="s">
        <v>978</v>
      </c>
      <c r="B504" s="6"/>
      <c r="C504" s="4" t="s">
        <v>979</v>
      </c>
      <c r="F504" s="11" t="s">
        <v>920</v>
      </c>
      <c r="G504" s="6"/>
      <c r="I504" s="6" t="s">
        <v>977</v>
      </c>
      <c r="J504" s="6"/>
    </row>
    <row r="505" customFormat="false" ht="15" hidden="false" customHeight="false" outlineLevel="1" collapsed="false">
      <c r="A505" s="3" t="s">
        <v>980</v>
      </c>
      <c r="B505" s="6"/>
      <c r="C505" s="4" t="s">
        <v>981</v>
      </c>
      <c r="F505" s="11" t="s">
        <v>920</v>
      </c>
      <c r="G505" s="6"/>
      <c r="I505" s="6" t="s">
        <v>977</v>
      </c>
      <c r="J505" s="6"/>
    </row>
    <row r="506" customFormat="false" ht="15" hidden="false" customHeight="false" outlineLevel="1" collapsed="false">
      <c r="A506" s="3" t="s">
        <v>982</v>
      </c>
      <c r="B506" s="6"/>
      <c r="C506" s="3" t="s">
        <v>983</v>
      </c>
      <c r="F506" s="11" t="s">
        <v>920</v>
      </c>
      <c r="G506" s="6"/>
      <c r="I506" s="6" t="s">
        <v>977</v>
      </c>
      <c r="J506" s="6"/>
    </row>
    <row r="507" customFormat="false" ht="15" hidden="false" customHeight="false" outlineLevel="1" collapsed="false">
      <c r="A507" s="3" t="s">
        <v>984</v>
      </c>
      <c r="B507" s="6"/>
      <c r="C507" s="4" t="s">
        <v>985</v>
      </c>
      <c r="F507" s="11" t="s">
        <v>920</v>
      </c>
      <c r="G507" s="6"/>
      <c r="I507" s="6" t="s">
        <v>977</v>
      </c>
      <c r="J507" s="6"/>
    </row>
    <row r="508" customFormat="false" ht="15" hidden="false" customHeight="false" outlineLevel="1" collapsed="false">
      <c r="A508" s="3" t="s">
        <v>986</v>
      </c>
      <c r="B508" s="6"/>
      <c r="C508" s="3" t="s">
        <v>987</v>
      </c>
      <c r="F508" s="11" t="s">
        <v>920</v>
      </c>
      <c r="G508" s="6"/>
      <c r="I508" s="6" t="s">
        <v>977</v>
      </c>
      <c r="J508" s="6"/>
    </row>
    <row r="509" customFormat="false" ht="15" hidden="false" customHeight="false" outlineLevel="1" collapsed="false">
      <c r="A509" s="3" t="s">
        <v>988</v>
      </c>
      <c r="B509" s="11" t="s">
        <v>42</v>
      </c>
      <c r="C509" s="23" t="n">
        <v>0.05</v>
      </c>
      <c r="I509" s="6" t="s">
        <v>989</v>
      </c>
    </row>
    <row r="510" customFormat="false" ht="15" hidden="false" customHeight="false" outlineLevel="1" collapsed="false">
      <c r="A510" s="3" t="s">
        <v>990</v>
      </c>
      <c r="B510" s="11" t="s">
        <v>77</v>
      </c>
      <c r="C510" s="23" t="n">
        <v>0.02</v>
      </c>
      <c r="I510" s="6" t="s">
        <v>991</v>
      </c>
    </row>
    <row r="512" customFormat="false" ht="15" hidden="false" customHeight="false" outlineLevel="0" collapsed="false">
      <c r="A512" s="7" t="s">
        <v>992</v>
      </c>
      <c r="B512" s="8"/>
      <c r="C512" s="8"/>
      <c r="D512" s="8"/>
      <c r="E512" s="8"/>
      <c r="F512" s="8"/>
      <c r="G512" s="8"/>
      <c r="H512" s="8"/>
    </row>
    <row r="513" customFormat="false" ht="15" hidden="false" customHeight="false" outlineLevel="1" collapsed="false">
      <c r="A513" s="14" t="s">
        <v>993</v>
      </c>
      <c r="B513" s="14" t="s">
        <v>60</v>
      </c>
      <c r="C513" s="15" t="s">
        <v>994</v>
      </c>
      <c r="D513" s="15" t="s">
        <v>995</v>
      </c>
      <c r="E513" s="15" t="s">
        <v>996</v>
      </c>
      <c r="F513" s="15" t="s">
        <v>997</v>
      </c>
      <c r="G513" s="15" t="s">
        <v>998</v>
      </c>
      <c r="H513" s="15" t="s">
        <v>999</v>
      </c>
      <c r="J513" s="14" t="s">
        <v>1000</v>
      </c>
    </row>
    <row r="514" customFormat="false" ht="15" hidden="false" customHeight="false" outlineLevel="1" collapsed="false">
      <c r="A514" s="3" t="s">
        <v>1001</v>
      </c>
      <c r="C514" s="22" t="n">
        <v>1</v>
      </c>
      <c r="D514" s="22" t="n">
        <v>1</v>
      </c>
      <c r="E514" s="22" t="n">
        <v>1</v>
      </c>
      <c r="F514" s="22" t="n">
        <v>1</v>
      </c>
      <c r="G514" s="22" t="n">
        <v>2</v>
      </c>
      <c r="H514" s="22" t="n">
        <v>2</v>
      </c>
      <c r="J514" s="6" t="s">
        <v>1002</v>
      </c>
    </row>
    <row r="515" customFormat="false" ht="15" hidden="false" customHeight="false" outlineLevel="1" collapsed="false">
      <c r="A515" s="3" t="s">
        <v>1003</v>
      </c>
      <c r="C515" s="18" t="n">
        <v>1</v>
      </c>
      <c r="J515" s="6" t="s">
        <v>1004</v>
      </c>
    </row>
    <row r="516" customFormat="false" ht="15" hidden="false" customHeight="false" outlineLevel="1" collapsed="false">
      <c r="A516" s="3" t="s">
        <v>1005</v>
      </c>
      <c r="B516" s="11" t="s">
        <v>65</v>
      </c>
      <c r="C516" s="51" t="n">
        <v>90.007</v>
      </c>
      <c r="J516" s="6" t="s">
        <v>1006</v>
      </c>
    </row>
    <row r="517" customFormat="false" ht="15" hidden="false" customHeight="false" outlineLevel="1" collapsed="false">
      <c r="A517" s="3" t="s">
        <v>1007</v>
      </c>
      <c r="B517" s="11" t="s">
        <v>157</v>
      </c>
      <c r="C517" s="21" t="n">
        <v>3250</v>
      </c>
      <c r="J517" s="6" t="s">
        <v>1008</v>
      </c>
    </row>
    <row r="518" customFormat="false" ht="15" hidden="false" customHeight="false" outlineLevel="1" collapsed="false">
      <c r="A518" s="3" t="s">
        <v>1009</v>
      </c>
      <c r="B518" s="11" t="s">
        <v>65</v>
      </c>
      <c r="C518" s="51"/>
      <c r="D518" s="51"/>
      <c r="E518" s="51"/>
      <c r="F518" s="51"/>
      <c r="G518" s="51"/>
      <c r="H518" s="51"/>
      <c r="J518" s="6" t="s">
        <v>1010</v>
      </c>
    </row>
    <row r="519" customFormat="false" ht="15" hidden="false" customHeight="false" outlineLevel="1" collapsed="false">
      <c r="A519" s="3" t="s">
        <v>1011</v>
      </c>
      <c r="B519" s="11" t="s">
        <v>65</v>
      </c>
      <c r="C519" s="51"/>
      <c r="D519" s="51"/>
      <c r="E519" s="51"/>
      <c r="F519" s="51"/>
      <c r="G519" s="51"/>
      <c r="H519" s="51"/>
    </row>
    <row r="520" customFormat="false" ht="15" hidden="false" customHeight="false" outlineLevel="1" collapsed="false">
      <c r="A520" s="3" t="s">
        <v>1012</v>
      </c>
      <c r="B520" s="11" t="s">
        <v>65</v>
      </c>
      <c r="C520" s="51"/>
      <c r="D520" s="51"/>
      <c r="E520" s="51"/>
      <c r="F520" s="51"/>
      <c r="G520" s="51"/>
      <c r="H520" s="51"/>
    </row>
    <row r="521" customFormat="false" ht="15" hidden="false" customHeight="false" outlineLevel="1" collapsed="false">
      <c r="A521" s="3" t="s">
        <v>1013</v>
      </c>
      <c r="B521" s="11" t="s">
        <v>65</v>
      </c>
      <c r="C521" s="51"/>
      <c r="D521" s="51"/>
      <c r="E521" s="51"/>
      <c r="F521" s="51"/>
      <c r="G521" s="51"/>
      <c r="H521" s="51"/>
    </row>
    <row r="522" customFormat="false" ht="15" hidden="false" customHeight="false" outlineLevel="1" collapsed="false">
      <c r="A522" s="3" t="s">
        <v>1014</v>
      </c>
      <c r="B522" s="11" t="s">
        <v>157</v>
      </c>
      <c r="C522" s="21"/>
      <c r="D522" s="21"/>
      <c r="E522" s="21"/>
      <c r="F522" s="21"/>
      <c r="G522" s="21"/>
      <c r="H522" s="21"/>
    </row>
    <row r="523" customFormat="false" ht="15" hidden="false" customHeight="false" outlineLevel="1" collapsed="false">
      <c r="A523" s="3" t="s">
        <v>1015</v>
      </c>
      <c r="C523" s="27"/>
      <c r="D523" s="27"/>
      <c r="E523" s="27"/>
      <c r="F523" s="27"/>
      <c r="G523" s="27"/>
      <c r="H523" s="27"/>
    </row>
    <row r="524" customFormat="false" ht="15" hidden="false" customHeight="false" outlineLevel="1" collapsed="false">
      <c r="A524" s="3" t="s">
        <v>1016</v>
      </c>
      <c r="C524" s="27"/>
      <c r="D524" s="27"/>
      <c r="E524" s="27"/>
      <c r="F524" s="27"/>
      <c r="G524" s="27"/>
      <c r="H524" s="27"/>
    </row>
    <row r="525" customFormat="false" ht="15" hidden="false" customHeight="false" outlineLevel="1" collapsed="false">
      <c r="A525" s="3" t="s">
        <v>1017</v>
      </c>
      <c r="C525" s="27"/>
      <c r="D525" s="27"/>
      <c r="E525" s="27"/>
      <c r="F525" s="27"/>
      <c r="G525" s="27"/>
      <c r="H525" s="27"/>
    </row>
    <row r="526" customFormat="false" ht="15" hidden="false" customHeight="false" outlineLevel="1" collapsed="false">
      <c r="A526" s="3" t="s">
        <v>1018</v>
      </c>
      <c r="B526" s="11" t="s">
        <v>65</v>
      </c>
      <c r="C526" s="51" t="n">
        <v>89.85</v>
      </c>
      <c r="D526" s="51"/>
      <c r="E526" s="51"/>
      <c r="F526" s="51"/>
      <c r="G526" s="51"/>
      <c r="H526" s="51"/>
      <c r="J526" s="11" t="s">
        <v>1019</v>
      </c>
    </row>
    <row r="527" customFormat="false" ht="15" hidden="false" customHeight="false" outlineLevel="1" collapsed="false">
      <c r="A527" s="3" t="s">
        <v>1020</v>
      </c>
      <c r="B527" s="11" t="s">
        <v>65</v>
      </c>
      <c r="C527" s="51" t="n">
        <v>90.95</v>
      </c>
      <c r="D527" s="51"/>
      <c r="E527" s="51"/>
      <c r="F527" s="51"/>
      <c r="G527" s="51"/>
      <c r="H527" s="51"/>
    </row>
    <row r="528" customFormat="false" ht="15" hidden="false" customHeight="false" outlineLevel="1" collapsed="false">
      <c r="A528" s="3" t="s">
        <v>1021</v>
      </c>
      <c r="B528" s="11" t="s">
        <v>65</v>
      </c>
      <c r="C528" s="51" t="n">
        <v>43.15</v>
      </c>
      <c r="D528" s="51"/>
      <c r="E528" s="51"/>
      <c r="F528" s="51"/>
      <c r="G528" s="51"/>
      <c r="H528" s="51"/>
      <c r="J528" s="11" t="s">
        <v>1019</v>
      </c>
    </row>
    <row r="529" customFormat="false" ht="15" hidden="false" customHeight="false" outlineLevel="1" collapsed="false">
      <c r="A529" s="3" t="s">
        <v>1022</v>
      </c>
      <c r="B529" s="11" t="s">
        <v>65</v>
      </c>
      <c r="C529" s="51" t="n">
        <v>44.55</v>
      </c>
      <c r="D529" s="51"/>
      <c r="E529" s="51"/>
      <c r="F529" s="51"/>
      <c r="G529" s="51"/>
      <c r="H529" s="51"/>
    </row>
    <row r="530" customFormat="false" ht="15" hidden="false" customHeight="false" outlineLevel="1" collapsed="false">
      <c r="A530" s="3" t="s">
        <v>1023</v>
      </c>
      <c r="B530" s="11" t="s">
        <v>65</v>
      </c>
      <c r="C530" s="51" t="n">
        <v>204.2</v>
      </c>
      <c r="D530" s="51" t="n">
        <v>204.2</v>
      </c>
      <c r="E530" s="51" t="n">
        <v>0</v>
      </c>
      <c r="J530" s="11" t="s">
        <v>1024</v>
      </c>
    </row>
  </sheetData>
  <dataValidations count="1">
    <dataValidation allowBlank="false" error="請輸入 1–4" errorStyle="stop" errorTitle="錨定年度" operator="between" showDropDown="false" showErrorMessage="true" showInputMessage="false" sqref="C393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1025</v>
      </c>
    </row>
    <row r="2" customFormat="false" ht="15" hidden="false" customHeight="false" outlineLevel="0" collapsed="false">
      <c r="A2" s="11" t="s">
        <v>1026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1027</v>
      </c>
    </row>
    <row r="5" customFormat="false" ht="15" hidden="false" customHeight="false" outlineLevel="0" collapsed="false">
      <c r="A5" s="52" t="s">
        <v>1028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1029</v>
      </c>
      <c r="B6" s="11" t="s">
        <v>65</v>
      </c>
      <c r="C6" s="32" t="n">
        <f aca="false">輸入與假設!$C$431+輸入與假設!C$287</f>
        <v>204.201730580705</v>
      </c>
      <c r="D6" s="32" t="n">
        <f aca="false">輸入與假設!D$287</f>
        <v>216.207360041357</v>
      </c>
      <c r="E6" s="32" t="n">
        <f aca="false">輸入與假設!E$287</f>
        <v>221.965444269786</v>
      </c>
      <c r="F6" s="32" t="n">
        <f aca="false">輸入與假設!F$287</f>
        <v>267.230643536952</v>
      </c>
      <c r="G6" s="32" t="n">
        <f aca="false">輸入與假設!G$287</f>
        <v>374.661621600984</v>
      </c>
      <c r="I6" s="11" t="s">
        <v>1030</v>
      </c>
    </row>
    <row r="7" customFormat="false" ht="15" hidden="false" customHeight="false" outlineLevel="1" collapsed="false">
      <c r="A7" s="3" t="s">
        <v>1031</v>
      </c>
      <c r="B7" s="11" t="s">
        <v>42</v>
      </c>
      <c r="C7" s="53" t="n">
        <f aca="false">輸入與假設!C$243</f>
        <v>0</v>
      </c>
      <c r="D7" s="53" t="n">
        <f aca="false">輸入與假設!D$243</f>
        <v>0</v>
      </c>
      <c r="E7" s="53" t="n">
        <f aca="false">輸入與假設!E$243</f>
        <v>0</v>
      </c>
      <c r="F7" s="53" t="n">
        <f aca="false">輸入與假設!F$243</f>
        <v>0</v>
      </c>
      <c r="G7" s="53" t="n">
        <f aca="false">輸入與假設!G$243</f>
        <v>0</v>
      </c>
    </row>
    <row r="8" customFormat="false" ht="15" hidden="false" customHeight="false" outlineLevel="1" collapsed="false">
      <c r="A8" s="3" t="s">
        <v>1032</v>
      </c>
      <c r="B8" s="11" t="s">
        <v>65</v>
      </c>
      <c r="C8" s="32" t="n">
        <f aca="false">輸入與假設!C$263*C7</f>
        <v>0</v>
      </c>
      <c r="D8" s="32" t="n">
        <f aca="false">輸入與假設!D$263*D7</f>
        <v>0</v>
      </c>
      <c r="E8" s="32" t="n">
        <f aca="false">輸入與假設!E$263*E7</f>
        <v>0</v>
      </c>
      <c r="F8" s="32" t="n">
        <f aca="false">輸入與假設!F$263*F7</f>
        <v>0</v>
      </c>
      <c r="G8" s="32" t="n">
        <f aca="false">輸入與假設!G$263*G7</f>
        <v>0</v>
      </c>
      <c r="I8" s="6" t="s">
        <v>1033</v>
      </c>
    </row>
    <row r="9" customFormat="false" ht="15" hidden="false" customHeight="false" outlineLevel="1" collapsed="false">
      <c r="A9" s="3" t="s">
        <v>1034</v>
      </c>
      <c r="B9" s="11" t="s">
        <v>65</v>
      </c>
      <c r="C9" s="32" t="n">
        <f aca="false">輸入與假設!$C$240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1035</v>
      </c>
    </row>
    <row r="10" customFormat="false" ht="15" hidden="false" customHeight="false" outlineLevel="1" collapsed="false">
      <c r="A10" s="3" t="s">
        <v>1036</v>
      </c>
      <c r="B10" s="11" t="s">
        <v>65</v>
      </c>
      <c r="C10" s="32" t="n">
        <f aca="false">輸入與假設!$C$241*(C9+0.5*C8)*運營_產能與收入!C7</f>
        <v>0</v>
      </c>
      <c r="D10" s="32" t="n">
        <f aca="false">輸入與假設!$C$241*(D9+0.5*D8)*運營_產能與收入!D7</f>
        <v>0</v>
      </c>
      <c r="E10" s="32" t="n">
        <f aca="false">輸入與假設!$C$241*(E9+0.5*E8)*運營_產能與收入!E7</f>
        <v>0</v>
      </c>
      <c r="F10" s="32" t="n">
        <f aca="false">輸入與假設!$C$241*(F9+0.5*F8)*運營_產能與收入!F7</f>
        <v>0</v>
      </c>
      <c r="G10" s="32" t="n">
        <f aca="false">輸入與假設!$C$241*(G9+0.5*G8)*運營_產能與收入!G7</f>
        <v>0</v>
      </c>
      <c r="I10" s="6" t="s">
        <v>1037</v>
      </c>
    </row>
    <row r="11" customFormat="false" ht="15" hidden="false" customHeight="false" outlineLevel="1" collapsed="false">
      <c r="A11" s="3" t="s">
        <v>1038</v>
      </c>
      <c r="B11" s="11" t="s">
        <v>65</v>
      </c>
      <c r="C11" s="32" t="n">
        <f aca="false">MIN(C9+C10,(C9+C10)/輸入與假設!$C$239*運營_產能與收入!C7)</f>
        <v>0</v>
      </c>
      <c r="D11" s="32" t="n">
        <f aca="false">MIN(D9+D10,(D9+D10)/輸入與假設!$C$239*運營_產能與收入!D7)</f>
        <v>0</v>
      </c>
      <c r="E11" s="32" t="n">
        <f aca="false">MIN(E9+E10,(E9+E10)/輸入與假設!$C$239*運營_產能與收入!E7)</f>
        <v>0</v>
      </c>
      <c r="F11" s="32" t="n">
        <f aca="false">MIN(F9+F10,(F9+F10)/輸入與假設!$C$239*運營_產能與收入!F7)</f>
        <v>0</v>
      </c>
      <c r="G11" s="32" t="n">
        <f aca="false">MIN(G9+G10,(G9+G10)/輸入與假設!$C$239*運營_產能與收入!G7)</f>
        <v>0</v>
      </c>
      <c r="I11" s="6" t="s">
        <v>1039</v>
      </c>
    </row>
    <row r="12" customFormat="false" ht="15" hidden="false" customHeight="false" outlineLevel="1" collapsed="false">
      <c r="A12" s="3" t="s">
        <v>1040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1041</v>
      </c>
    </row>
    <row r="13" customFormat="false" ht="15" hidden="false" customHeight="false" outlineLevel="1" collapsed="false">
      <c r="A13" s="4" t="s">
        <v>1042</v>
      </c>
      <c r="B13" s="11" t="s">
        <v>65</v>
      </c>
      <c r="C13" s="32" t="n">
        <f aca="false">輸入與假設!$C$430+輸入與假設!C$287</f>
        <v>204.201730580705</v>
      </c>
      <c r="D13" s="32" t="n">
        <f aca="false">輸入與假設!D$287</f>
        <v>216.207360041357</v>
      </c>
      <c r="E13" s="32" t="n">
        <f aca="false">輸入與假設!E$287</f>
        <v>221.965444269786</v>
      </c>
      <c r="F13" s="32" t="n">
        <f aca="false">輸入與假設!F$287</f>
        <v>267.230643536952</v>
      </c>
      <c r="G13" s="32" t="n">
        <f aca="false">輸入與假設!G$287</f>
        <v>374.661621600984</v>
      </c>
      <c r="I13" s="6" t="s">
        <v>1043</v>
      </c>
    </row>
    <row r="14" customFormat="false" ht="15" hidden="false" customHeight="false" outlineLevel="1" collapsed="false">
      <c r="A14" s="3" t="s">
        <v>1044</v>
      </c>
      <c r="B14" s="11" t="s">
        <v>65</v>
      </c>
      <c r="C14" s="39" t="n">
        <f aca="false">輸入與假設!C$244</f>
        <v>13.203</v>
      </c>
      <c r="D14" s="39" t="n">
        <f aca="false">輸入與假設!D$244</f>
        <v>11.628</v>
      </c>
      <c r="E14" s="39" t="n">
        <f aca="false">輸入與假設!E$244</f>
        <v>9.814</v>
      </c>
      <c r="F14" s="39" t="n">
        <f aca="false">輸入與假設!F$244</f>
        <v>9.182</v>
      </c>
      <c r="G14" s="39" t="n">
        <f aca="false">輸入與假設!G$244</f>
        <v>8.859</v>
      </c>
      <c r="I14" s="6" t="s">
        <v>1045</v>
      </c>
    </row>
    <row r="15" customFormat="false" ht="15" hidden="false" customHeight="false" outlineLevel="1" collapsed="false">
      <c r="A15" s="3" t="s">
        <v>1046</v>
      </c>
      <c r="B15" s="11" t="s">
        <v>65</v>
      </c>
      <c r="C15" s="39" t="n">
        <f aca="false">運營_產能與收入!C59</f>
        <v>3.428125</v>
      </c>
      <c r="D15" s="39" t="n">
        <f aca="false">運營_產能與收入!D59</f>
        <v>8.913125</v>
      </c>
      <c r="E15" s="39" t="n">
        <f aca="false">運營_產能與收入!E59</f>
        <v>14.398125</v>
      </c>
      <c r="F15" s="39" t="n">
        <f aca="false">運營_產能與收入!F59</f>
        <v>19.883125</v>
      </c>
      <c r="G15" s="39" t="n">
        <f aca="false">運營_產能與收入!G59</f>
        <v>21.94</v>
      </c>
      <c r="I15" s="6" t="s">
        <v>1047</v>
      </c>
    </row>
    <row r="16" customFormat="false" ht="15" hidden="false" customHeight="false" outlineLevel="1" collapsed="false">
      <c r="A16" s="3" t="s">
        <v>1048</v>
      </c>
      <c r="B16" s="11" t="s">
        <v>65</v>
      </c>
      <c r="C16" s="32" t="n">
        <f aca="false">輸入與假設!C$247+C15*輸入與假設!$C$248</f>
        <v>7.97803125</v>
      </c>
      <c r="D16" s="32" t="n">
        <f aca="false">輸入與假設!D$247+D15*輸入與假設!$C$248</f>
        <v>9.52228125</v>
      </c>
      <c r="E16" s="32" t="n">
        <f aca="false">輸入與假設!E$247+E15*輸入與假設!$C$248</f>
        <v>10.26753125</v>
      </c>
      <c r="F16" s="32" t="n">
        <f aca="false">輸入與假設!F$247+F15*輸入與假設!$C$248</f>
        <v>11.54078125</v>
      </c>
      <c r="G16" s="32" t="n">
        <f aca="false">輸入與假設!G$247+G15*輸入與假設!$C$248</f>
        <v>12.028</v>
      </c>
      <c r="I16" s="6" t="s">
        <v>1049</v>
      </c>
    </row>
    <row r="17" customFormat="false" ht="15" hidden="false" customHeight="false" outlineLevel="1" collapsed="false">
      <c r="A17" s="3" t="s">
        <v>1050</v>
      </c>
      <c r="B17" s="11" t="s">
        <v>65</v>
      </c>
      <c r="C17" s="39" t="n">
        <f aca="false">輸入與假設!C$327</f>
        <v>1.30050734686579</v>
      </c>
      <c r="D17" s="39" t="n">
        <f aca="false">輸入與假設!D$327</f>
        <v>1.15560969373158</v>
      </c>
      <c r="E17" s="39" t="n">
        <f aca="false">輸入與假設!E$327</f>
        <v>1.12426480682114</v>
      </c>
      <c r="F17" s="39" t="n">
        <f aca="false">輸入與假設!F$327</f>
        <v>1.0929199199107</v>
      </c>
      <c r="G17" s="39" t="n">
        <f aca="false">輸入與假設!G$327</f>
        <v>1.08508761433588</v>
      </c>
      <c r="I17" s="6" t="str">
        <f aca="false">"6/30 債務餘額的利息。FY27 全年利息＝年初至今 實際 0.0＋全年 "&amp;TEXT(C17,"0.0")&amp;"＝"&amp;TEXT(0+C17,"0.00")&amp;"（見下方備忘）"</f>
        <v>6/30 債務餘額的利息。FY27 全年利息＝年初至今 實際 0.0＋全年 1.3＝1.30（見下方備忘）</v>
      </c>
    </row>
    <row r="18" customFormat="false" ht="15" hidden="false" customHeight="false" outlineLevel="1" collapsed="false">
      <c r="A18" s="3" t="s">
        <v>1051</v>
      </c>
      <c r="B18" s="11" t="s">
        <v>65</v>
      </c>
      <c r="C18" s="32" t="n">
        <f aca="false">輸入與假設!$C$428</f>
        <v>76.843</v>
      </c>
      <c r="D18" s="32" t="n">
        <f aca="false">C56</f>
        <v>50</v>
      </c>
      <c r="E18" s="32" t="n">
        <f aca="false">D56</f>
        <v>50</v>
      </c>
      <c r="F18" s="32" t="n">
        <f aca="false">E56</f>
        <v>66.7590104482724</v>
      </c>
      <c r="G18" s="32" t="n">
        <f aca="false">F56</f>
        <v>84.6394909848749</v>
      </c>
      <c r="I18" s="11" t="s">
        <v>1052</v>
      </c>
    </row>
    <row r="19" customFormat="false" ht="15" hidden="false" customHeight="false" outlineLevel="1" collapsed="false">
      <c r="A19" s="3" t="s">
        <v>1053</v>
      </c>
      <c r="B19" s="11" t="s">
        <v>42</v>
      </c>
      <c r="C19" s="38" t="n">
        <f aca="false">IF(輸入與假設!$C$320=1,輸入與假設!C$326+MAX(0,輸入與假設!$C$319-450)/100*0.004,輸入與假設!C$326)</f>
        <v>0.05</v>
      </c>
      <c r="D19" s="38" t="n">
        <f aca="false">IF(輸入與假設!$C$320=1,輸入與假設!D$326+MAX(0,輸入與假設!$C$319-450)/100*0.004,輸入與假設!D$326)</f>
        <v>0.05</v>
      </c>
      <c r="E19" s="38" t="n">
        <f aca="false">IF(輸入與假設!$C$320=1,輸入與假設!E$326+MAX(0,輸入與假設!$C$319-450)/100*0.004,輸入與假設!E$326)</f>
        <v>0.05</v>
      </c>
      <c r="F19" s="38" t="n">
        <f aca="false">IF(輸入與假設!$C$320=1,輸入與假設!F$326+MAX(0,輸入與假設!$C$319-450)/100*0.004,輸入與假設!F$326)</f>
        <v>0.05</v>
      </c>
      <c r="G19" s="38" t="n">
        <f aca="false">IF(輸入與假設!$C$320=1,輸入與假設!G$326+MAX(0,輸入與假設!$C$319-450)/100*0.004,輸入與假設!G$326)</f>
        <v>0.05</v>
      </c>
      <c r="I19" s="11" t="s">
        <v>1054</v>
      </c>
    </row>
    <row r="20" customFormat="false" ht="15" hidden="false" customHeight="false" outlineLevel="1" collapsed="false">
      <c r="A20" s="3" t="s">
        <v>1055</v>
      </c>
      <c r="B20" s="11" t="s">
        <v>65</v>
      </c>
      <c r="C20" s="32" t="n">
        <f aca="false">C94</f>
        <v>0.9972829643164</v>
      </c>
      <c r="D20" s="32" t="n">
        <f aca="false">D94</f>
        <v>0.9972829643164</v>
      </c>
      <c r="E20" s="32" t="n">
        <f aca="false">E94</f>
        <v>0.9972829643164</v>
      </c>
      <c r="F20" s="32" t="n">
        <f aca="false">F94</f>
        <v>0.9972829643164</v>
      </c>
      <c r="G20" s="32" t="n">
        <f aca="false">G94</f>
        <v>0.9972829643164</v>
      </c>
      <c r="I20" s="6" t="s">
        <v>1056</v>
      </c>
    </row>
    <row r="21" customFormat="false" ht="15" hidden="false" customHeight="false" outlineLevel="1" collapsed="false">
      <c r="A21" s="3" t="s">
        <v>1057</v>
      </c>
      <c r="B21" s="11" t="s">
        <v>65</v>
      </c>
      <c r="C21" s="32" t="n">
        <f aca="false">C17+C20</f>
        <v>2.29779031118219</v>
      </c>
      <c r="D21" s="32" t="n">
        <f aca="false">D17+D20</f>
        <v>2.15289265804798</v>
      </c>
      <c r="E21" s="32" t="n">
        <f aca="false">E17+E20</f>
        <v>2.12154777113754</v>
      </c>
      <c r="F21" s="32" t="n">
        <f aca="false">F17+F20</f>
        <v>2.0902028842271</v>
      </c>
      <c r="G21" s="32" t="n">
        <f aca="false">G17+G20</f>
        <v>2.08237057865228</v>
      </c>
    </row>
    <row r="22" customFormat="false" ht="15" hidden="false" customHeight="false" outlineLevel="1" collapsed="false">
      <c r="A22" s="4" t="s">
        <v>1058</v>
      </c>
      <c r="B22" s="11" t="s">
        <v>65</v>
      </c>
      <c r="C22" s="32" t="n">
        <f aca="false">輸入與假設!$C$432+輸入與假設!C$251</f>
        <v>1.1</v>
      </c>
      <c r="D22" s="32" t="n">
        <f aca="false">輸入與假設!D$251</f>
        <v>0</v>
      </c>
      <c r="E22" s="32" t="n">
        <f aca="false">輸入與假設!E$251</f>
        <v>0</v>
      </c>
      <c r="F22" s="32" t="n">
        <f aca="false">輸入與假設!F$251</f>
        <v>0</v>
      </c>
      <c r="G22" s="32" t="n">
        <f aca="false">輸入與假設!G$251</f>
        <v>0</v>
      </c>
      <c r="I22" s="11" t="s">
        <v>1059</v>
      </c>
    </row>
    <row r="23" customFormat="false" ht="15" hidden="false" customHeight="false" outlineLevel="1" collapsed="false">
      <c r="A23" s="3" t="s">
        <v>1060</v>
      </c>
      <c r="B23" s="11" t="s">
        <v>65</v>
      </c>
      <c r="C23" s="32" t="n">
        <f aca="false">輸入與假設!$C$447+4*輸入與假設!$C$301*(1+輸入與假設!$C$302)^0*運營_產能與收入!C7*(輸入與假設!$C$303+0+SUMPRODUCT(資產負債_既有債務!$D$29:$D$29*資產負債_既有債務!$H$25:$H$25*(資產負債_既有債務!$G$25:$G$25&lt;0)))+輸入與假設!C$324</f>
        <v>29.11384</v>
      </c>
      <c r="D23" s="32" t="n">
        <f aca="false">4*輸入與假設!$C$301*(1+輸入與假設!$C$302)^1*運營_產能與收入!D7*(輸入與假設!$C$303+C97+SUMPRODUCT(資產負債_既有債務!$D$29:$D$29*資產負債_既有債務!$H$25:$H$25*(資產負債_既有債務!$G$25:$G$25&lt;1)))+輸入與假設!D$324</f>
        <v>31.4429472</v>
      </c>
      <c r="E23" s="32" t="n">
        <f aca="false">4*輸入與假設!$C$301*(1+輸入與假設!$C$302)^2*運營_產能與收入!E7*(輸入與假設!$C$303+D97+SUMPRODUCT(資產負債_既有債務!$D$29:$D$29*資產負債_既有債務!$H$25:$H$25*(資產負債_既有債務!$G$25:$G$25&lt;2)))+輸入與假設!E$324</f>
        <v>33.9512994501017</v>
      </c>
      <c r="F23" s="32" t="n">
        <f aca="false">4*輸入與假設!$C$301*(1+輸入與假設!$C$302)^3*運營_產能與收入!F7*(輸入與假設!$C$303+E97+SUMPRODUCT(資產負債_既有債務!$D$29:$D$29*資產負債_既有債務!$H$25:$H$25*(資產負債_既有債務!$G$25:$G$25&lt;3)))+輸入與假設!F$324</f>
        <v>36.4598079286637</v>
      </c>
      <c r="G23" s="32" t="n">
        <f aca="false">4*輸入與假設!$C$301*(1+輸入與假設!$C$302)^4*運營_產能與收入!G7*(輸入與假設!$C$303+F97+SUMPRODUCT(資產負債_既有債務!$D$29:$D$29*資產負債_既有債務!$H$25:$H$25*(資產負債_既有債務!$G$25:$G$25&lt;4)))+輸入與假設!G$324</f>
        <v>39.152389447315</v>
      </c>
      <c r="I23" s="6" t="s">
        <v>1061</v>
      </c>
    </row>
    <row r="24" customFormat="false" ht="15" hidden="false" customHeight="false" outlineLevel="1" collapsed="false">
      <c r="A24" s="3" t="s">
        <v>1062</v>
      </c>
      <c r="B24" s="11" t="s">
        <v>65</v>
      </c>
      <c r="C24" s="32" t="n">
        <f aca="false">輸入與假設!$C$449+C76</f>
        <v>0</v>
      </c>
      <c r="D24" s="32" t="n">
        <f aca="false">D76</f>
        <v>0.820720103349871</v>
      </c>
      <c r="E24" s="32" t="n">
        <f aca="false">E76</f>
        <v>22.271</v>
      </c>
      <c r="F24" s="32" t="n">
        <f aca="false">F76</f>
        <v>22.271</v>
      </c>
      <c r="G24" s="32" t="n">
        <f aca="false">G76</f>
        <v>9.535848986266</v>
      </c>
      <c r="I24" s="11" t="s">
        <v>1063</v>
      </c>
    </row>
    <row r="25" customFormat="false" ht="15" hidden="false" customHeight="false" outlineLevel="1" collapsed="false">
      <c r="A25" s="3" t="s">
        <v>1064</v>
      </c>
      <c r="B25" s="11" t="s">
        <v>65</v>
      </c>
      <c r="C25" s="32" t="n">
        <f aca="false">IF(輸入與假設!$C$217=1,運營_產能與收入!C9*8760*輸入與假設!C$219*輸入與假設!C$218/1000000000*運營_產能與收入!C7,0)</f>
        <v>0</v>
      </c>
      <c r="D25" s="32" t="n">
        <f aca="false">IF(輸入與假設!$C$217=1,運營_產能與收入!D9*8760*輸入與假設!D$219*輸入與假設!D$218/1000000000*運營_產能與收入!D7,0)</f>
        <v>0</v>
      </c>
      <c r="E25" s="32" t="n">
        <f aca="false">IF(輸入與假設!$C$217=1,運營_產能與收入!E9*8760*輸入與假設!E$219*輸入與假設!E$218/1000000000*運營_產能與收入!E7,0)</f>
        <v>0</v>
      </c>
      <c r="F25" s="32" t="n">
        <f aca="false">IF(輸入與假設!$C$217=1,運營_產能與收入!F9*8760*輸入與假設!F$219*輸入與假設!F$218/1000000000*運營_產能與收入!F7,0)</f>
        <v>0</v>
      </c>
      <c r="G25" s="32" t="n">
        <f aca="false">IF(輸入與假設!$C$217=1,運營_產能與收入!G9*8760*輸入與假設!G$219*輸入與假設!G$218/1000000000*運營_產能與收入!G7,0)</f>
        <v>0</v>
      </c>
      <c r="I25" s="6" t="s">
        <v>1065</v>
      </c>
    </row>
    <row r="26" customFormat="false" ht="15" hidden="false" customHeight="false" outlineLevel="1" collapsed="false">
      <c r="A26" s="3" t="s">
        <v>1066</v>
      </c>
      <c r="B26" s="11" t="s">
        <v>65</v>
      </c>
      <c r="C26" s="32" t="n">
        <f aca="false">IF(輸入與假設!$C$217=1,運營_產能與收入!C9*輸入與假設!C$220/1000*運營_產能與收入!C7,0)</f>
        <v>0</v>
      </c>
      <c r="D26" s="32" t="n">
        <f aca="false">IF(輸入與假設!$C$217=1,運營_產能與收入!D9*輸入與假設!D$220/1000*運營_產能與收入!D7,0)</f>
        <v>0</v>
      </c>
      <c r="E26" s="32" t="n">
        <f aca="false">IF(輸入與假設!$C$217=1,運營_產能與收入!E9*輸入與假設!E$220/1000*運營_產能與收入!E7,0)</f>
        <v>0</v>
      </c>
      <c r="F26" s="32" t="n">
        <f aca="false">IF(輸入與假設!$C$217=1,運營_產能與收入!F9*輸入與假設!F$220/1000*運營_產能與收入!F7,0)</f>
        <v>0</v>
      </c>
      <c r="G26" s="32" t="n">
        <f aca="false">IF(輸入與假設!$C$217=1,運營_產能與收入!G9*輸入與假設!G$220/1000*運營_產能與收入!G7,0)</f>
        <v>0</v>
      </c>
    </row>
    <row r="27" customFormat="false" ht="15" hidden="false" customHeight="false" outlineLevel="1" collapsed="false">
      <c r="A27" s="3" t="s">
        <v>1067</v>
      </c>
      <c r="B27" s="11" t="s">
        <v>65</v>
      </c>
      <c r="C27" s="32" t="n">
        <f aca="false">輸入與假設!$C$434+IF(輸入與假設!$C$296=1,輸入與假設!C$325,0)+資產負債_既有債務!C40</f>
        <v>9.25</v>
      </c>
      <c r="D27" s="32" t="n">
        <f aca="false">IF(輸入與假設!$C$296=1,輸入與假設!D$325,0)+資產負債_既有債務!D40</f>
        <v>0</v>
      </c>
      <c r="E27" s="32" t="n">
        <f aca="false">IF(輸入與假設!$C$296=1,輸入與假設!E$325,0)+資產負債_既有債務!E40</f>
        <v>2.001</v>
      </c>
      <c r="F27" s="32" t="n">
        <f aca="false">IF(輸入與假設!$C$296=1,輸入與假設!F$325,0)+資產負債_既有債務!F40</f>
        <v>0</v>
      </c>
      <c r="G27" s="32" t="n">
        <f aca="false">IF(輸入與假設!$C$296=1,輸入與假設!G$325,0)+資產負債_既有債務!G40</f>
        <v>0.5</v>
      </c>
      <c r="I27" s="11" t="s">
        <v>1068</v>
      </c>
    </row>
    <row r="28" customFormat="false" ht="15" hidden="false" customHeight="false" outlineLevel="1" collapsed="false">
      <c r="A28" s="4" t="s">
        <v>1069</v>
      </c>
      <c r="B28" s="11" t="s">
        <v>65</v>
      </c>
      <c r="C28" s="32" t="n">
        <f aca="false">輸入與假設!$C$435</f>
        <v>0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1070</v>
      </c>
    </row>
    <row r="29" customFormat="false" ht="15" hidden="false" customHeight="false" outlineLevel="1" collapsed="false">
      <c r="A29" s="3" t="s">
        <v>1071</v>
      </c>
      <c r="B29" s="11" t="s">
        <v>65</v>
      </c>
      <c r="C29" s="32" t="n">
        <f aca="false">輸入與假設!$C$318*MAX(0,運營_產能與收入!C38*輸入與假設!C$214+輸入與假設!C$56+輸入與假設!C$205-輸入與假設!C$206-運營_產能與收入!C62-輸入與假設!C$288-輸入與假設!C$327)</f>
        <v>35.6772588410793</v>
      </c>
      <c r="D29" s="32" t="n">
        <f aca="false">輸入與假設!$C$318*MAX(0,運營_產能與收入!D38*輸入與假設!D$214+輸入與假設!D$56+輸入與假設!D$205-輸入與假設!D$206-運營_產能與收入!D62-輸入與假設!D$288-輸入與假設!D$327)</f>
        <v>39.7710670583793</v>
      </c>
      <c r="E29" s="32" t="n">
        <f aca="false">輸入與假設!$C$318*MAX(0,運營_產能與收入!E38*輸入與假設!E$214+輸入與假設!E$56+輸入與假設!E$205-輸入與假設!E$206-運營_產能與收入!E62-輸入與假設!E$288-輸入與假設!E$327)</f>
        <v>43.8480159271405</v>
      </c>
      <c r="F29" s="32" t="n">
        <f aca="false">輸入與假設!$C$318*MAX(0,運營_產能與收入!F38*輸入與假設!F$214+輸入與假設!F$56+輸入與假設!F$205-輸入與假設!F$206-運營_產能與收入!F62-輸入與假設!F$288-輸入與假設!F$327)</f>
        <v>47.5453686699221</v>
      </c>
      <c r="G29" s="32" t="n">
        <f aca="false">輸入與假設!$C$318*MAX(0,運營_產能與收入!G38*輸入與假設!G$214+輸入與假設!G$56+輸入與假設!G$205-輸入與假設!G$206-運營_產能與收入!G62-輸入與假設!G$288-輸入與假設!G$327)</f>
        <v>50.5904688269845</v>
      </c>
      <c r="I29" s="6" t="s">
        <v>1072</v>
      </c>
    </row>
    <row r="30" customFormat="false" ht="15" hidden="false" customHeight="false" outlineLevel="1" collapsed="false">
      <c r="A30" s="2" t="s">
        <v>1073</v>
      </c>
      <c r="B30" s="11" t="s">
        <v>65</v>
      </c>
      <c r="C30" s="42" t="n">
        <f aca="false">C13+C16+C21+C22+C25+C26+C27+C28+C29+C23+C24</f>
        <v>289.618650982966</v>
      </c>
      <c r="D30" s="42" t="n">
        <f aca="false">D13+D16+D21+D22+D25+D26+D27+D28+D29+D23+D24</f>
        <v>299.917268311134</v>
      </c>
      <c r="E30" s="42" t="n">
        <f aca="false">E13+E16+E21+E22+E25+E26+E27+E28+E29+E23+E24</f>
        <v>336.425838668166</v>
      </c>
      <c r="F30" s="42" t="n">
        <f aca="false">F13+F16+F21+F22+F25+F26+F27+F28+F29+F23+F24</f>
        <v>387.137804269765</v>
      </c>
      <c r="G30" s="42" t="n">
        <f aca="false">G13+G16+G21+G22+G25+G26+G27+G28+G29+G23+G24</f>
        <v>488.550699440202</v>
      </c>
      <c r="I30" s="11" t="s">
        <v>1074</v>
      </c>
    </row>
    <row r="31" customFormat="false" ht="15" hidden="false" customHeight="false" outlineLevel="0" collapsed="false">
      <c r="A31" s="52" t="s">
        <v>1075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1076</v>
      </c>
      <c r="B32" s="11" t="s">
        <v>65</v>
      </c>
      <c r="C32" s="39" t="n">
        <f aca="false">輸入與假設!$C$429</f>
        <v>0</v>
      </c>
      <c r="D32" s="39" t="n">
        <f aca="false">0</f>
        <v>0</v>
      </c>
      <c r="E32" s="39" t="n">
        <f aca="false">0</f>
        <v>0</v>
      </c>
      <c r="F32" s="39" t="n">
        <f aca="false">0</f>
        <v>0</v>
      </c>
      <c r="G32" s="39" t="n">
        <f aca="false">0</f>
        <v>0</v>
      </c>
      <c r="I32" s="6" t="s">
        <v>1077</v>
      </c>
    </row>
    <row r="33" customFormat="false" ht="15" hidden="false" customHeight="false" outlineLevel="1" collapsed="false">
      <c r="A33" s="4" t="s">
        <v>1078</v>
      </c>
      <c r="B33" s="11" t="s">
        <v>65</v>
      </c>
      <c r="C33" s="39" t="n">
        <f aca="false">運營_產能與收入!C40</f>
        <v>0</v>
      </c>
      <c r="D33" s="39" t="n">
        <f aca="false">運營_產能與收入!D40</f>
        <v>0</v>
      </c>
      <c r="E33" s="39" t="n">
        <f aca="false">運營_產能與收入!E40</f>
        <v>0</v>
      </c>
      <c r="F33" s="39" t="n">
        <f aca="false">運營_產能與收入!F40</f>
        <v>0</v>
      </c>
      <c r="G33" s="39" t="n">
        <f aca="false">運營_產能與收入!G40</f>
        <v>0</v>
      </c>
    </row>
    <row r="34" customFormat="false" ht="15" hidden="false" customHeight="false" outlineLevel="1" collapsed="false">
      <c r="A34" s="3" t="s">
        <v>1079</v>
      </c>
      <c r="B34" s="11" t="s">
        <v>65</v>
      </c>
      <c r="C34" s="39" t="n">
        <f aca="false">運營_產能與收入!C41</f>
        <v>42.8867304276722</v>
      </c>
      <c r="D34" s="39" t="n">
        <f aca="false">運營_產能與收入!D41</f>
        <v>67.8094098325656</v>
      </c>
      <c r="E34" s="39" t="n">
        <f aca="false">運營_產能與收入!E41</f>
        <v>92.9283405653367</v>
      </c>
      <c r="F34" s="39" t="n">
        <f aca="false">運營_產能與收入!F41</f>
        <v>118.128785748483</v>
      </c>
      <c r="G34" s="39" t="n">
        <f aca="false">運營_產能與收入!G41</f>
        <v>143.369906277874</v>
      </c>
    </row>
    <row r="35" customFormat="false" ht="15" hidden="false" customHeight="false" outlineLevel="1" collapsed="false">
      <c r="A35" s="3" t="s">
        <v>1080</v>
      </c>
      <c r="B35" s="11" t="s">
        <v>65</v>
      </c>
      <c r="C35" s="39" t="n">
        <f aca="false">輸入與假設!C$215</f>
        <v>0</v>
      </c>
      <c r="D35" s="39" t="n">
        <f aca="false">輸入與假設!D$215</f>
        <v>0</v>
      </c>
      <c r="E35" s="39" t="n">
        <f aca="false">輸入與假設!E$215</f>
        <v>0</v>
      </c>
      <c r="F35" s="39" t="n">
        <f aca="false">輸入與假設!F$215</f>
        <v>0</v>
      </c>
      <c r="G35" s="39" t="n">
        <f aca="false">輸入與假設!G$215</f>
        <v>0</v>
      </c>
    </row>
    <row r="36" customFormat="false" ht="15" hidden="false" customHeight="false" outlineLevel="1" collapsed="false">
      <c r="A36" s="4" t="s">
        <v>1081</v>
      </c>
      <c r="B36" s="11" t="s">
        <v>65</v>
      </c>
      <c r="C36" s="39" t="n">
        <f aca="false">輸入與假設!C$56</f>
        <v>-11.1215</v>
      </c>
      <c r="D36" s="39" t="n">
        <f aca="false">輸入與假設!D$56</f>
        <v>-12.12</v>
      </c>
      <c r="E36" s="39" t="n">
        <f aca="false">輸入與假設!E$56</f>
        <v>-12.12</v>
      </c>
      <c r="F36" s="39" t="n">
        <f aca="false">輸入與假設!F$56</f>
        <v>-12.12</v>
      </c>
      <c r="G36" s="39" t="n">
        <f aca="false">輸入與假設!G$56</f>
        <v>-12.12</v>
      </c>
      <c r="I36" s="6" t="s">
        <v>1082</v>
      </c>
    </row>
    <row r="37" customFormat="false" ht="15" hidden="false" customHeight="false" outlineLevel="1" collapsed="false">
      <c r="A37" s="4" t="s">
        <v>1083</v>
      </c>
      <c r="B37" s="11" t="s">
        <v>65</v>
      </c>
      <c r="C37" s="39" t="n">
        <f aca="false">輸入與假設!C$205-輸入與假設!C$206</f>
        <v>201.10205285822</v>
      </c>
      <c r="D37" s="39" t="n">
        <f aca="false">輸入與假設!D$205-輸入與假設!D$206</f>
        <v>226.60460267977</v>
      </c>
      <c r="E37" s="39" t="n">
        <f aca="false">輸入與假設!E$205-輸入與假設!E$206</f>
        <v>251.982672316025</v>
      </c>
      <c r="F37" s="39" t="n">
        <f aca="false">輸入與假設!F$205-輸入與假設!F$206</f>
        <v>275.932196777933</v>
      </c>
      <c r="G37" s="39" t="n">
        <f aca="false">輸入與假設!G$205-輸入與假設!G$206</f>
        <v>297.080300500921</v>
      </c>
      <c r="I37" s="6" t="s">
        <v>1084</v>
      </c>
    </row>
    <row r="38" customFormat="false" ht="15" hidden="false" customHeight="false" outlineLevel="1" collapsed="false">
      <c r="A38" s="4" t="s">
        <v>1085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1086</v>
      </c>
    </row>
    <row r="39" customFormat="false" ht="15" hidden="false" customHeight="false" outlineLevel="1" collapsed="false">
      <c r="A39" s="4" t="s">
        <v>1087</v>
      </c>
      <c r="B39" s="11" t="s">
        <v>65</v>
      </c>
      <c r="C39" s="32" t="n">
        <f aca="false">輸入與假設!$C$57*(運營_產能與收入!C38+輸入與假設!C$204)</f>
        <v>14.8577084107461</v>
      </c>
      <c r="D39" s="32" t="n">
        <f aca="false">輸入與假設!$C$57*(運營_產能與收入!D38+輸入與假設!D$204)</f>
        <v>17.6232557987985</v>
      </c>
      <c r="E39" s="32" t="n">
        <f aca="false">輸入與假設!$C$57*(運營_產能與收入!E38+輸入與假設!E$204)</f>
        <v>20.3938362350763</v>
      </c>
      <c r="F39" s="32" t="n">
        <f aca="false">輸入與假設!$C$57*(運營_產能與收入!F38+輸入與假設!F$204)</f>
        <v>23.0773022799514</v>
      </c>
      <c r="G39" s="32" t="n">
        <f aca="false">輸入與假設!$C$57*(運營_產能與收入!G38+輸入與假設!G$204)</f>
        <v>25.5810016765312</v>
      </c>
      <c r="I39" s="6" t="s">
        <v>1088</v>
      </c>
    </row>
    <row r="40" customFormat="false" ht="15" hidden="false" customHeight="false" outlineLevel="1" collapsed="false">
      <c r="A40" s="4" t="s">
        <v>1089</v>
      </c>
      <c r="B40" s="11" t="s">
        <v>65</v>
      </c>
      <c r="C40" s="32" t="n">
        <f aca="false">IF(ISBLANK(輸入與假設!$C$58),0,輸入與假設!$C$58)</f>
        <v>-4.895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1090</v>
      </c>
    </row>
    <row r="41" customFormat="false" ht="15" hidden="false" customHeight="false" outlineLevel="1" collapsed="false">
      <c r="A41" s="3" t="s">
        <v>1091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1092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1093</v>
      </c>
    </row>
    <row r="43" customFormat="false" ht="15" hidden="false" customHeight="false" outlineLevel="1" collapsed="false">
      <c r="A43" s="2" t="s">
        <v>1094</v>
      </c>
      <c r="B43" s="11" t="s">
        <v>65</v>
      </c>
      <c r="C43" s="42" t="n">
        <f aca="false">C32+C33+C34+C35+C36+C37+C38+C39+C40+C41+C42</f>
        <v>242.829991696639</v>
      </c>
      <c r="D43" s="42" t="n">
        <f aca="false">D32+D33+D34+D35+D36+D37+D38+D39+D40+D41+D42</f>
        <v>299.917268311134</v>
      </c>
      <c r="E43" s="42" t="n">
        <f aca="false">E32+E33+E34+E35+E36+E37+E38+E39+E40+E41+E42</f>
        <v>353.184849116438</v>
      </c>
      <c r="F43" s="42" t="n">
        <f aca="false">F32+F33+F34+F35+F36+F37+F38+F39+F40+F41+F42</f>
        <v>405.018284806368</v>
      </c>
      <c r="G43" s="42" t="n">
        <f aca="false">G32+G33+G34+G35+G36+G37+G38+G39+G40+G41+G42</f>
        <v>453.911208455327</v>
      </c>
    </row>
    <row r="44" customFormat="false" ht="15" hidden="false" customHeight="false" outlineLevel="1" collapsed="false">
      <c r="A44" s="2" t="s">
        <v>1095</v>
      </c>
      <c r="B44" s="11" t="s">
        <v>65</v>
      </c>
      <c r="C44" s="42" t="n">
        <f aca="false">C43-C29-C21-C13</f>
        <v>0.653211963671964</v>
      </c>
      <c r="D44" s="42" t="n">
        <f aca="false">D43-D29-D21-D13</f>
        <v>41.7859485533498</v>
      </c>
      <c r="E44" s="42" t="n">
        <f aca="false">E43-E29-E21-E13</f>
        <v>85.2498411483739</v>
      </c>
      <c r="F44" s="42" t="n">
        <f aca="false">F43-F29-F21-F13</f>
        <v>88.1520697152662</v>
      </c>
      <c r="G44" s="42" t="n">
        <f aca="false">G43-G29-G21-G13</f>
        <v>26.5767474487062</v>
      </c>
      <c r="I44" s="6" t="s">
        <v>1096</v>
      </c>
    </row>
    <row r="45" customFormat="false" ht="15" hidden="false" customHeight="false" outlineLevel="1" collapsed="false">
      <c r="A45" s="3" t="s">
        <v>1097</v>
      </c>
      <c r="B45" s="11" t="s">
        <v>65</v>
      </c>
      <c r="C45" s="32" t="n">
        <f aca="false">輸入與假設!$C$436+IF(輸入與假設!$C$293=1,輸入與假設!$C$292,0)</f>
        <v>0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1098</v>
      </c>
    </row>
    <row r="46" customFormat="false" ht="15" hidden="false" customHeight="false" outlineLevel="1" collapsed="false">
      <c r="A46" s="3" t="s">
        <v>1099</v>
      </c>
      <c r="B46" s="11" t="s">
        <v>65</v>
      </c>
      <c r="C46" s="39" t="n">
        <f aca="false">輸入與假設!$C$433</f>
        <v>0</v>
      </c>
      <c r="D46" s="39" t="n">
        <f aca="false">0</f>
        <v>0</v>
      </c>
      <c r="E46" s="39" t="n">
        <f aca="false">0</f>
        <v>0</v>
      </c>
      <c r="F46" s="39" t="n">
        <f aca="false">0</f>
        <v>0</v>
      </c>
      <c r="G46" s="39" t="n">
        <f aca="false">0</f>
        <v>0</v>
      </c>
      <c r="I46" s="6" t="s">
        <v>1100</v>
      </c>
    </row>
    <row r="47" customFormat="false" ht="15" hidden="false" customHeight="false" outlineLevel="1" collapsed="false">
      <c r="A47" s="3" t="s">
        <v>1101</v>
      </c>
      <c r="B47" s="11" t="s">
        <v>65</v>
      </c>
      <c r="C47" s="32" t="n">
        <f aca="false">C86</f>
        <v>19.945659286328</v>
      </c>
      <c r="D47" s="32" t="n">
        <f aca="false">D86</f>
        <v>0</v>
      </c>
      <c r="E47" s="32" t="n">
        <f aca="false">E86</f>
        <v>0</v>
      </c>
      <c r="F47" s="32" t="n">
        <f aca="false">F86</f>
        <v>0</v>
      </c>
      <c r="G47" s="32" t="n">
        <f aca="false">G86</f>
        <v>0</v>
      </c>
      <c r="I47" s="6" t="s">
        <v>1102</v>
      </c>
    </row>
    <row r="48" customFormat="false" ht="15" hidden="false" customHeight="false" outlineLevel="1" collapsed="false">
      <c r="A48" s="4" t="s">
        <v>1103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1104</v>
      </c>
    </row>
    <row r="49" customFormat="false" ht="15" hidden="false" customHeight="false" outlineLevel="1" collapsed="false">
      <c r="A49" s="3" t="s">
        <v>1105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1106</v>
      </c>
    </row>
    <row r="50" customFormat="false" ht="15" hidden="false" customHeight="false" outlineLevel="1" collapsed="false">
      <c r="A50" s="3" t="s">
        <v>1107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1108</v>
      </c>
    </row>
    <row r="51" customFormat="false" ht="15" hidden="false" customHeight="false" outlineLevel="1" collapsed="false">
      <c r="A51" s="2" t="s">
        <v>1109</v>
      </c>
      <c r="B51" s="11" t="s">
        <v>65</v>
      </c>
      <c r="C51" s="42" t="n">
        <f aca="false">C43+C45+C46+C47+C48+C49+C50</f>
        <v>262.775650982967</v>
      </c>
      <c r="D51" s="42" t="n">
        <f aca="false">D43+D45+D46+D47+D48+D49+D50</f>
        <v>299.917268311134</v>
      </c>
      <c r="E51" s="42" t="n">
        <f aca="false">E43+E45+E46+E47+E48+E49+E50</f>
        <v>353.184849116438</v>
      </c>
      <c r="F51" s="42" t="n">
        <f aca="false">F43+F45+F46+F47+F48+F49+F50</f>
        <v>405.018284806368</v>
      </c>
      <c r="G51" s="42" t="n">
        <f aca="false">G43+G45+G46+G47+G48+G49+G50</f>
        <v>453.911208455327</v>
      </c>
    </row>
    <row r="52" customFormat="false" ht="15" hidden="false" customHeight="false" outlineLevel="0" collapsed="false">
      <c r="A52" s="52" t="s">
        <v>1110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1111</v>
      </c>
      <c r="B53" s="11" t="s">
        <v>65</v>
      </c>
      <c r="C53" s="32" t="n">
        <f aca="false">輸入與假設!$C$291-(輸入與假設!$C$428+輸入與假設!$C$429+輸入與假設!$C$433+輸入與假設!$C$436-輸入與假設!$C$430-輸入與假設!$C$432-輸入與假設!$C$434-輸入與假設!$C$435-輸入與假設!$C$447-輸入與假設!$C$449)</f>
        <v>0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1112</v>
      </c>
    </row>
    <row r="54" customFormat="false" ht="15" hidden="false" customHeight="false" outlineLevel="1" collapsed="false">
      <c r="A54" s="2" t="s">
        <v>1113</v>
      </c>
      <c r="B54" s="11" t="s">
        <v>65</v>
      </c>
      <c r="C54" s="42" t="n">
        <f aca="false">C43-(C30-C27-C28)</f>
        <v>-37.538659286328</v>
      </c>
      <c r="D54" s="42" t="n">
        <f aca="false">D43-(D30-D27-D28)</f>
        <v>0</v>
      </c>
      <c r="E54" s="42" t="n">
        <f aca="false">E43-(E30-E27-E28)</f>
        <v>18.7600104482723</v>
      </c>
      <c r="F54" s="42" t="n">
        <f aca="false">F43-(F30-F27-F28)</f>
        <v>17.8804805366025</v>
      </c>
      <c r="G54" s="42" t="n">
        <f aca="false">G43-(G30-G27-G28)</f>
        <v>-34.1394909848749</v>
      </c>
      <c r="I54" s="6" t="s">
        <v>1114</v>
      </c>
    </row>
    <row r="55" customFormat="false" ht="15" hidden="false" customHeight="false" outlineLevel="1" collapsed="false">
      <c r="A55" s="3" t="s">
        <v>1115</v>
      </c>
      <c r="B55" s="11" t="s">
        <v>65</v>
      </c>
      <c r="C55" s="32" t="n">
        <f aca="false">C51-C30+C53</f>
        <v>-26.843</v>
      </c>
      <c r="D55" s="32" t="n">
        <f aca="false">D51-D30+D53</f>
        <v>0</v>
      </c>
      <c r="E55" s="32" t="n">
        <f aca="false">E51-E30+E53</f>
        <v>16.7590104482723</v>
      </c>
      <c r="F55" s="32" t="n">
        <f aca="false">F51-F30+F53</f>
        <v>17.8804805366025</v>
      </c>
      <c r="G55" s="32" t="n">
        <f aca="false">G51-G30+G53</f>
        <v>-34.6394909848749</v>
      </c>
    </row>
    <row r="56" customFormat="false" ht="15" hidden="false" customHeight="false" outlineLevel="1" collapsed="false">
      <c r="A56" s="2" t="s">
        <v>1116</v>
      </c>
      <c r="B56" s="11" t="s">
        <v>65</v>
      </c>
      <c r="C56" s="42" t="n">
        <f aca="false">C18+C55</f>
        <v>50</v>
      </c>
      <c r="D56" s="42" t="n">
        <f aca="false">D18+D55</f>
        <v>50</v>
      </c>
      <c r="E56" s="42" t="n">
        <f aca="false">E18+E55</f>
        <v>66.7590104482724</v>
      </c>
      <c r="F56" s="42" t="n">
        <f aca="false">F18+F55</f>
        <v>84.6394909848749</v>
      </c>
      <c r="G56" s="42" t="n">
        <f aca="false">G18+G55</f>
        <v>50</v>
      </c>
      <c r="I56" s="6" t="s">
        <v>1117</v>
      </c>
    </row>
    <row r="58" customFormat="false" ht="15" hidden="false" customHeight="false" outlineLevel="0" collapsed="false">
      <c r="A58" s="52" t="s">
        <v>1118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1119</v>
      </c>
      <c r="B59" s="11" t="s">
        <v>42</v>
      </c>
      <c r="C59" s="23" t="n">
        <v>0.043</v>
      </c>
      <c r="I59" s="11" t="s">
        <v>1120</v>
      </c>
    </row>
    <row r="60" customFormat="false" ht="15" hidden="false" customHeight="false" outlineLevel="1" collapsed="false">
      <c r="A60" s="3" t="s">
        <v>1121</v>
      </c>
      <c r="B60" s="6" t="s">
        <v>184</v>
      </c>
      <c r="C60" s="25" t="n">
        <v>10</v>
      </c>
      <c r="I60" s="6" t="s">
        <v>1122</v>
      </c>
    </row>
    <row r="61" customFormat="false" ht="15" hidden="false" customHeight="false" outlineLevel="1" collapsed="false">
      <c r="A61" s="3" t="s">
        <v>1123</v>
      </c>
      <c r="B61" s="11" t="s">
        <v>65</v>
      </c>
      <c r="C61" s="32" t="n">
        <f aca="false">輸入與假設!D$244*(1+各期收支!$C$59)^(-(運營_產能與收入!$D$51-運營_產能與收入!$D$7/2-運營_產能與收入!$C$51))+輸入與假設!E$244*(1+各期收支!$C$59)^(-(運營_產能與收入!$E$51-運營_產能與收入!$E$7/2-運營_產能與收入!$C$51))+輸入與假設!F$244*(1+各期收支!$C$59)^(-(運營_產能與收入!$F$51-運營_產能與收入!$F$7/2-運營_產能與收入!$C$51))+輸入與假設!G$244*(1+各期收支!$C$59)^(-(運營_產能與收入!$G$51-運營_產能與收入!$G$7/2-運營_產能與收入!$C$51))+61.706/各期收支!$C$60*(1+各期收支!$C$59)^0.5*(1-(1+各期收支!$C$59)^(-各期收支!$C$60))/各期收支!$C$59*(1+各期收支!$C$59)^(-(運營_產能與收入!$G$51-運營_產能與收入!$C$51))</f>
        <v>79.062969160792</v>
      </c>
      <c r="D61" s="32" t="n">
        <f aca="false">輸入與假設!E$244*(1+各期收支!$C$59)^(-(運營_產能與收入!$E$51-運營_產能與收入!$E$7/2-運營_產能與收入!$D$51))+輸入與假設!F$244*(1+各期收支!$C$59)^(-(運營_產能與收入!$F$51-運營_產能與收入!$F$7/2-運營_產能與收入!$D$51))+輸入與假設!G$244*(1+各期收支!$C$59)^(-(運營_產能與收入!$G$51-運營_產能與收入!$G$7/2-運營_產能與收入!$D$51))+61.706/各期收支!$C$60*(1+各期收支!$C$59)^0.5*(1-(1+各期收支!$C$59)^(-各期收支!$C$60))/各期收支!$C$59*(1+各期收支!$C$59)^(-(運營_產能與收入!$G$51-運營_產能與收入!$D$51))</f>
        <v>70.5873060820938</v>
      </c>
      <c r="E61" s="32" t="n">
        <f aca="false">輸入與假設!F$244*(1+各期收支!$C$59)^(-(運營_產能與收入!$F$51-運營_產能與收入!$F$7/2-運營_產能與收入!$E$51))+輸入與假設!G$244*(1+各期收支!$C$59)^(-(運營_產能與收入!$G$51-運營_產能與收入!$G$7/2-運營_產能與收入!$E$51))+61.706/各期收支!$C$60*(1+各期收支!$C$59)^0.5*(1-(1+各期收支!$C$59)^(-各期收支!$C$60))/各期收支!$C$59*(1+各期收支!$C$59)^(-(運營_產能與收入!$G$51-運營_產能與收入!$E$51))</f>
        <v>63.5997800091778</v>
      </c>
      <c r="F61" s="32" t="n">
        <f aca="false">輸入與假設!G$244*(1+各期收支!$C$59)^(-(運營_產能與收入!$G$51-運營_產能與收入!$G$7/2-運營_產能與收入!$F$51))+61.706/各期收支!$C$60*(1+各期收支!$C$59)^0.5*(1-(1+各期收支!$C$59)^(-各期收支!$C$60))/各期收支!$C$59*(1+各期收支!$C$59)^(-(運營_產能與收入!$G$51-運營_產能與收入!$F$51))</f>
        <v>56.9572353027126</v>
      </c>
      <c r="G61" s="32" t="n">
        <f aca="false">61.706/各期收支!$C$60*(1+各期收支!$C$59)^0.5*(1-(1+各期收支!$C$59)^(-各期收支!$C$60))/各期收支!$C$59*(1+各期收支!$C$59)^(-(運營_產能與收入!$G$51-運營_產能與收入!$G$51))</f>
        <v>50.3589325836642</v>
      </c>
      <c r="I61" s="6" t="s">
        <v>1124</v>
      </c>
    </row>
    <row r="62" customFormat="false" ht="15" hidden="false" customHeight="false" outlineLevel="1" collapsed="false">
      <c r="A62" s="3" t="s">
        <v>1125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$245-(輸入與假設!$C$20)),輸入與假設!$C$21)-(1+各期收支!$C$59)^(-(4*輸入與假設!$C$22-MAX(0,輸入與假設!C$245-(輸入與假設!$C$20)))/4)*(1-(1+各期收支!$C$59)^(-MIN(MAX(0,輸入與假設!C$245-(輸入與假設!$C$20)),輸入與假設!$C$21)/4))/(1-(1+各期收支!$C$59)^(-0.25))),(1-運營_產能與收入!$C$56)*輸入與假設!$C$19/輸入與假設!$C$21/輸入與假設!$C$22/4/((1+各期收支!$C$59)^0.25-1)*(MIN(MAX(0,輸入與假設!C$245-(輸入與假設!$C$20)),輸入與假設!$C$21)-(1+各期收支!$C$59)^(-(4*輸入與假設!$C$22-MAX(0,輸入與假設!C$245-(輸入與假設!$C$20)))/4)*(1-(1+各期收支!$C$59)^(-MIN(MAX(0,輸入與假設!C$245-(輸入與假設!$C$20)),輸入與假設!$C$21)/4))/(1-(1+各期收支!$C$59)^(-0.25)))+運營_產能與收入!$C$56*輸入與假設!$C$19/輸入與假設!$C$21/輸入與假設!$C$22/4/((1+各期收支!$C$59)^0.25-1)*(MIN(MAX(0,輸入與假設!C$245-(輸入與假設!$C$20+運營_產能與收入!$C$50/3)),輸入與假設!$C$21)-(1+各期收支!$C$59)^(-(4*輸入與假設!$C$22-MAX(0,輸入與假設!C$245-(輸入與假設!$C$20+運營_產能與收入!$C$50/3)))/4)*(1-(1+各期收支!$C$59)^(-MIN(MAX(0,輸入與假設!C$245-(輸入與假設!$C$20+運營_產能與收入!$C$50/3)),輸入與假設!$C$21)/4))/(1-(1+各期收支!$C$59)^(-0.25))))</f>
        <v>58.8369458874499</v>
      </c>
      <c r="D62" s="32" t="n">
        <f aca="false">IF(OR(運營_產能與收入!$C$50&lt;=0,運營_產能與收入!$C$56&lt;=0),1*輸入與假設!$C$19/輸入與假設!$C$21/輸入與假設!$C$22/4/((1+各期收支!$C$59)^0.25-1)*(MIN(MAX(0,輸入與假設!D$245-(輸入與假設!$C$20)),輸入與假設!$C$21)-(1+各期收支!$C$59)^(-(4*輸入與假設!$C$22-MAX(0,輸入與假設!D$245-(輸入與假設!$C$20)))/4)*(1-(1+各期收支!$C$59)^(-MIN(MAX(0,輸入與假設!D$245-(輸入與假設!$C$20)),輸入與假設!$C$21)/4))/(1-(1+各期收支!$C$59)^(-0.25))),(1-運營_產能與收入!$C$56)*輸入與假設!$C$19/輸入與假設!$C$21/輸入與假設!$C$22/4/((1+各期收支!$C$59)^0.25-1)*(MIN(MAX(0,輸入與假設!D$245-(輸入與假設!$C$20)),輸入與假設!$C$21)-(1+各期收支!$C$59)^(-(4*輸入與假設!$C$22-MAX(0,輸入與假設!D$245-(輸入與假設!$C$20)))/4)*(1-(1+各期收支!$C$59)^(-MIN(MAX(0,輸入與假設!D$245-(輸入與假設!$C$20)),輸入與假設!$C$21)/4))/(1-(1+各期收支!$C$59)^(-0.25)))+運營_產能與收入!$C$56*輸入與假設!$C$19/輸入與假設!$C$21/輸入與假設!$C$22/4/((1+各期收支!$C$59)^0.25-1)*(MIN(MAX(0,輸入與假設!D$245-(輸入與假設!$C$20+運營_產能與收入!$C$50/3)),輸入與假設!$C$21)-(1+各期收支!$C$59)^(-(4*輸入與假設!$C$22-MAX(0,輸入與假設!D$245-(輸入與假設!$C$20+運營_產能與收入!$C$50/3)))/4)*(1-(1+各期收支!$C$59)^(-MIN(MAX(0,輸入與假設!D$245-(輸入與假設!$C$20+運營_產能與收入!$C$50/3)),輸入與假設!$C$21)/4))/(1-(1+各期收支!$C$59)^(-0.25))))</f>
        <v>114.631210562217</v>
      </c>
      <c r="E62" s="32" t="n">
        <f aca="false">IF(OR(運營_產能與收入!$C$50&lt;=0,運營_產能與收入!$C$56&lt;=0),1*輸入與假設!$C$19/輸入與假設!$C$21/輸入與假設!$C$22/4/((1+各期收支!$C$59)^0.25-1)*(MIN(MAX(0,輸入與假設!E$245-(輸入與假設!$C$20)),輸入與假設!$C$21)-(1+各期收支!$C$59)^(-(4*輸入與假設!$C$22-MAX(0,輸入與假設!E$245-(輸入與假設!$C$20)))/4)*(1-(1+各期收支!$C$59)^(-MIN(MAX(0,輸入與假設!E$245-(輸入與假設!$C$20)),輸入與假設!$C$21)/4))/(1-(1+各期收支!$C$59)^(-0.25))),(1-運營_產能與收入!$C$56)*輸入與假設!$C$19/輸入與假設!$C$21/輸入與假設!$C$22/4/((1+各期收支!$C$59)^0.25-1)*(MIN(MAX(0,輸入與假設!E$245-(輸入與假設!$C$20)),輸入與假設!$C$21)-(1+各期收支!$C$59)^(-(4*輸入與假設!$C$22-MAX(0,輸入與假設!E$245-(輸入與假設!$C$20)))/4)*(1-(1+各期收支!$C$59)^(-MIN(MAX(0,輸入與假設!E$245-(輸入與假設!$C$20)),輸入與假設!$C$21)/4))/(1-(1+各期收支!$C$59)^(-0.25)))+運營_產能與收入!$C$56*輸入與假設!$C$19/輸入與假設!$C$21/輸入與假設!$C$22/4/((1+各期收支!$C$59)^0.25-1)*(MIN(MAX(0,輸入與假設!E$245-(輸入與假設!$C$20+運營_產能與收入!$C$50/3)),輸入與假設!$C$21)-(1+各期收支!$C$59)^(-(4*輸入與假設!$C$22-MAX(0,輸入與假設!E$245-(輸入與假設!$C$20+運營_產能與收入!$C$50/3)))/4)*(1-(1+各期收支!$C$59)^(-MIN(MAX(0,輸入與假設!E$245-(輸入與假設!$C$20+運營_產能與收入!$C$50/3)),輸入與假設!$C$21)/4))/(1-(1+各期收支!$C$59)^(-0.25))))</f>
        <v>167.251958732155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$245-(輸入與假設!$C$20)),輸入與假設!$C$21)-(1+各期收支!$C$59)^(-(4*輸入與假設!$C$22-MAX(0,輸入與假設!F$245-(輸入與假設!$C$20)))/4)*(1-(1+各期收支!$C$59)^(-MIN(MAX(0,輸入與假設!F$245-(輸入與假設!$C$20)),輸入與假設!$C$21)/4))/(1-(1+各期收支!$C$59)^(-0.25))),(1-運營_產能與收入!$C$56)*輸入與假設!$C$19/輸入與假設!$C$21/輸入與假設!$C$22/4/((1+各期收支!$C$59)^0.25-1)*(MIN(MAX(0,輸入與假設!F$245-(輸入與假設!$C$20)),輸入與假設!$C$21)-(1+各期收支!$C$59)^(-(4*輸入與假設!$C$22-MAX(0,輸入與假設!F$245-(輸入與假設!$C$20)))/4)*(1-(1+各期收支!$C$59)^(-MIN(MAX(0,輸入與假設!F$245-(輸入與假設!$C$20)),輸入與假設!$C$21)/4))/(1-(1+各期收支!$C$59)^(-0.25)))+運營_產能與收入!$C$56*輸入與假設!$C$19/輸入與假設!$C$21/輸入與假設!$C$22/4/((1+各期收支!$C$59)^0.25-1)*(MIN(MAX(0,輸入與假設!F$245-(輸入與假設!$C$20+運營_產能與收入!$C$50/3)),輸入與假設!$C$21)-(1+各期收支!$C$59)^(-(4*輸入與假設!$C$22-MAX(0,輸入與假設!F$245-(輸入與假設!$C$20+運營_產能與收入!$C$50/3)))/4)*(1-(1+各期收支!$C$59)^(-MIN(MAX(0,輸入與假設!F$245-(輸入與假設!$C$20+運營_產能與收入!$C$50/3)),輸入與假設!$C$21)/4))/(1-(1+各期收支!$C$59)^(-0.25))))</f>
        <v>216.562729187558</v>
      </c>
      <c r="G62" s="32" t="n">
        <f aca="false">IF(OR(運營_產能與收入!$C$50&lt;=0,運營_產能與收入!$C$56&lt;=0),1*輸入與假設!$C$19/輸入與假設!$C$21/輸入與假設!$C$22/4/((1+各期收支!$C$59)^0.25-1)*(MIN(MAX(0,輸入與假設!G$245-(輸入與假設!$C$20)),輸入與假設!$C$21)-(1+各期收支!$C$59)^(-(4*輸入與假設!$C$22-MAX(0,輸入與假設!G$245-(輸入與假設!$C$20)))/4)*(1-(1+各期收支!$C$59)^(-MIN(MAX(0,輸入與假設!G$245-(輸入與假設!$C$20)),輸入與假設!$C$21)/4))/(1-(1+各期收支!$C$59)^(-0.25))),(1-運營_產能與收入!$C$56)*輸入與假設!$C$19/輸入與假設!$C$21/輸入與假設!$C$22/4/((1+各期收支!$C$59)^0.25-1)*(MIN(MAX(0,輸入與假設!G$245-(輸入與假設!$C$20)),輸入與假設!$C$21)-(1+各期收支!$C$59)^(-(4*輸入與假設!$C$22-MAX(0,輸入與假設!G$245-(輸入與假設!$C$20)))/4)*(1-(1+各期收支!$C$59)^(-MIN(MAX(0,輸入與假設!G$245-(輸入與假設!$C$20)),輸入與假設!$C$21)/4))/(1-(1+各期收支!$C$59)^(-0.25)))+運營_產能與收入!$C$56*輸入與假設!$C$19/輸入與假設!$C$21/輸入與假設!$C$22/4/((1+各期收支!$C$59)^0.25-1)*(MIN(MAX(0,輸入與假設!G$245-(輸入與假設!$C$20+運營_產能與收入!$C$50/3)),輸入與假設!$C$21)-(1+各期收支!$C$59)^(-(4*輸入與假設!$C$22-MAX(0,輸入與假設!G$245-(輸入與假設!$C$20+運營_產能與收入!$C$50/3)))/4)*(1-(1+各期收支!$C$59)^(-MIN(MAX(0,輸入與假設!G$245-(輸入與假設!$C$20+運營_產能與收入!$C$50/3)),輸入與假設!$C$21)/4))/(1-(1+各期收支!$C$59)^(-0.25))))</f>
        <v>203.58424699925</v>
      </c>
      <c r="I62" s="6" t="s">
        <v>1126</v>
      </c>
    </row>
    <row r="63" customFormat="false" ht="15" hidden="false" customHeight="false" outlineLevel="1" collapsed="false">
      <c r="A63" s="2" t="s">
        <v>1127</v>
      </c>
      <c r="B63" s="11" t="s">
        <v>65</v>
      </c>
      <c r="C63" s="42" t="n">
        <f aca="false">C61+C62</f>
        <v>137.899915048242</v>
      </c>
      <c r="D63" s="42" t="n">
        <f aca="false">D61+D62</f>
        <v>185.218516644311</v>
      </c>
      <c r="E63" s="42" t="n">
        <f aca="false">E61+E62</f>
        <v>230.851738741333</v>
      </c>
      <c r="F63" s="42" t="n">
        <f aca="false">F61+F62</f>
        <v>273.519964490271</v>
      </c>
      <c r="G63" s="42" t="n">
        <f aca="false">G61+G62</f>
        <v>253.943179582914</v>
      </c>
    </row>
    <row r="65" customFormat="false" ht="15" hidden="false" customHeight="false" outlineLevel="0" collapsed="false">
      <c r="A65" s="52" t="s">
        <v>1128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1129</v>
      </c>
      <c r="B66" s="11" t="s">
        <v>65</v>
      </c>
      <c r="C66" s="32" t="n">
        <f aca="false">C13+C16+C17+C22+C25+C26+C27+C28+C29+C23</f>
        <v>288.62136801865</v>
      </c>
      <c r="D66" s="32" t="n">
        <f aca="false">D13+D16+D17+D22+D25+D26+D27+D28+D29+D23</f>
        <v>298.099265243468</v>
      </c>
      <c r="E66" s="32" t="n">
        <f aca="false">E13+E16+E17+E22+E25+E26+E27+E28+E29+E23</f>
        <v>313.157555703849</v>
      </c>
      <c r="F66" s="32" t="n">
        <f aca="false">F13+F16+F17+F22+F25+F26+F27+F28+F29+F23</f>
        <v>363.869521305449</v>
      </c>
      <c r="G66" s="32" t="n">
        <f aca="false">G13+G16+G17+G22+G25+G26+G27+G28+G29+G23</f>
        <v>478.017567489619</v>
      </c>
      <c r="I66" s="6" t="s">
        <v>1130</v>
      </c>
    </row>
    <row r="67" customFormat="false" ht="15" hidden="false" customHeight="false" outlineLevel="1" collapsed="false">
      <c r="A67" s="3" t="s">
        <v>1131</v>
      </c>
      <c r="B67" s="11" t="s">
        <v>65</v>
      </c>
      <c r="C67" s="32" t="n">
        <f aca="false">0</f>
        <v>0</v>
      </c>
      <c r="D67" s="32" t="n">
        <f aca="false">C98</f>
        <v>19.945659286328</v>
      </c>
      <c r="E67" s="32" t="n">
        <f aca="false">D98</f>
        <v>19.945659286328</v>
      </c>
      <c r="F67" s="32" t="n">
        <f aca="false">E98</f>
        <v>19.945659286328</v>
      </c>
      <c r="G67" s="32" t="n">
        <f aca="false">F98</f>
        <v>19.945659286328</v>
      </c>
    </row>
    <row r="68" customFormat="false" ht="15" hidden="false" customHeight="false" outlineLevel="1" collapsed="false">
      <c r="A68" s="3" t="s">
        <v>1132</v>
      </c>
      <c r="B68" s="11" t="s">
        <v>42</v>
      </c>
      <c r="C68" s="54" t="n">
        <f aca="false">C19*運營_產能與收入!C7</f>
        <v>0.05</v>
      </c>
      <c r="D68" s="54" t="n">
        <f aca="false">D19*運營_產能與收入!D7</f>
        <v>0.05</v>
      </c>
      <c r="E68" s="54" t="n">
        <f aca="false">E19*運營_產能與收入!E7</f>
        <v>0.05</v>
      </c>
      <c r="F68" s="54" t="n">
        <f aca="false">F19*運營_產能與收入!F7</f>
        <v>0.05</v>
      </c>
      <c r="G68" s="54" t="n">
        <f aca="false">G19*運營_產能與收入!G7</f>
        <v>0.05</v>
      </c>
    </row>
    <row r="69" customFormat="false" ht="15" hidden="false" customHeight="false" outlineLevel="1" collapsed="false">
      <c r="A69" s="3" t="s">
        <v>1133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1134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1135</v>
      </c>
      <c r="B71" s="11" t="s">
        <v>42</v>
      </c>
      <c r="C71" s="54" t="n">
        <f aca="false">輸入與假設!$C$315*運營_產能與收入!C7</f>
        <v>0</v>
      </c>
      <c r="D71" s="54" t="n">
        <f aca="false">輸入與假設!$C$315*運營_產能與收入!D7</f>
        <v>0</v>
      </c>
      <c r="E71" s="54" t="n">
        <f aca="false">輸入與假設!$C$315*運營_產能與收入!E7</f>
        <v>0</v>
      </c>
      <c r="F71" s="54" t="n">
        <f aca="false">輸入與假設!$C$315*運營_產能與收入!F7</f>
        <v>0</v>
      </c>
      <c r="G71" s="54" t="n">
        <f aca="false">輸入與假設!$C$315*運營_產能與收入!G7</f>
        <v>0</v>
      </c>
    </row>
    <row r="72" customFormat="false" ht="15" hidden="false" customHeight="false" outlineLevel="1" collapsed="false">
      <c r="A72" s="3" t="s">
        <v>1136</v>
      </c>
      <c r="B72" s="11" t="s">
        <v>42</v>
      </c>
      <c r="C72" s="54" t="n">
        <f aca="false">(輸入與假設!$C$317+IF(輸入與假設!$C$320=1,MAX(0,輸入與假設!$C$319-輸入與假設!$C$321)/10000*輸入與假設!$C$322,0))*運營_產能與收入!C7</f>
        <v>0.12</v>
      </c>
      <c r="D72" s="54" t="n">
        <f aca="false">(輸入與假設!$C$317+IF(輸入與假設!$C$320=1,MAX(0,輸入與假設!$C$319-輸入與假設!$C$321)/10000*輸入與假設!$C$322,0))*運營_產能與收入!D7</f>
        <v>0.12</v>
      </c>
      <c r="E72" s="54" t="n">
        <f aca="false">(輸入與假設!$C$317+IF(輸入與假設!$C$320=1,MAX(0,輸入與假設!$C$319-輸入與假設!$C$321)/10000*輸入與假設!$C$322,0))*運營_產能與收入!E7</f>
        <v>0.12</v>
      </c>
      <c r="F72" s="54" t="n">
        <f aca="false">(輸入與假設!$C$317+IF(輸入與假設!$C$320=1,MAX(0,輸入與假設!$C$319-輸入與假設!$C$321)/10000*輸入與假設!$C$322,0))*運營_產能與收入!F7</f>
        <v>0.12</v>
      </c>
      <c r="G72" s="54" t="n">
        <f aca="false">(輸入與假設!$C$317+IF(輸入與假設!$C$320=1,MAX(0,輸入與假設!$C$319-輸入與假設!$C$321)/10000*輸入與假設!$C$322,0))*運營_產能與收入!G7</f>
        <v>0.12</v>
      </c>
    </row>
    <row r="73" customFormat="false" ht="15" hidden="false" customHeight="false" outlineLevel="1" collapsed="false">
      <c r="A73" s="3" t="s">
        <v>1137</v>
      </c>
      <c r="B73" s="11" t="s">
        <v>65</v>
      </c>
      <c r="C73" s="32" t="n">
        <f aca="false">C18+C43+C45+C46+C53-C66-C68*C67-C72*C69-C71*C70</f>
        <v>31.0516236779884</v>
      </c>
      <c r="D73" s="32" t="n">
        <f aca="false">D18+D43+D45+D46+D53-D66-D68*D67-D72*D69-D71*D70</f>
        <v>50.8207201033499</v>
      </c>
      <c r="E73" s="32" t="n">
        <f aca="false">E18+E43+E45+E46+E53-E66-E68*E67-E72*E69-E71*E70</f>
        <v>89.0300104482723</v>
      </c>
      <c r="F73" s="32" t="n">
        <f aca="false">F18+F43+F45+F46+F53-F66-F68*F67-F72*F69-F71*F70</f>
        <v>106.910490984875</v>
      </c>
      <c r="G73" s="32" t="n">
        <f aca="false">G18+G43+G45+G46+G53-G66-G68*G67-G72*G69-G71*G70</f>
        <v>59.535848986266</v>
      </c>
    </row>
    <row r="74" customFormat="false" ht="15" hidden="false" customHeight="false" outlineLevel="1" collapsed="false">
      <c r="A74" s="2" t="s">
        <v>1138</v>
      </c>
      <c r="B74" s="11" t="s">
        <v>65</v>
      </c>
      <c r="C74" s="42" t="n">
        <f aca="false">MAX(0,輸入與假設!$C$304-(C73-C76))</f>
        <v>18.9483763220116</v>
      </c>
      <c r="D74" s="42" t="n">
        <f aca="false">MAX(0,輸入與假設!$C$304-(D73-D76))</f>
        <v>0</v>
      </c>
      <c r="E74" s="42" t="n">
        <f aca="false">MAX(0,輸入與假設!$C$304-(E73-E76))</f>
        <v>0</v>
      </c>
      <c r="F74" s="42" t="n">
        <f aca="false">MAX(0,輸入與假設!$C$304-(F73-F76))</f>
        <v>0</v>
      </c>
      <c r="G74" s="42" t="n">
        <f aca="false">MAX(0,輸入與假設!$C$304-(G73-G76))</f>
        <v>0</v>
      </c>
      <c r="I74" s="6" t="s">
        <v>1139</v>
      </c>
    </row>
    <row r="75" customFormat="false" ht="15" hidden="false" customHeight="false" outlineLevel="1" collapsed="false">
      <c r="A75" s="3" t="s">
        <v>1140</v>
      </c>
      <c r="B75" s="11" t="s">
        <v>65</v>
      </c>
      <c r="C75" s="32" t="n">
        <f aca="false">輸入與假設!$C$305*運營_產能與收入!C7</f>
        <v>22.271</v>
      </c>
      <c r="D75" s="32" t="n">
        <f aca="false">輸入與假設!$C$305*運營_產能與收入!D7</f>
        <v>22.271</v>
      </c>
      <c r="E75" s="32" t="n">
        <f aca="false">輸入與假設!$C$305*運營_產能與收入!E7</f>
        <v>22.271</v>
      </c>
      <c r="F75" s="32" t="n">
        <f aca="false">輸入與假設!$C$305*運營_產能與收入!F7</f>
        <v>22.271</v>
      </c>
      <c r="G75" s="32" t="n">
        <f aca="false">輸入與假設!$C$305*運營_產能與收入!G7</f>
        <v>22.271</v>
      </c>
      <c r="I75" s="11" t="s">
        <v>1141</v>
      </c>
    </row>
    <row r="76" customFormat="false" ht="15" hidden="false" customHeight="false" outlineLevel="1" collapsed="false">
      <c r="A76" s="2" t="s">
        <v>1142</v>
      </c>
      <c r="B76" s="11" t="s">
        <v>65</v>
      </c>
      <c r="C76" s="42" t="n">
        <f aca="false">MIN(C75,MAX(C75*輸入與假設!$C$306,C73-輸入與假設!$C$304))</f>
        <v>0</v>
      </c>
      <c r="D76" s="42" t="n">
        <f aca="false">MIN(D75,MAX(D75*輸入與假設!$C$306,D73-輸入與假設!$C$304))</f>
        <v>0.820720103349871</v>
      </c>
      <c r="E76" s="42" t="n">
        <f aca="false">MIN(E75,MAX(E75*輸入與假設!$C$306,E73-輸入與假設!$C$304))</f>
        <v>22.271</v>
      </c>
      <c r="F76" s="42" t="n">
        <f aca="false">MIN(F75,MAX(F75*輸入與假設!$C$306,F73-輸入與假設!$C$304))</f>
        <v>22.271</v>
      </c>
      <c r="G76" s="42" t="n">
        <f aca="false">MIN(G75,MAX(G75*輸入與假設!$C$306,G73-輸入與假設!$C$304))</f>
        <v>9.535848986266</v>
      </c>
      <c r="I76" s="6" t="s">
        <v>1143</v>
      </c>
    </row>
    <row r="77" customFormat="false" ht="15" hidden="false" customHeight="false" outlineLevel="1" collapsed="false">
      <c r="A77" s="3" t="s">
        <v>1144</v>
      </c>
      <c r="B77" s="11" t="s">
        <v>65</v>
      </c>
      <c r="C77" s="32" t="n">
        <f aca="false">C75-C76</f>
        <v>22.271</v>
      </c>
      <c r="D77" s="32" t="n">
        <f aca="false">D75-D76</f>
        <v>21.4502798966501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12.735151013734</v>
      </c>
      <c r="I77" s="6" t="s">
        <v>1145</v>
      </c>
    </row>
    <row r="78" customFormat="false" ht="15" hidden="false" customHeight="false" outlineLevel="1" collapsed="false">
      <c r="A78" s="3" t="s">
        <v>1146</v>
      </c>
      <c r="B78" s="11" t="s">
        <v>642</v>
      </c>
      <c r="C78" s="31" t="n">
        <f aca="false">C76/MAX(0.01,輸入與假設!$C$307)</f>
        <v>0</v>
      </c>
      <c r="D78" s="31" t="n">
        <f aca="false">D76/MAX(0.01,輸入與假設!$C$307)</f>
        <v>0.00154923003501561</v>
      </c>
      <c r="E78" s="31" t="n">
        <f aca="false">E76/MAX(0.01,輸入與假設!$C$307)</f>
        <v>0.0420397916037451</v>
      </c>
      <c r="F78" s="31" t="n">
        <f aca="false">F76/MAX(0.01,輸入與假設!$C$307)</f>
        <v>0.0420397916037451</v>
      </c>
      <c r="G78" s="31" t="n">
        <f aca="false">G76/MAX(0.01,輸入與假設!$C$307)</f>
        <v>0.018000318986458</v>
      </c>
      <c r="I78" s="6" t="s">
        <v>1147</v>
      </c>
    </row>
    <row r="79" customFormat="false" ht="15" hidden="false" customHeight="false" outlineLevel="1" collapsed="false">
      <c r="A79" s="3" t="s">
        <v>1148</v>
      </c>
      <c r="B79" s="11" t="s">
        <v>65</v>
      </c>
      <c r="C79" s="32" t="n">
        <f aca="false">輸入與假設!$C$24+輸入與假設!$C$25</f>
        <v>0</v>
      </c>
      <c r="D79" s="32" t="n">
        <f aca="false">C81</f>
        <v>107.50193318475</v>
      </c>
      <c r="E79" s="32" t="n">
        <f aca="false">D81</f>
        <v>115.709765116729</v>
      </c>
      <c r="F79" s="32" t="n">
        <f aca="false">E81</f>
        <v>93.3866617385271</v>
      </c>
      <c r="G79" s="32" t="n">
        <f aca="false">F81</f>
        <v>40.0461999639969</v>
      </c>
      <c r="I79" s="11" t="s">
        <v>1149</v>
      </c>
    </row>
    <row r="80" customFormat="false" ht="15" hidden="false" customHeight="false" outlineLevel="1" collapsed="false">
      <c r="A80" s="3" t="s">
        <v>1150</v>
      </c>
      <c r="B80" s="11" t="s">
        <v>65</v>
      </c>
      <c r="C80" s="32" t="n">
        <f aca="false">MAX(0,運營_產能與收入!C24/運營_產能與收入!C7-0)*輸入與假設!$C$300</f>
        <v>161.252899777125</v>
      </c>
      <c r="D80" s="32" t="n">
        <f aca="false">MAX(0,運營_產能與收入!D24/運營_產能與收入!D7-運營_產能與收入!C24/運營_產能與收入!C7)*輸入與假設!$C$300</f>
        <v>92.9381977865316</v>
      </c>
      <c r="E80" s="32" t="n">
        <f aca="false">MAX(0,運營_產能與收入!E24/運營_產能與收入!E7-運營_產能與收入!D24/運營_產能與收入!D7)*輸入與假設!$C$300</f>
        <v>93.6108937145249</v>
      </c>
      <c r="F80" s="32" t="n">
        <f aca="false">MAX(0,運營_產能與收入!F24/運營_產能與收入!F7-運營_產能與收入!E24/運營_產能與收入!E7)*輸入與假設!$C$300</f>
        <v>93.8903029772952</v>
      </c>
      <c r="G80" s="32" t="n">
        <f aca="false">MAX(0,運營_產能與收入!G24/運營_產能與收入!G7-運營_產能與收入!F24/運營_產能與收入!F7)*輸入與假設!$C$300</f>
        <v>94.0289197288892</v>
      </c>
    </row>
    <row r="81" customFormat="false" ht="15" hidden="false" customHeight="false" outlineLevel="1" collapsed="false">
      <c r="A81" s="3" t="s">
        <v>1151</v>
      </c>
      <c r="B81" s="11" t="s">
        <v>65</v>
      </c>
      <c r="C81" s="32" t="n">
        <f aca="false">C79-運營_產能與收入!C18-運營_產能與收入!C24+C80</f>
        <v>107.50193318475</v>
      </c>
      <c r="D81" s="32" t="n">
        <f aca="false">D79-運營_產能與收入!D18-運營_產能與收入!D24+D80</f>
        <v>115.709765116729</v>
      </c>
      <c r="E81" s="32" t="n">
        <f aca="false">E79-運營_產能與收入!E18-運營_產能與收入!E24+E80</f>
        <v>93.3866617385271</v>
      </c>
      <c r="F81" s="32" t="n">
        <f aca="false">F79-運營_產能與收入!F18-運營_產能與收入!F24+F80</f>
        <v>40.0461999639969</v>
      </c>
      <c r="G81" s="32" t="n">
        <f aca="false">G79-運營_產能與收入!G18-運營_產能與收入!G24+G80</f>
        <v>-44.4986183019024</v>
      </c>
      <c r="I81" s="6" t="s">
        <v>1152</v>
      </c>
    </row>
    <row r="82" customFormat="false" ht="15" hidden="false" customHeight="false" outlineLevel="1" collapsed="false">
      <c r="A82" s="3" t="s">
        <v>1153</v>
      </c>
      <c r="B82" s="11" t="s">
        <v>65</v>
      </c>
      <c r="C82" s="32" t="n">
        <f aca="false">IF(輸入與假設!$C$296=1,資產負債_既有債務!C36,資產負債_既有債務!$E$18)+資產負債_既有債務!$E$21+資產負債_既有債務!C41</f>
        <v>36.886</v>
      </c>
      <c r="D82" s="32" t="n">
        <f aca="false">IF(輸入與假設!$C$296=1,資產負債_既有債務!D36,資產負債_既有債務!$E$18)+資產負債_既有債務!$E$21+資產負債_既有債務!D41</f>
        <v>36.886</v>
      </c>
      <c r="E82" s="32" t="n">
        <f aca="false">IF(輸入與假設!$C$296=1,資產負債_既有債務!E36,資產負債_既有債務!$E$18)+資產負債_既有債務!$E$21+資產負債_既有債務!E41</f>
        <v>34.885</v>
      </c>
      <c r="F82" s="32" t="n">
        <f aca="false">IF(輸入與假設!$C$296=1,資產負債_既有債務!F36,資產負債_既有債務!$E$18)+資產負債_既有債務!$E$21+資產負債_既有債務!F41</f>
        <v>34.885</v>
      </c>
      <c r="G82" s="32" t="n">
        <f aca="false">IF(輸入與假設!$C$296=1,資產負債_既有債務!G36,資產負債_既有債務!$E$18)+資產負債_既有債務!$E$21+資產負債_既有債務!G41</f>
        <v>34.385</v>
      </c>
      <c r="I82" s="6" t="s">
        <v>1154</v>
      </c>
    </row>
    <row r="83" customFormat="false" ht="15" hidden="false" customHeight="false" outlineLevel="1" collapsed="false">
      <c r="A83" s="3" t="s">
        <v>1155</v>
      </c>
      <c r="B83" s="11" t="s">
        <v>65</v>
      </c>
      <c r="C83" s="32" t="n">
        <f aca="false">IF(輸入與假設!$C$298="leaseAdj",輸入與假設!$C$299*(損益!C22+C16)/運營_產能與收入!C7-C63,IF(輸入與假設!$C$298="ebitda",輸入與假設!$C$299*損益!C22/運營_產能與收入!C7,輸入與假設!$C$297*C81))</f>
        <v>584.636028559435</v>
      </c>
      <c r="D83" s="32" t="n">
        <f aca="false">IF(輸入與假設!$C$298="leaseAdj",輸入與假設!$C$299*(損益!D22+D16)/運營_產能與收入!D7-D63,IF(輸入與假設!$C$298="ebitda",輸入與假設!$C$299*損益!D22/運營_產能與收入!D7,輸入與假設!$C$297*D81))</f>
        <v>690.230364642696</v>
      </c>
      <c r="E83" s="32" t="n">
        <f aca="false">IF(輸入與假設!$C$298="leaseAdj",輸入與假設!$C$299*(損益!E22+E16)/運營_產能與收入!E7-E63,IF(輸入與假設!$C$298="ebitda",輸入與假設!$C$299*損益!E22/運營_產能與收入!E7,輸入與假設!$C$297*E81))</f>
        <v>798.323893652752</v>
      </c>
      <c r="F83" s="32" t="n">
        <f aca="false">IF(輸入與假設!$C$298="leaseAdj",輸入與假設!$C$299*(損益!F22+F16)/運營_產能與收入!F7-F63,IF(輸入與假設!$C$298="ebitda",輸入與假設!$C$299*損益!F22/運營_產能與收入!F7,輸入與假設!$C$297*F81))</f>
        <v>906.925326838978</v>
      </c>
      <c r="G83" s="32" t="n">
        <f aca="false">IF(輸入與假設!$C$298="leaseAdj",輸入與假設!$C$299*(損益!G22+G16)/運營_產能與收入!G7-G63,IF(輸入與假設!$C$298="ebitda",輸入與假設!$C$299*損益!G22/運營_產能與收入!G7,輸入與假設!$C$297*G81))</f>
        <v>1067.13144075347</v>
      </c>
      <c r="I83" s="11" t="s">
        <v>1156</v>
      </c>
    </row>
    <row r="84" customFormat="false" ht="15" hidden="false" customHeight="false" outlineLevel="1" collapsed="false">
      <c r="A84" s="3" t="s">
        <v>1157</v>
      </c>
      <c r="B84" s="11" t="s">
        <v>65</v>
      </c>
      <c r="C84" s="32" t="n">
        <f aca="false">IF(輸入與假設!$C$295=1,輸入與假設!$C$294,0)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1158</v>
      </c>
      <c r="B85" s="11" t="s">
        <v>65</v>
      </c>
      <c r="C85" s="32" t="n">
        <f aca="false">MAX(0,C83-(C82+C67+C70),C84)</f>
        <v>547.750028559436</v>
      </c>
      <c r="D85" s="32" t="n">
        <f aca="false">MAX(0,D83-(D82+D67+D70),D84)</f>
        <v>633.398705356368</v>
      </c>
      <c r="E85" s="32" t="n">
        <f aca="false">MAX(0,E83-(E82+E67+E70),E84)</f>
        <v>743.493234366424</v>
      </c>
      <c r="F85" s="32" t="n">
        <f aca="false">MAX(0,F83-(F82+F67+F70),F84)</f>
        <v>852.09466755265</v>
      </c>
      <c r="G85" s="32" t="n">
        <f aca="false">MAX(0,G83-(G82+G67+G70),G84)</f>
        <v>1012.80078146715</v>
      </c>
      <c r="I85" s="6" t="s">
        <v>1159</v>
      </c>
    </row>
    <row r="86" customFormat="false" ht="15" hidden="false" customHeight="false" outlineLevel="1" collapsed="false">
      <c r="A86" s="2" t="s">
        <v>1160</v>
      </c>
      <c r="B86" s="11" t="s">
        <v>65</v>
      </c>
      <c r="C86" s="42" t="n">
        <f aca="false">MIN(C85,C74/(1-C68))</f>
        <v>19.945659286328</v>
      </c>
      <c r="D86" s="42" t="n">
        <f aca="false">MIN(D85,D74/(1-D68))</f>
        <v>0</v>
      </c>
      <c r="E86" s="42" t="n">
        <f aca="false">MIN(E85,E74/(1-E68))</f>
        <v>0</v>
      </c>
      <c r="F86" s="42" t="n">
        <f aca="false">MIN(F85,F74/(1-F68))</f>
        <v>0</v>
      </c>
      <c r="G86" s="42" t="n">
        <f aca="false">MIN(G85,G74/(1-G68))</f>
        <v>0</v>
      </c>
      <c r="I86" s="6" t="s">
        <v>1161</v>
      </c>
    </row>
    <row r="87" customFormat="false" ht="15" hidden="false" customHeight="false" outlineLevel="1" collapsed="false">
      <c r="A87" s="3" t="s">
        <v>1162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1163</v>
      </c>
      <c r="B88" s="11" t="s">
        <v>65</v>
      </c>
      <c r="C88" s="32" t="n">
        <f aca="false">MAX(0,輸入與假設!$C$314)*運營_產能與收入!C7</f>
        <v>0</v>
      </c>
      <c r="D88" s="32" t="n">
        <f aca="false">MAX(0,輸入與假設!$C$314)*運營_產能與收入!D7</f>
        <v>0</v>
      </c>
      <c r="E88" s="32" t="n">
        <f aca="false">MAX(0,輸入與假設!$C$314)*運營_產能與收入!E7</f>
        <v>0</v>
      </c>
      <c r="F88" s="32" t="n">
        <f aca="false">MAX(0,輸入與假設!$C$314)*運營_產能與收入!F7</f>
        <v>0</v>
      </c>
      <c r="G88" s="32" t="n">
        <f aca="false">MAX(0,輸入與假設!$C$314)*運營_產能與收入!G7</f>
        <v>0</v>
      </c>
      <c r="I88" s="6" t="s">
        <v>1164</v>
      </c>
    </row>
    <row r="89" customFormat="false" ht="15" hidden="false" customHeight="false" outlineLevel="1" collapsed="false">
      <c r="A89" s="2" t="s">
        <v>1165</v>
      </c>
      <c r="B89" s="11" t="s">
        <v>65</v>
      </c>
      <c r="C89" s="42" t="n">
        <f aca="false">MIN(C88,C87/(1-C71))</f>
        <v>0</v>
      </c>
      <c r="D89" s="42" t="n">
        <f aca="false">MIN(D88,D87/(1-D71))</f>
        <v>0</v>
      </c>
      <c r="E89" s="42" t="n">
        <f aca="false">MIN(E88,E87/(1-E71))</f>
        <v>0</v>
      </c>
      <c r="F89" s="42" t="n">
        <f aca="false">MIN(F88,F87/(1-F71))</f>
        <v>0</v>
      </c>
      <c r="G89" s="42" t="n">
        <f aca="false">MIN(G88,G87/(1-G71))</f>
        <v>0</v>
      </c>
      <c r="I89" s="6" t="s">
        <v>1166</v>
      </c>
    </row>
    <row r="90" customFormat="false" ht="15" hidden="false" customHeight="false" outlineLevel="1" collapsed="false">
      <c r="A90" s="3" t="s">
        <v>1167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1168</v>
      </c>
      <c r="B91" s="11" t="s">
        <v>65</v>
      </c>
      <c r="C91" s="32" t="n">
        <f aca="false">IF(輸入與假設!$C$309&gt;=9,1E+099,輸入與假設!$C$309*輸入與假設!$C$307*輸入與假設!$C$310*運營_產能與收入!C7)</f>
        <v>196.726376</v>
      </c>
      <c r="D91" s="32" t="n">
        <f aca="false">IF(輸入與假設!$C$309&gt;=9,1E+099,輸入與假設!$C$309*輸入與假設!$C$307*輸入與假設!$C$310*運營_產能與收入!D7)</f>
        <v>196.726376</v>
      </c>
      <c r="E91" s="32" t="n">
        <f aca="false">IF(輸入與假設!$C$309&gt;=9,1E+099,輸入與假設!$C$309*輸入與假設!$C$307*輸入與假設!$C$310*運營_產能與收入!E7)</f>
        <v>196.726376</v>
      </c>
      <c r="F91" s="32" t="n">
        <f aca="false">IF(輸入與假設!$C$309&gt;=9,1E+099,輸入與假設!$C$309*輸入與假設!$C$307*輸入與假設!$C$310*運營_產能與收入!F7)</f>
        <v>196.726376</v>
      </c>
      <c r="G91" s="32" t="n">
        <f aca="false">IF(輸入與假設!$C$309&gt;=9,1E+099,輸入與假設!$C$309*輸入與假設!$C$307*輸入與假設!$C$310*運營_產能與收入!G7)</f>
        <v>196.726376</v>
      </c>
      <c r="I91" s="6" t="s">
        <v>1169</v>
      </c>
    </row>
    <row r="92" customFormat="false" ht="15" hidden="false" customHeight="false" outlineLevel="1" collapsed="false">
      <c r="A92" s="2" t="s">
        <v>1170</v>
      </c>
      <c r="B92" s="11" t="s">
        <v>65</v>
      </c>
      <c r="C92" s="42" t="n">
        <f aca="false">MIN(C90,C91)</f>
        <v>0</v>
      </c>
      <c r="D92" s="42" t="n">
        <f aca="false">MIN(D90,D91)</f>
        <v>0</v>
      </c>
      <c r="E92" s="42" t="n">
        <f aca="false">MIN(E90,E91)</f>
        <v>0</v>
      </c>
      <c r="F92" s="42" t="n">
        <f aca="false">MIN(F90,F91)</f>
        <v>0</v>
      </c>
      <c r="G92" s="42" t="n">
        <f aca="false">MIN(G90,G91)</f>
        <v>0</v>
      </c>
    </row>
    <row r="93" customFormat="false" ht="15" hidden="false" customHeight="false" outlineLevel="1" collapsed="false">
      <c r="A93" s="2" t="s">
        <v>1171</v>
      </c>
      <c r="B93" s="11" t="s">
        <v>65</v>
      </c>
      <c r="C93" s="42" t="n">
        <f aca="false">(C90-C92)/(1-C72)</f>
        <v>0</v>
      </c>
      <c r="D93" s="42" t="n">
        <f aca="false">(D90-D92)/(1-D72)</f>
        <v>0</v>
      </c>
      <c r="E93" s="42" t="n">
        <f aca="false">(E90-E92)/(1-E72)</f>
        <v>0</v>
      </c>
      <c r="F93" s="42" t="n">
        <f aca="false">(F90-F92)/(1-F72)</f>
        <v>0</v>
      </c>
      <c r="G93" s="42" t="n">
        <f aca="false">(G90-G92)/(1-G72)</f>
        <v>0</v>
      </c>
    </row>
    <row r="94" customFormat="false" ht="15" hidden="false" customHeight="false" outlineLevel="1" collapsed="false">
      <c r="A94" s="3" t="s">
        <v>1172</v>
      </c>
      <c r="B94" s="11" t="s">
        <v>65</v>
      </c>
      <c r="C94" s="32" t="n">
        <f aca="false">C68*(C67+C86)+C72*(C69+C93)+C71*(C70+C89)</f>
        <v>0.9972829643164</v>
      </c>
      <c r="D94" s="32" t="n">
        <f aca="false">D68*(D67+D86)+D72*(D69+D93)+D71*(D70+D89)</f>
        <v>0.9972829643164</v>
      </c>
      <c r="E94" s="32" t="n">
        <f aca="false">E68*(E67+E86)+E72*(E69+E93)+E71*(E70+E89)</f>
        <v>0.9972829643164</v>
      </c>
      <c r="F94" s="32" t="n">
        <f aca="false">F68*(F67+F86)+F72*(F69+F93)+F71*(F70+F89)</f>
        <v>0.9972829643164</v>
      </c>
      <c r="G94" s="32" t="n">
        <f aca="false">G68*(G67+G86)+G72*(G69+G93)+G71*(G70+G89)</f>
        <v>0.9972829643164</v>
      </c>
      <c r="I94" s="6" t="s">
        <v>1173</v>
      </c>
    </row>
    <row r="95" customFormat="false" ht="15" hidden="false" customHeight="false" outlineLevel="1" collapsed="false">
      <c r="A95" s="3" t="s">
        <v>1174</v>
      </c>
      <c r="B95" s="11" t="s">
        <v>39</v>
      </c>
      <c r="C95" s="55" t="n">
        <f aca="false">輸入與假設!$C$307*(1-輸入與假設!$C$308)</f>
        <v>476.784</v>
      </c>
      <c r="D95" s="55" t="n">
        <f aca="false">輸入與假設!$C$307*(1-輸入與假設!$C$308)</f>
        <v>476.784</v>
      </c>
      <c r="E95" s="55" t="n">
        <f aca="false">輸入與假設!$C$307*(1-輸入與假設!$C$308)</f>
        <v>476.784</v>
      </c>
      <c r="F95" s="55" t="n">
        <f aca="false">輸入與假設!$C$307*(1-輸入與假設!$C$308)</f>
        <v>476.784</v>
      </c>
      <c r="G95" s="55" t="n">
        <f aca="false">輸入與假設!$C$307*(1-輸入與假設!$C$308)</f>
        <v>476.784</v>
      </c>
    </row>
    <row r="96" customFormat="false" ht="15" hidden="false" customHeight="false" outlineLevel="1" collapsed="false">
      <c r="A96" s="3" t="s">
        <v>1175</v>
      </c>
      <c r="B96" s="11" t="s">
        <v>642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1176</v>
      </c>
      <c r="B97" s="11" t="s">
        <v>642</v>
      </c>
      <c r="C97" s="56" t="n">
        <f aca="false">C96-C78</f>
        <v>0</v>
      </c>
      <c r="D97" s="56" t="n">
        <f aca="false">C97+D96-D78</f>
        <v>-0.00154923003501561</v>
      </c>
      <c r="E97" s="56" t="n">
        <f aca="false">D97+E96-E78</f>
        <v>-0.0435890216387607</v>
      </c>
      <c r="F97" s="56" t="n">
        <f aca="false">E97+F96-F78</f>
        <v>-0.0856288132425058</v>
      </c>
      <c r="G97" s="56" t="n">
        <f aca="false">F97+G96-G78</f>
        <v>-0.103629132228964</v>
      </c>
    </row>
    <row r="98" customFormat="false" ht="15" hidden="false" customHeight="false" outlineLevel="1" collapsed="false">
      <c r="A98" s="3" t="s">
        <v>1177</v>
      </c>
      <c r="B98" s="11" t="s">
        <v>65</v>
      </c>
      <c r="C98" s="32" t="n">
        <f aca="false">C67+C86</f>
        <v>19.945659286328</v>
      </c>
      <c r="D98" s="32" t="n">
        <f aca="false">D67+D86</f>
        <v>19.945659286328</v>
      </c>
      <c r="E98" s="32" t="n">
        <f aca="false">E67+E86</f>
        <v>19.945659286328</v>
      </c>
      <c r="F98" s="32" t="n">
        <f aca="false">F67+F86</f>
        <v>19.945659286328</v>
      </c>
      <c r="G98" s="32" t="n">
        <f aca="false">G67+G86</f>
        <v>19.945659286328</v>
      </c>
    </row>
    <row r="99" customFormat="false" ht="15" hidden="false" customHeight="false" outlineLevel="1" collapsed="false">
      <c r="A99" s="3" t="s">
        <v>1178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1179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1180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1181</v>
      </c>
      <c r="B102" s="11" t="s">
        <v>65</v>
      </c>
      <c r="C102" s="42" t="n">
        <f aca="false">C82+C98+C101+C100</f>
        <v>56.831659286328</v>
      </c>
      <c r="D102" s="42" t="n">
        <f aca="false">D82+D98+D101+D100</f>
        <v>56.831659286328</v>
      </c>
      <c r="E102" s="42" t="n">
        <f aca="false">E82+E98+E101+E100</f>
        <v>54.830659286328</v>
      </c>
      <c r="F102" s="42" t="n">
        <f aca="false">F82+F98+F101+F100</f>
        <v>54.830659286328</v>
      </c>
      <c r="G102" s="42" t="n">
        <f aca="false">G82+G98+G101+G100</f>
        <v>54.330659286328</v>
      </c>
    </row>
    <row r="103" customFormat="false" ht="15" hidden="false" customHeight="false" outlineLevel="1" collapsed="false">
      <c r="A103" s="2" t="s">
        <v>1182</v>
      </c>
      <c r="B103" s="11" t="s">
        <v>65</v>
      </c>
      <c r="C103" s="42" t="n">
        <f aca="false">C18+C43+C45+C46+C53-C66</f>
        <v>31.0516236779884</v>
      </c>
      <c r="D103" s="42" t="n">
        <f aca="false">C103+D43+D45-D66</f>
        <v>32.8696267456546</v>
      </c>
      <c r="E103" s="42" t="n">
        <f aca="false">D103+E43+E45-E66</f>
        <v>72.8969201582433</v>
      </c>
      <c r="F103" s="42" t="n">
        <f aca="false">E103+F43+F45-F66</f>
        <v>114.045683659162</v>
      </c>
      <c r="G103" s="42" t="n">
        <f aca="false">F103+G43+G45-G66</f>
        <v>89.9393246248698</v>
      </c>
      <c r="I103" s="6" t="s">
        <v>1183</v>
      </c>
    </row>
    <row r="105" customFormat="false" ht="15" hidden="false" customHeight="false" outlineLevel="0" collapsed="true">
      <c r="A105" s="52" t="s">
        <v>1184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616</v>
      </c>
      <c r="C106" s="57" t="n">
        <f aca="false">輸入與假設!$C$428</f>
        <v>76.843</v>
      </c>
    </row>
    <row r="107" customFormat="false" ht="15" hidden="true" customHeight="false" outlineLevel="1" collapsed="false">
      <c r="A107" s="3" t="s">
        <v>1185</v>
      </c>
      <c r="C107" s="57" t="n">
        <f aca="false">SUM(C54:G54)</f>
        <v>-35.0376592863281</v>
      </c>
    </row>
    <row r="108" customFormat="false" ht="15" hidden="true" customHeight="false" outlineLevel="1" collapsed="false">
      <c r="A108" s="3" t="s">
        <v>1186</v>
      </c>
      <c r="C108" s="57" t="n">
        <f aca="false">SUM(C45:G45)</f>
        <v>0</v>
      </c>
    </row>
    <row r="109" customFormat="false" ht="15" hidden="true" customHeight="false" outlineLevel="1" collapsed="false">
      <c r="A109" s="3" t="s">
        <v>1187</v>
      </c>
      <c r="C109" s="57" t="n">
        <f aca="false">SUM(C46:G46)</f>
        <v>0</v>
      </c>
    </row>
    <row r="110" customFormat="false" ht="15" hidden="true" customHeight="false" outlineLevel="1" collapsed="false">
      <c r="A110" s="4" t="s">
        <v>1188</v>
      </c>
      <c r="C110" s="57" t="n">
        <f aca="false">-SUM(C28:G28)</f>
        <v>-0</v>
      </c>
    </row>
    <row r="111" customFormat="false" ht="15" hidden="true" customHeight="false" outlineLevel="1" collapsed="false">
      <c r="A111" s="3" t="s">
        <v>1189</v>
      </c>
      <c r="C111" s="57" t="n">
        <f aca="false">SUM(C53:G53)</f>
        <v>0</v>
      </c>
    </row>
    <row r="112" customFormat="false" ht="15" hidden="true" customHeight="false" outlineLevel="1" collapsed="false">
      <c r="A112" s="3" t="s">
        <v>1190</v>
      </c>
      <c r="C112" s="57" t="n">
        <f aca="false">SUM(C47:G47)+SUM(C48:G48)+SUM(C49:G49)+SUM(C50:G50)</f>
        <v>19.945659286328</v>
      </c>
    </row>
    <row r="113" customFormat="false" ht="15" hidden="true" customHeight="false" outlineLevel="1" collapsed="false">
      <c r="A113" s="3" t="s">
        <v>1191</v>
      </c>
      <c r="C113" s="57" t="n">
        <f aca="false">-SUM(C27:G27)</f>
        <v>-11.751</v>
      </c>
    </row>
    <row r="114" customFormat="false" ht="15" hidden="true" customHeight="false" outlineLevel="1" collapsed="false">
      <c r="A114" s="2" t="s">
        <v>1192</v>
      </c>
      <c r="C114" s="58" t="n">
        <f aca="false">SUM(C106:C113)</f>
        <v>50</v>
      </c>
    </row>
    <row r="115" customFormat="false" ht="15" hidden="true" customHeight="false" outlineLevel="1" collapsed="false">
      <c r="A115" s="3" t="s">
        <v>1193</v>
      </c>
      <c r="C115" s="57" t="n">
        <f aca="false">G56</f>
        <v>50</v>
      </c>
    </row>
    <row r="116" customFormat="false" ht="15" hidden="true" customHeight="false" outlineLevel="1" collapsed="false">
      <c r="A116" s="2" t="s">
        <v>1194</v>
      </c>
      <c r="C116" s="57" t="n">
        <f aca="false">C114-C115</f>
        <v>0</v>
      </c>
      <c r="I116" s="6" t="s">
        <v>1195</v>
      </c>
    </row>
    <row r="118" customFormat="false" ht="15" hidden="false" customHeight="false" outlineLevel="0" collapsed="true">
      <c r="A118" s="7" t="s">
        <v>1196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1197</v>
      </c>
      <c r="C119" s="10" t="n">
        <f aca="false">運營_產能與收入!C31</f>
        <v>397.445587854</v>
      </c>
      <c r="I119" s="6" t="s">
        <v>1198</v>
      </c>
    </row>
    <row r="120" customFormat="false" ht="15" hidden="true" customHeight="false" outlineLevel="1" collapsed="false">
      <c r="A120" s="4" t="s">
        <v>1199</v>
      </c>
      <c r="C120" s="10" t="n">
        <f aca="false">C6</f>
        <v>204.201730580705</v>
      </c>
      <c r="I120" s="6" t="s">
        <v>1200</v>
      </c>
    </row>
    <row r="121" customFormat="false" ht="15" hidden="true" customHeight="false" outlineLevel="1" collapsed="false">
      <c r="A121" s="4" t="s">
        <v>1201</v>
      </c>
      <c r="C121" s="10" t="n">
        <f aca="false">輸入與假設!$C$437+輸入與假設!C$327+C20</f>
        <v>2.29779031118219</v>
      </c>
      <c r="I121" s="6" t="s">
        <v>1202</v>
      </c>
    </row>
    <row r="122" customFormat="false" ht="15" hidden="true" customHeight="false" outlineLevel="1" collapsed="false">
      <c r="A122" s="4" t="s">
        <v>1203</v>
      </c>
      <c r="C122" s="10" t="n">
        <f aca="false">輸入與假設!$C$438+C16</f>
        <v>7.97803125</v>
      </c>
      <c r="I122" s="6" t="s">
        <v>1204</v>
      </c>
    </row>
    <row r="123" customFormat="false" ht="15" hidden="true" customHeight="false" outlineLevel="1" collapsed="false">
      <c r="A123" s="4" t="s">
        <v>1205</v>
      </c>
      <c r="C123" s="10" t="n">
        <f aca="false">C27</f>
        <v>9.25</v>
      </c>
      <c r="I123" s="6" t="s">
        <v>1206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1207</v>
      </c>
    </row>
    <row r="2" customFormat="false" ht="15" hidden="false" customHeight="false" outlineLevel="0" collapsed="false">
      <c r="A2" s="6" t="s">
        <v>1208</v>
      </c>
    </row>
    <row r="4" customFormat="false" ht="15" hidden="false" customHeight="false" outlineLevel="0" collapsed="false">
      <c r="A4" s="7" t="s">
        <v>1209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1210</v>
      </c>
      <c r="B5" s="14" t="s">
        <v>60</v>
      </c>
      <c r="C5" s="14" t="s">
        <v>1211</v>
      </c>
      <c r="D5" s="14" t="s">
        <v>1212</v>
      </c>
      <c r="E5" s="14" t="s">
        <v>1213</v>
      </c>
      <c r="F5" s="14" t="s">
        <v>1214</v>
      </c>
      <c r="G5" s="14" t="s">
        <v>1215</v>
      </c>
      <c r="H5" s="14" t="s">
        <v>1216</v>
      </c>
      <c r="I5" s="14" t="s">
        <v>1217</v>
      </c>
      <c r="J5" s="14" t="s">
        <v>1218</v>
      </c>
      <c r="K5" s="14" t="s">
        <v>1219</v>
      </c>
      <c r="L5" s="14" t="s">
        <v>1220</v>
      </c>
      <c r="M5" s="14" t="s">
        <v>1221</v>
      </c>
      <c r="N5" s="14" t="s">
        <v>1222</v>
      </c>
      <c r="O5" s="14" t="s">
        <v>1218</v>
      </c>
      <c r="P5" s="14" t="s">
        <v>1219</v>
      </c>
      <c r="Q5" s="14" t="s">
        <v>1223</v>
      </c>
    </row>
    <row r="6" customFormat="false" ht="15" hidden="false" customHeight="false" outlineLevel="1" collapsed="false">
      <c r="A6" s="3" t="s">
        <v>1224</v>
      </c>
      <c r="B6" s="11" t="s">
        <v>65</v>
      </c>
      <c r="C6" s="59" t="n">
        <f aca="false">INDEX($C$22:$H$22,輸入與假設!$C$515)</f>
        <v>93.7487587854</v>
      </c>
      <c r="D6" s="59" t="n">
        <f aca="false">INDEX($C$37:$H$37,輸入與假設!$C$515)</f>
        <v>90.685</v>
      </c>
      <c r="E6" s="60" t="n">
        <f aca="false">INDEX($C$47:$H$47,輸入與假設!$C$515)</f>
        <v>0.0337846257418537</v>
      </c>
      <c r="F6" s="59" t="n">
        <f aca="false">IF(ISNUMBER(INDEX($C$32:$H$32,輸入與假設!$C$515)),INDEX($C$32:$H$32,輸入與假設!$C$515),"不適用")</f>
        <v>89.85</v>
      </c>
      <c r="G6" s="59" t="n">
        <f aca="false">INDEX($C$33:$H$33,輸入與假設!$C$515)</f>
        <v>90.95</v>
      </c>
      <c r="H6" s="60" t="n">
        <f aca="false">INDEX($C$48:$H$48,輸入與假設!$C$515)</f>
        <v>0.0370437918738937</v>
      </c>
      <c r="I6" s="59" t="str">
        <f aca="false">IF(ISNUMBER(INDEX($C$41:$H$41,輸入與假設!$C$515)),INDEX($C$41:$H$41,輸入與假設!$C$515),"待公布")</f>
        <v>待公布</v>
      </c>
      <c r="J6" s="60" t="str">
        <f aca="false">INDEX($C$49:$H$49,輸入與假設!$C$515)</f>
        <v/>
      </c>
      <c r="K6" s="60" t="str">
        <f aca="false">INDEX($C$50:$H$50,輸入與假設!$C$515)</f>
        <v/>
      </c>
      <c r="L6" s="60" t="str">
        <f aca="false">INDEX($C$51:$H$51,輸入與假設!$C$515)</f>
        <v/>
      </c>
      <c r="M6" s="60"/>
      <c r="N6" s="60"/>
      <c r="O6" s="60"/>
      <c r="P6" s="60"/>
      <c r="Q6" s="60"/>
    </row>
    <row r="7" customFormat="false" ht="15" hidden="false" customHeight="false" outlineLevel="1" collapsed="false">
      <c r="A7" s="3" t="s">
        <v>1225</v>
      </c>
      <c r="B7" s="11" t="s">
        <v>65</v>
      </c>
      <c r="C7" s="59" t="n">
        <f aca="false">INDEX($C$28:$H$28,輸入與假設!$C$515)</f>
        <v>54.3037982227592</v>
      </c>
      <c r="D7" s="59" t="n">
        <f aca="false">INDEX($C$38:$H$38,輸入與假設!$C$515)</f>
        <v>56.56</v>
      </c>
      <c r="E7" s="59" t="n">
        <f aca="false">INDEX($C$52:$H$52,輸入與假設!$C$515)</f>
        <v>-2.25620177724079</v>
      </c>
      <c r="F7" s="61" t="s">
        <v>879</v>
      </c>
      <c r="G7" s="61" t="s">
        <v>879</v>
      </c>
      <c r="H7" s="59" t="str">
        <f aca="false">INDEX($C$53:$H$53,輸入與假設!$C$515)</f>
        <v>不適用</v>
      </c>
      <c r="I7" s="59" t="str">
        <f aca="false">IF(ISNUMBER(INDEX($C$42:$H$42,輸入與假設!$C$515)),INDEX($C$42:$H$42,輸入與假設!$C$515),"待公布")</f>
        <v>待公布</v>
      </c>
      <c r="J7" s="59" t="str">
        <f aca="false">INDEX($C$54:$H$54,輸入與假設!$C$515)</f>
        <v/>
      </c>
      <c r="K7" s="59" t="str">
        <f aca="false">INDEX($C$55:$H$55,輸入與假設!$C$515)</f>
        <v/>
      </c>
      <c r="L7" s="59" t="str">
        <f aca="false">INDEX($C$56:$H$56,輸入與假設!$C$515)</f>
        <v/>
      </c>
      <c r="M7" s="60" t="n">
        <f aca="false">INDEX($C$57:$H$57,輸入與假設!$C$515)</f>
        <v>-0.0444492307224977</v>
      </c>
      <c r="N7" s="60" t="str">
        <f aca="false">INDEX($C$58:$H$58,輸入與假設!$C$515)</f>
        <v>不適用</v>
      </c>
      <c r="O7" s="60" t="str">
        <f aca="false">INDEX($C$59:$H$59,輸入與假設!$C$515)</f>
        <v/>
      </c>
      <c r="P7" s="60" t="str">
        <f aca="false">INDEX($C$60:$H$60,輸入與假設!$C$515)</f>
        <v/>
      </c>
      <c r="Q7" s="60" t="str">
        <f aca="false">INDEX($C$61:$H$61,輸入與假設!$C$515)</f>
        <v/>
      </c>
    </row>
    <row r="8" customFormat="false" ht="15" hidden="false" customHeight="false" outlineLevel="1" collapsed="false">
      <c r="A8" s="3" t="s">
        <v>1226</v>
      </c>
      <c r="B8" s="11" t="s">
        <v>42</v>
      </c>
      <c r="C8" s="60" t="n">
        <f aca="false">INDEX($C$27:$H$27,輸入與假設!$C$515)</f>
        <v>0.579248183403322</v>
      </c>
      <c r="D8" s="60" t="n">
        <f aca="false">INDEX($C$39:$H$39,輸入與假設!$C$515)</f>
        <v>0.62369741412582</v>
      </c>
      <c r="E8" s="60" t="n">
        <f aca="false">INDEX($C$62:$H$62,輸入與假設!$C$515)</f>
        <v>-0.0444492307224977</v>
      </c>
      <c r="F8" s="62" t="s">
        <v>879</v>
      </c>
      <c r="G8" s="62" t="s">
        <v>879</v>
      </c>
      <c r="H8" s="60" t="str">
        <f aca="false">INDEX($C$63:$H$63,輸入與假設!$C$515)</f>
        <v>不適用</v>
      </c>
      <c r="I8" s="60" t="str">
        <f aca="false">IF(ISNUMBER(INDEX($C$43:$H$43,輸入與假設!$C$515)),INDEX($C$43:$H$43,輸入與假設!$C$515),"待公布")</f>
        <v>待公布</v>
      </c>
      <c r="J8" s="60" t="str">
        <f aca="false">INDEX($C$64:$H$64,輸入與假設!$C$515)</f>
        <v/>
      </c>
      <c r="K8" s="60" t="str">
        <f aca="false">INDEX($C$65:$H$65,輸入與假設!$C$515)</f>
        <v/>
      </c>
      <c r="L8" s="60" t="str">
        <f aca="false">INDEX($C$66:$H$66,輸入與假設!$C$515)</f>
        <v/>
      </c>
      <c r="M8" s="60"/>
      <c r="N8" s="60"/>
      <c r="O8" s="60"/>
      <c r="P8" s="60"/>
      <c r="Q8" s="60"/>
    </row>
    <row r="9" customFormat="false" ht="15" hidden="false" customHeight="false" outlineLevel="1" collapsed="false">
      <c r="A9" s="3" t="s">
        <v>1227</v>
      </c>
      <c r="B9" s="11" t="s">
        <v>65</v>
      </c>
      <c r="C9" s="59" t="n">
        <f aca="false">INDEX($C$31:$H$31,輸入與假設!$C$515)</f>
        <v>41.0086777893517</v>
      </c>
      <c r="D9" s="61" t="s">
        <v>879</v>
      </c>
      <c r="E9" s="59" t="str">
        <f aca="false">INDEX($C$67:$H$67,輸入與假設!$C$515)</f>
        <v>不適用</v>
      </c>
      <c r="F9" s="59" t="n">
        <f aca="false">IF(ISNUMBER(INDEX($C$34:$H$34,輸入與假設!$C$515)),INDEX($C$34:$H$34,輸入與假設!$C$515),"不適用")</f>
        <v>43.15</v>
      </c>
      <c r="G9" s="59" t="n">
        <f aca="false">INDEX($C$35:$H$35,輸入與假設!$C$515)</f>
        <v>44.55</v>
      </c>
      <c r="H9" s="59" t="n">
        <f aca="false">INDEX($C$68:$H$68,輸入與假設!$C$515)</f>
        <v>-2.84132221064826</v>
      </c>
      <c r="I9" s="59" t="str">
        <f aca="false">IF(ISNUMBER(INDEX($C$44:$H$44,輸入與假設!$C$515)),INDEX($C$44:$H$44,輸入與假設!$C$515),"待公布")</f>
        <v>待公布</v>
      </c>
      <c r="J9" s="59" t="str">
        <f aca="false">INDEX($C$69:$H$69,輸入與假設!$C$515)</f>
        <v/>
      </c>
      <c r="K9" s="59" t="str">
        <f aca="false">INDEX($C$70:$H$70,輸入與假設!$C$515)</f>
        <v/>
      </c>
      <c r="L9" s="59" t="str">
        <f aca="false">INDEX($C$71:$H$71,輸入與假設!$C$515)</f>
        <v/>
      </c>
      <c r="M9" s="60" t="str">
        <f aca="false">INDEX($C$72:$H$72,輸入與假設!$C$515)</f>
        <v>不適用</v>
      </c>
      <c r="N9" s="60" t="n">
        <f aca="false">INDEX($C$73:$H$73,輸入與假設!$C$515)</f>
        <v>-0.0476346838312911</v>
      </c>
      <c r="O9" s="60" t="str">
        <f aca="false">INDEX($C$74:$H$74,輸入與假設!$C$515)</f>
        <v/>
      </c>
      <c r="P9" s="60" t="str">
        <f aca="false">INDEX($C$75:$H$75,輸入與假設!$C$515)</f>
        <v/>
      </c>
      <c r="Q9" s="60" t="str">
        <f aca="false">INDEX($C$76:$H$76,輸入與假設!$C$515)</f>
        <v/>
      </c>
    </row>
    <row r="10" customFormat="false" ht="15" hidden="false" customHeight="false" outlineLevel="1" collapsed="false">
      <c r="A10" s="3" t="s">
        <v>1228</v>
      </c>
      <c r="B10" s="11" t="s">
        <v>65</v>
      </c>
      <c r="C10" s="59" t="n">
        <f aca="false">INDEX($C$36:$H$36,輸入與假設!$C$515)</f>
        <v>51.0504326451763</v>
      </c>
      <c r="D10" s="61" t="s">
        <v>879</v>
      </c>
      <c r="E10" s="60" t="str">
        <f aca="false">INDEX($C$77:$H$77,輸入與假設!$C$515)</f>
        <v>不適用</v>
      </c>
      <c r="F10" s="61" t="s">
        <v>879</v>
      </c>
      <c r="G10" s="61" t="s">
        <v>879</v>
      </c>
      <c r="H10" s="60" t="str">
        <f aca="false">INDEX($C$78:$H$78,輸入與假設!$C$515)</f>
        <v>不適用</v>
      </c>
      <c r="I10" s="59" t="str">
        <f aca="false">IF(ISNUMBER(INDEX($C$45:$H$45,輸入與假設!$C$515)),INDEX($C$45:$H$45,輸入與假設!$C$515),"待公布")</f>
        <v>待公布</v>
      </c>
      <c r="J10" s="60" t="str">
        <f aca="false">INDEX($C$79:$H$79,輸入與假設!$C$515)</f>
        <v/>
      </c>
      <c r="K10" s="60" t="str">
        <f aca="false">INDEX($C$80:$H$80,輸入與假設!$C$515)</f>
        <v/>
      </c>
      <c r="L10" s="60" t="str">
        <f aca="false">INDEX($C$81:$H$81,輸入與假設!$C$515)</f>
        <v/>
      </c>
      <c r="M10" s="60"/>
      <c r="N10" s="60"/>
      <c r="O10" s="60"/>
      <c r="P10" s="60"/>
      <c r="Q10" s="60"/>
    </row>
    <row r="11" customFormat="false" ht="15" hidden="false" customHeight="false" outlineLevel="1" collapsed="false">
      <c r="A11" s="3" t="s">
        <v>1229</v>
      </c>
      <c r="B11" s="11" t="s">
        <v>157</v>
      </c>
      <c r="C11" s="63" t="n">
        <f aca="false">INDEX($C$19:$H$19,輸入與假設!$C$515)</f>
        <v>3831.475</v>
      </c>
      <c r="D11" s="64" t="s">
        <v>879</v>
      </c>
      <c r="E11" s="63" t="str">
        <f aca="false">INDEX($C$82:$H$82,輸入與假設!$C$515)</f>
        <v>不適用</v>
      </c>
      <c r="F11" s="64" t="s">
        <v>879</v>
      </c>
      <c r="G11" s="64" t="s">
        <v>879</v>
      </c>
      <c r="H11" s="63" t="str">
        <f aca="false">INDEX($C$83:$H$83,輸入與假設!$C$515)</f>
        <v>不適用</v>
      </c>
      <c r="I11" s="63" t="str">
        <f aca="false">IF(ISNUMBER(INDEX($C$46:$H$46,輸入與假設!$C$515)),INDEX($C$46:$H$46,輸入與假設!$C$515),"待公布")</f>
        <v>待公布</v>
      </c>
      <c r="J11" s="63" t="str">
        <f aca="false">INDEX($C$84:$H$84,輸入與假設!$C$515)</f>
        <v/>
      </c>
      <c r="K11" s="63" t="str">
        <f aca="false">INDEX($C$85:$H$85,輸入與假設!$C$515)</f>
        <v/>
      </c>
      <c r="L11" s="63" t="str">
        <f aca="false">INDEX($C$86:$H$86,輸入與假設!$C$515)</f>
        <v/>
      </c>
      <c r="M11" s="60"/>
      <c r="N11" s="60"/>
      <c r="O11" s="60"/>
      <c r="P11" s="60"/>
      <c r="Q11" s="60"/>
    </row>
    <row r="12" customFormat="false" ht="15" hidden="false" customHeight="false" outlineLevel="1" collapsed="false">
      <c r="A12" s="2" t="s">
        <v>1230</v>
      </c>
      <c r="C12" s="2" t="str">
        <f aca="false">INDEX($C$16:$H$16,輸入與假設!$C$515)</f>
        <v>Q1 FY27</v>
      </c>
    </row>
    <row r="13" customFormat="false" ht="17.15" hidden="false" customHeight="false" outlineLevel="1" collapsed="false">
      <c r="A13" s="2" t="s">
        <v>1231</v>
      </c>
      <c r="C13" s="0" t="str">
        <f aca="false">IF(INDEX($C$123:$H$123,輸入與假設!$C$515)="","無（差距皆在 "&amp;IF(ROUND(ABS(輸入與假設!$C$509)*100,4)=INT(ROUND(ABS(輸入與假設!$C$509)*100,4)),TEXT(ROUND(ABS(輸入與假設!$C$509)*100,4),"0"),TEXT(ROUND(ABS(輸入與假設!$C$509)*100,4),"0.0"))&amp;"%"&amp;" 以內）",INDEX($C$123:$H$123,輸入與假設!$C$515))</f>
        <v>營收 vs 指引中點 +3.7%：觀點（營收＝對外 AI 雲端（在役 MW × 每 MW 年收入，Tokenomics × k）＋各分部依近四季年增率收斂；年度總額線性分到各季，未建模季節性）；調整後 EBITDA vs 共識 −$2.26bn／−4.4pt：觀點（模型 EBITDA 率 57.9%；EBITDA＝分部營業利益＋分攤 D&amp;A 與 AI 雲端 Tokenomics 由下而上營運成本）；調整後營業利益 vs 指引中點 −$2.84bn／−4.8pt：觀點（模型折舊 13.30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1232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994</v>
      </c>
      <c r="D16" s="15" t="s">
        <v>995</v>
      </c>
      <c r="E16" s="15" t="s">
        <v>996</v>
      </c>
      <c r="F16" s="15" t="s">
        <v>997</v>
      </c>
      <c r="G16" s="15" t="s">
        <v>998</v>
      </c>
      <c r="H16" s="15" t="s">
        <v>999</v>
      </c>
    </row>
    <row r="17" customFormat="false" ht="15" hidden="true" customHeight="false" outlineLevel="1" collapsed="false">
      <c r="A17" s="3" t="s">
        <v>1233</v>
      </c>
      <c r="C17" s="26" t="n">
        <f aca="false">輸入與假設!C$514</f>
        <v>1</v>
      </c>
      <c r="D17" s="26" t="n">
        <f aca="false">輸入與假設!D$514</f>
        <v>1</v>
      </c>
      <c r="E17" s="26" t="n">
        <f aca="false">輸入與假設!E$514</f>
        <v>1</v>
      </c>
      <c r="F17" s="26" t="n">
        <f aca="false">輸入與假設!F$514</f>
        <v>1</v>
      </c>
      <c r="G17" s="26" t="n">
        <f aca="false">輸入與假設!G$514</f>
        <v>2</v>
      </c>
      <c r="H17" s="26" t="n">
        <f aca="false">輸入與假設!H$514</f>
        <v>2</v>
      </c>
      <c r="J17" s="11" t="s">
        <v>1234</v>
      </c>
    </row>
    <row r="18" customFormat="false" ht="15" hidden="true" customHeight="false" outlineLevel="1" collapsed="false">
      <c r="A18" s="3" t="s">
        <v>1235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1236</v>
      </c>
    </row>
    <row r="19" customFormat="false" ht="15" hidden="true" customHeight="false" outlineLevel="1" collapsed="false">
      <c r="A19" s="3" t="s">
        <v>1237</v>
      </c>
      <c r="B19" s="11" t="s">
        <v>157</v>
      </c>
      <c r="C19" s="22" t="n">
        <f aca="false">輸入與假設!$C$517+(輸入與假設!C$36-輸入與假設!$C$517)*1/4</f>
        <v>3831.475</v>
      </c>
      <c r="D19" s="22" t="n">
        <f aca="false">輸入與假設!$C$517+(輸入與假設!C$36-輸入與假設!$C$517)*2/4</f>
        <v>4412.95</v>
      </c>
      <c r="E19" s="22" t="n">
        <f aca="false">輸入與假設!$C$517+(輸入與假設!C$36-輸入與假設!$C$517)*3/4</f>
        <v>4994.425</v>
      </c>
      <c r="F19" s="22" t="n">
        <f aca="false">輸入與假設!$C$517+(輸入與假設!C$36-輸入與假設!$C$517)*4/4</f>
        <v>5575.9</v>
      </c>
      <c r="G19" s="22" t="n">
        <f aca="false">輸入與假設!C$36+(輸入與假設!D$36-輸入與假設!C$36)*1/2</f>
        <v>6738.85</v>
      </c>
      <c r="H19" s="22" t="n">
        <f aca="false">輸入與假設!C$36+(輸入與假設!D$36-輸入與假設!C$36)*2/2</f>
        <v>7901.8</v>
      </c>
      <c r="J19" s="6" t="s">
        <v>1238</v>
      </c>
    </row>
    <row r="20" customFormat="false" ht="15" hidden="true" customHeight="false" outlineLevel="1" collapsed="false">
      <c r="A20" s="3" t="s">
        <v>1239</v>
      </c>
      <c r="B20" s="11" t="s">
        <v>157</v>
      </c>
      <c r="C20" s="22" t="n">
        <f aca="false">輸入與假設!$C$29+(運營_產能與收入!C$11-輸入與假設!$C$29)*1/8</f>
        <v>3540.7375</v>
      </c>
      <c r="D20" s="22" t="n">
        <f aca="false">輸入與假設!$C$29+(運營_產能與收入!C$11-輸入與假設!$C$29)*3/8</f>
        <v>4122.2125</v>
      </c>
      <c r="E20" s="22" t="n">
        <f aca="false">輸入與假設!$C$29+(運營_產能與收入!C$11-輸入與假設!$C$29)*5/8</f>
        <v>4703.6875</v>
      </c>
      <c r="F20" s="22" t="n">
        <f aca="false">輸入與假設!$C$29+(運營_產能與收入!C$11-輸入與假設!$C$29)*7/8</f>
        <v>5285.1625</v>
      </c>
      <c r="G20" s="22" t="n">
        <f aca="false">運營_產能與收入!C$11+(運營_產能與收入!D$11-運營_產能與收入!C$11)*1/4</f>
        <v>6157.375</v>
      </c>
      <c r="H20" s="22" t="n">
        <f aca="false">運營_產能與收入!C$11+(運營_產能與收入!D$11-運營_產能與收入!C$11)*3/4</f>
        <v>7320.325</v>
      </c>
      <c r="J20" s="6" t="s">
        <v>1240</v>
      </c>
    </row>
    <row r="21" customFormat="false" ht="15" hidden="true" customHeight="false" outlineLevel="1" collapsed="false">
      <c r="A21" s="3" t="s">
        <v>1241</v>
      </c>
      <c r="B21" s="11" t="s">
        <v>157</v>
      </c>
      <c r="C21" s="22" t="n">
        <f aca="false">C19-輸入與假設!$C$517</f>
        <v>581.475</v>
      </c>
      <c r="D21" s="22" t="n">
        <f aca="false">D19-C19</f>
        <v>581.475</v>
      </c>
      <c r="E21" s="22" t="n">
        <f aca="false">E19-D19</f>
        <v>581.475</v>
      </c>
      <c r="F21" s="22" t="n">
        <f aca="false">F19-E19</f>
        <v>581.475</v>
      </c>
      <c r="G21" s="22" t="n">
        <f aca="false">G19-輸入與假設!C$36</f>
        <v>1162.95</v>
      </c>
      <c r="H21" s="22" t="n">
        <f aca="false">H19-G19</f>
        <v>1162.95</v>
      </c>
      <c r="J21" s="11" t="s">
        <v>1242</v>
      </c>
    </row>
    <row r="22" customFormat="false" ht="15" hidden="true" customHeight="false" outlineLevel="1" collapsed="false">
      <c r="A22" s="3" t="s">
        <v>1243</v>
      </c>
      <c r="B22" s="11" t="s">
        <v>65</v>
      </c>
      <c r="C22" s="32" t="n">
        <f aca="false">輸入與假設!$C$516+1*(損益!C9-4*輸入與假設!$C$516)/10</f>
        <v>93.7487587854</v>
      </c>
      <c r="D22" s="32" t="n">
        <f aca="false">輸入與假設!$C$516+2*(損益!C9-4*輸入與假設!$C$516)/10</f>
        <v>97.4905175708</v>
      </c>
      <c r="E22" s="32" t="n">
        <f aca="false">輸入與假設!$C$516+3*(損益!C9-4*輸入與假設!$C$516)/10</f>
        <v>101.2322763562</v>
      </c>
      <c r="F22" s="32" t="n">
        <f aca="false">輸入與假設!$C$516+4*(損益!C9-4*輸入與假設!$C$516)/10</f>
        <v>104.9740351416</v>
      </c>
      <c r="G22" s="32" t="n">
        <f aca="false">損益!D9*G20/(G20+H20)</f>
        <v>215.373275524071</v>
      </c>
      <c r="H22" s="32" t="n">
        <f aca="false">損益!D9*H20/(G20+H20)</f>
        <v>256.051056359364</v>
      </c>
      <c r="J22" s="6" t="s">
        <v>1244</v>
      </c>
    </row>
    <row r="23" customFormat="false" ht="15" hidden="true" customHeight="false" outlineLevel="1" collapsed="false">
      <c r="A23" s="4" t="s">
        <v>1245</v>
      </c>
      <c r="C23" s="59" t="n">
        <f aca="false">C22+D22+E22+F22</f>
        <v>397.445587854</v>
      </c>
      <c r="D23" s="59" t="n">
        <f aca="false">G22+H22</f>
        <v>471.424331883435</v>
      </c>
      <c r="J23" s="6" t="s">
        <v>1246</v>
      </c>
    </row>
    <row r="24" customFormat="false" ht="15" hidden="true" customHeight="false" outlineLevel="1" collapsed="false">
      <c r="A24" s="4" t="s">
        <v>1247</v>
      </c>
      <c r="C24" s="59" t="n">
        <f aca="false">C22*C18+D22*D18+E22*E18+F22*F18</f>
        <v>1012.322763562</v>
      </c>
      <c r="D24" s="59" t="n">
        <f aca="false">G22*G18+H22*H18</f>
        <v>2613.17271577654</v>
      </c>
      <c r="J24" s="6" t="s">
        <v>1246</v>
      </c>
    </row>
    <row r="25" customFormat="false" ht="15" hidden="true" customHeight="false" outlineLevel="1" collapsed="false">
      <c r="A25" s="4" t="s">
        <v>1248</v>
      </c>
      <c r="C25" s="59" t="n">
        <f aca="false">損益!C22</f>
        <v>232.867283285892</v>
      </c>
      <c r="D25" s="59" t="n">
        <f aca="false">損益!D22</f>
        <v>282.294012512336</v>
      </c>
      <c r="J25" s="6" t="s">
        <v>1246</v>
      </c>
    </row>
    <row r="26" customFormat="false" ht="15" hidden="true" customHeight="false" outlineLevel="1" collapsed="false">
      <c r="A26" s="4" t="s">
        <v>1249</v>
      </c>
      <c r="C26" s="65" t="n">
        <f aca="false">(C25*D24-C24*D25)/(C23*D24-C24*D23)</f>
        <v>0.57494220389327</v>
      </c>
      <c r="D26" s="65" t="n">
        <f aca="false">(C23*D25-D23*C25)/(C23*D24-C24*D23)</f>
        <v>0.004305979510052</v>
      </c>
      <c r="J26" s="6" t="s">
        <v>1250</v>
      </c>
    </row>
    <row r="27" customFormat="false" ht="15" hidden="true" customHeight="false" outlineLevel="1" collapsed="false">
      <c r="A27" s="4" t="s">
        <v>1251</v>
      </c>
      <c r="B27" s="11" t="s">
        <v>42</v>
      </c>
      <c r="C27" s="38" t="n">
        <f aca="false">$C$26+$D$26*C18</f>
        <v>0.579248183403322</v>
      </c>
      <c r="D27" s="38" t="n">
        <f aca="false">$C$26+$D$26*D18</f>
        <v>0.583554162913375</v>
      </c>
      <c r="E27" s="38" t="n">
        <f aca="false">$C$26+$D$26*E18</f>
        <v>0.587860142423426</v>
      </c>
      <c r="F27" s="38" t="n">
        <f aca="false">$C$26+$D$26*F18</f>
        <v>0.592166121933478</v>
      </c>
      <c r="G27" s="38" t="n">
        <f aca="false">$C$26+$D$26*G18</f>
        <v>0.596472101443531</v>
      </c>
      <c r="H27" s="38" t="n">
        <f aca="false">$C$26+$D$26*H18</f>
        <v>0.600778080953582</v>
      </c>
      <c r="J27" s="6" t="s">
        <v>1252</v>
      </c>
    </row>
    <row r="28" customFormat="false" ht="15" hidden="true" customHeight="false" outlineLevel="1" collapsed="false">
      <c r="A28" s="3" t="s">
        <v>1253</v>
      </c>
      <c r="B28" s="11" t="s">
        <v>65</v>
      </c>
      <c r="C28" s="32" t="n">
        <f aca="false">C22*C27</f>
        <v>54.3037982227592</v>
      </c>
      <c r="D28" s="32" t="n">
        <f aca="false">D22*D27</f>
        <v>56.8909973730198</v>
      </c>
      <c r="E28" s="32" t="n">
        <f aca="false">E22*E27</f>
        <v>59.5104203966034</v>
      </c>
      <c r="F28" s="32" t="n">
        <f aca="false">F22*F27</f>
        <v>62.16206729351</v>
      </c>
      <c r="G28" s="32" t="n">
        <f aca="false">G22*G27</f>
        <v>128.464150246619</v>
      </c>
      <c r="H28" s="32" t="n">
        <f aca="false">H22*H27</f>
        <v>153.829862265717</v>
      </c>
    </row>
    <row r="29" customFormat="false" ht="15" hidden="true" customHeight="false" outlineLevel="1" collapsed="false">
      <c r="A29" s="3" t="s">
        <v>1254</v>
      </c>
      <c r="B29" s="11" t="s">
        <v>65</v>
      </c>
      <c r="C29" s="32" t="n">
        <f aca="false">輸入與假設!C$288/4</f>
        <v>13.2951204334075</v>
      </c>
      <c r="D29" s="32" t="n">
        <f aca="false">輸入與假設!C$288/4</f>
        <v>13.2951204334075</v>
      </c>
      <c r="E29" s="32" t="n">
        <f aca="false">輸入與假設!C$288/4</f>
        <v>13.2951204334075</v>
      </c>
      <c r="F29" s="32" t="n">
        <f aca="false">輸入與假設!C$288/4</f>
        <v>13.2951204334075</v>
      </c>
      <c r="G29" s="32" t="n">
        <f aca="false">輸入與假設!D$288/2</f>
        <v>41.1415337633538</v>
      </c>
      <c r="H29" s="32" t="n">
        <f aca="false">輸入與假設!D$288/2</f>
        <v>41.1415337633538</v>
      </c>
      <c r="J29" s="6" t="s">
        <v>1255</v>
      </c>
    </row>
    <row r="30" customFormat="false" ht="15" hidden="true" customHeight="false" outlineLevel="1" collapsed="false">
      <c r="A30" s="3" t="s">
        <v>1256</v>
      </c>
      <c r="B30" s="11" t="s">
        <v>65</v>
      </c>
      <c r="C30" s="32" t="n">
        <f aca="false">輸入與假設!C$206*C22/MAX(0.000000001,C23)</f>
        <v>0</v>
      </c>
      <c r="D30" s="32" t="n">
        <f aca="false">輸入與假設!C$206*D22/MAX(0.000000001,C23)</f>
        <v>0</v>
      </c>
      <c r="E30" s="32" t="n">
        <f aca="false">輸入與假設!C$206*E22/MAX(0.000000001,C23)</f>
        <v>0</v>
      </c>
      <c r="F30" s="32" t="n">
        <f aca="false">輸入與假設!C$206*F22/MAX(0.000000001,C23)</f>
        <v>0</v>
      </c>
      <c r="G30" s="32" t="n">
        <f aca="false">輸入與假設!D$206*G22/MAX(0.000000001,D23)</f>
        <v>0</v>
      </c>
      <c r="H30" s="32" t="n">
        <f aca="false">輸入與假設!D$206*H22/MAX(0.000000001,D23)</f>
        <v>0</v>
      </c>
      <c r="J30" s="6" t="s">
        <v>1257</v>
      </c>
    </row>
    <row r="31" customFormat="false" ht="15" hidden="true" customHeight="false" outlineLevel="1" collapsed="false">
      <c r="A31" s="3" t="s">
        <v>1258</v>
      </c>
      <c r="B31" s="11" t="s">
        <v>65</v>
      </c>
      <c r="C31" s="32" t="n">
        <f aca="false">C28-C29-C30</f>
        <v>41.0086777893517</v>
      </c>
      <c r="D31" s="32" t="n">
        <f aca="false">D28-D29-D30</f>
        <v>43.5958769396123</v>
      </c>
      <c r="E31" s="32" t="n">
        <f aca="false">E28-E29-E30</f>
        <v>46.2152999631959</v>
      </c>
      <c r="F31" s="32" t="n">
        <f aca="false">F28-F29-F30</f>
        <v>48.8669468601025</v>
      </c>
      <c r="G31" s="32" t="n">
        <f aca="false">G28-G29-G30</f>
        <v>87.322616483265</v>
      </c>
      <c r="H31" s="32" t="n">
        <f aca="false">H28-H29-H30</f>
        <v>112.688328502363</v>
      </c>
      <c r="J31" s="6" t="s">
        <v>1259</v>
      </c>
    </row>
    <row r="32" customFormat="false" ht="15" hidden="true" customHeight="false" outlineLevel="1" collapsed="false">
      <c r="A32" s="3" t="s">
        <v>1260</v>
      </c>
      <c r="B32" s="11" t="s">
        <v>65</v>
      </c>
      <c r="C32" s="32" t="n">
        <f aca="false">IF(ISNUMBER(輸入與假設!C$526),輸入與假設!C$526,"不適用")</f>
        <v>89.85</v>
      </c>
      <c r="D32" s="32" t="str">
        <f aca="false">IF(ISNUMBER(輸入與假設!D$526),輸入與假設!D$526,"不適用")</f>
        <v>不適用</v>
      </c>
      <c r="E32" s="32" t="str">
        <f aca="false">IF(ISNUMBER(輸入與假設!E$526),輸入與假設!E$526,"不適用")</f>
        <v>不適用</v>
      </c>
      <c r="F32" s="32" t="str">
        <f aca="false">IF(ISNUMBER(輸入與假設!F$526),輸入與假設!F$526,"不適用")</f>
        <v>不適用</v>
      </c>
      <c r="G32" s="32" t="str">
        <f aca="false">IF(ISNUMBER(輸入與假設!G$526),輸入與假設!G$526,"不適用")</f>
        <v>不適用</v>
      </c>
      <c r="H32" s="32" t="str">
        <f aca="false">IF(ISNUMBER(輸入與假設!H$526),輸入與假設!H$526,"不適用")</f>
        <v>不適用</v>
      </c>
    </row>
    <row r="33" customFormat="false" ht="15" hidden="true" customHeight="false" outlineLevel="1" collapsed="false">
      <c r="A33" s="3" t="s">
        <v>1261</v>
      </c>
      <c r="B33" s="11" t="s">
        <v>65</v>
      </c>
      <c r="C33" s="32" t="n">
        <f aca="false">IF(ISNUMBER(輸入與假設!C$527),輸入與假設!C$527,"不適用")</f>
        <v>90.95</v>
      </c>
      <c r="D33" s="32" t="str">
        <f aca="false">IF(ISNUMBER(輸入與假設!D$527),輸入與假設!D$527,"不適用")</f>
        <v>不適用</v>
      </c>
      <c r="E33" s="32" t="str">
        <f aca="false">IF(ISNUMBER(輸入與假設!E$527),輸入與假設!E$527,"不適用")</f>
        <v>不適用</v>
      </c>
      <c r="F33" s="32" t="str">
        <f aca="false">IF(ISNUMBER(輸入與假設!F$527),輸入與假設!F$527,"不適用")</f>
        <v>不適用</v>
      </c>
      <c r="G33" s="32" t="str">
        <f aca="false">IF(ISNUMBER(輸入與假設!G$527),輸入與假設!G$527,"不適用")</f>
        <v>不適用</v>
      </c>
      <c r="H33" s="32" t="str">
        <f aca="false">IF(ISNUMBER(輸入與假設!H$527),輸入與假設!H$527,"不適用")</f>
        <v>不適用</v>
      </c>
    </row>
    <row r="34" customFormat="false" ht="15" hidden="true" customHeight="false" outlineLevel="1" collapsed="false">
      <c r="A34" s="3" t="s">
        <v>1262</v>
      </c>
      <c r="B34" s="11" t="s">
        <v>65</v>
      </c>
      <c r="C34" s="32" t="n">
        <f aca="false">IF(ISNUMBER(輸入與假設!C$528),輸入與假設!C$528,"不適用")</f>
        <v>43.15</v>
      </c>
      <c r="D34" s="32" t="str">
        <f aca="false">IF(ISNUMBER(輸入與假設!D$528),輸入與假設!D$528,"不適用")</f>
        <v>不適用</v>
      </c>
      <c r="E34" s="32" t="str">
        <f aca="false">IF(ISNUMBER(輸入與假設!E$528),輸入與假設!E$528,"不適用")</f>
        <v>不適用</v>
      </c>
      <c r="F34" s="32" t="str">
        <f aca="false">IF(ISNUMBER(輸入與假設!F$528),輸入與假設!F$528,"不適用")</f>
        <v>不適用</v>
      </c>
      <c r="G34" s="32" t="str">
        <f aca="false">IF(ISNUMBER(輸入與假設!G$528),輸入與假設!G$528,"不適用")</f>
        <v>不適用</v>
      </c>
      <c r="H34" s="32" t="str">
        <f aca="false">IF(ISNUMBER(輸入與假設!H$528),輸入與假設!H$528,"不適用")</f>
        <v>不適用</v>
      </c>
    </row>
    <row r="35" customFormat="false" ht="15" hidden="true" customHeight="false" outlineLevel="1" collapsed="false">
      <c r="A35" s="3" t="s">
        <v>1263</v>
      </c>
      <c r="B35" s="11" t="s">
        <v>65</v>
      </c>
      <c r="C35" s="32" t="n">
        <f aca="false">IF(ISNUMBER(輸入與假設!C$529),輸入與假設!C$529,"不適用")</f>
        <v>44.55</v>
      </c>
      <c r="D35" s="32" t="str">
        <f aca="false">IF(ISNUMBER(輸入與假設!D$529),輸入與假設!D$529,"不適用")</f>
        <v>不適用</v>
      </c>
      <c r="E35" s="32" t="str">
        <f aca="false">IF(ISNUMBER(輸入與假設!E$529),輸入與假設!E$529,"不適用")</f>
        <v>不適用</v>
      </c>
      <c r="F35" s="32" t="str">
        <f aca="false">IF(ISNUMBER(輸入與假設!F$529),輸入與假設!F$529,"不適用")</f>
        <v>不適用</v>
      </c>
      <c r="G35" s="32" t="str">
        <f aca="false">IF(ISNUMBER(輸入與假設!G$529),輸入與假設!G$529,"不適用")</f>
        <v>不適用</v>
      </c>
      <c r="H35" s="32" t="str">
        <f aca="false">IF(ISNUMBER(輸入與假設!H$529),輸入與假設!H$529,"不適用")</f>
        <v>不適用</v>
      </c>
    </row>
    <row r="36" customFormat="false" ht="15" hidden="true" customHeight="false" outlineLevel="1" collapsed="false">
      <c r="A36" s="4" t="s">
        <v>1264</v>
      </c>
      <c r="B36" s="11" t="s">
        <v>65</v>
      </c>
      <c r="C36" s="32" t="n">
        <f aca="false">IF((C21+D21+E21+F21)&gt;0,輸入與假設!C$287*C21/(C21+D21+E21+F21),輸入與假設!C$287/4)</f>
        <v>51.0504326451763</v>
      </c>
      <c r="D36" s="32" t="n">
        <f aca="false">IF((C21+D21+E21+F21)&gt;0,輸入與假設!C$287*D21/(C21+D21+E21+F21),輸入與假設!C$287/4)</f>
        <v>51.0504326451763</v>
      </c>
      <c r="E36" s="32" t="n">
        <f aca="false">IF((C21+D21+E21+F21)&gt;0,輸入與假設!C$287*E21/(C21+D21+E21+F21),輸入與假設!C$287/4)</f>
        <v>51.0504326451762</v>
      </c>
      <c r="F36" s="32" t="n">
        <f aca="false">IF((C21+D21+E21+F21)&gt;0,輸入與假設!C$287*F21/(C21+D21+E21+F21),輸入與假設!C$287/4)</f>
        <v>51.0504326451763</v>
      </c>
      <c r="G36" s="32" t="n">
        <f aca="false">IF((G21+H21)&gt;0,輸入與假設!D$287*G21/(G21+H21),輸入與假設!D$287/2)</f>
        <v>108.103680020678</v>
      </c>
      <c r="H36" s="32" t="n">
        <f aca="false">IF((G21+H21)&gt;0,輸入與假設!D$287*H21/(G21+H21),輸入與假設!D$287/2)</f>
        <v>108.103680020678</v>
      </c>
      <c r="J36" s="6" t="s">
        <v>1265</v>
      </c>
    </row>
    <row r="37" customFormat="false" ht="15" hidden="true" customHeight="false" outlineLevel="1" collapsed="false">
      <c r="A37" s="3" t="s">
        <v>1266</v>
      </c>
      <c r="B37" s="11" t="s">
        <v>65</v>
      </c>
      <c r="C37" s="32" t="n">
        <f aca="false">IF(ISNUMBER(輸入與假設!$C$495),輸入與假設!$C$495,"不適用")</f>
        <v>90.685</v>
      </c>
      <c r="D37" s="66" t="s">
        <v>879</v>
      </c>
      <c r="E37" s="66" t="s">
        <v>879</v>
      </c>
      <c r="F37" s="66" t="s">
        <v>879</v>
      </c>
      <c r="G37" s="66" t="s">
        <v>879</v>
      </c>
      <c r="H37" s="66" t="s">
        <v>879</v>
      </c>
      <c r="J37" s="11" t="s">
        <v>1267</v>
      </c>
    </row>
    <row r="38" customFormat="false" ht="15" hidden="true" customHeight="false" outlineLevel="1" collapsed="false">
      <c r="A38" s="3" t="s">
        <v>1268</v>
      </c>
      <c r="B38" s="11" t="s">
        <v>65</v>
      </c>
      <c r="C38" s="66" t="n">
        <f aca="false">IF(ISNUMBER(輸入與假設!$C$496),輸入與假設!$C$496,"不適用")</f>
        <v>56.56</v>
      </c>
      <c r="D38" s="66" t="s">
        <v>879</v>
      </c>
      <c r="E38" s="66" t="s">
        <v>879</v>
      </c>
      <c r="F38" s="66" t="s">
        <v>879</v>
      </c>
      <c r="G38" s="66" t="s">
        <v>879</v>
      </c>
      <c r="H38" s="66" t="s">
        <v>879</v>
      </c>
      <c r="J38" s="11" t="s">
        <v>1267</v>
      </c>
    </row>
    <row r="39" customFormat="false" ht="15" hidden="true" customHeight="false" outlineLevel="1" collapsed="false">
      <c r="A39" s="3" t="s">
        <v>1269</v>
      </c>
      <c r="B39" s="11" t="s">
        <v>42</v>
      </c>
      <c r="C39" s="38" t="n">
        <f aca="false">IF(AND(ISNUMBER(輸入與假設!$C$496),ISNUMBER(輸入與假設!$C$495)),輸入與假設!$C$496/輸入與假設!$C$495,"不適用")</f>
        <v>0.62369741412582</v>
      </c>
      <c r="D39" s="67" t="s">
        <v>879</v>
      </c>
      <c r="E39" s="67" t="s">
        <v>879</v>
      </c>
      <c r="F39" s="67" t="s">
        <v>879</v>
      </c>
      <c r="G39" s="67" t="s">
        <v>879</v>
      </c>
      <c r="H39" s="67" t="s">
        <v>879</v>
      </c>
      <c r="J39" s="6" t="s">
        <v>1270</v>
      </c>
    </row>
    <row r="40" customFormat="false" ht="15" hidden="true" customHeight="false" outlineLevel="1" collapsed="false">
      <c r="A40" s="3" t="s">
        <v>1271</v>
      </c>
      <c r="B40" s="11" t="s">
        <v>65</v>
      </c>
      <c r="C40" s="66" t="n">
        <f aca="false">IF(ISNUMBER(輸入與假設!$C$497),輸入與假設!$C$497,"不適用")</f>
        <v>43.994</v>
      </c>
      <c r="D40" s="66" t="s">
        <v>879</v>
      </c>
      <c r="E40" s="66" t="s">
        <v>879</v>
      </c>
      <c r="F40" s="66" t="s">
        <v>879</v>
      </c>
      <c r="G40" s="66" t="s">
        <v>879</v>
      </c>
      <c r="H40" s="66" t="s">
        <v>879</v>
      </c>
      <c r="J40" s="6" t="s">
        <v>1272</v>
      </c>
    </row>
    <row r="41" customFormat="false" ht="15" hidden="true" customHeight="false" outlineLevel="1" collapsed="false">
      <c r="A41" s="3" t="s">
        <v>1273</v>
      </c>
      <c r="B41" s="11" t="s">
        <v>65</v>
      </c>
      <c r="C41" s="39" t="str">
        <f aca="false">IF(ISNUMBER(輸入與假設!C$518),輸入與假設!C$518,"")</f>
        <v/>
      </c>
      <c r="D41" s="39" t="str">
        <f aca="false">IF(ISNUMBER(輸入與假設!D$518),輸入與假設!D$518,"")</f>
        <v/>
      </c>
      <c r="E41" s="39" t="str">
        <f aca="false">IF(ISNUMBER(輸入與假設!E$518),輸入與假設!E$518,"")</f>
        <v/>
      </c>
      <c r="F41" s="39" t="str">
        <f aca="false">IF(ISNUMBER(輸入與假設!F$518),輸入與假設!F$518,"")</f>
        <v/>
      </c>
      <c r="G41" s="39" t="str">
        <f aca="false">IF(ISNUMBER(輸入與假設!G$518),輸入與假設!G$518,"")</f>
        <v/>
      </c>
      <c r="H41" s="39" t="str">
        <f aca="false">IF(ISNUMBER(輸入與假設!H$518),輸入與假設!H$518,"")</f>
        <v/>
      </c>
    </row>
    <row r="42" customFormat="false" ht="15" hidden="true" customHeight="false" outlineLevel="1" collapsed="false">
      <c r="A42" s="3" t="s">
        <v>1274</v>
      </c>
      <c r="B42" s="11" t="s">
        <v>65</v>
      </c>
      <c r="C42" s="39" t="str">
        <f aca="false">IF(ISNUMBER(輸入與假設!C$519),輸入與假設!C$519,"")</f>
        <v/>
      </c>
      <c r="D42" s="39" t="str">
        <f aca="false">IF(ISNUMBER(輸入與假設!D$519),輸入與假設!D$519,"")</f>
        <v/>
      </c>
      <c r="E42" s="39" t="str">
        <f aca="false">IF(ISNUMBER(輸入與假設!E$519),輸入與假設!E$519,"")</f>
        <v/>
      </c>
      <c r="F42" s="39" t="str">
        <f aca="false">IF(ISNUMBER(輸入與假設!F$519),輸入與假設!F$519,"")</f>
        <v/>
      </c>
      <c r="G42" s="39" t="str">
        <f aca="false">IF(ISNUMBER(輸入與假設!G$519),輸入與假設!G$519,"")</f>
        <v/>
      </c>
      <c r="H42" s="39" t="str">
        <f aca="false">IF(ISNUMBER(輸入與假設!H$519),輸入與假設!H$519,"")</f>
        <v/>
      </c>
    </row>
    <row r="43" customFormat="false" ht="15" hidden="true" customHeight="false" outlineLevel="1" collapsed="false">
      <c r="A43" s="3" t="s">
        <v>1275</v>
      </c>
      <c r="B43" s="11" t="s">
        <v>42</v>
      </c>
      <c r="C43" s="67" t="str">
        <f aca="false">IF(AND(ISNUMBER(輸入與假設!C$519),ISNUMBER(輸入與假設!C$518)),輸入與假設!C$519/輸入與假設!C$518,"")</f>
        <v/>
      </c>
      <c r="D43" s="67" t="str">
        <f aca="false">IF(AND(ISNUMBER(輸入與假設!D$519),ISNUMBER(輸入與假設!D$518)),輸入與假設!D$519/輸入與假設!D$518,"")</f>
        <v/>
      </c>
      <c r="E43" s="67" t="str">
        <f aca="false">IF(AND(ISNUMBER(輸入與假設!E$519),ISNUMBER(輸入與假設!E$518)),輸入與假設!E$519/輸入與假設!E$518,"")</f>
        <v/>
      </c>
      <c r="F43" s="67" t="str">
        <f aca="false">IF(AND(ISNUMBER(輸入與假設!F$519),ISNUMBER(輸入與假設!F$518)),輸入與假設!F$519/輸入與假設!F$518,"")</f>
        <v/>
      </c>
      <c r="G43" s="67" t="str">
        <f aca="false">IF(AND(ISNUMBER(輸入與假設!G$519),ISNUMBER(輸入與假設!G$518)),輸入與假設!G$519/輸入與假設!G$518,"")</f>
        <v/>
      </c>
      <c r="H43" s="67" t="str">
        <f aca="false">IF(AND(ISNUMBER(輸入與假設!H$519),ISNUMBER(輸入與假設!H$518)),輸入與假設!H$519/輸入與假設!H$518,"")</f>
        <v/>
      </c>
      <c r="J43" s="6" t="s">
        <v>1276</v>
      </c>
    </row>
    <row r="44" customFormat="false" ht="15" hidden="true" customHeight="false" outlineLevel="1" collapsed="false">
      <c r="A44" s="3" t="s">
        <v>1277</v>
      </c>
      <c r="B44" s="11" t="s">
        <v>65</v>
      </c>
      <c r="C44" s="39" t="str">
        <f aca="false">IF(ISNUMBER(輸入與假設!C$520),輸入與假設!C$520,"")</f>
        <v/>
      </c>
      <c r="D44" s="39" t="str">
        <f aca="false">IF(ISNUMBER(輸入與假設!D$520),輸入與假設!D$520,"")</f>
        <v/>
      </c>
      <c r="E44" s="39" t="str">
        <f aca="false">IF(ISNUMBER(輸入與假設!E$520),輸入與假設!E$520,"")</f>
        <v/>
      </c>
      <c r="F44" s="39" t="str">
        <f aca="false">IF(ISNUMBER(輸入與假設!F$520),輸入與假設!F$520,"")</f>
        <v/>
      </c>
      <c r="G44" s="39" t="str">
        <f aca="false">IF(ISNUMBER(輸入與假設!G$520),輸入與假設!G$520,"")</f>
        <v/>
      </c>
      <c r="H44" s="39" t="str">
        <f aca="false">IF(ISNUMBER(輸入與假設!H$520),輸入與假設!H$520,"")</f>
        <v/>
      </c>
    </row>
    <row r="45" customFormat="false" ht="15" hidden="true" customHeight="false" outlineLevel="1" collapsed="false">
      <c r="A45" s="3" t="s">
        <v>1278</v>
      </c>
      <c r="B45" s="11" t="s">
        <v>65</v>
      </c>
      <c r="C45" s="39" t="str">
        <f aca="false">IF(ISNUMBER(輸入與假設!C$521),輸入與假設!C$521,"")</f>
        <v/>
      </c>
      <c r="D45" s="39" t="str">
        <f aca="false">IF(ISNUMBER(輸入與假設!D$521),輸入與假設!D$521,"")</f>
        <v/>
      </c>
      <c r="E45" s="39" t="str">
        <f aca="false">IF(ISNUMBER(輸入與假設!E$521),輸入與假設!E$521,"")</f>
        <v/>
      </c>
      <c r="F45" s="39" t="str">
        <f aca="false">IF(ISNUMBER(輸入與假設!F$521),輸入與假設!F$521,"")</f>
        <v/>
      </c>
      <c r="G45" s="39" t="str">
        <f aca="false">IF(ISNUMBER(輸入與假設!G$521),輸入與假設!G$521,"")</f>
        <v/>
      </c>
      <c r="H45" s="39" t="str">
        <f aca="false">IF(ISNUMBER(輸入與假設!H$521),輸入與假設!H$521,"")</f>
        <v/>
      </c>
    </row>
    <row r="46" customFormat="false" ht="15" hidden="true" customHeight="false" outlineLevel="1" collapsed="false">
      <c r="A46" s="3" t="s">
        <v>1279</v>
      </c>
      <c r="B46" s="11" t="s">
        <v>157</v>
      </c>
      <c r="C46" s="39" t="str">
        <f aca="false">IF(ISNUMBER(輸入與假設!C$522),輸入與假設!C$522,"")</f>
        <v/>
      </c>
      <c r="D46" s="39" t="str">
        <f aca="false">IF(ISNUMBER(輸入與假設!D$522),輸入與假設!D$522,"")</f>
        <v/>
      </c>
      <c r="E46" s="39" t="str">
        <f aca="false">IF(ISNUMBER(輸入與假設!E$522),輸入與假設!E$522,"")</f>
        <v/>
      </c>
      <c r="F46" s="39" t="str">
        <f aca="false">IF(ISNUMBER(輸入與假設!F$522),輸入與假設!F$522,"")</f>
        <v/>
      </c>
      <c r="G46" s="39" t="str">
        <f aca="false">IF(ISNUMBER(輸入與假設!G$522),輸入與假設!G$522,"")</f>
        <v/>
      </c>
      <c r="H46" s="39" t="str">
        <f aca="false">IF(ISNUMBER(輸入與假設!H$522),輸入與假設!H$522,"")</f>
        <v/>
      </c>
    </row>
    <row r="47" customFormat="false" ht="15" hidden="true" customHeight="false" outlineLevel="1" collapsed="false">
      <c r="A47" s="3" t="s">
        <v>1280</v>
      </c>
      <c r="B47" s="11" t="s">
        <v>42</v>
      </c>
      <c r="C47" s="67" t="n">
        <f aca="false">IF(AND(ISNUMBER(C22),ISNUMBER(C37),C37&lt;&gt;0),C22/(C37)-1,"不適用")</f>
        <v>0.0337846257418537</v>
      </c>
      <c r="D47" s="67" t="str">
        <f aca="false">IF(AND(ISNUMBER(D22),ISNUMBER(D37),D37&lt;&gt;0),D22/(D37)-1,"不適用")</f>
        <v>不適用</v>
      </c>
      <c r="E47" s="67" t="str">
        <f aca="false">IF(AND(ISNUMBER(E22),ISNUMBER(E37),E37&lt;&gt;0),E22/(E37)-1,"不適用")</f>
        <v>不適用</v>
      </c>
      <c r="F47" s="67" t="str">
        <f aca="false">IF(AND(ISNUMBER(F22),ISNUMBER(F37),F37&lt;&gt;0),F22/(F37)-1,"不適用")</f>
        <v>不適用</v>
      </c>
      <c r="G47" s="67" t="str">
        <f aca="false">IF(AND(ISNUMBER(G22),ISNUMBER(G37),G37&lt;&gt;0),G22/(G37)-1,"不適用")</f>
        <v>不適用</v>
      </c>
      <c r="H47" s="67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1281</v>
      </c>
      <c r="B48" s="11" t="s">
        <v>42</v>
      </c>
      <c r="C48" s="67" t="n">
        <f aca="false">IF(AND(ISNUMBER(C22),ISNUMBER(C32),ISNUMBER(C33)),C22/(((C32+C33)/2))-1,"不適用")</f>
        <v>0.0370437918738937</v>
      </c>
      <c r="D48" s="67" t="str">
        <f aca="false">IF(AND(ISNUMBER(D22),ISNUMBER(D32),ISNUMBER(D33)),D22/(((D32+D33)/2))-1,"不適用")</f>
        <v>不適用</v>
      </c>
      <c r="E48" s="67" t="str">
        <f aca="false">IF(AND(ISNUMBER(E22),ISNUMBER(E32),ISNUMBER(E33)),E22/(((E32+E33)/2))-1,"不適用")</f>
        <v>不適用</v>
      </c>
      <c r="F48" s="67" t="str">
        <f aca="false">IF(AND(ISNUMBER(F22),ISNUMBER(F32),ISNUMBER(F33)),F22/(((F32+F33)/2))-1,"不適用")</f>
        <v>不適用</v>
      </c>
      <c r="G48" s="67" t="str">
        <f aca="false">IF(AND(ISNUMBER(G22),ISNUMBER(G32),ISNUMBER(G33)),G22/(((G32+G33)/2))-1,"不適用")</f>
        <v>不適用</v>
      </c>
      <c r="H48" s="67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1282</v>
      </c>
      <c r="B49" s="11" t="s">
        <v>42</v>
      </c>
      <c r="C49" s="67" t="str">
        <f aca="false">IF(ISNUMBER(C41),IF(AND(ISNUMBER(C22),C22&lt;&gt;0),C41/(C22)-1,"不適用"),"")</f>
        <v/>
      </c>
      <c r="D49" s="67" t="str">
        <f aca="false">IF(ISNUMBER(D41),IF(AND(ISNUMBER(D22),D22&lt;&gt;0),D41/(D22)-1,"不適用"),"")</f>
        <v/>
      </c>
      <c r="E49" s="67" t="str">
        <f aca="false">IF(ISNUMBER(E41),IF(AND(ISNUMBER(E22),E22&lt;&gt;0),E41/(E22)-1,"不適用"),"")</f>
        <v/>
      </c>
      <c r="F49" s="67" t="str">
        <f aca="false">IF(ISNUMBER(F41),IF(AND(ISNUMBER(F22),F22&lt;&gt;0),F41/(F22)-1,"不適用"),"")</f>
        <v/>
      </c>
      <c r="G49" s="67" t="str">
        <f aca="false">IF(ISNUMBER(G41),IF(AND(ISNUMBER(G22),G22&lt;&gt;0),G41/(G22)-1,"不適用"),"")</f>
        <v/>
      </c>
      <c r="H49" s="67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1283</v>
      </c>
      <c r="B50" s="11" t="s">
        <v>42</v>
      </c>
      <c r="C50" s="67" t="str">
        <f aca="false">IF(ISNUMBER(C41),IF(AND(ISNUMBER(C37),C37&lt;&gt;0),C41/(C37)-1,"不適用"),"")</f>
        <v/>
      </c>
      <c r="D50" s="67" t="str">
        <f aca="false">IF(ISNUMBER(D41),IF(AND(ISNUMBER(D37),D37&lt;&gt;0),D41/(D37)-1,"不適用"),"")</f>
        <v/>
      </c>
      <c r="E50" s="67" t="str">
        <f aca="false">IF(ISNUMBER(E41),IF(AND(ISNUMBER(E37),E37&lt;&gt;0),E41/(E37)-1,"不適用"),"")</f>
        <v/>
      </c>
      <c r="F50" s="67" t="str">
        <f aca="false">IF(ISNUMBER(F41),IF(AND(ISNUMBER(F37),F37&lt;&gt;0),F41/(F37)-1,"不適用"),"")</f>
        <v/>
      </c>
      <c r="G50" s="67" t="str">
        <f aca="false">IF(ISNUMBER(G41),IF(AND(ISNUMBER(G37),G37&lt;&gt;0),G41/(G37)-1,"不適用"),"")</f>
        <v/>
      </c>
      <c r="H50" s="67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1284</v>
      </c>
      <c r="B51" s="11" t="s">
        <v>42</v>
      </c>
      <c r="C51" s="67" t="str">
        <f aca="false">IF(ISNUMBER(C41),IF(AND(ISNUMBER(C32),ISNUMBER(C33)),C41/(((C32+C33)/2))-1,"不適用"),"")</f>
        <v/>
      </c>
      <c r="D51" s="67" t="str">
        <f aca="false">IF(ISNUMBER(D41),IF(AND(ISNUMBER(D32),ISNUMBER(D33)),D41/(((D32+D33)/2))-1,"不適用"),"")</f>
        <v/>
      </c>
      <c r="E51" s="67" t="str">
        <f aca="false">IF(ISNUMBER(E41),IF(AND(ISNUMBER(E32),ISNUMBER(E33)),E41/(((E32+E33)/2))-1,"不適用"),"")</f>
        <v/>
      </c>
      <c r="F51" s="67" t="str">
        <f aca="false">IF(ISNUMBER(F41),IF(AND(ISNUMBER(F32),ISNUMBER(F33)),F41/(((F32+F33)/2))-1,"不適用"),"")</f>
        <v/>
      </c>
      <c r="G51" s="67" t="str">
        <f aca="false">IF(ISNUMBER(G41),IF(AND(ISNUMBER(G32),ISNUMBER(G33)),G41/(((G32+G33)/2))-1,"不適用"),"")</f>
        <v/>
      </c>
      <c r="H51" s="67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1285</v>
      </c>
      <c r="B52" s="11" t="s">
        <v>65</v>
      </c>
      <c r="C52" s="66" t="n">
        <f aca="false">IF(AND(ISNUMBER(C28),ISNUMBER(C38)),C28-(C38),"不適用")</f>
        <v>-2.25620177724079</v>
      </c>
      <c r="D52" s="66" t="str">
        <f aca="false">IF(AND(ISNUMBER(D28),ISNUMBER(D38)),D28-(D38),"不適用")</f>
        <v>不適用</v>
      </c>
      <c r="E52" s="66" t="str">
        <f aca="false">IF(AND(ISNUMBER(E28),ISNUMBER(E38)),E28-(E38),"不適用")</f>
        <v>不適用</v>
      </c>
      <c r="F52" s="66" t="str">
        <f aca="false">IF(AND(ISNUMBER(F28),ISNUMBER(F38)),F28-(F38),"不適用")</f>
        <v>不適用</v>
      </c>
      <c r="G52" s="66" t="str">
        <f aca="false">IF(AND(ISNUMBER(G28),ISNUMBER(G38)),G28-(G38),"不適用")</f>
        <v>不適用</v>
      </c>
      <c r="H52" s="66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1286</v>
      </c>
      <c r="B53" s="11" t="s">
        <v>65</v>
      </c>
      <c r="C53" s="66" t="s">
        <v>879</v>
      </c>
      <c r="D53" s="66" t="s">
        <v>879</v>
      </c>
      <c r="E53" s="66" t="s">
        <v>879</v>
      </c>
      <c r="F53" s="66" t="s">
        <v>879</v>
      </c>
      <c r="G53" s="66" t="s">
        <v>879</v>
      </c>
      <c r="H53" s="66" t="s">
        <v>879</v>
      </c>
    </row>
    <row r="54" customFormat="false" ht="15" hidden="true" customHeight="false" outlineLevel="1" collapsed="false">
      <c r="A54" s="3" t="s">
        <v>1287</v>
      </c>
      <c r="B54" s="11" t="s">
        <v>65</v>
      </c>
      <c r="C54" s="66" t="str">
        <f aca="false">IF(ISNUMBER(C42),IF(AND(ISNUMBER(C28)),C42-(C28),"不適用"),"")</f>
        <v/>
      </c>
      <c r="D54" s="66" t="str">
        <f aca="false">IF(ISNUMBER(D42),IF(AND(ISNUMBER(D28)),D42-(D28),"不適用"),"")</f>
        <v/>
      </c>
      <c r="E54" s="66" t="str">
        <f aca="false">IF(ISNUMBER(E42),IF(AND(ISNUMBER(E28)),E42-(E28),"不適用"),"")</f>
        <v/>
      </c>
      <c r="F54" s="66" t="str">
        <f aca="false">IF(ISNUMBER(F42),IF(AND(ISNUMBER(F28)),F42-(F28),"不適用"),"")</f>
        <v/>
      </c>
      <c r="G54" s="66" t="str">
        <f aca="false">IF(ISNUMBER(G42),IF(AND(ISNUMBER(G28)),G42-(G28),"不適用"),"")</f>
        <v/>
      </c>
      <c r="H54" s="66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1288</v>
      </c>
      <c r="B55" s="11" t="s">
        <v>65</v>
      </c>
      <c r="C55" s="66" t="str">
        <f aca="false">IF(ISNUMBER(C42),IF(AND(ISNUMBER(C38)),C42-(C38),"不適用"),"")</f>
        <v/>
      </c>
      <c r="D55" s="66" t="str">
        <f aca="false">IF(ISNUMBER(D42),IF(AND(ISNUMBER(D38)),D42-(D38),"不適用"),"")</f>
        <v/>
      </c>
      <c r="E55" s="66" t="str">
        <f aca="false">IF(ISNUMBER(E42),IF(AND(ISNUMBER(E38)),E42-(E38),"不適用"),"")</f>
        <v/>
      </c>
      <c r="F55" s="66" t="str">
        <f aca="false">IF(ISNUMBER(F42),IF(AND(ISNUMBER(F38)),F42-(F38),"不適用"),"")</f>
        <v/>
      </c>
      <c r="G55" s="66" t="str">
        <f aca="false">IF(ISNUMBER(G42),IF(AND(ISNUMBER(G38)),G42-(G38),"不適用"),"")</f>
        <v/>
      </c>
      <c r="H55" s="66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1289</v>
      </c>
      <c r="B56" s="11" t="s">
        <v>65</v>
      </c>
      <c r="C56" s="66" t="str">
        <f aca="false">IF(ISNUMBER(C42),"不適用","")</f>
        <v/>
      </c>
      <c r="D56" s="66" t="str">
        <f aca="false">IF(ISNUMBER(D42),"不適用","")</f>
        <v/>
      </c>
      <c r="E56" s="66" t="str">
        <f aca="false">IF(ISNUMBER(E42),"不適用","")</f>
        <v/>
      </c>
      <c r="F56" s="66" t="str">
        <f aca="false">IF(ISNUMBER(F42),"不適用","")</f>
        <v/>
      </c>
      <c r="G56" s="66" t="str">
        <f aca="false">IF(ISNUMBER(G42),"不適用","")</f>
        <v/>
      </c>
      <c r="H56" s="66" t="str">
        <f aca="false">IF(ISNUMBER(H42),"不適用","")</f>
        <v/>
      </c>
    </row>
    <row r="57" customFormat="false" ht="15" hidden="true" customHeight="false" outlineLevel="1" collapsed="false">
      <c r="A57" s="3" t="s">
        <v>1290</v>
      </c>
      <c r="B57" s="11" t="s">
        <v>77</v>
      </c>
      <c r="C57" s="67" t="n">
        <f aca="false">IF(AND(ISNUMBER(C28),ISNUMBER(C22),C22&lt;&gt;0,ISNUMBER(C38),ISNUMBER(C37),C37&lt;&gt;0),C28/C22-C38/C37,"不適用")</f>
        <v>-0.0444492307224977</v>
      </c>
      <c r="D57" s="67" t="str">
        <f aca="false">IF(AND(ISNUMBER(D28),ISNUMBER(D22),D22&lt;&gt;0,ISNUMBER(D38),ISNUMBER(D37),D37&lt;&gt;0),D28/D22-D38/D37,"不適用")</f>
        <v>不適用</v>
      </c>
      <c r="E57" s="67" t="str">
        <f aca="false">IF(AND(ISNUMBER(E28),ISNUMBER(E22),E22&lt;&gt;0,ISNUMBER(E38),ISNUMBER(E37),E37&lt;&gt;0),E28/E22-E38/E37,"不適用")</f>
        <v>不適用</v>
      </c>
      <c r="F57" s="67" t="str">
        <f aca="false">IF(AND(ISNUMBER(F28),ISNUMBER(F22),F22&lt;&gt;0,ISNUMBER(F38),ISNUMBER(F37),F37&lt;&gt;0),F28/F22-F38/F37,"不適用")</f>
        <v>不適用</v>
      </c>
      <c r="G57" s="67" t="str">
        <f aca="false">IF(AND(ISNUMBER(G28),ISNUMBER(G22),G22&lt;&gt;0,ISNUMBER(G38),ISNUMBER(G37),G37&lt;&gt;0),G28/G22-G38/G37,"不適用")</f>
        <v>不適用</v>
      </c>
      <c r="H57" s="67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1291</v>
      </c>
      <c r="B58" s="11" t="s">
        <v>77</v>
      </c>
      <c r="C58" s="67" t="s">
        <v>879</v>
      </c>
      <c r="D58" s="67" t="s">
        <v>879</v>
      </c>
      <c r="E58" s="67" t="s">
        <v>879</v>
      </c>
      <c r="F58" s="67" t="s">
        <v>879</v>
      </c>
      <c r="G58" s="67" t="s">
        <v>879</v>
      </c>
      <c r="H58" s="67" t="s">
        <v>879</v>
      </c>
    </row>
    <row r="59" customFormat="false" ht="15" hidden="true" customHeight="false" outlineLevel="1" collapsed="false">
      <c r="A59" s="3" t="s">
        <v>1292</v>
      </c>
      <c r="B59" s="11" t="s">
        <v>77</v>
      </c>
      <c r="C59" s="67" t="str">
        <f aca="false">IF(ISNUMBER(C42),IF(AND(ISNUMBER(C42),ISNUMBER(C41),C41&lt;&gt;0,ISNUMBER(C28),ISNUMBER(C22),C22&lt;&gt;0),C42/C41-C28/C22,"不適用"),"")</f>
        <v/>
      </c>
      <c r="D59" s="67" t="str">
        <f aca="false">IF(ISNUMBER(D42),IF(AND(ISNUMBER(D42),ISNUMBER(D41),D41&lt;&gt;0,ISNUMBER(D28),ISNUMBER(D22),D22&lt;&gt;0),D42/D41-D28/D22,"不適用"),"")</f>
        <v/>
      </c>
      <c r="E59" s="67" t="str">
        <f aca="false">IF(ISNUMBER(E42),IF(AND(ISNUMBER(E42),ISNUMBER(E41),E41&lt;&gt;0,ISNUMBER(E28),ISNUMBER(E22),E22&lt;&gt;0),E42/E41-E28/E22,"不適用"),"")</f>
        <v/>
      </c>
      <c r="F59" s="67" t="str">
        <f aca="false">IF(ISNUMBER(F42),IF(AND(ISNUMBER(F42),ISNUMBER(F41),F41&lt;&gt;0,ISNUMBER(F28),ISNUMBER(F22),F22&lt;&gt;0),F42/F41-F28/F22,"不適用"),"")</f>
        <v/>
      </c>
      <c r="G59" s="67" t="str">
        <f aca="false">IF(ISNUMBER(G42),IF(AND(ISNUMBER(G42),ISNUMBER(G41),G41&lt;&gt;0,ISNUMBER(G28),ISNUMBER(G22),G22&lt;&gt;0),G42/G41-G28/G22,"不適用"),"")</f>
        <v/>
      </c>
      <c r="H59" s="67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1293</v>
      </c>
      <c r="B60" s="11" t="s">
        <v>77</v>
      </c>
      <c r="C60" s="67" t="str">
        <f aca="false">IF(ISNUMBER(C42),IF(AND(ISNUMBER(C42),ISNUMBER(C41),C41&lt;&gt;0,ISNUMBER(C38),ISNUMBER(C37),C37&lt;&gt;0),C42/C41-C38/C37,"不適用"),"")</f>
        <v/>
      </c>
      <c r="D60" s="67" t="str">
        <f aca="false">IF(ISNUMBER(D42),IF(AND(ISNUMBER(D42),ISNUMBER(D41),D41&lt;&gt;0,ISNUMBER(D38),ISNUMBER(D37),D37&lt;&gt;0),D42/D41-D38/D37,"不適用"),"")</f>
        <v/>
      </c>
      <c r="E60" s="67" t="str">
        <f aca="false">IF(ISNUMBER(E42),IF(AND(ISNUMBER(E42),ISNUMBER(E41),E41&lt;&gt;0,ISNUMBER(E38),ISNUMBER(E37),E37&lt;&gt;0),E42/E41-E38/E37,"不適用"),"")</f>
        <v/>
      </c>
      <c r="F60" s="67" t="str">
        <f aca="false">IF(ISNUMBER(F42),IF(AND(ISNUMBER(F42),ISNUMBER(F41),F41&lt;&gt;0,ISNUMBER(F38),ISNUMBER(F37),F37&lt;&gt;0),F42/F41-F38/F37,"不適用"),"")</f>
        <v/>
      </c>
      <c r="G60" s="67" t="str">
        <f aca="false">IF(ISNUMBER(G42),IF(AND(ISNUMBER(G42),ISNUMBER(G41),G41&lt;&gt;0,ISNUMBER(G38),ISNUMBER(G37),G37&lt;&gt;0),G42/G41-G38/G37,"不適用"),"")</f>
        <v/>
      </c>
      <c r="H60" s="67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1294</v>
      </c>
      <c r="B61" s="11" t="s">
        <v>77</v>
      </c>
      <c r="C61" s="67" t="str">
        <f aca="false">IF(ISNUMBER(C42),"不適用","")</f>
        <v/>
      </c>
      <c r="D61" s="67" t="str">
        <f aca="false">IF(ISNUMBER(D42),"不適用","")</f>
        <v/>
      </c>
      <c r="E61" s="67" t="str">
        <f aca="false">IF(ISNUMBER(E42),"不適用","")</f>
        <v/>
      </c>
      <c r="F61" s="67" t="str">
        <f aca="false">IF(ISNUMBER(F42),"不適用","")</f>
        <v/>
      </c>
      <c r="G61" s="67" t="str">
        <f aca="false">IF(ISNUMBER(G42),"不適用","")</f>
        <v/>
      </c>
      <c r="H61" s="67" t="str">
        <f aca="false">IF(ISNUMBER(H42),"不適用","")</f>
        <v/>
      </c>
    </row>
    <row r="62" customFormat="false" ht="15" hidden="true" customHeight="false" outlineLevel="1" collapsed="false">
      <c r="A62" s="3" t="s">
        <v>1295</v>
      </c>
      <c r="B62" s="11" t="s">
        <v>77</v>
      </c>
      <c r="C62" s="67" t="n">
        <f aca="false">IF(AND(ISNUMBER(C27),ISNUMBER(C39)),C27-(C39),"不適用")</f>
        <v>-0.0444492307224977</v>
      </c>
      <c r="D62" s="67" t="str">
        <f aca="false">IF(AND(ISNUMBER(D27),ISNUMBER(D39)),D27-(D39),"不適用")</f>
        <v>不適用</v>
      </c>
      <c r="E62" s="67" t="str">
        <f aca="false">IF(AND(ISNUMBER(E27),ISNUMBER(E39)),E27-(E39),"不適用")</f>
        <v>不適用</v>
      </c>
      <c r="F62" s="67" t="str">
        <f aca="false">IF(AND(ISNUMBER(F27),ISNUMBER(F39)),F27-(F39),"不適用")</f>
        <v>不適用</v>
      </c>
      <c r="G62" s="67" t="str">
        <f aca="false">IF(AND(ISNUMBER(G27),ISNUMBER(G39)),G27-(G39),"不適用")</f>
        <v>不適用</v>
      </c>
      <c r="H62" s="67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1296</v>
      </c>
      <c r="B63" s="11" t="s">
        <v>77</v>
      </c>
      <c r="C63" s="67" t="s">
        <v>879</v>
      </c>
      <c r="D63" s="67" t="s">
        <v>879</v>
      </c>
      <c r="E63" s="67" t="s">
        <v>879</v>
      </c>
      <c r="F63" s="67" t="s">
        <v>879</v>
      </c>
      <c r="G63" s="67" t="s">
        <v>879</v>
      </c>
      <c r="H63" s="67" t="s">
        <v>879</v>
      </c>
    </row>
    <row r="64" customFormat="false" ht="15" hidden="true" customHeight="false" outlineLevel="1" collapsed="false">
      <c r="A64" s="3" t="s">
        <v>1297</v>
      </c>
      <c r="B64" s="11" t="s">
        <v>77</v>
      </c>
      <c r="C64" s="67" t="str">
        <f aca="false">IF(ISNUMBER(C43),IF(AND(ISNUMBER(C27)),C43-(C27),"不適用"),"")</f>
        <v/>
      </c>
      <c r="D64" s="67" t="str">
        <f aca="false">IF(ISNUMBER(D43),IF(AND(ISNUMBER(D27)),D43-(D27),"不適用"),"")</f>
        <v/>
      </c>
      <c r="E64" s="67" t="str">
        <f aca="false">IF(ISNUMBER(E43),IF(AND(ISNUMBER(E27)),E43-(E27),"不適用"),"")</f>
        <v/>
      </c>
      <c r="F64" s="67" t="str">
        <f aca="false">IF(ISNUMBER(F43),IF(AND(ISNUMBER(F27)),F43-(F27),"不適用"),"")</f>
        <v/>
      </c>
      <c r="G64" s="67" t="str">
        <f aca="false">IF(ISNUMBER(G43),IF(AND(ISNUMBER(G27)),G43-(G27),"不適用"),"")</f>
        <v/>
      </c>
      <c r="H64" s="67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1298</v>
      </c>
      <c r="B65" s="11" t="s">
        <v>77</v>
      </c>
      <c r="C65" s="67" t="str">
        <f aca="false">IF(ISNUMBER(C43),IF(AND(ISNUMBER(C39)),C43-(C39),"不適用"),"")</f>
        <v/>
      </c>
      <c r="D65" s="67" t="str">
        <f aca="false">IF(ISNUMBER(D43),IF(AND(ISNUMBER(D39)),D43-(D39),"不適用"),"")</f>
        <v/>
      </c>
      <c r="E65" s="67" t="str">
        <f aca="false">IF(ISNUMBER(E43),IF(AND(ISNUMBER(E39)),E43-(E39),"不適用"),"")</f>
        <v/>
      </c>
      <c r="F65" s="67" t="str">
        <f aca="false">IF(ISNUMBER(F43),IF(AND(ISNUMBER(F39)),F43-(F39),"不適用"),"")</f>
        <v/>
      </c>
      <c r="G65" s="67" t="str">
        <f aca="false">IF(ISNUMBER(G43),IF(AND(ISNUMBER(G39)),G43-(G39),"不適用"),"")</f>
        <v/>
      </c>
      <c r="H65" s="67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1299</v>
      </c>
      <c r="B66" s="11" t="s">
        <v>77</v>
      </c>
      <c r="C66" s="67" t="str">
        <f aca="false">IF(ISNUMBER(C43),"不適用","")</f>
        <v/>
      </c>
      <c r="D66" s="67" t="str">
        <f aca="false">IF(ISNUMBER(D43),"不適用","")</f>
        <v/>
      </c>
      <c r="E66" s="67" t="str">
        <f aca="false">IF(ISNUMBER(E43),"不適用","")</f>
        <v/>
      </c>
      <c r="F66" s="67" t="str">
        <f aca="false">IF(ISNUMBER(F43),"不適用","")</f>
        <v/>
      </c>
      <c r="G66" s="67" t="str">
        <f aca="false">IF(ISNUMBER(G43),"不適用","")</f>
        <v/>
      </c>
      <c r="H66" s="67" t="str">
        <f aca="false">IF(ISNUMBER(H43),"不適用","")</f>
        <v/>
      </c>
    </row>
    <row r="67" customFormat="false" ht="15" hidden="true" customHeight="false" outlineLevel="1" collapsed="false">
      <c r="A67" s="3" t="s">
        <v>1300</v>
      </c>
      <c r="B67" s="11" t="s">
        <v>65</v>
      </c>
      <c r="C67" s="66" t="s">
        <v>879</v>
      </c>
      <c r="D67" s="66" t="s">
        <v>879</v>
      </c>
      <c r="E67" s="66" t="s">
        <v>879</v>
      </c>
      <c r="F67" s="66" t="s">
        <v>879</v>
      </c>
      <c r="G67" s="66" t="s">
        <v>879</v>
      </c>
      <c r="H67" s="66" t="s">
        <v>879</v>
      </c>
    </row>
    <row r="68" customFormat="false" ht="15" hidden="true" customHeight="false" outlineLevel="1" collapsed="false">
      <c r="A68" s="3" t="s">
        <v>1301</v>
      </c>
      <c r="B68" s="11" t="s">
        <v>65</v>
      </c>
      <c r="C68" s="66" t="n">
        <f aca="false">IF(AND(ISNUMBER(C31),ISNUMBER(C34),ISNUMBER(C35)),C31-(((C34+C35)/2)),"不適用")</f>
        <v>-2.84132221064826</v>
      </c>
      <c r="D68" s="66" t="str">
        <f aca="false">IF(AND(ISNUMBER(D31),ISNUMBER(D34),ISNUMBER(D35)),D31-(((D34+D35)/2)),"不適用")</f>
        <v>不適用</v>
      </c>
      <c r="E68" s="66" t="str">
        <f aca="false">IF(AND(ISNUMBER(E31),ISNUMBER(E34),ISNUMBER(E35)),E31-(((E34+E35)/2)),"不適用")</f>
        <v>不適用</v>
      </c>
      <c r="F68" s="66" t="str">
        <f aca="false">IF(AND(ISNUMBER(F31),ISNUMBER(F34),ISNUMBER(F35)),F31-(((F34+F35)/2)),"不適用")</f>
        <v>不適用</v>
      </c>
      <c r="G68" s="66" t="str">
        <f aca="false">IF(AND(ISNUMBER(G31),ISNUMBER(G34),ISNUMBER(G35)),G31-(((G34+G35)/2)),"不適用")</f>
        <v>不適用</v>
      </c>
      <c r="H68" s="66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1302</v>
      </c>
      <c r="B69" s="11" t="s">
        <v>65</v>
      </c>
      <c r="C69" s="66" t="str">
        <f aca="false">IF(ISNUMBER(C44),IF(AND(ISNUMBER(C31)),C44-(C31),"不適用"),"")</f>
        <v/>
      </c>
      <c r="D69" s="66" t="str">
        <f aca="false">IF(ISNUMBER(D44),IF(AND(ISNUMBER(D31)),D44-(D31),"不適用"),"")</f>
        <v/>
      </c>
      <c r="E69" s="66" t="str">
        <f aca="false">IF(ISNUMBER(E44),IF(AND(ISNUMBER(E31)),E44-(E31),"不適用"),"")</f>
        <v/>
      </c>
      <c r="F69" s="66" t="str">
        <f aca="false">IF(ISNUMBER(F44),IF(AND(ISNUMBER(F31)),F44-(F31),"不適用"),"")</f>
        <v/>
      </c>
      <c r="G69" s="66" t="str">
        <f aca="false">IF(ISNUMBER(G44),IF(AND(ISNUMBER(G31)),G44-(G31),"不適用"),"")</f>
        <v/>
      </c>
      <c r="H69" s="66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1303</v>
      </c>
      <c r="B70" s="11" t="s">
        <v>65</v>
      </c>
      <c r="C70" s="66" t="str">
        <f aca="false">IF(ISNUMBER(C44),"不適用","")</f>
        <v/>
      </c>
      <c r="D70" s="66" t="str">
        <f aca="false">IF(ISNUMBER(D44),"不適用","")</f>
        <v/>
      </c>
      <c r="E70" s="66" t="str">
        <f aca="false">IF(ISNUMBER(E44),"不適用","")</f>
        <v/>
      </c>
      <c r="F70" s="66" t="str">
        <f aca="false">IF(ISNUMBER(F44),"不適用","")</f>
        <v/>
      </c>
      <c r="G70" s="66" t="str">
        <f aca="false">IF(ISNUMBER(G44),"不適用","")</f>
        <v/>
      </c>
      <c r="H70" s="66" t="str">
        <f aca="false">IF(ISNUMBER(H44),"不適用","")</f>
        <v/>
      </c>
    </row>
    <row r="71" customFormat="false" ht="15" hidden="true" customHeight="false" outlineLevel="1" collapsed="false">
      <c r="A71" s="3" t="s">
        <v>1304</v>
      </c>
      <c r="B71" s="11" t="s">
        <v>65</v>
      </c>
      <c r="C71" s="66" t="str">
        <f aca="false">IF(ISNUMBER(C44),IF(AND(ISNUMBER(C34),ISNUMBER(C35)),C44-(((C34+C35)/2)),"不適用"),"")</f>
        <v/>
      </c>
      <c r="D71" s="66" t="str">
        <f aca="false">IF(ISNUMBER(D44),IF(AND(ISNUMBER(D34),ISNUMBER(D35)),D44-(((D34+D35)/2)),"不適用"),"")</f>
        <v/>
      </c>
      <c r="E71" s="66" t="str">
        <f aca="false">IF(ISNUMBER(E44),IF(AND(ISNUMBER(E34),ISNUMBER(E35)),E44-(((E34+E35)/2)),"不適用"),"")</f>
        <v/>
      </c>
      <c r="F71" s="66" t="str">
        <f aca="false">IF(ISNUMBER(F44),IF(AND(ISNUMBER(F34),ISNUMBER(F35)),F44-(((F34+F35)/2)),"不適用"),"")</f>
        <v/>
      </c>
      <c r="G71" s="66" t="str">
        <f aca="false">IF(ISNUMBER(G44),IF(AND(ISNUMBER(G34),ISNUMBER(G35)),G44-(((G34+G35)/2)),"不適用"),"")</f>
        <v/>
      </c>
      <c r="H71" s="66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1305</v>
      </c>
      <c r="B72" s="11" t="s">
        <v>77</v>
      </c>
      <c r="C72" s="67" t="s">
        <v>879</v>
      </c>
      <c r="D72" s="67" t="s">
        <v>879</v>
      </c>
      <c r="E72" s="67" t="s">
        <v>879</v>
      </c>
      <c r="F72" s="67" t="s">
        <v>879</v>
      </c>
      <c r="G72" s="67" t="s">
        <v>879</v>
      </c>
      <c r="H72" s="67" t="s">
        <v>879</v>
      </c>
    </row>
    <row r="73" customFormat="false" ht="15" hidden="true" customHeight="false" outlineLevel="1" collapsed="false">
      <c r="A73" s="3" t="s">
        <v>1306</v>
      </c>
      <c r="B73" s="11" t="s">
        <v>77</v>
      </c>
      <c r="C73" s="67" t="n">
        <f aca="false">IF(AND(ISNUMBER(C31),ISNUMBER(C22),C22&lt;&gt;0,ISNUMBER(C34),ISNUMBER(C35),ISNUMBER(C32),ISNUMBER(C33)),C31/C22-((C34+C35)/2)/((C32+C33)/2),"不適用")</f>
        <v>-0.0476346838312911</v>
      </c>
      <c r="D73" s="67" t="str">
        <f aca="false">IF(AND(ISNUMBER(D31),ISNUMBER(D22),D22&lt;&gt;0,ISNUMBER(D34),ISNUMBER(D35),ISNUMBER(D32),ISNUMBER(D33)),D31/D22-((D34+D35)/2)/((D32+D33)/2),"不適用")</f>
        <v>不適用</v>
      </c>
      <c r="E73" s="67" t="str">
        <f aca="false">IF(AND(ISNUMBER(E31),ISNUMBER(E22),E22&lt;&gt;0,ISNUMBER(E34),ISNUMBER(E35),ISNUMBER(E32),ISNUMBER(E33)),E31/E22-((E34+E35)/2)/((E32+E33)/2),"不適用")</f>
        <v>不適用</v>
      </c>
      <c r="F73" s="67" t="str">
        <f aca="false">IF(AND(ISNUMBER(F31),ISNUMBER(F22),F22&lt;&gt;0,ISNUMBER(F34),ISNUMBER(F35),ISNUMBER(F32),ISNUMBER(F33)),F31/F22-((F34+F35)/2)/((F32+F33)/2),"不適用")</f>
        <v>不適用</v>
      </c>
      <c r="G73" s="67" t="str">
        <f aca="false">IF(AND(ISNUMBER(G31),ISNUMBER(G22),G22&lt;&gt;0,ISNUMBER(G34),ISNUMBER(G35),ISNUMBER(G32),ISNUMBER(G33)),G31/G22-((G34+G35)/2)/((G32+G33)/2),"不適用")</f>
        <v>不適用</v>
      </c>
      <c r="H73" s="67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1307</v>
      </c>
      <c r="B74" s="11" t="s">
        <v>77</v>
      </c>
      <c r="C74" s="67" t="str">
        <f aca="false">IF(ISNUMBER(C44),IF(AND(ISNUMBER(C44),ISNUMBER(C41),C41&lt;&gt;0,ISNUMBER(C31),ISNUMBER(C22),C22&lt;&gt;0),C44/C41-C31/C22,"不適用"),"")</f>
        <v/>
      </c>
      <c r="D74" s="67" t="str">
        <f aca="false">IF(ISNUMBER(D44),IF(AND(ISNUMBER(D44),ISNUMBER(D41),D41&lt;&gt;0,ISNUMBER(D31),ISNUMBER(D22),D22&lt;&gt;0),D44/D41-D31/D22,"不適用"),"")</f>
        <v/>
      </c>
      <c r="E74" s="67" t="str">
        <f aca="false">IF(ISNUMBER(E44),IF(AND(ISNUMBER(E44),ISNUMBER(E41),E41&lt;&gt;0,ISNUMBER(E31),ISNUMBER(E22),E22&lt;&gt;0),E44/E41-E31/E22,"不適用"),"")</f>
        <v/>
      </c>
      <c r="F74" s="67" t="str">
        <f aca="false">IF(ISNUMBER(F44),IF(AND(ISNUMBER(F44),ISNUMBER(F41),F41&lt;&gt;0,ISNUMBER(F31),ISNUMBER(F22),F22&lt;&gt;0),F44/F41-F31/F22,"不適用"),"")</f>
        <v/>
      </c>
      <c r="G74" s="67" t="str">
        <f aca="false">IF(ISNUMBER(G44),IF(AND(ISNUMBER(G44),ISNUMBER(G41),G41&lt;&gt;0,ISNUMBER(G31),ISNUMBER(G22),G22&lt;&gt;0),G44/G41-G31/G22,"不適用"),"")</f>
        <v/>
      </c>
      <c r="H74" s="67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1308</v>
      </c>
      <c r="B75" s="11" t="s">
        <v>77</v>
      </c>
      <c r="C75" s="67" t="str">
        <f aca="false">IF(ISNUMBER(C44),"不適用","")</f>
        <v/>
      </c>
      <c r="D75" s="67" t="str">
        <f aca="false">IF(ISNUMBER(D44),"不適用","")</f>
        <v/>
      </c>
      <c r="E75" s="67" t="str">
        <f aca="false">IF(ISNUMBER(E44),"不適用","")</f>
        <v/>
      </c>
      <c r="F75" s="67" t="str">
        <f aca="false">IF(ISNUMBER(F44),"不適用","")</f>
        <v/>
      </c>
      <c r="G75" s="67" t="str">
        <f aca="false">IF(ISNUMBER(G44),"不適用","")</f>
        <v/>
      </c>
      <c r="H75" s="67" t="str">
        <f aca="false">IF(ISNUMBER(H44),"不適用","")</f>
        <v/>
      </c>
    </row>
    <row r="76" customFormat="false" ht="15" hidden="true" customHeight="false" outlineLevel="1" collapsed="false">
      <c r="A76" s="3" t="s">
        <v>1309</v>
      </c>
      <c r="B76" s="11" t="s">
        <v>77</v>
      </c>
      <c r="C76" s="67" t="str">
        <f aca="false">IF(ISNUMBER(C44),IF(AND(ISNUMBER(C44),ISNUMBER(C41),C41&lt;&gt;0,ISNUMBER(C34),ISNUMBER(C35),ISNUMBER(C32),ISNUMBER(C33)),C44/C41-((C34+C35)/2)/((C32+C33)/2),"不適用"),"")</f>
        <v/>
      </c>
      <c r="D76" s="67" t="str">
        <f aca="false">IF(ISNUMBER(D44),IF(AND(ISNUMBER(D44),ISNUMBER(D41),D41&lt;&gt;0,ISNUMBER(D34),ISNUMBER(D35),ISNUMBER(D32),ISNUMBER(D33)),D44/D41-((D34+D35)/2)/((D32+D33)/2),"不適用"),"")</f>
        <v/>
      </c>
      <c r="E76" s="67" t="str">
        <f aca="false">IF(ISNUMBER(E44),IF(AND(ISNUMBER(E44),ISNUMBER(E41),E41&lt;&gt;0,ISNUMBER(E34),ISNUMBER(E35),ISNUMBER(E32),ISNUMBER(E33)),E44/E41-((E34+E35)/2)/((E32+E33)/2),"不適用"),"")</f>
        <v/>
      </c>
      <c r="F76" s="67" t="str">
        <f aca="false">IF(ISNUMBER(F44),IF(AND(ISNUMBER(F44),ISNUMBER(F41),F41&lt;&gt;0,ISNUMBER(F34),ISNUMBER(F35),ISNUMBER(F32),ISNUMBER(F33)),F44/F41-((F34+F35)/2)/((F32+F33)/2),"不適用"),"")</f>
        <v/>
      </c>
      <c r="G76" s="67" t="str">
        <f aca="false">IF(ISNUMBER(G44),IF(AND(ISNUMBER(G44),ISNUMBER(G41),G41&lt;&gt;0,ISNUMBER(G34),ISNUMBER(G35),ISNUMBER(G32),ISNUMBER(G33)),G44/G41-((G34+G35)/2)/((G32+G33)/2),"不適用"),"")</f>
        <v/>
      </c>
      <c r="H76" s="67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1310</v>
      </c>
      <c r="B77" s="11" t="s">
        <v>42</v>
      </c>
      <c r="C77" s="67" t="s">
        <v>879</v>
      </c>
      <c r="D77" s="67" t="s">
        <v>879</v>
      </c>
      <c r="E77" s="67" t="s">
        <v>879</v>
      </c>
      <c r="F77" s="67" t="s">
        <v>879</v>
      </c>
      <c r="G77" s="67" t="s">
        <v>879</v>
      </c>
      <c r="H77" s="67" t="s">
        <v>879</v>
      </c>
    </row>
    <row r="78" customFormat="false" ht="15" hidden="true" customHeight="false" outlineLevel="1" collapsed="false">
      <c r="A78" s="3" t="s">
        <v>1311</v>
      </c>
      <c r="B78" s="11" t="s">
        <v>42</v>
      </c>
      <c r="C78" s="67" t="s">
        <v>879</v>
      </c>
      <c r="D78" s="67" t="s">
        <v>879</v>
      </c>
      <c r="E78" s="67" t="s">
        <v>879</v>
      </c>
      <c r="F78" s="67" t="s">
        <v>879</v>
      </c>
      <c r="G78" s="67" t="s">
        <v>879</v>
      </c>
      <c r="H78" s="67" t="s">
        <v>879</v>
      </c>
    </row>
    <row r="79" customFormat="false" ht="15" hidden="true" customHeight="false" outlineLevel="1" collapsed="false">
      <c r="A79" s="3" t="s">
        <v>1312</v>
      </c>
      <c r="B79" s="11" t="s">
        <v>42</v>
      </c>
      <c r="C79" s="67" t="str">
        <f aca="false">IF(ISNUMBER(C45),IF(AND(ISNUMBER(C36),C36&lt;&gt;0),C45/(C36)-1,"不適用"),"")</f>
        <v/>
      </c>
      <c r="D79" s="67" t="str">
        <f aca="false">IF(ISNUMBER(D45),IF(AND(ISNUMBER(D36),D36&lt;&gt;0),D45/(D36)-1,"不適用"),"")</f>
        <v/>
      </c>
      <c r="E79" s="67" t="str">
        <f aca="false">IF(ISNUMBER(E45),IF(AND(ISNUMBER(E36),E36&lt;&gt;0),E45/(E36)-1,"不適用"),"")</f>
        <v/>
      </c>
      <c r="F79" s="67" t="str">
        <f aca="false">IF(ISNUMBER(F45),IF(AND(ISNUMBER(F36),F36&lt;&gt;0),F45/(F36)-1,"不適用"),"")</f>
        <v/>
      </c>
      <c r="G79" s="67" t="str">
        <f aca="false">IF(ISNUMBER(G45),IF(AND(ISNUMBER(G36),G36&lt;&gt;0),G45/(G36)-1,"不適用"),"")</f>
        <v/>
      </c>
      <c r="H79" s="67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1313</v>
      </c>
      <c r="B80" s="11" t="s">
        <v>42</v>
      </c>
      <c r="C80" s="67" t="str">
        <f aca="false">IF(ISNUMBER(C45),"不適用","")</f>
        <v/>
      </c>
      <c r="D80" s="67" t="str">
        <f aca="false">IF(ISNUMBER(D45),"不適用","")</f>
        <v/>
      </c>
      <c r="E80" s="67" t="str">
        <f aca="false">IF(ISNUMBER(E45),"不適用","")</f>
        <v/>
      </c>
      <c r="F80" s="67" t="str">
        <f aca="false">IF(ISNUMBER(F45),"不適用","")</f>
        <v/>
      </c>
      <c r="G80" s="67" t="str">
        <f aca="false">IF(ISNUMBER(G45),"不適用","")</f>
        <v/>
      </c>
      <c r="H80" s="67" t="str">
        <f aca="false">IF(ISNUMBER(H45),"不適用","")</f>
        <v/>
      </c>
    </row>
    <row r="81" customFormat="false" ht="15" hidden="true" customHeight="false" outlineLevel="1" collapsed="false">
      <c r="A81" s="3" t="s">
        <v>1314</v>
      </c>
      <c r="B81" s="11" t="s">
        <v>42</v>
      </c>
      <c r="C81" s="67" t="str">
        <f aca="false">IF(ISNUMBER(C45),"不適用","")</f>
        <v/>
      </c>
      <c r="D81" s="67" t="str">
        <f aca="false">IF(ISNUMBER(D45),"不適用","")</f>
        <v/>
      </c>
      <c r="E81" s="67" t="str">
        <f aca="false">IF(ISNUMBER(E45),"不適用","")</f>
        <v/>
      </c>
      <c r="F81" s="67" t="str">
        <f aca="false">IF(ISNUMBER(F45),"不適用","")</f>
        <v/>
      </c>
      <c r="G81" s="67" t="str">
        <f aca="false">IF(ISNUMBER(G45),"不適用","")</f>
        <v/>
      </c>
      <c r="H81" s="67" t="str">
        <f aca="false">IF(ISNUMBER(H45),"不適用","")</f>
        <v/>
      </c>
    </row>
    <row r="82" customFormat="false" ht="15" hidden="true" customHeight="false" outlineLevel="1" collapsed="false">
      <c r="A82" s="3" t="s">
        <v>1315</v>
      </c>
      <c r="B82" s="11" t="s">
        <v>157</v>
      </c>
      <c r="C82" s="68" t="s">
        <v>879</v>
      </c>
      <c r="D82" s="68" t="s">
        <v>879</v>
      </c>
      <c r="E82" s="68" t="s">
        <v>879</v>
      </c>
      <c r="F82" s="68" t="s">
        <v>879</v>
      </c>
      <c r="G82" s="68" t="s">
        <v>879</v>
      </c>
      <c r="H82" s="68" t="s">
        <v>879</v>
      </c>
    </row>
    <row r="83" customFormat="false" ht="15" hidden="true" customHeight="false" outlineLevel="1" collapsed="false">
      <c r="A83" s="3" t="s">
        <v>1316</v>
      </c>
      <c r="B83" s="11" t="s">
        <v>157</v>
      </c>
      <c r="C83" s="68" t="s">
        <v>879</v>
      </c>
      <c r="D83" s="68" t="s">
        <v>879</v>
      </c>
      <c r="E83" s="68" t="s">
        <v>879</v>
      </c>
      <c r="F83" s="68" t="s">
        <v>879</v>
      </c>
      <c r="G83" s="68" t="s">
        <v>879</v>
      </c>
      <c r="H83" s="68" t="s">
        <v>879</v>
      </c>
    </row>
    <row r="84" customFormat="false" ht="15" hidden="true" customHeight="false" outlineLevel="1" collapsed="false">
      <c r="A84" s="3" t="s">
        <v>1317</v>
      </c>
      <c r="B84" s="11" t="s">
        <v>157</v>
      </c>
      <c r="C84" s="68" t="str">
        <f aca="false">IF(ISNUMBER(C46),IF(AND(ISNUMBER(C19)),C46-(C19),"不適用"),"")</f>
        <v/>
      </c>
      <c r="D84" s="68" t="str">
        <f aca="false">IF(ISNUMBER(D46),IF(AND(ISNUMBER(D19)),D46-(D19),"不適用"),"")</f>
        <v/>
      </c>
      <c r="E84" s="68" t="str">
        <f aca="false">IF(ISNUMBER(E46),IF(AND(ISNUMBER(E19)),E46-(E19),"不適用"),"")</f>
        <v/>
      </c>
      <c r="F84" s="68" t="str">
        <f aca="false">IF(ISNUMBER(F46),IF(AND(ISNUMBER(F19)),F46-(F19),"不適用"),"")</f>
        <v/>
      </c>
      <c r="G84" s="68" t="str">
        <f aca="false">IF(ISNUMBER(G46),IF(AND(ISNUMBER(G19)),G46-(G19),"不適用"),"")</f>
        <v/>
      </c>
      <c r="H84" s="68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1318</v>
      </c>
      <c r="B85" s="11" t="s">
        <v>157</v>
      </c>
      <c r="C85" s="68" t="str">
        <f aca="false">IF(ISNUMBER(C46),"不適用","")</f>
        <v/>
      </c>
      <c r="D85" s="68" t="str">
        <f aca="false">IF(ISNUMBER(D46),"不適用","")</f>
        <v/>
      </c>
      <c r="E85" s="68" t="str">
        <f aca="false">IF(ISNUMBER(E46),"不適用","")</f>
        <v/>
      </c>
      <c r="F85" s="68" t="str">
        <f aca="false">IF(ISNUMBER(F46),"不適用","")</f>
        <v/>
      </c>
      <c r="G85" s="68" t="str">
        <f aca="false">IF(ISNUMBER(G46),"不適用","")</f>
        <v/>
      </c>
      <c r="H85" s="68" t="str">
        <f aca="false">IF(ISNUMBER(H46),"不適用","")</f>
        <v/>
      </c>
    </row>
    <row r="86" customFormat="false" ht="15" hidden="true" customHeight="false" outlineLevel="1" collapsed="false">
      <c r="A86" s="3" t="s">
        <v>1319</v>
      </c>
      <c r="B86" s="11" t="s">
        <v>157</v>
      </c>
      <c r="C86" s="68" t="str">
        <f aca="false">IF(ISNUMBER(C46),"不適用","")</f>
        <v/>
      </c>
      <c r="D86" s="68" t="str">
        <f aca="false">IF(ISNUMBER(D46),"不適用","")</f>
        <v/>
      </c>
      <c r="E86" s="68" t="str">
        <f aca="false">IF(ISNUMBER(E46),"不適用","")</f>
        <v/>
      </c>
      <c r="F86" s="68" t="str">
        <f aca="false">IF(ISNUMBER(F46),"不適用","")</f>
        <v/>
      </c>
      <c r="G86" s="68" t="str">
        <f aca="false">IF(ISNUMBER(G46),"不適用","")</f>
        <v/>
      </c>
      <c r="H86" s="68" t="str">
        <f aca="false">IF(ISNUMBER(H46),"不適用","")</f>
        <v/>
      </c>
    </row>
    <row r="87" customFormat="false" ht="15" hidden="true" customHeight="false" outlineLevel="1" collapsed="false">
      <c r="A87" s="3" t="s">
        <v>1320</v>
      </c>
      <c r="B87" s="11" t="s">
        <v>65</v>
      </c>
      <c r="C87" s="66" t="str">
        <f aca="false">IF(COUNT(C37,D37,E37,F37)=4,C37+D37+E37+F37,"不適用")</f>
        <v>不適用</v>
      </c>
      <c r="D87" s="66" t="str">
        <f aca="false">IF(COUNT(C37,D37,E37,F37)=4,C37+D37+E37+F37,"不適用")</f>
        <v>不適用</v>
      </c>
      <c r="E87" s="66" t="str">
        <f aca="false">IF(COUNT(C37,D37,E37,F37)=4,C37+D37+E37+F37,"不適用")</f>
        <v>不適用</v>
      </c>
      <c r="F87" s="66" t="str">
        <f aca="false">IF(COUNT(C37,D37,E37,F37)=4,C37+D37+E37+F37,"不適用")</f>
        <v>不適用</v>
      </c>
      <c r="G87" s="66" t="str">
        <f aca="false">IF(COUNT(G37,H37)=2,G37+H37,"不適用")</f>
        <v>不適用</v>
      </c>
      <c r="H87" s="66" t="str">
        <f aca="false">IF(COUNT(G37,H37)=2,G37+H37,"不適用")</f>
        <v>不適用</v>
      </c>
      <c r="J87" s="6" t="s">
        <v>1321</v>
      </c>
    </row>
    <row r="88" customFormat="false" ht="15" hidden="true" customHeight="false" outlineLevel="1" collapsed="false">
      <c r="A88" s="3" t="s">
        <v>1322</v>
      </c>
      <c r="B88" s="11" t="s">
        <v>65</v>
      </c>
      <c r="C88" s="66" t="str">
        <f aca="false">IF(AND(ISNUMBER(C87),C87&lt;&gt;0,ISNUMBER(C37),ISNUMBER(C22)),(損益!C9-C87)*(C37)/C87,"不適用")</f>
        <v>不適用</v>
      </c>
      <c r="D88" s="66" t="str">
        <f aca="false">IF(AND(ISNUMBER(D87),D87&lt;&gt;0,ISNUMBER(D37),ISNUMBER(D22)),(損益!C9-D87)*(D37)/D87,"不適用")</f>
        <v>不適用</v>
      </c>
      <c r="E88" s="66" t="str">
        <f aca="false">IF(AND(ISNUMBER(E87),E87&lt;&gt;0,ISNUMBER(E37),ISNUMBER(E22)),(損益!C9-E87)*(E37)/E87,"不適用")</f>
        <v>不適用</v>
      </c>
      <c r="F88" s="66" t="str">
        <f aca="false">IF(AND(ISNUMBER(F87),F87&lt;&gt;0,ISNUMBER(F37),ISNUMBER(F22)),(損益!C9-F87)*(F37)/F87,"不適用")</f>
        <v>不適用</v>
      </c>
      <c r="G88" s="66" t="str">
        <f aca="false">IF(AND(ISNUMBER(G87),G87&lt;&gt;0,ISNUMBER(G37),ISNUMBER(G22)),(損益!D9-G87)*(G37)/G87,"不適用")</f>
        <v>不適用</v>
      </c>
      <c r="H88" s="66" t="str">
        <f aca="false">IF(AND(ISNUMBER(H87),H87&lt;&gt;0,ISNUMBER(H37),ISNUMBER(H22)),(損益!D9-H87)*(H37)/H87,"不適用")</f>
        <v>不適用</v>
      </c>
      <c r="J88" s="11" t="s">
        <v>1323</v>
      </c>
    </row>
    <row r="89" customFormat="false" ht="15" hidden="true" customHeight="false" outlineLevel="1" collapsed="false">
      <c r="A89" s="3" t="s">
        <v>1324</v>
      </c>
      <c r="B89" s="11" t="s">
        <v>65</v>
      </c>
      <c r="C89" s="66" t="str">
        <f aca="false">IF(AND(ISNUMBER(C87),C87&lt;&gt;0,ISNUMBER(C37),ISNUMBER(C22)),(C22/損益!C9-(C37)/C87)*損益!C9,"不適用")</f>
        <v>不適用</v>
      </c>
      <c r="D89" s="66" t="str">
        <f aca="false">IF(AND(ISNUMBER(D87),D87&lt;&gt;0,ISNUMBER(D37),ISNUMBER(D22)),(D22/損益!C9-(D37)/D87)*損益!C9,"不適用")</f>
        <v>不適用</v>
      </c>
      <c r="E89" s="66" t="str">
        <f aca="false">IF(AND(ISNUMBER(E87),E87&lt;&gt;0,ISNUMBER(E37),ISNUMBER(E22)),(E22/損益!C9-(E37)/E87)*損益!C9,"不適用")</f>
        <v>不適用</v>
      </c>
      <c r="F89" s="66" t="str">
        <f aca="false">IF(AND(ISNUMBER(F87),F87&lt;&gt;0,ISNUMBER(F37),ISNUMBER(F22)),(F22/損益!C9-(F37)/F87)*損益!C9,"不適用")</f>
        <v>不適用</v>
      </c>
      <c r="G89" s="66" t="str">
        <f aca="false">IF(AND(ISNUMBER(G87),G87&lt;&gt;0,ISNUMBER(G37),ISNUMBER(G22)),(G22/損益!D9-(G37)/G87)*損益!D9,"不適用")</f>
        <v>不適用</v>
      </c>
      <c r="H89" s="66" t="str">
        <f aca="false">IF(AND(ISNUMBER(H87),H87&lt;&gt;0,ISNUMBER(H37),ISNUMBER(H22)),(H22/損益!D9-(H37)/H87)*損益!D9,"不適用")</f>
        <v>不適用</v>
      </c>
      <c r="J89" s="11" t="s">
        <v>1325</v>
      </c>
    </row>
    <row r="90" customFormat="false" ht="15" hidden="true" customHeight="false" outlineLevel="1" collapsed="false">
      <c r="A90" s="3" t="s">
        <v>1326</v>
      </c>
      <c r="C90" s="48" t="str">
        <f aca="false">IF(ISNUMBER(C47),IF(ABS(C47)&gt;輸入與假設!$C$509,IF(ISNUMBER(C88),IF(ABS(C89)&gt;ABS(C88),"營收 vs 共識 "&amp;IF(C47&lt;0,"−","+")&amp;TEXT(ABS(C47)*100,"#,##0.0")&amp;"%"&amp;"：拆法（分配 "&amp;IF(C89&lt;0,"−","+")&amp;IF(ABS(C89)&lt;0,"−","")&amp;"$"&amp;TEXT(ABS(ABS(C89)),"#,##0.000")&amp;"bn"&amp;"（Q1 FY27 占 FY27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"&amp;IF(C88&lt;0,"−","+")&amp;IF(ABS(C88)&lt;0,"−","")&amp;"$"&amp;TEXT(ABS(ABS(C88)),"#,##0.000")&amp;"bn"&amp;"（FY27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D90" s="48" t="str">
        <f aca="false">IF(ISNUMBER(D47),IF(ABS(D47)&gt;輸入與假設!$C$509,IF(ISNUMBER(D88),IF(ABS(D89)&gt;ABS(D88),"營收 vs 共識 "&amp;IF(D47&lt;0,"−","+")&amp;TEXT(ABS(D47)*100,"#,##0.0")&amp;"%"&amp;"：拆法（分配 "&amp;IF(D89&lt;0,"−","+")&amp;IF(ABS(D89)&lt;0,"−","")&amp;"$"&amp;TEXT(ABS(ABS(D89)),"#,##0.000")&amp;"bn"&amp;"（Q2 FY27 占 FY27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"&amp;IF(D88&lt;0,"−","+")&amp;IF(ABS(D88)&lt;0,"−","")&amp;"$"&amp;TEXT(ABS(ABS(D88)),"#,##0.000")&amp;"bn"&amp;"（FY27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E90" s="48" t="str">
        <f aca="false">IF(ISNUMBER(E47),IF(ABS(E47)&gt;輸入與假設!$C$509,IF(ISNUMBER(E88),IF(ABS(E89)&gt;ABS(E88),"營收 vs 共識 "&amp;IF(E47&lt;0,"−","+")&amp;TEXT(ABS(E47)*100,"#,##0.0")&amp;"%"&amp;"：拆法（分配 "&amp;IF(E89&lt;0,"−","+")&amp;IF(ABS(E89)&lt;0,"−","")&amp;"$"&amp;TEXT(ABS(ABS(E89)),"#,##0.000")&amp;"bn"&amp;"（Q3 FY27 占 FY27 "&amp;TEXT((E22/損益!C9)*100,"#,##0.0")&amp;"%"&amp;"，共識合計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"&amp;IF(E88&lt;0,"−","+")&amp;IF(ABS(E88)&lt;0,"−","")&amp;"$"&amp;TEXT(ABS(ABS(E88)),"#,##0.000")&amp;"bn"&amp;"（FY27 模型 "&amp;IF(損益!C9&lt;0,"−","")&amp;"$"&amp;TEXT(ABS(損益!C9),"#,##0.000")&amp;"bn"&amp;"，共識合計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F90" s="48" t="str">
        <f aca="false">IF(ISNUMBER(F47),IF(ABS(F47)&gt;輸入與假設!$C$509,IF(ISNUMBER(F88),IF(ABS(F89)&gt;ABS(F88),"營收 vs 共識 "&amp;IF(F47&lt;0,"−","+")&amp;TEXT(ABS(F47)*100,"#,##0.0")&amp;"%"&amp;"：拆法（分配 "&amp;IF(F89&lt;0,"−","+")&amp;IF(ABS(F89)&lt;0,"−","")&amp;"$"&amp;TEXT(ABS(ABS(F89)),"#,##0.000")&amp;"bn"&amp;"（Q4 FY27 占 FY27 "&amp;TEXT((F22/損益!C9)*100,"#,##0.0")&amp;"%"&amp;"，共識合計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"&amp;IF(F88&lt;0,"−","+")&amp;IF(ABS(F88)&lt;0,"−","")&amp;"$"&amp;TEXT(ABS(ABS(F88)),"#,##0.000")&amp;"bn"&amp;"（FY27 模型 "&amp;IF(損益!C9&lt;0,"−","")&amp;"$"&amp;TEXT(ABS(損益!C9),"#,##0.000")&amp;"bn"&amp;"，共識合計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G90" s="48" t="str">
        <f aca="false">IF(ISNUMBER(G47),IF(ABS(G47)&gt;輸入與假設!$C$509,IF(ISNUMBER(G88),IF(ABS(G89)&gt;ABS(G88),"營收 vs 共識 "&amp;IF(G47&lt;0,"−","+")&amp;TEXT(ABS(G47)*100,"#,##0.0")&amp;"%"&amp;"：拆法（分配 "&amp;IF(G89&lt;0,"−","+")&amp;IF(ABS(G89)&lt;0,"−","")&amp;"$"&amp;TEXT(ABS(ABS(G89)),"#,##0.000")&amp;"bn"&amp;"（Q1 FY28 占 FY28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"&amp;IF(G88&lt;0,"−","+")&amp;IF(ABS(G88)&lt;0,"−","")&amp;"$"&amp;TEXT(ABS(ABS(G88)),"#,##0.000")&amp;"bn"&amp;"（FY28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H90" s="48" t="str">
        <f aca="false">IF(ISNUMBER(H47),IF(ABS(H47)&gt;輸入與假設!$C$509,IF(ISNUMBER(H88),IF(ABS(H89)&gt;ABS(H88),"營收 vs 共識 "&amp;IF(H47&lt;0,"−","+")&amp;TEXT(ABS(H47)*100,"#,##0.0")&amp;"%"&amp;"：拆法（分配 "&amp;IF(H89&lt;0,"−","+")&amp;IF(ABS(H89)&lt;0,"−","")&amp;"$"&amp;TEXT(ABS(ABS(H89)),"#,##0.000")&amp;"bn"&amp;"（Q2 FY28 占 FY28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"&amp;IF(H88&lt;0,"−","+")&amp;IF(ABS(H88)&lt;0,"−","")&amp;"$"&amp;TEXT(ABS(ABS(H88)),"#,##0.000")&amp;"bn"&amp;"（FY28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k）＋各分部依近四季年增率收斂；年度總額線性分到各季，未建模季節性"&amp;"）"),""),"")</f>
        <v/>
      </c>
    </row>
    <row r="91" customFormat="false" ht="15" hidden="true" customHeight="false" outlineLevel="1" collapsed="false">
      <c r="A91" s="3" t="s">
        <v>1327</v>
      </c>
      <c r="C91" s="48" t="str">
        <f aca="false">IF(ISNUMBER(C47),IF(ABS(C47)&gt;輸入與假設!$C$509,IF(ISNUMBER(C88),IF(ABS(C89)&gt;ABS(C88),"拆法","觀點"),"觀點"),""),"")</f>
        <v/>
      </c>
      <c r="D91" s="48" t="str">
        <f aca="false">IF(ISNUMBER(D47),IF(ABS(D47)&gt;輸入與假設!$C$509,IF(ISNUMBER(D88),IF(ABS(D89)&gt;ABS(D88),"拆法","觀點"),"觀點"),""),"")</f>
        <v/>
      </c>
      <c r="E91" s="48" t="str">
        <f aca="false">IF(ISNUMBER(E47),IF(ABS(E47)&gt;輸入與假設!$C$509,IF(ISNUMBER(E88),IF(ABS(E89)&gt;ABS(E88),"拆法","觀點"),"觀點"),""),"")</f>
        <v/>
      </c>
      <c r="F91" s="48" t="str">
        <f aca="false">IF(ISNUMBER(F47),IF(ABS(F47)&gt;輸入與假設!$C$509,IF(ISNUMBER(F88),IF(ABS(F89)&gt;ABS(F88),"拆法","觀點"),"觀點"),""),"")</f>
        <v/>
      </c>
      <c r="G91" s="48" t="str">
        <f aca="false">IF(ISNUMBER(G47),IF(ABS(G47)&gt;輸入與假設!$C$509,IF(ISNUMBER(G88),IF(ABS(G89)&gt;ABS(G88),"拆法","觀點"),"觀點"),""),"")</f>
        <v/>
      </c>
      <c r="H91" s="48" t="str">
        <f aca="false">IF(ISNUMBER(H47),IF(ABS(H47)&gt;輸入與假設!$C$509,IF(ISNUMBER(H88),IF(ABS(H89)&gt;ABS(H88),"拆法","觀點"),"觀點"),""),"")</f>
        <v/>
      </c>
    </row>
    <row r="92" customFormat="false" ht="15" hidden="true" customHeight="false" outlineLevel="1" collapsed="false">
      <c r="A92" s="3" t="s">
        <v>1328</v>
      </c>
      <c r="C92" s="48" t="str">
        <f aca="false">IF(ISNUMBER(C48),IF(OR(ABS(C48)&gt;輸入與假設!$C$509,C22&gt;C33,C22&lt;C32),"營收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k）＋各分部依近四季年增率收斂；年度總額線性分到各季，未建模季節性"&amp;"）",""),"")</f>
        <v>營收 vs 指引中點 +3.7%：觀點（營收＝對外 AI 雲端（在役 MW × 每 MW 年收入，Tokenomics × k）＋各分部依近四季年增率收斂；年度總額線性分到各季，未建模季節性）</v>
      </c>
      <c r="D92" s="48" t="str">
        <f aca="false">IF(ISNUMBER(D48),IF(OR(ABS(D48)&gt;輸入與假設!$C$509,D22&gt;D33,D22&lt;D32),"營收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2" s="48" t="str">
        <f aca="false">IF(ISNUMBER(E48),IF(OR(ABS(E48)&gt;輸入與假設!$C$509,E22&gt;E33,E22&lt;E32),"營收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2" s="48" t="str">
        <f aca="false">IF(ISNUMBER(F48),IF(OR(ABS(F48)&gt;輸入與假設!$C$509,F22&gt;F33,F22&lt;F32),"營收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2" s="48" t="str">
        <f aca="false">IF(ISNUMBER(G48),IF(OR(ABS(G48)&gt;輸入與假設!$C$509,G22&gt;G33,G22&lt;G32),"營收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2" s="48" t="str">
        <f aca="false">IF(ISNUMBER(H48),IF(OR(ABS(H48)&gt;輸入與假設!$C$509,H22&gt;H33,H22&lt;H32),"營收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3" customFormat="false" ht="15" hidden="true" customHeight="false" outlineLevel="1" collapsed="false">
      <c r="A93" s="3" t="s">
        <v>1329</v>
      </c>
      <c r="C93" s="48" t="str">
        <f aca="false">IF(ISNUMBER(C48),IF(OR(ABS(C48)&gt;輸入與假設!$C$509,C22&gt;C33,C22&lt;C32),"觀點",""),"")</f>
        <v>觀點</v>
      </c>
      <c r="D93" s="48" t="str">
        <f aca="false">IF(ISNUMBER(D48),IF(OR(ABS(D48)&gt;輸入與假設!$C$509,D22&gt;D33,D22&lt;D32),"觀點",""),"")</f>
        <v/>
      </c>
      <c r="E93" s="48" t="str">
        <f aca="false">IF(ISNUMBER(E48),IF(OR(ABS(E48)&gt;輸入與假設!$C$509,E22&gt;E33,E22&lt;E32),"觀點",""),"")</f>
        <v/>
      </c>
      <c r="F93" s="48" t="str">
        <f aca="false">IF(ISNUMBER(F48),IF(OR(ABS(F48)&gt;輸入與假設!$C$509,F22&gt;F33,F22&lt;F32),"觀點",""),"")</f>
        <v/>
      </c>
      <c r="G93" s="48" t="str">
        <f aca="false">IF(ISNUMBER(G48),IF(OR(ABS(G48)&gt;輸入與假設!$C$509,G22&gt;G33,G22&lt;G32),"觀點",""),"")</f>
        <v/>
      </c>
      <c r="H93" s="48" t="str">
        <f aca="false">IF(ISNUMBER(H48),IF(OR(ABS(H48)&gt;輸入與假設!$C$509,H22&gt;H33,H22&lt;H32),"觀點",""),"")</f>
        <v/>
      </c>
    </row>
    <row r="94" customFormat="false" ht="15" hidden="true" customHeight="false" outlineLevel="1" collapsed="false">
      <c r="A94" s="3" t="s">
        <v>1330</v>
      </c>
      <c r="C94" s="48" t="str">
        <f aca="false">IF(ISNUMBER(C49),IF(ABS(C49)&gt;輸入與假設!$C$509,"營收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D94" s="48" t="str">
        <f aca="false">IF(ISNUMBER(D49),IF(ABS(D49)&gt;輸入與假設!$C$509,"營收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4" s="48" t="str">
        <f aca="false">IF(ISNUMBER(E49),IF(ABS(E49)&gt;輸入與假設!$C$509,"營收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4" s="48" t="str">
        <f aca="false">IF(ISNUMBER(F49),IF(ABS(F49)&gt;輸入與假設!$C$509,"營收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4" s="48" t="str">
        <f aca="false">IF(ISNUMBER(G49),IF(ABS(G49)&gt;輸入與假設!$C$509,"營收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4" s="48" t="str">
        <f aca="false">IF(ISNUMBER(H49),IF(ABS(H49)&gt;輸入與假設!$C$509,"營收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5" customFormat="false" ht="15" hidden="true" customHeight="false" outlineLevel="1" collapsed="false">
      <c r="A95" s="3" t="s">
        <v>1331</v>
      </c>
      <c r="C95" s="48" t="str">
        <f aca="false">IF(ISNUMBER(C49),IF(ABS(C49)&gt;輸入與假設!$C$509,"觀點",""),"")</f>
        <v/>
      </c>
      <c r="D95" s="48" t="str">
        <f aca="false">IF(ISNUMBER(D49),IF(ABS(D49)&gt;輸入與假設!$C$509,"觀點",""),"")</f>
        <v/>
      </c>
      <c r="E95" s="48" t="str">
        <f aca="false">IF(ISNUMBER(E49),IF(ABS(E49)&gt;輸入與假設!$C$509,"觀點",""),"")</f>
        <v/>
      </c>
      <c r="F95" s="48" t="str">
        <f aca="false">IF(ISNUMBER(F49),IF(ABS(F49)&gt;輸入與假設!$C$509,"觀點",""),"")</f>
        <v/>
      </c>
      <c r="G95" s="48" t="str">
        <f aca="false">IF(ISNUMBER(G49),IF(ABS(G49)&gt;輸入與假設!$C$509,"觀點",""),"")</f>
        <v/>
      </c>
      <c r="H95" s="48" t="str">
        <f aca="false">IF(ISNUMBER(H49),IF(ABS(H49)&gt;輸入與假設!$C$509,"觀點",""),"")</f>
        <v/>
      </c>
    </row>
    <row r="96" customFormat="false" ht="15" hidden="true" customHeight="false" outlineLevel="1" collapsed="false">
      <c r="A96" s="3" t="s">
        <v>1332</v>
      </c>
      <c r="B96" s="11" t="s">
        <v>65</v>
      </c>
      <c r="C96" s="66" t="str">
        <f aca="false">IF(COUNT(C38,D38,E38,F38)=4,C38+D38+E38+F38,"不適用")</f>
        <v>不適用</v>
      </c>
      <c r="D96" s="66" t="str">
        <f aca="false">IF(COUNT(C38,D38,E38,F38)=4,C38+D38+E38+F38,"不適用")</f>
        <v>不適用</v>
      </c>
      <c r="E96" s="66" t="str">
        <f aca="false">IF(COUNT(C38,D38,E38,F38)=4,C38+D38+E38+F38,"不適用")</f>
        <v>不適用</v>
      </c>
      <c r="F96" s="66" t="str">
        <f aca="false">IF(COUNT(C38,D38,E38,F38)=4,C38+D38+E38+F38,"不適用")</f>
        <v>不適用</v>
      </c>
      <c r="G96" s="66" t="str">
        <f aca="false">IF(COUNT(G38,H38)=2,G38+H38,"不適用")</f>
        <v>不適用</v>
      </c>
      <c r="H96" s="66" t="str">
        <f aca="false">IF(COUNT(G38,H38)=2,G38+H38,"不適用")</f>
        <v>不適用</v>
      </c>
      <c r="J96" s="6" t="s">
        <v>1321</v>
      </c>
    </row>
    <row r="97" customFormat="false" ht="15" hidden="true" customHeight="false" outlineLevel="1" collapsed="false">
      <c r="A97" s="3" t="s">
        <v>1333</v>
      </c>
      <c r="B97" s="11" t="s">
        <v>65</v>
      </c>
      <c r="C97" s="66" t="str">
        <f aca="false">IF(AND(ISNUMBER(C96),C96&lt;&gt;0,ISNUMBER(C38),ISNUMBER(C28)),(損益!C22-C96)*(C38)/C96,"不適用")</f>
        <v>不適用</v>
      </c>
      <c r="D97" s="66" t="str">
        <f aca="false">IF(AND(ISNUMBER(D96),D96&lt;&gt;0,ISNUMBER(D38),ISNUMBER(D28)),(損益!C22-D96)*(D38)/D96,"不適用")</f>
        <v>不適用</v>
      </c>
      <c r="E97" s="66" t="str">
        <f aca="false">IF(AND(ISNUMBER(E96),E96&lt;&gt;0,ISNUMBER(E38),ISNUMBER(E28)),(損益!C22-E96)*(E38)/E96,"不適用")</f>
        <v>不適用</v>
      </c>
      <c r="F97" s="66" t="str">
        <f aca="false">IF(AND(ISNUMBER(F96),F96&lt;&gt;0,ISNUMBER(F38),ISNUMBER(F28)),(損益!C22-F96)*(F38)/F96,"不適用")</f>
        <v>不適用</v>
      </c>
      <c r="G97" s="66" t="str">
        <f aca="false">IF(AND(ISNUMBER(G96),G96&lt;&gt;0,ISNUMBER(G38),ISNUMBER(G28)),(損益!D22-G96)*(G38)/G96,"不適用")</f>
        <v>不適用</v>
      </c>
      <c r="H97" s="66" t="str">
        <f aca="false">IF(AND(ISNUMBER(H96),H96&lt;&gt;0,ISNUMBER(H38),ISNUMBER(H28)),(損益!D22-H96)*(H38)/H96,"不適用")</f>
        <v>不適用</v>
      </c>
      <c r="J97" s="11" t="s">
        <v>1323</v>
      </c>
    </row>
    <row r="98" customFormat="false" ht="15" hidden="true" customHeight="false" outlineLevel="1" collapsed="false">
      <c r="A98" s="3" t="s">
        <v>1334</v>
      </c>
      <c r="B98" s="11" t="s">
        <v>65</v>
      </c>
      <c r="C98" s="66" t="str">
        <f aca="false">IF(AND(ISNUMBER(C96),C96&lt;&gt;0,ISNUMBER(C38),ISNUMBER(C28)),(C28/損益!C22-(C38)/C96)*損益!C22,"不適用")</f>
        <v>不適用</v>
      </c>
      <c r="D98" s="66" t="str">
        <f aca="false">IF(AND(ISNUMBER(D96),D96&lt;&gt;0,ISNUMBER(D38),ISNUMBER(D28)),(D28/損益!C22-(D38)/D96)*損益!C22,"不適用")</f>
        <v>不適用</v>
      </c>
      <c r="E98" s="66" t="str">
        <f aca="false">IF(AND(ISNUMBER(E96),E96&lt;&gt;0,ISNUMBER(E38),ISNUMBER(E28)),(E28/損益!C22-(E38)/E96)*損益!C22,"不適用")</f>
        <v>不適用</v>
      </c>
      <c r="F98" s="66" t="str">
        <f aca="false">IF(AND(ISNUMBER(F96),F96&lt;&gt;0,ISNUMBER(F38),ISNUMBER(F28)),(F28/損益!C22-(F38)/F96)*損益!C22,"不適用")</f>
        <v>不適用</v>
      </c>
      <c r="G98" s="66" t="str">
        <f aca="false">IF(AND(ISNUMBER(G96),G96&lt;&gt;0,ISNUMBER(G38),ISNUMBER(G28)),(G28/損益!D22-(G38)/G96)*損益!D22,"不適用")</f>
        <v>不適用</v>
      </c>
      <c r="H98" s="66" t="str">
        <f aca="false">IF(AND(ISNUMBER(H96),H96&lt;&gt;0,ISNUMBER(H38),ISNUMBER(H28)),(H28/損益!D22-(H38)/H96)*損益!D22,"不適用")</f>
        <v>不適用</v>
      </c>
      <c r="J98" s="11" t="s">
        <v>1325</v>
      </c>
    </row>
    <row r="99" customFormat="false" ht="15" hidden="true" customHeight="false" outlineLevel="1" collapsed="false">
      <c r="A99" s="3" t="s">
        <v>1335</v>
      </c>
      <c r="C99" s="48" t="str">
        <f aca="false">IF(ISNUMBER(C52),IF(IF(ISNUMBER(C57),ABS(C57)&gt;輸入與假設!$C$510,OR(AND(C38&lt;&gt;0,ABS(C52)&gt;輸入與假設!$C$509*ABS(C38)),AND(C38=0,C52&lt;&gt;0))),IF(ISNUMBER(C97),IF(ABS(C98)&gt;ABS(C97),"調整後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"&amp;IF(C98&lt;0,"−","+")&amp;IF(ABS(C98)&lt;0,"−","")&amp;"$"&amp;TEXT(ABS(ABS(C98)),"#,##0.000")&amp;"bn"&amp;"（Q1 FY27 占 FY27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"&amp;IF(C97&lt;0,"−","+")&amp;IF(ABS(C97)&lt;0,"−","")&amp;"$"&amp;TEXT(ABS(ABS(C97)),"#,##0.000")&amp;"bn"&amp;"（FY27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>調整後 EBITDA vs 共識 −$2.26bn／−4.4pt：觀點（模型 EBITDA 率 57.9%；EBITDA＝分部營業利益＋分攤 D&amp;A 與 AI 雲端 Tokenomics 由下而上營運成本）</v>
      </c>
      <c r="D99" s="48" t="str">
        <f aca="false">IF(ISNUMBER(D52),IF(IF(ISNUMBER(D57),ABS(D57)&gt;輸入與假設!$C$510,OR(AND(D38&lt;&gt;0,ABS(D52)&gt;輸入與假設!$C$509*ABS(D38)),AND(D38=0,D52&lt;&gt;0))),IF(ISNUMBER(D97),IF(ABS(D98)&gt;ABS(D97),"調整後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"&amp;IF(D98&lt;0,"−","+")&amp;IF(ABS(D98)&lt;0,"−","")&amp;"$"&amp;TEXT(ABS(ABS(D98)),"#,##0.000")&amp;"bn"&amp;"（Q2 FY27 占 FY27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"&amp;IF(D97&lt;0,"−","+")&amp;IF(ABS(D97)&lt;0,"−","")&amp;"$"&amp;TEXT(ABS(ABS(D97)),"#,##0.000")&amp;"bn"&amp;"（FY27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8" t="str">
        <f aca="false">IF(ISNUMBER(E52),IF(IF(ISNUMBER(E57),ABS(E57)&gt;輸入與假設!$C$510,OR(AND(E38&lt;&gt;0,ABS(E52)&gt;輸入與假設!$C$509*ABS(E38)),AND(E38=0,E52&lt;&gt;0))),IF(ISNUMBER(E97),IF(ABS(E98)&gt;ABS(E97),"調整後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"&amp;IF(E98&lt;0,"−","+")&amp;IF(ABS(E98)&lt;0,"−","")&amp;"$"&amp;TEXT(ABS(ABS(E98)),"#,##0.000")&amp;"bn"&amp;"（Q3 FY27 占 FY27 "&amp;TEXT((E28/損益!C22)*100,"#,##0.0")&amp;"%"&amp;"，共識合計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"&amp;IF(E97&lt;0,"−","+")&amp;IF(ABS(E97)&lt;0,"−","")&amp;"$"&amp;TEXT(ABS(ABS(E97)),"#,##0.000")&amp;"bn"&amp;"（FY27 模型 "&amp;IF(損益!C22&lt;0,"−","")&amp;"$"&amp;TEXT(ABS(損益!C22),"#,##0.000")&amp;"bn"&amp;"，共識合計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8" t="str">
        <f aca="false">IF(ISNUMBER(F52),IF(IF(ISNUMBER(F57),ABS(F57)&gt;輸入與假設!$C$510,OR(AND(F38&lt;&gt;0,ABS(F52)&gt;輸入與假設!$C$509*ABS(F38)),AND(F38=0,F52&lt;&gt;0))),IF(ISNUMBER(F97),IF(ABS(F98)&gt;ABS(F97),"調整後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"&amp;IF(F98&lt;0,"−","+")&amp;IF(ABS(F98)&lt;0,"−","")&amp;"$"&amp;TEXT(ABS(ABS(F98)),"#,##0.000")&amp;"bn"&amp;"（Q4 FY27 占 FY27 "&amp;TEXT((F28/損益!C22)*100,"#,##0.0")&amp;"%"&amp;"，共識合計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"&amp;IF(F97&lt;0,"−","+")&amp;IF(ABS(F97)&lt;0,"−","")&amp;"$"&amp;TEXT(ABS(ABS(F97)),"#,##0.000")&amp;"bn"&amp;"（FY27 模型 "&amp;IF(損益!C22&lt;0,"−","")&amp;"$"&amp;TEXT(ABS(損益!C22),"#,##0.000")&amp;"bn"&amp;"，共識合計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8" t="str">
        <f aca="false">IF(ISNUMBER(G52),IF(IF(ISNUMBER(G57),ABS(G57)&gt;輸入與假設!$C$510,OR(AND(G38&lt;&gt;0,ABS(G52)&gt;輸入與假設!$C$509*ABS(G38)),AND(G38=0,G52&lt;&gt;0))),IF(ISNUMBER(G97),IF(ABS(G98)&gt;ABS(G97),"調整後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"&amp;IF(G98&lt;0,"−","+")&amp;IF(ABS(G98)&lt;0,"−","")&amp;"$"&amp;TEXT(ABS(ABS(G98)),"#,##0.000")&amp;"bn"&amp;"（Q1 FY28 占 FY28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"&amp;IF(G97&lt;0,"−","+")&amp;IF(ABS(G97)&lt;0,"−","")&amp;"$"&amp;TEXT(ABS(ABS(G97)),"#,##0.000")&amp;"bn"&amp;"（FY28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8" t="str">
        <f aca="false">IF(ISNUMBER(H52),IF(IF(ISNUMBER(H57),ABS(H57)&gt;輸入與假設!$C$510,OR(AND(H38&lt;&gt;0,ABS(H52)&gt;輸入與假設!$C$509*ABS(H38)),AND(H38=0,H52&lt;&gt;0))),IF(ISNUMBER(H97),IF(ABS(H98)&gt;ABS(H97),"調整後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"&amp;IF(H98&lt;0,"−","+")&amp;IF(ABS(H98)&lt;0,"−","")&amp;"$"&amp;TEXT(ABS(ABS(H98)),"#,##0.000")&amp;"bn"&amp;"（Q2 FY28 占 FY28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"&amp;IF(H97&lt;0,"−","+")&amp;IF(ABS(H97)&lt;0,"−","")&amp;"$"&amp;TEXT(ABS(ABS(H97)),"#,##0.000")&amp;"bn"&amp;"（FY28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1336</v>
      </c>
      <c r="C100" s="48" t="str">
        <f aca="false">IF(ISNUMBER(C52),IF(IF(ISNUMBER(C57),ABS(C57)&gt;輸入與假設!$C$510,OR(AND(C38&lt;&gt;0,ABS(C52)&gt;輸入與假設!$C$509*ABS(C38)),AND(C38=0,C52&lt;&gt;0))),IF(ISNUMBER(C97),IF(ABS(C98)&gt;ABS(C97),"拆法","觀點"),"觀點"),""),"")</f>
        <v>觀點</v>
      </c>
      <c r="D100" s="48" t="str">
        <f aca="false">IF(ISNUMBER(D52),IF(IF(ISNUMBER(D57),ABS(D57)&gt;輸入與假設!$C$510,OR(AND(D38&lt;&gt;0,ABS(D52)&gt;輸入與假設!$C$509*ABS(D38)),AND(D38=0,D52&lt;&gt;0))),IF(ISNUMBER(D97),IF(ABS(D98)&gt;ABS(D97),"拆法","觀點"),"觀點"),""),"")</f>
        <v/>
      </c>
      <c r="E100" s="48" t="str">
        <f aca="false">IF(ISNUMBER(E52),IF(IF(ISNUMBER(E57),ABS(E57)&gt;輸入與假設!$C$510,OR(AND(E38&lt;&gt;0,ABS(E52)&gt;輸入與假設!$C$509*ABS(E38)),AND(E38=0,E52&lt;&gt;0))),IF(ISNUMBER(E97),IF(ABS(E98)&gt;ABS(E97),"拆法","觀點"),"觀點"),""),"")</f>
        <v/>
      </c>
      <c r="F100" s="48" t="str">
        <f aca="false">IF(ISNUMBER(F52),IF(IF(ISNUMBER(F57),ABS(F57)&gt;輸入與假設!$C$510,OR(AND(F38&lt;&gt;0,ABS(F52)&gt;輸入與假設!$C$509*ABS(F38)),AND(F38=0,F52&lt;&gt;0))),IF(ISNUMBER(F97),IF(ABS(F98)&gt;ABS(F97),"拆法","觀點"),"觀點"),""),"")</f>
        <v/>
      </c>
      <c r="G100" s="48" t="str">
        <f aca="false">IF(ISNUMBER(G52),IF(IF(ISNUMBER(G57),ABS(G57)&gt;輸入與假設!$C$510,OR(AND(G38&lt;&gt;0,ABS(G52)&gt;輸入與假設!$C$509*ABS(G38)),AND(G38=0,G52&lt;&gt;0))),IF(ISNUMBER(G97),IF(ABS(G98)&gt;ABS(G97),"拆法","觀點"),"觀點"),""),"")</f>
        <v/>
      </c>
      <c r="H100" s="48" t="str">
        <f aca="false">IF(ISNUMBER(H52),IF(IF(ISNUMBER(H57),ABS(H57)&gt;輸入與假設!$C$510,OR(AND(H38&lt;&gt;0,ABS(H52)&gt;輸入與假設!$C$509*ABS(H38)),AND(H38=0,H52&lt;&gt;0))),IF(ISNUMBER(H97),IF(ABS(H98)&gt;ABS(H97),"拆法","觀點"),"觀點"),""),"")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1337</v>
      </c>
      <c r="C101" s="48"/>
      <c r="D101" s="48"/>
      <c r="E101" s="48"/>
      <c r="F101" s="48"/>
      <c r="G101" s="48"/>
      <c r="H101" s="48"/>
    </row>
    <row r="102" customFormat="false" ht="15" hidden="true" customHeight="false" outlineLevel="1" collapsed="false">
      <c r="A102" s="3" t="s">
        <v>1338</v>
      </c>
      <c r="C102" s="48"/>
      <c r="D102" s="48"/>
      <c r="E102" s="48"/>
      <c r="F102" s="48"/>
      <c r="G102" s="48"/>
      <c r="H102" s="48"/>
    </row>
    <row r="103" customFormat="false" ht="15" hidden="true" customHeight="false" outlineLevel="1" collapsed="false">
      <c r="A103" s="3" t="s">
        <v>1339</v>
      </c>
      <c r="C103" s="48" t="str">
        <f aca="false">IF(ISNUMBER(C54),IF(IF(ISNUMBER(C59),ABS(C59)&gt;輸入與假設!$C$510,OR(AND(C28&lt;&gt;0,ABS(C54)&gt;輸入與假設!$C$509*ABS(C28)),AND(C28=0,C54&lt;&gt;0))),"調整後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8" t="str">
        <f aca="false">IF(ISNUMBER(D54),IF(IF(ISNUMBER(D59),ABS(D59)&gt;輸入與假設!$C$510,OR(AND(D28&lt;&gt;0,ABS(D54)&gt;輸入與假設!$C$509*ABS(D28)),AND(D28=0,D54&lt;&gt;0))),"調整後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8" t="str">
        <f aca="false">IF(ISNUMBER(E54),IF(IF(ISNUMBER(E59),ABS(E59)&gt;輸入與假設!$C$510,OR(AND(E28&lt;&gt;0,ABS(E54)&gt;輸入與假設!$C$509*ABS(E28)),AND(E28=0,E54&lt;&gt;0))),"調整後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8" t="str">
        <f aca="false">IF(ISNUMBER(F54),IF(IF(ISNUMBER(F59),ABS(F59)&gt;輸入與假設!$C$510,OR(AND(F28&lt;&gt;0,ABS(F54)&gt;輸入與假設!$C$509*ABS(F28)),AND(F28=0,F54&lt;&gt;0))),"調整後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8" t="str">
        <f aca="false">IF(ISNUMBER(G54),IF(IF(ISNUMBER(G59),ABS(G59)&gt;輸入與假設!$C$510,OR(AND(G28&lt;&gt;0,ABS(G54)&gt;輸入與假設!$C$509*ABS(G28)),AND(G28=0,G54&lt;&gt;0))),"調整後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8" t="str">
        <f aca="false">IF(ISNUMBER(H54),IF(IF(ISNUMBER(H59),ABS(H59)&gt;輸入與假設!$C$510,OR(AND(H28&lt;&gt;0,ABS(H54)&gt;輸入與假設!$C$509*ABS(H28)),AND(H28=0,H54&lt;&gt;0))),"調整後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1340</v>
      </c>
      <c r="C104" s="48" t="str">
        <f aca="false">IF(ISNUMBER(C54),IF(IF(ISNUMBER(C59),ABS(C59)&gt;輸入與假設!$C$510,OR(AND(C28&lt;&gt;0,ABS(C54)&gt;輸入與假設!$C$509*ABS(C28)),AND(C28=0,C54&lt;&gt;0))),"觀點",""),"")</f>
        <v/>
      </c>
      <c r="D104" s="48" t="str">
        <f aca="false">IF(ISNUMBER(D54),IF(IF(ISNUMBER(D59),ABS(D59)&gt;輸入與假設!$C$510,OR(AND(D28&lt;&gt;0,ABS(D54)&gt;輸入與假設!$C$509*ABS(D28)),AND(D28=0,D54&lt;&gt;0))),"觀點",""),"")</f>
        <v/>
      </c>
      <c r="E104" s="48" t="str">
        <f aca="false">IF(ISNUMBER(E54),IF(IF(ISNUMBER(E59),ABS(E59)&gt;輸入與假設!$C$510,OR(AND(E28&lt;&gt;0,ABS(E54)&gt;輸入與假設!$C$509*ABS(E28)),AND(E28=0,E54&lt;&gt;0))),"觀點",""),"")</f>
        <v/>
      </c>
      <c r="F104" s="48" t="str">
        <f aca="false">IF(ISNUMBER(F54),IF(IF(ISNUMBER(F59),ABS(F59)&gt;輸入與假設!$C$510,OR(AND(F28&lt;&gt;0,ABS(F54)&gt;輸入與假設!$C$509*ABS(F28)),AND(F28=0,F54&lt;&gt;0))),"觀點",""),"")</f>
        <v/>
      </c>
      <c r="G104" s="48" t="str">
        <f aca="false">IF(ISNUMBER(G54),IF(IF(ISNUMBER(G59),ABS(G59)&gt;輸入與假設!$C$510,OR(AND(G28&lt;&gt;0,ABS(G54)&gt;輸入與假設!$C$509*ABS(G28)),AND(G28=0,G54&lt;&gt;0))),"觀點",""),"")</f>
        <v/>
      </c>
      <c r="H104" s="48" t="str">
        <f aca="false">IF(ISNUMBER(H54),IF(IF(ISNUMBER(H59),ABS(H59)&gt;輸入與假設!$C$510,OR(AND(H28&lt;&gt;0,ABS(H54)&gt;輸入與假設!$C$509*ABS(H28)),AND(H28=0,H54&lt;&gt;0))),"觀點",""),"")</f>
        <v/>
      </c>
    </row>
    <row r="105" customFormat="false" ht="15" hidden="true" customHeight="false" outlineLevel="1" collapsed="false">
      <c r="A105" s="3" t="s">
        <v>1341</v>
      </c>
      <c r="C105" s="48"/>
      <c r="D105" s="48"/>
      <c r="E105" s="48"/>
      <c r="F105" s="48"/>
      <c r="G105" s="48"/>
      <c r="H105" s="48"/>
    </row>
    <row r="106" customFormat="false" ht="15" hidden="true" customHeight="false" outlineLevel="1" collapsed="false">
      <c r="A106" s="3" t="s">
        <v>1342</v>
      </c>
      <c r="C106" s="48"/>
      <c r="D106" s="48"/>
      <c r="E106" s="48"/>
      <c r="F106" s="48"/>
      <c r="G106" s="48"/>
      <c r="H106" s="48"/>
    </row>
    <row r="107" customFormat="false" ht="15" hidden="true" customHeight="false" outlineLevel="1" collapsed="false">
      <c r="A107" s="3" t="s">
        <v>1343</v>
      </c>
      <c r="C107" s="48" t="str">
        <f aca="false">IF(ISNUMBER(C68),IF(OR(IF(ISNUMBER(C73),ABS(C73)&gt;輸入與假設!$C$510,OR(AND(((C34+C35)/2)&lt;&gt;0,ABS(C68)&gt;輸入與假設!$C$509*ABS(((C34+C35)/2))),AND(((C34+C35)/2)=0,C68&lt;&gt;0))),C31&gt;C35,C31&lt;C34),"調整後營業利益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−$2.84bn／−4.8pt：觀點（模型折舊 13.30 依期初 PP&amp;E 與資本支出推算；營業利益＝EBITDA − 折舊，年度總額線性分到各季）</v>
      </c>
      <c r="D107" s="48" t="str">
        <f aca="false">IF(ISNUMBER(D68),IF(OR(IF(ISNUMBER(D73),ABS(D73)&gt;輸入與假設!$C$510,OR(AND(((D34+D35)/2)&lt;&gt;0,ABS(D68)&gt;輸入與假設!$C$509*ABS(((D34+D35)/2))),AND(((D34+D35)/2)=0,D68&lt;&gt;0))),D31&gt;D35,D31&lt;D34),"調整後營業利益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8" t="str">
        <f aca="false">IF(ISNUMBER(E68),IF(OR(IF(ISNUMBER(E73),ABS(E73)&gt;輸入與假設!$C$510,OR(AND(((E34+E35)/2)&lt;&gt;0,ABS(E68)&gt;輸入與假設!$C$509*ABS(((E34+E35)/2))),AND(((E34+E35)/2)=0,E68&lt;&gt;0))),E31&gt;E35,E31&lt;E34),"調整後營業利益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8" t="str">
        <f aca="false">IF(ISNUMBER(F68),IF(OR(IF(ISNUMBER(F73),ABS(F73)&gt;輸入與假設!$C$510,OR(AND(((F34+F35)/2)&lt;&gt;0,ABS(F68)&gt;輸入與假設!$C$509*ABS(((F34+F35)/2))),AND(((F34+F35)/2)=0,F68&lt;&gt;0))),F31&gt;F35,F31&lt;F34),"調整後營業利益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8" t="str">
        <f aca="false">IF(ISNUMBER(G68),IF(OR(IF(ISNUMBER(G73),ABS(G73)&gt;輸入與假設!$C$510,OR(AND(((G34+G35)/2)&lt;&gt;0,ABS(G68)&gt;輸入與假設!$C$509*ABS(((G34+G35)/2))),AND(((G34+G35)/2)=0,G68&lt;&gt;0))),G31&gt;G35,G31&lt;G34),"調整後營業利益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8" t="str">
        <f aca="false">IF(ISNUMBER(H68),IF(OR(IF(ISNUMBER(H73),ABS(H73)&gt;輸入與假設!$C$510,OR(AND(((H34+H35)/2)&lt;&gt;0,ABS(H68)&gt;輸入與假設!$C$509*ABS(((H34+H35)/2))),AND(((H34+H35)/2)=0,H68&lt;&gt;0))),H31&gt;H35,H31&lt;H34),"調整後營業利益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1344</v>
      </c>
      <c r="C108" s="48" t="str">
        <f aca="false">IF(ISNUMBER(C68),IF(OR(IF(ISNUMBER(C73),ABS(C73)&gt;輸入與假設!$C$510,OR(AND(((C34+C35)/2)&lt;&gt;0,ABS(C68)&gt;輸入與假設!$C$509*ABS(((C34+C35)/2))),AND(((C34+C35)/2)=0,C68&lt;&gt;0))),C31&gt;C35,C31&lt;C34),"觀點",""),"")</f>
        <v>觀點</v>
      </c>
      <c r="D108" s="48" t="str">
        <f aca="false">IF(ISNUMBER(D68),IF(OR(IF(ISNUMBER(D73),ABS(D73)&gt;輸入與假設!$C$510,OR(AND(((D34+D35)/2)&lt;&gt;0,ABS(D68)&gt;輸入與假設!$C$509*ABS(((D34+D35)/2))),AND(((D34+D35)/2)=0,D68&lt;&gt;0))),D31&gt;D35,D31&lt;D34),"觀點",""),"")</f>
        <v/>
      </c>
      <c r="E108" s="48" t="str">
        <f aca="false">IF(ISNUMBER(E68),IF(OR(IF(ISNUMBER(E73),ABS(E73)&gt;輸入與假設!$C$510,OR(AND(((E34+E35)/2)&lt;&gt;0,ABS(E68)&gt;輸入與假設!$C$509*ABS(((E34+E35)/2))),AND(((E34+E35)/2)=0,E68&lt;&gt;0))),E31&gt;E35,E31&lt;E34),"觀點",""),"")</f>
        <v/>
      </c>
      <c r="F108" s="48" t="str">
        <f aca="false">IF(ISNUMBER(F68),IF(OR(IF(ISNUMBER(F73),ABS(F73)&gt;輸入與假設!$C$510,OR(AND(((F34+F35)/2)&lt;&gt;0,ABS(F68)&gt;輸入與假設!$C$509*ABS(((F34+F35)/2))),AND(((F34+F35)/2)=0,F68&lt;&gt;0))),F31&gt;F35,F31&lt;F34),"觀點",""),"")</f>
        <v/>
      </c>
      <c r="G108" s="48" t="str">
        <f aca="false">IF(ISNUMBER(G68),IF(OR(IF(ISNUMBER(G73),ABS(G73)&gt;輸入與假設!$C$510,OR(AND(((G34+G35)/2)&lt;&gt;0,ABS(G68)&gt;輸入與假設!$C$509*ABS(((G34+G35)/2))),AND(((G34+G35)/2)=0,G68&lt;&gt;0))),G31&gt;G35,G31&lt;G34),"觀點",""),"")</f>
        <v/>
      </c>
      <c r="H108" s="48" t="str">
        <f aca="false">IF(ISNUMBER(H68),IF(OR(IF(ISNUMBER(H73),ABS(H73)&gt;輸入與假設!$C$510,OR(AND(((H34+H35)/2)&lt;&gt;0,ABS(H68)&gt;輸入與假設!$C$509*ABS(((H34+H35)/2))),AND(((H34+H35)/2)=0,H68&lt;&gt;0))),H31&gt;H35,H31&lt;H34),"觀點",""),"")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1345</v>
      </c>
      <c r="C109" s="48" t="str">
        <f aca="false">IF(ISNUMBER(C69),IF(IF(ISNUMBER(C74),ABS(C74)&gt;輸入與假設!$C$510,OR(AND(C31&lt;&gt;0,ABS(C69)&gt;輸入與假設!$C$509*ABS(C31)),AND(C31=0,C69&lt;&gt;0))),"調整後營業利益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8" t="str">
        <f aca="false">IF(ISNUMBER(D69),IF(IF(ISNUMBER(D74),ABS(D74)&gt;輸入與假設!$C$510,OR(AND(D31&lt;&gt;0,ABS(D69)&gt;輸入與假設!$C$509*ABS(D31)),AND(D31=0,D69&lt;&gt;0))),"調整後營業利益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8" t="str">
        <f aca="false">IF(ISNUMBER(E69),IF(IF(ISNUMBER(E74),ABS(E74)&gt;輸入與假設!$C$510,OR(AND(E31&lt;&gt;0,ABS(E69)&gt;輸入與假設!$C$509*ABS(E31)),AND(E31=0,E69&lt;&gt;0))),"調整後營業利益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8" t="str">
        <f aca="false">IF(ISNUMBER(F69),IF(IF(ISNUMBER(F74),ABS(F74)&gt;輸入與假設!$C$510,OR(AND(F31&lt;&gt;0,ABS(F69)&gt;輸入與假設!$C$509*ABS(F31)),AND(F31=0,F69&lt;&gt;0))),"調整後營業利益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8" t="str">
        <f aca="false">IF(ISNUMBER(G69),IF(IF(ISNUMBER(G74),ABS(G74)&gt;輸入與假設!$C$510,OR(AND(G31&lt;&gt;0,ABS(G69)&gt;輸入與假設!$C$509*ABS(G31)),AND(G31=0,G69&lt;&gt;0))),"調整後營業利益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8" t="str">
        <f aca="false">IF(ISNUMBER(H69),IF(IF(ISNUMBER(H74),ABS(H74)&gt;輸入與假設!$C$510,OR(AND(H31&lt;&gt;0,ABS(H69)&gt;輸入與假設!$C$509*ABS(H31)),AND(H31=0,H69&lt;&gt;0))),"調整後營業利益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1346</v>
      </c>
      <c r="C110" s="48" t="str">
        <f aca="false">IF(ISNUMBER(C69),IF(IF(ISNUMBER(C74),ABS(C74)&gt;輸入與假設!$C$510,OR(AND(C31&lt;&gt;0,ABS(C69)&gt;輸入與假設!$C$509*ABS(C31)),AND(C31=0,C69&lt;&gt;0))),"觀點",""),"")</f>
        <v/>
      </c>
      <c r="D110" s="48" t="str">
        <f aca="false">IF(ISNUMBER(D69),IF(IF(ISNUMBER(D74),ABS(D74)&gt;輸入與假設!$C$510,OR(AND(D31&lt;&gt;0,ABS(D69)&gt;輸入與假設!$C$509*ABS(D31)),AND(D31=0,D69&lt;&gt;0))),"觀點",""),"")</f>
        <v/>
      </c>
      <c r="E110" s="48" t="str">
        <f aca="false">IF(ISNUMBER(E69),IF(IF(ISNUMBER(E74),ABS(E74)&gt;輸入與假設!$C$510,OR(AND(E31&lt;&gt;0,ABS(E69)&gt;輸入與假設!$C$509*ABS(E31)),AND(E31=0,E69&lt;&gt;0))),"觀點",""),"")</f>
        <v/>
      </c>
      <c r="F110" s="48" t="str">
        <f aca="false">IF(ISNUMBER(F69),IF(IF(ISNUMBER(F74),ABS(F74)&gt;輸入與假設!$C$510,OR(AND(F31&lt;&gt;0,ABS(F69)&gt;輸入與假設!$C$509*ABS(F31)),AND(F31=0,F69&lt;&gt;0))),"觀點",""),"")</f>
        <v/>
      </c>
      <c r="G110" s="48" t="str">
        <f aca="false">IF(ISNUMBER(G69),IF(IF(ISNUMBER(G74),ABS(G74)&gt;輸入與假設!$C$510,OR(AND(G31&lt;&gt;0,ABS(G69)&gt;輸入與假設!$C$509*ABS(G31)),AND(G31=0,G69&lt;&gt;0))),"觀點",""),"")</f>
        <v/>
      </c>
      <c r="H110" s="48" t="str">
        <f aca="false">IF(ISNUMBER(H69),IF(IF(ISNUMBER(H74),ABS(H74)&gt;輸入與假設!$C$510,OR(AND(H31&lt;&gt;0,ABS(H69)&gt;輸入與假設!$C$509*ABS(H31)),AND(H31=0,H69&lt;&gt;0))),"觀點",""),"")</f>
        <v/>
      </c>
    </row>
    <row r="111" customFormat="false" ht="15" hidden="true" customHeight="false" outlineLevel="1" collapsed="false">
      <c r="A111" s="3" t="s">
        <v>1347</v>
      </c>
      <c r="C111" s="48"/>
      <c r="D111" s="48"/>
      <c r="E111" s="48"/>
      <c r="F111" s="48"/>
      <c r="G111" s="48"/>
      <c r="H111" s="48"/>
    </row>
    <row r="112" customFormat="false" ht="15" hidden="true" customHeight="false" outlineLevel="1" collapsed="false">
      <c r="A112" s="3" t="s">
        <v>1348</v>
      </c>
      <c r="C112" s="48"/>
      <c r="D112" s="48"/>
      <c r="E112" s="48"/>
      <c r="F112" s="48"/>
      <c r="G112" s="48"/>
      <c r="H112" s="48"/>
    </row>
    <row r="113" customFormat="false" ht="15" hidden="true" customHeight="false" outlineLevel="1" collapsed="false">
      <c r="A113" s="3" t="s">
        <v>1349</v>
      </c>
      <c r="C113" s="48"/>
      <c r="D113" s="48"/>
      <c r="E113" s="48"/>
      <c r="F113" s="48"/>
      <c r="G113" s="48"/>
      <c r="H113" s="48"/>
    </row>
    <row r="114" customFormat="false" ht="15" hidden="true" customHeight="false" outlineLevel="1" collapsed="false">
      <c r="A114" s="3" t="s">
        <v>1350</v>
      </c>
      <c r="C114" s="48"/>
      <c r="D114" s="48"/>
      <c r="E114" s="48"/>
      <c r="F114" s="48"/>
      <c r="G114" s="48"/>
      <c r="H114" s="48"/>
    </row>
    <row r="115" customFormat="false" ht="15" hidden="true" customHeight="false" outlineLevel="1" collapsed="false">
      <c r="A115" s="3" t="s">
        <v>1351</v>
      </c>
      <c r="C115" s="48" t="str">
        <f aca="false">IF(ISNUMBER(C79),IF(ABS(C79)&gt;輸入與假設!$C$509,"CapEx（毛額） 實際 vs 模型 "&amp;IF(C79&lt;0,"−","+")&amp;TEXT(ABS(C79)*100,"#,##0.0")&amp;"%"&amp;"：觀點（"&amp;"首期資本支出＝FY27 推估 204.2（曆年 2026 約 175 換算，含融資租賃）；之後由 MW 推導（Tokenomics 每 MW 成本）"&amp;"）",""),"")</f>
        <v/>
      </c>
      <c r="D115" s="48" t="str">
        <f aca="false">IF(ISNUMBER(D79),IF(ABS(D79)&gt;輸入與假設!$C$509,"CapEx（毛額） 實際 vs 模型 "&amp;IF(D79&lt;0,"−","+")&amp;TEXT(ABS(D79)*100,"#,##0.0")&amp;"%"&amp;"：觀點（"&amp;"首期資本支出＝FY27 推估 204.2（曆年 2026 約 175 換算，含融資租賃）；之後由 MW 推導（Tokenomics 每 MW 成本）"&amp;"）",""),"")</f>
        <v/>
      </c>
      <c r="E115" s="48" t="str">
        <f aca="false">IF(ISNUMBER(E79),IF(ABS(E79)&gt;輸入與假設!$C$509,"CapEx（毛額） 實際 vs 模型 "&amp;IF(E79&lt;0,"−","+")&amp;TEXT(ABS(E79)*100,"#,##0.0")&amp;"%"&amp;"：觀點（"&amp;"首期資本支出＝FY27 推估 204.2（曆年 2026 約 175 換算，含融資租賃）；之後由 MW 推導（Tokenomics 每 MW 成本）"&amp;"）",""),"")</f>
        <v/>
      </c>
      <c r="F115" s="48" t="str">
        <f aca="false">IF(ISNUMBER(F79),IF(ABS(F79)&gt;輸入與假設!$C$509,"CapEx（毛額） 實際 vs 模型 "&amp;IF(F79&lt;0,"−","+")&amp;TEXT(ABS(F79)*100,"#,##0.0")&amp;"%"&amp;"：觀點（"&amp;"首期資本支出＝FY27 推估 204.2（曆年 2026 約 175 換算，含融資租賃）；之後由 MW 推導（Tokenomics 每 MW 成本）"&amp;"）",""),"")</f>
        <v/>
      </c>
      <c r="G115" s="48" t="str">
        <f aca="false">IF(ISNUMBER(G79),IF(ABS(G79)&gt;輸入與假設!$C$509,"CapEx（毛額） 實際 vs 模型 "&amp;IF(G79&lt;0,"−","+")&amp;TEXT(ABS(G79)*100,"#,##0.0")&amp;"%"&amp;"：觀點（"&amp;"首期資本支出＝FY27 推估 204.2（曆年 2026 約 175 換算，含融資租賃）；之後由 MW 推導（Tokenomics 每 MW 成本）"&amp;"）",""),"")</f>
        <v/>
      </c>
      <c r="H115" s="48" t="str">
        <f aca="false">IF(ISNUMBER(H79),IF(ABS(H79)&gt;輸入與假設!$C$509,"CapEx（毛額） 實際 vs 模型 "&amp;IF(H79&lt;0,"−","+")&amp;TEXT(ABS(H79)*100,"#,##0.0")&amp;"%"&amp;"：觀點（"&amp;"首期資本支出＝FY27 推估 204.2（曆年 2026 約 175 換算，含融資租賃）；之後由 MW 推導（Tokenomics 每 MW 成本）"&amp;"）",""),"")</f>
        <v/>
      </c>
    </row>
    <row r="116" customFormat="false" ht="15" hidden="true" customHeight="false" outlineLevel="1" collapsed="false">
      <c r="A116" s="3" t="s">
        <v>1352</v>
      </c>
      <c r="C116" s="48" t="str">
        <f aca="false">IF(ISNUMBER(C79),IF(ABS(C79)&gt;輸入與假設!$C$509,"觀點",""),"")</f>
        <v/>
      </c>
      <c r="D116" s="48" t="str">
        <f aca="false">IF(ISNUMBER(D79),IF(ABS(D79)&gt;輸入與假設!$C$509,"觀點",""),"")</f>
        <v/>
      </c>
      <c r="E116" s="48" t="str">
        <f aca="false">IF(ISNUMBER(E79),IF(ABS(E79)&gt;輸入與假設!$C$509,"觀點",""),"")</f>
        <v/>
      </c>
      <c r="F116" s="48" t="str">
        <f aca="false">IF(ISNUMBER(F79),IF(ABS(F79)&gt;輸入與假設!$C$509,"觀點",""),"")</f>
        <v/>
      </c>
      <c r="G116" s="48" t="str">
        <f aca="false">IF(ISNUMBER(G79),IF(ABS(G79)&gt;輸入與假設!$C$509,"觀點",""),"")</f>
        <v/>
      </c>
      <c r="H116" s="48" t="str">
        <f aca="false">IF(ISNUMBER(H79),IF(ABS(H79)&gt;輸入與假設!$C$509,"觀點",""),"")</f>
        <v/>
      </c>
    </row>
    <row r="117" customFormat="false" ht="15" hidden="true" customHeight="false" outlineLevel="1" collapsed="false">
      <c r="A117" s="3" t="s">
        <v>1353</v>
      </c>
      <c r="C117" s="48"/>
      <c r="D117" s="48"/>
      <c r="E117" s="48"/>
      <c r="F117" s="48"/>
      <c r="G117" s="48"/>
      <c r="H117" s="48"/>
    </row>
    <row r="118" customFormat="false" ht="15" hidden="true" customHeight="false" outlineLevel="1" collapsed="false">
      <c r="A118" s="3" t="s">
        <v>1354</v>
      </c>
      <c r="C118" s="48"/>
      <c r="D118" s="48"/>
      <c r="E118" s="48"/>
      <c r="F118" s="48"/>
      <c r="G118" s="48"/>
      <c r="H118" s="48"/>
    </row>
    <row r="119" customFormat="false" ht="15" hidden="true" customHeight="false" outlineLevel="1" collapsed="false">
      <c r="A119" s="3" t="s">
        <v>1355</v>
      </c>
      <c r="C119" s="48"/>
      <c r="D119" s="48"/>
      <c r="E119" s="48"/>
      <c r="F119" s="48"/>
      <c r="G119" s="48"/>
      <c r="H119" s="48"/>
    </row>
    <row r="120" customFormat="false" ht="15" hidden="true" customHeight="false" outlineLevel="1" collapsed="false">
      <c r="A120" s="3" t="s">
        <v>1356</v>
      </c>
      <c r="C120" s="48"/>
      <c r="D120" s="48"/>
      <c r="E120" s="48"/>
      <c r="F120" s="48"/>
      <c r="G120" s="48"/>
      <c r="H120" s="48"/>
    </row>
    <row r="121" customFormat="false" ht="15" hidden="true" customHeight="false" outlineLevel="1" collapsed="false">
      <c r="A121" s="3" t="s">
        <v>1357</v>
      </c>
      <c r="C121" s="48"/>
      <c r="D121" s="48"/>
      <c r="E121" s="48"/>
      <c r="F121" s="48"/>
      <c r="G121" s="48"/>
      <c r="H121" s="48"/>
    </row>
    <row r="122" customFormat="false" ht="15" hidden="true" customHeight="false" outlineLevel="1" collapsed="false">
      <c r="A122" s="3" t="s">
        <v>1358</v>
      </c>
      <c r="C122" s="48"/>
      <c r="D122" s="48"/>
      <c r="E122" s="48"/>
      <c r="F122" s="48"/>
      <c r="G122" s="48"/>
      <c r="H122" s="48"/>
    </row>
    <row r="123" customFormat="false" ht="15" hidden="true" customHeight="false" outlineLevel="1" collapsed="false">
      <c r="A123" s="3" t="s">
        <v>1359</v>
      </c>
      <c r="C123" s="48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+3.7%：觀點（營收＝對外 AI 雲端（在役 MW × 每 MW 年收入，Tokenomics × k）＋各分部依近四季年增率收斂；年度總額線性分到各季，未建模季節性）；調整後 EBITDA vs 共識 −$2.26bn／−4.4pt：觀點（模型 EBITDA 率 57.9%；EBITDA＝分部營業利益＋分攤 D&amp;A 與 AI 雲端 Tokenomics 由下而上營運成本）；調整後營業利益 vs 指引中點 −$2.84bn／−4.8pt：觀點（模型折舊 13.30 依期初 PP&amp;E 與資本支出推算；營業利益＝EBITDA − 折舊，年度總額線性分到各季）</v>
      </c>
      <c r="D123" s="48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8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8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8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8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1360</v>
      </c>
      <c r="C124" s="48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8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8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8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8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8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1361</v>
      </c>
      <c r="C125" s="48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>〔觀點〕</v>
      </c>
      <c r="D125" s="48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8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8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8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8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1362</v>
      </c>
      <c r="C126" s="48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8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8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8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8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8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1363</v>
      </c>
      <c r="C127" s="48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8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8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8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8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8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1364</v>
      </c>
      <c r="C128" s="48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8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8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8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8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8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1365</v>
      </c>
      <c r="C129" s="48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$93.75bn｜共識 $90.69bn（+3.4%）｜指引 $89.85–90.95bn（中點 +3.7%，高於上緣）〔觀點〕</v>
      </c>
      <c r="D129" s="48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$97.49bn</v>
      </c>
      <c r="E129" s="48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$101.23bn</v>
      </c>
      <c r="F129" s="48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$104.97bn</v>
      </c>
      <c r="G129" s="48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$215.37bn</v>
      </c>
      <c r="H129" s="48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$256.05bn</v>
      </c>
    </row>
    <row r="130" customFormat="false" ht="15" hidden="true" customHeight="false" outlineLevel="1" collapsed="false">
      <c r="A130" s="3" t="s">
        <v>1366</v>
      </c>
      <c r="C130" s="48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$54.30bn｜共識 $56.56bn（−$2.26bn／−4.4pt）〔觀點〕</v>
      </c>
      <c r="D130" s="48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$56.89bn</v>
      </c>
      <c r="E130" s="48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$59.51bn</v>
      </c>
      <c r="F130" s="48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$62.16bn</v>
      </c>
      <c r="G130" s="48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$128.46bn</v>
      </c>
      <c r="H130" s="48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$153.83bn</v>
      </c>
    </row>
    <row r="131" customFormat="false" ht="15" hidden="true" customHeight="false" outlineLevel="1" collapsed="false">
      <c r="A131" s="3" t="s">
        <v>1367</v>
      </c>
      <c r="C131" s="48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57.9%｜共識 62.4%（−4.4pt）</v>
      </c>
      <c r="D131" s="48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58.4%</v>
      </c>
      <c r="E131" s="48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58.8%</v>
      </c>
      <c r="F131" s="48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59.2%</v>
      </c>
      <c r="G131" s="48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59.6%</v>
      </c>
      <c r="H131" s="48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60.1%</v>
      </c>
    </row>
    <row r="132" customFormat="false" ht="15" hidden="true" customHeight="false" outlineLevel="1" collapsed="false">
      <c r="A132" s="3" t="s">
        <v>1368</v>
      </c>
      <c r="C132" s="48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$41.01bn｜指引 $43.15–44.55bn（中點 −$2.84bn／−4.8pt，低於下緣）〔觀點〕</v>
      </c>
      <c r="D132" s="48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$43.60bn</v>
      </c>
      <c r="E132" s="48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$46.22bn</v>
      </c>
      <c r="F132" s="48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$48.87bn</v>
      </c>
      <c r="G132" s="48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$87.32bn</v>
      </c>
      <c r="H132" s="48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$112.69bn</v>
      </c>
    </row>
    <row r="133" customFormat="false" ht="15" hidden="true" customHeight="false" outlineLevel="1" collapsed="false">
      <c r="A133" s="3" t="s">
        <v>1369</v>
      </c>
      <c r="C133" s="48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$51.05bn</v>
      </c>
      <c r="D133" s="48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$51.05bn</v>
      </c>
      <c r="E133" s="48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$51.05bn</v>
      </c>
      <c r="F133" s="48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$51.05bn</v>
      </c>
      <c r="G133" s="48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$108.10bn</v>
      </c>
      <c r="H133" s="48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$108.10bn</v>
      </c>
    </row>
    <row r="134" customFormat="false" ht="15" hidden="true" customHeight="false" outlineLevel="1" collapsed="false">
      <c r="A134" s="3" t="s">
        <v>1370</v>
      </c>
      <c r="C134" s="48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3,831 MW</v>
      </c>
      <c r="D134" s="48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4,413 MW</v>
      </c>
      <c r="E134" s="48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4,994 MW</v>
      </c>
      <c r="F134" s="48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5,576 MW</v>
      </c>
      <c r="G134" s="48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6,739 MW</v>
      </c>
      <c r="H134" s="48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7,902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1371</v>
      </c>
    </row>
    <row r="137" customFormat="false" ht="15" hidden="true" customHeight="false" outlineLevel="1" collapsed="false">
      <c r="A137" s="3" t="s">
        <v>1372</v>
      </c>
      <c r="C137" s="69" t="n">
        <f aca="false">C22+D22+E22+F22-損益!C9</f>
        <v>0</v>
      </c>
      <c r="D137" s="69" t="n">
        <f aca="false">G22+H22-損益!D9</f>
        <v>0</v>
      </c>
    </row>
    <row r="138" customFormat="false" ht="15" hidden="true" customHeight="false" outlineLevel="1" collapsed="false">
      <c r="A138" s="3" t="s">
        <v>1373</v>
      </c>
      <c r="C138" s="69" t="n">
        <f aca="false">C28+D28+E28+F28-損益!C22</f>
        <v>0</v>
      </c>
      <c r="D138" s="69" t="n">
        <f aca="false">G28+H28-損益!D22</f>
        <v>0</v>
      </c>
    </row>
    <row r="139" customFormat="false" ht="15" hidden="true" customHeight="false" outlineLevel="1" collapsed="false">
      <c r="A139" s="3" t="s">
        <v>1374</v>
      </c>
      <c r="C139" s="69" t="n">
        <f aca="false">C31+D31+E31+F31-損益!C12</f>
        <v>0</v>
      </c>
      <c r="D139" s="69" t="n">
        <f aca="false">G31+H31-損益!D12</f>
        <v>0</v>
      </c>
    </row>
    <row r="140" customFormat="false" ht="15" hidden="true" customHeight="false" outlineLevel="1" collapsed="false">
      <c r="A140" s="3" t="s">
        <v>1375</v>
      </c>
      <c r="C140" s="69" t="n">
        <f aca="false">C36+D36+E36+F36-輸入與假設!C$287</f>
        <v>0</v>
      </c>
      <c r="D140" s="69" t="n">
        <f aca="false">G36+H36-輸入與假設!D$287</f>
        <v>0</v>
      </c>
    </row>
    <row r="141" customFormat="false" ht="15" hidden="true" customHeight="false" outlineLevel="1" collapsed="false">
      <c r="A141" s="3" t="s">
        <v>1376</v>
      </c>
      <c r="C141" s="69" t="n">
        <f aca="false">C29+D29+E29+F29-輸入與假設!C$288</f>
        <v>0</v>
      </c>
      <c r="D141" s="69" t="n">
        <f aca="false">G29+H29-輸入與假設!D$288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1377</v>
      </c>
    </row>
    <row r="2" customFormat="false" ht="15" hidden="false" customHeight="false" outlineLevel="0" collapsed="false">
      <c r="A2" s="6" t="s">
        <v>1378</v>
      </c>
    </row>
    <row r="3" customFormat="false" ht="15" hidden="false" customHeight="false" outlineLevel="0" collapsed="false">
      <c r="A3" s="11" t="s">
        <v>1379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1027</v>
      </c>
    </row>
    <row r="6" customFormat="false" ht="15" hidden="false" customHeight="false" outlineLevel="0" collapsed="false">
      <c r="A6" s="3" t="s">
        <v>838</v>
      </c>
      <c r="B6" s="6"/>
      <c r="C6" s="66" t="str">
        <f aca="false">"2026-07-01~06-30"</f>
        <v>2026-07-01~06-30</v>
      </c>
      <c r="D6" s="66" t="str">
        <f aca="false">"2028 全年"</f>
        <v>2028 全年</v>
      </c>
      <c r="E6" s="66" t="str">
        <f aca="false">"2029 全年"</f>
        <v>2029 全年</v>
      </c>
      <c r="F6" s="66" t="str">
        <f aca="false">"2030 全年"</f>
        <v>2030 全年</v>
      </c>
      <c r="G6" s="66" t="str">
        <f aca="false">"2031 全年"</f>
        <v>2031 全年</v>
      </c>
      <c r="I6" s="11" t="s">
        <v>1380</v>
      </c>
    </row>
    <row r="7" customFormat="false" ht="15" hidden="false" customHeight="false" outlineLevel="0" collapsed="false">
      <c r="A7" s="3" t="s">
        <v>207</v>
      </c>
      <c r="B7" s="6"/>
      <c r="C7" s="39" t="n">
        <f aca="false">輸入與假設!C$34</f>
        <v>1</v>
      </c>
      <c r="D7" s="39" t="n">
        <f aca="false">輸入與假設!D$34</f>
        <v>1</v>
      </c>
      <c r="E7" s="39" t="n">
        <f aca="false">輸入與假設!E$34</f>
        <v>1</v>
      </c>
      <c r="F7" s="39" t="n">
        <f aca="false">輸入與假設!F$34</f>
        <v>1</v>
      </c>
      <c r="G7" s="39" t="n">
        <f aca="false">輸入與假設!G$34</f>
        <v>1</v>
      </c>
      <c r="I7" s="6" t="s">
        <v>1381</v>
      </c>
    </row>
    <row r="8" customFormat="false" ht="15" hidden="false" customHeight="false" outlineLevel="0" collapsed="false">
      <c r="A8" s="52" t="s">
        <v>1382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1383</v>
      </c>
      <c r="B9" s="11" t="s">
        <v>157</v>
      </c>
      <c r="C9" s="68" t="n">
        <f aca="false">MAX(0,輸入與假設!C$36)</f>
        <v>5575.9</v>
      </c>
      <c r="D9" s="68" t="n">
        <f aca="false">MAX(輸入與假設!D$36,C9)</f>
        <v>7901.8</v>
      </c>
      <c r="E9" s="68" t="n">
        <f aca="false">MAX(輸入與假設!E$36,D9)</f>
        <v>10227.7</v>
      </c>
      <c r="F9" s="68" t="n">
        <f aca="false">MAX(輸入與假設!F$36,E9)</f>
        <v>12553.6</v>
      </c>
      <c r="G9" s="68" t="n">
        <f aca="false">MAX(輸入與假設!G$36,F9)</f>
        <v>14879.5</v>
      </c>
      <c r="I9" s="6" t="s">
        <v>1384</v>
      </c>
    </row>
    <row r="10" customFormat="false" ht="15" hidden="false" customHeight="false" outlineLevel="1" collapsed="false">
      <c r="A10" s="4" t="s">
        <v>1385</v>
      </c>
      <c r="B10" s="11" t="s">
        <v>157</v>
      </c>
      <c r="C10" s="68" t="n">
        <f aca="false">MIN(MAX(0,輸入與假設!C$37),C9)</f>
        <v>5575.9</v>
      </c>
      <c r="D10" s="68" t="n">
        <f aca="false">MIN(MAX(0,輸入與假設!D$37),D9)</f>
        <v>7901.8</v>
      </c>
      <c r="E10" s="68" t="n">
        <f aca="false">MIN(MAX(0,輸入與假設!E$37),E9)</f>
        <v>10227.7</v>
      </c>
      <c r="F10" s="68" t="n">
        <f aca="false">MIN(MAX(0,輸入與假設!F$37),F9)</f>
        <v>12553.6</v>
      </c>
      <c r="G10" s="68" t="n">
        <f aca="false">MIN(MAX(0,輸入與假設!G$37),G9)</f>
        <v>14879</v>
      </c>
      <c r="I10" s="6" t="s">
        <v>1386</v>
      </c>
    </row>
    <row r="11" customFormat="false" ht="15" hidden="false" customHeight="false" outlineLevel="1" collapsed="false">
      <c r="A11" s="4" t="s">
        <v>1387</v>
      </c>
      <c r="B11" s="11" t="s">
        <v>157</v>
      </c>
      <c r="C11" s="68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5575.9</v>
      </c>
      <c r="D11" s="68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7901.8</v>
      </c>
      <c r="E11" s="68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10227.7</v>
      </c>
      <c r="F11" s="68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12553.6</v>
      </c>
      <c r="G11" s="68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14879</v>
      </c>
      <c r="I11" s="6" t="s">
        <v>1388</v>
      </c>
    </row>
    <row r="12" customFormat="false" ht="15" hidden="false" customHeight="false" outlineLevel="1" collapsed="false">
      <c r="A12" s="3" t="s">
        <v>1389</v>
      </c>
      <c r="B12" s="11" t="s">
        <v>157</v>
      </c>
      <c r="C12" s="68" t="n">
        <f aca="false">輸入與假設!$C$29</f>
        <v>3250</v>
      </c>
      <c r="D12" s="68" t="n">
        <f aca="false">C11</f>
        <v>5575.9</v>
      </c>
      <c r="E12" s="68" t="n">
        <f aca="false">D11</f>
        <v>7901.8</v>
      </c>
      <c r="F12" s="68" t="n">
        <f aca="false">E11</f>
        <v>10227.7</v>
      </c>
      <c r="G12" s="68" t="n">
        <f aca="false">F11</f>
        <v>12553.6</v>
      </c>
      <c r="I12" s="6" t="s">
        <v>1390</v>
      </c>
    </row>
    <row r="13" customFormat="false" ht="15" hidden="false" customHeight="false" outlineLevel="1" collapsed="false">
      <c r="A13" s="3" t="s">
        <v>1391</v>
      </c>
      <c r="B13" s="11" t="s">
        <v>157</v>
      </c>
      <c r="C13" s="68" t="n">
        <f aca="false">IF(輸入與假設!$C$30=1,(C12+C11)/2,C11)</f>
        <v>4412.95</v>
      </c>
      <c r="D13" s="68" t="n">
        <f aca="false">IF(輸入與假設!$C$30=1,(D12+D11)/2,D11)</f>
        <v>6738.85</v>
      </c>
      <c r="E13" s="68" t="n">
        <f aca="false">IF(輸入與假設!$C$30=1,(E12+E11)/2,E11)</f>
        <v>9064.75</v>
      </c>
      <c r="F13" s="68" t="n">
        <f aca="false">IF(輸入與假設!$C$30=1,(F12+F11)/2,F11)</f>
        <v>11390.65</v>
      </c>
      <c r="G13" s="68" t="n">
        <f aca="false">IF(輸入與假設!$C$30=1,(G12+G11)/2,G11)</f>
        <v>13716.3</v>
      </c>
      <c r="I13" s="6" t="s">
        <v>1392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3" t="n">
        <f aca="false">輸入與假設!C$38</f>
        <v>1</v>
      </c>
      <c r="D14" s="53" t="n">
        <f aca="false">輸入與假設!D$38</f>
        <v>1</v>
      </c>
      <c r="E14" s="53" t="n">
        <f aca="false">輸入與假設!E$38</f>
        <v>1</v>
      </c>
      <c r="F14" s="53" t="n">
        <f aca="false">輸入與假設!F$38</f>
        <v>1</v>
      </c>
      <c r="G14" s="53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70" t="n">
        <f aca="false">輸入與假設!C$39</f>
        <v>0.0121802799923803</v>
      </c>
      <c r="D15" s="70" t="n">
        <f aca="false">輸入與假設!D$39</f>
        <v>0.0125734162141244</v>
      </c>
      <c r="E15" s="70" t="n">
        <f aca="false">輸入與假設!E$39</f>
        <v>0.012789541586114</v>
      </c>
      <c r="F15" s="70" t="n">
        <f aca="false">輸入與假設!F$39</f>
        <v>0.0129255806079394</v>
      </c>
      <c r="G15" s="70" t="n">
        <f aca="false">輸入與假設!G$39</f>
        <v>0.013019089550009</v>
      </c>
    </row>
    <row r="16" customFormat="false" ht="15" hidden="false" customHeight="false" outlineLevel="1" collapsed="false">
      <c r="A16" s="3" t="s">
        <v>1393</v>
      </c>
      <c r="B16" s="11" t="s">
        <v>65</v>
      </c>
      <c r="C16" s="42" t="n">
        <f aca="false">C13*輸入與假設!C$39*輸入與假設!$C$32*輸入與假設!C$38*C7</f>
        <v>53.7509665923748</v>
      </c>
      <c r="D16" s="42" t="n">
        <f aca="false">D13*輸入與假設!D$39*輸入與假設!$C$32*輸入與假設!D$38*D7</f>
        <v>84.7303658545521</v>
      </c>
      <c r="E16" s="42" t="n">
        <f aca="false">E13*輸入與假設!E$39*輸入與假設!$C$32*輸入與假設!E$38*E7</f>
        <v>115.933997092727</v>
      </c>
      <c r="F16" s="42" t="n">
        <f aca="false">F13*輸入與假設!F$39*輸入與假設!$C$32*輸入與假設!F$38*F7</f>
        <v>147.230764751825</v>
      </c>
      <c r="G16" s="42" t="n">
        <f aca="false">G13*輸入與假設!G$39*輸入與假設!$C$32*輸入與假設!G$38*G7</f>
        <v>178.573737994788</v>
      </c>
      <c r="I16" s="6" t="s">
        <v>1394</v>
      </c>
    </row>
    <row r="17" customFormat="false" ht="15" hidden="false" customHeight="false" outlineLevel="0" collapsed="false">
      <c r="A17" s="52" t="s">
        <v>1395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1396</v>
      </c>
      <c r="B18" s="11" t="s">
        <v>65</v>
      </c>
      <c r="C18" s="66" t="n">
        <f aca="false">(輸入與假設!$C$24+輸入與假設!$C$25)*(輸入與假設!C$35/輸入與假設!$C$27)*輸入與假設!$C$26</f>
        <v>0</v>
      </c>
      <c r="D18" s="66" t="n">
        <f aca="false">(輸入與假設!$C$24+輸入與假設!$C$25)*(輸入與假設!D$35/輸入與假設!$C$27)*輸入與假設!$C$26</f>
        <v>0</v>
      </c>
      <c r="E18" s="66" t="n">
        <f aca="false">(輸入與假設!$C$24+輸入與假設!$C$25)*(輸入與假設!E$35/輸入與假設!$C$27)*輸入與假設!$C$26</f>
        <v>0</v>
      </c>
      <c r="F18" s="66" t="n">
        <f aca="false">(輸入與假設!$C$24+輸入與假設!$C$25)*(輸入與假設!F$35/輸入與假設!$C$27)*輸入與假設!$C$26</f>
        <v>0</v>
      </c>
      <c r="G18" s="66" t="n">
        <f aca="false">(輸入與假設!$C$24+輸入與假設!$C$25)*(輸入與假設!G$35/輸入與假設!$C$27)*輸入與假設!$C$26</f>
        <v>0</v>
      </c>
      <c r="I18" s="6" t="s">
        <v>1397</v>
      </c>
    </row>
    <row r="19" customFormat="false" ht="15" hidden="false" customHeight="false" outlineLevel="0" collapsed="false">
      <c r="A19" s="52" t="s">
        <v>1398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1399</v>
      </c>
      <c r="B20" s="11" t="s">
        <v>65</v>
      </c>
      <c r="C20" s="42" t="n">
        <f aca="false">MAX(0,C18-C16)</f>
        <v>0</v>
      </c>
      <c r="D20" s="42" t="n">
        <f aca="false">MAX(0,D18-D16)</f>
        <v>0</v>
      </c>
      <c r="E20" s="42" t="n">
        <f aca="false">MAX(0,E18-E16)</f>
        <v>0</v>
      </c>
      <c r="F20" s="42" t="n">
        <f aca="false">MAX(0,F18-F16)</f>
        <v>0</v>
      </c>
      <c r="G20" s="42" t="n">
        <f aca="false">MAX(0,G18-G16)</f>
        <v>0</v>
      </c>
      <c r="I20" s="6" t="s">
        <v>1400</v>
      </c>
    </row>
    <row r="21" customFormat="false" ht="15" hidden="false" customHeight="false" outlineLevel="1" collapsed="false">
      <c r="A21" s="3" t="s">
        <v>1401</v>
      </c>
      <c r="B21" s="11" t="s">
        <v>65</v>
      </c>
      <c r="C21" s="66" t="n">
        <f aca="false">C18-C20</f>
        <v>0</v>
      </c>
      <c r="D21" s="66" t="n">
        <f aca="false">D18-D20</f>
        <v>0</v>
      </c>
      <c r="E21" s="66" t="n">
        <f aca="false">E18-E20</f>
        <v>0</v>
      </c>
      <c r="F21" s="66" t="n">
        <f aca="false">F18-F20</f>
        <v>0</v>
      </c>
      <c r="G21" s="66" t="n">
        <f aca="false">G18-G20</f>
        <v>0</v>
      </c>
      <c r="I21" s="6" t="s">
        <v>1402</v>
      </c>
    </row>
    <row r="22" customFormat="false" ht="15" hidden="false" customHeight="false" outlineLevel="1" collapsed="false">
      <c r="A22" s="3" t="s">
        <v>1403</v>
      </c>
      <c r="B22" s="11" t="s">
        <v>65</v>
      </c>
      <c r="C22" s="66" t="n">
        <f aca="false">MAX(0,C16-C18)</f>
        <v>53.7509665923748</v>
      </c>
      <c r="D22" s="66" t="n">
        <f aca="false">MAX(0,D16-D18)</f>
        <v>84.7303658545521</v>
      </c>
      <c r="E22" s="66" t="n">
        <f aca="false">MAX(0,E16-E18)</f>
        <v>115.933997092727</v>
      </c>
      <c r="F22" s="66" t="n">
        <f aca="false">MAX(0,F16-F18)</f>
        <v>147.230764751825</v>
      </c>
      <c r="G22" s="66" t="n">
        <f aca="false">MAX(0,G16-G18)</f>
        <v>178.573737994788</v>
      </c>
      <c r="I22" s="6" t="s">
        <v>1404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3" t="n">
        <f aca="false">IF(輸入與假設!$C$31="mw",1,輸入與假設!C$40)</f>
        <v>1</v>
      </c>
      <c r="D23" s="53" t="n">
        <f aca="false">IF(輸入與假設!$C$31="mw",1,輸入與假設!D$40)</f>
        <v>1</v>
      </c>
      <c r="E23" s="53" t="n">
        <f aca="false">IF(輸入與假設!$C$31="mw",1,輸入與假設!E$40)</f>
        <v>1</v>
      </c>
      <c r="F23" s="53" t="n">
        <f aca="false">IF(輸入與假設!$C$31="mw",1,輸入與假設!F$40)</f>
        <v>1</v>
      </c>
      <c r="G23" s="53" t="n">
        <f aca="false">IF(輸入與假設!$C$31="mw",1,輸入與假設!G$40)</f>
        <v>1</v>
      </c>
      <c r="I23" s="11" t="s">
        <v>1405</v>
      </c>
    </row>
    <row r="24" customFormat="false" ht="15" hidden="false" customHeight="false" outlineLevel="1" collapsed="false">
      <c r="A24" s="3" t="s">
        <v>1406</v>
      </c>
      <c r="B24" s="11" t="s">
        <v>65</v>
      </c>
      <c r="C24" s="66" t="n">
        <f aca="false">C22*C23</f>
        <v>53.7509665923748</v>
      </c>
      <c r="D24" s="66" t="n">
        <f aca="false">D22*D23</f>
        <v>84.7303658545521</v>
      </c>
      <c r="E24" s="66" t="n">
        <f aca="false">E22*E23</f>
        <v>115.933997092727</v>
      </c>
      <c r="F24" s="66" t="n">
        <f aca="false">F22*F23</f>
        <v>147.230764751825</v>
      </c>
      <c r="G24" s="66" t="n">
        <f aca="false">G22*G23</f>
        <v>178.573737994788</v>
      </c>
      <c r="I24" s="6" t="s">
        <v>1407</v>
      </c>
    </row>
    <row r="25" customFormat="false" ht="15" hidden="false" customHeight="false" outlineLevel="1" collapsed="false">
      <c r="A25" s="3" t="s">
        <v>1408</v>
      </c>
      <c r="B25" s="11" t="s">
        <v>65</v>
      </c>
      <c r="C25" s="66" t="n">
        <f aca="false">MAX(0,C16-C21-C24)</f>
        <v>0</v>
      </c>
      <c r="D25" s="66" t="n">
        <f aca="false">MAX(0,D16-D21-D24)</f>
        <v>0</v>
      </c>
      <c r="E25" s="66" t="n">
        <f aca="false">MAX(0,E16-E21-E24)</f>
        <v>0</v>
      </c>
      <c r="F25" s="66" t="n">
        <f aca="false">MAX(0,F16-F21-F24)</f>
        <v>0</v>
      </c>
      <c r="G25" s="66" t="n">
        <f aca="false">MAX(0,G16-G21-G24)</f>
        <v>0</v>
      </c>
      <c r="I25" s="6" t="s">
        <v>1409</v>
      </c>
    </row>
    <row r="26" customFormat="false" ht="15" hidden="false" customHeight="false" outlineLevel="1" collapsed="false">
      <c r="A26" s="3" t="s">
        <v>1410</v>
      </c>
      <c r="B26" s="11" t="s">
        <v>65</v>
      </c>
      <c r="C26" s="42" t="n">
        <f aca="false">C21+C24</f>
        <v>53.7509665923748</v>
      </c>
      <c r="D26" s="42" t="n">
        <f aca="false">D21+D24</f>
        <v>84.7303658545521</v>
      </c>
      <c r="E26" s="42" t="n">
        <f aca="false">E21+E24</f>
        <v>115.933997092727</v>
      </c>
      <c r="F26" s="42" t="n">
        <f aca="false">F21+F24</f>
        <v>147.230764751825</v>
      </c>
      <c r="G26" s="42" t="n">
        <f aca="false">G21+G24</f>
        <v>178.573737994788</v>
      </c>
      <c r="I26" s="6" t="s">
        <v>1411</v>
      </c>
    </row>
    <row r="27" customFormat="false" ht="15" hidden="false" customHeight="false" outlineLevel="1" collapsed="false">
      <c r="A27" s="3" t="s">
        <v>1412</v>
      </c>
      <c r="B27" s="11" t="s">
        <v>65</v>
      </c>
      <c r="C27" s="66" t="n">
        <f aca="false">C26-C13*輸入與假設!C$39*輸入與假設!$C$32*輸入與假設!C$38*C7</f>
        <v>0</v>
      </c>
      <c r="D27" s="66" t="n">
        <f aca="false">D26-D13*輸入與假設!D$39*輸入與假設!$C$32*輸入與假設!D$38*D7</f>
        <v>0</v>
      </c>
      <c r="E27" s="66" t="n">
        <f aca="false">E26-E13*輸入與假設!E$39*輸入與假設!$C$32*輸入與假設!E$38*E7</f>
        <v>0</v>
      </c>
      <c r="F27" s="66" t="n">
        <f aca="false">F26-F13*輸入與假設!F$39*輸入與假設!$C$32*輸入與假設!F$38*F7</f>
        <v>0</v>
      </c>
      <c r="G27" s="66" t="n">
        <f aca="false">G26-G13*輸入與假設!G$39*輸入與假設!$C$32*輸入與假設!G$38*G7</f>
        <v>0</v>
      </c>
      <c r="I27" s="11" t="s">
        <v>1413</v>
      </c>
    </row>
    <row r="28" customFormat="false" ht="15" hidden="false" customHeight="false" outlineLevel="1" collapsed="false">
      <c r="A28" s="3" t="s">
        <v>1414</v>
      </c>
      <c r="B28" s="11" t="s">
        <v>42</v>
      </c>
      <c r="C28" s="67" t="n">
        <v>1</v>
      </c>
      <c r="D28" s="67" t="n">
        <v>1</v>
      </c>
      <c r="E28" s="67" t="n">
        <v>1</v>
      </c>
      <c r="F28" s="67" t="n">
        <v>0</v>
      </c>
      <c r="G28" s="67" t="n">
        <v>0</v>
      </c>
      <c r="I28" s="11" t="s">
        <v>1415</v>
      </c>
    </row>
    <row r="29" customFormat="false" ht="15" hidden="false" customHeight="false" outlineLevel="1" collapsed="false">
      <c r="A29" s="3" t="s">
        <v>1416</v>
      </c>
      <c r="B29" s="11" t="s">
        <v>65</v>
      </c>
      <c r="C29" s="66" t="n">
        <f aca="false">C26*C28</f>
        <v>53.7509665923748</v>
      </c>
      <c r="D29" s="66" t="n">
        <f aca="false">D26*D28</f>
        <v>84.7303658545521</v>
      </c>
      <c r="E29" s="66" t="n">
        <f aca="false">E26*E28</f>
        <v>115.933997092727</v>
      </c>
      <c r="F29" s="66" t="n">
        <f aca="false">F26*F28</f>
        <v>0</v>
      </c>
      <c r="G29" s="66" t="n">
        <f aca="false">G26*G28</f>
        <v>0</v>
      </c>
      <c r="I29" s="6" t="s">
        <v>1417</v>
      </c>
    </row>
    <row r="30" customFormat="false" ht="15" hidden="false" customHeight="false" outlineLevel="1" collapsed="false">
      <c r="A30" s="3" t="s">
        <v>1418</v>
      </c>
      <c r="B30" s="11" t="s">
        <v>65</v>
      </c>
      <c r="C30" s="39" t="n">
        <f aca="false">輸入與假設!$C$439</f>
        <v>0</v>
      </c>
      <c r="D30" s="39" t="n">
        <f aca="false">0</f>
        <v>0</v>
      </c>
      <c r="E30" s="39" t="n">
        <f aca="false">0</f>
        <v>0</v>
      </c>
      <c r="F30" s="39" t="n">
        <f aca="false">0</f>
        <v>0</v>
      </c>
      <c r="G30" s="39" t="n">
        <f aca="false">0</f>
        <v>0</v>
      </c>
      <c r="I30" s="11" t="s">
        <v>1419</v>
      </c>
    </row>
    <row r="31" customFormat="false" ht="15" hidden="false" customHeight="false" outlineLevel="1" collapsed="false">
      <c r="A31" s="4" t="s">
        <v>1420</v>
      </c>
      <c r="B31" s="11" t="s">
        <v>65</v>
      </c>
      <c r="C31" s="71" t="n">
        <f aca="false">C30+C26+輸入與假設!C$43+輸入與假設!C$204</f>
        <v>397.445587854</v>
      </c>
      <c r="D31" s="42" t="n">
        <f aca="false">D30+D26+輸入與假設!D$43+輸入與假設!D$204</f>
        <v>471.424331883435</v>
      </c>
      <c r="E31" s="42" t="n">
        <f aca="false">E30+E26+輸入與假設!E$43+輸入與假設!E$204</f>
        <v>545.537710592417</v>
      </c>
      <c r="F31" s="42" t="n">
        <f aca="false">F30+F26+輸入與假設!F$43+輸入與假設!F$204</f>
        <v>617.320768262349</v>
      </c>
      <c r="G31" s="42" t="n">
        <f aca="false">G30+G26+輸入與假設!G$43+輸入與假設!G$204</f>
        <v>684.295045248675</v>
      </c>
      <c r="I31" s="11" t="s">
        <v>1421</v>
      </c>
    </row>
    <row r="32" customFormat="false" ht="15" hidden="false" customHeight="false" outlineLevel="0" collapsed="false">
      <c r="A32" s="52" t="s">
        <v>1422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3" t="n">
        <f aca="false">輸入與假設!C$41</f>
        <v>0</v>
      </c>
      <c r="D33" s="53" t="n">
        <f aca="false">輸入與假設!D$41</f>
        <v>0</v>
      </c>
      <c r="E33" s="53" t="n">
        <f aca="false">輸入與假設!E$41</f>
        <v>0</v>
      </c>
      <c r="F33" s="53" t="n">
        <f aca="false">輸入與假設!F$41</f>
        <v>0</v>
      </c>
      <c r="G33" s="53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3" t="n">
        <f aca="false">輸入與假設!C$42</f>
        <v>0.5</v>
      </c>
      <c r="D34" s="53" t="n">
        <f aca="false">輸入與假設!D$42</f>
        <v>0.5</v>
      </c>
      <c r="E34" s="53" t="n">
        <f aca="false">輸入與假設!E$42</f>
        <v>0.5</v>
      </c>
      <c r="F34" s="53" t="n">
        <f aca="false">輸入與假設!F$42</f>
        <v>0.5</v>
      </c>
      <c r="G34" s="53" t="n">
        <f aca="false">輸入與假設!G$42</f>
        <v>0.5</v>
      </c>
    </row>
    <row r="35" customFormat="false" ht="15" hidden="false" customHeight="false" outlineLevel="1" collapsed="false">
      <c r="A35" s="3" t="s">
        <v>1423</v>
      </c>
      <c r="B35" s="11" t="s">
        <v>65</v>
      </c>
      <c r="C35" s="66" t="n">
        <f aca="false">C21*輸入與假設!C$41*(1-輸入與假設!C$42)</f>
        <v>0</v>
      </c>
      <c r="D35" s="66" t="n">
        <f aca="false">D21*輸入與假設!D$41*(1-輸入與假設!D$42)</f>
        <v>0</v>
      </c>
      <c r="E35" s="66" t="n">
        <f aca="false">E21*輸入與假設!E$41*(1-輸入與假設!E$42)</f>
        <v>0</v>
      </c>
      <c r="F35" s="66" t="n">
        <f aca="false">F21*輸入與假設!F$41*(1-輸入與假設!F$42)</f>
        <v>0</v>
      </c>
      <c r="G35" s="66" t="n">
        <f aca="false">G21*輸入與假設!G$41*(1-輸入與假設!G$42)</f>
        <v>0</v>
      </c>
      <c r="I35" s="6" t="s">
        <v>1424</v>
      </c>
    </row>
    <row r="36" customFormat="false" ht="15" hidden="false" customHeight="false" outlineLevel="1" collapsed="false">
      <c r="A36" s="3" t="s">
        <v>1425</v>
      </c>
      <c r="B36" s="11" t="s">
        <v>65</v>
      </c>
      <c r="C36" s="66" t="n">
        <f aca="false">C21-C35</f>
        <v>0</v>
      </c>
      <c r="D36" s="66" t="n">
        <f aca="false">D21-D35</f>
        <v>0</v>
      </c>
      <c r="E36" s="66" t="n">
        <f aca="false">E21-E35</f>
        <v>0</v>
      </c>
      <c r="F36" s="66" t="n">
        <f aca="false">F21-F35</f>
        <v>0</v>
      </c>
      <c r="G36" s="66" t="n">
        <f aca="false">G21-G35</f>
        <v>0</v>
      </c>
    </row>
    <row r="37" customFormat="false" ht="15" hidden="false" customHeight="false" outlineLevel="1" collapsed="false">
      <c r="A37" s="4" t="s">
        <v>1426</v>
      </c>
      <c r="B37" s="11" t="s">
        <v>42</v>
      </c>
      <c r="C37" s="53" t="n">
        <f aca="false">輸入與假設!C$214</f>
        <v>0.797878310782901</v>
      </c>
      <c r="D37" s="53" t="n">
        <f aca="false">輸入與假設!D$214</f>
        <v>0.800296436214699</v>
      </c>
      <c r="E37" s="53" t="n">
        <f aca="false">輸入與假設!E$214</f>
        <v>0.80156246567614</v>
      </c>
      <c r="F37" s="53" t="n">
        <f aca="false">輸入與假設!F$214</f>
        <v>0.802337649659042</v>
      </c>
      <c r="G37" s="53" t="n">
        <f aca="false">輸入與假設!G$214</f>
        <v>0.802861091937598</v>
      </c>
      <c r="I37" s="6" t="s">
        <v>1427</v>
      </c>
    </row>
    <row r="38" customFormat="false" ht="15" hidden="false" customHeight="false" outlineLevel="1" collapsed="false">
      <c r="A38" s="3" t="s">
        <v>1428</v>
      </c>
      <c r="B38" s="11" t="s">
        <v>65</v>
      </c>
      <c r="C38" s="66" t="n">
        <f aca="false">C26+輸入與假設!C$43</f>
        <v>53.7509665923748</v>
      </c>
      <c r="D38" s="66" t="n">
        <f aca="false">D26+輸入與假設!D$43</f>
        <v>84.7303658545521</v>
      </c>
      <c r="E38" s="66" t="n">
        <f aca="false">E26+輸入與假設!E$43</f>
        <v>115.933997092727</v>
      </c>
      <c r="F38" s="66" t="n">
        <f aca="false">F26+輸入與假設!F$43</f>
        <v>147.230764751825</v>
      </c>
      <c r="G38" s="66" t="n">
        <f aca="false">G26+輸入與假設!G$43</f>
        <v>178.573737994788</v>
      </c>
    </row>
    <row r="39" customFormat="false" ht="15" hidden="false" customHeight="false" outlineLevel="1" collapsed="false">
      <c r="A39" s="4" t="s">
        <v>1429</v>
      </c>
      <c r="B39" s="11" t="s">
        <v>42</v>
      </c>
      <c r="C39" s="72" t="n">
        <f aca="false">輸入與假設!C$214</f>
        <v>0.797878310782901</v>
      </c>
      <c r="D39" s="72" t="n">
        <f aca="false">輸入與假設!D$214</f>
        <v>0.800296436214699</v>
      </c>
      <c r="E39" s="72" t="n">
        <f aca="false">輸入與假設!E$214</f>
        <v>0.80156246567614</v>
      </c>
      <c r="F39" s="72" t="n">
        <f aca="false">輸入與假設!F$214</f>
        <v>0.802337649659042</v>
      </c>
      <c r="G39" s="72" t="n">
        <f aca="false">輸入與假設!G$214</f>
        <v>0.802861091937598</v>
      </c>
      <c r="I39" s="6" t="s">
        <v>1430</v>
      </c>
    </row>
    <row r="40" customFormat="false" ht="15" hidden="false" customHeight="false" outlineLevel="1" collapsed="false">
      <c r="A40" s="4" t="s">
        <v>1431</v>
      </c>
      <c r="B40" s="11" t="s">
        <v>65</v>
      </c>
      <c r="C40" s="42" t="n">
        <f aca="false">C36*C39</f>
        <v>0</v>
      </c>
      <c r="D40" s="42" t="n">
        <f aca="false">D36*D39</f>
        <v>0</v>
      </c>
      <c r="E40" s="42" t="n">
        <f aca="false">E36*E39</f>
        <v>0</v>
      </c>
      <c r="F40" s="42" t="n">
        <f aca="false">F36*F39</f>
        <v>0</v>
      </c>
      <c r="G40" s="42" t="n">
        <f aca="false">G36*G39</f>
        <v>0</v>
      </c>
      <c r="I40" s="11" t="s">
        <v>1432</v>
      </c>
    </row>
    <row r="41" customFormat="false" ht="15" hidden="false" customHeight="false" outlineLevel="1" collapsed="false">
      <c r="A41" s="3" t="s">
        <v>1433</v>
      </c>
      <c r="B41" s="11" t="s">
        <v>65</v>
      </c>
      <c r="C41" s="66" t="n">
        <f aca="false">C24*(1-輸入與假設!C$41*(1-輸入與假設!C$42))*C39</f>
        <v>42.8867304276722</v>
      </c>
      <c r="D41" s="66" t="n">
        <f aca="false">D24*(1-輸入與假設!D$41*(1-輸入與假設!D$42))*D39</f>
        <v>67.8094098325656</v>
      </c>
      <c r="E41" s="66" t="n">
        <f aca="false">E24*(1-輸入與假設!E$41*(1-輸入與假設!E$42))*E39</f>
        <v>92.9283405653367</v>
      </c>
      <c r="F41" s="66" t="n">
        <f aca="false">F24*(1-輸入與假設!F$41*(1-輸入與假設!F$42))*F39</f>
        <v>118.128785748483</v>
      </c>
      <c r="G41" s="66" t="n">
        <f aca="false">G24*(1-輸入與假設!G$41*(1-輸入與假設!G$42))*G39</f>
        <v>143.369906277874</v>
      </c>
      <c r="I41" s="6" t="s">
        <v>1434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1435</v>
      </c>
    </row>
    <row r="44" customFormat="false" ht="15" hidden="false" customHeight="false" outlineLevel="1" collapsed="false">
      <c r="A44" s="6" t="s">
        <v>1436</v>
      </c>
    </row>
    <row r="46" customFormat="false" ht="15" hidden="false" customHeight="false" outlineLevel="0" collapsed="false">
      <c r="A46" s="52" t="s">
        <v>1437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1438</v>
      </c>
      <c r="B47" s="6" t="s">
        <v>826</v>
      </c>
      <c r="C47" s="25" t="n">
        <v>0</v>
      </c>
      <c r="I47" s="11" t="s">
        <v>1439</v>
      </c>
    </row>
    <row r="48" customFormat="false" ht="15" hidden="false" customHeight="false" outlineLevel="1" collapsed="false">
      <c r="A48" s="3" t="s">
        <v>1440</v>
      </c>
      <c r="B48" s="6" t="s">
        <v>826</v>
      </c>
      <c r="C48" s="25" t="n">
        <v>0</v>
      </c>
      <c r="I48" s="11" t="s">
        <v>1439</v>
      </c>
    </row>
    <row r="49" customFormat="false" ht="15" hidden="false" customHeight="false" outlineLevel="1" collapsed="false">
      <c r="A49" s="3" t="s">
        <v>1441</v>
      </c>
      <c r="B49" s="6" t="s">
        <v>826</v>
      </c>
      <c r="C49" s="25" t="n">
        <v>0</v>
      </c>
      <c r="I49" s="11" t="s">
        <v>1439</v>
      </c>
    </row>
    <row r="50" customFormat="false" ht="15" hidden="false" customHeight="false" outlineLevel="1" collapsed="false">
      <c r="A50" s="3" t="s">
        <v>1442</v>
      </c>
      <c r="B50" s="6" t="s">
        <v>826</v>
      </c>
      <c r="C50" s="41" t="n">
        <f aca="false">CHOOSE(輸入與假設!$C$5,運營_產能與收入!$C$47,運營_產能與收入!$C$48,運營_產能與收入!$C$49)</f>
        <v>0</v>
      </c>
      <c r="I50" s="6" t="s">
        <v>1443</v>
      </c>
    </row>
    <row r="51" customFormat="false" ht="15" hidden="false" customHeight="false" outlineLevel="1" collapsed="false">
      <c r="A51" s="3" t="s">
        <v>1444</v>
      </c>
      <c r="B51" s="6" t="s">
        <v>184</v>
      </c>
      <c r="C51" s="66" t="n">
        <f aca="false">SUM($C$7:C7)</f>
        <v>1</v>
      </c>
      <c r="D51" s="66" t="n">
        <f aca="false">SUM($C$7:D7)</f>
        <v>2</v>
      </c>
      <c r="E51" s="66" t="n">
        <f aca="false">SUM($C$7:E7)</f>
        <v>3</v>
      </c>
      <c r="F51" s="66" t="n">
        <f aca="false">SUM($C$7:F7)</f>
        <v>4</v>
      </c>
      <c r="G51" s="66" t="n">
        <f aca="false">SUM($C$7:G7)</f>
        <v>5</v>
      </c>
      <c r="I51" s="6" t="s">
        <v>1445</v>
      </c>
    </row>
    <row r="52" customFormat="false" ht="15" hidden="false" customHeight="false" outlineLevel="1" collapsed="false">
      <c r="A52" s="3" t="s">
        <v>1446</v>
      </c>
      <c r="B52" s="11" t="s">
        <v>65</v>
      </c>
      <c r="C52" s="66" t="n">
        <f aca="false">SUM(輸入與假設!$C$263:C$263)</f>
        <v>204.201730580705</v>
      </c>
      <c r="D52" s="66" t="n">
        <f aca="false">SUM(輸入與假設!$C$263:D$263)</f>
        <v>420.409090622062</v>
      </c>
      <c r="E52" s="66" t="n">
        <f aca="false">SUM(輸入與假設!$C$263:E$263)</f>
        <v>642.374534891848</v>
      </c>
      <c r="F52" s="66" t="n">
        <f aca="false">SUM(輸入與假設!$C$263:F$263)</f>
        <v>869.528093415467</v>
      </c>
      <c r="G52" s="66" t="n">
        <f aca="false">SUM(輸入與假設!$C$263:G$263)</f>
        <v>1101.03363677696</v>
      </c>
      <c r="I52" s="11" t="s">
        <v>1447</v>
      </c>
    </row>
    <row r="53" customFormat="false" ht="15" hidden="false" customHeight="false" outlineLevel="1" collapsed="false">
      <c r="A53" s="3" t="s">
        <v>1448</v>
      </c>
      <c r="B53" s="11" t="s">
        <v>65</v>
      </c>
      <c r="C53" s="66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204.201730580705</v>
      </c>
      <c r="D53" s="66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420.409090622062</v>
      </c>
      <c r="E53" s="66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642.374534891848</v>
      </c>
      <c r="F53" s="66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869.528093415467</v>
      </c>
      <c r="G53" s="66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1101.03363677696</v>
      </c>
      <c r="I53" s="6" t="s">
        <v>1449</v>
      </c>
    </row>
    <row r="54" customFormat="false" ht="15" hidden="false" customHeight="false" outlineLevel="1" collapsed="false">
      <c r="A54" s="3" t="s">
        <v>1450</v>
      </c>
      <c r="B54" s="11" t="s">
        <v>65</v>
      </c>
      <c r="C54" s="66" t="n">
        <f aca="false">C53</f>
        <v>204.201730580705</v>
      </c>
      <c r="D54" s="66" t="n">
        <f aca="false">D53-C53</f>
        <v>216.207360041357</v>
      </c>
      <c r="E54" s="66" t="n">
        <f aca="false">E53-D53</f>
        <v>221.965444269786</v>
      </c>
      <c r="F54" s="66" t="n">
        <f aca="false">F53-E53</f>
        <v>227.153558523619</v>
      </c>
      <c r="G54" s="66" t="n">
        <f aca="false">G53-F53</f>
        <v>231.505543361495</v>
      </c>
      <c r="I54" s="6" t="s">
        <v>1451</v>
      </c>
    </row>
    <row r="55" customFormat="false" ht="15" hidden="false" customHeight="false" outlineLevel="1" collapsed="false">
      <c r="A55" s="3" t="s">
        <v>1452</v>
      </c>
      <c r="B55" s="11" t="s">
        <v>65</v>
      </c>
      <c r="C55" s="42" t="n">
        <f aca="false">C52-C53</f>
        <v>0</v>
      </c>
      <c r="D55" s="42" t="n">
        <f aca="false">D52-D53</f>
        <v>0</v>
      </c>
      <c r="E55" s="42" t="n">
        <f aca="false">E52-E53</f>
        <v>0</v>
      </c>
      <c r="F55" s="42" t="n">
        <f aca="false">F52-F53</f>
        <v>0</v>
      </c>
      <c r="G55" s="42" t="n">
        <f aca="false">G52-G53</f>
        <v>0</v>
      </c>
      <c r="I55" s="6" t="s">
        <v>1453</v>
      </c>
    </row>
    <row r="56" customFormat="false" ht="15" hidden="false" customHeight="false" outlineLevel="1" collapsed="false">
      <c r="A56" s="3" t="s">
        <v>1454</v>
      </c>
      <c r="B56" s="11" t="s">
        <v>42</v>
      </c>
      <c r="C56" s="23" t="n">
        <v>0</v>
      </c>
      <c r="I56" s="6" t="s">
        <v>1455</v>
      </c>
    </row>
    <row r="57" customFormat="false" ht="15" hidden="false" customHeight="false" outlineLevel="1" collapsed="false">
      <c r="A57" s="3" t="s">
        <v>1456</v>
      </c>
      <c r="B57" s="11" t="s">
        <v>42</v>
      </c>
      <c r="C57" s="23" t="n">
        <v>0</v>
      </c>
      <c r="I57" s="6" t="s">
        <v>1457</v>
      </c>
    </row>
    <row r="58" customFormat="false" ht="15" hidden="false" customHeight="false" outlineLevel="1" collapsed="false">
      <c r="A58" s="3" t="s">
        <v>1458</v>
      </c>
      <c r="B58" s="11" t="s">
        <v>65</v>
      </c>
      <c r="C58" s="66" t="n">
        <f aca="false">輸入與假設!$C$19/輸入與假設!$C$21/輸入與假設!$C$22/4*((MIN(MAX(0,輸入與假設!C$245-(輸入與假設!$C$20+運營_產能與收入!$C$50/3)),輸入與假設!$C$21)*(MIN(MAX(0,輸入與假設!C$245-(輸入與假設!$C$20+運營_產能與收入!$C$50/3)),輸入與假設!$C$21)+1)/2+輸入與假設!$C$21*MAX(0,MAX(0,輸入與假設!C$245-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3.428125</v>
      </c>
      <c r="D58" s="66" t="n">
        <f aca="false">輸入與假設!$C$19/輸入與假設!$C$21/輸入與假設!$C$22/4*((MIN(MAX(0,輸入與假設!D$245-(輸入與假設!$C$20+運營_產能與收入!$C$50/3)),輸入與假設!$C$21)*(MIN(MAX(0,輸入與假設!D$245-(輸入與假設!$C$20+運營_產能與收入!$C$50/3)),輸入與假設!$C$21)+1)/2+輸入與假設!$C$21*MAX(0,MAX(0,輸入與假設!D$245-(輸入與假設!$C$20+運營_產能與收入!$C$50/3))-輸入與假設!$C$21))-(MIN(MAX(0,輸入與假設!C$245-(輸入與假設!$C$20+運營_產能與收入!$C$50/3)),輸入與假設!$C$21)*(MIN(MAX(0,輸入與假設!C$245-(輸入與假設!$C$20+運營_產能與收入!$C$50/3)),輸入與假設!$C$21)+1)/2+輸入與假設!$C$21*MAX(0,MAX(0,輸入與假設!C$245-(輸入與假設!$C$20+運營_產能與收入!$C$50/3))-輸入與假設!$C$21)))</f>
        <v>8.913125</v>
      </c>
      <c r="E58" s="66" t="n">
        <f aca="false">輸入與假設!$C$19/輸入與假設!$C$21/輸入與假設!$C$22/4*((MIN(MAX(0,輸入與假設!E$245-(輸入與假設!$C$20+運營_產能與收入!$C$50/3)),輸入與假設!$C$21)*(MIN(MAX(0,輸入與假設!E$245-(輸入與假設!$C$20+運營_產能與收入!$C$50/3)),輸入與假設!$C$21)+1)/2+輸入與假設!$C$21*MAX(0,MAX(0,輸入與假設!E$245-(輸入與假設!$C$20+運營_產能與收入!$C$50/3))-輸入與假設!$C$21))-(MIN(MAX(0,輸入與假設!D$245-(輸入與假設!$C$20+運營_產能與收入!$C$50/3)),輸入與假設!$C$21)*(MIN(MAX(0,輸入與假設!D$245-(輸入與假設!$C$20+運營_產能與收入!$C$50/3)),輸入與假設!$C$21)+1)/2+輸入與假設!$C$21*MAX(0,MAX(0,輸入與假設!D$245-(輸入與假設!$C$20+運營_產能與收入!$C$50/3))-輸入與假設!$C$21)))</f>
        <v>14.398125</v>
      </c>
      <c r="F58" s="66" t="n">
        <f aca="false">輸入與假設!$C$19/輸入與假設!$C$21/輸入與假設!$C$22/4*((MIN(MAX(0,輸入與假設!F$245-(輸入與假設!$C$20+運營_產能與收入!$C$50/3)),輸入與假設!$C$21)*(MIN(MAX(0,輸入與假設!F$245-(輸入與假設!$C$20+運營_產能與收入!$C$50/3)),輸入與假設!$C$21)+1)/2+輸入與假設!$C$21*MAX(0,MAX(0,輸入與假設!F$245-(輸入與假設!$C$20+運營_產能與收入!$C$50/3))-輸入與假設!$C$21))-(MIN(MAX(0,輸入與假設!E$245-(輸入與假設!$C$20+運營_產能與收入!$C$50/3)),輸入與假設!$C$21)*(MIN(MAX(0,輸入與假設!E$245-(輸入與假設!$C$20+運營_產能與收入!$C$50/3)),輸入與假設!$C$21)+1)/2+輸入與假設!$C$21*MAX(0,MAX(0,輸入與假設!E$245-(輸入與假設!$C$20+運營_產能與收入!$C$50/3))-輸入與假設!$C$21)))</f>
        <v>19.883125</v>
      </c>
      <c r="G58" s="66" t="n">
        <f aca="false">輸入與假設!$C$19/輸入與假設!$C$21/輸入與假設!$C$22/4*((MIN(MAX(0,輸入與假設!G$245-(輸入與假設!$C$20+運營_產能與收入!$C$50/3)),輸入與假設!$C$21)*(MIN(MAX(0,輸入與假設!G$245-(輸入與假設!$C$20+運營_產能與收入!$C$50/3)),輸入與假設!$C$21)+1)/2+輸入與假設!$C$21*MAX(0,MAX(0,輸入與假設!G$245-(輸入與假設!$C$20+運營_產能與收入!$C$50/3))-輸入與假設!$C$21))-(MIN(MAX(0,輸入與假設!F$245-(輸入與假設!$C$20+運營_產能與收入!$C$50/3)),輸入與假設!$C$21)*(MIN(MAX(0,輸入與假設!F$245-(輸入與假設!$C$20+運營_產能與收入!$C$50/3)),輸入與假設!$C$21)+1)/2+輸入與假設!$C$21*MAX(0,MAX(0,輸入與假設!F$245-(輸入與假設!$C$20+運營_產能與收入!$C$50/3))-輸入與假設!$C$21)))</f>
        <v>21.94</v>
      </c>
      <c r="I58" s="6" t="s">
        <v>1459</v>
      </c>
    </row>
    <row r="59" customFormat="false" ht="15" hidden="false" customHeight="false" outlineLevel="1" collapsed="false">
      <c r="A59" s="3" t="s">
        <v>1460</v>
      </c>
      <c r="B59" s="11" t="s">
        <v>65</v>
      </c>
      <c r="C59" s="42" t="n">
        <f aca="false">IF(OR(運營_產能與收入!$C$50&lt;=0,運營_產能與收入!$C$56&lt;=0),輸入與假設!C$246,(1-運營_產能與收入!$C$56)*輸入與假設!C$246+運營_產能與收入!$C$56*C58)</f>
        <v>3.428125</v>
      </c>
      <c r="D59" s="42" t="n">
        <f aca="false">IF(OR(運營_產能與收入!$C$50&lt;=0,運營_產能與收入!$C$56&lt;=0),輸入與假設!D$246,(1-運營_產能與收入!$C$56)*輸入與假設!D$246+運營_產能與收入!$C$56*D58)</f>
        <v>8.913125</v>
      </c>
      <c r="E59" s="42" t="n">
        <f aca="false">IF(OR(運營_產能與收入!$C$50&lt;=0,運營_產能與收入!$C$56&lt;=0),輸入與假設!E$246,(1-運營_產能與收入!$C$56)*輸入與假設!E$246+運營_產能與收入!$C$56*E58)</f>
        <v>14.398125</v>
      </c>
      <c r="F59" s="42" t="n">
        <f aca="false">IF(OR(運營_產能與收入!$C$50&lt;=0,運營_產能與收入!$C$56&lt;=0),輸入與假設!F$246,(1-運營_產能與收入!$C$56)*輸入與假設!F$246+運營_產能與收入!$C$56*F58)</f>
        <v>19.883125</v>
      </c>
      <c r="G59" s="42" t="n">
        <f aca="false">IF(OR(運營_產能與收入!$C$50&lt;=0,運營_產能與收入!$C$56&lt;=0),輸入與假設!G$246,(1-運營_產能與收入!$C$56)*輸入與假設!G$246+運營_產能與收入!$C$56*G58)</f>
        <v>21.94</v>
      </c>
      <c r="I59" s="6" t="s">
        <v>1461</v>
      </c>
    </row>
    <row r="60" customFormat="false" ht="15" hidden="false" customHeight="false" outlineLevel="1" collapsed="false">
      <c r="A60" s="3" t="s">
        <v>1462</v>
      </c>
      <c r="B60" s="11" t="s">
        <v>65</v>
      </c>
      <c r="C60" s="66" t="n">
        <f aca="false">IF(輸入與假設!$C$30=1,(輸入與假設!$C$29+C10)/2,C10)*輸入與假設!C$39*輸入與假設!$C$32*輸入與假設!C$38*C7</f>
        <v>53.7509665923748</v>
      </c>
      <c r="D60" s="66" t="n">
        <f aca="false">IF(輸入與假設!$C$30=1,(C10+D10)/2,D10)*輸入與假設!D$39*輸入與假設!$C$32*輸入與假設!D$38*D7</f>
        <v>84.7303658545521</v>
      </c>
      <c r="E60" s="66" t="n">
        <f aca="false">IF(輸入與假設!$C$30=1,(D10+E10)/2,E10)*輸入與假設!E$39*輸入與假設!$C$32*輸入與假設!E$38*E7</f>
        <v>115.933997092727</v>
      </c>
      <c r="F60" s="66" t="n">
        <f aca="false">IF(輸入與假設!$C$30=1,(E10+F10)/2,F10)*輸入與假設!F$39*輸入與假設!$C$32*輸入與假設!F$38*F7</f>
        <v>147.230764751825</v>
      </c>
      <c r="G60" s="66" t="n">
        <f aca="false">IF(輸入與假設!$C$30=1,(F10+G10)/2,G10)*輸入與假設!G$39*輸入與假設!$C$32*輸入與假設!G$38*G7</f>
        <v>178.573737994788</v>
      </c>
      <c r="I60" s="6" t="s">
        <v>1463</v>
      </c>
    </row>
    <row r="61" customFormat="false" ht="15" hidden="false" customHeight="false" outlineLevel="1" collapsed="false">
      <c r="A61" s="3" t="s">
        <v>1464</v>
      </c>
      <c r="B61" s="11" t="s">
        <v>65</v>
      </c>
      <c r="C61" s="66" t="n">
        <f aca="false">IF(運營_產能與收入!$C$50&lt;=0,0,MAX(0,C60-C16))</f>
        <v>0</v>
      </c>
      <c r="D61" s="66" t="n">
        <f aca="false">IF(運營_產能與收入!$C$50&lt;=0,0,MAX(0,D60-D16))</f>
        <v>0</v>
      </c>
      <c r="E61" s="66" t="n">
        <f aca="false">IF(運營_產能與收入!$C$50&lt;=0,0,MAX(0,E60-E16))</f>
        <v>0</v>
      </c>
      <c r="F61" s="66" t="n">
        <f aca="false">IF(運營_產能與收入!$C$50&lt;=0,0,MAX(0,F60-F16))</f>
        <v>0</v>
      </c>
      <c r="G61" s="66" t="n">
        <f aca="false">IF(運營_產能與收入!$C$50&lt;=0,0,MAX(0,G60-G16))</f>
        <v>0</v>
      </c>
      <c r="I61" s="6" t="s">
        <v>1465</v>
      </c>
    </row>
    <row r="62" customFormat="false" ht="15" hidden="false" customHeight="false" outlineLevel="1" collapsed="false">
      <c r="A62" s="3" t="s">
        <v>1466</v>
      </c>
      <c r="B62" s="11" t="s">
        <v>65</v>
      </c>
      <c r="C62" s="66" t="n">
        <f aca="false">運營_產能與收入!$C$57*C61</f>
        <v>0</v>
      </c>
      <c r="D62" s="66" t="n">
        <f aca="false">運營_產能與收入!$C$57*D61</f>
        <v>0</v>
      </c>
      <c r="E62" s="66" t="n">
        <f aca="false">運營_產能與收入!$C$57*E61</f>
        <v>0</v>
      </c>
      <c r="F62" s="66" t="n">
        <f aca="false">運營_產能與收入!$C$57*F61</f>
        <v>0</v>
      </c>
      <c r="G62" s="66" t="n">
        <f aca="false">運營_產能與收入!$C$57*G61</f>
        <v>0</v>
      </c>
      <c r="I62" s="6" t="s">
        <v>1467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1468</v>
      </c>
    </row>
    <row r="2" customFormat="false" ht="15" hidden="false" customHeight="false" outlineLevel="0" collapsed="false">
      <c r="A2" s="6" t="s">
        <v>1469</v>
      </c>
    </row>
    <row r="4" customFormat="false" ht="17.15" hidden="false" customHeight="false" outlineLevel="0" collapsed="false">
      <c r="A4" s="14" t="s">
        <v>1470</v>
      </c>
      <c r="B4" s="14" t="s">
        <v>1471</v>
      </c>
      <c r="C4" s="14" t="s">
        <v>1472</v>
      </c>
      <c r="D4" s="14" t="s">
        <v>1473</v>
      </c>
      <c r="E4" s="14" t="s">
        <v>1474</v>
      </c>
      <c r="F4" s="14" t="s">
        <v>1475</v>
      </c>
      <c r="G4" s="14" t="s">
        <v>1476</v>
      </c>
      <c r="H4" s="14" t="s">
        <v>1477</v>
      </c>
      <c r="I4" s="14" t="s">
        <v>1478</v>
      </c>
      <c r="J4" s="14" t="s">
        <v>1479</v>
      </c>
      <c r="K4" s="14" t="s">
        <v>1000</v>
      </c>
    </row>
    <row r="5" customFormat="false" ht="15" hidden="false" customHeight="false" outlineLevel="0" collapsed="false">
      <c r="A5" s="4" t="s">
        <v>1480</v>
      </c>
      <c r="B5" s="11" t="s">
        <v>1481</v>
      </c>
      <c r="C5" s="21" t="n">
        <v>2263</v>
      </c>
      <c r="D5" s="21" t="n">
        <v>369</v>
      </c>
      <c r="E5" s="73" t="s">
        <v>1482</v>
      </c>
      <c r="F5" s="73" t="s">
        <v>1482</v>
      </c>
      <c r="I5" s="11" t="s">
        <v>1483</v>
      </c>
      <c r="J5" s="11" t="s">
        <v>1484</v>
      </c>
      <c r="K5" s="11" t="s">
        <v>1485</v>
      </c>
    </row>
    <row r="6" customFormat="false" ht="15" hidden="false" customHeight="false" outlineLevel="0" collapsed="false">
      <c r="A6" s="4" t="s">
        <v>1486</v>
      </c>
      <c r="B6" s="11" t="s">
        <v>1487</v>
      </c>
      <c r="C6" s="21" t="n">
        <v>636</v>
      </c>
      <c r="D6" s="21" t="n">
        <v>636</v>
      </c>
      <c r="E6" s="73" t="s">
        <v>1482</v>
      </c>
      <c r="F6" s="73" t="s">
        <v>1482</v>
      </c>
      <c r="I6" s="11" t="s">
        <v>1483</v>
      </c>
      <c r="J6" s="11" t="s">
        <v>1484</v>
      </c>
      <c r="K6" s="11" t="s">
        <v>1488</v>
      </c>
    </row>
    <row r="7" customFormat="false" ht="15" hidden="false" customHeight="false" outlineLevel="0" collapsed="false">
      <c r="A7" s="2" t="s">
        <v>1489</v>
      </c>
      <c r="C7" s="74" t="n">
        <f aca="false">SUM(C5:C6)</f>
        <v>2899</v>
      </c>
      <c r="D7" s="74" t="n">
        <f aca="false">SUM(D5:D6)</f>
        <v>1005</v>
      </c>
      <c r="E7" s="58" t="n">
        <f aca="false">SUM(E5:E6)</f>
        <v>0</v>
      </c>
      <c r="G7" s="58" t="n">
        <f aca="false">SUM(G5:G6)</f>
        <v>0</v>
      </c>
      <c r="H7" s="75" t="n">
        <f aca="false">IF(I7&gt;0,G7/I7*1000,0)</f>
        <v>0</v>
      </c>
      <c r="I7" s="50" t="n">
        <f aca="false">SUMPRODUCT(ISNUMBER(G5:G6)*C5:C6)</f>
        <v>0</v>
      </c>
      <c r="K7" s="6" t="s">
        <v>1490</v>
      </c>
    </row>
    <row r="9" customFormat="false" ht="15" hidden="false" customHeight="false" outlineLevel="0" collapsed="false">
      <c r="A9" s="52" t="s">
        <v>1491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1" collapsed="false">
      <c r="A10" s="3" t="s">
        <v>1492</v>
      </c>
      <c r="E10" s="24" t="n">
        <v>114.392</v>
      </c>
      <c r="K10" s="11" t="s">
        <v>1493</v>
      </c>
    </row>
    <row r="11" customFormat="false" ht="15" hidden="false" customHeight="false" outlineLevel="1" collapsed="false">
      <c r="A11" s="3" t="s">
        <v>1494</v>
      </c>
      <c r="E11" s="24" t="n">
        <v>329.1</v>
      </c>
      <c r="K11" s="11" t="s">
        <v>1495</v>
      </c>
    </row>
    <row r="12" customFormat="false" ht="15" hidden="false" customHeight="false" outlineLevel="1" collapsed="false">
      <c r="A12" s="3" t="s">
        <v>1496</v>
      </c>
      <c r="E12" s="24" t="n">
        <v>0</v>
      </c>
      <c r="K12" s="11" t="s">
        <v>1497</v>
      </c>
    </row>
    <row r="13" customFormat="false" ht="15" hidden="false" customHeight="false" outlineLevel="1" collapsed="false">
      <c r="A13" s="2" t="s">
        <v>1498</v>
      </c>
      <c r="E13" s="58" t="n">
        <f aca="false">SUM(E10:E12)</f>
        <v>443.492</v>
      </c>
      <c r="K13" s="6" t="s">
        <v>1499</v>
      </c>
    </row>
    <row r="14" customFormat="false" ht="15" hidden="false" customHeight="false" outlineLevel="1" collapsed="false">
      <c r="A14" s="3" t="s">
        <v>1500</v>
      </c>
      <c r="E14" s="57" t="n">
        <f aca="false">-E7</f>
        <v>-0</v>
      </c>
    </row>
    <row r="15" customFormat="false" ht="15" hidden="false" customHeight="false" outlineLevel="1" collapsed="false">
      <c r="A15" s="2" t="s">
        <v>1501</v>
      </c>
      <c r="E15" s="58" t="n">
        <f aca="false">E13+E14</f>
        <v>443.492</v>
      </c>
      <c r="K15" s="6" t="s">
        <v>1502</v>
      </c>
    </row>
    <row r="16" customFormat="false" ht="15" hidden="false" customHeight="false" outlineLevel="1" collapsed="false">
      <c r="A16" s="3" t="s">
        <v>1503</v>
      </c>
      <c r="E16" s="29" t="n">
        <f aca="false">IF(E13&lt;&gt;0,E15/E13,0)</f>
        <v>1</v>
      </c>
    </row>
    <row r="18" customFormat="false" ht="15" hidden="false" customHeight="false" outlineLevel="0" collapsed="false">
      <c r="A18" s="52" t="s">
        <v>1504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1" collapsed="false">
      <c r="A19" s="14" t="s">
        <v>59</v>
      </c>
      <c r="B19" s="14" t="s">
        <v>60</v>
      </c>
      <c r="C19" s="15" t="s">
        <v>61</v>
      </c>
      <c r="D19" s="15" t="s">
        <v>62</v>
      </c>
      <c r="E19" s="15" t="s">
        <v>63</v>
      </c>
      <c r="F19" s="15" t="s">
        <v>153</v>
      </c>
      <c r="G19" s="15" t="s">
        <v>154</v>
      </c>
    </row>
    <row r="20" customFormat="false" ht="15" hidden="false" customHeight="false" outlineLevel="1" collapsed="false">
      <c r="A20" s="3" t="s">
        <v>1505</v>
      </c>
      <c r="B20" s="11" t="s">
        <v>65</v>
      </c>
      <c r="C20" s="66" t="n">
        <f aca="false">各期收支!C16</f>
        <v>7.97803125</v>
      </c>
      <c r="D20" s="66" t="n">
        <f aca="false">各期收支!D16</f>
        <v>9.52228125</v>
      </c>
      <c r="E20" s="66" t="n">
        <f aca="false">各期收支!E16</f>
        <v>10.26753125</v>
      </c>
      <c r="F20" s="66" t="n">
        <f aca="false">各期收支!F16</f>
        <v>11.54078125</v>
      </c>
      <c r="G20" s="66" t="n">
        <f aca="false">各期收支!G16</f>
        <v>12.028</v>
      </c>
    </row>
    <row r="21" customFormat="false" ht="15" hidden="false" customHeight="false" outlineLevel="1" collapsed="false">
      <c r="A21" s="3" t="s">
        <v>1506</v>
      </c>
      <c r="B21" s="11" t="s">
        <v>157</v>
      </c>
      <c r="C21" s="68" t="n">
        <f aca="false">(輸入與假設!C$253+輸入與假設!C$36)/2</f>
        <v>4412.95</v>
      </c>
      <c r="D21" s="68" t="n">
        <f aca="false">(輸入與假設!D$253+輸入與假設!D$36)/2</f>
        <v>6738.85</v>
      </c>
      <c r="E21" s="68" t="n">
        <f aca="false">(輸入與假設!E$253+輸入與假設!E$36)/2</f>
        <v>9064.75</v>
      </c>
      <c r="F21" s="68" t="n">
        <f aca="false">(輸入與假設!F$253+輸入與假設!F$36)/2</f>
        <v>11390.65</v>
      </c>
      <c r="G21" s="68" t="n">
        <f aca="false">(輸入與假設!G$253+輸入與假設!G$36)/2</f>
        <v>13716.55</v>
      </c>
    </row>
    <row r="22" customFormat="false" ht="15" hidden="false" customHeight="false" outlineLevel="1" collapsed="false">
      <c r="A22" s="3" t="s">
        <v>207</v>
      </c>
      <c r="B22" s="6" t="s">
        <v>184</v>
      </c>
      <c r="C22" s="66" t="n">
        <f aca="false">輸入與假設!C$34</f>
        <v>1</v>
      </c>
      <c r="D22" s="66" t="n">
        <f aca="false">輸入與假設!D$34</f>
        <v>1</v>
      </c>
      <c r="E22" s="66" t="n">
        <f aca="false">輸入與假設!E$34</f>
        <v>1</v>
      </c>
      <c r="F22" s="66" t="n">
        <f aca="false">輸入與假設!F$34</f>
        <v>1</v>
      </c>
      <c r="G22" s="66" t="n">
        <f aca="false">輸入與假設!G$34</f>
        <v>1</v>
      </c>
    </row>
    <row r="23" customFormat="false" ht="15" hidden="false" customHeight="false" outlineLevel="1" collapsed="false">
      <c r="A23" s="2" t="s">
        <v>1507</v>
      </c>
      <c r="B23" s="11" t="s">
        <v>280</v>
      </c>
      <c r="C23" s="42" t="n">
        <f aca="false">C20/C22/C21*1000</f>
        <v>1.80786803612096</v>
      </c>
      <c r="D23" s="42" t="n">
        <f aca="false">D20/D22/D21*1000</f>
        <v>1.4130424701544</v>
      </c>
      <c r="E23" s="42" t="n">
        <f aca="false">E20/E22/E21*1000</f>
        <v>1.13268774649053</v>
      </c>
      <c r="F23" s="42" t="n">
        <f aca="false">F20/F22/F21*1000</f>
        <v>1.0131802179858</v>
      </c>
      <c r="G23" s="42" t="n">
        <f aca="false">G20/G22/G21*1000</f>
        <v>0.87689688733683</v>
      </c>
      <c r="K23" s="11" t="s">
        <v>1508</v>
      </c>
    </row>
    <row r="24" customFormat="false" ht="15" hidden="false" customHeight="false" outlineLevel="1" collapsed="false">
      <c r="A24" s="3" t="s">
        <v>1509</v>
      </c>
      <c r="C24" s="23" t="n">
        <v>1</v>
      </c>
      <c r="K24" s="6" t="s">
        <v>1510</v>
      </c>
    </row>
    <row r="25" customFormat="false" ht="15" hidden="false" customHeight="false" outlineLevel="1" collapsed="false">
      <c r="A25" s="3" t="s">
        <v>1511</v>
      </c>
      <c r="B25" s="11" t="s">
        <v>65</v>
      </c>
      <c r="C25" s="66" t="n">
        <f aca="false">C21*運營_站點!$H$7/1000*$C$24*C22</f>
        <v>0</v>
      </c>
      <c r="D25" s="66" t="n">
        <f aca="false">D21*運營_站點!$H$7/1000*$C$24*D22</f>
        <v>0</v>
      </c>
      <c r="E25" s="66" t="n">
        <f aca="false">E21*運營_站點!$H$7/1000*$C$24*E22</f>
        <v>0</v>
      </c>
      <c r="F25" s="66" t="n">
        <f aca="false">F21*運營_站點!$H$7/1000*$C$24*F22</f>
        <v>0</v>
      </c>
      <c r="G25" s="66" t="n">
        <f aca="false">G21*運營_站點!$H$7/1000*$C$24*G22</f>
        <v>0</v>
      </c>
      <c r="K25" s="6" t="s">
        <v>1512</v>
      </c>
    </row>
    <row r="26" customFormat="false" ht="15" hidden="false" customHeight="false" outlineLevel="1" collapsed="false">
      <c r="A26" s="2" t="s">
        <v>1513</v>
      </c>
      <c r="B26" s="11" t="s">
        <v>65</v>
      </c>
      <c r="C26" s="42" t="n">
        <f aca="false">C25-C20</f>
        <v>-7.97803125</v>
      </c>
      <c r="D26" s="42" t="n">
        <f aca="false">D25-D20</f>
        <v>-9.52228125</v>
      </c>
      <c r="E26" s="42" t="n">
        <f aca="false">E25-E20</f>
        <v>-10.26753125</v>
      </c>
      <c r="F26" s="42" t="n">
        <f aca="false">F25-F20</f>
        <v>-11.54078125</v>
      </c>
      <c r="G26" s="42" t="n">
        <f aca="false">G25-G20</f>
        <v>-12.028</v>
      </c>
      <c r="K26" s="6" t="s">
        <v>1514</v>
      </c>
    </row>
    <row r="27" customFormat="false" ht="15" hidden="false" customHeight="false" outlineLevel="1" collapsed="false">
      <c r="A27" s="2" t="s">
        <v>1515</v>
      </c>
      <c r="C27" s="75" t="n">
        <f aca="false">SUM(C26:G26)</f>
        <v>-51.336625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1516</v>
      </c>
    </row>
    <row r="2" customFormat="false" ht="15" hidden="false" customHeight="false" outlineLevel="0" collapsed="false">
      <c r="A2" s="6" t="s">
        <v>1517</v>
      </c>
    </row>
    <row r="4" customFormat="false" ht="17.15" hidden="false" customHeight="false" outlineLevel="0" collapsed="false">
      <c r="A4" s="14" t="s">
        <v>1518</v>
      </c>
      <c r="B4" s="14" t="s">
        <v>1519</v>
      </c>
      <c r="C4" s="14" t="s">
        <v>1520</v>
      </c>
      <c r="D4" s="14" t="s">
        <v>1521</v>
      </c>
      <c r="E4" s="15" t="s">
        <v>1522</v>
      </c>
      <c r="F4" s="14" t="s">
        <v>1523</v>
      </c>
      <c r="I4" s="14" t="s">
        <v>914</v>
      </c>
    </row>
    <row r="5" customFormat="false" ht="15" hidden="false" customHeight="false" outlineLevel="0" collapsed="false">
      <c r="A5" s="4" t="s">
        <v>1524</v>
      </c>
      <c r="B5" s="6" t="s">
        <v>1525</v>
      </c>
      <c r="C5" s="11" t="s">
        <v>1526</v>
      </c>
      <c r="D5" s="23" t="n">
        <v>0.052</v>
      </c>
      <c r="E5" s="24" t="n">
        <v>0.52</v>
      </c>
      <c r="F5" s="66" t="n">
        <f aca="false">D5*E5</f>
        <v>0.02704</v>
      </c>
      <c r="I5" s="11" t="s">
        <v>1527</v>
      </c>
    </row>
    <row r="6" customFormat="false" ht="15" hidden="false" customHeight="false" outlineLevel="0" collapsed="false">
      <c r="A6" s="4" t="s">
        <v>1528</v>
      </c>
      <c r="B6" s="6" t="s">
        <v>1525</v>
      </c>
      <c r="C6" s="11" t="s">
        <v>1529</v>
      </c>
      <c r="D6" s="23" t="n">
        <v>0.045</v>
      </c>
      <c r="E6" s="24" t="n">
        <v>0.486</v>
      </c>
      <c r="F6" s="66" t="n">
        <f aca="false">D6*E6</f>
        <v>0.02187</v>
      </c>
      <c r="I6" s="11" t="s">
        <v>1530</v>
      </c>
    </row>
    <row r="7" customFormat="false" ht="15" hidden="false" customHeight="false" outlineLevel="0" collapsed="false">
      <c r="A7" s="4" t="s">
        <v>1531</v>
      </c>
      <c r="B7" s="6" t="s">
        <v>1525</v>
      </c>
      <c r="C7" s="11" t="s">
        <v>1532</v>
      </c>
      <c r="D7" s="23" t="n">
        <v>0.053</v>
      </c>
      <c r="E7" s="24" t="n">
        <v>0.718</v>
      </c>
      <c r="F7" s="66" t="n">
        <f aca="false">D7*E7</f>
        <v>0.038054</v>
      </c>
      <c r="I7" s="11" t="s">
        <v>1533</v>
      </c>
    </row>
    <row r="8" customFormat="false" ht="15" hidden="false" customHeight="false" outlineLevel="0" collapsed="false">
      <c r="A8" s="4" t="s">
        <v>1534</v>
      </c>
      <c r="B8" s="6" t="s">
        <v>1525</v>
      </c>
      <c r="C8" s="11" t="s">
        <v>1535</v>
      </c>
      <c r="D8" s="23" t="n">
        <v>0.035</v>
      </c>
      <c r="E8" s="24" t="n">
        <v>0.454</v>
      </c>
      <c r="F8" s="66" t="n">
        <f aca="false">D8*E8</f>
        <v>0.01589</v>
      </c>
      <c r="I8" s="11" t="s">
        <v>1536</v>
      </c>
    </row>
    <row r="9" customFormat="false" ht="15" hidden="false" customHeight="false" outlineLevel="0" collapsed="false">
      <c r="A9" s="4" t="s">
        <v>1537</v>
      </c>
      <c r="B9" s="6" t="s">
        <v>1525</v>
      </c>
      <c r="C9" s="11" t="s">
        <v>1538</v>
      </c>
      <c r="D9" s="23" t="n">
        <v>0.04315</v>
      </c>
      <c r="E9" s="24" t="n">
        <v>0.314</v>
      </c>
      <c r="F9" s="66" t="n">
        <f aca="false">D9*E9</f>
        <v>0.0135491</v>
      </c>
      <c r="I9" s="11" t="s">
        <v>1539</v>
      </c>
    </row>
    <row r="10" customFormat="false" ht="15" hidden="false" customHeight="false" outlineLevel="0" collapsed="false">
      <c r="A10" s="4" t="s">
        <v>1540</v>
      </c>
      <c r="B10" s="6" t="s">
        <v>1525</v>
      </c>
      <c r="C10" s="11" t="s">
        <v>1541</v>
      </c>
      <c r="D10" s="23" t="n">
        <v>0.0288</v>
      </c>
      <c r="E10" s="24" t="n">
        <v>2.63</v>
      </c>
      <c r="F10" s="66" t="n">
        <f aca="false">D10*E10</f>
        <v>0.075744</v>
      </c>
      <c r="I10" s="11" t="s">
        <v>1542</v>
      </c>
    </row>
    <row r="11" customFormat="false" ht="15" hidden="false" customHeight="false" outlineLevel="0" collapsed="false">
      <c r="A11" s="4" t="s">
        <v>1543</v>
      </c>
      <c r="B11" s="6" t="s">
        <v>1525</v>
      </c>
      <c r="C11" s="11" t="s">
        <v>1544</v>
      </c>
      <c r="D11" s="23" t="n">
        <v>0.04125</v>
      </c>
      <c r="E11" s="24" t="n">
        <v>4.555</v>
      </c>
      <c r="F11" s="66" t="n">
        <f aca="false">D11*E11</f>
        <v>0.18789375</v>
      </c>
      <c r="I11" s="11" t="s">
        <v>1545</v>
      </c>
    </row>
    <row r="12" customFormat="false" ht="15" hidden="false" customHeight="false" outlineLevel="0" collapsed="false">
      <c r="A12" s="4" t="s">
        <v>1546</v>
      </c>
      <c r="B12" s="6" t="s">
        <v>1525</v>
      </c>
      <c r="C12" s="11" t="s">
        <v>1532</v>
      </c>
      <c r="D12" s="23" t="n">
        <v>0.03175</v>
      </c>
      <c r="E12" s="24" t="n">
        <v>7.93</v>
      </c>
      <c r="F12" s="66" t="n">
        <f aca="false">D12*E12</f>
        <v>0.2517775</v>
      </c>
      <c r="I12" s="11" t="s">
        <v>1547</v>
      </c>
    </row>
    <row r="13" customFormat="false" ht="15" hidden="false" customHeight="false" outlineLevel="0" collapsed="false">
      <c r="A13" s="4" t="s">
        <v>1548</v>
      </c>
      <c r="B13" s="6" t="s">
        <v>1525</v>
      </c>
      <c r="C13" s="11" t="s">
        <v>1532</v>
      </c>
      <c r="D13" s="23" t="n">
        <v>0.039</v>
      </c>
      <c r="E13" s="24" t="n">
        <v>6.833</v>
      </c>
      <c r="F13" s="66" t="n">
        <f aca="false">D13*E13</f>
        <v>0.266487</v>
      </c>
      <c r="I13" s="11" t="s">
        <v>1549</v>
      </c>
    </row>
    <row r="14" customFormat="false" ht="15" hidden="false" customHeight="false" outlineLevel="0" collapsed="false">
      <c r="A14" s="4" t="s">
        <v>1550</v>
      </c>
      <c r="B14" s="6" t="s">
        <v>1525</v>
      </c>
      <c r="C14" s="11" t="s">
        <v>1544</v>
      </c>
      <c r="D14" s="23" t="n">
        <v>0.02015</v>
      </c>
      <c r="E14" s="24" t="n">
        <v>10.111</v>
      </c>
      <c r="F14" s="66" t="n">
        <f aca="false">D14*E14</f>
        <v>0.20373665</v>
      </c>
      <c r="I14" s="11" t="s">
        <v>1551</v>
      </c>
    </row>
    <row r="15" customFormat="false" ht="15" hidden="false" customHeight="false" outlineLevel="0" collapsed="false">
      <c r="A15" s="4" t="s">
        <v>1552</v>
      </c>
      <c r="B15" s="6" t="s">
        <v>1525</v>
      </c>
      <c r="C15" s="11" t="s">
        <v>1553</v>
      </c>
      <c r="D15" s="23" t="n">
        <v>0.0298</v>
      </c>
      <c r="E15" s="24" t="n">
        <v>8.185</v>
      </c>
      <c r="F15" s="66" t="n">
        <f aca="false">D15*E15</f>
        <v>0.243913</v>
      </c>
      <c r="I15" s="11" t="s">
        <v>1554</v>
      </c>
    </row>
    <row r="16" customFormat="false" ht="15" hidden="false" customHeight="false" outlineLevel="0" collapsed="false">
      <c r="A16" s="4" t="s">
        <v>1555</v>
      </c>
      <c r="B16" s="6" t="s">
        <v>1525</v>
      </c>
      <c r="C16" s="11" t="s">
        <v>1556</v>
      </c>
      <c r="D16" s="23" t="n">
        <v>0.02925</v>
      </c>
      <c r="E16" s="24" t="n">
        <v>0.056</v>
      </c>
      <c r="F16" s="66" t="n">
        <f aca="false">D16*E16</f>
        <v>0.001638</v>
      </c>
      <c r="I16" s="11" t="s">
        <v>1557</v>
      </c>
    </row>
    <row r="17" customFormat="false" ht="15" hidden="false" customHeight="false" outlineLevel="0" collapsed="false">
      <c r="A17" s="4" t="s">
        <v>1558</v>
      </c>
      <c r="B17" s="6" t="s">
        <v>1525</v>
      </c>
      <c r="C17" s="11" t="s">
        <v>1556</v>
      </c>
      <c r="D17" s="23" t="n">
        <v>0.02925</v>
      </c>
      <c r="E17" s="24" t="n">
        <v>3.344</v>
      </c>
      <c r="F17" s="66" t="n">
        <f aca="false">D17*E17</f>
        <v>0.097812</v>
      </c>
      <c r="I17" s="11" t="s">
        <v>1559</v>
      </c>
    </row>
    <row r="18" customFormat="false" ht="15" hidden="false" customHeight="false" outlineLevel="0" collapsed="false">
      <c r="A18" s="2" t="s">
        <v>1560</v>
      </c>
      <c r="E18" s="58" t="n">
        <f aca="false">SUM(E5:E17)</f>
        <v>46.136</v>
      </c>
      <c r="F18" s="58" t="n">
        <f aca="false">SUM(F5:F17)</f>
        <v>1.445405</v>
      </c>
      <c r="I18" s="6" t="s">
        <v>1561</v>
      </c>
    </row>
    <row r="19" customFormat="false" ht="15" hidden="false" customHeight="false" outlineLevel="0" collapsed="false">
      <c r="A19" s="2" t="s">
        <v>1562</v>
      </c>
      <c r="D19" s="76" t="n">
        <f aca="false">F18/E18</f>
        <v>0.0313292222992891</v>
      </c>
      <c r="I19" s="6" t="s">
        <v>1563</v>
      </c>
    </row>
    <row r="21" customFormat="false" ht="15" hidden="false" customHeight="false" outlineLevel="0" collapsed="false">
      <c r="A21" s="3" t="s">
        <v>1564</v>
      </c>
      <c r="D21" s="77" t="n">
        <v>0</v>
      </c>
      <c r="E21" s="24" t="n">
        <v>0</v>
      </c>
      <c r="F21" s="10" t="n">
        <f aca="false">D21*E21</f>
        <v>0</v>
      </c>
      <c r="I21" s="11" t="s">
        <v>1565</v>
      </c>
    </row>
    <row r="23" customFormat="false" ht="15" hidden="false" customHeight="false" outlineLevel="0" collapsed="false">
      <c r="A23" s="52" t="s">
        <v>1566</v>
      </c>
      <c r="B23" s="8"/>
      <c r="C23" s="8"/>
      <c r="D23" s="8"/>
      <c r="E23" s="8"/>
      <c r="F23" s="8"/>
      <c r="G23" s="8"/>
      <c r="H23" s="8"/>
    </row>
    <row r="24" customFormat="false" ht="17.15" hidden="false" customHeight="false" outlineLevel="1" collapsed="false">
      <c r="A24" s="14" t="s">
        <v>1567</v>
      </c>
      <c r="B24" s="14" t="s">
        <v>1520</v>
      </c>
      <c r="C24" s="14" t="s">
        <v>1568</v>
      </c>
      <c r="D24" s="14" t="s">
        <v>1569</v>
      </c>
      <c r="E24" s="14" t="s">
        <v>1570</v>
      </c>
      <c r="F24" s="14" t="s">
        <v>1571</v>
      </c>
      <c r="G24" s="14" t="s">
        <v>1572</v>
      </c>
      <c r="H24" s="14" t="s">
        <v>1573</v>
      </c>
      <c r="I24" s="14" t="s">
        <v>914</v>
      </c>
    </row>
    <row r="25" customFormat="false" ht="15" hidden="false" customHeight="false" outlineLevel="1" collapsed="false">
      <c r="A25" s="3" t="s">
        <v>1574</v>
      </c>
      <c r="B25" s="11" t="s">
        <v>1575</v>
      </c>
      <c r="C25" s="77" t="n">
        <v>0</v>
      </c>
      <c r="D25" s="45" t="n">
        <v>0</v>
      </c>
      <c r="E25" s="35" t="n">
        <v>1</v>
      </c>
      <c r="F25" s="44" t="n">
        <v>1</v>
      </c>
      <c r="G25" s="68" t="n">
        <v>5</v>
      </c>
      <c r="H25" s="21" t="n">
        <v>0</v>
      </c>
      <c r="I25" s="11" t="s">
        <v>1576</v>
      </c>
    </row>
    <row r="26" customFormat="false" ht="15" hidden="false" customHeight="false" outlineLevel="1" collapsed="false">
      <c r="I26" s="6" t="s">
        <v>1577</v>
      </c>
    </row>
    <row r="27" customFormat="false" ht="15" hidden="false" customHeight="false" outlineLevel="1" collapsed="false"/>
    <row r="28" customFormat="false" ht="15" hidden="false" customHeight="false" outlineLevel="1" collapsed="false">
      <c r="A28" s="14" t="s">
        <v>1578</v>
      </c>
      <c r="C28" s="14" t="s">
        <v>1579</v>
      </c>
      <c r="D28" s="14" t="s">
        <v>1580</v>
      </c>
      <c r="E28" s="14" t="s">
        <v>1581</v>
      </c>
      <c r="F28" s="14" t="s">
        <v>1582</v>
      </c>
      <c r="G28" s="14" t="s">
        <v>1583</v>
      </c>
      <c r="H28" s="14" t="s">
        <v>1584</v>
      </c>
      <c r="I28" s="14" t="s">
        <v>1000</v>
      </c>
    </row>
    <row r="29" customFormat="false" ht="15" hidden="false" customHeight="false" outlineLevel="1" collapsed="false">
      <c r="A29" s="3" t="str">
        <f aca="false">A25</f>
        <v>（無可轉債，不適用）</v>
      </c>
      <c r="C29" s="30" t="n">
        <f aca="false">D25*E25</f>
        <v>0</v>
      </c>
      <c r="D29" s="30" t="n">
        <f aca="false">D25/F25</f>
        <v>0</v>
      </c>
      <c r="E29" s="55" t="n">
        <f aca="false">F25*E25</f>
        <v>1</v>
      </c>
      <c r="F29" s="68" t="n">
        <f aca="false">IF(OR(H25=1,E29&lt;輸入與假設!$C$307),1,0)</f>
        <v>1</v>
      </c>
      <c r="G29" s="68" t="n">
        <f aca="false">IF(OR(H25=1,E29&lt;輸入與假設!$C$330),1,0)</f>
        <v>1</v>
      </c>
      <c r="H29" s="68" t="n">
        <f aca="false">IF(OR(H25=1,E29&lt;評價_DCF與目標價!$C$87),1,0)</f>
        <v>1</v>
      </c>
    </row>
    <row r="30" customFormat="false" ht="15" hidden="false" customHeight="false" outlineLevel="1" collapsed="false">
      <c r="A30" s="2" t="s">
        <v>1585</v>
      </c>
      <c r="C30" s="78" t="n">
        <f aca="false">SUM(C29:C29)</f>
        <v>0</v>
      </c>
      <c r="D30" s="78" t="n">
        <f aca="false">SUM(D29:D29)</f>
        <v>0</v>
      </c>
      <c r="I30" s="6" t="s">
        <v>1586</v>
      </c>
    </row>
    <row r="32" customFormat="false" ht="15" hidden="false" customHeight="false" outlineLevel="0" collapsed="false">
      <c r="A32" s="52" t="s">
        <v>1587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1027</v>
      </c>
    </row>
    <row r="34" customFormat="false" ht="15" hidden="false" customHeight="false" outlineLevel="1" collapsed="false">
      <c r="A34" s="3" t="s">
        <v>1588</v>
      </c>
      <c r="B34" s="11" t="s">
        <v>65</v>
      </c>
      <c r="C34" s="66" t="n">
        <f aca="false">E18</f>
        <v>46.136</v>
      </c>
      <c r="D34" s="66" t="n">
        <f aca="false">C36</f>
        <v>36.886</v>
      </c>
      <c r="E34" s="66" t="n">
        <f aca="false">D36</f>
        <v>36.886</v>
      </c>
      <c r="F34" s="66" t="n">
        <f aca="false">E36</f>
        <v>34.885</v>
      </c>
      <c r="G34" s="66" t="n">
        <f aca="false">F36</f>
        <v>34.885</v>
      </c>
      <c r="I34" s="11" t="s">
        <v>1589</v>
      </c>
    </row>
    <row r="35" customFormat="false" ht="15" hidden="false" customHeight="false" outlineLevel="1" collapsed="false">
      <c r="A35" s="3" t="s">
        <v>1590</v>
      </c>
      <c r="B35" s="11" t="s">
        <v>65</v>
      </c>
      <c r="C35" s="39" t="n">
        <f aca="false">輸入與假設!C$325</f>
        <v>9.25</v>
      </c>
      <c r="D35" s="39" t="n">
        <f aca="false">輸入與假設!D$325</f>
        <v>0</v>
      </c>
      <c r="E35" s="39" t="n">
        <f aca="false">輸入與假設!E$325</f>
        <v>2.001</v>
      </c>
      <c r="F35" s="39" t="n">
        <f aca="false">輸入與假設!F$325</f>
        <v>0</v>
      </c>
      <c r="G35" s="39" t="n">
        <f aca="false">輸入與假設!G$325</f>
        <v>0.5</v>
      </c>
      <c r="I35" s="6" t="s">
        <v>1591</v>
      </c>
    </row>
    <row r="36" customFormat="false" ht="15" hidden="false" customHeight="false" outlineLevel="1" collapsed="false">
      <c r="A36" s="3" t="s">
        <v>1592</v>
      </c>
      <c r="B36" s="11" t="s">
        <v>65</v>
      </c>
      <c r="C36" s="66" t="n">
        <f aca="false">C34-C35</f>
        <v>36.886</v>
      </c>
      <c r="D36" s="66" t="n">
        <f aca="false">D34-D35</f>
        <v>36.886</v>
      </c>
      <c r="E36" s="66" t="n">
        <f aca="false">E34-E35</f>
        <v>34.885</v>
      </c>
      <c r="F36" s="66" t="n">
        <f aca="false">F34-F35</f>
        <v>34.885</v>
      </c>
      <c r="G36" s="66" t="n">
        <f aca="false">G34-G35</f>
        <v>34.385</v>
      </c>
    </row>
    <row r="37" customFormat="false" ht="15" hidden="false" customHeight="false" outlineLevel="1" collapsed="false">
      <c r="A37" s="3" t="s">
        <v>1593</v>
      </c>
      <c r="B37" s="11" t="s">
        <v>65</v>
      </c>
      <c r="C37" s="66" t="n">
        <f aca="false">(C34+C36)/2</f>
        <v>41.511</v>
      </c>
      <c r="D37" s="66" t="n">
        <f aca="false">(D34+D36)/2</f>
        <v>36.886</v>
      </c>
      <c r="E37" s="66" t="n">
        <f aca="false">(E34+E36)/2</f>
        <v>35.8855</v>
      </c>
      <c r="F37" s="66" t="n">
        <f aca="false">(F34+F36)/2</f>
        <v>34.885</v>
      </c>
      <c r="G37" s="66" t="n">
        <f aca="false">(G34+G36)/2</f>
        <v>34.635</v>
      </c>
    </row>
    <row r="38" customFormat="false" ht="15" hidden="false" customHeight="false" outlineLevel="1" collapsed="false">
      <c r="A38" s="3" t="s">
        <v>1594</v>
      </c>
      <c r="B38" s="11" t="s">
        <v>65</v>
      </c>
      <c r="C38" s="66" t="n">
        <f aca="false">C37*資產負債_既有債務!$D$19*輸入與假設!C$34</f>
        <v>1.30050734686579</v>
      </c>
      <c r="D38" s="66" t="n">
        <f aca="false">D37*資產負債_既有債務!$D$19*輸入與假設!D$34</f>
        <v>1.15560969373158</v>
      </c>
      <c r="E38" s="66" t="n">
        <f aca="false">E37*資產負債_既有債務!$D$19*輸入與假設!E$34</f>
        <v>1.12426480682114</v>
      </c>
      <c r="F38" s="66" t="n">
        <f aca="false">F37*資產負債_既有債務!$D$19*輸入與假設!F$34</f>
        <v>1.0929199199107</v>
      </c>
      <c r="G38" s="66" t="n">
        <f aca="false">G37*資產負債_既有債務!$D$19*輸入與假設!G$34</f>
        <v>1.08508761433588</v>
      </c>
      <c r="I38" s="6" t="s">
        <v>1595</v>
      </c>
    </row>
    <row r="39" customFormat="false" ht="15" hidden="false" customHeight="false" outlineLevel="1" collapsed="false">
      <c r="A39" s="3" t="s">
        <v>1596</v>
      </c>
      <c r="B39" s="11" t="s">
        <v>65</v>
      </c>
      <c r="C39" s="66" t="n">
        <f aca="false">資產負債_既有債務!$F$21*輸入與假設!C$34</f>
        <v>0</v>
      </c>
      <c r="D39" s="66" t="n">
        <f aca="false">資產負債_既有債務!$F$21*輸入與假設!D$34</f>
        <v>0</v>
      </c>
      <c r="E39" s="66" t="n">
        <f aca="false">資產負債_既有債務!$F$21*輸入與假設!E$34</f>
        <v>0</v>
      </c>
      <c r="F39" s="66" t="n">
        <f aca="false">資產負債_既有債務!$F$21*輸入與假設!F$34</f>
        <v>0</v>
      </c>
      <c r="G39" s="66" t="n">
        <f aca="false">資產負債_既有債務!$F$21*輸入與假設!G$34</f>
        <v>0</v>
      </c>
    </row>
    <row r="40" customFormat="false" ht="15" hidden="false" customHeight="false" outlineLevel="1" collapsed="false">
      <c r="A40" s="3" t="s">
        <v>1597</v>
      </c>
      <c r="B40" s="11" t="s">
        <v>65</v>
      </c>
      <c r="C40" s="66" t="n">
        <f aca="false">IF(輸入與假設!$C$296=1,SUMPRODUCT((1-資產負債_既有債務!$F$29:$F$29)*資產負債_既有債務!$C$29:$C$29*(資產負債_既有債務!$G$25:$G$25=0)),0)</f>
        <v>0</v>
      </c>
      <c r="D40" s="66" t="n">
        <f aca="false">IF(輸入與假設!$C$296=1,SUMPRODUCT((1-資產負債_既有債務!$F$29:$F$29)*資產負債_既有債務!$C$29:$C$29*(資產負債_既有債務!$G$25:$G$25=1)),0)</f>
        <v>0</v>
      </c>
      <c r="E40" s="66" t="n">
        <f aca="false">IF(輸入與假設!$C$296=1,SUMPRODUCT((1-資產負債_既有債務!$F$29:$F$29)*資產負債_既有債務!$C$29:$C$29*(資產負債_既有債務!$G$25:$G$25=2)),0)</f>
        <v>0</v>
      </c>
      <c r="F40" s="66" t="n">
        <f aca="false">IF(輸入與假設!$C$296=1,SUMPRODUCT((1-資產負債_既有債務!$F$29:$F$29)*資產負債_既有債務!$C$29:$C$29*(資產負債_既有債務!$G$25:$G$25=3)),0)</f>
        <v>0</v>
      </c>
      <c r="G40" s="66" t="n">
        <f aca="false">IF(輸入與假設!$C$296=1,SUMPRODUCT((1-資產負債_既有債務!$F$29:$F$29)*資產負債_既有債務!$C$29:$C$29*(資產負債_既有債務!$G$25:$G$25=4)),0)</f>
        <v>0</v>
      </c>
      <c r="I40" s="6" t="s">
        <v>1598</v>
      </c>
    </row>
    <row r="41" customFormat="false" ht="15" hidden="false" customHeight="false" outlineLevel="1" collapsed="false">
      <c r="A41" s="3" t="s">
        <v>1599</v>
      </c>
      <c r="B41" s="11" t="s">
        <v>65</v>
      </c>
      <c r="C41" s="66" t="n">
        <f aca="false">IF(輸入與假設!$C$296=1,SUMPRODUCT((1-資產負債_既有債務!$F$29:$F$29)*資產負債_既有債務!$C$29:$C$29*(資產負債_既有債務!$G$25:$G$25&gt;0)),SUMPRODUCT((1-資產負債_既有債務!$F$29:$F$29)*資產負債_既有債務!$C$29:$C$29))</f>
        <v>0</v>
      </c>
      <c r="D41" s="66" t="n">
        <f aca="false">IF(輸入與假設!$C$296=1,SUMPRODUCT((1-資產負債_既有債務!$F$29:$F$29)*資產負債_既有債務!$C$29:$C$29*(資產負債_既有債務!$G$25:$G$25&gt;1)),SUMPRODUCT((1-資產負債_既有債務!$F$29:$F$29)*資產負債_既有債務!$C$29:$C$29))</f>
        <v>0</v>
      </c>
      <c r="E41" s="66" t="n">
        <f aca="false">IF(輸入與假設!$C$296=1,SUMPRODUCT((1-資產負債_既有債務!$F$29:$F$29)*資產負債_既有債務!$C$29:$C$29*(資產負債_既有債務!$G$25:$G$25&gt;2)),SUMPRODUCT((1-資產負債_既有債務!$F$29:$F$29)*資產負債_既有債務!$C$29:$C$29))</f>
        <v>0</v>
      </c>
      <c r="F41" s="66" t="n">
        <f aca="false">IF(輸入與假設!$C$296=1,SUMPRODUCT((1-資產負債_既有債務!$F$29:$F$29)*資產負債_既有債務!$C$29:$C$29*(資產負債_既有債務!$G$25:$G$25&gt;3)),SUMPRODUCT((1-資產負債_既有債務!$F$29:$F$29)*資產負債_既有債務!$C$29:$C$29))</f>
        <v>0</v>
      </c>
      <c r="G41" s="66" t="n">
        <f aca="false">IF(輸入與假設!$C$296=1,SUMPRODUCT((1-資產負債_既有債務!$F$29:$F$29)*資產負債_既有債務!$C$29:$C$29*(資產負債_既有債務!$G$25:$G$25&gt;4)),SUMPRODUCT((1-資產負債_既有債務!$F$29:$F$29)*資產負債_既有債務!$C$29:$C$29))</f>
        <v>0</v>
      </c>
      <c r="I41" s="6" t="s">
        <v>1600</v>
      </c>
    </row>
    <row r="42" customFormat="false" ht="15" hidden="false" customHeight="false" outlineLevel="1" collapsed="false">
      <c r="A42" s="3" t="s">
        <v>1601</v>
      </c>
      <c r="B42" s="11" t="s">
        <v>65</v>
      </c>
      <c r="C42" s="66" t="n">
        <f aca="false">IF(輸入與假設!$C$296=1,SUMPRODUCT((1-資產負債_既有債務!$F$29:$F$29)*資產負債_既有債務!$D$25:$D$25*資產負債_既有債務!$C$25:$C$25*((資產負債_既有債務!$G$25:$G$25&gt;0)+0.5*(資產負債_既有債務!$G$25:$G$25=0))),SUMPRODUCT((1-資產負債_既有債務!$F$29:$F$29)*資產負債_既有債務!$D$25:$D$25*資產負債_既有債務!$C$25:$C$25))*輸入與假設!C$34</f>
        <v>0</v>
      </c>
      <c r="D42" s="66" t="n">
        <f aca="false">IF(輸入與假設!$C$296=1,SUMPRODUCT((1-資產負債_既有債務!$F$29:$F$29)*資產負債_既有債務!$D$25:$D$25*資產負債_既有債務!$C$25:$C$25*((資產負債_既有債務!$G$25:$G$25&gt;1)+0.5*(資產負債_既有債務!$G$25:$G$25=1))),SUMPRODUCT((1-資產負債_既有債務!$F$29:$F$29)*資產負債_既有債務!$D$25:$D$25*資產負債_既有債務!$C$25:$C$25))*輸入與假設!D$34</f>
        <v>0</v>
      </c>
      <c r="E42" s="66" t="n">
        <f aca="false">IF(輸入與假設!$C$296=1,SUMPRODUCT((1-資產負債_既有債務!$F$29:$F$29)*資產負債_既有債務!$D$25:$D$25*資產負債_既有債務!$C$25:$C$25*((資產負債_既有債務!$G$25:$G$25&gt;2)+0.5*(資產負債_既有債務!$G$25:$G$25=2))),SUMPRODUCT((1-資產負債_既有債務!$F$29:$F$29)*資產負債_既有債務!$D$25:$D$25*資產負債_既有債務!$C$25:$C$25))*輸入與假設!E$34</f>
        <v>0</v>
      </c>
      <c r="F42" s="66" t="n">
        <f aca="false">IF(輸入與假設!$C$296=1,SUMPRODUCT((1-資產負債_既有債務!$F$29:$F$29)*資產負債_既有債務!$D$25:$D$25*資產負債_既有債務!$C$25:$C$25*((資產負債_既有債務!$G$25:$G$25&gt;3)+0.5*(資產負債_既有債務!$G$25:$G$25=3))),SUMPRODUCT((1-資產負債_既有債務!$F$29:$F$29)*資產負債_既有債務!$D$25:$D$25*資產負債_既有債務!$C$25:$C$25))*輸入與假設!F$34</f>
        <v>0</v>
      </c>
      <c r="G42" s="66" t="n">
        <f aca="false">IF(輸入與假設!$C$296=1,SUMPRODUCT((1-資產負債_既有債務!$F$29:$F$29)*資產負債_既有債務!$D$25:$D$25*資產負債_既有債務!$C$25:$C$25*((資產負債_既有債務!$G$25:$G$25&gt;4)+0.5*(資產負債_既有債務!$G$25:$G$25=4))),SUMPRODUCT((1-資產負債_既有債務!$F$29:$F$29)*資產負債_既有債務!$D$25:$D$25*資產負債_既有債務!$C$25:$C$25))*輸入與假設!G$34</f>
        <v>0</v>
      </c>
      <c r="I42" s="6" t="s">
        <v>1602</v>
      </c>
    </row>
    <row r="43" customFormat="false" ht="15" hidden="false" customHeight="false" outlineLevel="1" collapsed="false">
      <c r="A43" s="3" t="s">
        <v>1603</v>
      </c>
      <c r="B43" s="11" t="s">
        <v>65</v>
      </c>
      <c r="C43" s="24" t="n">
        <f aca="false">0</f>
        <v>0</v>
      </c>
      <c r="D43" s="24" t="n">
        <f aca="false">0</f>
        <v>0</v>
      </c>
      <c r="E43" s="24" t="n">
        <f aca="false">0</f>
        <v>0</v>
      </c>
      <c r="F43" s="24" t="n">
        <f aca="false">0</f>
        <v>0</v>
      </c>
      <c r="G43" s="24" t="n">
        <f aca="false">0</f>
        <v>0</v>
      </c>
      <c r="I43" s="6" t="s">
        <v>1604</v>
      </c>
    </row>
    <row r="44" customFormat="false" ht="15" hidden="false" customHeight="false" outlineLevel="1" collapsed="false">
      <c r="A44" s="2" t="s">
        <v>1605</v>
      </c>
      <c r="B44" s="11" t="s">
        <v>65</v>
      </c>
      <c r="C44" s="42" t="n">
        <f aca="false">C38+C39+C42+C43</f>
        <v>1.30050734686579</v>
      </c>
      <c r="D44" s="42" t="n">
        <f aca="false">D38+D39+D42+D43</f>
        <v>1.15560969373158</v>
      </c>
      <c r="E44" s="42" t="n">
        <f aca="false">E38+E39+E42+E43</f>
        <v>1.12426480682114</v>
      </c>
      <c r="F44" s="42" t="n">
        <f aca="false">F38+F39+F42+F43</f>
        <v>1.0929199199107</v>
      </c>
      <c r="G44" s="42" t="n">
        <f aca="false">G38+G39+G42+G43</f>
        <v>1.08508761433588</v>
      </c>
      <c r="I44" s="6" t="s">
        <v>1606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1607</v>
      </c>
    </row>
    <row r="2" customFormat="false" ht="15" hidden="false" customHeight="false" outlineLevel="0" collapsed="false">
      <c r="A2" s="6" t="s">
        <v>1608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1027</v>
      </c>
    </row>
    <row r="5" customFormat="false" ht="15" hidden="false" customHeight="false" outlineLevel="0" collapsed="false">
      <c r="A5" s="52" t="s">
        <v>1609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1610</v>
      </c>
      <c r="B6" s="11" t="s">
        <v>65</v>
      </c>
      <c r="C6" s="66" t="n">
        <f aca="false">輸入與假設!$C$291</f>
        <v>76.843</v>
      </c>
      <c r="D6" s="66" t="n">
        <f aca="false">各期收支!C56</f>
        <v>50</v>
      </c>
      <c r="E6" s="66" t="n">
        <f aca="false">各期收支!D56</f>
        <v>50</v>
      </c>
      <c r="F6" s="66" t="n">
        <f aca="false">各期收支!E56</f>
        <v>66.7590104482724</v>
      </c>
      <c r="G6" s="66" t="n">
        <f aca="false">各期收支!F56</f>
        <v>84.6394909848749</v>
      </c>
      <c r="I6" s="11" t="s">
        <v>1611</v>
      </c>
    </row>
    <row r="7" customFormat="false" ht="15" hidden="false" customHeight="false" outlineLevel="1" collapsed="false">
      <c r="A7" s="3" t="s">
        <v>1612</v>
      </c>
      <c r="B7" s="11" t="s">
        <v>65</v>
      </c>
      <c r="C7" s="66" t="n">
        <f aca="false">各期收支!C103-輸入與假設!$C$291</f>
        <v>-45.7913763220116</v>
      </c>
      <c r="D7" s="66" t="n">
        <f aca="false">各期收支!D103-各期收支!C103</f>
        <v>1.81800306766621</v>
      </c>
      <c r="E7" s="66" t="n">
        <f aca="false">各期收支!E103-各期收支!D103</f>
        <v>40.0272934125887</v>
      </c>
      <c r="F7" s="66" t="n">
        <f aca="false">各期收支!F103-各期收支!E103</f>
        <v>41.148763500919</v>
      </c>
      <c r="G7" s="66" t="n">
        <f aca="false">各期收支!G103-各期收支!F103</f>
        <v>-24.1063590342925</v>
      </c>
      <c r="I7" s="6" t="s">
        <v>1613</v>
      </c>
    </row>
    <row r="8" customFormat="false" ht="15" hidden="false" customHeight="false" outlineLevel="1" collapsed="false">
      <c r="A8" s="3" t="s">
        <v>1614</v>
      </c>
      <c r="B8" s="11" t="s">
        <v>65</v>
      </c>
      <c r="C8" s="66" t="n">
        <f aca="false">各期收支!C86</f>
        <v>19.945659286328</v>
      </c>
      <c r="D8" s="66" t="n">
        <f aca="false">各期收支!D86</f>
        <v>0</v>
      </c>
      <c r="E8" s="66" t="n">
        <f aca="false">各期收支!E86</f>
        <v>0</v>
      </c>
      <c r="F8" s="66" t="n">
        <f aca="false">各期收支!F86</f>
        <v>0</v>
      </c>
      <c r="G8" s="66" t="n">
        <f aca="false">各期收支!G86</f>
        <v>0</v>
      </c>
    </row>
    <row r="9" customFormat="false" ht="15" hidden="false" customHeight="false" outlineLevel="1" collapsed="false">
      <c r="A9" s="3" t="s">
        <v>1615</v>
      </c>
      <c r="B9" s="11" t="s">
        <v>65</v>
      </c>
      <c r="C9" s="66" t="n">
        <f aca="false">各期收支!C89</f>
        <v>0</v>
      </c>
      <c r="D9" s="66" t="n">
        <f aca="false">各期收支!D89</f>
        <v>0</v>
      </c>
      <c r="E9" s="66" t="n">
        <f aca="false">各期收支!E89</f>
        <v>0</v>
      </c>
      <c r="F9" s="66" t="n">
        <f aca="false">各期收支!F89</f>
        <v>0</v>
      </c>
      <c r="G9" s="66" t="n">
        <f aca="false">各期收支!G89</f>
        <v>0</v>
      </c>
    </row>
    <row r="10" customFormat="false" ht="15" hidden="false" customHeight="false" outlineLevel="1" collapsed="false">
      <c r="A10" s="3" t="s">
        <v>1616</v>
      </c>
      <c r="B10" s="11" t="s">
        <v>65</v>
      </c>
      <c r="C10" s="66" t="n">
        <f aca="false">各期收支!C93</f>
        <v>0</v>
      </c>
      <c r="D10" s="66" t="n">
        <f aca="false">各期收支!D93</f>
        <v>0</v>
      </c>
      <c r="E10" s="66" t="n">
        <f aca="false">各期收支!E93</f>
        <v>0</v>
      </c>
      <c r="F10" s="66" t="n">
        <f aca="false">各期收支!F93</f>
        <v>0</v>
      </c>
      <c r="G10" s="66" t="n">
        <f aca="false">各期收支!G93</f>
        <v>0</v>
      </c>
    </row>
    <row r="11" customFormat="false" ht="15" hidden="false" customHeight="false" outlineLevel="1" collapsed="false">
      <c r="A11" s="3" t="s">
        <v>1617</v>
      </c>
      <c r="B11" s="11" t="s">
        <v>65</v>
      </c>
      <c r="C11" s="66" t="n">
        <f aca="false">各期收支!C92</f>
        <v>0</v>
      </c>
      <c r="D11" s="66" t="n">
        <f aca="false">各期收支!D92</f>
        <v>0</v>
      </c>
      <c r="E11" s="66" t="n">
        <f aca="false">各期收支!E92</f>
        <v>0</v>
      </c>
      <c r="F11" s="66" t="n">
        <f aca="false">各期收支!F92</f>
        <v>0</v>
      </c>
      <c r="G11" s="66" t="n">
        <f aca="false">各期收支!G92</f>
        <v>0</v>
      </c>
    </row>
    <row r="12" customFormat="false" ht="15" hidden="false" customHeight="false" outlineLevel="1" collapsed="false">
      <c r="A12" s="3" t="s">
        <v>1618</v>
      </c>
      <c r="B12" s="11" t="s">
        <v>65</v>
      </c>
      <c r="C12" s="66" t="n">
        <f aca="false">-各期收支!C76</f>
        <v>-0</v>
      </c>
      <c r="D12" s="66" t="n">
        <f aca="false">-各期收支!D76</f>
        <v>-0.820720103349871</v>
      </c>
      <c r="E12" s="66" t="n">
        <f aca="false">-各期收支!E76</f>
        <v>-22.271</v>
      </c>
      <c r="F12" s="66" t="n">
        <f aca="false">-各期收支!F76</f>
        <v>-22.271</v>
      </c>
      <c r="G12" s="66" t="n">
        <f aca="false">-各期收支!G76</f>
        <v>-9.535848986266</v>
      </c>
    </row>
    <row r="13" customFormat="false" ht="15" hidden="false" customHeight="false" outlineLevel="1" collapsed="false">
      <c r="A13" s="3" t="s">
        <v>1619</v>
      </c>
      <c r="B13" s="11" t="s">
        <v>65</v>
      </c>
      <c r="C13" s="66" t="n">
        <f aca="false">-各期收支!C94</f>
        <v>-0.9972829643164</v>
      </c>
      <c r="D13" s="66" t="n">
        <f aca="false">-各期收支!D94</f>
        <v>-0.9972829643164</v>
      </c>
      <c r="E13" s="66" t="n">
        <f aca="false">-各期收支!E94</f>
        <v>-0.9972829643164</v>
      </c>
      <c r="F13" s="66" t="n">
        <f aca="false">-各期收支!F94</f>
        <v>-0.9972829643164</v>
      </c>
      <c r="G13" s="66" t="n">
        <f aca="false">-各期收支!G94</f>
        <v>-0.9972829643164</v>
      </c>
    </row>
    <row r="14" customFormat="false" ht="15" hidden="false" customHeight="false" outlineLevel="1" collapsed="false">
      <c r="A14" s="2" t="s">
        <v>1620</v>
      </c>
      <c r="B14" s="11" t="s">
        <v>65</v>
      </c>
      <c r="C14" s="42" t="n">
        <f aca="false">SUM(C6:C13)</f>
        <v>50</v>
      </c>
      <c r="D14" s="42" t="n">
        <f aca="false">SUM(D6:D13)</f>
        <v>50</v>
      </c>
      <c r="E14" s="42" t="n">
        <f aca="false">SUM(E6:E13)</f>
        <v>66.7590104482723</v>
      </c>
      <c r="F14" s="42" t="n">
        <f aca="false">SUM(F6:F13)</f>
        <v>84.6394909848749</v>
      </c>
      <c r="G14" s="42" t="n">
        <f aca="false">SUM(G6:G13)</f>
        <v>50</v>
      </c>
      <c r="I14" s="6" t="s">
        <v>1621</v>
      </c>
    </row>
    <row r="15" customFormat="false" ht="15" hidden="false" customHeight="false" outlineLevel="1" collapsed="false">
      <c r="A15" s="3" t="s">
        <v>1622</v>
      </c>
      <c r="B15" s="11" t="s">
        <v>65</v>
      </c>
      <c r="C15" s="66" t="n">
        <f aca="false">C14-各期收支!C56</f>
        <v>0</v>
      </c>
      <c r="D15" s="66" t="n">
        <f aca="false">D14-各期收支!D56</f>
        <v>0</v>
      </c>
      <c r="E15" s="66" t="n">
        <f aca="false">E14-各期收支!E56</f>
        <v>0</v>
      </c>
      <c r="F15" s="66" t="n">
        <f aca="false">F14-各期收支!F56</f>
        <v>0</v>
      </c>
      <c r="G15" s="66" t="n">
        <f aca="false">G14-各期收支!G56</f>
        <v>0</v>
      </c>
      <c r="I15" s="6" t="s">
        <v>1623</v>
      </c>
    </row>
    <row r="16" customFormat="false" ht="15" hidden="false" customHeight="false" outlineLevel="0" collapsed="false">
      <c r="A16" s="52" t="s">
        <v>1624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1625</v>
      </c>
      <c r="B17" s="11" t="s">
        <v>65</v>
      </c>
      <c r="C17" s="66" t="n">
        <f aca="false">資產負債_既有債務!$E$18+SUMPRODUCT((1-資產負債_既有債務!$F$29:$F$29)*資產負債_既有債務!$C$29:$C$29)</f>
        <v>46.136</v>
      </c>
      <c r="D17" s="66" t="n">
        <f aca="false">C19</f>
        <v>36.886</v>
      </c>
      <c r="E17" s="66" t="n">
        <f aca="false">D19</f>
        <v>36.886</v>
      </c>
      <c r="F17" s="66" t="n">
        <f aca="false">E19</f>
        <v>34.885</v>
      </c>
      <c r="G17" s="66" t="n">
        <f aca="false">F19</f>
        <v>34.885</v>
      </c>
      <c r="I17" s="11" t="s">
        <v>1626</v>
      </c>
    </row>
    <row r="18" customFormat="false" ht="15" hidden="false" customHeight="false" outlineLevel="1" collapsed="false">
      <c r="A18" s="3" t="s">
        <v>1627</v>
      </c>
      <c r="B18" s="11" t="s">
        <v>65</v>
      </c>
      <c r="C18" s="66" t="n">
        <f aca="false">-IF(輸入與假設!$C$296=1,輸入與假設!C$325,0)-資產負債_既有債務!C40</f>
        <v>-9.25</v>
      </c>
      <c r="D18" s="66" t="n">
        <f aca="false">-IF(輸入與假設!$C$296=1,輸入與假設!D$325,0)-資產負債_既有債務!D40</f>
        <v>-0</v>
      </c>
      <c r="E18" s="66" t="n">
        <f aca="false">-IF(輸入與假設!$C$296=1,輸入與假設!E$325,0)-資產負債_既有債務!E40</f>
        <v>-2.001</v>
      </c>
      <c r="F18" s="66" t="n">
        <f aca="false">-IF(輸入與假設!$C$296=1,輸入與假設!F$325,0)-資產負債_既有債務!F40</f>
        <v>-0</v>
      </c>
      <c r="G18" s="66" t="n">
        <f aca="false">-IF(輸入與假設!$C$296=1,輸入與假設!G$325,0)-資產負債_既有債務!G40</f>
        <v>-0.5</v>
      </c>
    </row>
    <row r="19" customFormat="false" ht="15" hidden="false" customHeight="false" outlineLevel="1" collapsed="false">
      <c r="A19" s="3" t="s">
        <v>1628</v>
      </c>
      <c r="B19" s="11" t="s">
        <v>65</v>
      </c>
      <c r="C19" s="66" t="n">
        <f aca="false">各期收支!C82-0</f>
        <v>36.886</v>
      </c>
      <c r="D19" s="66" t="n">
        <f aca="false">各期收支!D82-0</f>
        <v>36.886</v>
      </c>
      <c r="E19" s="66" t="n">
        <f aca="false">各期收支!E82-0</f>
        <v>34.885</v>
      </c>
      <c r="F19" s="66" t="n">
        <f aca="false">各期收支!F82-0</f>
        <v>34.885</v>
      </c>
      <c r="G19" s="66" t="n">
        <f aca="false">各期收支!G82-0</f>
        <v>34.385</v>
      </c>
      <c r="I19" s="6" t="s">
        <v>1629</v>
      </c>
    </row>
    <row r="20" customFormat="false" ht="15" hidden="false" customHeight="false" outlineLevel="1" collapsed="false">
      <c r="A20" s="3" t="s">
        <v>1630</v>
      </c>
      <c r="B20" s="11" t="s">
        <v>65</v>
      </c>
      <c r="C20" s="66" t="n">
        <f aca="false">0</f>
        <v>0</v>
      </c>
      <c r="D20" s="66" t="n">
        <f aca="false">0</f>
        <v>0</v>
      </c>
      <c r="E20" s="66" t="n">
        <f aca="false">0</f>
        <v>0</v>
      </c>
      <c r="F20" s="66" t="n">
        <f aca="false">0</f>
        <v>0</v>
      </c>
      <c r="G20" s="66" t="n">
        <f aca="false">0</f>
        <v>0</v>
      </c>
    </row>
    <row r="21" customFormat="false" ht="15" hidden="false" customHeight="false" outlineLevel="1" collapsed="false">
      <c r="A21" s="3" t="s">
        <v>1631</v>
      </c>
      <c r="B21" s="11" t="s">
        <v>65</v>
      </c>
      <c r="C21" s="66" t="n">
        <f aca="false">各期收支!C98</f>
        <v>19.945659286328</v>
      </c>
      <c r="D21" s="66" t="n">
        <f aca="false">各期收支!D98</f>
        <v>19.945659286328</v>
      </c>
      <c r="E21" s="66" t="n">
        <f aca="false">各期收支!E98</f>
        <v>19.945659286328</v>
      </c>
      <c r="F21" s="66" t="n">
        <f aca="false">各期收支!F98</f>
        <v>19.945659286328</v>
      </c>
      <c r="G21" s="66" t="n">
        <f aca="false">各期收支!G98</f>
        <v>19.945659286328</v>
      </c>
    </row>
    <row r="22" customFormat="false" ht="15" hidden="false" customHeight="false" outlineLevel="1" collapsed="false">
      <c r="A22" s="3" t="s">
        <v>1632</v>
      </c>
      <c r="B22" s="11" t="s">
        <v>65</v>
      </c>
      <c r="C22" s="66" t="n">
        <f aca="false">各期收支!C101</f>
        <v>0</v>
      </c>
      <c r="D22" s="66" t="n">
        <f aca="false">各期收支!D101</f>
        <v>0</v>
      </c>
      <c r="E22" s="66" t="n">
        <f aca="false">各期收支!E101</f>
        <v>0</v>
      </c>
      <c r="F22" s="66" t="n">
        <f aca="false">各期收支!F101</f>
        <v>0</v>
      </c>
      <c r="G22" s="66" t="n">
        <f aca="false">各期收支!G101</f>
        <v>0</v>
      </c>
    </row>
    <row r="23" customFormat="false" ht="15" hidden="false" customHeight="false" outlineLevel="1" collapsed="false">
      <c r="A23" s="3" t="s">
        <v>1633</v>
      </c>
      <c r="B23" s="11" t="s">
        <v>65</v>
      </c>
      <c r="C23" s="66" t="n">
        <f aca="false">各期收支!C100</f>
        <v>0</v>
      </c>
      <c r="D23" s="66" t="n">
        <f aca="false">各期收支!D100</f>
        <v>0</v>
      </c>
      <c r="E23" s="66" t="n">
        <f aca="false">各期收支!E100</f>
        <v>0</v>
      </c>
      <c r="F23" s="66" t="n">
        <f aca="false">各期收支!F100</f>
        <v>0</v>
      </c>
      <c r="G23" s="66" t="n">
        <f aca="false">各期收支!G100</f>
        <v>0</v>
      </c>
    </row>
    <row r="24" customFormat="false" ht="15" hidden="false" customHeight="false" outlineLevel="1" collapsed="false">
      <c r="A24" s="2" t="s">
        <v>1634</v>
      </c>
      <c r="B24" s="11" t="s">
        <v>65</v>
      </c>
      <c r="C24" s="42" t="n">
        <f aca="false">SUM(C19:C23)</f>
        <v>56.831659286328</v>
      </c>
      <c r="D24" s="42" t="n">
        <f aca="false">SUM(D19:D23)</f>
        <v>56.831659286328</v>
      </c>
      <c r="E24" s="42" t="n">
        <f aca="false">SUM(E19:E23)</f>
        <v>54.830659286328</v>
      </c>
      <c r="F24" s="42" t="n">
        <f aca="false">SUM(F19:F23)</f>
        <v>54.830659286328</v>
      </c>
      <c r="G24" s="42" t="n">
        <f aca="false">SUM(G19:G23)</f>
        <v>54.330659286328</v>
      </c>
      <c r="I24" s="6" t="s">
        <v>1635</v>
      </c>
    </row>
    <row r="25" customFormat="false" ht="15" hidden="false" customHeight="false" outlineLevel="1" collapsed="false">
      <c r="A25" s="2" t="s">
        <v>1636</v>
      </c>
      <c r="B25" s="11" t="s">
        <v>65</v>
      </c>
      <c r="C25" s="42" t="n">
        <f aca="false">C24-C14</f>
        <v>6.83165928632801</v>
      </c>
      <c r="D25" s="42" t="n">
        <f aca="false">D24-D14</f>
        <v>6.83165928632802</v>
      </c>
      <c r="E25" s="42" t="n">
        <f aca="false">E24-E14</f>
        <v>-11.9283511619443</v>
      </c>
      <c r="F25" s="42" t="n">
        <f aca="false">F24-F14</f>
        <v>-29.8088316985469</v>
      </c>
      <c r="G25" s="42" t="n">
        <f aca="false">G24-G14</f>
        <v>4.33065928632801</v>
      </c>
    </row>
    <row r="26" customFormat="false" ht="15" hidden="false" customHeight="false" outlineLevel="0" collapsed="false">
      <c r="A26" s="52" t="s">
        <v>1637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1638</v>
      </c>
      <c r="B27" s="11" t="s">
        <v>642</v>
      </c>
      <c r="C27" s="31" t="n">
        <f aca="false">損益!C23</f>
        <v>7.453</v>
      </c>
      <c r="D27" s="31" t="n">
        <f aca="false">損益!D23</f>
        <v>7.52753</v>
      </c>
      <c r="E27" s="31" t="n">
        <f aca="false">損益!E23</f>
        <v>7.6028053</v>
      </c>
      <c r="F27" s="31" t="n">
        <f aca="false">損益!F23</f>
        <v>7.678833353</v>
      </c>
      <c r="G27" s="31" t="n">
        <f aca="false">損益!G23</f>
        <v>7.75562168653</v>
      </c>
    </row>
    <row r="28" customFormat="false" ht="15" hidden="false" customHeight="false" outlineLevel="1" collapsed="false">
      <c r="A28" s="3" t="s">
        <v>1639</v>
      </c>
      <c r="B28" s="11" t="s">
        <v>642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1640</v>
      </c>
      <c r="B29" s="11" t="s">
        <v>642</v>
      </c>
      <c r="C29" s="56" t="n">
        <f aca="false">損益!C24</f>
        <v>7.453</v>
      </c>
      <c r="D29" s="56" t="n">
        <f aca="false">損益!D24</f>
        <v>7.52598076996499</v>
      </c>
      <c r="E29" s="56" t="n">
        <f aca="false">損益!E24</f>
        <v>7.55921627836124</v>
      </c>
      <c r="F29" s="56" t="n">
        <f aca="false">損益!F24</f>
        <v>7.5932045397575</v>
      </c>
      <c r="G29" s="56" t="n">
        <f aca="false">損益!G24</f>
        <v>7.65199255430104</v>
      </c>
      <c r="I29" s="6" t="s">
        <v>1641</v>
      </c>
    </row>
    <row r="30" customFormat="false" ht="15" hidden="false" customHeight="false" outlineLevel="0" collapsed="false">
      <c r="A30" s="52" t="s">
        <v>1642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1151</v>
      </c>
      <c r="B31" s="11" t="s">
        <v>65</v>
      </c>
      <c r="C31" s="66" t="n">
        <f aca="false">各期收支!C81</f>
        <v>107.50193318475</v>
      </c>
      <c r="D31" s="66" t="n">
        <f aca="false">各期收支!D81</f>
        <v>115.709765116729</v>
      </c>
      <c r="E31" s="66" t="n">
        <f aca="false">各期收支!E81</f>
        <v>93.3866617385271</v>
      </c>
      <c r="F31" s="66" t="n">
        <f aca="false">各期收支!F81</f>
        <v>40.0461999639969</v>
      </c>
      <c r="G31" s="66" t="n">
        <f aca="false">各期收支!G81</f>
        <v>-44.4986183019024</v>
      </c>
    </row>
    <row r="32" customFormat="false" ht="15" hidden="false" customHeight="false" outlineLevel="1" collapsed="false">
      <c r="A32" s="3" t="s">
        <v>1643</v>
      </c>
      <c r="B32" s="11" t="s">
        <v>65</v>
      </c>
      <c r="C32" s="66" t="n">
        <f aca="false">各期收支!C83</f>
        <v>584.636028559435</v>
      </c>
      <c r="D32" s="66" t="n">
        <f aca="false">各期收支!D83</f>
        <v>690.230364642696</v>
      </c>
      <c r="E32" s="66" t="n">
        <f aca="false">各期收支!E83</f>
        <v>798.323893652752</v>
      </c>
      <c r="F32" s="66" t="n">
        <f aca="false">各期收支!F83</f>
        <v>906.925326838978</v>
      </c>
      <c r="G32" s="66" t="n">
        <f aca="false">各期收支!G83</f>
        <v>1067.13144075347</v>
      </c>
    </row>
    <row r="33" customFormat="false" ht="15" hidden="false" customHeight="false" outlineLevel="1" collapsed="false">
      <c r="A33" s="3" t="s">
        <v>1644</v>
      </c>
      <c r="B33" s="11" t="s">
        <v>111</v>
      </c>
      <c r="C33" s="79" t="n">
        <f aca="false">C24/MAX(0.01,C31)</f>
        <v>0.528657091111643</v>
      </c>
      <c r="D33" s="79" t="n">
        <f aca="false">D24/MAX(0.01,D31)</f>
        <v>0.491156984278688</v>
      </c>
      <c r="E33" s="79" t="n">
        <f aca="false">E24/MAX(0.01,E31)</f>
        <v>0.587135874284147</v>
      </c>
      <c r="F33" s="79" t="n">
        <f aca="false">F24/MAX(0.01,F31)</f>
        <v>1.36918507462938</v>
      </c>
      <c r="G33" s="79" t="n">
        <f aca="false">G24/MAX(0.01,G31)</f>
        <v>5433.0659286328</v>
      </c>
      <c r="I33" s="6" t="s">
        <v>1645</v>
      </c>
    </row>
    <row r="34" customFormat="false" ht="15" hidden="false" customHeight="false" outlineLevel="1" collapsed="false">
      <c r="A34" s="3" t="s">
        <v>1646</v>
      </c>
      <c r="B34" s="11" t="s">
        <v>111</v>
      </c>
      <c r="C34" s="47" t="n">
        <f aca="false">C24/MAX(0.01,損益!C22/輸入與假設!C$34)</f>
        <v>0.244051712565202</v>
      </c>
      <c r="D34" s="47" t="n">
        <f aca="false">D24/MAX(0.01,損益!D22/輸入與假設!D$34)</f>
        <v>0.201320810103419</v>
      </c>
      <c r="E34" s="47" t="n">
        <f aca="false">E24/MAX(0.01,損益!E22/輸入與假設!E$34)</f>
        <v>0.16476003607067</v>
      </c>
      <c r="F34" s="47" t="n">
        <f aca="false">F24/MAX(0.01,損益!F22/輸入與假設!F$34)</f>
        <v>0.143557936421593</v>
      </c>
      <c r="G34" s="47" t="n">
        <f aca="false">G24/MAX(0.01,損益!G22/輸入與假設!G$34)</f>
        <v>0.126842931986784</v>
      </c>
      <c r="I34" s="11" t="s">
        <v>1647</v>
      </c>
    </row>
    <row r="35" customFormat="false" ht="15" hidden="false" customHeight="false" outlineLevel="1" collapsed="false">
      <c r="A35" s="3" t="s">
        <v>1648</v>
      </c>
      <c r="B35" s="11" t="s">
        <v>65</v>
      </c>
      <c r="C35" s="66" t="n">
        <f aca="false">各期收支!C63</f>
        <v>137.899915048242</v>
      </c>
      <c r="D35" s="66" t="n">
        <f aca="false">各期收支!D63</f>
        <v>185.218516644311</v>
      </c>
      <c r="E35" s="66" t="n">
        <f aca="false">各期收支!E63</f>
        <v>230.851738741333</v>
      </c>
      <c r="F35" s="66" t="n">
        <f aca="false">各期收支!F63</f>
        <v>273.519964490271</v>
      </c>
      <c r="G35" s="66" t="n">
        <f aca="false">各期收支!G63</f>
        <v>253.943179582914</v>
      </c>
      <c r="I35" s="6" t="s">
        <v>1649</v>
      </c>
    </row>
    <row r="36" customFormat="false" ht="15" hidden="false" customHeight="false" outlineLevel="1" collapsed="false">
      <c r="A36" s="4" t="s">
        <v>1650</v>
      </c>
      <c r="B36" s="11" t="s">
        <v>65</v>
      </c>
      <c r="C36" s="66" t="n">
        <f aca="false">(損益!C22+各期收支!C16)/輸入與假設!C$34</f>
        <v>240.845314535892</v>
      </c>
      <c r="D36" s="66" t="n">
        <f aca="false">(損益!D22+各期收支!D16)/輸入與假設!D$34</f>
        <v>291.816293762336</v>
      </c>
      <c r="E36" s="66" t="n">
        <f aca="false">(損益!E22+各期收支!E16)/輸入與假設!E$34</f>
        <v>343.058544131362</v>
      </c>
      <c r="F36" s="66" t="n">
        <f aca="false">(損益!F22+各期收支!F16)/輸入與假設!F$34</f>
        <v>393.481763776416</v>
      </c>
      <c r="G36" s="66" t="n">
        <f aca="false">(損益!G22+各期收支!G16)/輸入與假設!G$34</f>
        <v>440.358206778796</v>
      </c>
    </row>
    <row r="37" customFormat="false" ht="15" hidden="false" customHeight="false" outlineLevel="1" collapsed="false">
      <c r="A37" s="2" t="s">
        <v>1651</v>
      </c>
      <c r="B37" s="11" t="s">
        <v>111</v>
      </c>
      <c r="C37" s="80" t="n">
        <f aca="false">(C24+C35)/MAX(0.01,C36)</f>
        <v>0.808533787380571</v>
      </c>
      <c r="D37" s="80" t="n">
        <f aca="false">(D24+D35)/MAX(0.01,D36)</f>
        <v>0.829460798127235</v>
      </c>
      <c r="E37" s="80" t="n">
        <f aca="false">(E24+E35)/MAX(0.01,E36)</f>
        <v>0.832751152579572</v>
      </c>
      <c r="F37" s="80" t="n">
        <f aca="false">(F24+F35)/MAX(0.01,F36)</f>
        <v>0.834474819430702</v>
      </c>
      <c r="G37" s="80" t="n">
        <f aca="false">(G24+G35)/MAX(0.01,G36)</f>
        <v>0.700052443950696</v>
      </c>
      <c r="I37" s="11" t="s">
        <v>1652</v>
      </c>
    </row>
    <row r="38" customFormat="false" ht="15" hidden="false" customHeight="false" outlineLevel="1" collapsed="false">
      <c r="A38" s="3" t="s">
        <v>1653</v>
      </c>
      <c r="B38" s="11" t="s">
        <v>111</v>
      </c>
      <c r="C38" s="79" t="n">
        <f aca="false">輸入與假設!$C$299-C37</f>
        <v>2.19146621261943</v>
      </c>
      <c r="D38" s="79" t="n">
        <f aca="false">輸入與假設!$C$299-D37</f>
        <v>2.17053920187276</v>
      </c>
      <c r="E38" s="79" t="n">
        <f aca="false">輸入與假設!$C$299-E37</f>
        <v>2.16724884742043</v>
      </c>
      <c r="F38" s="79" t="n">
        <f aca="false">輸入與假設!$C$299-F37</f>
        <v>2.1655251805693</v>
      </c>
      <c r="G38" s="79" t="n">
        <f aca="false">輸入與假設!$C$299-G37</f>
        <v>2.2999475560493</v>
      </c>
      <c r="I38" s="6" t="s">
        <v>1654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1655</v>
      </c>
    </row>
    <row r="2" customFormat="false" ht="15" hidden="false" customHeight="false" outlineLevel="0" collapsed="false">
      <c r="A2" s="6" t="s">
        <v>1656</v>
      </c>
    </row>
    <row r="4" customFormat="false" ht="15" hidden="false" customHeight="false" outlineLevel="0" collapsed="false">
      <c r="A4" s="2" t="s">
        <v>1657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1658</v>
      </c>
      <c r="D5" s="15" t="s">
        <v>1659</v>
      </c>
      <c r="E5" s="15" t="s">
        <v>1660</v>
      </c>
      <c r="F5" s="15" t="s">
        <v>1661</v>
      </c>
      <c r="G5" s="15" t="s">
        <v>1662</v>
      </c>
      <c r="H5" s="14" t="s">
        <v>1663</v>
      </c>
    </row>
    <row r="6" customFormat="false" ht="15" hidden="false" customHeight="false" outlineLevel="0" collapsed="false">
      <c r="A6" s="3" t="s">
        <v>1664</v>
      </c>
      <c r="B6" s="11" t="s">
        <v>65</v>
      </c>
      <c r="C6" s="24" t="n">
        <v>6.082</v>
      </c>
      <c r="D6" s="24" t="n">
        <v>4.334</v>
      </c>
      <c r="E6" s="24" t="n">
        <v>3.146</v>
      </c>
      <c r="F6" s="24" t="n">
        <v>2.612</v>
      </c>
      <c r="G6" s="24" t="n">
        <v>2.316</v>
      </c>
      <c r="H6" s="24" t="n">
        <v>6.216</v>
      </c>
    </row>
    <row r="7" customFormat="false" ht="15" hidden="false" customHeight="false" outlineLevel="0" collapsed="false">
      <c r="A7" s="3" t="s">
        <v>1665</v>
      </c>
      <c r="B7" s="11" t="s">
        <v>65</v>
      </c>
      <c r="C7" s="24" t="n">
        <v>7.121</v>
      </c>
      <c r="D7" s="24" t="n">
        <v>7.294</v>
      </c>
      <c r="E7" s="24" t="n">
        <v>6.668</v>
      </c>
      <c r="F7" s="24" t="n">
        <v>6.57</v>
      </c>
      <c r="G7" s="24" t="n">
        <v>6.543</v>
      </c>
      <c r="H7" s="24" t="n">
        <v>55.49</v>
      </c>
    </row>
    <row r="8" customFormat="false" ht="15" hidden="false" customHeight="false" outlineLevel="0" collapsed="false">
      <c r="A8" s="2" t="s">
        <v>1666</v>
      </c>
      <c r="C8" s="58" t="n">
        <f aca="false">SUM(C6:C7)</f>
        <v>13.203</v>
      </c>
      <c r="D8" s="58" t="n">
        <f aca="false">SUM(D6:D7)</f>
        <v>11.628</v>
      </c>
      <c r="E8" s="58" t="n">
        <f aca="false">SUM(E6:E7)</f>
        <v>9.814</v>
      </c>
      <c r="F8" s="58" t="n">
        <f aca="false">SUM(F6:F7)</f>
        <v>9.182</v>
      </c>
      <c r="G8" s="58" t="n">
        <f aca="false">SUM(G6:G7)</f>
        <v>8.859</v>
      </c>
      <c r="H8" s="58" t="n">
        <f aca="false">SUM(H6:H7)</f>
        <v>61.706</v>
      </c>
      <c r="I8" s="6" t="s">
        <v>1667</v>
      </c>
    </row>
    <row r="10" customFormat="false" ht="15" hidden="false" customHeight="false" outlineLevel="0" collapsed="false">
      <c r="A10" s="2" t="s">
        <v>1668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1658</v>
      </c>
      <c r="D11" s="15" t="s">
        <v>1659</v>
      </c>
      <c r="E11" s="15" t="s">
        <v>1660</v>
      </c>
      <c r="F11" s="15" t="s">
        <v>1661</v>
      </c>
      <c r="G11" s="15" t="s">
        <v>1662</v>
      </c>
      <c r="H11" s="14" t="s">
        <v>1663</v>
      </c>
    </row>
    <row r="12" customFormat="false" ht="15" hidden="false" customHeight="false" outlineLevel="0" collapsed="false">
      <c r="A12" s="3" t="s">
        <v>1669</v>
      </c>
      <c r="B12" s="11" t="s">
        <v>65</v>
      </c>
      <c r="C12" s="24" t="n">
        <v>9.25</v>
      </c>
      <c r="D12" s="24" t="n">
        <v>0</v>
      </c>
      <c r="E12" s="24" t="n">
        <v>2.001</v>
      </c>
      <c r="F12" s="24" t="n">
        <v>0</v>
      </c>
      <c r="G12" s="24" t="n">
        <v>0.5</v>
      </c>
      <c r="H12" s="24" t="n">
        <v>34.385</v>
      </c>
      <c r="I12" s="6" t="s">
        <v>1670</v>
      </c>
    </row>
    <row r="13" customFormat="false" ht="15" hidden="false" customHeight="false" outlineLevel="0" collapsed="false">
      <c r="A13" s="2" t="s">
        <v>1585</v>
      </c>
      <c r="C13" s="58" t="n">
        <f aca="false">SUM(C12:H12)</f>
        <v>46.136</v>
      </c>
    </row>
    <row r="15" customFormat="false" ht="15" hidden="false" customHeight="false" outlineLevel="0" collapsed="false">
      <c r="A15" s="2" t="s">
        <v>1671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1672</v>
      </c>
      <c r="D16" s="14" t="s">
        <v>1478</v>
      </c>
      <c r="E16" s="14" t="s">
        <v>1673</v>
      </c>
      <c r="F16" s="14" t="s">
        <v>1674</v>
      </c>
    </row>
    <row r="17" customFormat="false" ht="15" hidden="false" customHeight="false" outlineLevel="0" collapsed="false">
      <c r="A17" s="3" t="s">
        <v>1675</v>
      </c>
      <c r="B17" s="11" t="s">
        <v>65</v>
      </c>
      <c r="C17" s="81" t="n">
        <v>329.1</v>
      </c>
      <c r="D17" s="6" t="s">
        <v>1676</v>
      </c>
      <c r="E17" s="6" t="s">
        <v>1677</v>
      </c>
      <c r="F17" s="6" t="s">
        <v>1678</v>
      </c>
    </row>
    <row r="18" customFormat="false" ht="15" hidden="false" customHeight="false" outlineLevel="0" collapsed="false">
      <c r="A18" s="3" t="s">
        <v>1679</v>
      </c>
      <c r="B18" s="11" t="s">
        <v>65</v>
      </c>
      <c r="C18" s="81" t="n">
        <v>0</v>
      </c>
      <c r="D18" s="6" t="s">
        <v>1680</v>
      </c>
      <c r="E18" s="6" t="s">
        <v>1677</v>
      </c>
      <c r="F18" s="6" t="s">
        <v>1678</v>
      </c>
    </row>
    <row r="19" customFormat="false" ht="15" hidden="false" customHeight="false" outlineLevel="0" collapsed="false">
      <c r="A19" s="3" t="s">
        <v>622</v>
      </c>
      <c r="B19" s="11" t="s">
        <v>65</v>
      </c>
      <c r="C19" s="81" t="n">
        <v>0</v>
      </c>
      <c r="D19" s="11" t="s">
        <v>1681</v>
      </c>
      <c r="E19" s="6" t="s">
        <v>1682</v>
      </c>
      <c r="F19" s="6" t="s">
        <v>1683</v>
      </c>
    </row>
    <row r="20" customFormat="false" ht="15" hidden="false" customHeight="false" outlineLevel="0" collapsed="false">
      <c r="A20" s="2" t="s">
        <v>1684</v>
      </c>
      <c r="C20" s="58" t="n">
        <f aca="false">C17+C18</f>
        <v>329.1</v>
      </c>
    </row>
    <row r="21" customFormat="false" ht="15" hidden="false" customHeight="false" outlineLevel="0" collapsed="false">
      <c r="A21" s="3" t="s">
        <v>1685</v>
      </c>
      <c r="C21" s="82" t="n">
        <f aca="false">SUM(各期收支!C15:G15)</f>
        <v>68.5625</v>
      </c>
    </row>
    <row r="22" customFormat="false" ht="15" hidden="false" customHeight="false" outlineLevel="0" collapsed="false">
      <c r="A22" s="3" t="s">
        <v>1686</v>
      </c>
      <c r="C22" s="57" t="n">
        <f aca="false">MAX(0,輸入與假設!$C$19-C21)</f>
        <v>260.5375</v>
      </c>
    </row>
    <row r="23" customFormat="false" ht="15" hidden="false" customHeight="false" outlineLevel="0" collapsed="false">
      <c r="A23" s="2" t="s">
        <v>1687</v>
      </c>
      <c r="C23" s="83" t="n">
        <f aca="false">(C21+C22)/C20</f>
        <v>1</v>
      </c>
      <c r="I23" s="6" t="s">
        <v>1688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1689</v>
      </c>
    </row>
    <row r="2" customFormat="false" ht="15" hidden="false" customHeight="false" outlineLevel="0" collapsed="false">
      <c r="A2" s="6" t="s">
        <v>1690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1027</v>
      </c>
    </row>
    <row r="5" customFormat="false" ht="15" hidden="false" customHeight="false" outlineLevel="0" collapsed="false">
      <c r="A5" s="52" t="s">
        <v>1691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1692</v>
      </c>
      <c r="B6" s="11" t="s">
        <v>65</v>
      </c>
      <c r="C6" s="39" t="n">
        <f aca="false">運營_產能與收入!C26</f>
        <v>53.7509665923748</v>
      </c>
      <c r="D6" s="39" t="n">
        <f aca="false">運營_產能與收入!D26</f>
        <v>84.7303658545521</v>
      </c>
      <c r="E6" s="39" t="n">
        <f aca="false">運營_產能與收入!E26</f>
        <v>115.933997092727</v>
      </c>
      <c r="F6" s="39" t="n">
        <f aca="false">運營_產能與收入!F26</f>
        <v>147.230764751825</v>
      </c>
      <c r="G6" s="39" t="n">
        <f aca="false">運營_產能與收入!G26</f>
        <v>178.573737994788</v>
      </c>
      <c r="I6" s="6" t="s">
        <v>1693</v>
      </c>
    </row>
    <row r="7" customFormat="false" ht="15" hidden="false" customHeight="false" outlineLevel="1" collapsed="false">
      <c r="A7" s="3" t="s">
        <v>1694</v>
      </c>
      <c r="B7" s="11" t="s">
        <v>65</v>
      </c>
      <c r="C7" s="39" t="n">
        <f aca="false">輸入與假設!C$43</f>
        <v>0</v>
      </c>
      <c r="D7" s="39" t="n">
        <f aca="false">輸入與假設!D$43</f>
        <v>0</v>
      </c>
      <c r="E7" s="39" t="n">
        <f aca="false">輸入與假設!E$43</f>
        <v>0</v>
      </c>
      <c r="F7" s="39" t="n">
        <f aca="false">輸入與假設!F$43</f>
        <v>0</v>
      </c>
      <c r="G7" s="39" t="n">
        <f aca="false">輸入與假設!G$43</f>
        <v>0</v>
      </c>
    </row>
    <row r="8" customFormat="false" ht="15" hidden="false" customHeight="false" outlineLevel="1" collapsed="false">
      <c r="A8" s="3" t="s">
        <v>1695</v>
      </c>
      <c r="B8" s="11" t="s">
        <v>65</v>
      </c>
      <c r="C8" s="39" t="n">
        <f aca="false">輸入與假設!C$204</f>
        <v>343.694621261625</v>
      </c>
      <c r="D8" s="39" t="n">
        <f aca="false">輸入與假設!D$204</f>
        <v>386.693966028883</v>
      </c>
      <c r="E8" s="39" t="n">
        <f aca="false">輸入與假設!E$204</f>
        <v>429.60371349969</v>
      </c>
      <c r="F8" s="39" t="n">
        <f aca="false">輸入與假設!F$204</f>
        <v>470.090003510524</v>
      </c>
      <c r="G8" s="39" t="n">
        <f aca="false">輸入與假設!G$204</f>
        <v>505.721307253886</v>
      </c>
      <c r="I8" s="6" t="s">
        <v>1696</v>
      </c>
    </row>
    <row r="9" customFormat="false" ht="15" hidden="false" customHeight="false" outlineLevel="1" collapsed="false">
      <c r="A9" s="2" t="s">
        <v>1697</v>
      </c>
      <c r="B9" s="11" t="s">
        <v>65</v>
      </c>
      <c r="C9" s="42" t="n">
        <f aca="false">C6+C7+C8</f>
        <v>397.445587854</v>
      </c>
      <c r="D9" s="42" t="n">
        <f aca="false">D6+D7+D8</f>
        <v>471.424331883435</v>
      </c>
      <c r="E9" s="42" t="n">
        <f aca="false">E6+E7+E8</f>
        <v>545.537710592417</v>
      </c>
      <c r="F9" s="42" t="n">
        <f aca="false">F6+F7+F8</f>
        <v>617.320768262349</v>
      </c>
      <c r="G9" s="42" t="n">
        <f aca="false">G6+G7+G8</f>
        <v>684.295045248675</v>
      </c>
    </row>
    <row r="10" customFormat="false" ht="15" hidden="false" customHeight="false" outlineLevel="1" collapsed="false">
      <c r="A10" s="4" t="s">
        <v>483</v>
      </c>
      <c r="B10" s="11" t="s">
        <v>42</v>
      </c>
      <c r="C10" s="53" t="n">
        <f aca="false">輸入與假設!C$214</f>
        <v>0.797878310782901</v>
      </c>
      <c r="D10" s="53" t="n">
        <f aca="false">輸入與假設!D$214</f>
        <v>0.800296436214699</v>
      </c>
      <c r="E10" s="53" t="n">
        <f aca="false">輸入與假設!E$214</f>
        <v>0.80156246567614</v>
      </c>
      <c r="F10" s="53" t="n">
        <f aca="false">輸入與假設!F$214</f>
        <v>0.802337649659042</v>
      </c>
      <c r="G10" s="53" t="n">
        <f aca="false">輸入與假設!G$214</f>
        <v>0.802861091937598</v>
      </c>
    </row>
    <row r="11" customFormat="false" ht="15" hidden="false" customHeight="false" outlineLevel="1" collapsed="false">
      <c r="A11" s="3" t="s">
        <v>1698</v>
      </c>
      <c r="B11" s="11" t="s">
        <v>65</v>
      </c>
      <c r="C11" s="39" t="n">
        <f aca="false">運營_產能與收入!C62</f>
        <v>0</v>
      </c>
      <c r="D11" s="39" t="n">
        <f aca="false">運營_產能與收入!D62</f>
        <v>0</v>
      </c>
      <c r="E11" s="39" t="n">
        <f aca="false">運營_產能與收入!E62</f>
        <v>0</v>
      </c>
      <c r="F11" s="39" t="n">
        <f aca="false">運營_產能與收入!F62</f>
        <v>0</v>
      </c>
      <c r="G11" s="39" t="n">
        <f aca="false">運營_產能與收入!G62</f>
        <v>0</v>
      </c>
      <c r="I11" s="6" t="s">
        <v>1086</v>
      </c>
    </row>
    <row r="12" customFormat="false" ht="15" hidden="false" customHeight="false" outlineLevel="1" collapsed="false">
      <c r="A12" s="3" t="s">
        <v>1699</v>
      </c>
      <c r="B12" s="11" t="s">
        <v>65</v>
      </c>
      <c r="C12" s="66" t="n">
        <f aca="false">(C6+C7)*輸入與假設!C$214+輸入與假設!C$56+輸入與假設!C$205-輸入與假設!C$206-C11-輸入與假設!C$288</f>
        <v>179.686801552263</v>
      </c>
      <c r="D12" s="66" t="n">
        <f aca="false">(D6+D7)*輸入與假設!D$214+輸入與假設!D$56+輸入與假設!D$205-輸入與假設!D$206-D11-輸入與假設!D$288</f>
        <v>200.010944985628</v>
      </c>
      <c r="E12" s="66" t="n">
        <f aca="false">(E6+E7)*輸入與假設!E$214+輸入與假設!E$56+輸入與假設!E$205-輸入與假設!E$206-E11-輸入與假設!E$288</f>
        <v>220.364344442523</v>
      </c>
      <c r="F12" s="66" t="n">
        <f aca="false">(F6+F7)*輸入與假設!F$214+輸入與假設!F$56+輸入與假設!F$205-輸入與假設!F$206-F11-輸入與假設!F$288</f>
        <v>238.819763269521</v>
      </c>
      <c r="G12" s="66" t="n">
        <f aca="false">(G6+G7)*輸入與假設!G$214+輸入與假設!G$56+輸入與假設!G$205-輸入與假設!G$206-G11-輸入與假設!G$288</f>
        <v>254.037431749258</v>
      </c>
      <c r="I12" s="6" t="s">
        <v>1700</v>
      </c>
    </row>
    <row r="13" customFormat="false" ht="15" hidden="false" customHeight="false" outlineLevel="1" collapsed="false">
      <c r="A13" s="3" t="s">
        <v>1701</v>
      </c>
      <c r="B13" s="11" t="s">
        <v>65</v>
      </c>
      <c r="C13" s="39" t="n">
        <f aca="false">各期收支!C21</f>
        <v>2.29779031118219</v>
      </c>
      <c r="D13" s="39" t="n">
        <f aca="false">各期收支!D21</f>
        <v>2.15289265804798</v>
      </c>
      <c r="E13" s="39" t="n">
        <f aca="false">各期收支!E21</f>
        <v>2.12154777113754</v>
      </c>
      <c r="F13" s="39" t="n">
        <f aca="false">各期收支!F21</f>
        <v>2.0902028842271</v>
      </c>
      <c r="G13" s="39" t="n">
        <f aca="false">各期收支!G21</f>
        <v>2.08237057865228</v>
      </c>
    </row>
    <row r="14" customFormat="false" ht="15" hidden="false" customHeight="false" outlineLevel="1" collapsed="false">
      <c r="A14" s="3" t="s">
        <v>1702</v>
      </c>
      <c r="B14" s="11" t="s">
        <v>65</v>
      </c>
      <c r="C14" s="39" t="n">
        <f aca="false">各期收支!C10</f>
        <v>0</v>
      </c>
      <c r="D14" s="39" t="n">
        <f aca="false">各期收支!D10</f>
        <v>0</v>
      </c>
      <c r="E14" s="39" t="n">
        <f aca="false">各期收支!E10</f>
        <v>0</v>
      </c>
      <c r="F14" s="39" t="n">
        <f aca="false">各期收支!F10</f>
        <v>0</v>
      </c>
      <c r="G14" s="39" t="n">
        <f aca="false">各期收支!G10</f>
        <v>0</v>
      </c>
      <c r="I14" s="6" t="s">
        <v>1703</v>
      </c>
    </row>
    <row r="15" customFormat="false" ht="15" hidden="false" customHeight="false" outlineLevel="1" collapsed="false">
      <c r="A15" s="3" t="s">
        <v>1704</v>
      </c>
      <c r="B15" s="11" t="s">
        <v>65</v>
      </c>
      <c r="C15" s="66" t="n">
        <f aca="false">C12-C13-C14</f>
        <v>177.38901124108</v>
      </c>
      <c r="D15" s="66" t="n">
        <f aca="false">D12-D13-D14</f>
        <v>197.85805232758</v>
      </c>
      <c r="E15" s="66" t="n">
        <f aca="false">E12-E13-E14</f>
        <v>218.242796671386</v>
      </c>
      <c r="F15" s="66" t="n">
        <f aca="false">F12-F13-F14</f>
        <v>236.729560385294</v>
      </c>
      <c r="G15" s="66" t="n">
        <f aca="false">G12-G13-G14</f>
        <v>251.955061170606</v>
      </c>
    </row>
    <row r="16" customFormat="false" ht="15" hidden="false" customHeight="false" outlineLevel="1" collapsed="false">
      <c r="A16" s="4" t="s">
        <v>1705</v>
      </c>
      <c r="B16" s="11" t="s">
        <v>65</v>
      </c>
      <c r="C16" s="66" t="n">
        <f aca="false">輸入與假設!$C$352</f>
        <v>0</v>
      </c>
      <c r="D16" s="66" t="n">
        <f aca="false">C18</f>
        <v>0</v>
      </c>
      <c r="E16" s="66" t="n">
        <f aca="false">D18</f>
        <v>0</v>
      </c>
      <c r="F16" s="66" t="n">
        <f aca="false">E18</f>
        <v>0</v>
      </c>
      <c r="G16" s="66" t="n">
        <f aca="false">F18</f>
        <v>0</v>
      </c>
      <c r="I16" s="11" t="s">
        <v>1706</v>
      </c>
    </row>
    <row r="17" customFormat="false" ht="15" hidden="false" customHeight="false" outlineLevel="1" collapsed="false">
      <c r="A17" s="3" t="s">
        <v>1707</v>
      </c>
      <c r="B17" s="11" t="s">
        <v>65</v>
      </c>
      <c r="C17" s="66" t="n">
        <f aca="false">MIN(C16,MAX(0,C15)*輸入與假設!$C$353)</f>
        <v>0</v>
      </c>
      <c r="D17" s="66" t="n">
        <f aca="false">MIN(D16,MAX(0,D15)*輸入與假設!$C$353)</f>
        <v>0</v>
      </c>
      <c r="E17" s="66" t="n">
        <f aca="false">MIN(E16,MAX(0,E15)*輸入與假設!$C$353)</f>
        <v>0</v>
      </c>
      <c r="F17" s="66" t="n">
        <f aca="false">MIN(F16,MAX(0,F15)*輸入與假設!$C$353)</f>
        <v>0</v>
      </c>
      <c r="G17" s="66" t="n">
        <f aca="false">MIN(G16,MAX(0,G15)*輸入與假設!$C$353)</f>
        <v>0</v>
      </c>
      <c r="I17" s="6" t="s">
        <v>1708</v>
      </c>
    </row>
    <row r="18" customFormat="false" ht="15" hidden="false" customHeight="false" outlineLevel="1" collapsed="false">
      <c r="A18" s="4" t="s">
        <v>1709</v>
      </c>
      <c r="B18" s="11" t="s">
        <v>65</v>
      </c>
      <c r="C18" s="66" t="n">
        <f aca="false">C16-C17+MAX(0,-C15)</f>
        <v>0</v>
      </c>
      <c r="D18" s="66" t="n">
        <f aca="false">D16-D17+MAX(0,-D15)</f>
        <v>0</v>
      </c>
      <c r="E18" s="66" t="n">
        <f aca="false">E16-E17+MAX(0,-E15)</f>
        <v>0</v>
      </c>
      <c r="F18" s="66" t="n">
        <f aca="false">F16-F17+MAX(0,-F15)</f>
        <v>0</v>
      </c>
      <c r="G18" s="66" t="n">
        <f aca="false">G16-G17+MAX(0,-G15)</f>
        <v>0</v>
      </c>
    </row>
    <row r="19" customFormat="false" ht="15" hidden="false" customHeight="false" outlineLevel="1" collapsed="false">
      <c r="A19" s="3" t="s">
        <v>1710</v>
      </c>
      <c r="B19" s="11" t="s">
        <v>65</v>
      </c>
      <c r="C19" s="66" t="n">
        <f aca="false">MAX(0,C15-C17)*輸入與假設!$C$339</f>
        <v>35.4778022482161</v>
      </c>
      <c r="D19" s="66" t="n">
        <f aca="false">MAX(0,D15-D17)*輸入與假設!$C$339</f>
        <v>39.571610465516</v>
      </c>
      <c r="E19" s="66" t="n">
        <f aca="false">MAX(0,E15-E17)*輸入與假設!$C$339</f>
        <v>43.6485593342772</v>
      </c>
      <c r="F19" s="66" t="n">
        <f aca="false">MAX(0,F15-F17)*輸入與假設!$C$339</f>
        <v>47.3459120770588</v>
      </c>
      <c r="G19" s="66" t="n">
        <f aca="false">MAX(0,G15-G17)*輸入與假設!$C$339</f>
        <v>50.3910122341212</v>
      </c>
      <c r="I19" s="6" t="s">
        <v>1711</v>
      </c>
    </row>
    <row r="20" customFormat="false" ht="15" hidden="false" customHeight="false" outlineLevel="1" collapsed="false">
      <c r="A20" s="2" t="s">
        <v>1712</v>
      </c>
      <c r="B20" s="11" t="s">
        <v>65</v>
      </c>
      <c r="C20" s="42" t="n">
        <f aca="false">C15-C19</f>
        <v>141.911208992864</v>
      </c>
      <c r="D20" s="42" t="n">
        <f aca="false">D15-D19</f>
        <v>158.286441862064</v>
      </c>
      <c r="E20" s="42" t="n">
        <f aca="false">E15-E19</f>
        <v>174.594237337109</v>
      </c>
      <c r="F20" s="42" t="n">
        <f aca="false">F15-F19</f>
        <v>189.383648308235</v>
      </c>
      <c r="G20" s="42" t="n">
        <f aca="false">G15-G19</f>
        <v>201.564048936485</v>
      </c>
    </row>
    <row r="21" customFormat="false" ht="15" hidden="false" customHeight="false" outlineLevel="1" collapsed="false">
      <c r="A21" s="4" t="s">
        <v>893</v>
      </c>
      <c r="B21" s="11" t="s">
        <v>65</v>
      </c>
      <c r="C21" s="39" t="n">
        <f aca="false">輸入與假設!C$288+輸入與假設!C$206</f>
        <v>53.1804817336299</v>
      </c>
      <c r="D21" s="39" t="n">
        <f aca="false">輸入與假設!D$288+輸入與假設!D$206</f>
        <v>82.2830675267077</v>
      </c>
      <c r="E21" s="39" t="n">
        <f aca="false">輸入與假設!E$288+輸入與假設!E$206</f>
        <v>112.426668438838</v>
      </c>
      <c r="F21" s="39" t="n">
        <f aca="false">輸入與假設!F$288+輸入與假設!F$206</f>
        <v>143.121219256895</v>
      </c>
      <c r="G21" s="39" t="n">
        <f aca="false">輸入與假設!G$288+輸入與假設!G$206</f>
        <v>174.292775029537</v>
      </c>
      <c r="I21" s="6" t="s">
        <v>1713</v>
      </c>
    </row>
    <row r="22" customFormat="false" ht="15" hidden="false" customHeight="false" outlineLevel="1" collapsed="false">
      <c r="A22" s="84" t="s">
        <v>1714</v>
      </c>
      <c r="B22" s="11" t="s">
        <v>65</v>
      </c>
      <c r="C22" s="42" t="n">
        <f aca="false">C12+C21</f>
        <v>232.867283285892</v>
      </c>
      <c r="D22" s="42" t="n">
        <f aca="false">D12+D21</f>
        <v>282.294012512336</v>
      </c>
      <c r="E22" s="42" t="n">
        <f aca="false">E12+E21</f>
        <v>332.791012881362</v>
      </c>
      <c r="F22" s="42" t="n">
        <f aca="false">F12+F21</f>
        <v>381.940982526416</v>
      </c>
      <c r="G22" s="42" t="n">
        <f aca="false">G12+G21</f>
        <v>428.330206778796</v>
      </c>
    </row>
    <row r="23" customFormat="false" ht="15" hidden="false" customHeight="false" outlineLevel="1" collapsed="false">
      <c r="A23" s="3" t="s">
        <v>1715</v>
      </c>
      <c r="B23" s="11" t="s">
        <v>642</v>
      </c>
      <c r="C23" s="30" t="n">
        <f aca="false">評價_DCF與目標價!$C$90</f>
        <v>7.453</v>
      </c>
      <c r="D23" s="30" t="n">
        <f aca="false">C23*(1+輸入與假設!$C$398)</f>
        <v>7.52753</v>
      </c>
      <c r="E23" s="30" t="n">
        <f aca="false">D23*(1+輸入與假設!$C$398)</f>
        <v>7.6028053</v>
      </c>
      <c r="F23" s="30" t="n">
        <f aca="false">E23*(1+輸入與假設!$C$398)</f>
        <v>7.678833353</v>
      </c>
      <c r="G23" s="30" t="n">
        <f aca="false">F23*(1+輸入與假設!$C$398)</f>
        <v>7.75562168653</v>
      </c>
      <c r="I23" s="11" t="s">
        <v>1716</v>
      </c>
    </row>
    <row r="24" customFormat="false" ht="15" hidden="false" customHeight="false" outlineLevel="1" collapsed="false">
      <c r="A24" s="3" t="s">
        <v>1717</v>
      </c>
      <c r="B24" s="11" t="s">
        <v>642</v>
      </c>
      <c r="C24" s="30" t="n">
        <f aca="false">C23+各期收支!C97</f>
        <v>7.453</v>
      </c>
      <c r="D24" s="30" t="n">
        <f aca="false">D23+各期收支!D97</f>
        <v>7.52598076996499</v>
      </c>
      <c r="E24" s="30" t="n">
        <f aca="false">E23+各期收支!E97</f>
        <v>7.55921627836124</v>
      </c>
      <c r="F24" s="30" t="n">
        <f aca="false">F23+各期收支!F97</f>
        <v>7.5932045397575</v>
      </c>
      <c r="G24" s="30" t="n">
        <f aca="false">G23+各期收支!G97</f>
        <v>7.65199255430104</v>
      </c>
      <c r="I24" s="6" t="s">
        <v>1718</v>
      </c>
    </row>
    <row r="25" customFormat="false" ht="15" hidden="false" customHeight="false" outlineLevel="1" collapsed="false">
      <c r="A25" s="3" t="s">
        <v>1719</v>
      </c>
      <c r="B25" s="11" t="s">
        <v>39</v>
      </c>
      <c r="C25" s="55" t="n">
        <f aca="false">C20/C24</f>
        <v>19.040816985491</v>
      </c>
      <c r="D25" s="55" t="n">
        <f aca="false">D20/D24</f>
        <v>21.0320019011689</v>
      </c>
      <c r="E25" s="55" t="n">
        <f aca="false">E20/E24</f>
        <v>23.0968702187946</v>
      </c>
      <c r="F25" s="55" t="n">
        <f aca="false">F20/F24</f>
        <v>24.9412020072205</v>
      </c>
      <c r="G25" s="55" t="n">
        <f aca="false">G20/G24</f>
        <v>26.3413806934757</v>
      </c>
      <c r="I25" s="11" t="s">
        <v>1720</v>
      </c>
    </row>
    <row r="27" customFormat="false" ht="15" hidden="false" customHeight="false" outlineLevel="0" collapsed="false">
      <c r="A27" s="52" t="s">
        <v>1721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3" t="s">
        <v>1722</v>
      </c>
      <c r="B28" s="11" t="s">
        <v>65</v>
      </c>
      <c r="C28" s="39" t="n">
        <f aca="false">輸入與假設!$C$439</f>
        <v>0</v>
      </c>
      <c r="D28" s="39" t="n">
        <f aca="false">0</f>
        <v>0</v>
      </c>
      <c r="E28" s="39" t="n">
        <f aca="false">0</f>
        <v>0</v>
      </c>
      <c r="F28" s="39" t="n">
        <f aca="false">0</f>
        <v>0</v>
      </c>
      <c r="G28" s="39" t="n">
        <f aca="false">0</f>
        <v>0</v>
      </c>
    </row>
    <row r="29" customFormat="false" ht="15" hidden="false" customHeight="false" outlineLevel="1" collapsed="false">
      <c r="A29" s="2" t="s">
        <v>1723</v>
      </c>
      <c r="B29" s="11" t="s">
        <v>65</v>
      </c>
      <c r="C29" s="42" t="n">
        <f aca="false">C28+C9</f>
        <v>397.445587854</v>
      </c>
      <c r="D29" s="42" t="n">
        <f aca="false">D28+D9</f>
        <v>471.424331883435</v>
      </c>
      <c r="E29" s="42" t="n">
        <f aca="false">E28+E9</f>
        <v>545.537710592417</v>
      </c>
      <c r="F29" s="42" t="n">
        <f aca="false">F28+F9</f>
        <v>617.320768262349</v>
      </c>
      <c r="G29" s="42" t="n">
        <f aca="false">G28+G9</f>
        <v>684.295045248675</v>
      </c>
      <c r="I29" s="11" t="s">
        <v>1724</v>
      </c>
    </row>
    <row r="30" customFormat="false" ht="15" hidden="false" customHeight="false" outlineLevel="1" collapsed="false">
      <c r="A30" s="3" t="s">
        <v>1725</v>
      </c>
      <c r="B30" s="11" t="s">
        <v>42</v>
      </c>
      <c r="C30" s="67" t="n">
        <f aca="false">C29/331.839-1</f>
        <v>0.197706079918274</v>
      </c>
      <c r="D30" s="67" t="n">
        <f aca="false">D29/C29-1</f>
        <v>0.186135527202307</v>
      </c>
      <c r="E30" s="67" t="n">
        <f aca="false">E29/D29-1</f>
        <v>0.157211611061492</v>
      </c>
      <c r="F30" s="67" t="n">
        <f aca="false">F29/E29-1</f>
        <v>0.131582210131689</v>
      </c>
      <c r="G30" s="67" t="n">
        <f aca="false">G29/F29-1</f>
        <v>0.108491857766015</v>
      </c>
      <c r="I30" s="11" t="s">
        <v>1726</v>
      </c>
    </row>
    <row r="31" customFormat="false" ht="15" hidden="false" customHeight="false" outlineLevel="1" collapsed="false">
      <c r="A31" s="3" t="s">
        <v>1727</v>
      </c>
      <c r="B31" s="11" t="s">
        <v>65</v>
      </c>
      <c r="C31" s="66" t="n">
        <f aca="false">輸入與假設!$C$440+C12</f>
        <v>179.686801552263</v>
      </c>
      <c r="D31" s="66" t="n">
        <f aca="false">D12</f>
        <v>200.010944985628</v>
      </c>
      <c r="E31" s="66" t="n">
        <f aca="false">E12</f>
        <v>220.364344442523</v>
      </c>
      <c r="F31" s="66" t="n">
        <f aca="false">F12</f>
        <v>238.819763269521</v>
      </c>
      <c r="G31" s="66" t="n">
        <f aca="false">G12</f>
        <v>254.037431749258</v>
      </c>
    </row>
    <row r="32" customFormat="false" ht="15" hidden="false" customHeight="false" outlineLevel="1" collapsed="false">
      <c r="A32" s="3" t="s">
        <v>1728</v>
      </c>
      <c r="B32" s="11" t="s">
        <v>42</v>
      </c>
      <c r="C32" s="67" t="n">
        <f aca="false">C31/C29</f>
        <v>0.452104154740975</v>
      </c>
      <c r="D32" s="67" t="n">
        <f aca="false">D31/D29</f>
        <v>0.42426945632302</v>
      </c>
      <c r="E32" s="67" t="n">
        <f aca="false">E31/E29</f>
        <v>0.403939709691604</v>
      </c>
      <c r="F32" s="67" t="n">
        <f aca="false">F31/F29</f>
        <v>0.3868649420977</v>
      </c>
      <c r="G32" s="67" t="n">
        <f aca="false">G31/G29</f>
        <v>0.371239618806447</v>
      </c>
    </row>
    <row r="33" customFormat="false" ht="15" hidden="false" customHeight="false" outlineLevel="1" collapsed="false">
      <c r="A33" s="3" t="s">
        <v>1729</v>
      </c>
      <c r="B33" s="11" t="s">
        <v>65</v>
      </c>
      <c r="C33" s="66" t="n">
        <f aca="false">輸入與假設!$C$443+C21</f>
        <v>53.1804817336299</v>
      </c>
      <c r="D33" s="66" t="n">
        <f aca="false">D21</f>
        <v>82.2830675267077</v>
      </c>
      <c r="E33" s="66" t="n">
        <f aca="false">E21</f>
        <v>112.426668438838</v>
      </c>
      <c r="F33" s="66" t="n">
        <f aca="false">F21</f>
        <v>143.121219256895</v>
      </c>
      <c r="G33" s="66" t="n">
        <f aca="false">G21</f>
        <v>174.292775029537</v>
      </c>
      <c r="I33" s="6" t="s">
        <v>1730</v>
      </c>
    </row>
    <row r="34" customFormat="false" ht="15" hidden="false" customHeight="false" outlineLevel="1" collapsed="false">
      <c r="A34" s="2" t="s">
        <v>1731</v>
      </c>
      <c r="B34" s="11" t="s">
        <v>65</v>
      </c>
      <c r="C34" s="42" t="n">
        <f aca="false">C31+C33</f>
        <v>232.867283285892</v>
      </c>
      <c r="D34" s="42" t="n">
        <f aca="false">D31+D33</f>
        <v>282.294012512336</v>
      </c>
      <c r="E34" s="42" t="n">
        <f aca="false">E31+E33</f>
        <v>332.791012881362</v>
      </c>
      <c r="F34" s="42" t="n">
        <f aca="false">F31+F33</f>
        <v>381.940982526416</v>
      </c>
      <c r="G34" s="42" t="n">
        <f aca="false">G31+G33</f>
        <v>428.330206778796</v>
      </c>
    </row>
    <row r="35" customFormat="false" ht="15" hidden="false" customHeight="false" outlineLevel="1" collapsed="false">
      <c r="A35" s="3" t="s">
        <v>1732</v>
      </c>
      <c r="B35" s="11" t="s">
        <v>65</v>
      </c>
      <c r="C35" s="66" t="n">
        <f aca="false">輸入與假設!$C$437+C13</f>
        <v>2.29779031118219</v>
      </c>
      <c r="D35" s="66" t="n">
        <f aca="false">D13</f>
        <v>2.15289265804798</v>
      </c>
      <c r="E35" s="66" t="n">
        <f aca="false">E13</f>
        <v>2.12154777113754</v>
      </c>
      <c r="F35" s="66" t="n">
        <f aca="false">F13</f>
        <v>2.0902028842271</v>
      </c>
      <c r="G35" s="66" t="n">
        <f aca="false">G13</f>
        <v>2.08237057865228</v>
      </c>
      <c r="I35" s="11" t="s">
        <v>1733</v>
      </c>
    </row>
    <row r="36" customFormat="false" ht="15" hidden="false" customHeight="false" outlineLevel="1" collapsed="false">
      <c r="A36" s="2" t="s">
        <v>1734</v>
      </c>
      <c r="B36" s="11" t="s">
        <v>65</v>
      </c>
      <c r="C36" s="42" t="n">
        <f aca="false">輸入與假設!$C$441+C20</f>
        <v>141.911208992864</v>
      </c>
      <c r="D36" s="42" t="n">
        <f aca="false">D20</f>
        <v>158.286441862064</v>
      </c>
      <c r="E36" s="42" t="n">
        <f aca="false">E20</f>
        <v>174.594237337109</v>
      </c>
      <c r="F36" s="42" t="n">
        <f aca="false">F20</f>
        <v>189.383648308235</v>
      </c>
      <c r="G36" s="42" t="n">
        <f aca="false">G20</f>
        <v>201.564048936485</v>
      </c>
    </row>
    <row r="37" customFormat="false" ht="15" hidden="false" customHeight="false" outlineLevel="1" collapsed="false">
      <c r="A37" s="3" t="s">
        <v>1735</v>
      </c>
      <c r="B37" s="11" t="s">
        <v>42</v>
      </c>
      <c r="C37" s="67" t="n">
        <f aca="false">C36/C29</f>
        <v>0.357058207034355</v>
      </c>
      <c r="D37" s="67" t="n">
        <f aca="false">D36/D29</f>
        <v>0.335762138601709</v>
      </c>
      <c r="E37" s="67" t="n">
        <f aca="false">E36/E29</f>
        <v>0.320040638707654</v>
      </c>
      <c r="F37" s="67" t="n">
        <f aca="false">F36/F29</f>
        <v>0.306783212301957</v>
      </c>
      <c r="G37" s="67" t="n">
        <f aca="false">G36/G29</f>
        <v>0.294557224016193</v>
      </c>
    </row>
    <row r="38" customFormat="false" ht="15" hidden="false" customHeight="false" outlineLevel="1" collapsed="false">
      <c r="A38" s="2" t="s">
        <v>1736</v>
      </c>
      <c r="B38" s="11" t="s">
        <v>39</v>
      </c>
      <c r="C38" s="85" t="n">
        <f aca="false">輸入與假設!$C$445+C20/C24</f>
        <v>19.040816985491</v>
      </c>
      <c r="D38" s="85" t="n">
        <f aca="false">D20/D24</f>
        <v>21.0320019011689</v>
      </c>
      <c r="E38" s="85" t="n">
        <f aca="false">E20/E24</f>
        <v>23.0968702187946</v>
      </c>
      <c r="F38" s="85" t="n">
        <f aca="false">F20/F24</f>
        <v>24.9412020072205</v>
      </c>
      <c r="G38" s="85" t="n">
        <f aca="false">G20/G24</f>
        <v>26.3413806934757</v>
      </c>
      <c r="I38" s="11" t="s">
        <v>1737</v>
      </c>
    </row>
    <row r="39" customFormat="false" ht="15" hidden="false" customHeight="false" outlineLevel="1" collapsed="false">
      <c r="A39" s="3" t="s">
        <v>1738</v>
      </c>
      <c r="B39" s="11" t="s">
        <v>39</v>
      </c>
      <c r="C39" s="55" t="n">
        <f aca="false">輸入與假設!$C$446+(C20+輸入與假設!$C$399*輸入與假設!C$34)/C24</f>
        <v>20.70524741619</v>
      </c>
      <c r="D39" s="55" t="n">
        <f aca="false">(D20+輸入與假設!$C$399*輸入與假設!D$34)/D24</f>
        <v>22.6802920548597</v>
      </c>
      <c r="E39" s="55" t="n">
        <f aca="false">(E20+輸入與假設!$C$399*輸入與假設!E$34)/E24</f>
        <v>24.7379133564952</v>
      </c>
      <c r="F39" s="55" t="n">
        <f aca="false">(F20+輸入與假設!$C$399*輸入與假設!F$34)/F24</f>
        <v>26.5748996028862</v>
      </c>
      <c r="G39" s="55" t="n">
        <f aca="false">(G20+輸入與假設!$C$399*輸入與假設!G$34)/G24</f>
        <v>27.9625270696607</v>
      </c>
      <c r="I39" s="6" t="s">
        <v>1739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1740</v>
      </c>
    </row>
    <row r="2" customFormat="false" ht="15" hidden="false" customHeight="false" outlineLevel="0" collapsed="false">
      <c r="A2" s="6" t="s">
        <v>1741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1027</v>
      </c>
    </row>
    <row r="5" customFormat="false" ht="15" hidden="false" customHeight="false" outlineLevel="0" collapsed="false">
      <c r="A5" s="7" t="s">
        <v>1742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1743</v>
      </c>
      <c r="B6" s="11" t="s">
        <v>65</v>
      </c>
      <c r="C6" s="66" t="n">
        <f aca="false">輸入與假設!C$287-各期收支!C8</f>
        <v>204.201730580705</v>
      </c>
      <c r="D6" s="66" t="n">
        <f aca="false">輸入與假設!D$287-各期收支!D8</f>
        <v>216.207360041357</v>
      </c>
      <c r="E6" s="66" t="n">
        <f aca="false">輸入與假設!E$287-各期收支!E8</f>
        <v>221.965444269786</v>
      </c>
      <c r="F6" s="66" t="n">
        <f aca="false">輸入與假設!F$287-各期收支!F8</f>
        <v>267.230643536952</v>
      </c>
      <c r="G6" s="66" t="n">
        <f aca="false">輸入與假設!G$287-各期收支!G8</f>
        <v>374.661621600984</v>
      </c>
      <c r="I6" s="11" t="s">
        <v>1744</v>
      </c>
    </row>
    <row r="7" customFormat="false" ht="15" hidden="false" customHeight="false" outlineLevel="1" collapsed="false">
      <c r="A7" s="3" t="s">
        <v>1745</v>
      </c>
      <c r="B7" s="11" t="s">
        <v>65</v>
      </c>
      <c r="C7" s="66" t="n">
        <f aca="false">331.839</f>
        <v>331.839</v>
      </c>
      <c r="D7" s="66" t="n">
        <f aca="false">0+損益!C9</f>
        <v>397.445587854</v>
      </c>
      <c r="E7" s="66" t="n">
        <f aca="false">損益!D9</f>
        <v>471.424331883435</v>
      </c>
      <c r="F7" s="66" t="n">
        <f aca="false">損益!E9</f>
        <v>545.537710592417</v>
      </c>
      <c r="G7" s="66" t="n">
        <f aca="false">損益!F9</f>
        <v>617.320768262349</v>
      </c>
      <c r="I7" s="11" t="s">
        <v>1746</v>
      </c>
    </row>
    <row r="8" customFormat="false" ht="15" hidden="false" customHeight="false" outlineLevel="1" collapsed="false">
      <c r="A8" s="3" t="s">
        <v>1747</v>
      </c>
      <c r="B8" s="11" t="s">
        <v>65</v>
      </c>
      <c r="C8" s="39" t="n">
        <f aca="false">各期收支!C11</f>
        <v>0</v>
      </c>
      <c r="D8" s="39" t="n">
        <f aca="false">各期收支!D11</f>
        <v>0</v>
      </c>
      <c r="E8" s="39" t="n">
        <f aca="false">各期收支!E11</f>
        <v>0</v>
      </c>
      <c r="F8" s="39" t="n">
        <f aca="false">各期收支!F11</f>
        <v>0</v>
      </c>
      <c r="G8" s="39" t="n">
        <f aca="false">各期收支!G11</f>
        <v>0</v>
      </c>
      <c r="I8" s="6" t="s">
        <v>1748</v>
      </c>
    </row>
    <row r="9" customFormat="false" ht="15" hidden="false" customHeight="false" outlineLevel="1" collapsed="false">
      <c r="A9" s="3" t="s">
        <v>1749</v>
      </c>
      <c r="B9" s="11" t="s">
        <v>65</v>
      </c>
      <c r="C9" s="66" t="n">
        <f aca="false">IF(ISBLANK(輸入與假設!$C$58),輸入與假設!$C$354*MAX(0,損益!C9-C7),-輸入與假設!$C$58)</f>
        <v>4.895</v>
      </c>
      <c r="D9" s="66" t="n">
        <f aca="false">輸入與假設!$C$354*MAX(0,損益!D9-D7)</f>
        <v>0</v>
      </c>
      <c r="E9" s="66" t="n">
        <f aca="false">輸入與假設!$C$354*MAX(0,損益!E9-E7)</f>
        <v>0</v>
      </c>
      <c r="F9" s="66" t="n">
        <f aca="false">輸入與假設!$C$354*MAX(0,損益!F9-F7)</f>
        <v>0</v>
      </c>
      <c r="G9" s="66" t="n">
        <f aca="false">輸入與假設!$C$354*MAX(0,損益!G9-G7)</f>
        <v>0</v>
      </c>
      <c r="I9" s="11" t="s">
        <v>1750</v>
      </c>
    </row>
    <row r="10" customFormat="false" ht="15" hidden="false" customHeight="false" outlineLevel="1" collapsed="false">
      <c r="A10" s="3" t="s">
        <v>1751</v>
      </c>
      <c r="B10" s="11" t="s">
        <v>65</v>
      </c>
      <c r="C10" s="66" t="n">
        <f aca="false">輸入與假設!$C$352</f>
        <v>0</v>
      </c>
      <c r="D10" s="66" t="n">
        <f aca="false">C12</f>
        <v>0</v>
      </c>
      <c r="E10" s="66" t="n">
        <f aca="false">D12</f>
        <v>0</v>
      </c>
      <c r="F10" s="66" t="n">
        <f aca="false">E12</f>
        <v>0</v>
      </c>
      <c r="G10" s="66" t="n">
        <f aca="false">F12</f>
        <v>0</v>
      </c>
      <c r="I10" s="11" t="s">
        <v>1752</v>
      </c>
    </row>
    <row r="11" customFormat="false" ht="15" hidden="false" customHeight="false" outlineLevel="1" collapsed="false">
      <c r="A11" s="3" t="s">
        <v>1753</v>
      </c>
      <c r="B11" s="11" t="s">
        <v>65</v>
      </c>
      <c r="C11" s="66" t="n">
        <f aca="false">MIN(C10,MAX(0,損益!C12)*輸入與假設!$C$353)</f>
        <v>0</v>
      </c>
      <c r="D11" s="66" t="n">
        <f aca="false">MIN(D10,MAX(0,損益!D12)*輸入與假設!$C$353)</f>
        <v>0</v>
      </c>
      <c r="E11" s="66" t="n">
        <f aca="false">MIN(E10,MAX(0,損益!E12)*輸入與假設!$C$353)</f>
        <v>0</v>
      </c>
      <c r="F11" s="66" t="n">
        <f aca="false">MIN(F10,MAX(0,損益!F12)*輸入與假設!$C$353)</f>
        <v>0</v>
      </c>
      <c r="G11" s="66" t="n">
        <f aca="false">MIN(G10,MAX(0,損益!G12)*輸入與假設!$C$353)</f>
        <v>0</v>
      </c>
    </row>
    <row r="12" customFormat="false" ht="15" hidden="false" customHeight="false" outlineLevel="1" collapsed="false">
      <c r="A12" s="3" t="s">
        <v>1754</v>
      </c>
      <c r="B12" s="11" t="s">
        <v>65</v>
      </c>
      <c r="C12" s="66" t="n">
        <f aca="false">C10-C11+MAX(0,-損益!C12)</f>
        <v>0</v>
      </c>
      <c r="D12" s="66" t="n">
        <f aca="false">D10-D11+MAX(0,-損益!D12)</f>
        <v>0</v>
      </c>
      <c r="E12" s="66" t="n">
        <f aca="false">E10-E11+MAX(0,-損益!E12)</f>
        <v>0</v>
      </c>
      <c r="F12" s="66" t="n">
        <f aca="false">F10-F11+MAX(0,-損益!F12)</f>
        <v>0</v>
      </c>
      <c r="G12" s="66" t="n">
        <f aca="false">G10-G11+MAX(0,-損益!G12)</f>
        <v>0</v>
      </c>
    </row>
    <row r="13" customFormat="false" ht="15" hidden="false" customHeight="false" outlineLevel="1" collapsed="false">
      <c r="A13" s="3" t="s">
        <v>1755</v>
      </c>
      <c r="B13" s="11" t="s">
        <v>65</v>
      </c>
      <c r="C13" s="66" t="n">
        <f aca="false">MAX(0,損益!C12-C11)*輸入與假設!$C$339</f>
        <v>35.9373603104525</v>
      </c>
      <c r="D13" s="66" t="n">
        <f aca="false">MAX(0,損益!D12-D11)*輸入與假設!$C$339</f>
        <v>40.0021889971256</v>
      </c>
      <c r="E13" s="66" t="n">
        <f aca="false">MAX(0,損益!E12-E11)*輸入與假設!$C$339</f>
        <v>44.0728688885047</v>
      </c>
      <c r="F13" s="66" t="n">
        <f aca="false">MAX(0,損益!F12-F11)*輸入與假設!$C$339</f>
        <v>47.7639526539042</v>
      </c>
      <c r="G13" s="66" t="n">
        <f aca="false">MAX(0,損益!G12-G11)*輸入與假設!$C$339</f>
        <v>50.8074863498517</v>
      </c>
      <c r="I13" s="6" t="s">
        <v>1756</v>
      </c>
    </row>
    <row r="14" customFormat="false" ht="15" hidden="false" customHeight="false" outlineLevel="1" collapsed="false">
      <c r="A14" s="84" t="s">
        <v>1757</v>
      </c>
      <c r="B14" s="11" t="s">
        <v>65</v>
      </c>
      <c r="C14" s="42" t="n">
        <f aca="false">損益!C12-C13+損益!C21-輸入與假設!C$206-C6-C9-C8</f>
        <v>-12.1668076052651</v>
      </c>
      <c r="D14" s="42" t="n">
        <f aca="false">損益!D12-D13+損益!D21-輸入與假設!D$206-D6-D9-D8</f>
        <v>26.0844634738531</v>
      </c>
      <c r="E14" s="42" t="n">
        <f aca="false">損益!E12-E13+損益!E21-輸入與假設!E$206-E6-E9-E8</f>
        <v>66.7526997230709</v>
      </c>
      <c r="F14" s="42" t="n">
        <f aca="false">損益!F12-F13+損益!F21-輸入與假設!F$206-F6-F9-F8</f>
        <v>66.9463863355599</v>
      </c>
      <c r="G14" s="42" t="n">
        <f aca="false">損益!G12-G13+損益!G21-輸入與假設!G$206-G6-G9-G8</f>
        <v>2.86109882796001</v>
      </c>
      <c r="I14" s="6" t="s">
        <v>1758</v>
      </c>
    </row>
    <row r="15" customFormat="false" ht="15" hidden="false" customHeight="false" outlineLevel="1" collapsed="false">
      <c r="A15" s="3" t="s">
        <v>1759</v>
      </c>
      <c r="B15" s="6" t="s">
        <v>184</v>
      </c>
      <c r="C15" s="86" t="n">
        <f aca="false">輸入與假設!$C$416</f>
        <v>1</v>
      </c>
      <c r="D15" s="86" t="n">
        <f aca="false">輸入與假設!$D$416</f>
        <v>2</v>
      </c>
      <c r="E15" s="86" t="n">
        <f aca="false">輸入與假設!$E$416</f>
        <v>3</v>
      </c>
      <c r="F15" s="86" t="n">
        <f aca="false">輸入與假設!$F$416</f>
        <v>4</v>
      </c>
      <c r="G15" s="86" t="n">
        <f aca="false">輸入與假設!$G$416</f>
        <v>5</v>
      </c>
      <c r="I15" s="6" t="s">
        <v>1760</v>
      </c>
    </row>
    <row r="16" customFormat="false" ht="15" hidden="false" customHeight="false" outlineLevel="1" collapsed="false">
      <c r="A16" s="3" t="s">
        <v>1761</v>
      </c>
      <c r="B16" s="6"/>
      <c r="C16" s="31" t="n">
        <f aca="false">1/(1+輸入與假設!$C$349)^C15</f>
        <v>0.90174611967848</v>
      </c>
      <c r="D16" s="31" t="n">
        <f aca="false">1/(1+輸入與假設!$C$349)^D15</f>
        <v>0.813146064355196</v>
      </c>
      <c r="E16" s="31" t="n">
        <f aca="false">1/(1+輸入與假設!$C$349)^E15</f>
        <v>0.733251308264126</v>
      </c>
      <c r="F16" s="31" t="n">
        <f aca="false">1/(1+輸入與假設!$C$349)^F15</f>
        <v>0.661206521976345</v>
      </c>
      <c r="G16" s="31" t="n">
        <f aca="false">1/(1+輸入與假設!$C$349)^G15</f>
        <v>0.596240415498273</v>
      </c>
    </row>
    <row r="17" customFormat="false" ht="15" hidden="false" customHeight="false" outlineLevel="1" collapsed="false">
      <c r="A17" s="4" t="s">
        <v>1762</v>
      </c>
      <c r="B17" s="11" t="s">
        <v>65</v>
      </c>
      <c r="C17" s="66" t="n">
        <f aca="false">C14*C16</f>
        <v>-10.9713715469224</v>
      </c>
      <c r="D17" s="66" t="n">
        <f aca="false">D14*D16</f>
        <v>21.2104788145805</v>
      </c>
      <c r="E17" s="66" t="n">
        <f aca="false">E14*E16</f>
        <v>48.9465044021041</v>
      </c>
      <c r="F17" s="66" t="n">
        <f aca="false">F14*F16</f>
        <v>44.2653872678202</v>
      </c>
      <c r="G17" s="66" t="n">
        <f aca="false">G14*G16</f>
        <v>1.7059027539645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1763</v>
      </c>
      <c r="C19" s="10" t="n">
        <f aca="false">SUM(C17:G17)</f>
        <v>105.156901691547</v>
      </c>
      <c r="I19" s="6" t="s">
        <v>1764</v>
      </c>
    </row>
    <row r="20" customFormat="false" ht="15" hidden="false" customHeight="false" outlineLevel="1" collapsed="false">
      <c r="A20" s="3" t="s">
        <v>1765</v>
      </c>
      <c r="C20" s="10" t="n">
        <f aca="false">G14+輸入與假設!G263*(1-各期收支!G7)</f>
        <v>234.366642189455</v>
      </c>
      <c r="I20" s="11" t="s">
        <v>1766</v>
      </c>
    </row>
    <row r="21" customFormat="false" ht="15" hidden="false" customHeight="false" outlineLevel="1" collapsed="false">
      <c r="A21" s="3" t="s">
        <v>1767</v>
      </c>
      <c r="C21" s="57" t="n">
        <f aca="false">IF(C30=1,0,C20*(1+輸入與假設!$C$350)/(輸入與假設!$C$349-輸入與假設!$C$350))</f>
        <v>3057.23048637023</v>
      </c>
      <c r="I21" s="6" t="s">
        <v>1768</v>
      </c>
    </row>
    <row r="22" customFormat="false" ht="15" hidden="false" customHeight="false" outlineLevel="1" collapsed="false">
      <c r="A22" s="3" t="s">
        <v>1769</v>
      </c>
      <c r="C22" s="57" t="n">
        <f aca="false">C21*G16</f>
        <v>1822.84437546737</v>
      </c>
    </row>
    <row r="23" customFormat="false" ht="15" hidden="false" customHeight="false" outlineLevel="1" collapsed="false">
      <c r="A23" s="3" t="s">
        <v>1770</v>
      </c>
      <c r="C23" s="57" t="n">
        <f aca="false">C19+C22</f>
        <v>1928.00127715892</v>
      </c>
    </row>
    <row r="24" customFormat="false" ht="15" hidden="false" customHeight="false" outlineLevel="1" collapsed="false">
      <c r="A24" s="3" t="s">
        <v>1771</v>
      </c>
      <c r="C24" s="10" t="n">
        <f aca="false">-評價_DCF與目標價!$C$91</f>
        <v>201.107</v>
      </c>
      <c r="I24" s="6" t="s">
        <v>1772</v>
      </c>
    </row>
    <row r="25" customFormat="false" ht="15" hidden="false" customHeight="false" outlineLevel="1" collapsed="false">
      <c r="A25" s="3" t="s">
        <v>1773</v>
      </c>
      <c r="C25" s="57" t="n">
        <f aca="false">C23+C24</f>
        <v>2129.10827715892</v>
      </c>
    </row>
    <row r="26" customFormat="false" ht="15" hidden="false" customHeight="false" outlineLevel="1" collapsed="false">
      <c r="A26" s="84" t="s">
        <v>1774</v>
      </c>
      <c r="C26" s="87" t="n">
        <f aca="false">IF(C30=1,0,IF(輸入與假設!$C$401=2,C32,C31))</f>
        <v>284.054683335857</v>
      </c>
      <c r="I26" s="6" t="s">
        <v>1775</v>
      </c>
    </row>
    <row r="27" customFormat="false" ht="15" hidden="false" customHeight="false" outlineLevel="1" collapsed="false">
      <c r="A27" s="3" t="s">
        <v>1776</v>
      </c>
      <c r="C27" s="29" t="n">
        <f aca="false">C22/C23</f>
        <v>0.945458074671763</v>
      </c>
      <c r="I27" s="6" t="str">
        <f aca="false">"超過 "&amp;IF(ROUND(ABS(輸入與假設!$C$425)*100,4)=INT(ROUND(ABS(輸入與假設!$C$425)*100,4)),TEXT(ROUND(ABS(輸入與假設!$C$425)*100,4),"0"),TEXT(ROUND(ABS(輸入與假設!$C$425)*100,4),"0.0"))&amp;"%"&amp;"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1777</v>
      </c>
      <c r="C28" s="57" t="n">
        <f aca="false">(各期收支!C92-各期收支!C76)/(1+輸入與假設!$C$349)^輸入與假設!$C$417+(各期收支!D92-各期收支!D76)/(1+輸入與假設!$C$349)^輸入與假設!$D$417+(各期收支!E92-各期收支!E76)/(1+輸入與假設!$C$349)^輸入與假設!$E$417+(各期收支!F92-各期收支!F76)/(1+輸入與假設!$C$349)^輸入與假設!$F$417+(各期收支!G92-各期收支!G76)/(1+輸入與假設!$C$349)^輸入與假設!$G$417</f>
        <v>-41.4850625964434</v>
      </c>
      <c r="I28" s="6" t="s">
        <v>1778</v>
      </c>
    </row>
    <row r="29" customFormat="false" ht="15" hidden="false" customHeight="false" outlineLevel="1" collapsed="false">
      <c r="A29" s="3" t="s">
        <v>1779</v>
      </c>
      <c r="C29" s="88" t="n">
        <f aca="false">評價_DCF與目標價!$C$90+各期收支!G97</f>
        <v>7.34937086777104</v>
      </c>
    </row>
    <row r="30" customFormat="false" ht="15" hidden="false" customHeight="false" outlineLevel="1" collapsed="false">
      <c r="A30" s="4" t="s">
        <v>1780</v>
      </c>
      <c r="C30" s="50" t="n">
        <f aca="false">IF(OR(輸入與假設!$C$349&lt;=輸入與假設!$C$350,C20&lt;=0),1,0)</f>
        <v>0</v>
      </c>
      <c r="I30" s="11" t="s">
        <v>1781</v>
      </c>
    </row>
    <row r="31" customFormat="false" ht="15" hidden="false" customHeight="false" outlineLevel="1" collapsed="false">
      <c r="A31" s="84" t="s">
        <v>1782</v>
      </c>
      <c r="C31" s="49" t="n">
        <f aca="false">MAX(0,(C25+C28)/C29)</f>
        <v>284.054683335857</v>
      </c>
    </row>
    <row r="32" customFormat="false" ht="15" hidden="false" customHeight="false" outlineLevel="1" collapsed="false">
      <c r="A32" s="84" t="s">
        <v>1783</v>
      </c>
      <c r="C32" s="49" t="n">
        <f aca="false">IF((C23+C28)&lt;=0,0,IF(評價_DCF與目標價!$C$91&lt;=0,(C23+C28),(C23+C28)*NORMSDIST(C33)-評價_DCF與目標價!$C$91*EXP(-輸入與假設!$C$340*輸入與假設!$C$403)*NORMSDIST(C34))/C29)</f>
        <v>256.690844496004</v>
      </c>
      <c r="I32" s="11" t="s">
        <v>1784</v>
      </c>
    </row>
    <row r="33" customFormat="false" ht="15" hidden="false" customHeight="false" outlineLevel="1" collapsed="false">
      <c r="A33" s="3" t="s">
        <v>1785</v>
      </c>
      <c r="C33" s="88" t="n">
        <f aca="false">IF(OR((C23+C28)&lt;=0,評價_DCF與目標價!$C$91&lt;=0),0,(LN((C23+C28)/評價_DCF與目標價!$C$91)+(輸入與假設!$C$340+輸入與假設!$C$402^2/2)*輸入與假設!$C$403)/(輸入與假設!$C$402*SQRT(輸入與假設!$C$403)))</f>
        <v>0</v>
      </c>
    </row>
    <row r="34" customFormat="false" ht="15" hidden="false" customHeight="false" outlineLevel="1" collapsed="false">
      <c r="A34" s="3" t="s">
        <v>1786</v>
      </c>
      <c r="C34" s="88" t="n">
        <f aca="false">C33-輸入與假設!$C$402*SQRT(輸入與假設!$C$403)</f>
        <v>-1.1180339887499</v>
      </c>
    </row>
    <row r="36" customFormat="false" ht="15" hidden="false" customHeight="false" outlineLevel="0" collapsed="false">
      <c r="A36" s="52" t="s">
        <v>1787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1788</v>
      </c>
      <c r="C37" s="89" t="str">
        <f aca="false">CHOOSE(輸入與假設!$C$393,"FY28","FY29","FY30","FY31")</f>
        <v>FY29</v>
      </c>
      <c r="I37" s="6" t="s">
        <v>1789</v>
      </c>
    </row>
    <row r="38" customFormat="false" ht="15" hidden="false" customHeight="false" outlineLevel="1" collapsed="false">
      <c r="A38" s="3" t="s">
        <v>1790</v>
      </c>
      <c r="C38" s="10" t="n">
        <f aca="false">INDEX(損益!$D$22:$G$22,1,輸入與假設!$C$393)</f>
        <v>332.791012881362</v>
      </c>
    </row>
    <row r="39" customFormat="false" ht="15" hidden="false" customHeight="false" outlineLevel="1" collapsed="false">
      <c r="A39" s="3" t="s">
        <v>1791</v>
      </c>
      <c r="C39" s="57" t="n">
        <f aca="false">C45*輸入與假設!$C$355+C44*輸入與假設!$C$392</f>
        <v>3397.59169189239</v>
      </c>
      <c r="I39" s="6" t="s">
        <v>1792</v>
      </c>
    </row>
    <row r="40" customFormat="false" ht="15" hidden="false" customHeight="false" outlineLevel="1" collapsed="false">
      <c r="A40" s="3" t="s">
        <v>1793</v>
      </c>
      <c r="C40" s="10" t="n">
        <f aca="false">INDEX(各期收支!$D$102:$G$102,1,輸入與假設!$C$393)-INDEX(各期收支!$D$56:$G$56,1,輸入與假設!$C$393)+評價_DCF與目標價!$C$92</f>
        <v>-182.328351161944</v>
      </c>
      <c r="I40" s="6" t="s">
        <v>1794</v>
      </c>
    </row>
    <row r="41" customFormat="false" ht="15" hidden="false" customHeight="false" outlineLevel="1" collapsed="false">
      <c r="A41" s="3" t="s">
        <v>1795</v>
      </c>
      <c r="C41" s="90" t="n">
        <f aca="false">INDEX(損益!$D$24:$G$24,1,輸入與假設!$C$393)</f>
        <v>7.55921627836124</v>
      </c>
      <c r="I41" s="6" t="s">
        <v>1796</v>
      </c>
    </row>
    <row r="42" customFormat="false" ht="15" hidden="false" customHeight="false" outlineLevel="1" collapsed="false">
      <c r="A42" s="3" t="s">
        <v>1797</v>
      </c>
      <c r="C42" s="90" t="n">
        <f aca="false">1/(1+輸入與假設!$C$349)^(輸入與假設!$C$393-輸入與假設!$C$413)</f>
        <v>0.813146064355196</v>
      </c>
      <c r="I42" s="6" t="s">
        <v>1798</v>
      </c>
    </row>
    <row r="43" customFormat="false" ht="15" hidden="false" customHeight="false" outlineLevel="1" collapsed="false">
      <c r="A43" s="4" t="s">
        <v>1799</v>
      </c>
      <c r="C43" s="49" t="n">
        <f aca="false">MAX(0,(C39-C40)/C41)*C42</f>
        <v>385.092552788685</v>
      </c>
      <c r="I43" s="6" t="s">
        <v>1800</v>
      </c>
    </row>
    <row r="44" customFormat="false" ht="15" hidden="false" customHeight="false" outlineLevel="1" collapsed="false">
      <c r="A44" s="3" t="s">
        <v>1801</v>
      </c>
      <c r="C44" s="10" t="n">
        <f aca="false">INDEX(輸入與假設!$D$205:$G$205,1,輸入與假設!$C$393)</f>
        <v>251.982672316025</v>
      </c>
      <c r="I44" s="11" t="s">
        <v>1802</v>
      </c>
    </row>
    <row r="45" customFormat="false" ht="15" hidden="false" customHeight="false" outlineLevel="1" collapsed="false">
      <c r="A45" s="3" t="s">
        <v>1803</v>
      </c>
      <c r="C45" s="57" t="n">
        <f aca="false">C38-C44</f>
        <v>80.8083405653367</v>
      </c>
      <c r="I45" s="6" t="s">
        <v>1804</v>
      </c>
    </row>
    <row r="47" customFormat="false" ht="15" hidden="false" customHeight="false" outlineLevel="0" collapsed="false">
      <c r="A47" s="52" t="s">
        <v>1805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1806</v>
      </c>
      <c r="C48" s="12" t="n">
        <f aca="false">C26*(1+輸入與假設!$C$349)^輸入與假設!$C$409</f>
        <v>315.005162913412</v>
      </c>
      <c r="I48" s="6" t="s">
        <v>1807</v>
      </c>
    </row>
    <row r="49" customFormat="false" ht="15" hidden="false" customHeight="false" outlineLevel="1" collapsed="false">
      <c r="A49" s="4" t="s">
        <v>1808</v>
      </c>
      <c r="C49" s="12" t="n">
        <f aca="false">C48*IF(C30=1,0,輸入與假設!$C$394)</f>
        <v>141.752323311036</v>
      </c>
    </row>
    <row r="50" customFormat="false" ht="15" hidden="false" customHeight="false" outlineLevel="1" collapsed="false">
      <c r="A50" s="4" t="s">
        <v>1809</v>
      </c>
      <c r="C50" s="12" t="n">
        <f aca="false">C43*IF(C30=1,1,1-輸入與假設!$C$394)</f>
        <v>211.800904033777</v>
      </c>
    </row>
    <row r="51" customFormat="false" ht="15" hidden="false" customHeight="false" outlineLevel="1" collapsed="false">
      <c r="A51" s="2" t="s">
        <v>1805</v>
      </c>
      <c r="C51" s="91" t="n">
        <f aca="false">SUM(C49:C50)</f>
        <v>353.553227344813</v>
      </c>
      <c r="I51" s="6" t="s">
        <v>1810</v>
      </c>
    </row>
    <row r="52" customFormat="false" ht="15" hidden="false" customHeight="false" outlineLevel="1" collapsed="false">
      <c r="A52" s="3" t="s">
        <v>1811</v>
      </c>
      <c r="C52" s="12" t="n">
        <f aca="false">輸入與假設!$C$330</f>
        <v>529.76</v>
      </c>
    </row>
    <row r="53" customFormat="false" ht="15" hidden="false" customHeight="false" outlineLevel="1" collapsed="false">
      <c r="A53" s="3" t="s">
        <v>1812</v>
      </c>
      <c r="C53" s="29" t="n">
        <f aca="false">C51/C52-1</f>
        <v>-0.332616227452408</v>
      </c>
    </row>
    <row r="55" customFormat="false" ht="15" hidden="false" customHeight="false" outlineLevel="0" collapsed="false">
      <c r="A55" s="52" t="s">
        <v>1813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1814</v>
      </c>
      <c r="B56" s="11" t="s">
        <v>65</v>
      </c>
      <c r="C56" s="66" t="n">
        <f aca="false">運營_產能與收入!C26*(1/輸入與假設!$C$66-(1-輸入與假設!C$214))*(1/輸入與假設!$C$227-1)</f>
        <v>26.5628152564717</v>
      </c>
      <c r="D56" s="66" t="n">
        <f aca="false">運營_產能與收入!D26*(1/輸入與假設!$C$66-(1-輸入與假設!D$214))*(1/輸入與假設!$C$227-1)</f>
        <v>42.0089009253122</v>
      </c>
      <c r="E56" s="66" t="n">
        <f aca="false">運營_產能與收入!E26*(1/輸入與假設!$C$66-(1-輸入與假設!E$214))*(1/輸入與假設!$C$227-1)</f>
        <v>57.5773592287379</v>
      </c>
      <c r="F56" s="66" t="n">
        <f aca="false">運營_產能與收入!F26*(1/輸入與假設!$C$66-(1-輸入與假設!F$214))*(1/輸入與假設!$C$227-1)</f>
        <v>73.1966459171587</v>
      </c>
      <c r="G56" s="66" t="n">
        <f aca="false">運營_產能與收入!G26*(1/輸入與假設!$C$66-(1-輸入與假設!G$214))*(1/輸入與假設!$C$227-1)</f>
        <v>88.8413058961381</v>
      </c>
      <c r="I56" s="6" t="s">
        <v>1815</v>
      </c>
    </row>
    <row r="57" customFormat="false" ht="15" hidden="false" customHeight="false" outlineLevel="1" collapsed="false">
      <c r="A57" s="3" t="s">
        <v>1816</v>
      </c>
      <c r="B57" s="11" t="s">
        <v>65</v>
      </c>
      <c r="C57" s="66" t="n">
        <f aca="false">損益!C12+C56</f>
        <v>206.249616808734</v>
      </c>
      <c r="D57" s="66" t="n">
        <f aca="false">損益!D12+D56</f>
        <v>242.01984591094</v>
      </c>
      <c r="E57" s="66" t="n">
        <f aca="false">損益!E12+E56</f>
        <v>277.941703671261</v>
      </c>
      <c r="F57" s="66" t="n">
        <f aca="false">損益!F12+F56</f>
        <v>312.01640918668</v>
      </c>
      <c r="G57" s="66" t="n">
        <f aca="false">損益!G12+G56</f>
        <v>342.878737645396</v>
      </c>
    </row>
    <row r="58" customFormat="false" ht="15" hidden="false" customHeight="false" outlineLevel="1" collapsed="false">
      <c r="A58" s="3" t="s">
        <v>1817</v>
      </c>
      <c r="B58" s="11" t="s">
        <v>65</v>
      </c>
      <c r="C58" s="66" t="n">
        <f aca="false">輸入與假設!$C$352</f>
        <v>0</v>
      </c>
      <c r="D58" s="66" t="n">
        <f aca="false">C60</f>
        <v>0</v>
      </c>
      <c r="E58" s="66" t="n">
        <f aca="false">D60</f>
        <v>0</v>
      </c>
      <c r="F58" s="66" t="n">
        <f aca="false">E60</f>
        <v>0</v>
      </c>
      <c r="G58" s="66" t="n">
        <f aca="false">F60</f>
        <v>0</v>
      </c>
    </row>
    <row r="59" customFormat="false" ht="15" hidden="false" customHeight="false" outlineLevel="1" collapsed="false">
      <c r="A59" s="3" t="s">
        <v>1818</v>
      </c>
      <c r="B59" s="11" t="s">
        <v>65</v>
      </c>
      <c r="C59" s="66" t="n">
        <f aca="false">MIN(C58,MAX(0,C57)*輸入與假設!$C$353)</f>
        <v>0</v>
      </c>
      <c r="D59" s="66" t="n">
        <f aca="false">MIN(D58,MAX(0,D57)*輸入與假設!$C$353)</f>
        <v>0</v>
      </c>
      <c r="E59" s="66" t="n">
        <f aca="false">MIN(E58,MAX(0,E57)*輸入與假設!$C$353)</f>
        <v>0</v>
      </c>
      <c r="F59" s="66" t="n">
        <f aca="false">MIN(F58,MAX(0,F57)*輸入與假設!$C$353)</f>
        <v>0</v>
      </c>
      <c r="G59" s="66" t="n">
        <f aca="false">MIN(G58,MAX(0,G57)*輸入與假設!$C$353)</f>
        <v>0</v>
      </c>
    </row>
    <row r="60" customFormat="false" ht="15" hidden="false" customHeight="false" outlineLevel="1" collapsed="false">
      <c r="A60" s="3" t="s">
        <v>1819</v>
      </c>
      <c r="B60" s="11" t="s">
        <v>65</v>
      </c>
      <c r="C60" s="66" t="n">
        <f aca="false">C58-C59+MAX(0,-C57)</f>
        <v>0</v>
      </c>
      <c r="D60" s="66" t="n">
        <f aca="false">D58-D59+MAX(0,-D57)</f>
        <v>0</v>
      </c>
      <c r="E60" s="66" t="n">
        <f aca="false">E58-E59+MAX(0,-E57)</f>
        <v>0</v>
      </c>
      <c r="F60" s="66" t="n">
        <f aca="false">F58-F59+MAX(0,-F57)</f>
        <v>0</v>
      </c>
      <c r="G60" s="66" t="n">
        <f aca="false">G58-G59+MAX(0,-G57)</f>
        <v>0</v>
      </c>
    </row>
    <row r="61" customFormat="false" ht="15" hidden="false" customHeight="false" outlineLevel="1" collapsed="false">
      <c r="A61" s="3" t="s">
        <v>1820</v>
      </c>
      <c r="B61" s="11" t="s">
        <v>65</v>
      </c>
      <c r="C61" s="66" t="n">
        <f aca="false">MAX(0,C57-C59)*輸入與假設!$C$339</f>
        <v>41.2499233617469</v>
      </c>
      <c r="D61" s="66" t="n">
        <f aca="false">MAX(0,D57-D59)*輸入與假設!$C$339</f>
        <v>48.403969182188</v>
      </c>
      <c r="E61" s="66" t="n">
        <f aca="false">MAX(0,E57-E59)*輸入與假設!$C$339</f>
        <v>55.5883407342523</v>
      </c>
      <c r="F61" s="66" t="n">
        <f aca="false">MAX(0,F57-F59)*輸入與假設!$C$339</f>
        <v>62.403281837336</v>
      </c>
      <c r="G61" s="66" t="n">
        <f aca="false">MAX(0,G57-G59)*輸入與假設!$C$339</f>
        <v>68.5757475290793</v>
      </c>
    </row>
    <row r="62" customFormat="false" ht="15" hidden="false" customHeight="false" outlineLevel="1" collapsed="false">
      <c r="A62" s="2" t="s">
        <v>1821</v>
      </c>
      <c r="B62" s="11" t="s">
        <v>65</v>
      </c>
      <c r="C62" s="42" t="n">
        <f aca="false">C14+C56-(C61-C13)</f>
        <v>9.08344459991227</v>
      </c>
      <c r="D62" s="42" t="n">
        <f aca="false">D14+D56-(D61-D13)</f>
        <v>59.6915842141028</v>
      </c>
      <c r="E62" s="42" t="n">
        <f aca="false">E14+E56-(E61-E13)</f>
        <v>112.814587106061</v>
      </c>
      <c r="F62" s="42" t="n">
        <f aca="false">F14+F56-(F61-F13)</f>
        <v>125.503703069287</v>
      </c>
      <c r="G62" s="42" t="n">
        <f aca="false">G14+G56-(G61-G13)</f>
        <v>73.9341435448705</v>
      </c>
      <c r="I62" s="6" t="s">
        <v>1822</v>
      </c>
    </row>
    <row r="63" customFormat="false" ht="15" hidden="false" customHeight="false" outlineLevel="1" collapsed="false">
      <c r="A63" s="3" t="s">
        <v>1823</v>
      </c>
      <c r="B63" s="11" t="s">
        <v>65</v>
      </c>
      <c r="C63" s="66" t="n">
        <f aca="false">C62*C16</f>
        <v>8.19096092128534</v>
      </c>
      <c r="D63" s="66" t="n">
        <f aca="false">D62*D16</f>
        <v>48.5379767788245</v>
      </c>
      <c r="E63" s="66" t="n">
        <f aca="false">E62*E16</f>
        <v>82.7214435867966</v>
      </c>
      <c r="F63" s="66" t="n">
        <f aca="false">F62*F16</f>
        <v>82.983867001595</v>
      </c>
      <c r="G63" s="66" t="n">
        <f aca="false">G62*G16</f>
        <v>44.0825244667025</v>
      </c>
    </row>
    <row r="64" customFormat="false" ht="15" hidden="false" customHeight="false" outlineLevel="1" collapsed="false">
      <c r="A64" s="3" t="s">
        <v>1824</v>
      </c>
      <c r="C64" s="10" t="n">
        <f aca="false">SUM(C63:G63)</f>
        <v>266.516772755204</v>
      </c>
    </row>
    <row r="65" customFormat="false" ht="15" hidden="false" customHeight="false" outlineLevel="1" collapsed="false">
      <c r="A65" s="3" t="s">
        <v>1825</v>
      </c>
      <c r="C65" s="10" t="n">
        <f aca="false">C20-G14+G62</f>
        <v>305.439686906366</v>
      </c>
      <c r="I65" s="6" t="s">
        <v>1826</v>
      </c>
    </row>
    <row r="66" customFormat="false" ht="15" hidden="false" customHeight="false" outlineLevel="1" collapsed="false">
      <c r="A66" s="3" t="s">
        <v>1827</v>
      </c>
      <c r="C66" s="9" t="n">
        <f aca="false">IF(OR(輸入與假設!$C$349&lt;=輸入與假設!$C$350,C65&lt;=0),1,0)</f>
        <v>0</v>
      </c>
    </row>
    <row r="67" customFormat="false" ht="15" hidden="false" customHeight="false" outlineLevel="1" collapsed="false">
      <c r="A67" s="3" t="s">
        <v>1828</v>
      </c>
      <c r="C67" s="10" t="n">
        <f aca="false">IF(C66=1,0,C65*(1+輸入與假設!$C$350)/(輸入與假設!$C$349-輸入與假設!$C$350))*G16</f>
        <v>2375.6325137419</v>
      </c>
    </row>
    <row r="68" customFormat="false" ht="15" hidden="false" customHeight="false" outlineLevel="1" collapsed="false">
      <c r="A68" s="3" t="s">
        <v>1829</v>
      </c>
      <c r="C68" s="10" t="n">
        <f aca="false">C64+C67</f>
        <v>2642.1492864971</v>
      </c>
    </row>
    <row r="69" customFormat="false" ht="15" hidden="false" customHeight="false" outlineLevel="1" collapsed="false">
      <c r="A69" s="3" t="s">
        <v>1830</v>
      </c>
      <c r="C69" s="90" t="n">
        <f aca="false">IF(OR((C68+C28)&lt;=0,評價_DCF與目標價!$C$91&lt;=0),0,(LN((C68+C28)/評價_DCF與目標價!$C$91)+(輸入與假設!$C$340+輸入與假設!$C$402^2/2)*輸入與假設!$C$403)/(輸入與假設!$C$402*SQRT(輸入與假設!$C$403)))</f>
        <v>0</v>
      </c>
    </row>
    <row r="70" customFormat="false" ht="15" hidden="false" customHeight="false" outlineLevel="1" collapsed="false">
      <c r="A70" s="3" t="s">
        <v>1831</v>
      </c>
      <c r="C70" s="12" t="n">
        <f aca="false">IF(C66=1,0,IF(輸入與假設!$C$401=2,IF((C68+C28)&lt;=0,0,IF(評價_DCF與目標價!$C$91&lt;=0,(C68+C28),(C68+C28)*NORMSDIST(C69)-評價_DCF與目標價!$C$91*EXP(-輸入與假設!$C$340*輸入與假設!$C$403)*NORMSDIST(C69-輸入與假設!$C$402*SQRT(輸入與假設!$C$403)))/C29),MAX(0,(C68-評價_DCF與目標價!$C$91+C28)/C29)))</f>
        <v>381.225995300792</v>
      </c>
      <c r="I70" s="6" t="s">
        <v>1832</v>
      </c>
    </row>
    <row r="71" customFormat="false" ht="15" hidden="false" customHeight="false" outlineLevel="1" collapsed="false">
      <c r="A71" s="3" t="s">
        <v>1833</v>
      </c>
      <c r="C71" s="12" t="n">
        <f aca="false">C70*(1+輸入與假設!$C$349)^輸入與假設!$C$409</f>
        <v>422.764220417959</v>
      </c>
    </row>
    <row r="72" customFormat="false" ht="15" hidden="false" customHeight="false" outlineLevel="1" collapsed="false">
      <c r="A72" s="3" t="s">
        <v>1834</v>
      </c>
      <c r="C72" s="12" t="n">
        <f aca="false">MAX(0,(C39+INDEX($D$56:$G$56,1,輸入與假設!$C$393)*輸入與假設!$C$355-C40)/C41)*C42</f>
        <v>422.254185419969</v>
      </c>
      <c r="I72" s="6" t="s">
        <v>1835</v>
      </c>
    </row>
    <row r="73" customFormat="false" ht="15" hidden="false" customHeight="false" outlineLevel="1" collapsed="false">
      <c r="A73" s="2" t="s">
        <v>1836</v>
      </c>
      <c r="C73" s="87" t="n">
        <f aca="false">C71*IF(C66=1,0,輸入與假設!$C$394)+C72*IF(C66=1,1,1-輸入與假設!$C$394)</f>
        <v>422.483701169065</v>
      </c>
      <c r="I73" s="6" t="s">
        <v>1837</v>
      </c>
    </row>
    <row r="74" customFormat="false" ht="15" hidden="false" customHeight="false" outlineLevel="1" collapsed="false">
      <c r="A74" s="2" t="s">
        <v>1838</v>
      </c>
      <c r="C74" s="87" t="n">
        <f aca="false">C73-C51</f>
        <v>68.930473824252</v>
      </c>
      <c r="I74" s="6" t="s">
        <v>1839</v>
      </c>
    </row>
    <row r="76" customFormat="false" ht="15" hidden="false" customHeight="false" outlineLevel="0" collapsed="false">
      <c r="A76" s="52" t="s">
        <v>1840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1841</v>
      </c>
      <c r="C77" s="92" t="n">
        <f aca="false">SUMPRODUCT(資產負債_既有債務!$D$29:$D$29*資產負債_既有債務!$G$29:$G$29)</f>
        <v>0</v>
      </c>
      <c r="I77" s="6" t="s">
        <v>1842</v>
      </c>
    </row>
    <row r="78" customFormat="false" ht="15" hidden="false" customHeight="false" outlineLevel="1" collapsed="false">
      <c r="A78" s="3" t="s">
        <v>1843</v>
      </c>
      <c r="C78" s="92" t="n">
        <f aca="false">輸入與假設!$C$331+C77</f>
        <v>7.453</v>
      </c>
    </row>
    <row r="79" customFormat="false" ht="15" hidden="false" customHeight="false" outlineLevel="1" collapsed="false">
      <c r="A79" s="3" t="s">
        <v>1844</v>
      </c>
      <c r="C79" s="10" t="n">
        <f aca="false">輸入與假設!$C$332+SUMPRODUCT(資產負債_既有債務!$C$29:$C$29*(1-資產負債_既有債務!$G$29:$G$29))+輸入與假設!$C$338</f>
        <v>-201.107</v>
      </c>
      <c r="I79" s="6" t="s">
        <v>1845</v>
      </c>
    </row>
    <row r="80" customFormat="false" ht="15" hidden="false" customHeight="false" outlineLevel="1" collapsed="false">
      <c r="A80" s="3" t="s">
        <v>1846</v>
      </c>
      <c r="C80" s="90" t="n">
        <f aca="false">C78+各期收支!G97</f>
        <v>7.34937086777104</v>
      </c>
    </row>
    <row r="81" customFormat="false" ht="15" hidden="false" customHeight="false" outlineLevel="1" collapsed="false">
      <c r="A81" s="3" t="s">
        <v>1847</v>
      </c>
      <c r="C81" s="90" t="n">
        <f aca="false">IF(OR((C23+C28)&lt;=0,C79&lt;=0),0,(LN((C23+C28)/C79)+(輸入與假設!$C$340+輸入與假設!$C$402^2/2)*輸入與假設!$C$403)/(輸入與假設!$C$402*SQRT(輸入與假設!$C$403)))</f>
        <v>0</v>
      </c>
    </row>
    <row r="82" customFormat="false" ht="15" hidden="false" customHeight="false" outlineLevel="1" collapsed="false">
      <c r="A82" s="3" t="s">
        <v>1848</v>
      </c>
      <c r="C82" s="12" t="n">
        <f aca="false">IF(C30=1,0,IF(輸入與假設!$C$401=2,IF((C23+C28)&lt;=0,0,IF(C79&lt;=0,(C23+C28),(C23+C28)*NORMSDIST(C81)-C79*EXP(-輸入與假設!$C$340*輸入與假設!$C$403)*NORMSDIST(C81-輸入與假設!$C$402*SQRT(輸入與假設!$C$403)))/C80),MAX(0,(C23-C79+C28)/C80)))</f>
        <v>284.054683335857</v>
      </c>
      <c r="I82" s="6" t="s">
        <v>1849</v>
      </c>
    </row>
    <row r="83" customFormat="false" ht="15" hidden="false" customHeight="false" outlineLevel="1" collapsed="false">
      <c r="A83" s="3" t="s">
        <v>1850</v>
      </c>
      <c r="C83" s="10" t="n">
        <f aca="false">INDEX(各期收支!$D$102:$G$102,1,輸入與假設!$C$393)-INDEX(各期收支!$D$56:$G$56,1,輸入與假設!$C$393)+SUMPRODUCT(資產負債_既有債務!$C$29:$C$29*(資產負債_既有債務!$F$29:$F$29-資產負債_既有債務!$G$29:$G$29))+輸入與假設!$C$338</f>
        <v>-182.328351161944</v>
      </c>
      <c r="I83" s="6" t="s">
        <v>1851</v>
      </c>
    </row>
    <row r="84" customFormat="false" ht="15" hidden="false" customHeight="false" outlineLevel="1" collapsed="false">
      <c r="A84" s="3" t="s">
        <v>1852</v>
      </c>
      <c r="C84" s="90" t="n">
        <f aca="false">C78*(1+輸入與假設!$C$398)^輸入與假設!$C$393+INDEX(各期收支!$D$97:$G$97,1,輸入與假設!$C$393)</f>
        <v>7.55921627836124</v>
      </c>
    </row>
    <row r="85" customFormat="false" ht="15" hidden="false" customHeight="false" outlineLevel="1" collapsed="false">
      <c r="A85" s="3" t="s">
        <v>1853</v>
      </c>
      <c r="C85" s="12" t="n">
        <f aca="false">MAX(0,(C39-C83)/C84)*C42</f>
        <v>385.092552788685</v>
      </c>
    </row>
    <row r="86" customFormat="false" ht="15" hidden="false" customHeight="false" outlineLevel="1" collapsed="false">
      <c r="A86" s="2" t="s">
        <v>1854</v>
      </c>
      <c r="C86" s="87" t="n">
        <f aca="false">C82*(1+輸入與假設!$C$349)^輸入與假設!$C$409*IF(C30=1,0,輸入與假設!$C$394)+C85*IF(C30=1,1,1-輸入與假設!$C$394)</f>
        <v>353.553227344813</v>
      </c>
    </row>
    <row r="87" customFormat="false" ht="15" hidden="false" customHeight="false" outlineLevel="1" collapsed="false">
      <c r="A87" s="2" t="s">
        <v>1855</v>
      </c>
      <c r="C87" s="87" t="n">
        <f aca="false">MIN(輸入與假設!$C$330,C86)</f>
        <v>353.553227344813</v>
      </c>
      <c r="I87" s="6" t="s">
        <v>1856</v>
      </c>
    </row>
    <row r="88" customFormat="false" ht="15" hidden="false" customHeight="false" outlineLevel="1" collapsed="false">
      <c r="A88" s="3" t="s">
        <v>1857</v>
      </c>
      <c r="C88" s="92" t="n">
        <f aca="false">SUMPRODUCT(資產負債_既有債務!$D$29:$D$29*資產負債_既有債務!$H$29:$H$29)</f>
        <v>0</v>
      </c>
      <c r="I88" s="6" t="s">
        <v>1858</v>
      </c>
    </row>
    <row r="89" customFormat="false" ht="15" hidden="false" customHeight="false" outlineLevel="1" collapsed="false">
      <c r="A89" s="3" t="s">
        <v>1859</v>
      </c>
      <c r="C89" s="10" t="n">
        <f aca="false">SUMPRODUCT(資產負債_既有債務!$C$29:$C$29*(1-資產負債_既有債務!$H$29:$H$29))</f>
        <v>0</v>
      </c>
    </row>
    <row r="90" customFormat="false" ht="15" hidden="false" customHeight="false" outlineLevel="1" collapsed="false">
      <c r="A90" s="2" t="s">
        <v>1860</v>
      </c>
      <c r="C90" s="78" t="n">
        <f aca="false">輸入與假設!$C$331+C88</f>
        <v>7.453</v>
      </c>
      <c r="I90" s="11" t="s">
        <v>1861</v>
      </c>
    </row>
    <row r="91" customFormat="false" ht="15" hidden="false" customHeight="false" outlineLevel="1" collapsed="false">
      <c r="A91" s="2" t="s">
        <v>1862</v>
      </c>
      <c r="C91" s="58" t="n">
        <f aca="false">輸入與假設!$C$332+C89+輸入與假設!$C$338</f>
        <v>-201.107</v>
      </c>
      <c r="I91" s="11" t="s">
        <v>1863</v>
      </c>
    </row>
    <row r="92" customFormat="false" ht="15" hidden="false" customHeight="false" outlineLevel="1" collapsed="false">
      <c r="A92" s="3" t="s">
        <v>1864</v>
      </c>
      <c r="C92" s="10" t="n">
        <f aca="false">SUMPRODUCT(資產負債_既有債務!$C$29:$C$29*(資產負債_既有債務!$F$29:$F$29-資產負債_既有債務!$H$29:$H$29))+輸入與假設!$C$338</f>
        <v>-170.4</v>
      </c>
      <c r="I92" s="6" t="s">
        <v>1865</v>
      </c>
    </row>
    <row r="93" customFormat="false" ht="15" hidden="false" customHeight="false" outlineLevel="1" collapsed="false">
      <c r="A93" s="4" t="s">
        <v>1866</v>
      </c>
      <c r="C93" s="3" t="str">
        <f aca="false">IF(C30=1,"DCF 失效，已以 EV/EBITDA 100% 計。",IF(AND(輸入與假設!$C$401&lt;&gt;2,C108&lt;0),"DCF 為 $0 仍計 "&amp;TEXT(輸入與假設!$C$394,"0%")&amp;"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$"&amp;TEXT(C43,"0.0")&amp;"（"&amp;CHOOSE(D107+2,"賣出","中立","買進")&amp;"）；"&amp;TEXT(輸入與假設!$C$394,"0%")&amp;"／"&amp;TEXT(1-輸入與假設!$C$394,"0%")&amp;" 為判斷值。",""))</f>
        <v/>
      </c>
      <c r="I93" s="6" t="s">
        <v>1867</v>
      </c>
    </row>
    <row r="95" customFormat="false" ht="15" hidden="false" customHeight="false" outlineLevel="0" collapsed="false">
      <c r="A95" s="52" t="s">
        <v>1868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1869</v>
      </c>
      <c r="C96" s="12" t="n">
        <f aca="false">C51</f>
        <v>353.553227344813</v>
      </c>
      <c r="I96" s="6" t="str">
        <f aca="false">"評等規則不變：空間 ≥"&amp;IF(ROUND(ABS(輸入與假設!$C$419)*100,4)=INT(ROUND(ABS(輸入與假設!$C$419)*100,4)),TEXT(ROUND(ABS(輸入與假設!$C$419)*100,4),"0"),TEXT(ROUND(ABS(輸入與假設!$C$419)*100,4),"0.0"))&amp;"%"&amp;" 且終值占比 &lt;"&amp;IF(ROUND(ABS(輸入與假設!$C$420)*100,4)=INT(ROUND(ABS(輸入與假設!$C$420)*100,4)),TEXT(ROUND(ABS(輸入與假設!$C$420)*100,4),"0"),TEXT(ROUND(ABS(輸入與假設!$C$420)*100,4),"0.0"))&amp;"%"&amp;"、股權募資 ≤"&amp;IF(輸入與假設!$C$422=INT(輸入與假設!$C$422),TEXT(輸入與假設!$C$422,"0"),TEXT(輸入與假設!$C$422,"0.0"))&amp;" 倍現市值 → 買進；空間 ≤−"&amp;IF(ROUND(ABS(輸入與假設!$C$421)*100,4)=INT(ROUND(ABS(輸入與假設!$C$421)*100,4)),TEXT(ROUND(ABS(輸入與假設!$C$421)*100,4),"0"),TEXT(ROUND(ABS(輸入與假設!$C$421)*100,4),"0.0"))&amp;"%"&amp;"，或股權募資 &gt;"&amp;IF(輸入與假設!$C$422=INT(輸入與假設!$C$422),TEXT(輸入與假設!$C$422,"0"),TEXT(輸入與假設!$C$422,"0.0"))&amp;" 倍且空間 ≤−"&amp;IF(ROUND(ABS(輸入與假設!$C$423)*100,4)=INT(ROUND(ABS(輸入與假設!$C$423)*100,4)),TEXT(ROUND(ABS(輸入與假設!$C$423)*100,4),"0"),TEXT(ROUND(ABS(輸入與假設!$C$423)*100,4),"0.0"))&amp;"%"&amp;"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1870</v>
      </c>
      <c r="C97" s="13" t="n">
        <f aca="false">C22/MAX(ABS(C23),1)*IF(C23=0,1,SIGN(C23))</f>
        <v>0.945458074671763</v>
      </c>
    </row>
    <row r="98" customFormat="false" ht="15" hidden="false" customHeight="false" outlineLevel="1" collapsed="false">
      <c r="A98" s="3" t="s">
        <v>1871</v>
      </c>
      <c r="C98" s="16" t="n">
        <f aca="false">SUM(各期收支!C92:G92)/(輸入與假設!$C$330*輸入與假設!$C$331)</f>
        <v>0</v>
      </c>
    </row>
    <row r="99" customFormat="false" ht="15" hidden="false" customHeight="false" outlineLevel="1" collapsed="false">
      <c r="A99" s="3" t="s">
        <v>1872</v>
      </c>
      <c r="C99" s="9" t="n">
        <f aca="false">IF(AND((C51/MAX(輸入與假設!$C$330,0.01)-1)&gt;=輸入與假設!$C$419,$C$97&lt;輸入與假設!$C$420,$C$98&lt;=輸入與假設!$C$422),1,IF(OR((C51/MAX(輸入與假設!$C$330,0.01)-1)&lt;=輸入與假設!$C$421,AND($C$98&gt;輸入與假設!$C$422,(C51/MAX(輸入與假設!$C$330,0.01)-1)&lt;=輸入與假設!$C$423)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1873</v>
      </c>
      <c r="C100" s="12" t="n">
        <f aca="false">輸入與假設!$C$330*(1+輸入與假設!$C$421)</f>
        <v>450.296</v>
      </c>
    </row>
    <row r="101" customFormat="false" ht="15" hidden="false" customHeight="false" outlineLevel="1" collapsed="false">
      <c r="A101" s="3" t="s">
        <v>1874</v>
      </c>
      <c r="C101" s="12" t="n">
        <f aca="false">輸入與假設!D453</f>
        <v>382.252785106163</v>
      </c>
      <c r="D101" s="9" t="n">
        <f aca="false">輸入與假設!E453</f>
        <v>-1</v>
      </c>
      <c r="E101" s="12" t="n">
        <f aca="false">C101-$C$100</f>
        <v>-68.0432148938366</v>
      </c>
      <c r="I101" s="6" t="s">
        <v>1875</v>
      </c>
    </row>
    <row r="102" customFormat="false" ht="15" hidden="false" customHeight="false" outlineLevel="1" collapsed="false">
      <c r="A102" s="3" t="s">
        <v>1876</v>
      </c>
      <c r="C102" s="12" t="n">
        <f aca="false">輸入與假設!D454</f>
        <v>353.553227344813</v>
      </c>
      <c r="D102" s="9" t="n">
        <f aca="false">輸入與假設!E454</f>
        <v>-1</v>
      </c>
      <c r="E102" s="12" t="n">
        <f aca="false">C102-$C$100</f>
        <v>-96.7427726551875</v>
      </c>
    </row>
    <row r="103" customFormat="false" ht="15" hidden="false" customHeight="false" outlineLevel="1" collapsed="false">
      <c r="A103" s="3" t="s">
        <v>1877</v>
      </c>
      <c r="C103" s="12" t="n">
        <f aca="false">輸入與假設!D455</f>
        <v>351.963854201418</v>
      </c>
      <c r="D103" s="9" t="n">
        <f aca="false">輸入與假設!E455</f>
        <v>-1</v>
      </c>
      <c r="E103" s="12" t="n">
        <f aca="false">C103-$C$100</f>
        <v>-98.3321457985823</v>
      </c>
    </row>
    <row r="104" customFormat="false" ht="15" hidden="false" customHeight="false" outlineLevel="1" collapsed="false">
      <c r="A104" s="3" t="s">
        <v>1878</v>
      </c>
      <c r="C104" s="12" t="n">
        <f aca="false">MIN(C101,C103)</f>
        <v>351.963854201418</v>
      </c>
      <c r="D104" s="12" t="n">
        <f aca="false">MAX(C101,C103)</f>
        <v>382.252785106163</v>
      </c>
    </row>
    <row r="105" customFormat="false" ht="15" hidden="false" customHeight="false" outlineLevel="1" collapsed="false">
      <c r="A105" s="3" t="s">
        <v>1879</v>
      </c>
      <c r="C105" s="16" t="n">
        <f aca="false">MIN(輸入與假設!$C$396,輸入與假設!$C$397)</f>
        <v>5</v>
      </c>
      <c r="D105" s="16" t="n">
        <f aca="false">MAX(輸入與假設!$C$396,輸入與假設!$C$397)</f>
        <v>6</v>
      </c>
    </row>
    <row r="106" customFormat="false" ht="15" hidden="false" customHeight="false" outlineLevel="1" collapsed="false">
      <c r="A106" s="3" t="s">
        <v>1880</v>
      </c>
      <c r="C106" s="12" t="n">
        <f aca="false">MIN(C48*IF(C30=1,0,輸入與假設!$C$394)+MAX(0,(C45*C105+C44*輸入與假設!$C$392-C40)/C41)*C42*IF(C30=1,1,1-輸入與假設!$C$394),C48*IF(C30=1,0,輸入與假設!$C$394)+MAX(0,(C45*D105+C44*輸入與假設!$C$392-C40)/C41)*C42*IF(C30=1,1,1-輸入與假設!$C$394))</f>
        <v>348.772316212897</v>
      </c>
      <c r="D106" s="12" t="n">
        <f aca="false">MAX(C48*IF(C30=1,0,輸入與假設!$C$394)+MAX(0,(C45*C105+C44*輸入與假設!$C$392-C40)/C41)*C42*IF(C30=1,1,1-輸入與假設!$C$394),C48*IF(C30=1,0,輸入與假設!$C$394)+MAX(0,(C45*D105+C44*輸入與假設!$C$392-C40)/C41)*C42*IF(C30=1,1,1-輸入與假設!$C$394))</f>
        <v>353.553227344813</v>
      </c>
      <c r="I106" s="6" t="s">
        <v>1881</v>
      </c>
    </row>
    <row r="107" customFormat="false" ht="15" hidden="false" customHeight="false" outlineLevel="1" collapsed="false">
      <c r="A107" s="3" t="s">
        <v>1882</v>
      </c>
      <c r="C107" s="12" t="n">
        <f aca="false">C43</f>
        <v>385.092552788685</v>
      </c>
      <c r="D107" s="9" t="n">
        <f aca="false">IF(AND((C43/MAX(輸入與假設!$C$330,0.01)-1)&gt;=輸入與假設!$C$419,$C$97&lt;輸入與假設!$C$420,$C$98&lt;=輸入與假設!$C$422),1,IF(OR((C43/MAX(輸入與假設!$C$330,0.01)-1)&lt;=輸入與假設!$C$421,AND($C$98&gt;輸入與假設!$C$422,(C43/MAX(輸入與假設!$C$330,0.01)-1)&lt;=輸入與假設!$C$423)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1883</v>
      </c>
      <c r="C108" s="12" t="n">
        <f aca="false">(C25+C28)/C29</f>
        <v>284.054683335857</v>
      </c>
    </row>
    <row r="109" customFormat="false" ht="15" hidden="false" customHeight="false" outlineLevel="1" collapsed="false">
      <c r="A109" s="3" t="s">
        <v>1884</v>
      </c>
      <c r="C109" s="93" t="n">
        <v>407.131255502041</v>
      </c>
      <c r="D109" s="12" t="n">
        <f aca="false">C109-輸入與假設!D453</f>
        <v>24.8784703958773</v>
      </c>
      <c r="I109" s="6" t="s">
        <v>1885</v>
      </c>
    </row>
    <row r="110" customFormat="false" ht="15" hidden="false" customHeight="false" outlineLevel="1" collapsed="false">
      <c r="A110" s="3" t="s">
        <v>1886</v>
      </c>
      <c r="C110" s="93" t="n">
        <v>422.483701169065</v>
      </c>
      <c r="D110" s="12" t="n">
        <f aca="false">C110-輸入與假設!D454</f>
        <v>68.930473824252</v>
      </c>
      <c r="I110" s="6" t="s">
        <v>1885</v>
      </c>
    </row>
    <row r="111" customFormat="false" ht="15" hidden="false" customHeight="false" outlineLevel="1" collapsed="false">
      <c r="A111" s="3" t="s">
        <v>1887</v>
      </c>
      <c r="C111" s="93" t="n">
        <v>422.388319718257</v>
      </c>
      <c r="D111" s="12" t="n">
        <f aca="false">C111-輸入與假設!D455</f>
        <v>70.4244655168393</v>
      </c>
      <c r="I111" s="6" t="s">
        <v>1885</v>
      </c>
    </row>
    <row r="112" customFormat="false" ht="15" hidden="false" customHeight="false" outlineLevel="1" collapsed="false">
      <c r="A112" s="3" t="s">
        <v>1888</v>
      </c>
      <c r="C112" s="94" t="n">
        <v>0.4</v>
      </c>
      <c r="D112" s="93" t="n">
        <v>283.834496294944</v>
      </c>
      <c r="I112" s="6" t="s">
        <v>1885</v>
      </c>
    </row>
    <row r="113" customFormat="false" ht="15" hidden="false" customHeight="false" outlineLevel="1" collapsed="false">
      <c r="A113" s="3" t="s">
        <v>1889</v>
      </c>
      <c r="C113" s="94" t="n">
        <v>0.8</v>
      </c>
      <c r="D113" s="93" t="n">
        <v>383.947135053589</v>
      </c>
      <c r="I113" s="6" t="s">
        <v>1885</v>
      </c>
    </row>
    <row r="114" customFormat="false" ht="15" hidden="false" customHeight="false" outlineLevel="1" collapsed="false">
      <c r="A114" s="3" t="s">
        <v>1890</v>
      </c>
      <c r="C114" s="93" t="n">
        <v>411.722188737912</v>
      </c>
      <c r="D114" s="95" t="n">
        <v>-1</v>
      </c>
      <c r="I114" s="6" t="s">
        <v>1885</v>
      </c>
    </row>
    <row r="115" customFormat="false" ht="15" hidden="false" customHeight="false" outlineLevel="1" collapsed="false">
      <c r="A115" s="3" t="s">
        <v>1891</v>
      </c>
      <c r="C115" s="93" t="n">
        <v>377.459347057478</v>
      </c>
      <c r="D115" s="95" t="n">
        <v>-1</v>
      </c>
      <c r="I115" s="6" t="s">
        <v>1885</v>
      </c>
    </row>
    <row r="116" customFormat="false" ht="15" hidden="false" customHeight="false" outlineLevel="1" collapsed="false">
      <c r="A116" s="3" t="s">
        <v>1892</v>
      </c>
      <c r="C116" s="93" t="n">
        <v>351.090073649854</v>
      </c>
      <c r="D116" s="95" t="n">
        <v>-1</v>
      </c>
      <c r="I116" s="6" t="s">
        <v>1885</v>
      </c>
    </row>
    <row r="117" customFormat="false" ht="15" hidden="false" customHeight="false" outlineLevel="1" collapsed="false">
      <c r="A117" s="3" t="s">
        <v>1893</v>
      </c>
      <c r="C117" s="93" t="n">
        <v>384.447438590343</v>
      </c>
      <c r="D117" s="95" t="n">
        <v>-1</v>
      </c>
      <c r="I117" s="6" t="s">
        <v>1885</v>
      </c>
    </row>
    <row r="118" customFormat="false" ht="15" hidden="false" customHeight="false" outlineLevel="1" collapsed="false">
      <c r="A118" s="3" t="s">
        <v>1894</v>
      </c>
      <c r="C118" s="93" t="n">
        <v>329.630801970393</v>
      </c>
      <c r="D118" s="95" t="n">
        <v>-1</v>
      </c>
      <c r="I118" s="6" t="s">
        <v>1885</v>
      </c>
    </row>
    <row r="119" customFormat="false" ht="15" hidden="false" customHeight="false" outlineLevel="1" collapsed="false">
      <c r="A119" s="3" t="s">
        <v>1895</v>
      </c>
      <c r="C119" s="93" t="n">
        <v>414.836455930156</v>
      </c>
      <c r="D119" s="95" t="n">
        <v>-1</v>
      </c>
      <c r="I119" s="6" t="s">
        <v>1885</v>
      </c>
    </row>
    <row r="120" customFormat="false" ht="15" hidden="false" customHeight="false" outlineLevel="1" collapsed="false">
      <c r="A120" s="3" t="s">
        <v>1896</v>
      </c>
      <c r="C120" s="93" t="n">
        <v>396.581427532056</v>
      </c>
      <c r="D120" s="95" t="n">
        <v>-1</v>
      </c>
      <c r="I120" s="6" t="s">
        <v>1885</v>
      </c>
    </row>
    <row r="121" customFormat="false" ht="15" hidden="false" customHeight="false" outlineLevel="1" collapsed="false">
      <c r="A121" s="3" t="s">
        <v>1897</v>
      </c>
      <c r="C121" s="93" t="n">
        <v>519.693986814014</v>
      </c>
      <c r="D121" s="95" t="n">
        <v>0</v>
      </c>
      <c r="I121" s="6" t="s">
        <v>1885</v>
      </c>
    </row>
    <row r="122" customFormat="false" ht="15" hidden="false" customHeight="false" outlineLevel="1" collapsed="false">
      <c r="A122" s="3" t="s">
        <v>1898</v>
      </c>
      <c r="C122" s="94" t="n">
        <v>0.0815302361607246</v>
      </c>
      <c r="D122" s="94" t="n">
        <v>0.0255928051663414</v>
      </c>
      <c r="I122" s="6" t="s">
        <v>1885</v>
      </c>
    </row>
    <row r="123" customFormat="false" ht="15" hidden="false" customHeight="false" outlineLevel="1" collapsed="false">
      <c r="A123" s="4" t="s">
        <v>1899</v>
      </c>
      <c r="C123" s="44" t="n">
        <v>394.223580266215</v>
      </c>
      <c r="D123" s="44" t="n">
        <v>382.252785106163</v>
      </c>
      <c r="E123" s="44" t="n">
        <v>354.539415631262</v>
      </c>
      <c r="I123" s="6" t="s">
        <v>1900</v>
      </c>
    </row>
    <row r="124" customFormat="false" ht="15" hidden="false" customHeight="false" outlineLevel="1" collapsed="false">
      <c r="A124" s="4" t="s">
        <v>1901</v>
      </c>
      <c r="C124" s="44" t="n">
        <v>347.838114375553</v>
      </c>
      <c r="D124" s="44" t="n">
        <v>353.553227344813</v>
      </c>
      <c r="E124" s="44" t="n">
        <v>517.87532317724</v>
      </c>
    </row>
    <row r="125" customFormat="false" ht="15" hidden="false" customHeight="false" outlineLevel="1" collapsed="false">
      <c r="A125" s="4" t="s">
        <v>1902</v>
      </c>
      <c r="C125" s="44" t="n">
        <v>345.484806195338</v>
      </c>
      <c r="D125" s="44" t="n">
        <v>351.963854201418</v>
      </c>
      <c r="E125" s="44" t="n">
        <v>524.381933499725</v>
      </c>
    </row>
    <row r="126" customFormat="false" ht="15" hidden="false" customHeight="false" outlineLevel="1" collapsed="false">
      <c r="A126" s="3" t="s">
        <v>1903</v>
      </c>
      <c r="C126" s="3" t="str">
        <f aca="false">"目標價 $"&amp;TEXT(C51,"0.0")&amp;"（情境區間 $"&amp;TEXT(C104,"0.0")&amp;"–$"&amp;TEXT(D104,"0.0")&amp;"）"</f>
        <v>目標價 $353.6（情境區間 $352.0–$382.3）</v>
      </c>
    </row>
    <row r="127" customFormat="false" ht="15" hidden="false" customHeight="false" outlineLevel="1" collapsed="false">
      <c r="A127" s="3" t="s">
        <v>1904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1905</v>
      </c>
      <c r="C128" s="3" t="str">
        <f aca="false">IF(ABS(輸入與假設!$C$355-D105)&lt;0.000000001,"目前點位位於方法區間上緣（"&amp;IF(D105=INT(D105),TEXT(D105,"0"),TEXT(D105,"0.0"))&amp;"x 為穩態倍數上緣）",IF(ABS(輸入與假設!$C$355-C105)&lt;0.000000001,"目前點位位於方法區間下緣（"&amp;IF(C105=INT(C105),TEXT(C105,"0"),TEXT(C105,"0.0"))&amp;"x）","目前點位"&amp;IF(AND(輸入與假設!$C$355&gt;C105,輸入與假設!$C$355&lt;D105),"位於方法區間內",IF(輸入與假設!$C$355&gt;D105,"高於方法區間上緣","低於方法區間下緣"))&amp;"（目前倍數 "&amp;IF(輸入與假設!$C$355=INT(輸入與假設!$C$355),TEXT(輸入與假設!$C$355,"0"),TEXT(輸入與假設!$C$355,"0.0"))&amp;"x）"))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1906</v>
      </c>
      <c r="C129" s="3" t="str">
        <f aca="false">IF(D104&lt;輸入與假設!$C$330,"情境區間上緣 $"&amp;TEXT(D104,"0.0")&amp;" 低於現價 $"&amp;TEXT(輸入與假設!$C$330,"0.00")&amp;IF((D101&lt;&gt;-1)+(D102&lt;&gt;-1)+(D103&lt;&gt;-1)&gt;0,"，但"&amp;SUBSTITUTE(TRIM(IF(D101&lt;&gt;-1,"保守","")&amp;"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$"&amp;TEXT(輸入與假設!$C$330,"0.00")&amp;"：賣出並非在三個擴張情境下都成立")&amp;"。"&amp;IF(ABS(E101)&lt;輸入與假設!$C$424*輸入與假設!$C$330,"保守情境 $"&amp;TEXT(C101,"0.0")&amp;"，"&amp;IF(E101&lt;0,"距賣出門檻","高於賣出門檻")&amp;" $"&amp;TEXT($C$100,"0.0")&amp;" 僅 $"&amp;TEXT(ABS(E101),"0.0")&amp;"。","")&amp;IF(ABS(E102)&lt;輸入與假設!$C$424*輸入與假設!$C$330,"基準情境 $"&amp;TEXT(C102,"0.0")&amp;"，"&amp;IF(E102&lt;0,"距賣出門檻","高於賣出門檻")&amp;" $"&amp;TEXT($C$100,"0.0")&amp;" 僅 $"&amp;TEXT(ABS(E102),"0.0")&amp;"。","")&amp;IF(ABS(E103)&lt;輸入與假設!$C$424*輸入與假設!$C$330,"積極情境 $"&amp;TEXT(C103,"0.0")&amp;"，"&amp;IF(E103&lt;0,"距賣出門檻","高於賣出門檻")&amp;" $"&amp;TEXT($C$100,"0.0")&amp;" 僅 $"&amp;TEXT(ABS(E103),"0.0")&amp;"。","")</f>
        <v>情境區間上緣 $382.3 低於現價 $529.76：賣出在三個擴張情境下都成立。</v>
      </c>
    </row>
    <row r="131" customFormat="false" ht="15" hidden="false" customHeight="false" outlineLevel="0" collapsed="false">
      <c r="A131" s="52" t="s">
        <v>1907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1908</v>
      </c>
      <c r="B132" s="14" t="s">
        <v>1909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1910</v>
      </c>
    </row>
    <row r="133" customFormat="false" ht="15" hidden="false" customHeight="false" outlineLevel="1" collapsed="false">
      <c r="A133" s="3" t="s">
        <v>1911</v>
      </c>
      <c r="B133" s="96" t="n">
        <v>3.4</v>
      </c>
      <c r="C133" s="12" t="n">
        <f aca="false">MAX(0,((INDEX(損益!$D$22:$G$22,1,1)-INDEX(輸入與假設!$D$205:$G$205,1,1))*$B133+INDEX(輸入與假設!$D$205:$G$205,1,1)*輸入與假設!$C$392-(INDEX(各期收支!$D$102:$G$102,1,1)-INDEX(各期收支!$D$56:$G$56,1,1)+評價_DCF與目標價!$C$92))/INDEX(損益!$D$24:$G$24,1,1))/(1+輸入與假設!$C$349)^(1-輸入與假設!$C$413)</f>
        <v>356.134484271885</v>
      </c>
      <c r="D133" s="12" t="n">
        <f aca="false">MAX(0,((INDEX(損益!$D$22:$G$22,1,2)-INDEX(輸入與假設!$D$205:$G$205,1,2))*$B133+INDEX(輸入與假設!$D$205:$G$205,1,2)*輸入與假設!$C$392-(INDEX(各期收支!$D$102:$G$102,1,2)-INDEX(各期收支!$D$56:$G$56,1,2)+評價_DCF與目標價!$C$92))/INDEX(損益!$D$24:$G$24,1,2))/(1+輸入與假設!$C$349)^(2-輸入與假設!$C$413)</f>
        <v>362.491881983264</v>
      </c>
      <c r="E133" s="12" t="n">
        <f aca="false">MAX(0,((INDEX(損益!$D$22:$G$22,1,3)-INDEX(輸入與假設!$D$205:$G$205,1,3))*$B133+INDEX(輸入與假設!$D$205:$G$205,1,3)*輸入與假設!$C$392-(INDEX(各期收支!$D$102:$G$102,1,3)-INDEX(各期收支!$D$56:$G$56,1,3)+評價_DCF與目標價!$C$92))/INDEX(損益!$D$24:$G$24,1,3))/(1+輸入與假設!$C$349)^(3-輸入與假設!$C$413)</f>
        <v>362.146661187156</v>
      </c>
      <c r="F133" s="12" t="n">
        <f aca="false">MAX(0,((INDEX(損益!$D$22:$G$22,1,4)-INDEX(輸入與假設!$D$205:$G$205,1,4))*$B133+INDEX(輸入與假設!$D$205:$G$205,1,4)*輸入與假設!$C$392-(INDEX(各期收支!$D$102:$G$102,1,4)-INDEX(各期收支!$D$56:$G$56,1,4)+評價_DCF與目標價!$C$92))/INDEX(損益!$D$24:$G$24,1,4))/(1+輸入與假設!$C$349)^(4-輸入與假設!$C$413)</f>
        <v>349.644602504398</v>
      </c>
    </row>
    <row r="134" customFormat="false" ht="15" hidden="false" customHeight="false" outlineLevel="1" collapsed="false">
      <c r="A134" s="3" t="s">
        <v>1912</v>
      </c>
      <c r="B134" s="96" t="n">
        <v>4.5</v>
      </c>
      <c r="C134" s="12" t="n">
        <f aca="false">MAX(0,((INDEX(損益!$D$22:$G$22,1,1)-INDEX(輸入與假設!$D$205:$G$205,1,1))*$B134+INDEX(輸入與假設!$D$205:$G$205,1,1)*輸入與假設!$C$392-(INDEX(各期收支!$D$102:$G$102,1,1)-INDEX(各期收支!$D$56:$G$56,1,1)+評價_DCF與目標價!$C$92))/INDEX(損益!$D$24:$G$24,1,1))/(1+輸入與假設!$C$349)^(1-輸入與假設!$C$413)</f>
        <v>363.474322338775</v>
      </c>
      <c r="D134" s="12" t="n">
        <f aca="false">MAX(0,((INDEX(損益!$D$22:$G$22,1,2)-INDEX(輸入與假設!$D$205:$G$205,1,2))*$B134+INDEX(輸入與假設!$D$205:$G$205,1,2)*輸入與假設!$C$392-(INDEX(各期收支!$D$102:$G$102,1,2)-INDEX(各期收支!$D$56:$G$56,1,2)+評價_DCF與目標價!$C$92))/INDEX(損益!$D$24:$G$24,1,2))/(1+輸入與假設!$C$349)^(2-輸入與假設!$C$413)</f>
        <v>372.053704247096</v>
      </c>
      <c r="E134" s="12" t="n">
        <f aca="false">MAX(0,((INDEX(損益!$D$22:$G$22,1,3)-INDEX(輸入與假設!$D$205:$G$205,1,3))*$B134+INDEX(輸入與假設!$D$205:$G$205,1,3)*輸入與假設!$C$392-(INDEX(各期收支!$D$102:$G$102,1,3)-INDEX(各期收支!$D$56:$G$56,1,3)+評價_DCF與目標價!$C$92))/INDEX(損益!$D$24:$G$24,1,3))/(1+輸入與假設!$C$349)^(3-輸入與假設!$C$413)</f>
        <v>373.40728092598</v>
      </c>
      <c r="F134" s="12" t="n">
        <f aca="false">MAX(0,((INDEX(損益!$D$22:$G$22,1,4)-INDEX(輸入與假設!$D$205:$G$205,1,4))*$B134+INDEX(輸入與假設!$D$205:$G$205,1,4)*輸入與假設!$C$392-(INDEX(各期收支!$D$102:$G$102,1,4)-INDEX(各期收支!$D$56:$G$56,1,4)+評價_DCF與目標價!$C$92))/INDEX(損益!$D$24:$G$24,1,4))/(1+輸入與假設!$C$349)^(4-輸入與假設!$C$413)</f>
        <v>362.11999669307</v>
      </c>
    </row>
    <row r="135" customFormat="false" ht="15" hidden="false" customHeight="false" outlineLevel="1" collapsed="false">
      <c r="A135" s="3" t="s">
        <v>1913</v>
      </c>
      <c r="B135" s="96" t="n">
        <v>5</v>
      </c>
      <c r="C135" s="12" t="n">
        <f aca="false">MAX(0,((INDEX(損益!$D$22:$G$22,1,1)-INDEX(輸入與假設!$D$205:$G$205,1,1))*$B135+INDEX(輸入與假設!$D$205:$G$205,1,1)*輸入與假設!$C$392-(INDEX(各期收支!$D$102:$G$102,1,1)-INDEX(各期收支!$D$56:$G$56,1,1)+評價_DCF與目標價!$C$92))/INDEX(損益!$D$24:$G$24,1,1))/(1+輸入與假設!$C$349)^(1-輸入與假設!$C$413)</f>
        <v>366.81061236918</v>
      </c>
      <c r="D135" s="12" t="n">
        <f aca="false">MAX(0,((INDEX(損益!$D$22:$G$22,1,2)-INDEX(輸入與假設!$D$205:$G$205,1,2))*$B135+INDEX(輸入與假設!$D$205:$G$205,1,2)*輸入與假設!$C$392-(INDEX(各期收支!$D$102:$G$102,1,2)-INDEX(各期收支!$D$56:$G$56,1,2)+評價_DCF與目標價!$C$92))/INDEX(損益!$D$24:$G$24,1,2))/(1+輸入與假設!$C$349)^(2-輸入與假設!$C$413)</f>
        <v>376.399987094293</v>
      </c>
      <c r="E135" s="12" t="n">
        <f aca="false">MAX(0,((INDEX(損益!$D$22:$G$22,1,3)-INDEX(輸入與假設!$D$205:$G$205,1,3))*$B135+INDEX(輸入與假設!$D$205:$G$205,1,3)*輸入與假設!$C$392-(INDEX(各期收支!$D$102:$G$102,1,3)-INDEX(各期收支!$D$56:$G$56,1,3)+評價_DCF與目標價!$C$92))/INDEX(損益!$D$24:$G$24,1,3))/(1+輸入與假設!$C$349)^(3-輸入與假設!$C$413)</f>
        <v>378.525744443627</v>
      </c>
      <c r="F135" s="12" t="n">
        <f aca="false">MAX(0,((INDEX(損益!$D$22:$G$22,1,4)-INDEX(輸入與假設!$D$205:$G$205,1,4))*$B135+INDEX(輸入與假設!$D$205:$G$205,1,4)*輸入與假設!$C$392-(INDEX(各期收支!$D$102:$G$102,1,4)-INDEX(各期收支!$D$56:$G$56,1,4)+評價_DCF與目標價!$C$92))/INDEX(損益!$D$24:$G$24,1,4))/(1+輸入與假設!$C$349)^(4-輸入與假設!$C$413)</f>
        <v>367.790630415193</v>
      </c>
    </row>
    <row r="136" customFormat="false" ht="15" hidden="false" customHeight="false" outlineLevel="1" collapsed="false">
      <c r="A136" s="3" t="s">
        <v>1914</v>
      </c>
      <c r="B136" s="96" t="n">
        <v>6</v>
      </c>
      <c r="C136" s="12" t="n">
        <f aca="false">MAX(0,((INDEX(損益!$D$22:$G$22,1,1)-INDEX(輸入與假設!$D$205:$G$205,1,1))*$B136+INDEX(輸入與假設!$D$205:$G$205,1,1)*輸入與假設!$C$392-(INDEX(各期收支!$D$102:$G$102,1,1)-INDEX(各期收支!$D$56:$G$56,1,1)+評價_DCF與目標價!$C$92))/INDEX(損益!$D$24:$G$24,1,1))/(1+輸入與假設!$C$349)^(1-輸入與假設!$C$413)</f>
        <v>373.483192429989</v>
      </c>
      <c r="D136" s="12" t="n">
        <f aca="false">MAX(0,((INDEX(損益!$D$22:$G$22,1,2)-INDEX(輸入與假設!$D$205:$G$205,1,2))*$B136+INDEX(輸入與假設!$D$205:$G$205,1,2)*輸入與假設!$C$392-(INDEX(各期收支!$D$102:$G$102,1,2)-INDEX(各期收支!$D$56:$G$56,1,2)+評價_DCF與目標價!$C$92))/INDEX(損益!$D$24:$G$24,1,2))/(1+輸入與假設!$C$349)^(2-輸入與假設!$C$413)</f>
        <v>385.092552788685</v>
      </c>
      <c r="E136" s="12" t="n">
        <f aca="false">MAX(0,((INDEX(損益!$D$22:$G$22,1,3)-INDEX(輸入與假設!$D$205:$G$205,1,3))*$B136+INDEX(輸入與假設!$D$205:$G$205,1,3)*輸入與假設!$C$392-(INDEX(各期收支!$D$102:$G$102,1,3)-INDEX(各期收支!$D$56:$G$56,1,3)+評價_DCF與目標價!$C$92))/INDEX(損益!$D$24:$G$24,1,3))/(1+輸入與假設!$C$349)^(3-輸入與假設!$C$413)</f>
        <v>388.762671478922</v>
      </c>
      <c r="F136" s="12" t="n">
        <f aca="false">MAX(0,((INDEX(損益!$D$22:$G$22,1,4)-INDEX(輸入與假設!$D$205:$G$205,1,4))*$B136+INDEX(輸入與假設!$D$205:$G$205,1,4)*輸入與假設!$C$392-(INDEX(各期收支!$D$102:$G$102,1,4)-INDEX(各期收支!$D$56:$G$56,1,4)+評價_DCF與目標價!$C$92))/INDEX(損益!$D$24:$G$24,1,4))/(1+輸入與假設!$C$349)^(4-輸入與假設!$C$413)</f>
        <v>379.13189785944</v>
      </c>
    </row>
    <row r="137" customFormat="false" ht="15" hidden="false" customHeight="false" outlineLevel="1" collapsed="false">
      <c r="A137" s="3" t="s">
        <v>1915</v>
      </c>
      <c r="B137" s="96" t="n">
        <v>7</v>
      </c>
      <c r="C137" s="12" t="n">
        <f aca="false">MAX(0,((INDEX(損益!$D$22:$G$22,1,1)-INDEX(輸入與假設!$D$205:$G$205,1,1))*$B137+INDEX(輸入與假設!$D$205:$G$205,1,1)*輸入與假設!$C$392-(INDEX(各期收支!$D$102:$G$102,1,1)-INDEX(各期收支!$D$56:$G$56,1,1)+評價_DCF與目標價!$C$92))/INDEX(損益!$D$24:$G$24,1,1))/(1+輸入與假設!$C$349)^(1-輸入與假設!$C$413)</f>
        <v>380.155772490798</v>
      </c>
      <c r="D137" s="12" t="n">
        <f aca="false">MAX(0,((INDEX(損益!$D$22:$G$22,1,2)-INDEX(輸入與假設!$D$205:$G$205,1,2))*$B137+INDEX(輸入與假設!$D$205:$G$205,1,2)*輸入與假設!$C$392-(INDEX(各期收支!$D$102:$G$102,1,2)-INDEX(各期收支!$D$56:$G$56,1,2)+評價_DCF與目標價!$C$92))/INDEX(損益!$D$24:$G$24,1,2))/(1+輸入與假設!$C$349)^(2-輸入與假設!$C$413)</f>
        <v>393.785118483078</v>
      </c>
      <c r="E137" s="12" t="n">
        <f aca="false">MAX(0,((INDEX(損益!$D$22:$G$22,1,3)-INDEX(輸入與假設!$D$205:$G$205,1,3))*$B137+INDEX(輸入與假設!$D$205:$G$205,1,3)*輸入與假設!$C$392-(INDEX(各期收支!$D$102:$G$102,1,3)-INDEX(各期收支!$D$56:$G$56,1,3)+評價_DCF與目標價!$C$92))/INDEX(損益!$D$24:$G$24,1,3))/(1+輸入與假設!$C$349)^(3-輸入與假設!$C$413)</f>
        <v>398.999598514217</v>
      </c>
      <c r="F137" s="12" t="n">
        <f aca="false">MAX(0,((INDEX(損益!$D$22:$G$22,1,4)-INDEX(輸入與假設!$D$205:$G$205,1,4))*$B137+INDEX(輸入與假設!$D$205:$G$205,1,4)*輸入與假設!$C$392-(INDEX(各期收支!$D$102:$G$102,1,4)-INDEX(各期收支!$D$56:$G$56,1,4)+評價_DCF與目標價!$C$92))/INDEX(損益!$D$24:$G$24,1,4))/(1+輸入與假設!$C$349)^(4-輸入與假設!$C$413)</f>
        <v>390.473165303687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1916</v>
      </c>
      <c r="B139" s="14" t="s">
        <v>1909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1917</v>
      </c>
      <c r="B140" s="96" t="n">
        <v>3.4</v>
      </c>
      <c r="C140" s="12" t="n">
        <f aca="false">C48*IF(C30=1,0,輸入與假設!$C$394)+C133*IF(C30=1,1,1-輸入與假設!$C$394)</f>
        <v>337.626289660572</v>
      </c>
      <c r="D140" s="12" t="n">
        <f aca="false">C48*IF(C30=1,0,輸入與假設!$C$394)+D133*IF(C30=1,1,1-輸入與假設!$C$394)</f>
        <v>341.122858401831</v>
      </c>
      <c r="E140" s="12" t="n">
        <f aca="false">C48*IF(C30=1,0,輸入與假設!$C$394)+E133*IF(C30=1,1,1-輸入與假設!$C$394)</f>
        <v>340.932986963971</v>
      </c>
      <c r="F140" s="12" t="n">
        <f aca="false">C48*IF(C30=1,0,輸入與假設!$C$394)+F133*IF(C30=1,1,1-輸入與假設!$C$394)</f>
        <v>334.056854688454</v>
      </c>
    </row>
    <row r="141" customFormat="false" ht="15" hidden="false" customHeight="false" outlineLevel="1" collapsed="false">
      <c r="A141" s="3" t="s">
        <v>1918</v>
      </c>
      <c r="B141" s="96" t="n">
        <v>4.5</v>
      </c>
      <c r="C141" s="12" t="n">
        <f aca="false">C48*IF(C30=1,0,輸入與假設!$C$394)+C134*IF(C30=1,1,1-輸入與假設!$C$394)</f>
        <v>341.663200597362</v>
      </c>
      <c r="D141" s="12" t="n">
        <f aca="false">C48*IF(C30=1,0,輸入與假設!$C$394)+D134*IF(C30=1,1,1-輸入與假設!$C$394)</f>
        <v>346.381860646938</v>
      </c>
      <c r="E141" s="12" t="n">
        <f aca="false">C48*IF(C30=1,0,輸入與假設!$C$394)+E134*IF(C30=1,1,1-輸入與假設!$C$394)</f>
        <v>347.126327820325</v>
      </c>
      <c r="F141" s="12" t="n">
        <f aca="false">C48*IF(C30=1,0,輸入與假設!$C$394)+F134*IF(C30=1,1,1-輸入與假設!$C$394)</f>
        <v>340.918321492224</v>
      </c>
    </row>
    <row r="142" customFormat="false" ht="15" hidden="false" customHeight="false" outlineLevel="1" collapsed="false">
      <c r="A142" s="3" t="s">
        <v>1919</v>
      </c>
      <c r="B142" s="96" t="n">
        <v>5</v>
      </c>
      <c r="C142" s="12" t="n">
        <f aca="false">C48*IF(C30=1,0,輸入與假設!$C$394)+C135*IF(C30=1,1,1-輸入與假設!$C$394)</f>
        <v>343.498160114084</v>
      </c>
      <c r="D142" s="12" t="n">
        <f aca="false">C48*IF(C30=1,0,輸入與假設!$C$394)+D135*IF(C30=1,1,1-輸入與假設!$C$394)</f>
        <v>348.772316212897</v>
      </c>
      <c r="E142" s="12" t="n">
        <f aca="false">C48*IF(C30=1,0,輸入與假設!$C$394)+E135*IF(C30=1,1,1-輸入與假設!$C$394)</f>
        <v>349.941482755031</v>
      </c>
      <c r="F142" s="12" t="n">
        <f aca="false">C48*IF(C30=1,0,輸入與假設!$C$394)+F135*IF(C30=1,1,1-輸入與假設!$C$394)</f>
        <v>344.037170039392</v>
      </c>
    </row>
    <row r="143" customFormat="false" ht="15" hidden="false" customHeight="false" outlineLevel="1" collapsed="false">
      <c r="A143" s="3" t="s">
        <v>1920</v>
      </c>
      <c r="B143" s="96" t="n">
        <v>6</v>
      </c>
      <c r="C143" s="12" t="n">
        <f aca="false">C48*IF(C30=1,0,輸入與假設!$C$394)+C136*IF(C30=1,1,1-輸入與假設!$C$394)</f>
        <v>347.168079147529</v>
      </c>
      <c r="D143" s="12" t="n">
        <f aca="false">C48*IF(C30=1,0,輸入與假設!$C$394)+D136*IF(C30=1,1,1-輸入與假設!$C$394)</f>
        <v>353.553227344813</v>
      </c>
      <c r="E143" s="12" t="n">
        <f aca="false">C48*IF(C30=1,0,輸入與假設!$C$394)+E136*IF(C30=1,1,1-輸入與假設!$C$394)</f>
        <v>355.571792624443</v>
      </c>
      <c r="F143" s="12" t="n">
        <f aca="false">C48*IF(C30=1,0,輸入與假設!$C$394)+F136*IF(C30=1,1,1-輸入與假設!$C$394)</f>
        <v>350.274867133728</v>
      </c>
    </row>
    <row r="144" customFormat="false" ht="15" hidden="false" customHeight="false" outlineLevel="1" collapsed="false">
      <c r="A144" s="3" t="s">
        <v>1921</v>
      </c>
      <c r="B144" s="96" t="n">
        <v>7</v>
      </c>
      <c r="C144" s="12" t="n">
        <f aca="false">C48*IF(C30=1,0,輸入與假設!$C$394)+C137*IF(C30=1,1,1-輸入與假設!$C$394)</f>
        <v>350.837998180974</v>
      </c>
      <c r="D144" s="12" t="n">
        <f aca="false">C48*IF(C30=1,0,輸入與假設!$C$394)+D137*IF(C30=1,1,1-輸入與假設!$C$394)</f>
        <v>358.334138476728</v>
      </c>
      <c r="E144" s="12" t="n">
        <f aca="false">C48*IF(C30=1,0,輸入與假設!$C$394)+E137*IF(C30=1,1,1-輸入與假設!$C$394)</f>
        <v>361.202102493855</v>
      </c>
      <c r="F144" s="12" t="n">
        <f aca="false">C48*IF(C30=1,0,輸入與假設!$C$394)+F137*IF(C30=1,1,1-輸入與假設!$C$394)</f>
        <v>356.512564228063</v>
      </c>
    </row>
  </sheetData>
  <conditionalFormatting sqref="C133:F137">
    <cfRule type="cellIs" priority="2" operator="greaterThanOrEqual" aboveAverage="0" equalAverage="0" bottom="0" percent="0" rank="0" text="" dxfId="0">
      <formula>輸入與假設!$C$330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1922</v>
      </c>
    </row>
    <row r="2" customFormat="false" ht="15" hidden="false" customHeight="false" outlineLevel="0" collapsed="false">
      <c r="A2" s="6" t="s">
        <v>1923</v>
      </c>
    </row>
    <row r="4" customFormat="false" ht="15" hidden="false" customHeight="false" outlineLevel="0" collapsed="false">
      <c r="A4" s="52" t="s">
        <v>1924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1811</v>
      </c>
      <c r="B5" s="97" t="n">
        <f aca="false">輸入與假設!$C$330</f>
        <v>529.76</v>
      </c>
    </row>
    <row r="6" customFormat="false" ht="15" hidden="false" customHeight="false" outlineLevel="1" collapsed="false">
      <c r="A6" s="3" t="s">
        <v>1925</v>
      </c>
      <c r="B6" s="97" t="n">
        <f aca="false">評價_DCF與目標價!C26</f>
        <v>284.054683335857</v>
      </c>
    </row>
    <row r="7" customFormat="false" ht="15" hidden="false" customHeight="false" outlineLevel="1" collapsed="false">
      <c r="A7" s="2" t="s">
        <v>1926</v>
      </c>
      <c r="B7" s="91" t="n">
        <f aca="false">B6-B5</f>
        <v>-245.705316664143</v>
      </c>
    </row>
    <row r="8" customFormat="false" ht="15" hidden="false" customHeight="false" outlineLevel="1" collapsed="false">
      <c r="A8" s="3" t="s">
        <v>1927</v>
      </c>
      <c r="B8" s="98" t="n">
        <f aca="false">輸入與假設!$C$32</f>
        <v>1</v>
      </c>
      <c r="C8" s="98" t="n">
        <f aca="false">輸入與假設!$C$233</f>
        <v>1</v>
      </c>
    </row>
    <row r="10" customFormat="false" ht="15" hidden="false" customHeight="false" outlineLevel="0" collapsed="false">
      <c r="A10" s="52" t="s">
        <v>1928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1929</v>
      </c>
    </row>
    <row r="12" customFormat="false" ht="15" hidden="false" customHeight="false" outlineLevel="1" collapsed="false">
      <c r="A12" s="6" t="s">
        <v>1930</v>
      </c>
    </row>
    <row r="13" customFormat="false" ht="15" hidden="false" customHeight="false" outlineLevel="1" collapsed="false">
      <c r="A13" s="6" t="s">
        <v>1931</v>
      </c>
    </row>
    <row r="14" customFormat="false" ht="15" hidden="false" customHeight="false" outlineLevel="1" collapsed="false">
      <c r="A14" s="6" t="s">
        <v>1932</v>
      </c>
    </row>
    <row r="16" customFormat="false" ht="15" hidden="false" customHeight="false" outlineLevel="0" collapsed="false">
      <c r="A16" s="52" t="s">
        <v>1933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1934</v>
      </c>
      <c r="B17" s="14" t="s">
        <v>1935</v>
      </c>
      <c r="C17" s="14" t="s">
        <v>1936</v>
      </c>
      <c r="D17" s="14" t="s">
        <v>1937</v>
      </c>
      <c r="G17" s="14" t="s">
        <v>1938</v>
      </c>
    </row>
    <row r="18" customFormat="false" ht="15" hidden="false" customHeight="false" outlineLevel="1" collapsed="false">
      <c r="A18" s="4" t="s">
        <v>1939</v>
      </c>
      <c r="B18" s="99" t="n">
        <v>13.0191</v>
      </c>
      <c r="C18" s="99" t="n">
        <v>34.3118</v>
      </c>
      <c r="D18" s="60" t="n">
        <v>1.6355</v>
      </c>
      <c r="G18" s="11" t="s">
        <v>1940</v>
      </c>
    </row>
    <row r="19" customFormat="false" ht="15" hidden="false" customHeight="false" outlineLevel="1" collapsed="false">
      <c r="A19" s="3" t="s">
        <v>1941</v>
      </c>
      <c r="B19" s="99" t="n">
        <v>45.1743</v>
      </c>
      <c r="C19" s="100" t="s">
        <v>1942</v>
      </c>
      <c r="D19" s="62" t="s">
        <v>1942</v>
      </c>
      <c r="G19" s="11" t="s">
        <v>1943</v>
      </c>
    </row>
    <row r="20" customFormat="false" ht="15" hidden="false" customHeight="false" outlineLevel="1" collapsed="false">
      <c r="A20" s="3" t="s">
        <v>481</v>
      </c>
      <c r="B20" s="60" t="n">
        <v>0.79</v>
      </c>
      <c r="C20" s="62" t="s">
        <v>1942</v>
      </c>
      <c r="D20" s="62" t="s">
        <v>1942</v>
      </c>
      <c r="G20" s="11" t="s">
        <v>1944</v>
      </c>
    </row>
    <row r="21" customFormat="false" ht="15" hidden="false" customHeight="false" outlineLevel="1" collapsed="false">
      <c r="A21" s="3" t="s">
        <v>1945</v>
      </c>
      <c r="B21" s="99" t="n">
        <v>13.0191</v>
      </c>
      <c r="C21" s="99" t="n">
        <v>35.5259</v>
      </c>
      <c r="D21" s="60" t="n">
        <v>1.7288</v>
      </c>
      <c r="G21" s="6" t="s">
        <v>1946</v>
      </c>
    </row>
    <row r="23" customFormat="false" ht="15" hidden="false" customHeight="false" outlineLevel="0" collapsed="false">
      <c r="A23" s="52" t="s">
        <v>1947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1948</v>
      </c>
      <c r="B24" s="101" t="n">
        <v>0.35</v>
      </c>
      <c r="C24" s="101" t="n">
        <v>0.47</v>
      </c>
      <c r="D24" s="101" t="n">
        <v>0.59</v>
      </c>
      <c r="E24" s="101" t="n">
        <v>0.7</v>
      </c>
      <c r="I24" s="6" t="s">
        <v>1949</v>
      </c>
    </row>
    <row r="25" customFormat="false" ht="15" hidden="false" customHeight="false" outlineLevel="1" collapsed="false">
      <c r="A25" s="4" t="s">
        <v>1950</v>
      </c>
      <c r="B25" s="99" t="n">
        <v>30.33</v>
      </c>
      <c r="C25" s="99" t="n">
        <v>30.33</v>
      </c>
      <c r="D25" s="99" t="n">
        <v>30.33</v>
      </c>
      <c r="E25" s="99" t="n">
        <v>30.33</v>
      </c>
    </row>
    <row r="26" customFormat="false" ht="15" hidden="false" customHeight="false" outlineLevel="1" collapsed="false">
      <c r="A26" s="4" t="s">
        <v>1951</v>
      </c>
      <c r="B26" s="99" t="n">
        <v>31.73</v>
      </c>
      <c r="C26" s="99" t="n">
        <v>31.73</v>
      </c>
      <c r="D26" s="99" t="n">
        <v>31.73</v>
      </c>
      <c r="E26" s="99" t="n">
        <v>31.73</v>
      </c>
    </row>
    <row r="27" customFormat="false" ht="15" hidden="false" customHeight="false" outlineLevel="1" collapsed="false">
      <c r="A27" s="4" t="s">
        <v>1952</v>
      </c>
      <c r="B27" s="99" t="n">
        <v>33.06</v>
      </c>
      <c r="C27" s="99" t="n">
        <v>33.06</v>
      </c>
      <c r="D27" s="99" t="n">
        <v>33.06</v>
      </c>
      <c r="E27" s="99" t="n">
        <v>33.06</v>
      </c>
    </row>
    <row r="28" customFormat="false" ht="15" hidden="false" customHeight="false" outlineLevel="1" collapsed="false">
      <c r="A28" s="4" t="s">
        <v>1953</v>
      </c>
      <c r="B28" s="99" t="n">
        <v>34.31</v>
      </c>
      <c r="C28" s="99" t="n">
        <v>34.31</v>
      </c>
      <c r="D28" s="99" t="n">
        <v>34.31</v>
      </c>
      <c r="E28" s="99" t="n">
        <v>34.31</v>
      </c>
    </row>
    <row r="29" customFormat="false" ht="15" hidden="false" customHeight="false" outlineLevel="1" collapsed="false">
      <c r="A29" s="4" t="s">
        <v>1954</v>
      </c>
      <c r="B29" s="99" t="n">
        <v>35.49</v>
      </c>
      <c r="C29" s="99" t="n">
        <v>35.49</v>
      </c>
      <c r="D29" s="99" t="n">
        <v>35.49</v>
      </c>
      <c r="E29" s="99" t="n">
        <v>35.49</v>
      </c>
    </row>
    <row r="30" customFormat="false" ht="15" hidden="false" customHeight="false" outlineLevel="1" collapsed="false">
      <c r="A30" s="6" t="s">
        <v>1955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1956</v>
      </c>
    </row>
    <row r="2" customFormat="false" ht="15" hidden="false" customHeight="false" outlineLevel="0" collapsed="false">
      <c r="A2" s="11" t="s">
        <v>1957</v>
      </c>
    </row>
    <row r="4" customFormat="false" ht="17.15" hidden="false" customHeight="false" outlineLevel="0" collapsed="false">
      <c r="A4" s="14" t="s">
        <v>1958</v>
      </c>
      <c r="B4" s="14" t="s">
        <v>1959</v>
      </c>
      <c r="C4" s="14" t="s">
        <v>1960</v>
      </c>
      <c r="D4" s="15" t="s">
        <v>1961</v>
      </c>
      <c r="E4" s="15" t="s">
        <v>1962</v>
      </c>
      <c r="F4" s="102" t="s">
        <v>1963</v>
      </c>
      <c r="G4" s="14" t="s">
        <v>1964</v>
      </c>
      <c r="H4" s="15" t="s">
        <v>1965</v>
      </c>
      <c r="I4" s="15" t="s">
        <v>1966</v>
      </c>
      <c r="J4" s="14" t="s">
        <v>1967</v>
      </c>
      <c r="K4" s="14" t="s">
        <v>914</v>
      </c>
    </row>
    <row r="5" customFormat="false" ht="15" hidden="false" customHeight="false" outlineLevel="0" collapsed="false">
      <c r="A5" s="4" t="s">
        <v>1968</v>
      </c>
      <c r="B5" s="24" t="n">
        <v>49.11</v>
      </c>
      <c r="C5" s="24" t="n">
        <v>46.03</v>
      </c>
      <c r="D5" s="59" t="n">
        <f aca="false">B5+C5</f>
        <v>95.14</v>
      </c>
      <c r="E5" s="24" t="n">
        <v>7.59</v>
      </c>
      <c r="F5" s="103" t="n">
        <f aca="false">D5/E5</f>
        <v>12.5349143610013</v>
      </c>
      <c r="G5" s="104" t="n">
        <f aca="false">(D5+16.54)/E5</f>
        <v>14.7140974967062</v>
      </c>
      <c r="H5" s="24" t="n">
        <f aca="false">-0.231+3.991</f>
        <v>3.76</v>
      </c>
      <c r="I5" s="104" t="n">
        <f aca="false">IF(H5&gt;0,D5/H5,"n/m")</f>
        <v>25.3031914893617</v>
      </c>
      <c r="J5" s="11" t="s">
        <v>1969</v>
      </c>
      <c r="K5" s="6" t="s">
        <v>1970</v>
      </c>
    </row>
    <row r="6" customFormat="false" ht="15" hidden="false" customHeight="false" outlineLevel="0" collapsed="false">
      <c r="A6" s="4" t="s">
        <v>1971</v>
      </c>
      <c r="B6" s="24" t="n">
        <v>68.49</v>
      </c>
      <c r="C6" s="24" t="n">
        <v>2.15</v>
      </c>
      <c r="D6" s="59" t="n">
        <f aca="false">B6+C6</f>
        <v>70.64</v>
      </c>
      <c r="E6" s="24" t="n">
        <v>1.36</v>
      </c>
      <c r="F6" s="103" t="n">
        <f aca="false">D6/E6</f>
        <v>51.9411764705882</v>
      </c>
      <c r="G6" s="104" t="n">
        <f aca="false">(D6+1.6253)/E6</f>
        <v>53.13625</v>
      </c>
      <c r="H6" s="24" t="n">
        <f aca="false">-0.612+0.418</f>
        <v>-0.194</v>
      </c>
      <c r="I6" s="104" t="str">
        <f aca="false">IF(H6&gt;0,D6/H6,"n/m")</f>
        <v>n/m</v>
      </c>
      <c r="J6" s="6" t="s">
        <v>1972</v>
      </c>
      <c r="K6" s="6" t="s">
        <v>1973</v>
      </c>
    </row>
    <row r="7" customFormat="false" ht="15" hidden="false" customHeight="false" outlineLevel="0" collapsed="false">
      <c r="A7" s="4" t="s">
        <v>1974</v>
      </c>
      <c r="B7" s="24" t="n">
        <v>18.61</v>
      </c>
      <c r="C7" s="24" t="n">
        <v>1.7</v>
      </c>
      <c r="D7" s="59" t="n">
        <f aca="false">B7+C7</f>
        <v>20.31</v>
      </c>
      <c r="E7" s="24" t="n">
        <v>0.707</v>
      </c>
      <c r="F7" s="103" t="n">
        <f aca="false">D7/E7</f>
        <v>28.7270155586987</v>
      </c>
      <c r="G7" s="104" t="n">
        <f aca="false">(D7+0.003)/E7</f>
        <v>28.7312588401697</v>
      </c>
      <c r="H7" s="24" t="n">
        <f aca="false">-1.047+0.418</f>
        <v>-0.629</v>
      </c>
      <c r="I7" s="104" t="str">
        <f aca="false">IF(H7&gt;0,D7/H7,"n/m")</f>
        <v>n/m</v>
      </c>
      <c r="J7" s="11" t="s">
        <v>1975</v>
      </c>
      <c r="K7" s="6" t="s">
        <v>1976</v>
      </c>
    </row>
    <row r="8" customFormat="false" ht="15" hidden="false" customHeight="false" outlineLevel="0" collapsed="false">
      <c r="A8" s="4" t="s">
        <v>1977</v>
      </c>
      <c r="B8" s="24" t="n">
        <v>8.22</v>
      </c>
      <c r="C8" s="24" t="n">
        <v>3.37</v>
      </c>
      <c r="D8" s="59" t="n">
        <f aca="false">B8+C8</f>
        <v>11.59</v>
      </c>
      <c r="E8" s="24" t="n">
        <v>0.6113</v>
      </c>
      <c r="F8" s="103" t="n">
        <f aca="false">D8/E8</f>
        <v>18.9595943072141</v>
      </c>
      <c r="G8" s="104" t="n">
        <f aca="false">(D8+0.066)/E8</f>
        <v>19.0675609357108</v>
      </c>
      <c r="H8" s="24" t="n">
        <f aca="false">-0.236+0.067</f>
        <v>-0.169</v>
      </c>
      <c r="I8" s="104" t="str">
        <f aca="false">IF(H8&gt;0,D8/H8,"n/m")</f>
        <v>n/m</v>
      </c>
      <c r="J8" s="11" t="s">
        <v>1978</v>
      </c>
      <c r="K8" s="6" t="s">
        <v>1979</v>
      </c>
    </row>
    <row r="9" customFormat="false" ht="15" hidden="false" customHeight="false" outlineLevel="0" collapsed="false">
      <c r="A9" s="4" t="s">
        <v>1980</v>
      </c>
      <c r="B9" s="24" t="n">
        <v>5.9</v>
      </c>
      <c r="C9" s="24" t="n">
        <v>2.53</v>
      </c>
      <c r="D9" s="59" t="n">
        <f aca="false">B9+C9</f>
        <v>8.43</v>
      </c>
      <c r="E9" s="24" t="n">
        <v>0.4403</v>
      </c>
      <c r="F9" s="103" t="n">
        <f aca="false">D9/E9</f>
        <v>19.1460367930956</v>
      </c>
      <c r="G9" s="104" t="n">
        <f aca="false">(D9+0.109)/E9</f>
        <v>19.3935952759482</v>
      </c>
      <c r="H9" s="24" t="n">
        <f aca="false">-0.561+0.063</f>
        <v>-0.498</v>
      </c>
      <c r="I9" s="104" t="str">
        <f aca="false">IF(H9&gt;0,D9/H9,"n/m")</f>
        <v>n/m</v>
      </c>
      <c r="J9" s="11" t="s">
        <v>1981</v>
      </c>
      <c r="K9" s="6" t="s">
        <v>1982</v>
      </c>
    </row>
    <row r="10" customFormat="false" ht="15" hidden="false" customHeight="false" outlineLevel="0" collapsed="false">
      <c r="A10" s="2" t="s">
        <v>1983</v>
      </c>
      <c r="F10" s="83" t="n">
        <f aca="false">MEDIAN(F5:F9)</f>
        <v>19.1460367930956</v>
      </c>
      <c r="G10" s="105" t="n">
        <f aca="false">MEDIAN(G5:G9)</f>
        <v>19.3935952759482</v>
      </c>
    </row>
    <row r="11" customFormat="false" ht="15" hidden="false" customHeight="false" outlineLevel="0" collapsed="false">
      <c r="A11" s="84" t="s">
        <v>1984</v>
      </c>
      <c r="B11" s="81" t="n">
        <v>3934.5</v>
      </c>
      <c r="C11" s="82" t="n">
        <f aca="false">輸入與假設!$C$332+SUMPRODUCT(資產負債_既有債務!$C$29:$C$29*(1-資產負債_既有債務!$H$25:$H$25))+輸入與假設!$C$338</f>
        <v>-201.107</v>
      </c>
      <c r="D11" s="57" t="n">
        <f aca="false">B11+C11</f>
        <v>3733.393</v>
      </c>
      <c r="E11" s="81" t="n">
        <v>331.839</v>
      </c>
      <c r="F11" s="83" t="n">
        <f aca="false">D11/E11</f>
        <v>11.2506155093283</v>
      </c>
      <c r="G11" s="105" t="n">
        <f aca="false">(D11+21.925)/E11</f>
        <v>11.3166867065053</v>
      </c>
      <c r="H11" s="81" t="n">
        <f aca="false">155.237+38.534</f>
        <v>193.771</v>
      </c>
      <c r="I11" s="105" t="n">
        <f aca="false">IF(H11&gt;0,D11/H11,"n/m")</f>
        <v>19.2670368631013</v>
      </c>
      <c r="J11" s="11" t="s">
        <v>1985</v>
      </c>
      <c r="K11" s="11" t="s">
        <v>1986</v>
      </c>
    </row>
    <row r="12" customFormat="false" ht="15" hidden="false" customHeight="false" outlineLevel="0" collapsed="false">
      <c r="A12" s="4" t="s">
        <v>1987</v>
      </c>
      <c r="B12" s="57" t="n">
        <f aca="false">輸入與假設!$C$330*評價_DCF與目標價!$C$90</f>
        <v>3948.30128</v>
      </c>
      <c r="C12" s="57" t="n">
        <f aca="false">評價_DCF與目標價!$C$91</f>
        <v>-201.107</v>
      </c>
      <c r="D12" s="57" t="n">
        <f aca="false">B12+C12</f>
        <v>3747.19428</v>
      </c>
      <c r="E12" s="82" t="n">
        <f aca="false">損益!D9</f>
        <v>471.424331883435</v>
      </c>
      <c r="F12" s="105" t="n">
        <f aca="false">D12/E12</f>
        <v>7.94866540941832</v>
      </c>
      <c r="G12" s="105" t="n">
        <f aca="false">(D12+21.925)/E12</f>
        <v>7.9951734034211</v>
      </c>
      <c r="H12" s="82" t="n">
        <f aca="false">損益!D22</f>
        <v>282.294012512336</v>
      </c>
      <c r="I12" s="105" t="n">
        <f aca="false">D12/H12</f>
        <v>13.2740834516859</v>
      </c>
      <c r="K12" s="6" t="s">
        <v>1988</v>
      </c>
    </row>
    <row r="14" customFormat="false" ht="15" hidden="false" customHeight="false" outlineLevel="0" collapsed="false">
      <c r="A14" s="6" t="s">
        <v>1989</v>
      </c>
    </row>
    <row r="15" customFormat="false" ht="15" hidden="false" customHeight="false" outlineLevel="0" collapsed="false">
      <c r="A15" s="11" t="s">
        <v>1990</v>
      </c>
    </row>
    <row r="16" customFormat="false" ht="15" hidden="false" customHeight="false" outlineLevel="0" collapsed="false">
      <c r="A16" s="6" t="s">
        <v>1991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1992</v>
      </c>
    </row>
    <row r="2" customFormat="false" ht="15" hidden="false" customHeight="false" outlineLevel="0" collapsed="false">
      <c r="A2" s="6" t="s">
        <v>1993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1027</v>
      </c>
    </row>
    <row r="5" customFormat="false" ht="15" hidden="false" customHeight="false" outlineLevel="0" collapsed="false">
      <c r="A5" s="3" t="s">
        <v>1994</v>
      </c>
      <c r="B5" s="11" t="s">
        <v>65</v>
      </c>
      <c r="C5" s="39" t="n">
        <f aca="false">運營_產能與收入!C26/輸入與假設!C$34</f>
        <v>53.7509665923748</v>
      </c>
      <c r="D5" s="39" t="n">
        <f aca="false">運營_產能與收入!D26/輸入與假設!D$34</f>
        <v>84.7303658545521</v>
      </c>
      <c r="E5" s="39" t="n">
        <f aca="false">運營_產能與收入!E26/輸入與假設!E$34</f>
        <v>115.933997092727</v>
      </c>
      <c r="F5" s="39" t="n">
        <f aca="false">運營_產能與收入!F26/輸入與假設!F$34</f>
        <v>147.230764751825</v>
      </c>
      <c r="G5" s="39" t="n">
        <f aca="false">運營_產能與收入!G26/輸入與假設!G$34</f>
        <v>178.573737994788</v>
      </c>
    </row>
    <row r="6" customFormat="false" ht="15" hidden="false" customHeight="false" outlineLevel="0" collapsed="false">
      <c r="A6" s="4" t="s">
        <v>1995</v>
      </c>
      <c r="B6" s="11" t="s">
        <v>42</v>
      </c>
      <c r="C6" s="53" t="n">
        <f aca="false">輸入與假設!C$214</f>
        <v>0.797878310782901</v>
      </c>
      <c r="D6" s="53" t="n">
        <f aca="false">輸入與假設!D$214</f>
        <v>0.800296436214699</v>
      </c>
      <c r="E6" s="53" t="n">
        <f aca="false">輸入與假設!E$214</f>
        <v>0.80156246567614</v>
      </c>
      <c r="F6" s="53" t="n">
        <f aca="false">輸入與假設!F$214</f>
        <v>0.802337649659042</v>
      </c>
      <c r="G6" s="53" t="n">
        <f aca="false">輸入與假設!G$214</f>
        <v>0.802861091937598</v>
      </c>
      <c r="I6" s="11" t="s">
        <v>1996</v>
      </c>
    </row>
    <row r="7" customFormat="false" ht="15" hidden="false" customHeight="false" outlineLevel="0" collapsed="false">
      <c r="A7" s="4" t="s">
        <v>1997</v>
      </c>
      <c r="B7" s="11" t="s">
        <v>65</v>
      </c>
      <c r="C7" s="66" t="n">
        <f aca="false">C5*C6</f>
        <v>42.8867304276722</v>
      </c>
      <c r="D7" s="66" t="n">
        <f aca="false">D5*D6</f>
        <v>67.8094098325656</v>
      </c>
      <c r="E7" s="66" t="n">
        <f aca="false">E5*E6</f>
        <v>92.9283405653367</v>
      </c>
      <c r="F7" s="66" t="n">
        <f aca="false">F5*F6</f>
        <v>118.128785748483</v>
      </c>
      <c r="G7" s="66" t="n">
        <f aca="false">G5*G6</f>
        <v>143.369906277874</v>
      </c>
    </row>
    <row r="8" customFormat="false" ht="15" hidden="false" customHeight="false" outlineLevel="0" collapsed="false">
      <c r="A8" s="4" t="s">
        <v>1998</v>
      </c>
      <c r="B8" s="11" t="s">
        <v>65</v>
      </c>
      <c r="C8" s="66" t="n">
        <f aca="false">C5-C7</f>
        <v>10.8642361647027</v>
      </c>
      <c r="D8" s="66" t="n">
        <f aca="false">D5-D7</f>
        <v>16.9209560219864</v>
      </c>
      <c r="E8" s="66" t="n">
        <f aca="false">E5-E7</f>
        <v>23.0056565273903</v>
      </c>
      <c r="F8" s="66" t="n">
        <f aca="false">F5-F7</f>
        <v>29.1019790033426</v>
      </c>
      <c r="G8" s="66" t="n">
        <f aca="false">G5-G7</f>
        <v>35.203831716914</v>
      </c>
    </row>
    <row r="9" customFormat="false" ht="15" hidden="false" customHeight="false" outlineLevel="0" collapsed="false">
      <c r="A9" s="4" t="s">
        <v>1999</v>
      </c>
      <c r="B9" s="11" t="s">
        <v>65</v>
      </c>
      <c r="C9" s="39" t="n">
        <f aca="false">輸入與假設!C$283/輸入與假設!C$34</f>
        <v>38.1152831439867</v>
      </c>
      <c r="D9" s="39" t="n">
        <f aca="false">輸入與假設!D$283/輸入與假設!D$34</f>
        <v>63.3855032626733</v>
      </c>
      <c r="E9" s="39" t="n">
        <f aca="false">輸入與假設!E$283/輸入與假設!E$34</f>
        <v>89.1268086666067</v>
      </c>
      <c r="F9" s="39" t="n">
        <f aca="false">輸入與假設!F$283/輸入與假設!F$34</f>
        <v>114.877214025073</v>
      </c>
      <c r="G9" s="39" t="n">
        <f aca="false">輸入與假設!G$283/輸入與假設!G$34</f>
        <v>140.62761938354</v>
      </c>
      <c r="I9" s="11" t="s">
        <v>2000</v>
      </c>
    </row>
    <row r="10" customFormat="false" ht="15" hidden="false" customHeight="false" outlineLevel="0" collapsed="false">
      <c r="A10" s="3" t="s">
        <v>2001</v>
      </c>
      <c r="B10" s="11" t="s">
        <v>157</v>
      </c>
      <c r="C10" s="68" t="n">
        <f aca="false">C5/MAX(0.000000000001,輸入與假設!C102*輸入與假設!$C$66/1000)</f>
        <v>4412.95</v>
      </c>
      <c r="D10" s="68" t="n">
        <f aca="false">D5/MAX(0.000000000001,輸入與假設!D102*輸入與假設!$C$66/1000)</f>
        <v>6738.85</v>
      </c>
      <c r="E10" s="68" t="n">
        <f aca="false">E5/MAX(0.000000000001,輸入與假設!E102*輸入與假設!$C$66/1000)</f>
        <v>9064.75</v>
      </c>
      <c r="F10" s="68" t="n">
        <f aca="false">F5/MAX(0.000000000001,輸入與假設!F102*輸入與假設!$C$66/1000)</f>
        <v>11390.65</v>
      </c>
      <c r="G10" s="68" t="n">
        <f aca="false">G5/MAX(0.000000000001,輸入與假設!G102*輸入與假設!$C$66/1000)</f>
        <v>13716.3</v>
      </c>
    </row>
    <row r="11" customFormat="false" ht="15" hidden="false" customHeight="false" outlineLevel="0" collapsed="false">
      <c r="A11" s="3" t="s">
        <v>2002</v>
      </c>
      <c r="B11" s="11" t="s">
        <v>157</v>
      </c>
      <c r="C11" s="26" t="n">
        <f aca="false">(輸入與假設!$C$256+輸入與假設!C$257)/2</f>
        <v>653</v>
      </c>
      <c r="D11" s="26" t="n">
        <f aca="false">(輸入與假設!C$257+輸入與假設!D$257)/2</f>
        <v>756</v>
      </c>
      <c r="E11" s="26" t="n">
        <f aca="false">(輸入與假設!D$257+輸入與假設!E$257)/2</f>
        <v>756</v>
      </c>
      <c r="F11" s="26" t="n">
        <f aca="false">(輸入與假設!E$257+輸入與假設!F$257)/2</f>
        <v>756</v>
      </c>
      <c r="G11" s="26" t="n">
        <f aca="false">(輸入與假設!F$257+輸入與假設!G$257)/2</f>
        <v>756</v>
      </c>
      <c r="I11" s="11" t="s">
        <v>2003</v>
      </c>
    </row>
    <row r="12" customFormat="false" ht="15" hidden="false" customHeight="false" outlineLevel="0" collapsed="false">
      <c r="A12" s="3" t="s">
        <v>2004</v>
      </c>
      <c r="B12" s="11" t="s">
        <v>42</v>
      </c>
      <c r="C12" s="67" t="n">
        <f aca="false">MAX(0,C10-C11)/MAX(0.000000001,C10/輸入與假設!$C$227-C11)</f>
        <v>0.561026074630392</v>
      </c>
      <c r="D12" s="67" t="n">
        <f aca="false">MAX(0,D10-D11)/MAX(0.000000001,D10/輸入與假設!$C$227-D11)</f>
        <v>0.571132413189611</v>
      </c>
      <c r="E12" s="67" t="n">
        <f aca="false">MAX(0,E10-E11)/MAX(0.000000001,E10/輸入與假設!$C$227-E11)</f>
        <v>0.578929643543545</v>
      </c>
      <c r="F12" s="67" t="n">
        <f aca="false">MAX(0,F10-F11)/MAX(0.000000001,F10/輸入與假設!$C$227-F11)</f>
        <v>0.58341051746129</v>
      </c>
      <c r="G12" s="67" t="n">
        <f aca="false">MAX(0,G10-G11)/MAX(0.000000001,G10/輸入與假設!$C$227-G11)</f>
        <v>0.58631952769798</v>
      </c>
      <c r="I12" s="6" t="s">
        <v>2005</v>
      </c>
    </row>
    <row r="13" customFormat="false" ht="15" hidden="false" customHeight="false" outlineLevel="0" collapsed="false">
      <c r="A13" s="3" t="s">
        <v>2006</v>
      </c>
      <c r="B13" s="11" t="s">
        <v>218</v>
      </c>
      <c r="C13" s="30" t="n">
        <f aca="false">(輸入與假設!C76*TK_CapexFacility_H100+輸入與假設!C82*TK_CapexFacility_GB200+輸入與假設!C88*TK_CapexFacility_GB300+輸入與假設!C94*TK_CapexFacility_GB300+輸入與假設!C100*TK_CapexFacility_VR200)/MAX(0.000000001,輸入與假設!C101)/1000*0.1/(1-(1+0.1)^(-輸入與假設!$C$274))</f>
        <v>0.00148893043681599</v>
      </c>
      <c r="D13" s="30" t="n">
        <f aca="false">(輸入與假設!D76*TK_CapexFacility_H100+輸入與假設!D82*TK_CapexFacility_GB200+輸入與假設!D88*TK_CapexFacility_GB300+輸入與假設!D94*TK_CapexFacility_GB300+輸入與假設!D100*TK_CapexFacility_VR200)/MAX(0.000000001,輸入與假設!D101)/1000*0.1/(1-(1+0.1)^(-輸入與假設!$C$274))</f>
        <v>0.00148893043681599</v>
      </c>
      <c r="E13" s="30" t="n">
        <f aca="false">(輸入與假設!E76*TK_CapexFacility_H100+輸入與假設!E82*TK_CapexFacility_GB200+輸入與假設!E88*TK_CapexFacility_GB300+輸入與假設!E94*TK_CapexFacility_GB300+輸入與假設!E100*TK_CapexFacility_VR200)/MAX(0.000000001,輸入與假設!E101)/1000*0.1/(1-(1+0.1)^(-輸入與假設!$C$274))</f>
        <v>0.00148893043681599</v>
      </c>
      <c r="F13" s="30" t="n">
        <f aca="false">(輸入與假設!F76*TK_CapexFacility_H100+輸入與假設!F82*TK_CapexFacility_GB200+輸入與假設!F88*TK_CapexFacility_GB300+輸入與假設!F94*TK_CapexFacility_GB300+輸入與假設!F100*TK_CapexFacility_VR200)/MAX(0.000000001,輸入與假設!F101)/1000*0.1/(1-(1+0.1)^(-輸入與假設!$C$274))</f>
        <v>0.00148893043681599</v>
      </c>
      <c r="G13" s="30" t="n">
        <f aca="false">(輸入與假設!G76*TK_CapexFacility_H100+輸入與假設!G82*TK_CapexFacility_GB200+輸入與假設!G88*TK_CapexFacility_GB300+輸入與假設!G94*TK_CapexFacility_GB300+輸入與假設!G100*TK_CapexFacility_VR200)/MAX(0.000000001,輸入與假設!G101)/1000*0.1/(1-(1+0.1)^(-輸入與假設!$C$274))</f>
        <v>0.00148893043681599</v>
      </c>
      <c r="I13" s="6" t="s">
        <v>2007</v>
      </c>
    </row>
    <row r="14" customFormat="false" ht="15" hidden="false" customHeight="false" outlineLevel="0" collapsed="false">
      <c r="A14" s="3" t="s">
        <v>2008</v>
      </c>
      <c r="B14" s="11" t="s">
        <v>65</v>
      </c>
      <c r="C14" s="66" t="n">
        <f aca="false">(1-輸入與假設!$C$228)*MAX(0,C10-C11)*C13</f>
        <v>2.23932159836251</v>
      </c>
      <c r="D14" s="66" t="n">
        <f aca="false">(1-輸入與假設!$C$228)*MAX(0,D10-D11)*D13</f>
        <v>3.56321898556181</v>
      </c>
      <c r="E14" s="66" t="n">
        <f aca="false">(1-輸入與假設!$C$228)*MAX(0,E10-E11)*E13</f>
        <v>4.94846030675793</v>
      </c>
      <c r="F14" s="66" t="n">
        <f aca="false">(1-輸入與假設!$C$228)*MAX(0,F10-F11)*F13</f>
        <v>6.33370162795405</v>
      </c>
      <c r="G14" s="66" t="n">
        <f aca="false">(1-輸入與假設!$C$228)*MAX(0,G10-G11)*G13</f>
        <v>7.71879405610649</v>
      </c>
      <c r="I14" s="6" t="s">
        <v>2009</v>
      </c>
    </row>
    <row r="15" customFormat="false" ht="15" hidden="false" customHeight="false" outlineLevel="0" collapsed="false">
      <c r="A15" s="3" t="s">
        <v>2010</v>
      </c>
      <c r="B15" s="11" t="s">
        <v>65</v>
      </c>
      <c r="C15" s="66" t="n">
        <f aca="false">C11*6.54/1000</f>
        <v>4.27062</v>
      </c>
      <c r="D15" s="66" t="n">
        <f aca="false">D11*6.54/1000</f>
        <v>4.94424</v>
      </c>
      <c r="E15" s="66" t="n">
        <f aca="false">E11*6.54/1000</f>
        <v>4.94424</v>
      </c>
      <c r="F15" s="66" t="n">
        <f aca="false">F11*6.54/1000</f>
        <v>4.94424</v>
      </c>
      <c r="G15" s="66" t="n">
        <f aca="false">G11*6.54/1000</f>
        <v>4.94424</v>
      </c>
      <c r="I15" s="6" t="s">
        <v>2011</v>
      </c>
    </row>
    <row r="16" customFormat="false" ht="15" hidden="false" customHeight="false" outlineLevel="0" collapsed="false">
      <c r="A16" s="3" t="s">
        <v>2012</v>
      </c>
      <c r="B16" s="11" t="s">
        <v>65</v>
      </c>
      <c r="C16" s="66" t="n">
        <f aca="false">C7-C14-C15</f>
        <v>36.3767888293097</v>
      </c>
      <c r="D16" s="66" t="n">
        <f aca="false">D7-D14-D15</f>
        <v>59.3019508470038</v>
      </c>
      <c r="E16" s="66" t="n">
        <f aca="false">E7-E14-E15</f>
        <v>83.0356402585787</v>
      </c>
      <c r="F16" s="66" t="n">
        <f aca="false">F7-F14-F15</f>
        <v>106.850844120529</v>
      </c>
      <c r="G16" s="66" t="n">
        <f aca="false">G7-G14-G15</f>
        <v>130.706872221768</v>
      </c>
    </row>
    <row r="17" customFormat="false" ht="15" hidden="false" customHeight="false" outlineLevel="0" collapsed="false">
      <c r="A17" s="3" t="s">
        <v>2013</v>
      </c>
      <c r="B17" s="11" t="s">
        <v>65</v>
      </c>
      <c r="C17" s="66" t="n">
        <f aca="false">C9*C12</f>
        <v>21.3836676856968</v>
      </c>
      <c r="D17" s="66" t="n">
        <f aca="false">D9*D12</f>
        <v>36.2015154396486</v>
      </c>
      <c r="E17" s="66" t="n">
        <f aca="false">E9*E12</f>
        <v>51.5981515715324</v>
      </c>
      <c r="F17" s="66" t="n">
        <f aca="false">F9*F12</f>
        <v>67.0205748788794</v>
      </c>
      <c r="G17" s="66" t="n">
        <f aca="false">G9*G12</f>
        <v>82.4527193782485</v>
      </c>
    </row>
    <row r="18" customFormat="false" ht="15" hidden="false" customHeight="false" outlineLevel="0" collapsed="false">
      <c r="A18" s="3" t="s">
        <v>2014</v>
      </c>
      <c r="B18" s="11" t="s">
        <v>65</v>
      </c>
      <c r="C18" s="66" t="n">
        <f aca="false">(C16-C17)*(1-輸入與假設!$C$339)</f>
        <v>11.9944969148903</v>
      </c>
      <c r="D18" s="66" t="n">
        <f aca="false">(D16-D17)*(1-輸入與假設!$C$339)</f>
        <v>18.4803483258842</v>
      </c>
      <c r="E18" s="66" t="n">
        <f aca="false">(E16-E17)*(1-輸入與假設!$C$339)</f>
        <v>25.1499909496371</v>
      </c>
      <c r="F18" s="66" t="n">
        <f aca="false">(F16-F17)*(1-輸入與假設!$C$339)</f>
        <v>31.8642153933196</v>
      </c>
      <c r="G18" s="66" t="n">
        <f aca="false">(G16-G17)*(1-輸入與假設!$C$339)</f>
        <v>38.6033222748156</v>
      </c>
      <c r="I18" s="6" t="s">
        <v>2015</v>
      </c>
    </row>
    <row r="19" customFormat="false" ht="15" hidden="false" customHeight="false" outlineLevel="0" collapsed="false">
      <c r="A19" s="4" t="s">
        <v>2016</v>
      </c>
      <c r="B19" s="11" t="s">
        <v>65</v>
      </c>
      <c r="C19" s="66" t="n">
        <f aca="false">(輸入與假設!$C$272+輸入與假設!$C$273)*輸入與假設!$C$277</f>
        <v>144.1187316</v>
      </c>
      <c r="D19" s="66" t="n">
        <f aca="false">C21</f>
        <v>274.756378243853</v>
      </c>
      <c r="E19" s="66" t="n">
        <f aca="false">D21</f>
        <v>386.37972232758</v>
      </c>
      <c r="F19" s="66" t="n">
        <f aca="false">E21</f>
        <v>472.370960461773</v>
      </c>
      <c r="G19" s="66" t="n">
        <f aca="false">F21</f>
        <v>572.688878250833</v>
      </c>
      <c r="I19" s="11" t="s">
        <v>2017</v>
      </c>
    </row>
    <row r="20" customFormat="false" ht="15" hidden="false" customHeight="false" outlineLevel="0" collapsed="false">
      <c r="A20" s="4" t="s">
        <v>2018</v>
      </c>
      <c r="B20" s="11" t="s">
        <v>65</v>
      </c>
      <c r="C20" s="39" t="n">
        <f aca="false">輸入與假設!C$264+輸入與假設!C$268</f>
        <v>168.75292978784</v>
      </c>
      <c r="D20" s="39" t="n">
        <f aca="false">輸入與假設!D$264+輸入與假設!D$268</f>
        <v>175.0088473464</v>
      </c>
      <c r="E20" s="39" t="n">
        <f aca="false">輸入與假設!E$264+輸入與假設!E$268</f>
        <v>175.1180468008</v>
      </c>
      <c r="F20" s="39" t="n">
        <f aca="false">輸入與假設!F$264+輸入與假設!F$268</f>
        <v>215.195131814133</v>
      </c>
      <c r="G20" s="39" t="n">
        <f aca="false">輸入與假設!G$264+輸入與假設!G$268</f>
        <v>318.274125040289</v>
      </c>
    </row>
    <row r="21" customFormat="false" ht="15" hidden="false" customHeight="false" outlineLevel="0" collapsed="false">
      <c r="A21" s="4" t="s">
        <v>2019</v>
      </c>
      <c r="B21" s="11" t="s">
        <v>65</v>
      </c>
      <c r="C21" s="66" t="n">
        <f aca="false">C19+C20-輸入與假設!C$283</f>
        <v>274.756378243853</v>
      </c>
      <c r="D21" s="66" t="n">
        <f aca="false">D19+D20-輸入與假設!D$283</f>
        <v>386.37972232758</v>
      </c>
      <c r="E21" s="66" t="n">
        <f aca="false">E19+E20-輸入與假設!E$283</f>
        <v>472.370960461773</v>
      </c>
      <c r="F21" s="66" t="n">
        <f aca="false">F19+F20-輸入與假設!F$283</f>
        <v>572.688878250833</v>
      </c>
      <c r="G21" s="66" t="n">
        <f aca="false">G19+G20-輸入與假設!G$283</f>
        <v>750.335383907582</v>
      </c>
      <c r="I21" s="6" t="s">
        <v>2020</v>
      </c>
    </row>
    <row r="22" customFormat="false" ht="15" hidden="false" customHeight="false" outlineLevel="0" collapsed="false">
      <c r="A22" s="3" t="s">
        <v>2021</v>
      </c>
      <c r="B22" s="11" t="s">
        <v>65</v>
      </c>
      <c r="C22" s="66" t="n">
        <f aca="false">(C19+C21)/2*C12</f>
        <v>117.499929318036</v>
      </c>
      <c r="D22" s="66" t="n">
        <f aca="false">(D19+D21)/2*D12</f>
        <v>188.798128283066</v>
      </c>
      <c r="E22" s="66" t="n">
        <f aca="false">(E19+E21)/2*E12</f>
        <v>248.578113340008</v>
      </c>
      <c r="F22" s="66" t="n">
        <f aca="false">(F19+F21)/2*F12</f>
        <v>304.849450640667</v>
      </c>
      <c r="G22" s="66" t="n">
        <f aca="false">(G19+G21)/2*G12</f>
        <v>387.857480260845</v>
      </c>
    </row>
    <row r="23" customFormat="false" ht="15" hidden="false" customHeight="false" outlineLevel="0" collapsed="false">
      <c r="A23" s="2" t="s">
        <v>2022</v>
      </c>
      <c r="B23" s="11" t="s">
        <v>42</v>
      </c>
      <c r="C23" s="67" t="n">
        <f aca="false">C18/MAX(0.000000001,C22)</f>
        <v>0.102080886214195</v>
      </c>
      <c r="D23" s="67" t="n">
        <f aca="false">D18/MAX(0.000000001,D22)</f>
        <v>0.0978841712783113</v>
      </c>
      <c r="E23" s="67" t="n">
        <f aca="false">E18/MAX(0.000000001,E22)</f>
        <v>0.101175403625486</v>
      </c>
      <c r="F23" s="67" t="n">
        <f aca="false">F18/MAX(0.000000001,F22)</f>
        <v>0.104524431080175</v>
      </c>
      <c r="G23" s="67" t="n">
        <f aca="false">G18/MAX(0.000000001,G22)</f>
        <v>0.0995296577723698</v>
      </c>
      <c r="I23" s="6" t="s">
        <v>2023</v>
      </c>
    </row>
    <row r="24" customFormat="false" ht="15" hidden="false" customHeight="false" outlineLevel="0" collapsed="false">
      <c r="A24" s="4" t="s">
        <v>727</v>
      </c>
      <c r="B24" s="11" t="s">
        <v>42</v>
      </c>
      <c r="C24" s="53" t="n">
        <f aca="false">輸入與假設!$C$349</f>
        <v>0.108959582056812</v>
      </c>
      <c r="D24" s="53" t="n">
        <f aca="false">輸入與假設!$C$349</f>
        <v>0.108959582056812</v>
      </c>
      <c r="E24" s="53" t="n">
        <f aca="false">輸入與假設!$C$349</f>
        <v>0.108959582056812</v>
      </c>
      <c r="F24" s="53" t="n">
        <f aca="false">輸入與假設!$C$349</f>
        <v>0.108959582056812</v>
      </c>
      <c r="G24" s="53" t="n">
        <f aca="false">輸入與假設!$C$349</f>
        <v>0.108959582056812</v>
      </c>
    </row>
    <row r="25" customFormat="false" ht="15" hidden="false" customHeight="false" outlineLevel="0" collapsed="false">
      <c r="A25" s="2" t="s">
        <v>2024</v>
      </c>
      <c r="B25" s="11" t="s">
        <v>42</v>
      </c>
      <c r="C25" s="67" t="n">
        <f aca="false">C23-C24</f>
        <v>-0.00687869584261776</v>
      </c>
      <c r="D25" s="67" t="n">
        <f aca="false">D23-D24</f>
        <v>-0.0110754107785011</v>
      </c>
      <c r="E25" s="67" t="n">
        <f aca="false">E23-E24</f>
        <v>-0.00778417843132653</v>
      </c>
      <c r="F25" s="67" t="n">
        <f aca="false">F23-F24</f>
        <v>-0.00443515097663762</v>
      </c>
      <c r="G25" s="67" t="n">
        <f aca="false">G23-G24</f>
        <v>-0.00942992428444268</v>
      </c>
      <c r="I25" s="6" t="s">
        <v>2025</v>
      </c>
    </row>
    <row r="26" customFormat="false" ht="15" hidden="false" customHeight="false" outlineLevel="0" collapsed="false">
      <c r="A26" s="3" t="s">
        <v>2026</v>
      </c>
      <c r="B26" s="11" t="s">
        <v>65</v>
      </c>
      <c r="C26" s="66" t="n">
        <f aca="false">C5*(1/輸入與假設!$C$227-1)</f>
        <v>35.8339777282499</v>
      </c>
      <c r="D26" s="66" t="n">
        <f aca="false">D5*(1/輸入與假設!$C$227-1)</f>
        <v>56.4869105697014</v>
      </c>
      <c r="E26" s="66" t="n">
        <f aca="false">E5*(1/輸入與假設!$C$227-1)</f>
        <v>77.2893313951514</v>
      </c>
      <c r="F26" s="66" t="n">
        <f aca="false">F5*(1/輸入與假設!$C$227-1)</f>
        <v>98.1538431678836</v>
      </c>
      <c r="G26" s="66" t="n">
        <f aca="false">G5*(1/輸入與假設!$C$227-1)</f>
        <v>119.049158663192</v>
      </c>
      <c r="I26" s="6" t="s">
        <v>2027</v>
      </c>
    </row>
    <row r="27" customFormat="false" ht="15" hidden="false" customHeight="false" outlineLevel="0" collapsed="false">
      <c r="A27" s="3" t="s">
        <v>2028</v>
      </c>
      <c r="B27" s="11" t="s">
        <v>42</v>
      </c>
      <c r="C27" s="67" t="n">
        <f aca="false">(C7+C26*C6-(1-輸入與假設!$C$228)*MAX(0.000000001,C10/輸入與假設!$C$227-C11)*C13-C15-C9)*(1-輸入與假設!$C$339)/MAX(0.000000001,(C19+C21)/2)</f>
        <v>0.0958777649117944</v>
      </c>
      <c r="D27" s="67" t="n">
        <f aca="false">(D7+D26*D6-(1-輸入與假設!$C$228)*MAX(0.000000001,D10/輸入與假設!$C$227-D11)*D13-D15-D9)*(1-輸入與假設!$C$339)/MAX(0.000000001,(D19+D21)/2)</f>
        <v>0.0930448615903209</v>
      </c>
      <c r="E27" s="67" t="n">
        <f aca="false">(E7+E26*E6-(1-輸入與假設!$C$228)*MAX(0.000000001,E10/輸入與假設!$C$227-E11)*E13-E15-E9)*(1-輸入與假設!$C$339)/MAX(0.000000001,(E19+E21)/2)</f>
        <v>0.0973729260779149</v>
      </c>
      <c r="F27" s="67" t="n">
        <f aca="false">(F7+F26*F6-(1-輸入與假設!$C$228)*MAX(0.000000001,F10/輸入與假設!$C$227-F11)*F13-F15-F9)*(1-輸入與假設!$C$339)/MAX(0.000000001,(F19+F21)/2)</f>
        <v>0.101358433800386</v>
      </c>
      <c r="G27" s="67" t="n">
        <f aca="false">(G7+G26*G6-(1-輸入與假設!$C$228)*MAX(0.000000001,G10/輸入與假設!$C$227-G11)*G13-G15-G9)*(1-輸入與假設!$C$339)/MAX(0.000000001,(G19+G21)/2)</f>
        <v>0.0970058210673369</v>
      </c>
      <c r="I27" s="6" t="s">
        <v>2029</v>
      </c>
    </row>
    <row r="29" customFormat="false" ht="15" hidden="false" customHeight="false" outlineLevel="0" collapsed="false">
      <c r="A29" s="2" t="s">
        <v>2030</v>
      </c>
      <c r="C29" s="106" t="n">
        <f aca="false">輸入與假設!$C$66*(輸入與假設!$C$349*E22/(1-輸入與假設!$C$339)+E8+E14+E15+E17)/MAX(0.000000001,E5)</f>
        <v>1.08211468403464</v>
      </c>
      <c r="I29" s="6" t="s">
        <v>2031</v>
      </c>
    </row>
    <row r="30" customFormat="false" ht="15" hidden="false" customHeight="false" outlineLevel="0" collapsed="false">
      <c r="A30" s="3" t="s">
        <v>2032</v>
      </c>
      <c r="C30" s="107" t="n">
        <f aca="false">輸入與假設!$C$66</f>
        <v>1.06</v>
      </c>
    </row>
    <row r="32" customFormat="false" ht="15" hidden="false" customHeight="false" outlineLevel="0" collapsed="false">
      <c r="A32" s="84" t="s">
        <v>2033</v>
      </c>
    </row>
    <row r="33" customFormat="false" ht="15" hidden="false" customHeight="false" outlineLevel="0" collapsed="false">
      <c r="A33" s="4" t="s">
        <v>2034</v>
      </c>
      <c r="C33" s="23" t="n">
        <v>0.1</v>
      </c>
      <c r="I33" s="11" t="s">
        <v>2035</v>
      </c>
    </row>
    <row r="34" customFormat="false" ht="15" hidden="false" customHeight="false" outlineLevel="0" collapsed="false">
      <c r="A34" s="3" t="s">
        <v>2036</v>
      </c>
      <c r="C34" s="68" t="n">
        <f aca="false">E10</f>
        <v>9064.75</v>
      </c>
    </row>
    <row r="35" customFormat="false" ht="15" hidden="false" customHeight="false" outlineLevel="0" collapsed="false">
      <c r="A35" s="3" t="s">
        <v>2037</v>
      </c>
      <c r="C35" s="68" t="n">
        <f aca="false">MAX(0,C34-E11)</f>
        <v>8308.75</v>
      </c>
    </row>
    <row r="36" customFormat="false" ht="15" hidden="false" customHeight="false" outlineLevel="0" collapsed="false">
      <c r="A36" s="4" t="s">
        <v>2038</v>
      </c>
      <c r="C36" s="66" t="n">
        <f aca="false">C34*(輸入與假設!E76*TK_HoldEcon_H100+輸入與假設!E82*TK_HoldEcon_GB200+輸入與假設!E88*TK_HoldEcon_GB300+輸入與假設!E94*TK_HoldEcon_GB300+輸入與假設!E100*TK_HoldEcon_VR200)/MAX(0.000000001,輸入與假設!E101)/1000</f>
        <v>109.371695370497</v>
      </c>
    </row>
    <row r="37" customFormat="false" ht="15" hidden="false" customHeight="false" outlineLevel="0" collapsed="false">
      <c r="A37" s="4" t="s">
        <v>2039</v>
      </c>
      <c r="C37" s="66" t="n">
        <f aca="false">C34*(輸入與假設!E76*TK_OpexGW_H100+輸入與假設!E82*TK_OpexGW_GB200+輸入與假設!E88*TK_OpexGW_GB300+輸入與假設!E94*TK_OpexGW_GB300+輸入與假設!E100*TK_OpexGW_VR200)/MAX(0.000000001,輸入與假設!E101)/1000</f>
        <v>23.0056565273903</v>
      </c>
    </row>
    <row r="38" customFormat="false" ht="15" hidden="false" customHeight="false" outlineLevel="0" collapsed="false">
      <c r="A38" s="3" t="s">
        <v>2040</v>
      </c>
      <c r="C38" s="66" t="n">
        <f aca="false">E12*(輸入與假設!C$268+輸入與假設!D$268+輸入與假設!E$268/2)</f>
        <v>0</v>
      </c>
    </row>
    <row r="39" customFormat="false" ht="15" hidden="false" customHeight="false" outlineLevel="0" collapsed="false">
      <c r="A39" s="3" t="s">
        <v>2041</v>
      </c>
      <c r="C39" s="66" t="n">
        <f aca="false">C35*((輸入與假設!E76*TK_CapexIT_H100+輸入與假設!E82*TK_CapexIT_GB200+輸入與假設!E88*TK_CapexIT_GB300+輸入與假設!E94*TK_CapexIT_GB300+輸入與假設!E100*TK_CapexIT_VR200)/MAX(0.000000001,輸入與假設!E101)/1000+輸入與假設!$C$228*(輸入與假設!E76*TK_CapexFacility_H100+輸入與假設!E82*TK_CapexFacility_GB200+輸入與假設!E88*TK_CapexFacility_GB300+輸入與假設!E94*TK_CapexFacility_GB300+輸入與假設!E100*TK_CapexFacility_VR200)/MAX(0.000000001,輸入與假設!E101)/1000)*0.5</f>
        <v>176.795611909925</v>
      </c>
    </row>
    <row r="40" customFormat="false" ht="15" hidden="false" customHeight="false" outlineLevel="0" collapsed="false">
      <c r="A40" s="3" t="s">
        <v>2042</v>
      </c>
      <c r="C40" s="66" t="n">
        <f aca="false">C35*((輸入與假設!E76*TK_CapexIT_H100+輸入與假設!E82*TK_CapexIT_GB200+輸入與假設!E88*TK_CapexIT_GB300+輸入與假設!E94*TK_CapexIT_GB300+輸入與假設!E100*TK_CapexIT_VR200)/MAX(0.000000001,輸入與假設!E101)/1000/輸入與假設!$C$226+輸入與假設!$C$228*(輸入與假設!E76*TK_CapexFacility_H100+輸入與假設!E82*TK_CapexFacility_GB200+輸入與假設!E88*TK_CapexFacility_GB300+輸入與假設!E94*TK_CapexFacility_GB300+輸入與假設!E100*TK_CapexFacility_VR200)/MAX(0.000000001,輸入與假設!E101)/1000/輸入與假設!$C$274)</f>
        <v>51.5674100741417</v>
      </c>
    </row>
    <row r="41" customFormat="false" ht="15" hidden="false" customHeight="false" outlineLevel="0" collapsed="false">
      <c r="A41" s="3" t="s">
        <v>2043</v>
      </c>
      <c r="C41" s="66" t="n">
        <f aca="false">C34*((輸入與假設!E76*TK_CapexIT_H100+輸入與假設!E82*TK_CapexIT_GB200+輸入與假設!E88*TK_CapexIT_GB300+輸入與假設!E94*TK_CapexIT_GB300+輸入與假設!E100*TK_CapexIT_VR200)/MAX(0.000000001,輸入與假設!E101)/1000+(輸入與假設!E76*TK_CapexFacility_H100+輸入與假設!E82*TK_CapexFacility_GB200+輸入與假設!E88*TK_CapexFacility_GB300+輸入與假設!E94*TK_CapexFacility_GB300+輸入與假設!E100*TK_CapexFacility_VR200)/MAX(0.000000001,輸入與假設!E101)/1000)*0.5</f>
        <v>215.852041062719</v>
      </c>
    </row>
    <row r="42" customFormat="false" ht="15" hidden="false" customHeight="false" outlineLevel="0" collapsed="false">
      <c r="A42" s="3" t="s">
        <v>2044</v>
      </c>
      <c r="C42" s="66" t="n">
        <f aca="false">C34*((輸入與假設!E76*TK_CapexIT_H100+輸入與假設!E82*TK_CapexIT_GB200+輸入與假設!E88*TK_CapexIT_GB300+輸入與假設!E94*TK_CapexIT_GB300+輸入與假設!E100*TK_CapexIT_VR200)/MAX(0.000000001,輸入與假設!E101)/1000/輸入與假設!$C$226+(輸入與假設!E76*TK_CapexFacility_H100+輸入與假設!E82*TK_CapexFacility_GB200+輸入與假設!E88*TK_CapexFacility_GB300+輸入與假設!E94*TK_CapexFacility_GB300+輸入與假設!E100*TK_CapexFacility_VR200)/MAX(0.000000001,輸入與假設!E101)/1000/輸入與假設!$C$274)</f>
        <v>58.5597784167397</v>
      </c>
    </row>
    <row r="43" customFormat="false" ht="15" hidden="false" customHeight="false" outlineLevel="0" collapsed="false">
      <c r="A43" s="3" t="s">
        <v>2045</v>
      </c>
      <c r="C43" s="67" t="n">
        <f aca="false">E23</f>
        <v>0.101175403625486</v>
      </c>
    </row>
    <row r="44" customFormat="false" ht="15" hidden="false" customHeight="false" outlineLevel="0" collapsed="false">
      <c r="A44" s="3" t="s">
        <v>2046</v>
      </c>
      <c r="C44" s="67" t="n">
        <f aca="false">(E16-E17)/MAX(0.000000001,E22)</f>
        <v>0.126469254531857</v>
      </c>
    </row>
    <row r="45" customFormat="false" ht="15" hidden="false" customHeight="false" outlineLevel="0" collapsed="false">
      <c r="A45" s="3" t="s">
        <v>2047</v>
      </c>
      <c r="C45" s="67" t="n">
        <f aca="false">(C36-E8-(E14+E15)-E17)/MAX(0.000000001,E22)</f>
        <v>0.100069900083247</v>
      </c>
    </row>
    <row r="46" customFormat="false" ht="15" hidden="false" customHeight="false" outlineLevel="0" collapsed="false">
      <c r="A46" s="3" t="s">
        <v>2048</v>
      </c>
      <c r="C46" s="67" t="n">
        <f aca="false">(C36-C37-(E14+E15)-E17)/MAX(0.000000001,E22)</f>
        <v>0.100069900083247</v>
      </c>
    </row>
    <row r="47" customFormat="false" ht="15" hidden="false" customHeight="false" outlineLevel="0" collapsed="false">
      <c r="A47" s="3" t="s">
        <v>2049</v>
      </c>
      <c r="C47" s="67" t="n">
        <f aca="false">(C36-C37-(E14+E15)-(E17-C38/輸入與假設!$C$226))/MAX(0.000000001,E22-C38)</f>
        <v>0.100069900083247</v>
      </c>
    </row>
    <row r="48" customFormat="false" ht="15" hidden="false" customHeight="false" outlineLevel="0" collapsed="false">
      <c r="A48" s="3" t="s">
        <v>2050</v>
      </c>
      <c r="C48" s="67" t="n">
        <f aca="false">(C36-C37-(E14+E15)-C40)/MAX(0.000000001,C39)</f>
        <v>0.140874132525961</v>
      </c>
    </row>
    <row r="49" customFormat="false" ht="15" hidden="false" customHeight="false" outlineLevel="0" collapsed="false">
      <c r="A49" s="2" t="s">
        <v>2051</v>
      </c>
      <c r="C49" s="67" t="n">
        <f aca="false">(C36-C37-C42)/MAX(0.000000001,C41)</f>
        <v>0.128820928861579</v>
      </c>
      <c r="I49" s="11" t="s">
        <v>2052</v>
      </c>
    </row>
    <row r="50" customFormat="false" ht="15" hidden="false" customHeight="false" outlineLevel="0" collapsed="false">
      <c r="A50" s="3" t="s">
        <v>2053</v>
      </c>
      <c r="C50" s="67" t="n">
        <f aca="false">C44-C43</f>
        <v>0.0252938509063715</v>
      </c>
    </row>
    <row r="51" customFormat="false" ht="15" hidden="false" customHeight="false" outlineLevel="0" collapsed="false">
      <c r="A51" s="3" t="s">
        <v>2054</v>
      </c>
      <c r="C51" s="67" t="n">
        <f aca="false">C45-C44</f>
        <v>-0.0263993544486109</v>
      </c>
    </row>
    <row r="52" customFormat="false" ht="15" hidden="false" customHeight="false" outlineLevel="0" collapsed="false">
      <c r="A52" s="3" t="s">
        <v>2055</v>
      </c>
      <c r="C52" s="67" t="n">
        <f aca="false">C46-C45</f>
        <v>0</v>
      </c>
    </row>
    <row r="53" customFormat="false" ht="15" hidden="false" customHeight="false" outlineLevel="0" collapsed="false">
      <c r="A53" s="3" t="s">
        <v>2056</v>
      </c>
      <c r="C53" s="67" t="n">
        <f aca="false">C47-C46</f>
        <v>0</v>
      </c>
    </row>
    <row r="54" customFormat="false" ht="15" hidden="false" customHeight="false" outlineLevel="0" collapsed="false">
      <c r="A54" s="3" t="s">
        <v>2057</v>
      </c>
      <c r="C54" s="67" t="n">
        <f aca="false">C48-C47</f>
        <v>0.0408042324427148</v>
      </c>
    </row>
    <row r="55" customFormat="false" ht="15" hidden="false" customHeight="false" outlineLevel="0" collapsed="false">
      <c r="A55" s="3" t="s">
        <v>2058</v>
      </c>
      <c r="C55" s="67" t="n">
        <f aca="false">C49-C48</f>
        <v>-0.0120532036643827</v>
      </c>
    </row>
    <row r="56" customFormat="false" ht="15" hidden="false" customHeight="false" outlineLevel="0" collapsed="false">
      <c r="A56" s="3" t="s">
        <v>2059</v>
      </c>
      <c r="C56" s="67" t="n">
        <f aca="false">C33-C49</f>
        <v>-0.0288209288615786</v>
      </c>
    </row>
    <row r="57" customFormat="false" ht="15" hidden="false" customHeight="false" outlineLevel="0" collapsed="false">
      <c r="A57" s="2" t="s">
        <v>2060</v>
      </c>
      <c r="C57" s="67" t="n">
        <f aca="false">C33-C43</f>
        <v>-0.00117540362548593</v>
      </c>
      <c r="I57" s="6" t="s">
        <v>2061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2062</v>
      </c>
    </row>
    <row r="3" customFormat="false" ht="15" hidden="false" customHeight="false" outlineLevel="0" collapsed="false">
      <c r="A3" s="14" t="s">
        <v>2063</v>
      </c>
      <c r="B3" s="14" t="s">
        <v>2064</v>
      </c>
      <c r="C3" s="14" t="s">
        <v>2065</v>
      </c>
      <c r="D3" s="14" t="s">
        <v>2066</v>
      </c>
      <c r="E3" s="14" t="s">
        <v>1000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0.9</v>
      </c>
      <c r="C4" s="108" t="n">
        <f aca="false">輸入與假設!$C$27</f>
        <v>0.9</v>
      </c>
      <c r="D4" s="2" t="str">
        <f aca="false">IF(ABS(B4-C4)&lt;0.0001,"通過","不一致")</f>
        <v>通過</v>
      </c>
      <c r="E4" s="6" t="s">
        <v>2067</v>
      </c>
    </row>
    <row r="5" customFormat="false" ht="15" hidden="false" customHeight="false" outlineLevel="0" collapsed="false">
      <c r="A5" s="3" t="s">
        <v>2068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2069</v>
      </c>
    </row>
    <row r="6" customFormat="false" ht="15" hidden="false" customHeight="false" outlineLevel="0" collapsed="false">
      <c r="A6" s="4" t="s">
        <v>2070</v>
      </c>
      <c r="B6" s="9" t="n">
        <f aca="false">運營_產能與收入!G9-運營_產能與收入!G10</f>
        <v>0.499999999998181</v>
      </c>
      <c r="C6" s="11" t="s">
        <v>2071</v>
      </c>
      <c r="D6" s="2" t="str">
        <f aca="false">IF(B6&gt;=0,"通過","不一致")</f>
        <v>通過</v>
      </c>
      <c r="E6" s="6" t="s">
        <v>2072</v>
      </c>
    </row>
    <row r="7" customFormat="false" ht="15" hidden="false" customHeight="false" outlineLevel="0" collapsed="false">
      <c r="A7" s="4" t="s">
        <v>2073</v>
      </c>
      <c r="B7" s="10" t="n">
        <f aca="false">各期收支!C120</f>
        <v>204.201730580705</v>
      </c>
      <c r="C7" s="11" t="s">
        <v>2074</v>
      </c>
      <c r="D7" s="2" t="str">
        <f aca="false">IF(AND(B7&gt;=204.2,B7&lt;=204.2),"通過","觀察")</f>
        <v>觀察</v>
      </c>
      <c r="E7" s="6" t="s">
        <v>2075</v>
      </c>
    </row>
    <row r="8" customFormat="false" ht="15" hidden="false" customHeight="false" outlineLevel="0" collapsed="false">
      <c r="A8" s="4" t="s">
        <v>2076</v>
      </c>
      <c r="B8" s="10" t="n">
        <f aca="false">各期收支!C119</f>
        <v>397.445587854</v>
      </c>
      <c r="C8" s="6" t="s">
        <v>2077</v>
      </c>
      <c r="D8" s="2" t="str">
        <f aca="false">"不適用"</f>
        <v>不適用</v>
      </c>
      <c r="E8" s="6" t="s">
        <v>2078</v>
      </c>
    </row>
    <row r="9" customFormat="false" ht="15" hidden="false" customHeight="false" outlineLevel="0" collapsed="false">
      <c r="A9" s="3" t="s">
        <v>2079</v>
      </c>
      <c r="B9" s="13" t="n">
        <f aca="false">MAX(輸入與假設!C105:G105)</f>
        <v>0.489497502827421</v>
      </c>
      <c r="C9" s="11" t="s">
        <v>2080</v>
      </c>
      <c r="D9" s="2" t="str">
        <f aca="false">IF(B9&lt;=0.5,"通過","示警")</f>
        <v>通過</v>
      </c>
      <c r="E9" s="6" t="s">
        <v>278</v>
      </c>
    </row>
    <row r="10" customFormat="false" ht="15" hidden="false" customHeight="false" outlineLevel="0" collapsed="false">
      <c r="A10" s="3" t="s">
        <v>2081</v>
      </c>
      <c r="B10" s="9" t="n">
        <f aca="false">輸入與假設!G101-輸入與假設!G36</f>
        <v>0</v>
      </c>
      <c r="C10" s="6" t="n">
        <f aca="false">0</f>
        <v>0</v>
      </c>
      <c r="D10" s="2" t="str">
        <f aca="false">IF(ABS(B10)&lt;0.5,"通過","不一致")</f>
        <v>通過</v>
      </c>
      <c r="E10" s="6" t="s">
        <v>2082</v>
      </c>
    </row>
    <row r="11" customFormat="false" ht="15" hidden="false" customHeight="false" outlineLevel="0" collapsed="false">
      <c r="A11" s="4" t="s">
        <v>2083</v>
      </c>
      <c r="B11" s="10" t="n">
        <f aca="false">輸入與假設!C200</f>
        <v>89.3609129256251</v>
      </c>
      <c r="C11" s="6" t="s">
        <v>2084</v>
      </c>
      <c r="D11" s="2" t="str">
        <f aca="false">IF(AND(B11&gt;0,輸入與假設!$C$191&gt;=0,輸入與假設!$C$191&lt;=輸入與假設!$C$182),"通過","示警")</f>
        <v>通過</v>
      </c>
      <c r="E11" s="6" t="s">
        <v>2085</v>
      </c>
    </row>
    <row r="12" customFormat="false" ht="15" hidden="false" customHeight="false" outlineLevel="0" collapsed="false">
      <c r="A12" s="3" t="s">
        <v>2086</v>
      </c>
      <c r="B12" s="10" t="n">
        <f aca="false">輸入與假設!$C$29*輸入與假設!$C$108</f>
        <v>39.5859099752361</v>
      </c>
      <c r="C12" s="11" t="s">
        <v>2087</v>
      </c>
      <c r="D12" s="2" t="str">
        <f aca="false">IF(B12&gt;=37,"通過","觀察")</f>
        <v>通過</v>
      </c>
      <c r="E12" s="6" t="str">
        <f aca="false">"要對上公司說法：對外 MW 需 "&amp;TEXT(37/輸入與假設!$C$108,"#,##0")&amp;"（k 不變），或 k 需 "&amp;TEXT(輸入與假設!$C$66*37/(輸入與假設!$C$29*輸入與假設!$C$108),"0.000")&amp;"（MW 不變）；只作驗證（對照表 r1 C3）"</f>
        <v>要對上公司說法：對外 MW 需 3,038（k 不變），或 k 需 0.991（MW 不變）；只作驗證（對照表 r1 C3）</v>
      </c>
    </row>
    <row r="13" customFormat="false" ht="15" hidden="false" customHeight="false" outlineLevel="0" collapsed="false">
      <c r="A13" s="4" t="s">
        <v>2088</v>
      </c>
      <c r="B13" s="9" t="n">
        <f aca="false">((204.2+204.2)/2-輸入與假設!C261-輸入與假設!C268)/(輸入與假設!C235*輸入與假設!$C$233/1000)</f>
        <v>3742.56161920652</v>
      </c>
      <c r="C13" s="11" t="s">
        <v>2089</v>
      </c>
      <c r="D13" s="2" t="str">
        <f aca="false">IF(ABS(B13/((輸入與假設!C254*(1-輸入與假設!$C$223)+輸入與假設!C255*輸入與假設!$C$223)/輸入與假設!$C$227-(輸入與假設!C258*(1-輸入與假設!$C$223)+輸入與假設!C259*輸入與假設!$C$223))-1)&lt;=0.2,"通過","觀察")</f>
        <v>通過</v>
      </c>
      <c r="E13" s="6" t="str">
        <f aca="false">"MW 路徑（AI 總 MW 當量）"&amp;TEXT((輸入與假設!C254*(1-輸入與假設!$C$223)+輸入與假設!C255*輸入與假設!$C$223)/輸入與假設!$C$227-(輸入與假設!C258*(1-輸入與假設!$C$223)+輸入與假設!C259*輸入與假設!$C$223),"#,##0")&amp;"；落差＝指引含 MW 路徑以外的支出或路徑偏低（首期以指引為準）"</f>
        <v>MW 路徑（AI 總 MW 當量）3,743；落差＝指引含 MW 路徑以外的支出或路徑偏低（首期以指引為準）</v>
      </c>
    </row>
    <row r="14" customFormat="false" ht="15" hidden="false" customHeight="false" outlineLevel="0" collapsed="false">
      <c r="A14" s="4" t="s">
        <v>2090</v>
      </c>
      <c r="B14" s="13" t="n">
        <f aca="false">AI增量報酬!C49</f>
        <v>0.128820928861579</v>
      </c>
      <c r="C14" s="11" t="s">
        <v>2091</v>
      </c>
      <c r="D14" s="2" t="str">
        <f aca="false">IF(ABS(B14-AI增量報酬!C33)&lt;=0.05,"通過","觀察")</f>
        <v>通過</v>
      </c>
      <c r="E14" s="6" t="str">
        <f aca="false">"模型稅後 "&amp;TEXT(AI增量報酬!E23*100,"0.0")&amp;"%；差距與逐項拆解見「AI增量報酬」C15 區（各項加總＝總差距）"</f>
        <v>模型稅後 10.1%；差距與逐項拆解見「AI增量報酬」C15 區（各項加總＝總差距）</v>
      </c>
    </row>
    <row r="15" customFormat="false" ht="15" hidden="false" customHeight="false" outlineLevel="0" collapsed="false">
      <c r="A15" s="4" t="s">
        <v>2092</v>
      </c>
      <c r="B15" s="10" t="n">
        <f aca="false">輸入與假設!$C$279</f>
        <v>5.0840757</v>
      </c>
      <c r="C15" s="11" t="s">
        <v>2093</v>
      </c>
      <c r="D15" s="2" t="str">
        <f aca="false">IF(ABS(B15)&lt;=0.1*輸入與假設!$C$229,"通過","觀察")</f>
        <v>觀察</v>
      </c>
      <c r="E15" s="6" t="str">
        <f aca="false">"分部 D&amp;A 年化 "&amp;TEXT(輸入與假設!$C$229,"0.0")&amp;"；AI 期初 "&amp;TEXT(輸入與假設!$C$275,"0.0")&amp;"＋非 AI "&amp;TEXT(輸入與假設!$C$276/輸入與假設!$C$278,"0.0")&amp;"（年限 "&amp;TEXT(輸入與假設!$C$278,"0")&amp;" 年）；殘差不回填（C17）"</f>
        <v>分部 D&amp;A 年化 44.1；AI 期初 25.7＋非 AI 13.3（年限 10 年）；殘差不回填（C17）</v>
      </c>
    </row>
    <row r="16" customFormat="false" ht="15" hidden="false" customHeight="false" outlineLevel="0" collapsed="false">
      <c r="A16" s="4" t="s">
        <v>2094</v>
      </c>
      <c r="B16" s="50" t="n">
        <f aca="false">SUM(各期收支!C6:G6)/((運營_產能與收入!G9-輸入與假設!$C$29)/1000)/1000*1000</f>
        <v>110.431815643818</v>
      </c>
      <c r="C16" s="11" t="s">
        <v>2095</v>
      </c>
      <c r="D16" s="2" t="str">
        <f aca="false">IF(AND(B16&gt;=28,B16&lt;=51),"通過","觀察")</f>
        <v>觀察</v>
      </c>
      <c r="E16" s="11" t="s">
        <v>2096</v>
      </c>
    </row>
    <row r="17" customFormat="false" ht="15" hidden="false" customHeight="false" outlineLevel="0" collapsed="false">
      <c r="A17" s="3" t="s">
        <v>2097</v>
      </c>
      <c r="B17" s="16" t="n">
        <f aca="false">資產負債_租賃承諾!C23</f>
        <v>1</v>
      </c>
      <c r="C17" s="11" t="s">
        <v>2098</v>
      </c>
      <c r="D17" s="2" t="str">
        <f aca="false">IF(B17&gt;=0.8,"通過","不一致")</f>
        <v>通過</v>
      </c>
      <c r="E17" s="6" t="s">
        <v>2099</v>
      </c>
    </row>
    <row r="18" customFormat="false" ht="15" hidden="false" customHeight="false" outlineLevel="0" collapsed="false">
      <c r="A18" s="4" t="s">
        <v>2100</v>
      </c>
      <c r="B18" s="10" t="n">
        <f aca="false">各期收支!C121</f>
        <v>2.29779031118219</v>
      </c>
      <c r="C18" s="11" t="s">
        <v>2071</v>
      </c>
      <c r="D18" s="2" t="str">
        <f aca="false">IF(B18&gt;=0,"通過","觀察")</f>
        <v>通過</v>
      </c>
      <c r="E18" s="6" t="str">
        <f aca="false">"年初至今 實際 0.0＋全年 模型 "&amp;TEXT(各期收支!C17,"0.0")&amp;"；公司未提供季度利息指引（不適用）"</f>
        <v>年初至今 實際 0.0＋全年 模型 1.3；公司未提供季度利息指引（不適用）</v>
      </c>
    </row>
    <row r="19" customFormat="false" ht="15" hidden="false" customHeight="false" outlineLevel="0" collapsed="false">
      <c r="A19" s="4" t="s">
        <v>2101</v>
      </c>
      <c r="B19" s="29" t="n">
        <f aca="false">SUM(運營_產能與收入!E24:G24)/SUM(運營_產能與收入!E26:G26)</f>
        <v>1</v>
      </c>
      <c r="C19" s="11" t="s">
        <v>2102</v>
      </c>
      <c r="D19" s="2" t="str">
        <f aca="false">IF(B19&lt;0.5,"通過","觀察")</f>
        <v>觀察</v>
      </c>
      <c r="E19" s="11" t="s">
        <v>2103</v>
      </c>
    </row>
    <row r="20" customFormat="false" ht="15" hidden="false" customHeight="false" outlineLevel="0" collapsed="false">
      <c r="A20" s="3" t="s">
        <v>2104</v>
      </c>
      <c r="B20" s="57" t="n">
        <f aca="false">損益!D6-運營_產能與收入!D26</f>
        <v>0</v>
      </c>
      <c r="C20" s="6" t="n">
        <f aca="false">0</f>
        <v>0</v>
      </c>
      <c r="D20" s="2" t="str">
        <f aca="false">IF(ABS(B20)&lt;0.001,"通過","不一致")</f>
        <v>通過</v>
      </c>
      <c r="E20" s="11" t="s">
        <v>2105</v>
      </c>
    </row>
    <row r="21" customFormat="false" ht="15" hidden="false" customHeight="false" outlineLevel="0" collapsed="false">
      <c r="A21" s="3" t="s">
        <v>1776</v>
      </c>
      <c r="B21" s="13" t="n">
        <f aca="false">評價_DCF與目標價!C27</f>
        <v>0.945458074671763</v>
      </c>
      <c r="C21" s="6" t="str">
        <f aca="false">"&lt;"&amp;IF(ROUND(ABS(輸入與假設!$C$425)*100,4)=INT(ROUND(ABS(輸入與假設!$C$425)*100,4)),TEXT(ROUND(ABS(輸入與假設!$C$425)*100,4),"0"),TEXT(ROUND(ABS(輸入與假設!$C$425)*100,4),"0.0"))&amp;"%"</f>
        <v>&lt;85%</v>
      </c>
      <c r="D21" s="2" t="str">
        <f aca="false">IF(B21&lt;輸入與假設!$C$425,"通過","觀察")</f>
        <v>觀察</v>
      </c>
      <c r="E21" s="6" t="s">
        <v>2106</v>
      </c>
    </row>
    <row r="22" customFormat="false" ht="15" hidden="false" customHeight="false" outlineLevel="0" collapsed="false">
      <c r="A22" s="4" t="s">
        <v>2107</v>
      </c>
      <c r="B22" s="109" t="n">
        <f aca="false">(損益!D22+損益!D11-輸入與假設!D205-輸入與假設!D56)/(損益!D6+損益!D7)-輸入與假設!D214</f>
        <v>0</v>
      </c>
      <c r="C22" s="6" t="n">
        <f aca="false">0</f>
        <v>0</v>
      </c>
      <c r="D22" s="2" t="str">
        <f aca="false">IF(ABS(B22)&lt;0.0001,"通過","不一致")</f>
        <v>通過</v>
      </c>
      <c r="E22" s="6" t="s">
        <v>2108</v>
      </c>
    </row>
    <row r="23" customFormat="false" ht="15" hidden="false" customHeight="false" outlineLevel="0" collapsed="false">
      <c r="A23" s="3" t="s">
        <v>2109</v>
      </c>
      <c r="B23" s="57" t="n">
        <f aca="false">(運營_產能與收入!D40+運營_產能與收入!D41+輸入與假設!D215+輸入與假設!D56+輸入與假設!D205-運營_產能與收入!D62-各期收支!D16)+(運營_產能與收入!D35+運營_產能與收入!D24*輸入與假設!D41*(1-輸入與假設!D42))*運營_產能與收入!D39+各期收支!D16-損益!D22</f>
        <v>0</v>
      </c>
      <c r="C23" s="6" t="n">
        <f aca="false">0</f>
        <v>0</v>
      </c>
      <c r="D23" s="2" t="str">
        <f aca="false">IF(ABS(B23)&lt;0.001,"通過","不一致")</f>
        <v>通過</v>
      </c>
      <c r="E23" s="6" t="s">
        <v>2110</v>
      </c>
    </row>
    <row r="24" customFormat="false" ht="15" hidden="false" customHeight="false" outlineLevel="0" collapsed="false">
      <c r="A24" s="4" t="s">
        <v>2111</v>
      </c>
      <c r="B24" s="50" t="n">
        <f aca="false">評價_DCF與目標價!C30</f>
        <v>0</v>
      </c>
      <c r="C24" s="11" t="s">
        <v>2112</v>
      </c>
      <c r="D24" s="2" t="str">
        <f aca="false">IF(B24=0,"通過","觀察")</f>
        <v>通過</v>
      </c>
      <c r="E24" s="6" t="s">
        <v>2113</v>
      </c>
    </row>
    <row r="25" customFormat="false" ht="15" hidden="false" customHeight="false" outlineLevel="0" collapsed="false">
      <c r="A25" s="3" t="s">
        <v>2114</v>
      </c>
      <c r="B25" s="57" t="n">
        <f aca="false">MIN(各期收支!C56:G56)</f>
        <v>50</v>
      </c>
      <c r="C25" s="11" t="s">
        <v>2115</v>
      </c>
      <c r="D25" s="2" t="str">
        <f aca="false">IF(B25&gt;=49.999,"通過","不一致")</f>
        <v>通過</v>
      </c>
      <c r="E25" s="6" t="s">
        <v>2116</v>
      </c>
    </row>
    <row r="26" customFormat="false" ht="15" hidden="false" customHeight="false" outlineLevel="0" collapsed="false">
      <c r="A26" s="3" t="s">
        <v>2117</v>
      </c>
      <c r="B26" s="105" t="n">
        <f aca="false">SUM(各期收支!C92:G92)/(輸入與假設!$C$330*輸入與假設!$C$331)</f>
        <v>0</v>
      </c>
      <c r="C26" s="6" t="str">
        <f aca="false">"≤"&amp;IF(輸入與假設!$C$422=INT(輸入與假設!$C$422),TEXT(輸入與假設!$C$422,"0"),TEXT(輸入與假設!$C$422,"0.0"))&amp;"x"</f>
        <v>≤1.5x</v>
      </c>
      <c r="D26" s="2" t="str">
        <f aca="false">IF(B26&lt;=輸入與假設!$C$422,"通過","觀察")</f>
        <v>通過</v>
      </c>
      <c r="E26" s="6" t="str">
        <f aca="false">"超過 "&amp;IF(輸入與假設!$C$422=INT(輸入與假設!$C$422),TEXT(輸入與假設!$C$422,"0"),TEXT(輸入與假設!$C$422,"0.0"))&amp;" 倍：市場吸收能力存疑，結論不得為買進"</f>
        <v>超過 1.5 倍：市場吸收能力存疑，結論不得為買進</v>
      </c>
    </row>
    <row r="27" customFormat="false" ht="15" hidden="false" customHeight="false" outlineLevel="0" collapsed="false">
      <c r="A27" s="3" t="s">
        <v>2118</v>
      </c>
      <c r="B27" s="57" t="n">
        <f aca="false">資產負債_既有債務!E18+SUMPRODUCT(資產負債_既有債務!$C$29:$C$29*(1-資產負債_既有債務!$H$25:$H$25))</f>
        <v>46.136</v>
      </c>
      <c r="C27" s="11" t="s">
        <v>2119</v>
      </c>
      <c r="D27" s="2" t="str">
        <f aca="false">IF(ABS(B27-46.136)&lt;0.01,"通過","不一致")</f>
        <v>通過</v>
      </c>
      <c r="E27" s="6" t="s">
        <v>2120</v>
      </c>
    </row>
    <row r="28" customFormat="false" ht="15" hidden="false" customHeight="false" outlineLevel="0" collapsed="false">
      <c r="A28" s="4" t="s">
        <v>2121</v>
      </c>
      <c r="B28" s="57" t="n">
        <f aca="false">輸入與假設!C260+輸入與假設!C261</f>
        <v>204.201730580705</v>
      </c>
      <c r="C28" s="11" t="s">
        <v>2074</v>
      </c>
      <c r="D28" s="2" t="str">
        <f aca="false">IF(AND(B28&gt;=204.2,B28&lt;=204.2),"通過","觀察")</f>
        <v>觀察</v>
      </c>
      <c r="E28" s="6" t="s">
        <v>2122</v>
      </c>
    </row>
    <row r="29" customFormat="false" ht="15" hidden="false" customHeight="false" outlineLevel="0" collapsed="false">
      <c r="A29" s="4" t="s">
        <v>2123</v>
      </c>
      <c r="B29" s="57" t="n">
        <f aca="false">SUM(輸入與假設!C249:G249)</f>
        <v>1.1</v>
      </c>
      <c r="C29" s="6" t="n">
        <f aca="false">1.1</f>
        <v>1.1</v>
      </c>
      <c r="D29" s="2" t="str">
        <f aca="false">IF(ABS(B29-1.1)&lt;0.01,"通過","不一致")</f>
        <v>通過</v>
      </c>
      <c r="E29" s="6" t="s">
        <v>544</v>
      </c>
    </row>
    <row r="30" customFormat="false" ht="15" hidden="false" customHeight="false" outlineLevel="0" collapsed="false">
      <c r="A30" s="3" t="s">
        <v>2124</v>
      </c>
      <c r="B30" s="57" t="n">
        <f aca="false">運營_站點!G23</f>
        <v>0.87689688733683</v>
      </c>
      <c r="C30" s="6" t="s">
        <v>2125</v>
      </c>
      <c r="D30" s="2" t="str">
        <f aca="false">IF(B30&gt;=運營_站點!$H$7*運營_站點!$C$24*0.8,"通過","觀察")</f>
        <v>通過</v>
      </c>
      <c r="E30" s="6" t="s">
        <v>2126</v>
      </c>
    </row>
    <row r="31" customFormat="false" ht="15" hidden="false" customHeight="false" outlineLevel="0" collapsed="false">
      <c r="A31" s="3" t="s">
        <v>2127</v>
      </c>
      <c r="B31" s="57" t="n">
        <f aca="false">運營_站點!$C$27</f>
        <v>-51.336625</v>
      </c>
      <c r="C31" s="11" t="s">
        <v>2128</v>
      </c>
      <c r="D31" s="2" t="str">
        <f aca="false">IF(B31&lt;10,"通過","觀察")</f>
        <v>通過</v>
      </c>
      <c r="E31" s="6" t="s">
        <v>2129</v>
      </c>
    </row>
    <row r="32" customFormat="false" ht="15" hidden="false" customHeight="false" outlineLevel="0" collapsed="false">
      <c r="A32" s="3" t="s">
        <v>2130</v>
      </c>
      <c r="B32" s="10" t="n">
        <f aca="false">684*0.75-SUM(運營_產能與收入!C29:G29)</f>
        <v>258.584670460346</v>
      </c>
      <c r="C32" s="6" t="s">
        <v>2131</v>
      </c>
      <c r="D32" s="2" t="str">
        <f aca="false">"對照"</f>
        <v>對照</v>
      </c>
      <c r="E32" s="11" t="s">
        <v>2132</v>
      </c>
    </row>
    <row r="33" customFormat="false" ht="15" hidden="false" customHeight="false" outlineLevel="0" collapsed="false">
      <c r="A33" s="3" t="s">
        <v>2133</v>
      </c>
      <c r="B33" s="10" t="n">
        <f aca="false">輸入與假設!$C$208</f>
        <v>0</v>
      </c>
      <c r="C33" s="6" t="n">
        <f aca="false">0</f>
        <v>0</v>
      </c>
      <c r="D33" s="2" t="str">
        <f aca="false">IF(ABS(B33)&lt;0.000001,"通過","不一致")</f>
        <v>通過</v>
      </c>
      <c r="E33" s="6" t="s">
        <v>2134</v>
      </c>
    </row>
    <row r="34" customFormat="false" ht="15" hidden="false" customHeight="false" outlineLevel="0" collapsed="false">
      <c r="A34" s="3" t="s">
        <v>2135</v>
      </c>
      <c r="B34" s="10" t="n">
        <f aca="false">SUM(運營_產能與收入!C27:G27)</f>
        <v>0</v>
      </c>
      <c r="C34" s="6" t="n">
        <f aca="false">0</f>
        <v>0</v>
      </c>
      <c r="D34" s="2" t="str">
        <f aca="false">IF(ABS(B34)&lt;0.000001,"通過","不一致")</f>
        <v>通過</v>
      </c>
      <c r="E34" s="11" t="s">
        <v>2136</v>
      </c>
    </row>
    <row r="36" customFormat="false" ht="15" hidden="false" customHeight="false" outlineLevel="0" collapsed="false">
      <c r="A36" s="2" t="s">
        <v>2137</v>
      </c>
    </row>
    <row r="37" customFormat="false" ht="15" hidden="false" customHeight="false" outlineLevel="0" collapsed="false">
      <c r="A37" s="14" t="s">
        <v>59</v>
      </c>
      <c r="B37" s="14" t="s">
        <v>60</v>
      </c>
      <c r="C37" s="15" t="s">
        <v>61</v>
      </c>
      <c r="D37" s="15" t="s">
        <v>62</v>
      </c>
      <c r="E37" s="15" t="s">
        <v>63</v>
      </c>
      <c r="F37" s="15" t="s">
        <v>153</v>
      </c>
      <c r="G37" s="15" t="s">
        <v>154</v>
      </c>
    </row>
    <row r="38" customFormat="false" ht="15" hidden="false" customHeight="false" outlineLevel="0" collapsed="false">
      <c r="A38" s="3" t="s">
        <v>2138</v>
      </c>
      <c r="C38" s="24" t="n">
        <v>41.666667</v>
      </c>
      <c r="D38" s="24" t="n">
        <v>41.666667</v>
      </c>
      <c r="E38" s="24" t="n">
        <v>41.666667</v>
      </c>
      <c r="F38" s="24" t="n">
        <v>41.666667</v>
      </c>
      <c r="G38" s="24" t="n">
        <v>41.666667</v>
      </c>
      <c r="I38" s="11" t="s">
        <v>2139</v>
      </c>
    </row>
    <row r="39" customFormat="false" ht="15" hidden="false" customHeight="false" outlineLevel="0" collapsed="false">
      <c r="A39" s="3" t="s">
        <v>2140</v>
      </c>
      <c r="C39" s="24" t="n">
        <v>4.615385</v>
      </c>
      <c r="D39" s="24" t="n">
        <v>4.615385</v>
      </c>
      <c r="E39" s="24" t="n">
        <v>4.615385</v>
      </c>
      <c r="F39" s="24" t="n">
        <v>4.615385</v>
      </c>
      <c r="G39" s="24" t="n">
        <v>4.615385</v>
      </c>
      <c r="I39" s="11" t="s">
        <v>2141</v>
      </c>
    </row>
    <row r="40" customFormat="false" ht="15" hidden="false" customHeight="false" outlineLevel="0" collapsed="false">
      <c r="A40" s="2" t="s">
        <v>2142</v>
      </c>
      <c r="C40" s="59" t="n">
        <f aca="false">C38+C39</f>
        <v>46.282052</v>
      </c>
      <c r="D40" s="59" t="n">
        <f aca="false">D38+D39</f>
        <v>46.282052</v>
      </c>
      <c r="E40" s="59" t="n">
        <f aca="false">E38+E39</f>
        <v>46.282052</v>
      </c>
      <c r="F40" s="59" t="n">
        <f aca="false">F38+F39</f>
        <v>46.282052</v>
      </c>
      <c r="G40" s="59" t="n">
        <f aca="false">G38+G39</f>
        <v>46.282052</v>
      </c>
    </row>
    <row r="41" customFormat="false" ht="15" hidden="false" customHeight="false" outlineLevel="0" collapsed="false">
      <c r="A41" s="3" t="s">
        <v>2143</v>
      </c>
      <c r="C41" s="39" t="n">
        <f aca="false">運營_產能與收入!C26/輸入與假設!C34</f>
        <v>53.7509665923748</v>
      </c>
      <c r="D41" s="39" t="n">
        <f aca="false">運營_產能與收入!D26/輸入與假設!D34</f>
        <v>84.7303658545521</v>
      </c>
      <c r="E41" s="39" t="n">
        <f aca="false">運營_產能與收入!E26/輸入與假設!E34</f>
        <v>115.933997092727</v>
      </c>
      <c r="F41" s="39" t="n">
        <f aca="false">運營_產能與收入!F26/輸入與假設!F34</f>
        <v>147.230764751825</v>
      </c>
      <c r="G41" s="39" t="n">
        <f aca="false">運營_產能與收入!G26/輸入與假設!G34</f>
        <v>178.573737994788</v>
      </c>
    </row>
    <row r="42" customFormat="false" ht="15" hidden="false" customHeight="false" outlineLevel="0" collapsed="false">
      <c r="A42" s="2" t="s">
        <v>2144</v>
      </c>
      <c r="C42" s="60" t="n">
        <f aca="false">C40/MAX(0.000000001,C41)</f>
        <v>0.861045948270735</v>
      </c>
      <c r="D42" s="60" t="n">
        <f aca="false">D40/MAX(0.000000001,D41)</f>
        <v>0.546227453796761</v>
      </c>
      <c r="E42" s="60" t="n">
        <f aca="false">E40/MAX(0.000000001,E41)</f>
        <v>0.399210353827294</v>
      </c>
      <c r="F42" s="60" t="n">
        <f aca="false">F40/MAX(0.000000001,F41)</f>
        <v>0.314350414996579</v>
      </c>
      <c r="G42" s="60" t="n">
        <f aca="false">G40/MAX(0.000000001,G41)</f>
        <v>0.259176139334389</v>
      </c>
      <c r="I42" s="11" t="s">
        <v>2145</v>
      </c>
    </row>
    <row r="43" customFormat="false" ht="15" hidden="false" customHeight="false" outlineLevel="0" collapsed="false">
      <c r="A43" s="3" t="s">
        <v>2146</v>
      </c>
      <c r="C43" s="24" t="n">
        <v>29.762</v>
      </c>
      <c r="D43" s="24" t="n">
        <v>41.666</v>
      </c>
      <c r="E43" s="24" t="n">
        <v>53.572</v>
      </c>
      <c r="F43" s="24" t="n">
        <v>65.477</v>
      </c>
      <c r="G43" s="24" t="s">
        <v>1484</v>
      </c>
      <c r="I43" s="11" t="s">
        <v>2147</v>
      </c>
    </row>
    <row r="44" customFormat="false" ht="15" hidden="false" customHeight="false" outlineLevel="0" collapsed="false">
      <c r="A44" s="3" t="s">
        <v>2148</v>
      </c>
      <c r="C44" s="24" t="n">
        <v>8.9</v>
      </c>
      <c r="D44" s="24" t="n">
        <v>13.322</v>
      </c>
      <c r="E44" s="24" t="n">
        <v>10.1</v>
      </c>
      <c r="F44" s="24" t="n">
        <v>2.257</v>
      </c>
      <c r="G44" s="24" t="s">
        <v>1484</v>
      </c>
      <c r="I44" s="11" t="s">
        <v>2149</v>
      </c>
    </row>
    <row r="45" customFormat="false" ht="15" hidden="false" customHeight="false" outlineLevel="0" collapsed="false">
      <c r="A45" s="3" t="s">
        <v>2150</v>
      </c>
      <c r="C45" s="24" t="n">
        <v>1.208</v>
      </c>
      <c r="D45" s="24" t="n">
        <v>3.623</v>
      </c>
      <c r="E45" s="24" t="n">
        <v>4.831</v>
      </c>
      <c r="F45" s="24" t="n">
        <v>4.831</v>
      </c>
      <c r="G45" s="24" t="s">
        <v>1484</v>
      </c>
      <c r="I45" s="11" t="s">
        <v>2151</v>
      </c>
    </row>
    <row r="47" customFormat="false" ht="15" hidden="false" customHeight="false" outlineLevel="0" collapsed="false">
      <c r="A47" s="2" t="s">
        <v>2152</v>
      </c>
    </row>
    <row r="48" customFormat="false" ht="15" hidden="false" customHeight="false" outlineLevel="0" collapsed="false">
      <c r="A48" s="3" t="s">
        <v>2153</v>
      </c>
      <c r="B48" s="10" t="n">
        <f aca="false">SUM(運營_產能與收入!C18:G18)</f>
        <v>0</v>
      </c>
    </row>
    <row r="49" customFormat="false" ht="15" hidden="false" customHeight="false" outlineLevel="0" collapsed="false">
      <c r="A49" s="3" t="s">
        <v>2154</v>
      </c>
      <c r="B49" s="10" t="n">
        <f aca="false">SUM(運營_產能與收入!C20:G20)</f>
        <v>0</v>
      </c>
    </row>
    <row r="50" customFormat="false" ht="15" hidden="false" customHeight="false" outlineLevel="0" collapsed="false">
      <c r="A50" s="3" t="s">
        <v>2155</v>
      </c>
      <c r="B50" s="10" t="n">
        <f aca="false">SUM(運營_產能與收入!C24:G24)</f>
        <v>580.219832286268</v>
      </c>
    </row>
    <row r="51" customFormat="false" ht="15" hidden="false" customHeight="false" outlineLevel="0" collapsed="false">
      <c r="A51" s="3" t="s">
        <v>2156</v>
      </c>
      <c r="B51" s="10" t="n">
        <f aca="false">SUM(輸入與假設!C287:G287)</f>
        <v>1284.26680002978</v>
      </c>
    </row>
    <row r="52" customFormat="false" ht="15" hidden="false" customHeight="false" outlineLevel="0" collapsed="false">
      <c r="A52" s="3" t="s">
        <v>2157</v>
      </c>
      <c r="B52" s="10" t="n">
        <f aca="false">SUM(各期收支!C16:G16)</f>
        <v>51.336625</v>
      </c>
    </row>
    <row r="53" customFormat="false" ht="15" hidden="false" customHeight="false" outlineLevel="0" collapsed="false">
      <c r="A53" s="3" t="s">
        <v>2158</v>
      </c>
      <c r="B53" s="10" t="n">
        <f aca="false">SUM(各期收支!C21:G21)</f>
        <v>10.7448042032471</v>
      </c>
    </row>
    <row r="54" customFormat="false" ht="15" hidden="false" customHeight="false" outlineLevel="0" collapsed="false">
      <c r="A54" s="3" t="s">
        <v>2159</v>
      </c>
      <c r="B54" s="10" t="n">
        <f aca="false">SUM(輸入與假設!C325:G325)*輸入與假設!$C$296+SUM(資產負債_既有債務!C40:G40)</f>
        <v>11.751</v>
      </c>
    </row>
    <row r="55" customFormat="false" ht="15" hidden="false" customHeight="false" outlineLevel="0" collapsed="false">
      <c r="A55" s="3" t="s">
        <v>2160</v>
      </c>
      <c r="B55" s="10" t="n">
        <f aca="false">SUM(各期收支!C54:G54)-(輸入與假設!$C$429-輸入與假設!$C$430-輸入與假設!$C$432-輸入與假設!$C$447)</f>
        <v>-35.0376592863281</v>
      </c>
    </row>
    <row r="56" customFormat="false" ht="15" hidden="false" customHeight="false" outlineLevel="0" collapsed="false">
      <c r="A56" s="4" t="s">
        <v>2161</v>
      </c>
      <c r="B56" s="10" t="n">
        <f aca="false">SUM(各期收支!C54:G54)</f>
        <v>-35.0376592863281</v>
      </c>
    </row>
    <row r="57" customFormat="false" ht="15" hidden="false" customHeight="false" outlineLevel="0" collapsed="false">
      <c r="A57" s="3" t="s">
        <v>1620</v>
      </c>
      <c r="B57" s="10" t="n">
        <f aca="false">各期收支!G56</f>
        <v>50</v>
      </c>
    </row>
    <row r="58" customFormat="false" ht="15" hidden="false" customHeight="false" outlineLevel="0" collapsed="false">
      <c r="A58" s="4" t="s">
        <v>2162</v>
      </c>
      <c r="B58" s="12" t="n">
        <f aca="false">評價_DCF與目標價!C26</f>
        <v>284.054683335857</v>
      </c>
    </row>
    <row r="59" customFormat="false" ht="15" hidden="false" customHeight="false" outlineLevel="0" collapsed="false">
      <c r="A59" s="3" t="s">
        <v>1805</v>
      </c>
      <c r="B59" s="12" t="n">
        <f aca="false">評價_DCF與目標價!C51</f>
        <v>353.553227344813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2163</v>
      </c>
    </row>
    <row r="2" customFormat="false" ht="15" hidden="false" customHeight="false" outlineLevel="0" collapsed="false">
      <c r="A2" s="11" t="s">
        <v>2164</v>
      </c>
    </row>
    <row r="4" customFormat="false" ht="15" hidden="false" customHeight="false" outlineLevel="0" collapsed="false">
      <c r="A4" s="14" t="s">
        <v>2165</v>
      </c>
      <c r="B4" s="14" t="s">
        <v>2166</v>
      </c>
      <c r="C4" s="14" t="s">
        <v>2167</v>
      </c>
      <c r="D4" s="14" t="s">
        <v>2168</v>
      </c>
      <c r="E4" s="14" t="s">
        <v>2169</v>
      </c>
    </row>
    <row r="5" customFormat="false" ht="72.35" hidden="false" customHeight="false" outlineLevel="0" collapsed="false">
      <c r="A5" s="110" t="s">
        <v>2170</v>
      </c>
      <c r="B5" s="110" t="s">
        <v>2171</v>
      </c>
      <c r="C5" s="111" t="s">
        <v>2172</v>
      </c>
      <c r="D5" s="112" t="s">
        <v>2173</v>
      </c>
      <c r="E5" s="111" t="s">
        <v>2174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2175</v>
      </c>
    </row>
    <row r="3" customFormat="false" ht="15" hidden="false" customHeight="false" outlineLevel="0" collapsed="false">
      <c r="A3" s="14" t="s">
        <v>2176</v>
      </c>
      <c r="B3" s="14" t="s">
        <v>2177</v>
      </c>
    </row>
    <row r="4" customFormat="false" ht="45.75" hidden="false" customHeight="true" outlineLevel="0" collapsed="false">
      <c r="A4" s="84" t="s">
        <v>916</v>
      </c>
      <c r="B4" s="113" t="s">
        <v>2178</v>
      </c>
    </row>
    <row r="5" customFormat="false" ht="45.75" hidden="false" customHeight="true" outlineLevel="0" collapsed="false">
      <c r="A5" s="84" t="s">
        <v>916</v>
      </c>
      <c r="B5" s="111" t="s">
        <v>2179</v>
      </c>
    </row>
    <row r="6" customFormat="false" ht="45.75" hidden="false" customHeight="true" outlineLevel="0" collapsed="false">
      <c r="A6" s="84" t="s">
        <v>916</v>
      </c>
      <c r="B6" s="111" t="s">
        <v>2180</v>
      </c>
    </row>
    <row r="7" customFormat="false" ht="45.75" hidden="false" customHeight="true" outlineLevel="0" collapsed="false">
      <c r="A7" s="84" t="s">
        <v>921</v>
      </c>
      <c r="B7" s="113" t="s">
        <v>2181</v>
      </c>
    </row>
    <row r="8" customFormat="false" ht="45.75" hidden="false" customHeight="true" outlineLevel="0" collapsed="false">
      <c r="A8" s="84" t="s">
        <v>921</v>
      </c>
      <c r="B8" s="111" t="s">
        <v>2182</v>
      </c>
    </row>
    <row r="9" customFormat="false" ht="45.75" hidden="false" customHeight="true" outlineLevel="0" collapsed="false">
      <c r="A9" s="84" t="s">
        <v>916</v>
      </c>
      <c r="B9" s="111" t="s">
        <v>2183</v>
      </c>
    </row>
    <row r="10" customFormat="false" ht="45.75" hidden="false" customHeight="true" outlineLevel="0" collapsed="false">
      <c r="A10" s="84" t="s">
        <v>921</v>
      </c>
      <c r="B10" s="111" t="s">
        <v>2184</v>
      </c>
    </row>
    <row r="11" customFormat="false" ht="45.75" hidden="false" customHeight="true" outlineLevel="0" collapsed="false">
      <c r="A11" s="2" t="s">
        <v>2185</v>
      </c>
      <c r="B11" s="111" t="s">
        <v>2186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2187</v>
      </c>
    </row>
    <row r="2" customFormat="false" ht="15" hidden="false" customHeight="false" outlineLevel="0" collapsed="false">
      <c r="A2" s="6" t="s">
        <v>2188</v>
      </c>
    </row>
    <row r="3" customFormat="false" ht="15" hidden="false" customHeight="false" outlineLevel="0" collapsed="false">
      <c r="A3" s="6" t="s">
        <v>2189</v>
      </c>
    </row>
    <row r="4" customFormat="false" ht="17.15" hidden="false" customHeight="false" outlineLevel="0" collapsed="false">
      <c r="A4" s="14" t="s">
        <v>2190</v>
      </c>
      <c r="B4" s="14" t="s">
        <v>2191</v>
      </c>
      <c r="C4" s="14" t="s">
        <v>2192</v>
      </c>
      <c r="D4" s="14" t="s">
        <v>60</v>
      </c>
      <c r="E4" s="14" t="s">
        <v>2193</v>
      </c>
      <c r="F4" s="14" t="s">
        <v>2194</v>
      </c>
      <c r="G4" s="14" t="s">
        <v>260</v>
      </c>
      <c r="H4" s="14" t="s">
        <v>2195</v>
      </c>
      <c r="I4" s="15" t="s">
        <v>2196</v>
      </c>
      <c r="J4" s="14" t="s">
        <v>2197</v>
      </c>
    </row>
    <row r="5" customFormat="false" ht="15" hidden="false" customHeight="false" outlineLevel="0" collapsed="false">
      <c r="A5" s="4" t="s">
        <v>2198</v>
      </c>
      <c r="B5" s="4" t="s">
        <v>2199</v>
      </c>
      <c r="C5" s="3" t="s">
        <v>2200</v>
      </c>
      <c r="D5" s="11" t="s">
        <v>2201</v>
      </c>
      <c r="E5" s="4" t="s">
        <v>2202</v>
      </c>
      <c r="F5" s="114" t="n">
        <v>7.0000433103819</v>
      </c>
      <c r="G5" s="114" t="n">
        <v>10.0957952959174</v>
      </c>
      <c r="H5" s="114" t="n">
        <v>17.4059720636914</v>
      </c>
      <c r="I5" s="11" t="s">
        <v>2203</v>
      </c>
      <c r="J5" s="11" t="s">
        <v>2204</v>
      </c>
    </row>
    <row r="6" customFormat="false" ht="15" hidden="false" customHeight="false" outlineLevel="0" collapsed="false">
      <c r="A6" s="4" t="s">
        <v>2205</v>
      </c>
      <c r="B6" s="4" t="s">
        <v>2199</v>
      </c>
      <c r="C6" s="3" t="s">
        <v>2200</v>
      </c>
      <c r="D6" s="11" t="s">
        <v>2201</v>
      </c>
      <c r="E6" s="4" t="s">
        <v>2206</v>
      </c>
      <c r="F6" s="114" t="n">
        <v>6.81316695089878</v>
      </c>
      <c r="G6" s="114" t="n">
        <v>9.17098191725462</v>
      </c>
      <c r="H6" s="114" t="n">
        <v>14.9200285257983</v>
      </c>
      <c r="I6" s="11" t="s">
        <v>2207</v>
      </c>
      <c r="J6" s="11" t="s">
        <v>2204</v>
      </c>
    </row>
    <row r="7" customFormat="false" ht="15" hidden="false" customHeight="false" outlineLevel="0" collapsed="false">
      <c r="A7" s="4" t="s">
        <v>2208</v>
      </c>
      <c r="B7" s="4" t="s">
        <v>2199</v>
      </c>
      <c r="C7" s="3" t="s">
        <v>2200</v>
      </c>
      <c r="D7" s="11" t="s">
        <v>2201</v>
      </c>
      <c r="E7" s="4" t="s">
        <v>2209</v>
      </c>
      <c r="F7" s="114" t="n">
        <v>8.70747076237914</v>
      </c>
      <c r="G7" s="114" t="n">
        <v>12.7247463559608</v>
      </c>
      <c r="H7" s="114" t="n">
        <v>23.87186935202</v>
      </c>
      <c r="I7" s="11" t="s">
        <v>2210</v>
      </c>
      <c r="J7" s="11" t="s">
        <v>2204</v>
      </c>
    </row>
    <row r="8" customFormat="false" ht="15" hidden="false" customHeight="false" outlineLevel="0" collapsed="false">
      <c r="A8" s="4" t="s">
        <v>2211</v>
      </c>
      <c r="B8" s="4" t="s">
        <v>2199</v>
      </c>
      <c r="C8" s="3" t="s">
        <v>2200</v>
      </c>
      <c r="D8" s="11" t="s">
        <v>2201</v>
      </c>
      <c r="E8" s="4" t="s">
        <v>2212</v>
      </c>
      <c r="F8" s="114" t="n">
        <v>9.83668060375303</v>
      </c>
      <c r="G8" s="114" t="n">
        <v>12.7620157762701</v>
      </c>
      <c r="H8" s="114" t="n">
        <v>20.6780894215396</v>
      </c>
      <c r="I8" s="11" t="s">
        <v>2213</v>
      </c>
      <c r="J8" s="11" t="s">
        <v>2204</v>
      </c>
    </row>
    <row r="9" customFormat="false" ht="15" hidden="false" customHeight="false" outlineLevel="0" collapsed="false">
      <c r="A9" s="4" t="s">
        <v>2214</v>
      </c>
      <c r="B9" s="4" t="s">
        <v>2199</v>
      </c>
      <c r="C9" s="3" t="s">
        <v>2200</v>
      </c>
      <c r="D9" s="11" t="s">
        <v>2201</v>
      </c>
      <c r="E9" s="4" t="s">
        <v>2215</v>
      </c>
      <c r="F9" s="114" t="n">
        <v>10.4522416094636</v>
      </c>
      <c r="G9" s="114" t="n">
        <v>16.0694566753819</v>
      </c>
      <c r="H9" s="114" t="n">
        <v>29.454615058956</v>
      </c>
      <c r="I9" s="11" t="s">
        <v>2216</v>
      </c>
      <c r="J9" s="11" t="s">
        <v>2204</v>
      </c>
    </row>
    <row r="10" customFormat="false" ht="15" hidden="false" customHeight="false" outlineLevel="0" collapsed="false">
      <c r="A10" s="4" t="s">
        <v>2217</v>
      </c>
      <c r="B10" s="4" t="s">
        <v>2218</v>
      </c>
      <c r="C10" s="3" t="s">
        <v>2219</v>
      </c>
      <c r="D10" s="11" t="s">
        <v>2201</v>
      </c>
      <c r="E10" s="4" t="s">
        <v>2202</v>
      </c>
      <c r="F10" s="114" t="n">
        <v>5.39897242953333</v>
      </c>
      <c r="G10" s="114" t="n">
        <v>7.49682782333333</v>
      </c>
      <c r="H10" s="114" t="n">
        <v>12.9492728665333</v>
      </c>
      <c r="I10" s="11" t="s">
        <v>2220</v>
      </c>
      <c r="J10" s="11" t="s">
        <v>2204</v>
      </c>
    </row>
    <row r="11" customFormat="false" ht="15" hidden="false" customHeight="false" outlineLevel="0" collapsed="false">
      <c r="A11" s="4" t="s">
        <v>2221</v>
      </c>
      <c r="B11" s="4" t="s">
        <v>2218</v>
      </c>
      <c r="C11" s="3" t="s">
        <v>2219</v>
      </c>
      <c r="D11" s="11" t="s">
        <v>2201</v>
      </c>
      <c r="E11" s="4" t="s">
        <v>2206</v>
      </c>
      <c r="F11" s="114" t="n">
        <v>5.25086571253333</v>
      </c>
      <c r="G11" s="114" t="n">
        <v>6.79199475666667</v>
      </c>
      <c r="H11" s="114" t="n">
        <v>11.0210522445333</v>
      </c>
      <c r="I11" s="11" t="s">
        <v>2222</v>
      </c>
      <c r="J11" s="11" t="s">
        <v>2204</v>
      </c>
    </row>
    <row r="12" customFormat="false" ht="15" hidden="false" customHeight="false" outlineLevel="0" collapsed="false">
      <c r="A12" s="4" t="s">
        <v>2223</v>
      </c>
      <c r="B12" s="4" t="s">
        <v>2218</v>
      </c>
      <c r="C12" s="3" t="s">
        <v>2219</v>
      </c>
      <c r="D12" s="11" t="s">
        <v>2201</v>
      </c>
      <c r="E12" s="4" t="s">
        <v>2209</v>
      </c>
      <c r="F12" s="114" t="n">
        <v>6.75217448853333</v>
      </c>
      <c r="G12" s="114" t="n">
        <v>9.50044464</v>
      </c>
      <c r="H12" s="114" t="n">
        <v>17.9645422405333</v>
      </c>
      <c r="I12" s="11" t="s">
        <v>2224</v>
      </c>
      <c r="J12" s="11" t="s">
        <v>2204</v>
      </c>
    </row>
    <row r="13" customFormat="false" ht="15" hidden="false" customHeight="false" outlineLevel="0" collapsed="false">
      <c r="A13" s="4" t="s">
        <v>2225</v>
      </c>
      <c r="B13" s="4" t="s">
        <v>2218</v>
      </c>
      <c r="C13" s="3" t="s">
        <v>2219</v>
      </c>
      <c r="D13" s="11" t="s">
        <v>2201</v>
      </c>
      <c r="E13" s="4" t="s">
        <v>2212</v>
      </c>
      <c r="F13" s="114" t="n">
        <v>7.64711680693333</v>
      </c>
      <c r="G13" s="114" t="n">
        <v>9.52884898666667</v>
      </c>
      <c r="H13" s="114" t="n">
        <v>15.4872887429333</v>
      </c>
      <c r="I13" s="11" t="s">
        <v>2226</v>
      </c>
      <c r="J13" s="11" t="s">
        <v>2204</v>
      </c>
    </row>
    <row r="14" customFormat="false" ht="15" hidden="false" customHeight="false" outlineLevel="0" collapsed="false">
      <c r="A14" s="4" t="s">
        <v>2227</v>
      </c>
      <c r="B14" s="4" t="s">
        <v>2218</v>
      </c>
      <c r="C14" s="3" t="s">
        <v>2219</v>
      </c>
      <c r="D14" s="11" t="s">
        <v>2201</v>
      </c>
      <c r="E14" s="4" t="s">
        <v>2215</v>
      </c>
      <c r="F14" s="114" t="n">
        <v>8.13497262733334</v>
      </c>
      <c r="G14" s="114" t="n">
        <v>12.0495669666667</v>
      </c>
      <c r="H14" s="114" t="n">
        <v>22.2947956173333</v>
      </c>
      <c r="I14" s="11" t="s">
        <v>2228</v>
      </c>
      <c r="J14" s="11" t="s">
        <v>2204</v>
      </c>
    </row>
    <row r="15" customFormat="false" ht="15" hidden="false" customHeight="false" outlineLevel="0" collapsed="false">
      <c r="A15" s="4" t="s">
        <v>2229</v>
      </c>
      <c r="B15" s="4" t="s">
        <v>2230</v>
      </c>
      <c r="C15" s="3" t="s">
        <v>2231</v>
      </c>
      <c r="D15" s="11" t="s">
        <v>2232</v>
      </c>
      <c r="E15" s="4" t="s">
        <v>2202</v>
      </c>
      <c r="F15" s="114" t="n">
        <v>1.11286669150028</v>
      </c>
      <c r="G15" s="114" t="n">
        <v>1.60502925637165</v>
      </c>
      <c r="H15" s="114" t="n">
        <v>2.76720095633376</v>
      </c>
      <c r="I15" s="11" t="s">
        <v>2233</v>
      </c>
      <c r="J15" s="11" t="s">
        <v>2204</v>
      </c>
    </row>
    <row r="16" customFormat="false" ht="15" hidden="false" customHeight="false" outlineLevel="0" collapsed="false">
      <c r="A16" s="4" t="s">
        <v>2234</v>
      </c>
      <c r="B16" s="4" t="s">
        <v>2230</v>
      </c>
      <c r="C16" s="3" t="s">
        <v>2231</v>
      </c>
      <c r="D16" s="11" t="s">
        <v>2232</v>
      </c>
      <c r="E16" s="4" t="s">
        <v>2206</v>
      </c>
      <c r="F16" s="114" t="n">
        <v>1.55003663914234</v>
      </c>
      <c r="G16" s="114" t="n">
        <v>2.08645378736555</v>
      </c>
      <c r="H16" s="114" t="n">
        <v>3.39439662035368</v>
      </c>
      <c r="I16" s="11" t="s">
        <v>2235</v>
      </c>
      <c r="J16" s="11" t="s">
        <v>2204</v>
      </c>
    </row>
    <row r="17" customFormat="false" ht="15" hidden="false" customHeight="false" outlineLevel="0" collapsed="false">
      <c r="A17" s="4" t="s">
        <v>2236</v>
      </c>
      <c r="B17" s="4" t="s">
        <v>2230</v>
      </c>
      <c r="C17" s="3" t="s">
        <v>2231</v>
      </c>
      <c r="D17" s="11" t="s">
        <v>2232</v>
      </c>
      <c r="E17" s="4" t="s">
        <v>2209</v>
      </c>
      <c r="F17" s="114" t="n">
        <v>2.04104144426194</v>
      </c>
      <c r="G17" s="114" t="n">
        <v>2.98269559427618</v>
      </c>
      <c r="H17" s="114" t="n">
        <v>5.59559440727497</v>
      </c>
      <c r="I17" s="11" t="s">
        <v>2237</v>
      </c>
      <c r="J17" s="11" t="s">
        <v>2204</v>
      </c>
    </row>
    <row r="18" customFormat="false" ht="15" hidden="false" customHeight="false" outlineLevel="0" collapsed="false">
      <c r="A18" s="4" t="s">
        <v>2238</v>
      </c>
      <c r="B18" s="4" t="s">
        <v>2230</v>
      </c>
      <c r="C18" s="3" t="s">
        <v>2231</v>
      </c>
      <c r="D18" s="11" t="s">
        <v>2232</v>
      </c>
      <c r="E18" s="4" t="s">
        <v>2212</v>
      </c>
      <c r="F18" s="114" t="n">
        <v>3.84895231682799</v>
      </c>
      <c r="G18" s="114" t="n">
        <v>4.99359409623699</v>
      </c>
      <c r="H18" s="114" t="n">
        <v>8.09104040200768</v>
      </c>
      <c r="I18" s="11" t="s">
        <v>2239</v>
      </c>
      <c r="J18" s="11" t="s">
        <v>2204</v>
      </c>
    </row>
    <row r="19" customFormat="false" ht="15" hidden="false" customHeight="false" outlineLevel="0" collapsed="false">
      <c r="A19" s="4" t="s">
        <v>2240</v>
      </c>
      <c r="B19" s="4" t="s">
        <v>2230</v>
      </c>
      <c r="C19" s="3" t="s">
        <v>2231</v>
      </c>
      <c r="D19" s="11" t="s">
        <v>2232</v>
      </c>
      <c r="E19" s="4" t="s">
        <v>2215</v>
      </c>
      <c r="F19" s="114" t="n">
        <v>6.12640309057557</v>
      </c>
      <c r="G19" s="114" t="n">
        <v>9.41883786448199</v>
      </c>
      <c r="H19" s="114" t="n">
        <v>17.2643200828347</v>
      </c>
      <c r="I19" s="11" t="s">
        <v>2241</v>
      </c>
      <c r="J19" s="11" t="s">
        <v>2204</v>
      </c>
    </row>
    <row r="20" customFormat="false" ht="15" hidden="false" customHeight="false" outlineLevel="0" collapsed="false">
      <c r="A20" s="4" t="s">
        <v>2242</v>
      </c>
      <c r="B20" s="4" t="s">
        <v>2243</v>
      </c>
      <c r="C20" s="3" t="s">
        <v>2244</v>
      </c>
      <c r="D20" s="11" t="s">
        <v>2245</v>
      </c>
      <c r="E20" s="4" t="s">
        <v>2202</v>
      </c>
      <c r="F20" s="114" t="n">
        <v>21.4202694</v>
      </c>
      <c r="G20" s="114" t="n">
        <v>27.510214</v>
      </c>
      <c r="H20" s="114" t="n">
        <v>34.1207434</v>
      </c>
      <c r="I20" s="11" t="s">
        <v>2246</v>
      </c>
      <c r="J20" s="11" t="s">
        <v>2204</v>
      </c>
    </row>
    <row r="21" customFormat="false" ht="15" hidden="false" customHeight="false" outlineLevel="0" collapsed="false">
      <c r="A21" s="4" t="s">
        <v>2247</v>
      </c>
      <c r="B21" s="4" t="s">
        <v>2243</v>
      </c>
      <c r="C21" s="3" t="s">
        <v>2244</v>
      </c>
      <c r="D21" s="11" t="s">
        <v>2245</v>
      </c>
      <c r="E21" s="4" t="s">
        <v>2206</v>
      </c>
      <c r="F21" s="114" t="n">
        <v>20.6393904</v>
      </c>
      <c r="G21" s="114" t="n">
        <v>24.015174</v>
      </c>
      <c r="H21" s="114" t="n">
        <v>27.6502044</v>
      </c>
      <c r="I21" s="11" t="s">
        <v>2248</v>
      </c>
      <c r="J21" s="11" t="s">
        <v>2204</v>
      </c>
    </row>
    <row r="22" customFormat="false" ht="15" hidden="false" customHeight="false" outlineLevel="0" collapsed="false">
      <c r="A22" s="4" t="s">
        <v>2249</v>
      </c>
      <c r="B22" s="4" t="s">
        <v>2243</v>
      </c>
      <c r="C22" s="3" t="s">
        <v>2244</v>
      </c>
      <c r="D22" s="11" t="s">
        <v>2245</v>
      </c>
      <c r="E22" s="4" t="s">
        <v>2209</v>
      </c>
      <c r="F22" s="114" t="n">
        <v>28.5549024</v>
      </c>
      <c r="G22" s="114" t="n">
        <v>37.445504</v>
      </c>
      <c r="H22" s="114" t="n">
        <v>50.9505064</v>
      </c>
      <c r="I22" s="11" t="s">
        <v>2250</v>
      </c>
      <c r="J22" s="11" t="s">
        <v>2204</v>
      </c>
    </row>
    <row r="23" customFormat="false" ht="15" hidden="false" customHeight="false" outlineLevel="0" collapsed="false">
      <c r="A23" s="4" t="s">
        <v>2251</v>
      </c>
      <c r="B23" s="4" t="s">
        <v>2243</v>
      </c>
      <c r="C23" s="3" t="s">
        <v>2244</v>
      </c>
      <c r="D23" s="11" t="s">
        <v>2245</v>
      </c>
      <c r="E23" s="4" t="s">
        <v>2212</v>
      </c>
      <c r="F23" s="114" t="n">
        <v>33.2734032</v>
      </c>
      <c r="G23" s="114" t="n">
        <v>37.586352</v>
      </c>
      <c r="H23" s="114" t="n">
        <v>42.6375752</v>
      </c>
      <c r="I23" s="11" t="s">
        <v>2252</v>
      </c>
      <c r="J23" s="11" t="s">
        <v>2204</v>
      </c>
    </row>
    <row r="24" customFormat="false" ht="15" hidden="false" customHeight="false" outlineLevel="0" collapsed="false">
      <c r="A24" s="4" t="s">
        <v>2253</v>
      </c>
      <c r="B24" s="4" t="s">
        <v>2243</v>
      </c>
      <c r="C24" s="3" t="s">
        <v>2244</v>
      </c>
      <c r="D24" s="11" t="s">
        <v>2245</v>
      </c>
      <c r="E24" s="4" t="s">
        <v>2215</v>
      </c>
      <c r="F24" s="114" t="n">
        <v>35.845578</v>
      </c>
      <c r="G24" s="114" t="n">
        <v>50.08578</v>
      </c>
      <c r="H24" s="114" t="n">
        <v>65.481558</v>
      </c>
      <c r="I24" s="11" t="s">
        <v>2254</v>
      </c>
      <c r="J24" s="11" t="s">
        <v>2204</v>
      </c>
    </row>
    <row r="25" customFormat="false" ht="15" hidden="false" customHeight="false" outlineLevel="0" collapsed="false">
      <c r="A25" s="4" t="s">
        <v>2255</v>
      </c>
      <c r="B25" s="4" t="s">
        <v>2256</v>
      </c>
      <c r="C25" s="3" t="s">
        <v>2257</v>
      </c>
      <c r="D25" s="11" t="s">
        <v>2245</v>
      </c>
      <c r="E25" s="4" t="s">
        <v>2202</v>
      </c>
      <c r="F25" s="114" t="n">
        <v>10.212</v>
      </c>
      <c r="G25" s="114" t="n">
        <v>12.67</v>
      </c>
      <c r="H25" s="114" t="n">
        <v>16.186</v>
      </c>
      <c r="I25" s="11" t="s">
        <v>2258</v>
      </c>
      <c r="J25" s="11" t="s">
        <v>2204</v>
      </c>
    </row>
    <row r="26" customFormat="false" ht="15" hidden="false" customHeight="false" outlineLevel="0" collapsed="false">
      <c r="A26" s="4" t="s">
        <v>2259</v>
      </c>
      <c r="B26" s="4" t="s">
        <v>2256</v>
      </c>
      <c r="C26" s="3" t="s">
        <v>2257</v>
      </c>
      <c r="D26" s="11" t="s">
        <v>2245</v>
      </c>
      <c r="E26" s="4" t="s">
        <v>2206</v>
      </c>
      <c r="F26" s="114" t="n">
        <v>10.212</v>
      </c>
      <c r="G26" s="114" t="n">
        <v>12.67</v>
      </c>
      <c r="H26" s="114" t="n">
        <v>16.186</v>
      </c>
      <c r="I26" s="11" t="s">
        <v>2260</v>
      </c>
      <c r="J26" s="11" t="s">
        <v>2204</v>
      </c>
    </row>
    <row r="27" customFormat="false" ht="15" hidden="false" customHeight="false" outlineLevel="0" collapsed="false">
      <c r="A27" s="4" t="s">
        <v>2261</v>
      </c>
      <c r="B27" s="4" t="s">
        <v>2256</v>
      </c>
      <c r="C27" s="3" t="s">
        <v>2257</v>
      </c>
      <c r="D27" s="11" t="s">
        <v>2245</v>
      </c>
      <c r="E27" s="4" t="s">
        <v>2209</v>
      </c>
      <c r="F27" s="114" t="n">
        <v>10.212</v>
      </c>
      <c r="G27" s="114" t="n">
        <v>12.67</v>
      </c>
      <c r="H27" s="114" t="n">
        <v>16.186</v>
      </c>
      <c r="I27" s="11" t="s">
        <v>2262</v>
      </c>
      <c r="J27" s="11" t="s">
        <v>2204</v>
      </c>
    </row>
    <row r="28" customFormat="false" ht="15" hidden="false" customHeight="false" outlineLevel="0" collapsed="false">
      <c r="A28" s="4" t="s">
        <v>2263</v>
      </c>
      <c r="B28" s="4" t="s">
        <v>2256</v>
      </c>
      <c r="C28" s="3" t="s">
        <v>2257</v>
      </c>
      <c r="D28" s="11" t="s">
        <v>2245</v>
      </c>
      <c r="E28" s="4" t="s">
        <v>2212</v>
      </c>
      <c r="F28" s="114" t="n">
        <v>10.212</v>
      </c>
      <c r="G28" s="114" t="n">
        <v>12.67</v>
      </c>
      <c r="H28" s="114" t="n">
        <v>16.186</v>
      </c>
      <c r="I28" s="11" t="s">
        <v>2264</v>
      </c>
      <c r="J28" s="11" t="s">
        <v>2204</v>
      </c>
    </row>
    <row r="29" customFormat="false" ht="15" hidden="false" customHeight="false" outlineLevel="0" collapsed="false">
      <c r="A29" s="4" t="s">
        <v>2265</v>
      </c>
      <c r="B29" s="4" t="s">
        <v>2256</v>
      </c>
      <c r="C29" s="3" t="s">
        <v>2257</v>
      </c>
      <c r="D29" s="11" t="s">
        <v>2245</v>
      </c>
      <c r="E29" s="4" t="s">
        <v>2215</v>
      </c>
      <c r="F29" s="114" t="n">
        <v>10.212</v>
      </c>
      <c r="G29" s="114" t="n">
        <v>12.67</v>
      </c>
      <c r="H29" s="114" t="n">
        <v>16.186</v>
      </c>
      <c r="I29" s="11" t="s">
        <v>2266</v>
      </c>
      <c r="J29" s="11" t="s">
        <v>2204</v>
      </c>
    </row>
    <row r="30" customFormat="false" ht="15" hidden="false" customHeight="false" outlineLevel="0" collapsed="false">
      <c r="A30" s="4" t="s">
        <v>2267</v>
      </c>
      <c r="B30" s="4" t="s">
        <v>2268</v>
      </c>
      <c r="C30" s="3" t="s">
        <v>2269</v>
      </c>
      <c r="D30" s="11" t="s">
        <v>2245</v>
      </c>
      <c r="E30" s="4" t="s">
        <v>2202</v>
      </c>
      <c r="F30" s="114" t="n">
        <v>31.6322694</v>
      </c>
      <c r="G30" s="114" t="n">
        <v>40.180214</v>
      </c>
      <c r="H30" s="114" t="n">
        <v>50.3067434</v>
      </c>
      <c r="I30" s="11" t="s">
        <v>2270</v>
      </c>
      <c r="J30" s="11" t="s">
        <v>2204</v>
      </c>
    </row>
    <row r="31" customFormat="false" ht="15" hidden="false" customHeight="false" outlineLevel="0" collapsed="false">
      <c r="A31" s="4" t="s">
        <v>2271</v>
      </c>
      <c r="B31" s="4" t="s">
        <v>2268</v>
      </c>
      <c r="C31" s="3" t="s">
        <v>2269</v>
      </c>
      <c r="D31" s="11" t="s">
        <v>2245</v>
      </c>
      <c r="E31" s="4" t="s">
        <v>2206</v>
      </c>
      <c r="F31" s="114" t="n">
        <v>30.8513904</v>
      </c>
      <c r="G31" s="114" t="n">
        <v>36.685174</v>
      </c>
      <c r="H31" s="114" t="n">
        <v>43.8362044</v>
      </c>
      <c r="I31" s="11" t="s">
        <v>2272</v>
      </c>
      <c r="J31" s="11" t="s">
        <v>2204</v>
      </c>
    </row>
    <row r="32" customFormat="false" ht="15" hidden="false" customHeight="false" outlineLevel="0" collapsed="false">
      <c r="A32" s="4" t="s">
        <v>2273</v>
      </c>
      <c r="B32" s="4" t="s">
        <v>2268</v>
      </c>
      <c r="C32" s="3" t="s">
        <v>2269</v>
      </c>
      <c r="D32" s="11" t="s">
        <v>2245</v>
      </c>
      <c r="E32" s="4" t="s">
        <v>2209</v>
      </c>
      <c r="F32" s="114" t="n">
        <v>38.7669024</v>
      </c>
      <c r="G32" s="114" t="n">
        <v>50.115504</v>
      </c>
      <c r="H32" s="114" t="n">
        <v>67.1365064</v>
      </c>
      <c r="I32" s="11" t="s">
        <v>2274</v>
      </c>
      <c r="J32" s="11" t="s">
        <v>2204</v>
      </c>
    </row>
    <row r="33" customFormat="false" ht="15" hidden="false" customHeight="false" outlineLevel="0" collapsed="false">
      <c r="A33" s="4" t="s">
        <v>2275</v>
      </c>
      <c r="B33" s="4" t="s">
        <v>2268</v>
      </c>
      <c r="C33" s="3" t="s">
        <v>2269</v>
      </c>
      <c r="D33" s="11" t="s">
        <v>2245</v>
      </c>
      <c r="E33" s="4" t="s">
        <v>2212</v>
      </c>
      <c r="F33" s="114" t="n">
        <v>43.4854032</v>
      </c>
      <c r="G33" s="114" t="n">
        <v>50.256352</v>
      </c>
      <c r="H33" s="114" t="n">
        <v>58.8235752</v>
      </c>
      <c r="I33" s="11" t="s">
        <v>2276</v>
      </c>
      <c r="J33" s="11" t="s">
        <v>2204</v>
      </c>
    </row>
    <row r="34" customFormat="false" ht="15" hidden="false" customHeight="false" outlineLevel="0" collapsed="false">
      <c r="A34" s="4" t="s">
        <v>2277</v>
      </c>
      <c r="B34" s="4" t="s">
        <v>2268</v>
      </c>
      <c r="C34" s="3" t="s">
        <v>2269</v>
      </c>
      <c r="D34" s="11" t="s">
        <v>2245</v>
      </c>
      <c r="E34" s="4" t="s">
        <v>2215</v>
      </c>
      <c r="F34" s="114" t="n">
        <v>46.057578</v>
      </c>
      <c r="G34" s="114" t="n">
        <v>62.75578</v>
      </c>
      <c r="H34" s="114" t="n">
        <v>81.667558</v>
      </c>
      <c r="I34" s="11" t="s">
        <v>2278</v>
      </c>
      <c r="J34" s="11" t="s">
        <v>2204</v>
      </c>
    </row>
    <row r="35" customFormat="false" ht="15" hidden="false" customHeight="false" outlineLevel="0" collapsed="false">
      <c r="A35" s="4" t="s">
        <v>2279</v>
      </c>
      <c r="B35" s="4" t="s">
        <v>2280</v>
      </c>
      <c r="C35" s="3" t="s">
        <v>2281</v>
      </c>
      <c r="D35" s="11" t="s">
        <v>2282</v>
      </c>
      <c r="E35" s="4" t="s">
        <v>1484</v>
      </c>
      <c r="F35" s="114" t="n">
        <v>10.212</v>
      </c>
      <c r="G35" s="114" t="n">
        <v>12.67</v>
      </c>
      <c r="H35" s="114" t="n">
        <v>16.186</v>
      </c>
      <c r="I35" s="11" t="s">
        <v>2283</v>
      </c>
      <c r="J35" s="11" t="s">
        <v>2204</v>
      </c>
    </row>
    <row r="36" customFormat="false" ht="15" hidden="false" customHeight="false" outlineLevel="0" collapsed="false">
      <c r="A36" s="4" t="s">
        <v>2284</v>
      </c>
      <c r="B36" s="4" t="s">
        <v>2285</v>
      </c>
      <c r="C36" s="4" t="s">
        <v>2286</v>
      </c>
      <c r="D36" s="6" t="s">
        <v>184</v>
      </c>
      <c r="E36" s="4" t="s">
        <v>2202</v>
      </c>
      <c r="F36" s="114" t="n">
        <v>6</v>
      </c>
      <c r="G36" s="114" t="n">
        <v>6</v>
      </c>
      <c r="H36" s="114" t="n">
        <v>4</v>
      </c>
      <c r="I36" s="11" t="s">
        <v>2287</v>
      </c>
      <c r="J36" s="11" t="s">
        <v>2204</v>
      </c>
    </row>
    <row r="37" customFormat="false" ht="15" hidden="false" customHeight="false" outlineLevel="0" collapsed="false">
      <c r="A37" s="4" t="s">
        <v>2288</v>
      </c>
      <c r="B37" s="4" t="s">
        <v>2285</v>
      </c>
      <c r="C37" s="4" t="s">
        <v>2286</v>
      </c>
      <c r="D37" s="6" t="s">
        <v>184</v>
      </c>
      <c r="E37" s="4" t="s">
        <v>2206</v>
      </c>
      <c r="F37" s="114" t="n">
        <v>6</v>
      </c>
      <c r="G37" s="114" t="n">
        <v>6</v>
      </c>
      <c r="H37" s="114" t="n">
        <v>4</v>
      </c>
      <c r="I37" s="11" t="s">
        <v>2289</v>
      </c>
      <c r="J37" s="11" t="s">
        <v>2204</v>
      </c>
    </row>
    <row r="38" customFormat="false" ht="15" hidden="false" customHeight="false" outlineLevel="0" collapsed="false">
      <c r="A38" s="4" t="s">
        <v>2290</v>
      </c>
      <c r="B38" s="4" t="s">
        <v>2285</v>
      </c>
      <c r="C38" s="4" t="s">
        <v>2286</v>
      </c>
      <c r="D38" s="6" t="s">
        <v>184</v>
      </c>
      <c r="E38" s="4" t="s">
        <v>2209</v>
      </c>
      <c r="F38" s="114" t="n">
        <v>6</v>
      </c>
      <c r="G38" s="114" t="n">
        <v>6</v>
      </c>
      <c r="H38" s="114" t="n">
        <v>4</v>
      </c>
      <c r="I38" s="11" t="s">
        <v>2291</v>
      </c>
      <c r="J38" s="11" t="s">
        <v>2204</v>
      </c>
    </row>
    <row r="39" customFormat="false" ht="15" hidden="false" customHeight="false" outlineLevel="0" collapsed="false">
      <c r="A39" s="4" t="s">
        <v>2292</v>
      </c>
      <c r="B39" s="4" t="s">
        <v>2285</v>
      </c>
      <c r="C39" s="4" t="s">
        <v>2286</v>
      </c>
      <c r="D39" s="6" t="s">
        <v>184</v>
      </c>
      <c r="E39" s="4" t="s">
        <v>2212</v>
      </c>
      <c r="F39" s="114" t="n">
        <v>6</v>
      </c>
      <c r="G39" s="114" t="n">
        <v>6</v>
      </c>
      <c r="H39" s="114" t="n">
        <v>4</v>
      </c>
      <c r="I39" s="11" t="s">
        <v>2293</v>
      </c>
      <c r="J39" s="11" t="s">
        <v>2204</v>
      </c>
    </row>
    <row r="40" customFormat="false" ht="15" hidden="false" customHeight="false" outlineLevel="0" collapsed="false">
      <c r="A40" s="4" t="s">
        <v>2294</v>
      </c>
      <c r="B40" s="4" t="s">
        <v>2285</v>
      </c>
      <c r="C40" s="4" t="s">
        <v>2286</v>
      </c>
      <c r="D40" s="6" t="s">
        <v>184</v>
      </c>
      <c r="E40" s="4" t="s">
        <v>2215</v>
      </c>
      <c r="F40" s="114" t="n">
        <v>6</v>
      </c>
      <c r="G40" s="114" t="n">
        <v>6</v>
      </c>
      <c r="H40" s="114" t="n">
        <v>4</v>
      </c>
      <c r="I40" s="11" t="s">
        <v>2295</v>
      </c>
      <c r="J40" s="11" t="s">
        <v>2204</v>
      </c>
    </row>
    <row r="41" customFormat="false" ht="15" hidden="false" customHeight="false" outlineLevel="0" collapsed="false">
      <c r="A41" s="4" t="s">
        <v>2296</v>
      </c>
      <c r="B41" s="4" t="s">
        <v>2297</v>
      </c>
      <c r="C41" s="3" t="s">
        <v>2298</v>
      </c>
      <c r="D41" s="11" t="s">
        <v>2201</v>
      </c>
      <c r="E41" s="4" t="s">
        <v>2202</v>
      </c>
      <c r="F41" s="114" t="n">
        <v>3.5700449</v>
      </c>
      <c r="G41" s="114" t="n">
        <v>4.58503566666667</v>
      </c>
      <c r="H41" s="114" t="n">
        <v>8.53018585</v>
      </c>
      <c r="I41" s="11" t="s">
        <v>2299</v>
      </c>
      <c r="J41" s="11" t="s">
        <v>2204</v>
      </c>
    </row>
    <row r="42" customFormat="false" ht="15" hidden="false" customHeight="false" outlineLevel="0" collapsed="false">
      <c r="A42" s="4" t="s">
        <v>2300</v>
      </c>
      <c r="B42" s="4" t="s">
        <v>2297</v>
      </c>
      <c r="C42" s="3" t="s">
        <v>2298</v>
      </c>
      <c r="D42" s="11" t="s">
        <v>2201</v>
      </c>
      <c r="E42" s="4" t="s">
        <v>2206</v>
      </c>
      <c r="F42" s="114" t="n">
        <v>3.4398984</v>
      </c>
      <c r="G42" s="114" t="n">
        <v>4.002529</v>
      </c>
      <c r="H42" s="114" t="n">
        <v>6.9125511</v>
      </c>
      <c r="I42" s="11" t="s">
        <v>2301</v>
      </c>
      <c r="J42" s="11" t="s">
        <v>2204</v>
      </c>
    </row>
    <row r="43" customFormat="false" ht="15" hidden="false" customHeight="false" outlineLevel="0" collapsed="false">
      <c r="A43" s="4" t="s">
        <v>2302</v>
      </c>
      <c r="B43" s="4" t="s">
        <v>2297</v>
      </c>
      <c r="C43" s="3" t="s">
        <v>2298</v>
      </c>
      <c r="D43" s="11" t="s">
        <v>2201</v>
      </c>
      <c r="E43" s="4" t="s">
        <v>2209</v>
      </c>
      <c r="F43" s="114" t="n">
        <v>4.7591504</v>
      </c>
      <c r="G43" s="114" t="n">
        <v>6.24091733333333</v>
      </c>
      <c r="H43" s="114" t="n">
        <v>12.7376266</v>
      </c>
      <c r="I43" s="11" t="s">
        <v>2303</v>
      </c>
      <c r="J43" s="11" t="s">
        <v>2204</v>
      </c>
    </row>
    <row r="44" customFormat="false" ht="15" hidden="false" customHeight="false" outlineLevel="0" collapsed="false">
      <c r="A44" s="4" t="s">
        <v>2304</v>
      </c>
      <c r="B44" s="4" t="s">
        <v>2297</v>
      </c>
      <c r="C44" s="3" t="s">
        <v>2298</v>
      </c>
      <c r="D44" s="11" t="s">
        <v>2201</v>
      </c>
      <c r="E44" s="4" t="s">
        <v>2212</v>
      </c>
      <c r="F44" s="114" t="n">
        <v>5.5455672</v>
      </c>
      <c r="G44" s="114" t="n">
        <v>6.264392</v>
      </c>
      <c r="H44" s="114" t="n">
        <v>10.6593938</v>
      </c>
      <c r="I44" s="11" t="s">
        <v>2305</v>
      </c>
      <c r="J44" s="11" t="s">
        <v>2204</v>
      </c>
    </row>
    <row r="45" customFormat="false" ht="15" hidden="false" customHeight="false" outlineLevel="0" collapsed="false">
      <c r="A45" s="4" t="s">
        <v>2306</v>
      </c>
      <c r="B45" s="4" t="s">
        <v>2297</v>
      </c>
      <c r="C45" s="3" t="s">
        <v>2298</v>
      </c>
      <c r="D45" s="11" t="s">
        <v>2201</v>
      </c>
      <c r="E45" s="4" t="s">
        <v>2215</v>
      </c>
      <c r="F45" s="114" t="n">
        <v>5.974263</v>
      </c>
      <c r="G45" s="114" t="n">
        <v>8.34763</v>
      </c>
      <c r="H45" s="114" t="n">
        <v>16.3703895</v>
      </c>
      <c r="I45" s="11" t="s">
        <v>2307</v>
      </c>
      <c r="J45" s="11" t="s">
        <v>2204</v>
      </c>
    </row>
    <row r="46" customFormat="false" ht="15" hidden="false" customHeight="false" outlineLevel="0" collapsed="false">
      <c r="A46" s="4" t="s">
        <v>2308</v>
      </c>
      <c r="B46" s="4" t="s">
        <v>2309</v>
      </c>
      <c r="C46" s="3" t="s">
        <v>2310</v>
      </c>
      <c r="D46" s="11" t="s">
        <v>2201</v>
      </c>
      <c r="E46" s="4" t="s">
        <v>2202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2311</v>
      </c>
      <c r="J46" s="11" t="s">
        <v>2204</v>
      </c>
    </row>
    <row r="47" customFormat="false" ht="15" hidden="false" customHeight="false" outlineLevel="0" collapsed="false">
      <c r="A47" s="4" t="s">
        <v>2312</v>
      </c>
      <c r="B47" s="4" t="s">
        <v>2309</v>
      </c>
      <c r="C47" s="3" t="s">
        <v>2310</v>
      </c>
      <c r="D47" s="11" t="s">
        <v>2201</v>
      </c>
      <c r="E47" s="4" t="s">
        <v>2206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2313</v>
      </c>
      <c r="J47" s="11" t="s">
        <v>2204</v>
      </c>
    </row>
    <row r="48" customFormat="false" ht="15" hidden="false" customHeight="false" outlineLevel="0" collapsed="false">
      <c r="A48" s="4" t="s">
        <v>2314</v>
      </c>
      <c r="B48" s="4" t="s">
        <v>2309</v>
      </c>
      <c r="C48" s="3" t="s">
        <v>2310</v>
      </c>
      <c r="D48" s="11" t="s">
        <v>2201</v>
      </c>
      <c r="E48" s="4" t="s">
        <v>2209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2315</v>
      </c>
      <c r="J48" s="11" t="s">
        <v>2204</v>
      </c>
    </row>
    <row r="49" customFormat="false" ht="15" hidden="false" customHeight="false" outlineLevel="0" collapsed="false">
      <c r="A49" s="4" t="s">
        <v>2316</v>
      </c>
      <c r="B49" s="4" t="s">
        <v>2309</v>
      </c>
      <c r="C49" s="3" t="s">
        <v>2310</v>
      </c>
      <c r="D49" s="11" t="s">
        <v>2201</v>
      </c>
      <c r="E49" s="4" t="s">
        <v>2212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2317</v>
      </c>
      <c r="J49" s="11" t="s">
        <v>2204</v>
      </c>
    </row>
    <row r="50" customFormat="false" ht="15" hidden="false" customHeight="false" outlineLevel="0" collapsed="false">
      <c r="A50" s="4" t="s">
        <v>2318</v>
      </c>
      <c r="B50" s="4" t="s">
        <v>2309</v>
      </c>
      <c r="C50" s="3" t="s">
        <v>2310</v>
      </c>
      <c r="D50" s="11" t="s">
        <v>2201</v>
      </c>
      <c r="E50" s="4" t="s">
        <v>2215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2319</v>
      </c>
      <c r="J50" s="11" t="s">
        <v>2204</v>
      </c>
    </row>
    <row r="51" customFormat="false" ht="15" hidden="false" customHeight="false" outlineLevel="0" collapsed="false">
      <c r="A51" s="4" t="s">
        <v>2320</v>
      </c>
      <c r="B51" s="4" t="s">
        <v>2321</v>
      </c>
      <c r="C51" s="3" t="s">
        <v>2322</v>
      </c>
      <c r="D51" s="11" t="s">
        <v>2201</v>
      </c>
      <c r="E51" s="4" t="s">
        <v>2202</v>
      </c>
      <c r="F51" s="114" t="n">
        <v>1.3211941962</v>
      </c>
      <c r="G51" s="114" t="n">
        <v>2.27737549</v>
      </c>
      <c r="H51" s="114" t="n">
        <v>3.6068536832</v>
      </c>
      <c r="I51" s="11" t="s">
        <v>2323</v>
      </c>
      <c r="J51" s="11" t="s">
        <v>2204</v>
      </c>
    </row>
    <row r="52" customFormat="false" ht="15" hidden="false" customHeight="false" outlineLevel="0" collapsed="false">
      <c r="A52" s="4" t="s">
        <v>2324</v>
      </c>
      <c r="B52" s="4" t="s">
        <v>2321</v>
      </c>
      <c r="C52" s="3" t="s">
        <v>2322</v>
      </c>
      <c r="D52" s="11" t="s">
        <v>2201</v>
      </c>
      <c r="E52" s="4" t="s">
        <v>2206</v>
      </c>
      <c r="F52" s="114" t="n">
        <v>1.3032339792</v>
      </c>
      <c r="G52" s="114" t="n">
        <v>2.15504909</v>
      </c>
      <c r="H52" s="114" t="n">
        <v>3.2962678112</v>
      </c>
      <c r="I52" s="11" t="s">
        <v>2325</v>
      </c>
      <c r="J52" s="11" t="s">
        <v>2204</v>
      </c>
    </row>
    <row r="53" customFormat="false" ht="15" hidden="false" customHeight="false" outlineLevel="0" collapsed="false">
      <c r="A53" s="4" t="s">
        <v>2326</v>
      </c>
      <c r="B53" s="4" t="s">
        <v>2321</v>
      </c>
      <c r="C53" s="3" t="s">
        <v>2322</v>
      </c>
      <c r="D53" s="11" t="s">
        <v>2201</v>
      </c>
      <c r="E53" s="4" t="s">
        <v>2209</v>
      </c>
      <c r="F53" s="114" t="n">
        <v>1.4852907552</v>
      </c>
      <c r="G53" s="114" t="n">
        <v>2.62511064</v>
      </c>
      <c r="H53" s="114" t="n">
        <v>4.4146823072</v>
      </c>
      <c r="I53" s="11" t="s">
        <v>2327</v>
      </c>
      <c r="J53" s="11" t="s">
        <v>2204</v>
      </c>
    </row>
    <row r="54" customFormat="false" ht="15" hidden="false" customHeight="false" outlineLevel="0" collapsed="false">
      <c r="A54" s="4" t="s">
        <v>2328</v>
      </c>
      <c r="B54" s="4" t="s">
        <v>2321</v>
      </c>
      <c r="C54" s="3" t="s">
        <v>2322</v>
      </c>
      <c r="D54" s="11" t="s">
        <v>2201</v>
      </c>
      <c r="E54" s="4" t="s">
        <v>2212</v>
      </c>
      <c r="F54" s="114" t="n">
        <v>1.5938162736</v>
      </c>
      <c r="G54" s="114" t="n">
        <v>2.63004032</v>
      </c>
      <c r="H54" s="114" t="n">
        <v>4.0156616096</v>
      </c>
      <c r="I54" s="11" t="s">
        <v>2329</v>
      </c>
      <c r="J54" s="11" t="s">
        <v>2204</v>
      </c>
    </row>
    <row r="55" customFormat="false" ht="15" hidden="false" customHeight="false" outlineLevel="0" collapsed="false">
      <c r="A55" s="4" t="s">
        <v>2330</v>
      </c>
      <c r="B55" s="4" t="s">
        <v>2321</v>
      </c>
      <c r="C55" s="3" t="s">
        <v>2322</v>
      </c>
      <c r="D55" s="11" t="s">
        <v>2201</v>
      </c>
      <c r="E55" s="4" t="s">
        <v>2215</v>
      </c>
      <c r="F55" s="114" t="n">
        <v>1.652976294</v>
      </c>
      <c r="G55" s="114" t="n">
        <v>3.0675203</v>
      </c>
      <c r="H55" s="114" t="n">
        <v>5.112172784</v>
      </c>
      <c r="I55" s="11" t="s">
        <v>2331</v>
      </c>
      <c r="J55" s="11" t="s">
        <v>2204</v>
      </c>
    </row>
    <row r="56" customFormat="false" ht="15" hidden="false" customHeight="false" outlineLevel="0" collapsed="false">
      <c r="A56" s="4" t="s">
        <v>2332</v>
      </c>
      <c r="B56" s="4" t="s">
        <v>2333</v>
      </c>
      <c r="C56" s="3" t="s">
        <v>490</v>
      </c>
      <c r="D56" s="11" t="s">
        <v>2334</v>
      </c>
      <c r="E56" s="4" t="s">
        <v>2202</v>
      </c>
      <c r="F56" s="114" t="n">
        <v>0.06</v>
      </c>
      <c r="G56" s="114" t="n">
        <v>0.08</v>
      </c>
      <c r="H56" s="114" t="n">
        <v>0.1</v>
      </c>
      <c r="I56" s="11" t="s">
        <v>2335</v>
      </c>
      <c r="J56" s="11" t="s">
        <v>2204</v>
      </c>
    </row>
    <row r="57" customFormat="false" ht="15" hidden="false" customHeight="false" outlineLevel="0" collapsed="false">
      <c r="A57" s="4" t="s">
        <v>2336</v>
      </c>
      <c r="B57" s="4" t="s">
        <v>2333</v>
      </c>
      <c r="C57" s="3" t="s">
        <v>490</v>
      </c>
      <c r="D57" s="11" t="s">
        <v>2334</v>
      </c>
      <c r="E57" s="4" t="s">
        <v>2206</v>
      </c>
      <c r="F57" s="114" t="n">
        <v>0.06</v>
      </c>
      <c r="G57" s="114" t="n">
        <v>0.08</v>
      </c>
      <c r="H57" s="114" t="n">
        <v>0.1</v>
      </c>
      <c r="I57" s="11" t="s">
        <v>2337</v>
      </c>
      <c r="J57" s="11" t="s">
        <v>2204</v>
      </c>
    </row>
    <row r="58" customFormat="false" ht="15" hidden="false" customHeight="false" outlineLevel="0" collapsed="false">
      <c r="A58" s="4" t="s">
        <v>2338</v>
      </c>
      <c r="B58" s="4" t="s">
        <v>2333</v>
      </c>
      <c r="C58" s="3" t="s">
        <v>490</v>
      </c>
      <c r="D58" s="11" t="s">
        <v>2334</v>
      </c>
      <c r="E58" s="4" t="s">
        <v>2209</v>
      </c>
      <c r="F58" s="114" t="n">
        <v>0.06</v>
      </c>
      <c r="G58" s="114" t="n">
        <v>0.08</v>
      </c>
      <c r="H58" s="114" t="n">
        <v>0.1</v>
      </c>
      <c r="I58" s="11" t="s">
        <v>2339</v>
      </c>
      <c r="J58" s="11" t="s">
        <v>2204</v>
      </c>
    </row>
    <row r="59" customFormat="false" ht="15" hidden="false" customHeight="false" outlineLevel="0" collapsed="false">
      <c r="A59" s="4" t="s">
        <v>2340</v>
      </c>
      <c r="B59" s="4" t="s">
        <v>2333</v>
      </c>
      <c r="C59" s="3" t="s">
        <v>490</v>
      </c>
      <c r="D59" s="11" t="s">
        <v>2334</v>
      </c>
      <c r="E59" s="4" t="s">
        <v>2212</v>
      </c>
      <c r="F59" s="114" t="n">
        <v>0.06</v>
      </c>
      <c r="G59" s="114" t="n">
        <v>0.08</v>
      </c>
      <c r="H59" s="114" t="n">
        <v>0.1</v>
      </c>
      <c r="I59" s="11" t="s">
        <v>2341</v>
      </c>
      <c r="J59" s="11" t="s">
        <v>2204</v>
      </c>
    </row>
    <row r="60" customFormat="false" ht="15" hidden="false" customHeight="false" outlineLevel="0" collapsed="false">
      <c r="A60" s="4" t="s">
        <v>2342</v>
      </c>
      <c r="B60" s="4" t="s">
        <v>2333</v>
      </c>
      <c r="C60" s="3" t="s">
        <v>490</v>
      </c>
      <c r="D60" s="11" t="s">
        <v>2334</v>
      </c>
      <c r="E60" s="4" t="s">
        <v>2215</v>
      </c>
      <c r="F60" s="114" t="n">
        <v>0.06</v>
      </c>
      <c r="G60" s="114" t="n">
        <v>0.08</v>
      </c>
      <c r="H60" s="114" t="n">
        <v>0.1</v>
      </c>
      <c r="I60" s="11" t="s">
        <v>2343</v>
      </c>
      <c r="J60" s="11" t="s">
        <v>2204</v>
      </c>
    </row>
    <row r="61" customFormat="false" ht="15" hidden="false" customHeight="false" outlineLevel="0" collapsed="false">
      <c r="A61" s="4" t="s">
        <v>2344</v>
      </c>
      <c r="B61" s="4" t="s">
        <v>2345</v>
      </c>
      <c r="C61" s="3" t="s">
        <v>2346</v>
      </c>
      <c r="D61" s="11" t="s">
        <v>2201</v>
      </c>
      <c r="E61" s="4" t="s">
        <v>2202</v>
      </c>
      <c r="F61" s="114" t="n">
        <v>0.404712</v>
      </c>
      <c r="G61" s="114" t="n">
        <v>0.672768</v>
      </c>
      <c r="H61" s="114" t="n">
        <v>1.02492</v>
      </c>
      <c r="I61" s="11" t="s">
        <v>2347</v>
      </c>
      <c r="J61" s="11" t="s">
        <v>2204</v>
      </c>
    </row>
    <row r="62" customFormat="false" ht="15" hidden="false" customHeight="false" outlineLevel="0" collapsed="false">
      <c r="A62" s="4" t="s">
        <v>2348</v>
      </c>
      <c r="B62" s="4" t="s">
        <v>2345</v>
      </c>
      <c r="C62" s="3" t="s">
        <v>2346</v>
      </c>
      <c r="D62" s="11" t="s">
        <v>2201</v>
      </c>
      <c r="E62" s="4" t="s">
        <v>2206</v>
      </c>
      <c r="F62" s="114" t="n">
        <v>0.404712</v>
      </c>
      <c r="G62" s="114" t="n">
        <v>0.672768</v>
      </c>
      <c r="H62" s="114" t="n">
        <v>1.02492</v>
      </c>
      <c r="I62" s="11" t="s">
        <v>2349</v>
      </c>
      <c r="J62" s="11" t="s">
        <v>2204</v>
      </c>
    </row>
    <row r="63" customFormat="false" ht="15" hidden="false" customHeight="false" outlineLevel="0" collapsed="false">
      <c r="A63" s="4" t="s">
        <v>2350</v>
      </c>
      <c r="B63" s="4" t="s">
        <v>2345</v>
      </c>
      <c r="C63" s="3" t="s">
        <v>2346</v>
      </c>
      <c r="D63" s="11" t="s">
        <v>2201</v>
      </c>
      <c r="E63" s="4" t="s">
        <v>2209</v>
      </c>
      <c r="F63" s="114" t="n">
        <v>0.404712</v>
      </c>
      <c r="G63" s="114" t="n">
        <v>0.672768</v>
      </c>
      <c r="H63" s="114" t="n">
        <v>1.02492</v>
      </c>
      <c r="I63" s="11" t="s">
        <v>2351</v>
      </c>
      <c r="J63" s="11" t="s">
        <v>2204</v>
      </c>
    </row>
    <row r="64" customFormat="false" ht="15" hidden="false" customHeight="false" outlineLevel="0" collapsed="false">
      <c r="A64" s="4" t="s">
        <v>2352</v>
      </c>
      <c r="B64" s="4" t="s">
        <v>2345</v>
      </c>
      <c r="C64" s="3" t="s">
        <v>2346</v>
      </c>
      <c r="D64" s="11" t="s">
        <v>2201</v>
      </c>
      <c r="E64" s="4" t="s">
        <v>2212</v>
      </c>
      <c r="F64" s="114" t="n">
        <v>0.404712</v>
      </c>
      <c r="G64" s="114" t="n">
        <v>0.672768</v>
      </c>
      <c r="H64" s="114" t="n">
        <v>1.02492</v>
      </c>
      <c r="I64" s="11" t="s">
        <v>2353</v>
      </c>
      <c r="J64" s="11" t="s">
        <v>2204</v>
      </c>
    </row>
    <row r="65" customFormat="false" ht="15" hidden="false" customHeight="false" outlineLevel="0" collapsed="false">
      <c r="A65" s="4" t="s">
        <v>2354</v>
      </c>
      <c r="B65" s="4" t="s">
        <v>2345</v>
      </c>
      <c r="C65" s="3" t="s">
        <v>2346</v>
      </c>
      <c r="D65" s="11" t="s">
        <v>2201</v>
      </c>
      <c r="E65" s="4" t="s">
        <v>2215</v>
      </c>
      <c r="F65" s="114" t="n">
        <v>0.404712</v>
      </c>
      <c r="G65" s="114" t="n">
        <v>0.672768</v>
      </c>
      <c r="H65" s="114" t="n">
        <v>1.02492</v>
      </c>
      <c r="I65" s="11" t="s">
        <v>2355</v>
      </c>
      <c r="J65" s="11" t="s">
        <v>2204</v>
      </c>
    </row>
    <row r="66" customFormat="false" ht="15" hidden="false" customHeight="false" outlineLevel="0" collapsed="false">
      <c r="A66" s="4" t="s">
        <v>2356</v>
      </c>
      <c r="B66" s="4" t="s">
        <v>2357</v>
      </c>
      <c r="C66" s="3" t="s">
        <v>2358</v>
      </c>
      <c r="D66" s="11" t="s">
        <v>2201</v>
      </c>
      <c r="E66" s="4" t="s">
        <v>2202</v>
      </c>
      <c r="F66" s="114" t="n">
        <v>0.428405388</v>
      </c>
      <c r="G66" s="114" t="n">
        <v>0.82530642</v>
      </c>
      <c r="H66" s="114" t="n">
        <v>1.364829736</v>
      </c>
      <c r="I66" s="11" t="s">
        <v>2359</v>
      </c>
      <c r="J66" s="11" t="s">
        <v>2204</v>
      </c>
    </row>
    <row r="67" customFormat="false" ht="15" hidden="false" customHeight="false" outlineLevel="0" collapsed="false">
      <c r="A67" s="4" t="s">
        <v>2360</v>
      </c>
      <c r="B67" s="4" t="s">
        <v>2357</v>
      </c>
      <c r="C67" s="3" t="s">
        <v>2358</v>
      </c>
      <c r="D67" s="11" t="s">
        <v>2201</v>
      </c>
      <c r="E67" s="4" t="s">
        <v>2206</v>
      </c>
      <c r="F67" s="114" t="n">
        <v>0.412787808</v>
      </c>
      <c r="G67" s="114" t="n">
        <v>0.72045522</v>
      </c>
      <c r="H67" s="114" t="n">
        <v>1.106008176</v>
      </c>
      <c r="I67" s="11" t="s">
        <v>2361</v>
      </c>
      <c r="J67" s="11" t="s">
        <v>2204</v>
      </c>
    </row>
    <row r="68" customFormat="false" ht="15" hidden="false" customHeight="false" outlineLevel="0" collapsed="false">
      <c r="A68" s="4" t="s">
        <v>2362</v>
      </c>
      <c r="B68" s="4" t="s">
        <v>2357</v>
      </c>
      <c r="C68" s="3" t="s">
        <v>2358</v>
      </c>
      <c r="D68" s="11" t="s">
        <v>2201</v>
      </c>
      <c r="E68" s="4" t="s">
        <v>2209</v>
      </c>
      <c r="F68" s="114" t="n">
        <v>0.571098048</v>
      </c>
      <c r="G68" s="114" t="n">
        <v>1.12336512</v>
      </c>
      <c r="H68" s="114" t="n">
        <v>2.038020256</v>
      </c>
      <c r="I68" s="11" t="s">
        <v>2363</v>
      </c>
      <c r="J68" s="11" t="s">
        <v>2204</v>
      </c>
    </row>
    <row r="69" customFormat="false" ht="15" hidden="false" customHeight="false" outlineLevel="0" collapsed="false">
      <c r="A69" s="4" t="s">
        <v>2364</v>
      </c>
      <c r="B69" s="4" t="s">
        <v>2357</v>
      </c>
      <c r="C69" s="3" t="s">
        <v>2358</v>
      </c>
      <c r="D69" s="11" t="s">
        <v>2201</v>
      </c>
      <c r="E69" s="4" t="s">
        <v>2212</v>
      </c>
      <c r="F69" s="114" t="n">
        <v>0.665468064</v>
      </c>
      <c r="G69" s="114" t="n">
        <v>1.12759056</v>
      </c>
      <c r="H69" s="114" t="n">
        <v>1.705503008</v>
      </c>
      <c r="I69" s="11" t="s">
        <v>2365</v>
      </c>
      <c r="J69" s="11" t="s">
        <v>2204</v>
      </c>
    </row>
    <row r="70" customFormat="false" ht="15" hidden="false" customHeight="false" outlineLevel="0" collapsed="false">
      <c r="A70" s="4" t="s">
        <v>2366</v>
      </c>
      <c r="B70" s="4" t="s">
        <v>2357</v>
      </c>
      <c r="C70" s="3" t="s">
        <v>2358</v>
      </c>
      <c r="D70" s="11" t="s">
        <v>2201</v>
      </c>
      <c r="E70" s="4" t="s">
        <v>2215</v>
      </c>
      <c r="F70" s="114" t="n">
        <v>0.71691156</v>
      </c>
      <c r="G70" s="114" t="n">
        <v>1.5025734</v>
      </c>
      <c r="H70" s="114" t="n">
        <v>2.61926232</v>
      </c>
      <c r="I70" s="11" t="s">
        <v>2367</v>
      </c>
      <c r="J70" s="11" t="s">
        <v>2204</v>
      </c>
    </row>
    <row r="71" customFormat="false" ht="15" hidden="false" customHeight="false" outlineLevel="0" collapsed="false">
      <c r="A71" s="4" t="s">
        <v>2368</v>
      </c>
      <c r="B71" s="4" t="s">
        <v>2369</v>
      </c>
      <c r="C71" s="3" t="s">
        <v>2370</v>
      </c>
      <c r="D71" s="11" t="s">
        <v>2201</v>
      </c>
      <c r="E71" s="4" t="s">
        <v>2202</v>
      </c>
      <c r="F71" s="114" t="n">
        <v>0.15318</v>
      </c>
      <c r="G71" s="114" t="n">
        <v>0.2534</v>
      </c>
      <c r="H71" s="114" t="n">
        <v>0.40465</v>
      </c>
      <c r="I71" s="11" t="s">
        <v>2371</v>
      </c>
      <c r="J71" s="11" t="s">
        <v>2204</v>
      </c>
    </row>
    <row r="72" customFormat="false" ht="15" hidden="false" customHeight="false" outlineLevel="0" collapsed="false">
      <c r="A72" s="4" t="s">
        <v>2372</v>
      </c>
      <c r="B72" s="4" t="s">
        <v>2369</v>
      </c>
      <c r="C72" s="3" t="s">
        <v>2370</v>
      </c>
      <c r="D72" s="11" t="s">
        <v>2201</v>
      </c>
      <c r="E72" s="4" t="s">
        <v>2206</v>
      </c>
      <c r="F72" s="114" t="n">
        <v>0.15318</v>
      </c>
      <c r="G72" s="114" t="n">
        <v>0.2534</v>
      </c>
      <c r="H72" s="114" t="n">
        <v>0.40465</v>
      </c>
      <c r="I72" s="11" t="s">
        <v>2373</v>
      </c>
      <c r="J72" s="11" t="s">
        <v>2204</v>
      </c>
    </row>
    <row r="73" customFormat="false" ht="15" hidden="false" customHeight="false" outlineLevel="0" collapsed="false">
      <c r="A73" s="4" t="s">
        <v>2374</v>
      </c>
      <c r="B73" s="4" t="s">
        <v>2369</v>
      </c>
      <c r="C73" s="3" t="s">
        <v>2370</v>
      </c>
      <c r="D73" s="11" t="s">
        <v>2201</v>
      </c>
      <c r="E73" s="4" t="s">
        <v>2209</v>
      </c>
      <c r="F73" s="114" t="n">
        <v>0.15318</v>
      </c>
      <c r="G73" s="114" t="n">
        <v>0.2534</v>
      </c>
      <c r="H73" s="114" t="n">
        <v>0.40465</v>
      </c>
      <c r="I73" s="11" t="s">
        <v>2375</v>
      </c>
      <c r="J73" s="11" t="s">
        <v>2204</v>
      </c>
    </row>
    <row r="74" customFormat="false" ht="15" hidden="false" customHeight="false" outlineLevel="0" collapsed="false">
      <c r="A74" s="4" t="s">
        <v>2376</v>
      </c>
      <c r="B74" s="4" t="s">
        <v>2369</v>
      </c>
      <c r="C74" s="3" t="s">
        <v>2370</v>
      </c>
      <c r="D74" s="11" t="s">
        <v>2201</v>
      </c>
      <c r="E74" s="4" t="s">
        <v>2212</v>
      </c>
      <c r="F74" s="114" t="n">
        <v>0.15318</v>
      </c>
      <c r="G74" s="114" t="n">
        <v>0.2534</v>
      </c>
      <c r="H74" s="114" t="n">
        <v>0.40465</v>
      </c>
      <c r="I74" s="11" t="s">
        <v>2377</v>
      </c>
      <c r="J74" s="11" t="s">
        <v>2204</v>
      </c>
    </row>
    <row r="75" customFormat="false" ht="15" hidden="false" customHeight="false" outlineLevel="0" collapsed="false">
      <c r="A75" s="4" t="s">
        <v>2378</v>
      </c>
      <c r="B75" s="4" t="s">
        <v>2369</v>
      </c>
      <c r="C75" s="3" t="s">
        <v>2370</v>
      </c>
      <c r="D75" s="11" t="s">
        <v>2201</v>
      </c>
      <c r="E75" s="4" t="s">
        <v>2215</v>
      </c>
      <c r="F75" s="114" t="n">
        <v>0.15318</v>
      </c>
      <c r="G75" s="114" t="n">
        <v>0.2534</v>
      </c>
      <c r="H75" s="114" t="n">
        <v>0.40465</v>
      </c>
      <c r="I75" s="11" t="s">
        <v>2379</v>
      </c>
      <c r="J75" s="11" t="s">
        <v>2204</v>
      </c>
    </row>
    <row r="76" customFormat="false" ht="15" hidden="false" customHeight="false" outlineLevel="0" collapsed="false">
      <c r="A76" s="4" t="s">
        <v>2380</v>
      </c>
      <c r="B76" s="4" t="s">
        <v>2381</v>
      </c>
      <c r="C76" s="3" t="s">
        <v>2382</v>
      </c>
      <c r="D76" s="11" t="s">
        <v>2201</v>
      </c>
      <c r="E76" s="4" t="s">
        <v>2202</v>
      </c>
      <c r="F76" s="114" t="n">
        <v>0.24</v>
      </c>
      <c r="G76" s="114" t="n">
        <v>0.325</v>
      </c>
      <c r="H76" s="114" t="n">
        <v>0.41</v>
      </c>
      <c r="I76" s="11" t="s">
        <v>2383</v>
      </c>
      <c r="J76" s="11" t="s">
        <v>2204</v>
      </c>
    </row>
    <row r="77" customFormat="false" ht="15" hidden="false" customHeight="false" outlineLevel="0" collapsed="false">
      <c r="A77" s="4" t="s">
        <v>2384</v>
      </c>
      <c r="B77" s="4" t="s">
        <v>2381</v>
      </c>
      <c r="C77" s="3" t="s">
        <v>2382</v>
      </c>
      <c r="D77" s="11" t="s">
        <v>2201</v>
      </c>
      <c r="E77" s="4" t="s">
        <v>2206</v>
      </c>
      <c r="F77" s="114" t="n">
        <v>0.24</v>
      </c>
      <c r="G77" s="114" t="n">
        <v>0.325</v>
      </c>
      <c r="H77" s="114" t="n">
        <v>0.41</v>
      </c>
      <c r="I77" s="11" t="s">
        <v>2385</v>
      </c>
      <c r="J77" s="11" t="s">
        <v>2204</v>
      </c>
    </row>
    <row r="78" customFormat="false" ht="15" hidden="false" customHeight="false" outlineLevel="0" collapsed="false">
      <c r="A78" s="4" t="s">
        <v>2386</v>
      </c>
      <c r="B78" s="4" t="s">
        <v>2381</v>
      </c>
      <c r="C78" s="3" t="s">
        <v>2382</v>
      </c>
      <c r="D78" s="11" t="s">
        <v>2201</v>
      </c>
      <c r="E78" s="4" t="s">
        <v>2209</v>
      </c>
      <c r="F78" s="114" t="n">
        <v>0.24</v>
      </c>
      <c r="G78" s="114" t="n">
        <v>0.325</v>
      </c>
      <c r="H78" s="114" t="n">
        <v>0.41</v>
      </c>
      <c r="I78" s="11" t="s">
        <v>2387</v>
      </c>
      <c r="J78" s="11" t="s">
        <v>2204</v>
      </c>
    </row>
    <row r="79" customFormat="false" ht="15" hidden="false" customHeight="false" outlineLevel="0" collapsed="false">
      <c r="A79" s="4" t="s">
        <v>2388</v>
      </c>
      <c r="B79" s="4" t="s">
        <v>2381</v>
      </c>
      <c r="C79" s="3" t="s">
        <v>2382</v>
      </c>
      <c r="D79" s="11" t="s">
        <v>2201</v>
      </c>
      <c r="E79" s="4" t="s">
        <v>2212</v>
      </c>
      <c r="F79" s="114" t="n">
        <v>0.24</v>
      </c>
      <c r="G79" s="114" t="n">
        <v>0.325</v>
      </c>
      <c r="H79" s="114" t="n">
        <v>0.41</v>
      </c>
      <c r="I79" s="11" t="s">
        <v>2389</v>
      </c>
      <c r="J79" s="11" t="s">
        <v>2204</v>
      </c>
    </row>
    <row r="80" customFormat="false" ht="15" hidden="false" customHeight="false" outlineLevel="0" collapsed="false">
      <c r="A80" s="4" t="s">
        <v>2390</v>
      </c>
      <c r="B80" s="4" t="s">
        <v>2381</v>
      </c>
      <c r="C80" s="3" t="s">
        <v>2382</v>
      </c>
      <c r="D80" s="11" t="s">
        <v>2201</v>
      </c>
      <c r="E80" s="4" t="s">
        <v>2215</v>
      </c>
      <c r="F80" s="114" t="n">
        <v>0.24</v>
      </c>
      <c r="G80" s="114" t="n">
        <v>0.325</v>
      </c>
      <c r="H80" s="114" t="n">
        <v>0.41</v>
      </c>
      <c r="I80" s="11" t="s">
        <v>2391</v>
      </c>
      <c r="J80" s="11" t="s">
        <v>2204</v>
      </c>
    </row>
    <row r="81" customFormat="false" ht="15" hidden="false" customHeight="false" outlineLevel="0" collapsed="false">
      <c r="A81" s="4" t="s">
        <v>2392</v>
      </c>
      <c r="B81" s="4" t="s">
        <v>2393</v>
      </c>
      <c r="C81" s="3" t="s">
        <v>2394</v>
      </c>
      <c r="D81" s="11" t="s">
        <v>2201</v>
      </c>
      <c r="E81" s="4" t="s">
        <v>2202</v>
      </c>
      <c r="F81" s="114" t="n">
        <v>0.0948968082</v>
      </c>
      <c r="G81" s="114" t="n">
        <v>0.20090107</v>
      </c>
      <c r="H81" s="114" t="n">
        <v>0.4024539472</v>
      </c>
      <c r="I81" s="11" t="s">
        <v>2395</v>
      </c>
      <c r="J81" s="11" t="s">
        <v>2204</v>
      </c>
    </row>
    <row r="82" customFormat="false" ht="15" hidden="false" customHeight="false" outlineLevel="0" collapsed="false">
      <c r="A82" s="4" t="s">
        <v>2396</v>
      </c>
      <c r="B82" s="4" t="s">
        <v>2393</v>
      </c>
      <c r="C82" s="3" t="s">
        <v>2394</v>
      </c>
      <c r="D82" s="11" t="s">
        <v>2201</v>
      </c>
      <c r="E82" s="4" t="s">
        <v>2206</v>
      </c>
      <c r="F82" s="114" t="n">
        <v>0.0925541712</v>
      </c>
      <c r="G82" s="114" t="n">
        <v>0.18342587</v>
      </c>
      <c r="H82" s="114" t="n">
        <v>0.3506896352</v>
      </c>
      <c r="I82" s="11" t="s">
        <v>2397</v>
      </c>
      <c r="J82" s="11" t="s">
        <v>2204</v>
      </c>
    </row>
    <row r="83" customFormat="false" ht="15" hidden="false" customHeight="false" outlineLevel="0" collapsed="false">
      <c r="A83" s="4" t="s">
        <v>2398</v>
      </c>
      <c r="B83" s="4" t="s">
        <v>2393</v>
      </c>
      <c r="C83" s="3" t="s">
        <v>2394</v>
      </c>
      <c r="D83" s="11" t="s">
        <v>2201</v>
      </c>
      <c r="E83" s="4" t="s">
        <v>2209</v>
      </c>
      <c r="F83" s="114" t="n">
        <v>0.1163007072</v>
      </c>
      <c r="G83" s="114" t="n">
        <v>0.25057752</v>
      </c>
      <c r="H83" s="114" t="n">
        <v>0.5370920512</v>
      </c>
      <c r="I83" s="11" t="s">
        <v>2399</v>
      </c>
      <c r="J83" s="11" t="s">
        <v>2204</v>
      </c>
    </row>
    <row r="84" customFormat="false" ht="15" hidden="false" customHeight="false" outlineLevel="0" collapsed="false">
      <c r="A84" s="4" t="s">
        <v>2400</v>
      </c>
      <c r="B84" s="4" t="s">
        <v>2393</v>
      </c>
      <c r="C84" s="3" t="s">
        <v>2394</v>
      </c>
      <c r="D84" s="11" t="s">
        <v>2201</v>
      </c>
      <c r="E84" s="4" t="s">
        <v>2212</v>
      </c>
      <c r="F84" s="114" t="n">
        <v>0.1304562096</v>
      </c>
      <c r="G84" s="114" t="n">
        <v>0.25128176</v>
      </c>
      <c r="H84" s="114" t="n">
        <v>0.4705886016</v>
      </c>
      <c r="I84" s="11" t="s">
        <v>2401</v>
      </c>
      <c r="J84" s="11" t="s">
        <v>2204</v>
      </c>
    </row>
    <row r="85" customFormat="false" ht="15" hidden="false" customHeight="false" outlineLevel="0" collapsed="false">
      <c r="A85" s="4" t="s">
        <v>2402</v>
      </c>
      <c r="B85" s="4" t="s">
        <v>2393</v>
      </c>
      <c r="C85" s="3" t="s">
        <v>2394</v>
      </c>
      <c r="D85" s="11" t="s">
        <v>2201</v>
      </c>
      <c r="E85" s="4" t="s">
        <v>2215</v>
      </c>
      <c r="F85" s="114" t="n">
        <v>0.138172734</v>
      </c>
      <c r="G85" s="114" t="n">
        <v>0.3137789</v>
      </c>
      <c r="H85" s="114" t="n">
        <v>0.653340464</v>
      </c>
      <c r="I85" s="11" t="s">
        <v>2403</v>
      </c>
      <c r="J85" s="11" t="s">
        <v>2204</v>
      </c>
    </row>
    <row r="86" customFormat="false" ht="15" hidden="false" customHeight="false" outlineLevel="0" collapsed="false">
      <c r="A86" s="4" t="s">
        <v>2404</v>
      </c>
      <c r="B86" s="4" t="s">
        <v>2405</v>
      </c>
      <c r="C86" s="3" t="s">
        <v>2406</v>
      </c>
      <c r="D86" s="11" t="s">
        <v>42</v>
      </c>
      <c r="E86" s="4" t="s">
        <v>2202</v>
      </c>
      <c r="F86" s="23" t="n">
        <v>0.7</v>
      </c>
      <c r="G86" s="23" t="n">
        <v>0.8</v>
      </c>
      <c r="H86" s="23" t="n">
        <v>0.9</v>
      </c>
      <c r="I86" s="11" t="s">
        <v>2407</v>
      </c>
      <c r="J86" s="11" t="s">
        <v>2204</v>
      </c>
    </row>
    <row r="87" customFormat="false" ht="15" hidden="false" customHeight="false" outlineLevel="0" collapsed="false">
      <c r="A87" s="4" t="s">
        <v>2408</v>
      </c>
      <c r="B87" s="4" t="s">
        <v>2405</v>
      </c>
      <c r="C87" s="3" t="s">
        <v>2406</v>
      </c>
      <c r="D87" s="11" t="s">
        <v>42</v>
      </c>
      <c r="E87" s="4" t="s">
        <v>2206</v>
      </c>
      <c r="F87" s="23" t="n">
        <v>0.7</v>
      </c>
      <c r="G87" s="23" t="n">
        <v>0.8</v>
      </c>
      <c r="H87" s="23" t="n">
        <v>0.9</v>
      </c>
      <c r="I87" s="11" t="s">
        <v>2409</v>
      </c>
      <c r="J87" s="11" t="s">
        <v>2204</v>
      </c>
    </row>
    <row r="88" customFormat="false" ht="15" hidden="false" customHeight="false" outlineLevel="0" collapsed="false">
      <c r="A88" s="4" t="s">
        <v>2410</v>
      </c>
      <c r="B88" s="4" t="s">
        <v>2405</v>
      </c>
      <c r="C88" s="3" t="s">
        <v>2406</v>
      </c>
      <c r="D88" s="11" t="s">
        <v>42</v>
      </c>
      <c r="E88" s="4" t="s">
        <v>2209</v>
      </c>
      <c r="F88" s="23" t="n">
        <v>0.7</v>
      </c>
      <c r="G88" s="23" t="n">
        <v>0.8</v>
      </c>
      <c r="H88" s="23" t="n">
        <v>0.9</v>
      </c>
      <c r="I88" s="11" t="s">
        <v>2411</v>
      </c>
      <c r="J88" s="11" t="s">
        <v>2204</v>
      </c>
    </row>
    <row r="89" customFormat="false" ht="15" hidden="false" customHeight="false" outlineLevel="0" collapsed="false">
      <c r="A89" s="4" t="s">
        <v>2412</v>
      </c>
      <c r="B89" s="4" t="s">
        <v>2405</v>
      </c>
      <c r="C89" s="3" t="s">
        <v>2406</v>
      </c>
      <c r="D89" s="11" t="s">
        <v>42</v>
      </c>
      <c r="E89" s="4" t="s">
        <v>2212</v>
      </c>
      <c r="F89" s="23" t="n">
        <v>0.7</v>
      </c>
      <c r="G89" s="23" t="n">
        <v>0.8</v>
      </c>
      <c r="H89" s="23" t="n">
        <v>0.9</v>
      </c>
      <c r="I89" s="11" t="s">
        <v>2413</v>
      </c>
      <c r="J89" s="11" t="s">
        <v>2204</v>
      </c>
    </row>
    <row r="90" customFormat="false" ht="15" hidden="false" customHeight="false" outlineLevel="0" collapsed="false">
      <c r="A90" s="4" t="s">
        <v>2414</v>
      </c>
      <c r="B90" s="4" t="s">
        <v>2405</v>
      </c>
      <c r="C90" s="3" t="s">
        <v>2406</v>
      </c>
      <c r="D90" s="11" t="s">
        <v>42</v>
      </c>
      <c r="E90" s="4" t="s">
        <v>2215</v>
      </c>
      <c r="F90" s="23" t="n">
        <v>0.7</v>
      </c>
      <c r="G90" s="23" t="n">
        <v>0.8</v>
      </c>
      <c r="H90" s="23" t="n">
        <v>0.9</v>
      </c>
      <c r="I90" s="11" t="s">
        <v>2415</v>
      </c>
      <c r="J90" s="11" t="s">
        <v>2204</v>
      </c>
    </row>
    <row r="91" customFormat="false" ht="15" hidden="false" customHeight="false" outlineLevel="0" collapsed="false">
      <c r="A91" s="4" t="s">
        <v>2416</v>
      </c>
      <c r="B91" s="4" t="s">
        <v>2417</v>
      </c>
      <c r="C91" s="3" t="s">
        <v>2418</v>
      </c>
      <c r="D91" s="11" t="s">
        <v>2419</v>
      </c>
      <c r="E91" s="4" t="s">
        <v>2202</v>
      </c>
      <c r="F91" s="114" t="n">
        <v>1.1</v>
      </c>
      <c r="G91" s="114" t="n">
        <v>1.2</v>
      </c>
      <c r="H91" s="114" t="n">
        <v>1.3</v>
      </c>
      <c r="I91" s="11" t="s">
        <v>2420</v>
      </c>
      <c r="J91" s="11" t="s">
        <v>2204</v>
      </c>
    </row>
    <row r="92" customFormat="false" ht="15" hidden="false" customHeight="false" outlineLevel="0" collapsed="false">
      <c r="A92" s="4" t="s">
        <v>2421</v>
      </c>
      <c r="B92" s="4" t="s">
        <v>2417</v>
      </c>
      <c r="C92" s="3" t="s">
        <v>2418</v>
      </c>
      <c r="D92" s="11" t="s">
        <v>2419</v>
      </c>
      <c r="E92" s="4" t="s">
        <v>2206</v>
      </c>
      <c r="F92" s="114" t="n">
        <v>1.1</v>
      </c>
      <c r="G92" s="114" t="n">
        <v>1.2</v>
      </c>
      <c r="H92" s="114" t="n">
        <v>1.3</v>
      </c>
      <c r="I92" s="11" t="s">
        <v>2422</v>
      </c>
      <c r="J92" s="11" t="s">
        <v>2204</v>
      </c>
    </row>
    <row r="93" customFormat="false" ht="15" hidden="false" customHeight="false" outlineLevel="0" collapsed="false">
      <c r="A93" s="4" t="s">
        <v>2423</v>
      </c>
      <c r="B93" s="4" t="s">
        <v>2417</v>
      </c>
      <c r="C93" s="3" t="s">
        <v>2418</v>
      </c>
      <c r="D93" s="11" t="s">
        <v>2419</v>
      </c>
      <c r="E93" s="4" t="s">
        <v>2209</v>
      </c>
      <c r="F93" s="114" t="n">
        <v>1.1</v>
      </c>
      <c r="G93" s="114" t="n">
        <v>1.2</v>
      </c>
      <c r="H93" s="114" t="n">
        <v>1.3</v>
      </c>
      <c r="I93" s="11" t="s">
        <v>2424</v>
      </c>
      <c r="J93" s="11" t="s">
        <v>2204</v>
      </c>
    </row>
    <row r="94" customFormat="false" ht="15" hidden="false" customHeight="false" outlineLevel="0" collapsed="false">
      <c r="A94" s="4" t="s">
        <v>2425</v>
      </c>
      <c r="B94" s="4" t="s">
        <v>2417</v>
      </c>
      <c r="C94" s="3" t="s">
        <v>2418</v>
      </c>
      <c r="D94" s="11" t="s">
        <v>2419</v>
      </c>
      <c r="E94" s="4" t="s">
        <v>2212</v>
      </c>
      <c r="F94" s="114" t="n">
        <v>1.1</v>
      </c>
      <c r="G94" s="114" t="n">
        <v>1.2</v>
      </c>
      <c r="H94" s="114" t="n">
        <v>1.3</v>
      </c>
      <c r="I94" s="11" t="s">
        <v>2426</v>
      </c>
      <c r="J94" s="11" t="s">
        <v>2204</v>
      </c>
    </row>
    <row r="95" customFormat="false" ht="15" hidden="false" customHeight="false" outlineLevel="0" collapsed="false">
      <c r="A95" s="4" t="s">
        <v>2427</v>
      </c>
      <c r="B95" s="4" t="s">
        <v>2417</v>
      </c>
      <c r="C95" s="3" t="s">
        <v>2418</v>
      </c>
      <c r="D95" s="11" t="s">
        <v>2419</v>
      </c>
      <c r="E95" s="4" t="s">
        <v>2215</v>
      </c>
      <c r="F95" s="114" t="n">
        <v>1.1</v>
      </c>
      <c r="G95" s="114" t="n">
        <v>1.2</v>
      </c>
      <c r="H95" s="114" t="n">
        <v>1.3</v>
      </c>
      <c r="I95" s="11" t="s">
        <v>2428</v>
      </c>
      <c r="J95" s="11" t="s">
        <v>2204</v>
      </c>
    </row>
    <row r="96" customFormat="false" ht="15" hidden="false" customHeight="false" outlineLevel="0" collapsed="false">
      <c r="A96" s="4" t="s">
        <v>2429</v>
      </c>
      <c r="B96" s="4" t="s">
        <v>2430</v>
      </c>
      <c r="C96" s="3" t="s">
        <v>2431</v>
      </c>
      <c r="D96" s="6" t="s">
        <v>2432</v>
      </c>
      <c r="E96" s="4" t="s">
        <v>2202</v>
      </c>
      <c r="F96" s="21" t="n">
        <v>718048</v>
      </c>
      <c r="G96" s="21" t="n">
        <v>718048</v>
      </c>
      <c r="H96" s="21" t="n">
        <v>718048</v>
      </c>
      <c r="I96" s="11" t="s">
        <v>2433</v>
      </c>
      <c r="J96" s="11" t="s">
        <v>2204</v>
      </c>
    </row>
    <row r="97" customFormat="false" ht="15" hidden="false" customHeight="false" outlineLevel="0" collapsed="false">
      <c r="A97" s="4" t="s">
        <v>2434</v>
      </c>
      <c r="B97" s="4" t="s">
        <v>2430</v>
      </c>
      <c r="C97" s="3" t="s">
        <v>2431</v>
      </c>
      <c r="D97" s="6" t="s">
        <v>2432</v>
      </c>
      <c r="E97" s="4" t="s">
        <v>2206</v>
      </c>
      <c r="F97" s="21" t="n">
        <v>501768</v>
      </c>
      <c r="G97" s="21" t="n">
        <v>501768</v>
      </c>
      <c r="H97" s="21" t="n">
        <v>501768</v>
      </c>
      <c r="I97" s="11" t="s">
        <v>2435</v>
      </c>
      <c r="J97" s="11" t="s">
        <v>2204</v>
      </c>
    </row>
    <row r="98" customFormat="false" ht="15" hidden="false" customHeight="false" outlineLevel="0" collapsed="false">
      <c r="A98" s="4" t="s">
        <v>2436</v>
      </c>
      <c r="B98" s="4" t="s">
        <v>2430</v>
      </c>
      <c r="C98" s="3" t="s">
        <v>2431</v>
      </c>
      <c r="D98" s="6" t="s">
        <v>2432</v>
      </c>
      <c r="E98" s="4" t="s">
        <v>2209</v>
      </c>
      <c r="F98" s="21" t="n">
        <v>487008</v>
      </c>
      <c r="G98" s="21" t="n">
        <v>487008</v>
      </c>
      <c r="H98" s="21" t="n">
        <v>487008</v>
      </c>
      <c r="I98" s="11" t="s">
        <v>2437</v>
      </c>
      <c r="J98" s="11" t="s">
        <v>2204</v>
      </c>
    </row>
    <row r="99" customFormat="false" ht="15" hidden="false" customHeight="false" outlineLevel="0" collapsed="false">
      <c r="A99" s="4" t="s">
        <v>2438</v>
      </c>
      <c r="B99" s="4" t="s">
        <v>2430</v>
      </c>
      <c r="C99" s="3" t="s">
        <v>2431</v>
      </c>
      <c r="D99" s="6" t="s">
        <v>2432</v>
      </c>
      <c r="E99" s="4" t="s">
        <v>2212</v>
      </c>
      <c r="F99" s="21" t="n">
        <v>291744</v>
      </c>
      <c r="G99" s="21" t="n">
        <v>291744</v>
      </c>
      <c r="H99" s="21" t="n">
        <v>291744</v>
      </c>
      <c r="I99" s="11" t="s">
        <v>2439</v>
      </c>
      <c r="J99" s="11" t="s">
        <v>2204</v>
      </c>
    </row>
    <row r="100" customFormat="false" ht="15" hidden="false" customHeight="false" outlineLevel="0" collapsed="false">
      <c r="A100" s="4" t="s">
        <v>2440</v>
      </c>
      <c r="B100" s="4" t="s">
        <v>2430</v>
      </c>
      <c r="C100" s="3" t="s">
        <v>2431</v>
      </c>
      <c r="D100" s="6" t="s">
        <v>2432</v>
      </c>
      <c r="E100" s="4" t="s">
        <v>2215</v>
      </c>
      <c r="F100" s="21" t="n">
        <v>194760</v>
      </c>
      <c r="G100" s="21" t="n">
        <v>194760</v>
      </c>
      <c r="H100" s="21" t="n">
        <v>194760</v>
      </c>
      <c r="I100" s="11" t="s">
        <v>2441</v>
      </c>
      <c r="J100" s="11" t="s">
        <v>2204</v>
      </c>
    </row>
    <row r="101" customFormat="false" ht="15" hidden="false" customHeight="false" outlineLevel="0" collapsed="false">
      <c r="A101" s="4" t="s">
        <v>2442</v>
      </c>
      <c r="B101" s="4" t="s">
        <v>2443</v>
      </c>
      <c r="C101" s="3" t="s">
        <v>2444</v>
      </c>
      <c r="D101" s="6" t="s">
        <v>2445</v>
      </c>
      <c r="E101" s="4" t="s">
        <v>2202</v>
      </c>
      <c r="F101" s="21" t="n">
        <v>22439</v>
      </c>
      <c r="G101" s="21" t="n">
        <v>22439</v>
      </c>
      <c r="H101" s="21" t="n">
        <v>22439</v>
      </c>
      <c r="I101" s="11" t="s">
        <v>2446</v>
      </c>
      <c r="J101" s="11" t="s">
        <v>2204</v>
      </c>
    </row>
    <row r="102" customFormat="false" ht="15" hidden="false" customHeight="false" outlineLevel="0" collapsed="false">
      <c r="A102" s="4" t="s">
        <v>2447</v>
      </c>
      <c r="B102" s="4" t="s">
        <v>2443</v>
      </c>
      <c r="C102" s="3" t="s">
        <v>2444</v>
      </c>
      <c r="D102" s="6" t="s">
        <v>2445</v>
      </c>
      <c r="E102" s="4" t="s">
        <v>2206</v>
      </c>
      <c r="F102" s="21" t="n">
        <v>6969</v>
      </c>
      <c r="G102" s="21" t="n">
        <v>6969</v>
      </c>
      <c r="H102" s="21" t="n">
        <v>6969</v>
      </c>
      <c r="I102" s="11" t="s">
        <v>2448</v>
      </c>
      <c r="J102" s="11" t="s">
        <v>2204</v>
      </c>
    </row>
    <row r="103" customFormat="false" ht="15" hidden="false" customHeight="false" outlineLevel="0" collapsed="false">
      <c r="A103" s="4" t="s">
        <v>2449</v>
      </c>
      <c r="B103" s="4" t="s">
        <v>2443</v>
      </c>
      <c r="C103" s="3" t="s">
        <v>2444</v>
      </c>
      <c r="D103" s="6" t="s">
        <v>2445</v>
      </c>
      <c r="E103" s="4" t="s">
        <v>2209</v>
      </c>
      <c r="F103" s="21" t="n">
        <v>6764</v>
      </c>
      <c r="G103" s="21" t="n">
        <v>6764</v>
      </c>
      <c r="H103" s="21" t="n">
        <v>6764</v>
      </c>
      <c r="I103" s="11" t="s">
        <v>2450</v>
      </c>
      <c r="J103" s="11" t="s">
        <v>2204</v>
      </c>
    </row>
    <row r="104" customFormat="false" ht="15" hidden="false" customHeight="false" outlineLevel="0" collapsed="false">
      <c r="A104" s="4" t="s">
        <v>2451</v>
      </c>
      <c r="B104" s="4" t="s">
        <v>2443</v>
      </c>
      <c r="C104" s="3" t="s">
        <v>2444</v>
      </c>
      <c r="D104" s="6" t="s">
        <v>2445</v>
      </c>
      <c r="E104" s="4" t="s">
        <v>2212</v>
      </c>
      <c r="F104" s="21" t="n">
        <v>4052</v>
      </c>
      <c r="G104" s="21" t="n">
        <v>4052</v>
      </c>
      <c r="H104" s="21" t="n">
        <v>4052</v>
      </c>
      <c r="I104" s="11" t="s">
        <v>2452</v>
      </c>
      <c r="J104" s="11" t="s">
        <v>2204</v>
      </c>
    </row>
    <row r="105" customFormat="false" ht="15" hidden="false" customHeight="false" outlineLevel="0" collapsed="false">
      <c r="A105" s="4" t="s">
        <v>2453</v>
      </c>
      <c r="B105" s="4" t="s">
        <v>2443</v>
      </c>
      <c r="C105" s="3" t="s">
        <v>2444</v>
      </c>
      <c r="D105" s="6" t="s">
        <v>2445</v>
      </c>
      <c r="E105" s="4" t="s">
        <v>2215</v>
      </c>
      <c r="F105" s="21" t="n">
        <v>2705</v>
      </c>
      <c r="G105" s="21" t="n">
        <v>2705</v>
      </c>
      <c r="H105" s="21" t="n">
        <v>2705</v>
      </c>
      <c r="I105" s="11" t="s">
        <v>2454</v>
      </c>
      <c r="J105" s="11" t="s">
        <v>2204</v>
      </c>
    </row>
    <row r="106" customFormat="false" ht="15" hidden="false" customHeight="false" outlineLevel="0" collapsed="false">
      <c r="A106" s="4" t="s">
        <v>2455</v>
      </c>
      <c r="B106" s="4" t="s">
        <v>2456</v>
      </c>
      <c r="C106" s="3" t="s">
        <v>2457</v>
      </c>
      <c r="D106" s="11" t="s">
        <v>42</v>
      </c>
      <c r="E106" s="4" t="s">
        <v>1484</v>
      </c>
      <c r="F106" s="115"/>
      <c r="G106" s="23" t="n">
        <v>0.6</v>
      </c>
      <c r="H106" s="115"/>
      <c r="I106" s="11" t="s">
        <v>2458</v>
      </c>
      <c r="J106" s="11" t="s">
        <v>2204</v>
      </c>
    </row>
    <row r="107" customFormat="false" ht="15" hidden="false" customHeight="false" outlineLevel="0" collapsed="false">
      <c r="A107" s="4" t="s">
        <v>2459</v>
      </c>
      <c r="B107" s="4" t="s">
        <v>2460</v>
      </c>
      <c r="C107" s="3" t="s">
        <v>2461</v>
      </c>
      <c r="D107" s="11" t="s">
        <v>2201</v>
      </c>
      <c r="E107" s="4" t="s">
        <v>2202</v>
      </c>
      <c r="F107" s="114" t="n">
        <v>4.00488774987164</v>
      </c>
      <c r="G107" s="114" t="n">
        <v>4.00488774987164</v>
      </c>
      <c r="H107" s="114" t="n">
        <v>4.00488774987164</v>
      </c>
      <c r="I107" s="11" t="s">
        <v>2462</v>
      </c>
      <c r="J107" s="11" t="s">
        <v>2204</v>
      </c>
    </row>
    <row r="108" customFormat="false" ht="15" hidden="false" customHeight="false" outlineLevel="0" collapsed="false">
      <c r="A108" s="4" t="s">
        <v>2463</v>
      </c>
      <c r="B108" s="4" t="s">
        <v>2460</v>
      </c>
      <c r="C108" s="3" t="s">
        <v>2461</v>
      </c>
      <c r="D108" s="11" t="s">
        <v>2201</v>
      </c>
      <c r="E108" s="4" t="s">
        <v>2206</v>
      </c>
      <c r="F108" s="114" t="n">
        <v>20.1746158611128</v>
      </c>
      <c r="G108" s="114" t="n">
        <v>20.1746158611128</v>
      </c>
      <c r="H108" s="114" t="n">
        <v>20.1746158611128</v>
      </c>
      <c r="I108" s="11" t="s">
        <v>2464</v>
      </c>
      <c r="J108" s="11" t="s">
        <v>2204</v>
      </c>
    </row>
    <row r="109" customFormat="false" ht="15" hidden="false" customHeight="false" outlineLevel="0" collapsed="false">
      <c r="A109" s="4" t="s">
        <v>2465</v>
      </c>
      <c r="B109" s="4" t="s">
        <v>2460</v>
      </c>
      <c r="C109" s="3" t="s">
        <v>2461</v>
      </c>
      <c r="D109" s="11" t="s">
        <v>2201</v>
      </c>
      <c r="E109" s="4" t="s">
        <v>2209</v>
      </c>
      <c r="F109" s="114" t="n">
        <v>26.2652356996766</v>
      </c>
      <c r="G109" s="114" t="n">
        <v>26.2652356996766</v>
      </c>
      <c r="H109" s="114" t="n">
        <v>26.2652356996766</v>
      </c>
      <c r="I109" s="11" t="s">
        <v>2466</v>
      </c>
      <c r="J109" s="11" t="s">
        <v>2204</v>
      </c>
    </row>
    <row r="110" customFormat="false" ht="15" hidden="false" customHeight="false" outlineLevel="0" collapsed="false">
      <c r="A110" s="4" t="s">
        <v>2467</v>
      </c>
      <c r="B110" s="4" t="s">
        <v>2460</v>
      </c>
      <c r="C110" s="3" t="s">
        <v>2461</v>
      </c>
      <c r="D110" s="11" t="s">
        <v>2201</v>
      </c>
      <c r="E110" s="4" t="s">
        <v>2212</v>
      </c>
      <c r="F110" s="114" t="n">
        <v>48.7237019639935</v>
      </c>
      <c r="G110" s="114" t="n">
        <v>48.7237019639935</v>
      </c>
      <c r="H110" s="114" t="n">
        <v>48.7237019639935</v>
      </c>
      <c r="I110" s="11" t="s">
        <v>2468</v>
      </c>
      <c r="J110" s="11" t="s">
        <v>2204</v>
      </c>
    </row>
    <row r="111" customFormat="false" ht="15" hidden="false" customHeight="false" outlineLevel="0" collapsed="false">
      <c r="A111" s="4" t="s">
        <v>2469</v>
      </c>
      <c r="B111" s="4" t="s">
        <v>2460</v>
      </c>
      <c r="C111" s="3" t="s">
        <v>2461</v>
      </c>
      <c r="D111" s="11" t="s">
        <v>2201</v>
      </c>
      <c r="E111" s="4" t="s">
        <v>2215</v>
      </c>
      <c r="F111" s="114" t="n">
        <v>68.9276257152094</v>
      </c>
      <c r="G111" s="114" t="n">
        <v>68.9276257152094</v>
      </c>
      <c r="H111" s="114" t="n">
        <v>68.9276257152094</v>
      </c>
      <c r="I111" s="11" t="s">
        <v>2470</v>
      </c>
      <c r="J111" s="11" t="s">
        <v>2204</v>
      </c>
    </row>
    <row r="112" customFormat="false" ht="15" hidden="false" customHeight="false" outlineLevel="0" collapsed="false">
      <c r="A112" s="4" t="s">
        <v>2471</v>
      </c>
      <c r="B112" s="4" t="s">
        <v>2472</v>
      </c>
      <c r="C112" s="3" t="s">
        <v>2473</v>
      </c>
      <c r="D112" s="11" t="s">
        <v>2232</v>
      </c>
      <c r="E112" s="4" t="s">
        <v>1484</v>
      </c>
      <c r="F112" s="114" t="n">
        <v>1.11286669150028</v>
      </c>
      <c r="G112" s="114" t="n">
        <v>1.60502925637165</v>
      </c>
      <c r="H112" s="114" t="n">
        <v>2.76720095633376</v>
      </c>
      <c r="I112" s="11" t="s">
        <v>2474</v>
      </c>
      <c r="J112" s="11" t="s">
        <v>2204</v>
      </c>
    </row>
    <row r="113" customFormat="false" ht="15" hidden="false" customHeight="false" outlineLevel="0" collapsed="false">
      <c r="A113" s="4" t="s">
        <v>2475</v>
      </c>
      <c r="B113" s="4" t="s">
        <v>2476</v>
      </c>
      <c r="C113" s="3" t="s">
        <v>2477</v>
      </c>
      <c r="D113" s="11" t="s">
        <v>2232</v>
      </c>
      <c r="E113" s="4" t="s">
        <v>1484</v>
      </c>
      <c r="F113" s="114" t="n">
        <v>1.55003663914234</v>
      </c>
      <c r="G113" s="114" t="n">
        <v>2.08645378736555</v>
      </c>
      <c r="H113" s="114" t="n">
        <v>3.39439662035368</v>
      </c>
      <c r="I113" s="11" t="s">
        <v>2478</v>
      </c>
      <c r="J113" s="11" t="s">
        <v>2204</v>
      </c>
    </row>
    <row r="114" customFormat="false" ht="15" hidden="false" customHeight="false" outlineLevel="0" collapsed="false">
      <c r="A114" s="4" t="s">
        <v>2479</v>
      </c>
      <c r="B114" s="4" t="s">
        <v>2480</v>
      </c>
      <c r="C114" s="3" t="s">
        <v>2481</v>
      </c>
      <c r="D114" s="11" t="s">
        <v>2232</v>
      </c>
      <c r="E114" s="4" t="s">
        <v>1484</v>
      </c>
      <c r="F114" s="114" t="n">
        <v>2.04104144426194</v>
      </c>
      <c r="G114" s="114" t="n">
        <v>2.98269559427618</v>
      </c>
      <c r="H114" s="114" t="n">
        <v>5.59559440727497</v>
      </c>
      <c r="I114" s="11" t="s">
        <v>2482</v>
      </c>
      <c r="J114" s="11" t="s">
        <v>2204</v>
      </c>
    </row>
    <row r="115" customFormat="false" ht="15" hidden="false" customHeight="false" outlineLevel="0" collapsed="false">
      <c r="A115" s="4" t="s">
        <v>2483</v>
      </c>
      <c r="B115" s="4" t="s">
        <v>2484</v>
      </c>
      <c r="C115" s="3" t="s">
        <v>2485</v>
      </c>
      <c r="D115" s="11" t="s">
        <v>2232</v>
      </c>
      <c r="E115" s="4" t="s">
        <v>1484</v>
      </c>
      <c r="F115" s="114" t="n">
        <v>3.84895231682799</v>
      </c>
      <c r="G115" s="114" t="n">
        <v>4.99359409623699</v>
      </c>
      <c r="H115" s="114" t="n">
        <v>8.09104040200768</v>
      </c>
      <c r="I115" s="11" t="s">
        <v>2486</v>
      </c>
      <c r="J115" s="11" t="s">
        <v>2204</v>
      </c>
    </row>
    <row r="116" customFormat="false" ht="15" hidden="false" customHeight="false" outlineLevel="0" collapsed="false">
      <c r="A116" s="4" t="s">
        <v>2487</v>
      </c>
      <c r="B116" s="4" t="s">
        <v>2488</v>
      </c>
      <c r="C116" s="3" t="s">
        <v>2489</v>
      </c>
      <c r="D116" s="11" t="s">
        <v>2490</v>
      </c>
      <c r="E116" s="4" t="s">
        <v>1484</v>
      </c>
      <c r="F116" s="114" t="n">
        <v>7.0000433103819</v>
      </c>
      <c r="G116" s="114" t="n">
        <v>10.0957952959174</v>
      </c>
      <c r="H116" s="114" t="n">
        <v>17.4059720636914</v>
      </c>
      <c r="I116" s="11" t="s">
        <v>2491</v>
      </c>
      <c r="J116" s="11" t="s">
        <v>2204</v>
      </c>
    </row>
    <row r="117" customFormat="false" ht="15" hidden="false" customHeight="false" outlineLevel="0" collapsed="false">
      <c r="A117" s="4" t="s">
        <v>2492</v>
      </c>
      <c r="B117" s="4" t="s">
        <v>2493</v>
      </c>
      <c r="C117" s="3" t="s">
        <v>2494</v>
      </c>
      <c r="D117" s="11" t="s">
        <v>2490</v>
      </c>
      <c r="E117" s="4" t="s">
        <v>1484</v>
      </c>
      <c r="F117" s="114" t="n">
        <v>6.81316695089878</v>
      </c>
      <c r="G117" s="114" t="n">
        <v>9.17098191725462</v>
      </c>
      <c r="H117" s="114" t="n">
        <v>14.9200285257983</v>
      </c>
      <c r="I117" s="11" t="s">
        <v>2495</v>
      </c>
      <c r="J117" s="11" t="s">
        <v>2204</v>
      </c>
    </row>
    <row r="118" customFormat="false" ht="15" hidden="false" customHeight="false" outlineLevel="0" collapsed="false">
      <c r="A118" s="4" t="s">
        <v>2496</v>
      </c>
      <c r="B118" s="4" t="s">
        <v>2497</v>
      </c>
      <c r="C118" s="3" t="s">
        <v>2498</v>
      </c>
      <c r="D118" s="11" t="s">
        <v>2490</v>
      </c>
      <c r="E118" s="4" t="s">
        <v>1484</v>
      </c>
      <c r="F118" s="114" t="n">
        <v>8.70747076237914</v>
      </c>
      <c r="G118" s="114" t="n">
        <v>12.7247463559608</v>
      </c>
      <c r="H118" s="114" t="n">
        <v>23.87186935202</v>
      </c>
      <c r="I118" s="11" t="s">
        <v>2499</v>
      </c>
      <c r="J118" s="11" t="s">
        <v>2204</v>
      </c>
    </row>
    <row r="119" customFormat="false" ht="15" hidden="false" customHeight="false" outlineLevel="0" collapsed="false">
      <c r="A119" s="4" t="s">
        <v>2500</v>
      </c>
      <c r="B119" s="4" t="s">
        <v>2501</v>
      </c>
      <c r="C119" s="3" t="s">
        <v>2502</v>
      </c>
      <c r="D119" s="11" t="s">
        <v>2490</v>
      </c>
      <c r="E119" s="4" t="s">
        <v>1484</v>
      </c>
      <c r="F119" s="114" t="n">
        <v>9.83668060375303</v>
      </c>
      <c r="G119" s="114" t="n">
        <v>12.7620157762701</v>
      </c>
      <c r="H119" s="114" t="n">
        <v>20.6780894215396</v>
      </c>
      <c r="I119" s="11" t="s">
        <v>2503</v>
      </c>
      <c r="J119" s="11" t="s">
        <v>2204</v>
      </c>
    </row>
    <row r="120" customFormat="false" ht="15" hidden="false" customHeight="false" outlineLevel="0" collapsed="false">
      <c r="A120" s="4" t="s">
        <v>2504</v>
      </c>
      <c r="B120" s="4" t="s">
        <v>2505</v>
      </c>
      <c r="C120" s="3" t="s">
        <v>2506</v>
      </c>
      <c r="D120" s="11" t="s">
        <v>2507</v>
      </c>
      <c r="E120" s="4" t="s">
        <v>1484</v>
      </c>
      <c r="F120" s="114" t="n">
        <v>31.6056</v>
      </c>
      <c r="G120" s="114" t="n">
        <v>34.0368</v>
      </c>
      <c r="H120" s="114" t="n">
        <v>36.8732</v>
      </c>
      <c r="I120" s="11" t="s">
        <v>2508</v>
      </c>
      <c r="J120" s="11" t="s">
        <v>2204</v>
      </c>
    </row>
    <row r="121" customFormat="false" ht="15" hidden="false" customHeight="false" outlineLevel="0" collapsed="false">
      <c r="A121" s="4" t="s">
        <v>2509</v>
      </c>
      <c r="B121" s="4" t="s">
        <v>2510</v>
      </c>
      <c r="C121" s="3" t="s">
        <v>2511</v>
      </c>
      <c r="D121" s="6"/>
      <c r="E121" s="3"/>
      <c r="F121" s="115"/>
      <c r="G121" s="115"/>
      <c r="H121" s="115"/>
      <c r="I121" s="11" t="s">
        <v>2512</v>
      </c>
      <c r="J121" s="11" t="s">
        <v>2204</v>
      </c>
    </row>
    <row r="122" customFormat="false" ht="15" hidden="false" customHeight="false" outlineLevel="0" collapsed="false">
      <c r="A122" s="4" t="s">
        <v>2513</v>
      </c>
      <c r="B122" s="4" t="s">
        <v>2514</v>
      </c>
      <c r="C122" s="3" t="s">
        <v>2511</v>
      </c>
      <c r="D122" s="6"/>
      <c r="E122" s="3"/>
      <c r="F122" s="115"/>
      <c r="G122" s="115"/>
      <c r="H122" s="115"/>
      <c r="I122" s="11" t="s">
        <v>2512</v>
      </c>
      <c r="J122" s="11" t="s">
        <v>2204</v>
      </c>
    </row>
    <row r="123" customFormat="false" ht="15" hidden="false" customHeight="false" outlineLevel="0" collapsed="false">
      <c r="A123" s="4" t="s">
        <v>2515</v>
      </c>
      <c r="B123" s="4" t="s">
        <v>2516</v>
      </c>
      <c r="C123" s="3" t="s">
        <v>2511</v>
      </c>
      <c r="D123" s="6"/>
      <c r="E123" s="3"/>
      <c r="F123" s="115"/>
      <c r="G123" s="115"/>
      <c r="H123" s="115"/>
      <c r="I123" s="11" t="s">
        <v>2512</v>
      </c>
      <c r="J123" s="11" t="s">
        <v>2204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2026-10-08T20:48:25Z</dcterms:created>
  <dc:creator>openpyxl</dc:creator>
  <dc:description/>
  <dc:language>en-US</dc:language>
  <cp:lastModifiedBy/>
  <dcterms:modified xsi:type="dcterms:W3CDTF">2026-10-08T20:48:26Z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