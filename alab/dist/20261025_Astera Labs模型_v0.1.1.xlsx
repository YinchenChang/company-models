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4_eps" vbProcedure="false">Q!$B$17</definedName>
    <definedName function="false" hidden="false" name="a24_eps_in" vbProcedure="false">In!$E$79</definedName>
    <definedName function="false" hidden="false" name="a24_gp" vbProcedure="false">Q!$B$5</definedName>
    <definedName function="false" hidden="false" name="a24_gp_in" vbProcedure="false">In!$E$74</definedName>
    <definedName function="false" hidden="false" name="a24_ni" vbProcedure="false">Q!$B$14</definedName>
    <definedName function="false" hidden="false" name="a24_ninc" vbProcedure="false">Q!$B$10</definedName>
    <definedName function="false" hidden="false" name="a24_ninc_in" vbProcedure="false">In!$E$76</definedName>
    <definedName function="false" hidden="false" name="a24_ni_in" vbProcedure="false">In!$E$77</definedName>
    <definedName function="false" hidden="false" name="a24_opx" vbProcedure="false">Q!$B$7</definedName>
    <definedName function="false" hidden="false" name="a24_opx_in" vbProcedure="false">In!$E$75</definedName>
    <definedName function="false" hidden="false" name="a24_rev" vbProcedure="false">Q!$B$4</definedName>
    <definedName function="false" hidden="false" name="a24_rev_in" vbProcedure="false">In!$E$73</definedName>
    <definedName function="false" hidden="false" name="a24_sh" vbProcedure="false">Q!$B$16</definedName>
    <definedName function="false" hidden="false" name="a24_sh_in" vbProcedure="false">In!$E$78</definedName>
    <definedName function="false" hidden="false" name="a24_tx" vbProcedure="false">Q!$B$13</definedName>
    <definedName function="false" hidden="false" name="a25_eps" vbProcedure="false">Q!$C$17</definedName>
    <definedName function="false" hidden="false" name="a25_eps_in" vbProcedure="false">In!$E$86</definedName>
    <definedName function="false" hidden="false" name="a25_gp" vbProcedure="false">Q!$C$5</definedName>
    <definedName function="false" hidden="false" name="a25_gp_in" vbProcedure="false">In!$E$81</definedName>
    <definedName function="false" hidden="false" name="a25_ni" vbProcedure="false">Q!$C$14</definedName>
    <definedName function="false" hidden="false" name="a25_ninc" vbProcedure="false">Q!$C$10</definedName>
    <definedName function="false" hidden="false" name="a25_ninc_in" vbProcedure="false">In!$E$83</definedName>
    <definedName function="false" hidden="false" name="a25_ni_h1" vbProcedure="false">In!$E$87</definedName>
    <definedName function="false" hidden="false" name="a25_ni_in" vbProcedure="false">In!$E$84</definedName>
    <definedName function="false" hidden="false" name="a25_opx" vbProcedure="false">Q!$C$7</definedName>
    <definedName function="false" hidden="false" name="a25_opx_in" vbProcedure="false">In!$E$82</definedName>
    <definedName function="false" hidden="false" name="a25_p" vbProcedure="false">Q!$C$19</definedName>
    <definedName function="false" hidden="false" name="a25_rev" vbProcedure="false">Q!$C$4</definedName>
    <definedName function="false" hidden="false" name="a25_rev_in" vbProcedure="false">In!$E$80</definedName>
    <definedName function="false" hidden="false" name="a25_sh" vbProcedure="false">Q!$C$16</definedName>
    <definedName function="false" hidden="false" name="a25_sh_in" vbProcedure="false">In!$E$85</definedName>
    <definedName function="false" hidden="false" name="a25_tx" vbProcedure="false">Q!$C$13</definedName>
    <definedName function="false" hidden="false" name="a25_x" vbProcedure="false">Q!$C$18</definedName>
    <definedName function="false" hidden="false" name="a26_eps" vbProcedure="false">Q!$H$17</definedName>
    <definedName function="false" hidden="false" name="a26_gp" vbProcedure="false">Q!$H$5</definedName>
    <definedName function="false" hidden="false" name="a26_ni" vbProcedure="false">Q!$H$14</definedName>
    <definedName function="false" hidden="false" name="a26_ninc" vbProcedure="false">Q!$H$10</definedName>
    <definedName function="false" hidden="false" name="a26_opx" vbProcedure="false">Q!$H$7</definedName>
    <definedName function="false" hidden="false" name="a26_p" vbProcedure="false">Q!$H$19</definedName>
    <definedName function="false" hidden="false" name="a26_rev" vbProcedure="false">Q!$H$4</definedName>
    <definedName function="false" hidden="false" name="a26_sh" vbProcedure="false">Q!$H$16</definedName>
    <definedName function="false" hidden="false" name="a26_tx" vbProcedure="false">Q!$H$13</definedName>
    <definedName function="false" hidden="false" name="a26_x" vbProcedure="false">Q!$H$18</definedName>
    <definedName function="false" hidden="false" name="cl_27" vbProcedure="false">In!$E$44</definedName>
    <definedName function="false" hidden="false" name="cl_28" vbProcedure="false">In!$E$45</definedName>
    <definedName function="false" hidden="false" name="cl_29" vbProcedure="false">In!$E$46</definedName>
    <definedName function="false" hidden="false" name="cl_loss" vbProcedure="false">In!$E$43</definedName>
    <definedName function="false" hidden="false" name="cons_eps26" vbProcedure="false">In!$E$109</definedName>
    <definedName function="false" hidden="false" name="cons_eps27" vbProcedure="false">In!$E$111</definedName>
    <definedName function="false" hidden="false" name="cons_eps28" vbProcedure="false">In!$E$113</definedName>
    <definedName function="false" hidden="false" name="cons_feps" vbProcedure="false">In!$E$135</definedName>
    <definedName function="false" hidden="false" name="cons_q3" vbProcedure="false">In!$E$106</definedName>
    <definedName function="false" hidden="false" name="cons_q4" vbProcedure="false">In!$E$107</definedName>
    <definedName function="false" hidden="false" name="cons_rev26" vbProcedure="false">In!$E$108</definedName>
    <definedName function="false" hidden="false" name="cons_rev27" vbProcedure="false">In!$E$110</definedName>
    <definedName function="false" hidden="false" name="cons_rev28" vbProcedure="false">In!$E$112</definedName>
    <definedName function="false" hidden="false" name="cons_tp" vbProcedure="false">In!$E$134</definedName>
    <definedName function="false" hidden="false" name="cust_top" vbProcedure="false">In!$E$42</definedName>
    <definedName function="false" hidden="false" name="c_pcie" vbProcedure="false">In!$E$38</definedName>
    <definedName function="false" hidden="false" name="c_pcie_hi" vbProcedure="false">In!$F$38</definedName>
    <definedName function="false" hidden="false" name="c_pcie_lo" vbProcedure="false">In!$D$38</definedName>
    <definedName function="false" hidden="false" name="eq_23" vbProcedure="false">In!$E$88</definedName>
    <definedName function="false" hidden="false" name="eq_24" vbProcedure="false">In!$E$89</definedName>
    <definedName function="false" hidden="false" name="eq_25" vbProcedure="false">In!$E$90</definedName>
    <definedName function="false" hidden="false" name="eq_q2" vbProcedure="false">In!$E$91</definedName>
    <definedName function="false" hidden="false" name="fade_gA" vbProcedure="false">In!$E$128</definedName>
    <definedName function="false" hidden="false" name="fade_gB" vbProcedure="false">In!$E$129</definedName>
    <definedName function="false" hidden="false" name="fade_gC" vbProcedure="false">In!$E$130</definedName>
    <definedName function="false" hidden="false" name="fade_mA" vbProcedure="false">In!$E$131</definedName>
    <definedName function="false" hidden="false" name="fade_mB" vbProcedure="false">In!$E$132</definedName>
    <definedName function="false" hidden="false" name="fade_mC" vbProcedure="false">In!$E$133</definedName>
    <definedName function="false" hidden="false" name="g2n" vbProcedure="false">In!$E$104</definedName>
    <definedName function="false" hidden="false" name="g2n_hi" vbProcedure="false">In!$F$104</definedName>
    <definedName function="false" hidden="false" name="g2n_lo" vbProcedure="false">In!$D$104</definedName>
    <definedName function="false" hidden="false" name="GMHI_27" vbProcedure="false">In!$F$95</definedName>
    <definedName function="false" hidden="false" name="GMHI_28" vbProcedure="false">In!$F$96</definedName>
    <definedName function="false" hidden="false" name="GMHI_29" vbProcedure="false">In!$F$97</definedName>
    <definedName function="false" hidden="false" name="GMLO_27" vbProcedure="false">In!$D$95</definedName>
    <definedName function="false" hidden="false" name="GMLO_28" vbProcedure="false">In!$D$96</definedName>
    <definedName function="false" hidden="false" name="GMLO_29" vbProcedure="false">In!$D$97</definedName>
    <definedName function="false" hidden="false" name="gm_27" vbProcedure="false">In!$E$95</definedName>
    <definedName function="false" hidden="false" name="gm_27_hi" vbProcedure="false">In!$F$95</definedName>
    <definedName function="false" hidden="false" name="gm_27_lo" vbProcedure="false">In!$D$95</definedName>
    <definedName function="false" hidden="false" name="gm_28" vbProcedure="false">In!$E$96</definedName>
    <definedName function="false" hidden="false" name="gm_28_hi" vbProcedure="false">In!$F$96</definedName>
    <definedName function="false" hidden="false" name="gm_28_lo" vbProcedure="false">In!$D$96</definedName>
    <definedName function="false" hidden="false" name="gm_29" vbProcedure="false">In!$E$97</definedName>
    <definedName function="false" hidden="false" name="gm_29_hi" vbProcedure="false">In!$F$97</definedName>
    <definedName function="false" hidden="false" name="gm_29_lo" vbProcedure="false">In!$D$97</definedName>
    <definedName function="false" hidden="false" name="gm_q4" vbProcedure="false">In!$E$69</definedName>
    <definedName function="false" hidden="false" name="gm_q4_hi" vbProcedure="false">In!$F$69</definedName>
    <definedName function="false" hidden="false" name="gm_q4_lo" vbProcedure="false">In!$D$69</definedName>
    <definedName function="false" hidden="false" name="g_q4" vbProcedure="false">In!$E$68</definedName>
    <definedName function="false" hidden="false" name="g_q4_hi" vbProcedure="false">In!$F$68</definedName>
    <definedName function="false" hidden="false" name="g_q4_lo" vbProcedure="false">In!$D$68</definedName>
    <definedName function="false" hidden="false" name="itc_26" vbProcedure="false">In!$E$21</definedName>
    <definedName function="false" hidden="false" name="itc_27" vbProcedure="false">In!$E$22</definedName>
    <definedName function="false" hidden="false" name="itc_28" vbProcedure="false">In!$E$23</definedName>
    <definedName function="false" hidden="false" name="itc_29" vbProcedure="false">In!$E$24</definedName>
    <definedName function="false" hidden="false" name="mf" vbProcedure="false">In!$E$103</definedName>
    <definedName function="false" hidden="false" name="mf_hi" vbProcedure="false">In!$F$103</definedName>
    <definedName function="false" hidden="false" name="mf_lo" vbProcedure="false">In!$D$103</definedName>
    <definedName function="false" hidden="false" name="msu_26" vbProcedure="false">In!$E$9</definedName>
    <definedName function="false" hidden="false" name="msu_27" vbProcedure="false">In!$E$10</definedName>
    <definedName function="false" hidden="false" name="msu_28" vbProcedure="false">In!$E$11</definedName>
    <definedName function="false" hidden="false" name="msu_29" vbProcedure="false">In!$E$12</definedName>
    <definedName function="false" hidden="false" name="msx_26" vbProcedure="false">In!$E$5</definedName>
    <definedName function="false" hidden="false" name="msx_27" vbProcedure="false">In!$E$6</definedName>
    <definedName function="false" hidden="false" name="msx_28" vbProcedure="false">In!$E$7</definedName>
    <definedName function="false" hidden="false" name="msx_29" vbProcedure="false">In!$E$8</definedName>
    <definedName function="false" hidden="false" name="nnu_26" vbProcedure="false">In!$E$17</definedName>
    <definedName function="false" hidden="false" name="nnu_27" vbProcedure="false">In!$E$18</definedName>
    <definedName function="false" hidden="false" name="nnu_28" vbProcedure="false">In!$E$19</definedName>
    <definedName function="false" hidden="false" name="nnu_29" vbProcedure="false">In!$E$20</definedName>
    <definedName function="false" hidden="false" name="opx_adj" vbProcedure="false">In!$E$94</definedName>
    <definedName function="false" hidden="false" name="opx_adj_hi" vbProcedure="false">In!$F$94</definedName>
    <definedName function="false" hidden="false" name="opx_adj_lo" vbProcedure="false">In!$D$94</definedName>
    <definedName function="false" hidden="false" name="oth_f" vbProcedure="false">In!$E$98</definedName>
    <definedName function="false" hidden="false" name="oth_f_hi" vbProcedure="false">In!$F$98</definedName>
    <definedName function="false" hidden="false" name="oth_f_lo" vbProcedure="false">In!$D$98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In!$E$93</definedName>
    <definedName function="false" hidden="false" name="PHI_27" vbProcedure="false">In!$F$39</definedName>
    <definedName function="false" hidden="false" name="PHI_28" vbProcedure="false">In!$F$40</definedName>
    <definedName function="false" hidden="false" name="PHI_29" vbProcedure="false">In!$F$41</definedName>
    <definedName function="false" hidden="false" name="phi_hi" vbProcedure="false">In!$F$93</definedName>
    <definedName function="false" hidden="false" name="phi_lo" vbProcedure="false">In!$D$93</definedName>
    <definedName function="false" hidden="false" name="PLO_27" vbProcedure="false">In!$D$39</definedName>
    <definedName function="false" hidden="false" name="PLO_28" vbProcedure="false">In!$D$40</definedName>
    <definedName function="false" hidden="false" name="PLO_29" vbProcedure="false">In!$D$41</definedName>
    <definedName function="false" hidden="false" name="px" vbProcedure="false">In!$E$120</definedName>
    <definedName function="false" hidden="false" name="px_hi" vbProcedure="false">In!$E$121</definedName>
    <definedName function="false" hidden="false" name="q1_gp" vbProcedure="false">In!$E$49</definedName>
    <definedName function="false" hidden="false" name="q1_ni" vbProcedure="false">In!$E$52</definedName>
    <definedName function="false" hidden="false" name="q1_ninc" vbProcedure="false">In!$E$51</definedName>
    <definedName function="false" hidden="false" name="q1_opx" vbProcedure="false">In!$E$50</definedName>
    <definedName function="false" hidden="false" name="q1_rev" vbProcedure="false">In!$E$48</definedName>
    <definedName function="false" hidden="false" name="q1_sh" vbProcedure="false">In!$E$53</definedName>
    <definedName function="false" hidden="false" name="q2_eps" vbProcedure="false">In!$E$60</definedName>
    <definedName function="false" hidden="false" name="q2_gp" vbProcedure="false">In!$E$55</definedName>
    <definedName function="false" hidden="false" name="q2_ni" vbProcedure="false">In!$E$58</definedName>
    <definedName function="false" hidden="false" name="q2_ninc" vbProcedure="false">In!$E$57</definedName>
    <definedName function="false" hidden="false" name="q2_opx" vbProcedure="false">In!$E$56</definedName>
    <definedName function="false" hidden="false" name="q2_rev" vbProcedure="false">In!$E$54</definedName>
    <definedName function="false" hidden="false" name="q2_sh" vbProcedure="false">In!$E$59</definedName>
    <definedName function="false" hidden="false" name="q3_eps" vbProcedure="false">In!$E$64</definedName>
    <definedName function="false" hidden="false" name="q3_eps_hi" vbProcedure="false">In!$F$64</definedName>
    <definedName function="false" hidden="false" name="q3_eps_lo" vbProcedure="false">In!$D$64</definedName>
    <definedName function="false" hidden="false" name="q3_gm" vbProcedure="false">In!$E$62</definedName>
    <definedName function="false" hidden="false" name="q3_gm_hi" vbProcedure="false">In!$F$62</definedName>
    <definedName function="false" hidden="false" name="q3_gm_lo" vbProcedure="false">In!$D$62</definedName>
    <definedName function="false" hidden="false" name="q3_opx" vbProcedure="false">In!$E$63</definedName>
    <definedName function="false" hidden="false" name="q3_opx_hi" vbProcedure="false">In!$F$63</definedName>
    <definedName function="false" hidden="false" name="q3_opx_lo" vbProcedure="false">In!$D$63</definedName>
    <definedName function="false" hidden="false" name="q3_rev" vbProcedure="false">In!$E$61</definedName>
    <definedName function="false" hidden="false" name="q3_rev_hi" vbProcedure="false">In!$F$61</definedName>
    <definedName function="false" hidden="false" name="q3_rev_lo" vbProcedure="false">In!$D$61</definedName>
    <definedName function="false" hidden="false" name="q3_sh" vbProcedure="false">In!$E$65</definedName>
    <definedName function="false" hidden="false" name="q4_opx" vbProcedure="false">In!$E$70</definedName>
    <definedName function="false" hidden="false" name="q4_opx_hi" vbProcedure="false">In!$F$70</definedName>
    <definedName function="false" hidden="false" name="q4_opx_lo" vbProcedure="false">In!$D$70</definedName>
    <definedName function="false" hidden="false" name="q4_sh" vbProcedure="false">In!$E$71</definedName>
    <definedName function="false" hidden="false" name="q4_sh_hi" vbProcedure="false">In!$F$71</definedName>
    <definedName function="false" hidden="false" name="q4_sh_lo" vbProcedure="false">In!$D$71</definedName>
    <definedName function="false" hidden="false" name="q_oth" vbProcedure="false">In!$E$67</definedName>
    <definedName function="false" hidden="false" name="q_oth_hi" vbProcedure="false">In!$F$67</definedName>
    <definedName function="false" hidden="false" name="q_oth_lo" vbProcedure="false">In!$D$67</definedName>
    <definedName function="false" hidden="false" name="rel_p_27" vbProcedure="false">In!$E$39</definedName>
    <definedName function="false" hidden="false" name="rel_p_27_hi" vbProcedure="false">In!$F$39</definedName>
    <definedName function="false" hidden="false" name="rel_p_27_lo" vbProcedure="false">In!$D$39</definedName>
    <definedName function="false" hidden="false" name="rel_p_28" vbProcedure="false">In!$E$40</definedName>
    <definedName function="false" hidden="false" name="rel_p_28_hi" vbProcedure="false">In!$F$40</definedName>
    <definedName function="false" hidden="false" name="rel_p_28_lo" vbProcedure="false">In!$D$40</definedName>
    <definedName function="false" hidden="false" name="rel_p_29" vbProcedure="false">In!$E$41</definedName>
    <definedName function="false" hidden="false" name="rel_p_29_hi" vbProcedure="false">In!$F$41</definedName>
    <definedName function="false" hidden="false" name="rel_p_29_lo" vbProcedure="false">In!$D$41</definedName>
    <definedName function="false" hidden="false" name="rel_x_27" vbProcedure="false">In!$E$34</definedName>
    <definedName function="false" hidden="false" name="rel_x_27_hi" vbProcedure="false">In!$F$34</definedName>
    <definedName function="false" hidden="false" name="rel_x_27_lo" vbProcedure="false">In!$D$34</definedName>
    <definedName function="false" hidden="false" name="rel_x_28" vbProcedure="false">In!$E$35</definedName>
    <definedName function="false" hidden="false" name="rel_x_28_hi" vbProcedure="false">In!$F$35</definedName>
    <definedName function="false" hidden="false" name="rel_x_28_lo" vbProcedure="false">In!$D$35</definedName>
    <definedName function="false" hidden="false" name="rel_x_29" vbProcedure="false">In!$E$36</definedName>
    <definedName function="false" hidden="false" name="rel_x_29_hi" vbProcedure="false">In!$F$36</definedName>
    <definedName function="false" hidden="false" name="rel_x_29_lo" vbProcedure="false">In!$D$36</definedName>
    <definedName function="false" hidden="false" name="sh_g" vbProcedure="false">In!$E$102</definedName>
    <definedName function="false" hidden="false" name="sh_g_hi" vbProcedure="false">In!$F$102</definedName>
    <definedName function="false" hidden="false" name="sh_g_lo" vbProcedure="false">In!$D$102</definedName>
    <definedName function="false" hidden="false" name="sh_out" vbProcedure="false">In!$E$122</definedName>
    <definedName function="false" hidden="false" name="tam_su" vbProcedure="false">In!$E$115</definedName>
    <definedName function="false" hidden="false" name="tp_g" vbProcedure="false">In!$E$125</definedName>
    <definedName function="false" hidden="false" name="tp_r" vbProcedure="false">In!$E$124</definedName>
    <definedName function="false" hidden="false" name="tp_roe" vbProcedure="false">In!$E$126</definedName>
    <definedName function="false" hidden="false" name="tp_street" vbProcedure="false">In!$E$114</definedName>
    <definedName function="false" hidden="false" name="tp_wA" vbProcedure="false">In!$E$116</definedName>
    <definedName function="false" hidden="false" name="tp_wB" vbProcedure="false">In!$E$117</definedName>
    <definedName function="false" hidden="false" name="tp_wC" vbProcedure="false">In!$E$118</definedName>
    <definedName function="false" hidden="false" name="tp_w_dcf" vbProcedure="false">In!$E$127</definedName>
    <definedName function="false" hidden="false" name="TXHI_27" vbProcedure="false">In!$F$99</definedName>
    <definedName function="false" hidden="false" name="TXHI_28" vbProcedure="false">In!$F$100</definedName>
    <definedName function="false" hidden="false" name="TXHI_29" vbProcedure="false">In!$F$101</definedName>
    <definedName function="false" hidden="false" name="TXLO_27" vbProcedure="false">In!$D$99</definedName>
    <definedName function="false" hidden="false" name="TXLO_28" vbProcedure="false">In!$D$100</definedName>
    <definedName function="false" hidden="false" name="TXLO_29" vbProcedure="false">In!$D$101</definedName>
    <definedName function="false" hidden="false" name="tx_26" vbProcedure="false">In!$E$66</definedName>
    <definedName function="false" hidden="false" name="tx_26_hi" vbProcedure="false">In!$F$66</definedName>
    <definedName function="false" hidden="false" name="tx_26_lo" vbProcedure="false">In!$D$66</definedName>
    <definedName function="false" hidden="false" name="tx_27" vbProcedure="false">In!$E$99</definedName>
    <definedName function="false" hidden="false" name="tx_27_hi" vbProcedure="false">In!$F$99</definedName>
    <definedName function="false" hidden="false" name="tx_27_lo" vbProcedure="false">In!$D$99</definedName>
    <definedName function="false" hidden="false" name="tx_28" vbProcedure="false">In!$E$100</definedName>
    <definedName function="false" hidden="false" name="tx_28_hi" vbProcedure="false">In!$F$100</definedName>
    <definedName function="false" hidden="false" name="tx_28_lo" vbProcedure="false">In!$D$100</definedName>
    <definedName function="false" hidden="false" name="tx_29" vbProcedure="false">In!$E$101</definedName>
    <definedName function="false" hidden="false" name="tx_29_hi" vbProcedure="false">In!$F$101</definedName>
    <definedName function="false" hidden="false" name="tx_29_lo" vbProcedure="false">In!$D$101</definedName>
    <definedName function="false" hidden="false" name="um28_A" vbProcedure="false">In!$E$25</definedName>
    <definedName function="false" hidden="false" name="um28_B" vbProcedure="false">In!$E$27</definedName>
    <definedName function="false" hidden="false" name="um28_C" vbProcedure="false">In!$E$29</definedName>
    <definedName function="false" hidden="false" name="um29_A" vbProcedure="false">In!$E$26</definedName>
    <definedName function="false" hidden="false" name="um29_B" vbProcedure="false">In!$E$28</definedName>
    <definedName function="false" hidden="false" name="um29_C" vbProcedure="false">In!$E$30</definedName>
    <definedName function="false" hidden="false" name="u_26" vbProcedure="false">In!$E$13</definedName>
    <definedName function="false" hidden="false" name="u_27" vbProcedure="false">In!$E$14</definedName>
    <definedName function="false" hidden="false" name="u_28" vbProcedure="false">In!$E$15</definedName>
    <definedName function="false" hidden="false" name="u_29" vbProcedure="false">In!$E$16</definedName>
    <definedName function="false" hidden="false" name="XHI_27" vbProcedure="false">In!$F$34</definedName>
    <definedName function="false" hidden="false" name="XHI_28" vbProcedure="false">In!$F$35</definedName>
    <definedName function="false" hidden="false" name="XHI_29" vbProcedure="false">In!$F$36</definedName>
    <definedName function="false" hidden="false" name="XLO_27" vbProcedure="false">In!$D$34</definedName>
    <definedName function="false" hidden="false" name="XLO_28" vbProcedure="false">In!$D$35</definedName>
    <definedName function="false" hidden="false" name="XLO_29" vbProcedure="false">In!$D$36</definedName>
    <definedName function="false" hidden="false" name="x_25" vbProcedure="false">In!$E$32</definedName>
    <definedName function="false" hidden="false" name="x_25_hi" vbProcedure="false">In!$F$32</definedName>
    <definedName function="false" hidden="false" name="x_25_lo" vbProcedure="false">In!$D$32</definedName>
    <definedName function="false" hidden="false" name="x_26" vbProcedure="false">In!$E$33</definedName>
    <definedName function="false" hidden="false" name="x_26_hi" vbProcedure="false">In!$F$33</definedName>
    <definedName function="false" hidden="false" name="x_26_lo" vbProcedure="false">In!$D$33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<sst xmlns="http://schemas.openxmlformats.org/spreadsheetml/2006/main" count="2458" uniqueCount="892">
  <si>
    <r>
      <rPr>
        <b val="true"/>
        <sz val="11"/>
        <rFont val="Cambria"/>
        <family val="0"/>
        <charset val="1"/>
      </rPr>
      <t xml:space="preserve">Astera Labs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ALAB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</t>
    </r>
    <r>
      <rPr>
        <b val="true"/>
        <sz val="11"/>
        <rFont val="Cambria"/>
        <family val="0"/>
        <charset val="1"/>
      </rPr>
      <t xml:space="preserve">PCIe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CXL </t>
    </r>
    <r>
      <rPr>
        <b val="true"/>
        <sz val="11"/>
        <rFont val="Noto Sans CJK SC"/>
        <family val="2"/>
      </rPr>
      <t xml:space="preserve">重定時器、</t>
    </r>
    <r>
      <rPr>
        <b val="true"/>
        <sz val="11"/>
        <rFont val="Cambria"/>
        <family val="0"/>
        <charset val="1"/>
      </rPr>
      <t xml:space="preserve">Scorpio </t>
    </r>
    <r>
      <rPr>
        <b val="true"/>
        <sz val="11"/>
        <rFont val="Noto Sans CJK SC"/>
        <family val="2"/>
      </rPr>
      <t xml:space="preserve">交換晶片、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模組；</t>
    </r>
    <r>
      <rPr>
        <b val="true"/>
        <sz val="11"/>
        <rFont val="Cambria"/>
        <family val="0"/>
        <charset val="1"/>
      </rPr>
      <t xml:space="preserve">scale-up </t>
    </r>
    <r>
      <rPr>
        <b val="true"/>
        <sz val="11"/>
        <rFont val="Noto Sans CJK SC"/>
        <family val="2"/>
      </rPr>
      <t xml:space="preserve">互連）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</si>
  <si>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初版；三情境延伸到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加權）。</t>
    </r>
    <r>
      <rPr>
        <sz val="11"/>
        <rFont val="Cambria"/>
        <family val="0"/>
        <charset val="1"/>
      </rPr>
      <t xml:space="preserve">Astera Labs </t>
    </r>
    <r>
      <rPr>
        <sz val="11"/>
        <rFont val="Noto Sans CJK SC"/>
        <family val="2"/>
      </rPr>
      <t xml:space="preserve">在非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交換晶片（</t>
    </r>
    <r>
      <rPr>
        <sz val="11"/>
        <rFont val="Cambria"/>
        <family val="0"/>
        <charset val="1"/>
      </rPr>
      <t xml:space="preserve">Scorpio X</t>
    </r>
    <r>
      <rPr>
        <sz val="11"/>
        <rFont val="Noto Sans CJK SC"/>
        <family val="2"/>
      </rPr>
      <t xml:space="preserve">）與 </t>
    </r>
    <r>
      <rPr>
        <sz val="11"/>
        <rFont val="Cambria"/>
        <family val="0"/>
        <charset val="1"/>
      </rPr>
      <t xml:space="preserve">PCIe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CXL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</si>
  <si>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Astera Labs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Scorpio X </t>
    </r>
    <r>
      <rPr>
        <sz val="11"/>
        <rFont val="Noto Sans CJK SC"/>
        <family val="2"/>
      </rPr>
      <t xml:space="preserve">營收＝非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交換晶片市場（本專案網通模型：</t>
    </r>
    <r>
      <rPr>
        <sz val="11"/>
        <rFont val="Cambria"/>
        <family val="0"/>
        <charset val="1"/>
      </rPr>
      <t xml:space="preserve">AMD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、其他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交換晶片內容）</t>
    </r>
    <r>
      <rPr>
        <sz val="11"/>
        <rFont val="Cambria"/>
        <family val="0"/>
        <charset val="1"/>
      </rPr>
      <t xml:space="preserve">× Astera </t>
    </r>
    <r>
      <rPr>
        <sz val="11"/>
        <rFont val="Noto Sans CJK SC"/>
        <family val="2"/>
      </rPr>
      <t xml:space="preserve">有效份額；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與訊號調節（</t>
    </r>
    <r>
      <rPr>
        <sz val="11"/>
        <rFont val="Cambria"/>
        <family val="0"/>
        <charset val="1"/>
      </rPr>
      <t xml:space="preserve">Aries </t>
    </r>
    <r>
      <rPr>
        <sz val="11"/>
        <rFont val="Noto Sans CJK SC"/>
        <family val="2"/>
      </rPr>
      <t xml:space="preserve">重定時器、</t>
    </r>
    <r>
      <rPr>
        <sz val="11"/>
        <rFont val="Cambria"/>
        <family val="0"/>
        <charset val="1"/>
      </rPr>
      <t xml:space="preserve">Scorpio P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Taurus AEC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Leo CXL</t>
    </r>
    <r>
      <rPr>
        <sz val="11"/>
        <rFont val="Noto Sans CJK SC"/>
        <family val="2"/>
      </rPr>
      <t xml:space="preserve">）＝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指引季增約 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Scorpio </t>
    </r>
    <r>
      <rPr>
        <sz val="11"/>
        <rFont val="Noto Sans CJK SC"/>
        <family val="2"/>
      </rPr>
      <t xml:space="preserve">成為最大產品線：成長重心正由重定時器轉到 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交換晶片。現價約 </t>
    </r>
    <r>
      <rPr>
        <sz val="11"/>
        <rFont val="Cambria"/>
        <family val="0"/>
        <charset val="1"/>
      </rPr>
      <t xml:space="preserve">64 </t>
    </r>
    <r>
      <rPr>
        <sz val="11"/>
        <rFont val="Noto Sans CJK SC"/>
        <family val="2"/>
      </rPr>
      <t xml:space="preserve">倍共識 </t>
    </r>
    <r>
      <rPr>
        <sz val="11"/>
        <rFont val="Cambria"/>
        <family val="0"/>
        <charset val="1"/>
      </rPr>
      <t xml:space="preserve">FY2026 EPS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40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</si>
  <si>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核心問題：現價隱含的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需要 </t>
    </r>
    <r>
      <rPr>
        <sz val="11"/>
        <rFont val="Cambria"/>
        <family val="0"/>
        <charset val="1"/>
      </rPr>
      <t xml:space="preserve">Scorpio X </t>
    </r>
    <r>
      <rPr>
        <sz val="11"/>
        <rFont val="Noto Sans CJK SC"/>
        <family val="2"/>
      </rPr>
      <t xml:space="preserve">在非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交換晶片維持多少份額、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等業務流失多少才成立？非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加速器顆數（</t>
    </r>
    <r>
      <rPr>
        <sz val="11"/>
        <rFont val="Cambria"/>
        <family val="0"/>
        <charset val="1"/>
      </rPr>
      <t xml:space="preserve">AMD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、其他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）與 </t>
    </r>
    <r>
      <rPr>
        <sz val="11"/>
        <rFont val="Cambria"/>
        <family val="0"/>
        <charset val="1"/>
      </rPr>
      <t xml:space="preserve">NVLink Fusion </t>
    </r>
    <r>
      <rPr>
        <sz val="11"/>
        <rFont val="Noto Sans CJK SC"/>
        <family val="2"/>
      </rPr>
      <t xml:space="preserve">的競爭是主要不確定性。</t>
    </r>
  </si>
  <si>
    <r>
      <rPr>
        <sz val="11"/>
        <rFont val="Noto Sans CJK SC"/>
        <family val="2"/>
      </rPr>
      <t xml:space="preserve">會計年度：日曆年（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月底結束）；上游市場層為日曆年，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市場＝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為錨點），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規則值用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</si>
  <si>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</si>
  <si>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Scorpio X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交換晶片市場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Astera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等：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</si>
  <si>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；公司長期目標 </t>
    </r>
    <r>
      <rPr>
        <sz val="11"/>
        <rFont val="Cambria"/>
        <family val="0"/>
        <charset val="1"/>
      </rPr>
      <t xml:space="preserve">70%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）。稅率：約 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（公司 </t>
    </r>
    <r>
      <rPr>
        <sz val="11"/>
        <rFont val="Cambria"/>
        <family val="0"/>
        <charset val="1"/>
      </rPr>
      <t xml:space="preserve">non-GAAP </t>
    </r>
    <r>
      <rPr>
        <sz val="11"/>
        <rFont val="Noto Sans CJK SC"/>
        <family val="2"/>
      </rPr>
      <t xml:space="preserve">稅率）。股數：</t>
    </r>
    <r>
      <rPr>
        <sz val="11"/>
        <rFont val="Cambria"/>
        <family val="0"/>
        <charset val="1"/>
      </rPr>
      <t xml:space="preserve">+1.5%</t>
    </r>
    <r>
      <rPr>
        <sz val="11"/>
        <rFont val="Noto Sans CJK SC"/>
        <family val="2"/>
      </rPr>
      <t xml:space="preserve">／年。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</si>
  <si>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3.08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3.92 </t>
    </r>
    <r>
      <rPr>
        <sz val="11"/>
        <rFont val="Noto Sans CJK SC"/>
        <family val="2"/>
      </rPr>
      <t xml:space="preserve">億美元；</t>
    </r>
    <r>
      <rPr>
        <sz val="11"/>
        <rFont val="Cambria"/>
        <family val="0"/>
        <charset val="1"/>
      </rPr>
      <t xml:space="preserve">non-GAAP EPS 0.61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0.80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指引中點（</t>
    </r>
    <r>
      <rPr>
        <sz val="11"/>
        <rFont val="Cambria"/>
        <family val="0"/>
        <charset val="1"/>
      </rPr>
      <t xml:space="preserve">5.50 </t>
    </r>
    <r>
      <rPr>
        <sz val="11"/>
        <rFont val="Noto Sans CJK SC"/>
        <family val="2"/>
      </rPr>
      <t xml:space="preserve">億美元）＋ </t>
    </r>
    <r>
      <rPr>
        <sz val="11"/>
        <rFont val="Cambria"/>
        <family val="0"/>
        <charset val="1"/>
      </rPr>
      <t xml:space="preserve">4Q26</t>
    </r>
    <r>
      <rPr>
        <sz val="11"/>
        <rFont val="Noto Sans CJK SC"/>
        <family val="2"/>
      </rPr>
      <t xml:space="preserve">（季增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）。產品線拆分公司未揭露：</t>
    </r>
    <r>
      <rPr>
        <sz val="11"/>
        <rFont val="Cambria"/>
        <family val="0"/>
        <charset val="1"/>
      </rPr>
      <t xml:space="preserve">Scorpio X FY2026 </t>
    </r>
    <r>
      <rPr>
        <sz val="11"/>
        <rFont val="Noto Sans CJK SC"/>
        <family val="2"/>
      </rPr>
      <t xml:space="preserve">為假設，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等為殘差。不用共識（只在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</si>
  <si>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（美股高速連接晶片同業前瞻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）。舊法規則值情境加權保留參考（不是目標價）；市場隱含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規則值（只有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年一個正值）</t>
    </r>
    <r>
      <rPr>
        <sz val="11"/>
        <rFont val="Cambria"/>
        <family val="0"/>
        <charset val="1"/>
      </rPr>
      <t xml:space="preserve">× FY2027 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；循環位置以本模型營收最高年判定。本版未做先驗，無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</si>
  <si>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未使用。客戶名稱公司未具名；</t>
    </r>
    <r>
      <rPr>
        <sz val="11"/>
        <rFont val="Cambria"/>
        <family val="0"/>
        <charset val="1"/>
      </rPr>
      <t xml:space="preserve">10-K </t>
    </r>
    <r>
      <rPr>
        <sz val="11"/>
        <rFont val="Noto Sans CJK SC"/>
        <family val="2"/>
      </rPr>
      <t xml:space="preserve">只揭露單一終端客戶逾 </t>
    </r>
    <r>
      <rPr>
        <sz val="11"/>
        <rFont val="Cambria"/>
        <family val="0"/>
        <charset val="1"/>
      </rPr>
      <t xml:space="preserve">70%</t>
    </r>
    <r>
      <rPr>
        <sz val="11"/>
        <rFont val="Noto Sans CJK SC"/>
        <family val="2"/>
      </rPr>
      <t xml:space="preserve">、前三大約 </t>
    </r>
    <r>
      <rPr>
        <sz val="11"/>
        <rFont val="Cambria"/>
        <family val="0"/>
        <charset val="1"/>
      </rPr>
      <t xml:space="preserve">86%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</si>
  <si>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Scorpio X FY2026 </t>
    </r>
    <r>
      <rPr>
        <sz val="11"/>
        <rFont val="Noto Sans CJK SC"/>
        <family val="2"/>
      </rPr>
      <t xml:space="preserve">營收、兩條業務的份額相對值、毛利率路徑皆為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FY2027–FY2029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產品線營收未揭露，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等為殘差；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網通模型沒有 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重定時器與 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交換晶片的獨立列，本模型以加速器顆數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每顆內容代替；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交換晶片市場排除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NVLink</t>
    </r>
    <r>
      <rPr>
        <sz val="11"/>
        <rFont val="Noto Sans CJK SC"/>
        <family val="2"/>
      </rPr>
      <t xml:space="preserve">）與 </t>
    </r>
    <r>
      <rPr>
        <sz val="11"/>
        <rFont val="Cambria"/>
        <family val="0"/>
        <charset val="1"/>
      </rPr>
      <t xml:space="preserve">TPU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ICI</t>
    </r>
    <r>
      <rPr>
        <sz val="11"/>
        <rFont val="Noto Sans CJK SC"/>
        <family val="2"/>
      </rPr>
      <t xml:space="preserve">／光學電路交換），</t>
    </r>
    <r>
      <rPr>
        <sz val="11"/>
        <rFont val="Cambria"/>
        <family val="0"/>
        <charset val="1"/>
      </rPr>
      <t xml:space="preserve">NVLink Fusion </t>
    </r>
    <r>
      <rPr>
        <sz val="11"/>
        <rFont val="Noto Sans CJK SC"/>
        <family val="2"/>
      </rPr>
      <t xml:space="preserve">若開放第三方交換晶片會改變分母；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年一個觀測值、含高成長期溢價，規則值明顯偏高；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</si>
  <si>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</si>
  <si>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US$132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105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160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257.16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48.5%</t>
    </r>
    <r>
      <rPr>
        <sz val="11"/>
        <color theme="1"/>
        <rFont val="Noto Sans CJK SC"/>
        <family val="2"/>
      </rPr>
      <t xml:space="preserve">，級距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−</t>
    </r>
    <r>
      <rPr>
        <sz val="11"/>
        <color theme="1"/>
        <rFont val="Calibri"/>
        <family val="2"/>
        <charset val="1"/>
      </rPr>
      <t xml:space="preserve">37.9%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與倍數兩個因素都在：本模型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6.33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8.21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22.9%</t>
    </r>
    <r>
      <rPr>
        <sz val="11"/>
        <color theme="1"/>
        <rFont val="Noto Sans CJK SC"/>
        <family val="2"/>
      </rPr>
      <t xml:space="preserve">；同業（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Rambus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MACOM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25.2 </t>
    </r>
    <r>
      <rPr>
        <sz val="11"/>
        <color theme="1"/>
        <rFont val="Noto Sans CJK SC"/>
        <family val="2"/>
      </rPr>
      <t xml:space="preserve">倍，現價隱含 </t>
    </r>
    <r>
      <rPr>
        <sz val="11"/>
        <color theme="1"/>
        <rFont val="Calibri"/>
        <family val="2"/>
        <charset val="1"/>
      </rPr>
      <t xml:space="preserve">31.3 </t>
    </r>
    <r>
      <rPr>
        <sz val="11"/>
        <color theme="1"/>
        <rFont val="Noto Sans CJK SC"/>
        <family val="2"/>
      </rPr>
      <t xml:space="preserve">倍共識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、共識目標價 </t>
    </r>
    <r>
      <rPr>
        <sz val="11"/>
        <color theme="1"/>
        <rFont val="Calibri"/>
        <family val="2"/>
        <charset val="1"/>
      </rPr>
      <t xml:space="preserve">388.36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47.3 </t>
    </r>
    <r>
      <rPr>
        <sz val="11"/>
        <color theme="1"/>
        <rFont val="Noto Sans CJK SC"/>
        <family val="2"/>
      </rPr>
      <t xml:space="preserve">倍（比同業高 </t>
    </r>
    <r>
      <rPr>
        <sz val="11"/>
        <color theme="1"/>
        <rFont val="Calibri"/>
        <family val="2"/>
        <charset val="1"/>
      </rPr>
      <t xml:space="preserve">87.5%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未給 </t>
    </r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的成長溢價（本身前瞻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倍）。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</si>
  <si>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三情境同為 </t>
    </r>
    <r>
      <rPr>
        <sz val="11"/>
        <color theme="1"/>
        <rFont val="Calibri"/>
        <family val="2"/>
        <charset val="1"/>
      </rPr>
      <t xml:space="preserve">6.90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FY2028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8.10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6.13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3.60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139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頁讀法：以同業約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倍計，現價隱含的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比模型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高約三成，需要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份額上升才達得到。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</si>
  <si>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最敏感的是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份額（高 </t>
    </r>
    <r>
      <rPr>
        <sz val="11"/>
        <color theme="1"/>
        <rFont val="Calibri"/>
        <family val="2"/>
        <charset val="1"/>
      </rPr>
      <t xml:space="preserve">+18.7%</t>
    </r>
    <r>
      <rPr>
        <sz val="11"/>
        <color theme="1"/>
        <rFont val="Noto Sans CJK SC"/>
        <family val="2"/>
      </rPr>
      <t xml:space="preserve">、低 −</t>
    </r>
    <r>
      <rPr>
        <sz val="11"/>
        <color theme="1"/>
        <rFont val="Calibri"/>
        <family val="2"/>
        <charset val="1"/>
      </rPr>
      <t xml:space="preserve">14.0%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等份額（高 </t>
    </r>
    <r>
      <rPr>
        <sz val="11"/>
        <color theme="1"/>
        <rFont val="Calibri"/>
        <family val="2"/>
        <charset val="1"/>
      </rPr>
      <t xml:space="preserve">+15.2%</t>
    </r>
    <r>
      <rPr>
        <sz val="11"/>
        <color theme="1"/>
        <rFont val="Noto Sans CJK SC"/>
        <family val="2"/>
      </rPr>
      <t xml:space="preserve">、低 −</t>
    </r>
    <r>
      <rPr>
        <sz val="11"/>
        <color theme="1"/>
        <rFont val="Calibri"/>
        <family val="2"/>
        <charset val="1"/>
      </rPr>
      <t xml:space="preserve">11.4%</t>
    </r>
    <r>
      <rPr>
        <sz val="11"/>
        <color theme="1"/>
        <rFont val="Noto Sans CJK SC"/>
        <family val="2"/>
      </rPr>
      <t xml:space="preserve">）；最大客戶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轉單時 −</t>
    </r>
    <r>
      <rPr>
        <sz val="11"/>
        <color theme="1"/>
        <rFont val="Calibri"/>
        <family val="2"/>
        <charset val="1"/>
      </rPr>
      <t xml:space="preserve">12.8%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營收與客戶數。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</si>
  <si>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</si>
  <si>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；公司不揭露產品線營收（</t>
    </r>
    <r>
      <rPr>
        <sz val="11"/>
        <color theme="1"/>
        <rFont val="Calibri"/>
        <family val="2"/>
        <charset val="1"/>
      </rPr>
      <t xml:space="preserve">Aries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Taurus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Scorpio 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）與客戶名稱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</si>
  <si>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</si>
  <si>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</si>
  <si>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</si>
  <si>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</si>
  <si>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</si>
  <si>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</si>
  <si>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</si>
  <si>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</si>
  <si>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</si>
  <si>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 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＝會計年度；情境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</si>
  <si>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msx_26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</si>
  <si>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</si>
  <si>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</si>
  <si>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</si>
  <si>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Units!B8:E8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B10:E10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B11:E11 × In!E62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E68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E86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</si>
  <si>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交換晶片內容（網通模型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c_*_su_sw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平台用自家 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ICI</t>
    </r>
    <r>
      <rPr>
        <sz val="11"/>
        <color theme="1"/>
        <rFont val="Noto Sans CJK SC"/>
        <family val="2"/>
      </rPr>
      <t xml:space="preserve">／光學電路交換，不列入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可服務市場</t>
    </r>
  </si>
  <si>
    <t xml:space="preserve">msx_27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</si>
  <si>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</si>
  <si>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</si>
  <si>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msx_28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</si>
  <si>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</t>
    </r>
  </si>
  <si>
    <t xml:space="preserve">msx_29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</si>
  <si>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</t>
    </r>
  </si>
  <si>
    <t xml:space="preserve">msu_26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</si>
  <si>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交換晶片市場合計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NVIDIA NVLink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</si>
  <si>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Mkt!C5:F5</t>
    </r>
  </si>
  <si>
    <t xml:space="preserve">只作對照，不進損益</t>
  </si>
  <si>
    <t xml:space="preserve">msu_27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</si>
  <si>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交換晶片市場合計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NVIDIA NVLink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</si>
  <si>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msu_28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</si>
  <si>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交換晶片市場合計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NVIDIA NVLink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</si>
  <si>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msu_29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</si>
  <si>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交換晶片市場合計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NVIDIA NVLink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</si>
  <si>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u_26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</si>
  <si>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加速器顆數合計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</si>
  <si>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</si>
  <si>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Units!B12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</si>
  <si>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頁（顆數取自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為成長率）</t>
    </r>
  </si>
  <si>
    <t xml:space="preserve">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</si>
  <si>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加速器顆數合計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</si>
  <si>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Units!C12</t>
    </r>
  </si>
  <si>
    <t xml:space="preserve">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</si>
  <si>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加速器顆數合計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</si>
  <si>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Units!D12</t>
    </r>
  </si>
  <si>
    <t xml:space="preserve">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</si>
  <si>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加速器顆數合計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</si>
  <si>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Units!E12</t>
    </r>
  </si>
  <si>
    <t xml:space="preserve">nnu_26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</si>
  <si>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</si>
  <si>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Units!B8:E8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B10:E10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B11:E11</t>
    </r>
  </si>
  <si>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每顆內容</t>
    </r>
  </si>
  <si>
    <t xml:space="preserve">nnu_27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</si>
  <si>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</si>
  <si>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nnu_28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</si>
  <si>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</si>
  <si>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nnu_29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</si>
  <si>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</si>
  <si>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</si>
  <si>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</si>
  <si>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</si>
  <si>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</si>
  <si>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</si>
  <si>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</si>
  <si>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</si>
  <si>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</si>
  <si>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</si>
  <si>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</si>
  <si>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</si>
  <si>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</si>
  <si>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</si>
  <si>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</si>
  <si>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</si>
  <si>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</si>
  <si>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</si>
  <si>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</si>
  <si>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</si>
  <si>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</si>
  <si>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</si>
  <si>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</si>
  <si>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</si>
  <si>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</si>
  <si>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</si>
  <si>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</si>
  <si>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</si>
  <si>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</si>
  <si>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</si>
  <si>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</si>
  <si>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</si>
  <si>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Scorpio X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scale-up </t>
    </r>
    <r>
      <rPr>
        <b val="true"/>
        <sz val="11"/>
        <rFont val="Noto Sans CJK SC"/>
        <family val="2"/>
      </rPr>
      <t xml:space="preserve">交換晶片；本專案為權威：</t>
    </r>
    <r>
      <rPr>
        <b val="true"/>
        <sz val="11"/>
        <rFont val="Cambria"/>
        <family val="0"/>
        <charset val="1"/>
      </rPr>
      <t xml:space="preserve">Astera </t>
    </r>
    <r>
      <rPr>
        <b val="true"/>
        <sz val="11"/>
        <rFont val="Noto Sans CJK SC"/>
        <family val="2"/>
      </rPr>
      <t xml:space="preserve">在非 </t>
    </r>
    <r>
      <rPr>
        <b val="true"/>
        <sz val="11"/>
        <rFont val="Cambria"/>
        <family val="0"/>
        <charset val="1"/>
      </rPr>
      <t xml:space="preserve">NVIDIA scale-up </t>
    </r>
    <r>
      <rPr>
        <b val="true"/>
        <sz val="11"/>
        <rFont val="Noto Sans CJK SC"/>
        <family val="2"/>
      </rPr>
      <t xml:space="preserve">交換晶片的份額，規則第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</si>
  <si>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x_25</t>
  </si>
  <si>
    <r>
      <rPr>
        <sz val="11"/>
        <color theme="1"/>
        <rFont val="Calibri"/>
        <family val="2"/>
        <charset val="1"/>
      </rPr>
      <t xml:space="preserve">FY2025 Scorpio X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</si>
  <si>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https://www.tikr.com/blog/astera-labs-what-a-224-bull-case-looks-like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not meaningful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</si>
  <si>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https://www.fool.com/earnings/call-transcripts/2026/05/05/astera-labs-alab-q1-2026-earnings-transcript/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初期量產於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開始出貨（公司）</t>
    </r>
  </si>
  <si>
    <t xml:space="preserve">x_26</t>
  </si>
  <si>
    <r>
      <rPr>
        <sz val="11"/>
        <color theme="1"/>
        <rFont val="Calibri"/>
        <family val="2"/>
        <charset val="1"/>
      </rPr>
      <t xml:space="preserve">FY2026 Scorpio X </t>
    </r>
    <r>
      <rPr>
        <sz val="11"/>
        <color theme="1"/>
        <rFont val="Noto Sans CJK SC"/>
        <family val="2"/>
      </rPr>
      <t xml:space="preserve">營收（未揭露）</t>
    </r>
  </si>
  <si>
    <r>
      <rPr>
        <sz val="11"/>
        <color theme="1"/>
        <rFont val="Noto Sans CJK SC"/>
        <family val="2"/>
      </rPr>
      <t xml:space="preserve">公司不揭露產品線營收：未找到；推估：</t>
    </r>
    <r>
      <rPr>
        <sz val="11"/>
        <color theme="1"/>
        <rFont val="Calibri"/>
        <family val="2"/>
        <charset val="1"/>
      </rPr>
      <t xml:space="preserve">Scorpio 1Q26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（分析師於法說引述，公司未證實）、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成為最大產品線且 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P</t>
    </r>
  </si>
  <si>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法說摘要（網址見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Scorpio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成為最大產品線（提前一季）、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系列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系列；逾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家客戶接洽 </t>
    </r>
    <r>
      <rPr>
        <sz val="11"/>
        <color theme="1"/>
        <rFont val="Calibri"/>
        <family val="2"/>
        <charset val="1"/>
      </rPr>
      <t xml:space="preserve">Scorpio X</t>
    </r>
    <r>
      <rPr>
        <sz val="11"/>
        <color theme="1"/>
        <rFont val="Noto Sans CJK SC"/>
        <family val="2"/>
      </rPr>
      <t xml:space="preserve">（公司）</t>
    </r>
  </si>
  <si>
    <t xml:space="preserve">rel_x_27</t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</si>
  <si>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FY2027 ÷ FY2026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</si>
  <si>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：第二家以後的客戶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年底起出貨、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年初更多客戶量產（公司）</t>
    </r>
  </si>
  <si>
    <r>
      <rPr>
        <sz val="11"/>
        <color theme="1"/>
        <rFont val="Noto Sans CJK SC"/>
        <family val="2"/>
      </rPr>
      <t xml:space="preserve">競爭：</t>
    </r>
    <r>
      <rPr>
        <sz val="11"/>
        <color theme="1"/>
        <rFont val="Calibri"/>
        <family val="2"/>
        <charset val="1"/>
      </rPr>
      <t xml:space="preserve">Broadcom Tomahawk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NVLink Fusion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UALink </t>
    </r>
    <r>
      <rPr>
        <sz val="11"/>
        <color theme="1"/>
        <rFont val="Noto Sans CJK SC"/>
        <family val="2"/>
      </rPr>
      <t xml:space="preserve">交換晶片（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列名競爭者含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）</t>
    </r>
  </si>
  <si>
    <t xml:space="preserve">rel_x_28</t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</si>
  <si>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FY2028 ÷ FY2026</t>
    </r>
  </si>
  <si>
    <r>
      <rPr>
        <sz val="11"/>
        <color theme="1"/>
        <rFont val="Calibri"/>
        <family val="2"/>
        <charset val="1"/>
      </rPr>
      <t xml:space="preserve">https://www.fool.com/earnings/call-transcripts/2026/05/05/astera-labs-alab-q1-2026-earnings-transcript/</t>
    </r>
    <r>
      <rPr>
        <sz val="11"/>
        <color theme="1"/>
        <rFont val="Noto Sans CJK SC"/>
        <family val="2"/>
      </rPr>
      <t xml:space="preserve">：現有設計案每顆加速器內容逾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美元（公司）</t>
    </r>
  </si>
  <si>
    <r>
      <rPr>
        <sz val="11"/>
        <color theme="1"/>
        <rFont val="Noto Sans CJK SC"/>
        <family val="2"/>
      </rPr>
      <t xml:space="preserve">整合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規劃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年後（公司，</t>
    </r>
    <r>
      <rPr>
        <sz val="11"/>
        <color theme="1"/>
        <rFont val="Calibri"/>
        <family val="2"/>
        <charset val="1"/>
      </rPr>
      <t xml:space="preserve">Futurum </t>
    </r>
    <r>
      <rPr>
        <sz val="11"/>
        <color theme="1"/>
        <rFont val="Noto Sans CJK SC"/>
        <family val="2"/>
      </rPr>
      <t xml:space="preserve">轉述）</t>
    </r>
  </si>
  <si>
    <t xml:space="preserve">rel_x_29</t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</si>
  <si>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FY2029 ÷ FY2026</t>
    </r>
  </si>
  <si>
    <t xml:space="preserve">—</t>
  </si>
  <si>
    <r>
      <rPr>
        <b val="true"/>
        <sz val="11"/>
        <rFont val="Cambria"/>
        <family val="0"/>
        <charset val="1"/>
      </rPr>
      <t xml:space="preserve">C. PCIe </t>
    </r>
    <r>
      <rPr>
        <b val="true"/>
        <sz val="11"/>
        <rFont val="Noto Sans CJK SC"/>
        <family val="2"/>
      </rPr>
      <t xml:space="preserve">與訊號調節（</t>
    </r>
    <r>
      <rPr>
        <b val="true"/>
        <sz val="11"/>
        <rFont val="Cambria"/>
        <family val="0"/>
        <charset val="1"/>
      </rPr>
      <t xml:space="preserve">Aries </t>
    </r>
    <r>
      <rPr>
        <b val="true"/>
        <sz val="11"/>
        <rFont val="Noto Sans CJK SC"/>
        <family val="2"/>
      </rPr>
      <t xml:space="preserve">重定時器、</t>
    </r>
    <r>
      <rPr>
        <b val="true"/>
        <sz val="11"/>
        <rFont val="Cambria"/>
        <family val="0"/>
        <charset val="1"/>
      </rPr>
      <t xml:space="preserve">Scorpio P PCIe </t>
    </r>
    <r>
      <rPr>
        <b val="true"/>
        <sz val="11"/>
        <rFont val="Noto Sans CJK SC"/>
        <family val="2"/>
      </rPr>
      <t xml:space="preserve">交換晶片、</t>
    </r>
    <r>
      <rPr>
        <b val="true"/>
        <sz val="11"/>
        <rFont val="Cambria"/>
        <family val="0"/>
        <charset val="1"/>
      </rPr>
      <t xml:space="preserve">Taurus AEC </t>
    </r>
    <r>
      <rPr>
        <b val="true"/>
        <sz val="11"/>
        <rFont val="Noto Sans CJK SC"/>
        <family val="2"/>
      </rPr>
      <t xml:space="preserve">模組、</t>
    </r>
    <r>
      <rPr>
        <b val="true"/>
        <sz val="11"/>
        <rFont val="Cambria"/>
        <family val="0"/>
        <charset val="1"/>
      </rPr>
      <t xml:space="preserve">Leo CXL</t>
    </r>
    <r>
      <rPr>
        <b val="true"/>
        <sz val="11"/>
        <rFont val="Noto Sans CJK SC"/>
        <family val="2"/>
      </rPr>
      <t xml:space="preserve">；讀加速器顆數）</t>
    </r>
  </si>
  <si>
    <t xml:space="preserve">c_pcie</t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</si>
  <si>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PCIe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CXL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可服務內容（只作份額顯示；不影響損益）</t>
    </r>
  </si>
  <si>
    <r>
      <rPr>
        <sz val="11"/>
        <color theme="1"/>
        <rFont val="Calibri"/>
        <family val="2"/>
        <charset val="1"/>
      </rPr>
      <t xml:space="preserve">US$/</t>
    </r>
    <r>
      <rPr>
        <sz val="11"/>
        <color theme="1"/>
        <rFont val="Noto Sans CJK SC"/>
        <family val="2"/>
      </rPr>
      <t xml:space="preserve">顆</t>
    </r>
  </si>
  <si>
    <t xml:space="preserve">第一手每顆內容：未找到</t>
  </si>
  <si>
    <r>
      <rPr>
        <sz val="11"/>
        <color theme="1"/>
        <rFont val="Noto Sans CJK SC"/>
        <family val="2"/>
      </rPr>
      <t xml:space="preserve">損益＝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顆數成長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相對值，與本列無關（校準時抵銷）</t>
    </r>
  </si>
  <si>
    <t xml:space="preserve">rel_p_27</t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</si>
  <si>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等有效份額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FY2027 ÷ FY2026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</si>
  <si>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https://www.sec.gov/Archives/edgar/data/1736297/000173629726000010/alab-20251231.htm</t>
    </r>
    <r>
      <rPr>
        <sz val="11"/>
        <color theme="1"/>
        <rFont val="Noto Sans CJK SC"/>
        <family val="2"/>
      </rPr>
      <t xml:space="preserve">：競爭者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Microchip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Montage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Parade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Rambus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</si>
  <si>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PCIe 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單價上升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重定時器份額競爭、平台整合（每顆加速器重定時器數減少）；</t>
    </r>
    <r>
      <rPr>
        <sz val="11"/>
        <color theme="1"/>
        <rFont val="Calibri"/>
        <family val="2"/>
        <charset val="1"/>
      </rPr>
      <t xml:space="preserve">Aries FY2025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</si>
  <si>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rel_p_28</t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</si>
  <si>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等有效份額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FY2028 ÷ FY2026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</si>
  <si>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Taurus 3.2T </t>
    </r>
    <r>
      <rPr>
        <sz val="11"/>
        <color theme="1"/>
        <rFont val="Noto Sans CJK SC"/>
        <family val="2"/>
      </rPr>
      <t xml:space="preserve">可服務市場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年逾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億美元（公司，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</si>
  <si>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Leo CXL 2027 </t>
    </r>
    <r>
      <rPr>
        <sz val="11"/>
        <color theme="1"/>
        <rFont val="Noto Sans CJK SC"/>
        <family val="2"/>
      </rPr>
      <t xml:space="preserve">年起兩家美國超大規模業者量產（公司）</t>
    </r>
  </si>
  <si>
    <t xml:space="preserve">rel_p_29</t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</si>
  <si>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等有效份額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FY2029 ÷ FY2026</t>
    </r>
  </si>
  <si>
    <t xml:space="preserve">cust_top</t>
  </si>
  <si>
    <r>
      <rPr>
        <sz val="11"/>
        <color theme="1"/>
        <rFont val="Noto Sans CJK SC"/>
        <family val="2"/>
      </rPr>
      <t xml:space="preserve">最大終端客戶占營收（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「最大客戶部分轉單」用）</t>
    </r>
  </si>
  <si>
    <t xml:space="preserve">%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</si>
  <si>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</si>
  <si>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）：單一終端客戶「逾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」、前三大約 </t>
    </r>
    <r>
      <rPr>
        <sz val="11"/>
        <color theme="1"/>
        <rFont val="Calibri"/>
        <family val="2"/>
        <charset val="1"/>
      </rPr>
      <t xml:space="preserve">86%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，公司未具名）</t>
    </r>
  </si>
  <si>
    <t xml:space="preserve">客戶名稱：未找到（公司未具名）</t>
  </si>
  <si>
    <t xml:space="preserve">cl_loss</t>
  </si>
  <si>
    <r>
      <rPr>
        <sz val="11"/>
        <color theme="1"/>
        <rFont val="Noto Sans CJK SC"/>
        <family val="2"/>
      </rPr>
      <t xml:space="preserve">最大客戶部分轉單：其 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等內容轉給其他供應商或自製的比例（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</si>
  <si>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無</t>
  </si>
  <si>
    <t xml:space="preserve">cl_27</t>
  </si>
  <si>
    <r>
      <rPr>
        <sz val="11"/>
        <color theme="1"/>
        <rFont val="Noto Sans CJK SC"/>
        <family val="2"/>
      </rPr>
      <t xml:space="preserve">最大客戶部分轉單情境：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等相對值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</si>
  <si>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最大客戶占比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轉單比例）</t>
    </r>
  </si>
  <si>
    <r>
      <rPr>
        <sz val="11"/>
        <color theme="1"/>
        <rFont val="Noto Sans CJK SC"/>
        <family val="2"/>
      </rPr>
      <t xml:space="preserve">假設轉單只發生在 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不變）</t>
    </r>
  </si>
  <si>
    <t xml:space="preserve">cl_28</t>
  </si>
  <si>
    <r>
      <rPr>
        <sz val="11"/>
        <color theme="1"/>
        <rFont val="Noto Sans CJK SC"/>
        <family val="2"/>
      </rPr>
      <t xml:space="preserve">最大客戶部分轉單情境：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等相對值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</si>
  <si>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cl_29</t>
  </si>
  <si>
    <r>
      <rPr>
        <sz val="11"/>
        <color theme="1"/>
        <rFont val="Noto Sans CJK SC"/>
        <family val="2"/>
      </rPr>
      <t xml:space="preserve">最大客戶部分轉單情境：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等相對值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</si>
  <si>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b val="true"/>
        <sz val="11"/>
        <rFont val="Cambria"/>
        <family val="0"/>
        <charset val="1"/>
      </rPr>
      <t xml:space="preserve">D.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2Q26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</si>
  <si>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</si>
  <si>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營收（截至 </t>
    </r>
    <r>
      <rPr>
        <sz val="11"/>
        <color theme="1"/>
        <rFont val="Calibri"/>
        <family val="2"/>
        <charset val="1"/>
      </rPr>
      <t xml:space="preserve">2026-03-31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</si>
  <si>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308,361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新聞稿比較欄）</t>
    </r>
  </si>
  <si>
    <r>
      <rPr>
        <sz val="11"/>
        <color theme="1"/>
        <rFont val="Calibri"/>
        <family val="2"/>
        <charset val="1"/>
      </rPr>
      <t xml:space="preserve">https://www.fool.com/earnings/call-transcripts/2026/05/05/astera-labs-alab-q1-2026-earnings-transcript/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</t>
    </r>
  </si>
  <si>
    <t xml:space="preserve">q1_gp</t>
  </si>
  <si>
    <r>
      <rPr>
        <sz val="11"/>
        <color theme="1"/>
        <rFont val="Calibri"/>
        <family val="2"/>
        <charset val="1"/>
      </rPr>
      <t xml:space="preserve">1Q26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</si>
  <si>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235,640 </t>
    </r>
    <r>
      <rPr>
        <sz val="11"/>
        <color theme="1"/>
        <rFont val="Noto Sans CJK SC"/>
        <family val="2"/>
      </rPr>
      <t xml:space="preserve">千美元（毛利率 </t>
    </r>
    <r>
      <rPr>
        <sz val="11"/>
        <color theme="1"/>
        <rFont val="Calibri"/>
        <family val="2"/>
        <charset val="1"/>
      </rPr>
      <t xml:space="preserve">76.4%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</si>
  <si>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https://www.fool.com/earnings/call-transcripts/2026/05/05/astera-labs-alab-q1-2026-earnings-transcript/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76.4%</t>
    </r>
  </si>
  <si>
    <t xml:space="preserve">q1_opx</t>
  </si>
  <si>
    <r>
      <rPr>
        <sz val="11"/>
        <color theme="1"/>
        <rFont val="Calibri"/>
        <family val="2"/>
        <charset val="1"/>
      </rPr>
      <t xml:space="preserve">1Q26 non-GAAP </t>
    </r>
    <r>
      <rPr>
        <sz val="11"/>
        <color theme="1"/>
        <rFont val="Noto Sans CJK SC"/>
        <family val="2"/>
      </rPr>
      <t xml:space="preserve">營業費用（＝毛利 − 營業利益）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</si>
  <si>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111,729 </t>
    </r>
    <r>
      <rPr>
        <sz val="11"/>
        <color theme="1"/>
        <rFont val="Noto Sans CJK SC"/>
        <family val="2"/>
      </rPr>
      <t xml:space="preserve">千美元</t>
    </r>
  </si>
  <si>
    <t xml:space="preserve">q1_ninc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</si>
  <si>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利息與其他收益（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</si>
  <si>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11,581 </t>
    </r>
    <r>
      <rPr>
        <sz val="11"/>
        <color theme="1"/>
        <rFont val="Noto Sans CJK SC"/>
        <family val="2"/>
      </rPr>
      <t xml:space="preserve">千美元</t>
    </r>
  </si>
  <si>
    <t xml:space="preserve">q1_ni</t>
  </si>
  <si>
    <r>
      <rPr>
        <sz val="11"/>
        <color theme="1"/>
        <rFont val="Calibri"/>
        <family val="2"/>
        <charset val="1"/>
      </rPr>
      <t xml:space="preserve">1Q26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</si>
  <si>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110,069 </t>
    </r>
    <r>
      <rPr>
        <sz val="11"/>
        <color theme="1"/>
        <rFont val="Noto Sans CJK SC"/>
        <family val="2"/>
      </rPr>
      <t xml:space="preserve">千美元</t>
    </r>
  </si>
  <si>
    <t xml:space="preserve">q1_sh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</si>
  <si>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</si>
  <si>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</si>
  <si>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181,157 </t>
    </r>
    <r>
      <rPr>
        <sz val="11"/>
        <color theme="1"/>
        <rFont val="Noto Sans CJK SC"/>
        <family val="2"/>
      </rPr>
      <t xml:space="preserve">千股</t>
    </r>
  </si>
  <si>
    <t xml:space="preserve">q2_rev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</si>
  <si>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營收（截至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</si>
  <si>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392,400 </t>
    </r>
    <r>
      <rPr>
        <sz val="11"/>
        <color theme="1"/>
        <rFont val="Noto Sans CJK SC"/>
        <family val="2"/>
      </rPr>
      <t xml:space="preserve">千美元（年增 </t>
    </r>
    <r>
      <rPr>
        <sz val="11"/>
        <color theme="1"/>
        <rFont val="Calibri"/>
        <family val="2"/>
        <charset val="1"/>
      </rPr>
      <t xml:space="preserve">104%</t>
    </r>
    <r>
      <rPr>
        <sz val="11"/>
        <color theme="1"/>
        <rFont val="Noto Sans CJK SC"/>
        <family val="2"/>
      </rPr>
      <t xml:space="preserve">、季增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</si>
  <si>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3.924 </t>
    </r>
    <r>
      <rPr>
        <sz val="11"/>
        <color theme="1"/>
        <rFont val="Noto Sans CJK SC"/>
        <family val="2"/>
      </rPr>
      <t xml:space="preserve">億美元</t>
    </r>
  </si>
  <si>
    <t xml:space="preserve">q2_gp</t>
  </si>
  <si>
    <r>
      <rPr>
        <sz val="11"/>
        <color theme="1"/>
        <rFont val="Calibri"/>
        <family val="2"/>
        <charset val="1"/>
      </rPr>
      <t xml:space="preserve">2Q26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</si>
  <si>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289,259 </t>
    </r>
    <r>
      <rPr>
        <sz val="11"/>
        <color theme="1"/>
        <rFont val="Noto Sans CJK SC"/>
        <family val="2"/>
      </rPr>
      <t xml:space="preserve">千美元（毛利率 </t>
    </r>
    <r>
      <rPr>
        <sz val="11"/>
        <color theme="1"/>
        <rFont val="Calibri"/>
        <family val="2"/>
        <charset val="1"/>
      </rPr>
      <t xml:space="preserve">73.7%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認股權證約 </t>
    </r>
    <r>
      <rPr>
        <sz val="11"/>
        <color theme="1"/>
        <rFont val="Calibri"/>
        <family val="2"/>
        <charset val="1"/>
      </rPr>
      <t xml:space="preserve">200bp </t>
    </r>
    <r>
      <rPr>
        <sz val="11"/>
        <color theme="1"/>
        <rFont val="Noto Sans CJK SC"/>
        <family val="2"/>
      </rPr>
      <t xml:space="preserve">非現金營收減項）</t>
    </r>
  </si>
  <si>
    <r>
      <rPr>
        <sz val="11"/>
        <color theme="1"/>
        <rFont val="Calibri"/>
        <family val="2"/>
        <charset val="1"/>
      </rPr>
      <t xml:space="preserve">https://futurumgroup.com/insights/astera-labs-q2-fy-2026-earnings-pull-scorpio-switch-leadership-forward/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73.7%</t>
    </r>
  </si>
  <si>
    <t xml:space="preserve">q2_opx</t>
  </si>
  <si>
    <r>
      <rPr>
        <sz val="11"/>
        <color theme="1"/>
        <rFont val="Calibri"/>
        <family val="2"/>
        <charset val="1"/>
      </rPr>
      <t xml:space="preserve">2Q26 non-GAAP </t>
    </r>
    <r>
      <rPr>
        <sz val="11"/>
        <color theme="1"/>
        <rFont val="Noto Sans CJK SC"/>
        <family val="2"/>
      </rPr>
      <t xml:space="preserve">營業費用（＝毛利 − 營業利益）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</si>
  <si>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153,472 </t>
    </r>
    <r>
      <rPr>
        <sz val="11"/>
        <color theme="1"/>
        <rFont val="Noto Sans CJK SC"/>
        <family val="2"/>
      </rPr>
      <t xml:space="preserve">千美元（營業利益率 </t>
    </r>
    <r>
      <rPr>
        <sz val="11"/>
        <color theme="1"/>
        <rFont val="Calibri"/>
        <family val="2"/>
        <charset val="1"/>
      </rPr>
      <t xml:space="preserve">39.1%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</si>
  <si>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：營業費用 </t>
    </r>
    <r>
      <rPr>
        <sz val="11"/>
        <color theme="1"/>
        <rFont val="Calibri"/>
        <family val="2"/>
        <charset val="1"/>
      </rPr>
      <t xml:space="preserve">1.358 </t>
    </r>
    <r>
      <rPr>
        <sz val="11"/>
        <color theme="1"/>
        <rFont val="Noto Sans CJK SC"/>
        <family val="2"/>
      </rPr>
      <t xml:space="preserve">億美元</t>
    </r>
  </si>
  <si>
    <t xml:space="preserve">q2_ninc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</si>
  <si>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利息與其他收益（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；扣除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萬美元公允價值調整）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</si>
  <si>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GAAP 13,577 </t>
    </r>
    <r>
      <rPr>
        <sz val="11"/>
        <color theme="1"/>
        <rFont val="Noto Sans CJK SC"/>
        <family val="2"/>
      </rPr>
      <t xml:space="preserve">千美元；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調整 −</t>
    </r>
    <r>
      <rPr>
        <sz val="11"/>
        <color theme="1"/>
        <rFont val="Calibri"/>
        <family val="2"/>
        <charset val="1"/>
      </rPr>
      <t xml:space="preserve">1,500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</si>
  <si>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：利息與其他收益 </t>
    </r>
    <r>
      <rPr>
        <sz val="11"/>
        <color theme="1"/>
        <rFont val="Calibri"/>
        <family val="2"/>
        <charset val="1"/>
      </rPr>
      <t xml:space="preserve">1,210 </t>
    </r>
    <r>
      <rPr>
        <sz val="11"/>
        <color theme="1"/>
        <rFont val="Noto Sans CJK SC"/>
        <family val="2"/>
      </rPr>
      <t xml:space="preserve">萬美元</t>
    </r>
  </si>
  <si>
    <t xml:space="preserve">q2_ni</t>
  </si>
  <si>
    <r>
      <rPr>
        <sz val="11"/>
        <color theme="1"/>
        <rFont val="Calibri"/>
        <family val="2"/>
        <charset val="1"/>
      </rPr>
      <t xml:space="preserve">2Q26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</si>
  <si>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145,816 </t>
    </r>
    <r>
      <rPr>
        <sz val="11"/>
        <color theme="1"/>
        <rFont val="Noto Sans CJK SC"/>
        <family val="2"/>
      </rPr>
      <t xml:space="preserve">千美元</t>
    </r>
  </si>
  <si>
    <r>
      <rPr>
        <sz val="11"/>
        <color theme="1"/>
        <rFont val="Calibri"/>
        <family val="2"/>
        <charset val="1"/>
      </rPr>
      <t xml:space="preserve">https://futurumgroup.com/insights/astera-labs-q2-fy-2026-earnings-pull-scorpio-switch-leadership-forward/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1.458 </t>
    </r>
    <r>
      <rPr>
        <sz val="11"/>
        <color theme="1"/>
        <rFont val="Noto Sans CJK SC"/>
        <family val="2"/>
      </rPr>
      <t xml:space="preserve">億美元</t>
    </r>
  </si>
  <si>
    <t xml:space="preserve">q2_sh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</si>
  <si>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</si>
  <si>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183,340 </t>
    </r>
    <r>
      <rPr>
        <sz val="11"/>
        <color theme="1"/>
        <rFont val="Noto Sans CJK SC"/>
        <family val="2"/>
      </rPr>
      <t xml:space="preserve">千股</t>
    </r>
  </si>
  <si>
    <t xml:space="preserve">q2_eps</t>
  </si>
  <si>
    <r>
      <rPr>
        <sz val="11"/>
        <color theme="1"/>
        <rFont val="Calibri"/>
        <family val="2"/>
        <charset val="1"/>
      </rPr>
      <t xml:space="preserve">2Q26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</si>
  <si>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</si>
  <si>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0.83</t>
    </r>
    <r>
      <rPr>
        <sz val="11"/>
        <color theme="1"/>
        <rFont val="Noto Sans CJK SC"/>
        <family val="2"/>
      </rPr>
      <t xml:space="preserve">，含所得稅利益）</t>
    </r>
  </si>
  <si>
    <r>
      <rPr>
        <sz val="11"/>
        <color theme="1"/>
        <rFont val="Calibri"/>
        <family val="2"/>
        <charset val="1"/>
      </rPr>
      <t xml:space="preserve">https://futurumgroup.com/insights/astera-labs-q2-fy-2026-earnings-pull-scorpio-switch-leadership-forward/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0.80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</si>
  <si>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</si>
  <si>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營收指引（中點；截至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</si>
  <si>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</si>
  <si>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5.40–5.60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Scorpio X 320 </t>
    </r>
    <r>
      <rPr>
        <sz val="11"/>
        <color theme="1"/>
        <rFont val="Noto Sans CJK SC"/>
        <family val="2"/>
      </rPr>
      <t xml:space="preserve">通道交換晶片量產）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</si>
  <si>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：同值，中點季增約 </t>
    </r>
    <r>
      <rPr>
        <sz val="11"/>
        <color theme="1"/>
        <rFont val="Calibri"/>
        <family val="2"/>
        <charset val="1"/>
      </rPr>
      <t xml:space="preserve">40%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</si>
  <si>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</si>
  <si>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non-GAAP </t>
    </r>
    <r>
      <rPr>
        <sz val="11"/>
        <color theme="1"/>
        <rFont val="Noto Sans CJK SC"/>
        <family val="2"/>
      </rPr>
      <t xml:space="preserve">毛利率指引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</si>
  <si>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72%</t>
    </r>
  </si>
  <si>
    <r>
      <rPr>
        <sz val="11"/>
        <color theme="1"/>
        <rFont val="Calibri"/>
        <family val="2"/>
        <charset val="1"/>
      </rPr>
      <t xml:space="preserve">https://futurumgroup.com/insights/astera-labs-q2-fy-2026-earnings-pull-scorpio-switch-leadership-forward/</t>
    </r>
    <r>
      <rPr>
        <sz val="11"/>
        <color theme="1"/>
        <rFont val="Noto Sans CJK SC"/>
        <family val="2"/>
      </rPr>
      <t xml:space="preserve">：硬體比重較高的交換晶片占比上升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</si>
  <si>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</si>
  <si>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non-GAAP </t>
    </r>
    <r>
      <rPr>
        <sz val="11"/>
        <color theme="1"/>
        <rFont val="Noto Sans CJK SC"/>
        <family val="2"/>
      </rPr>
      <t xml:space="preserve">營業費用指引（中點）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</si>
  <si>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1.56–1.60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</si>
  <si>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：同值</t>
    </r>
  </si>
  <si>
    <t xml:space="preserve">q3_eps</t>
  </si>
  <si>
    <r>
      <rPr>
        <sz val="11"/>
        <color theme="1"/>
        <rFont val="Calibri"/>
        <family val="2"/>
        <charset val="1"/>
      </rPr>
      <t xml:space="preserve">3Q26 non-GAAP EPS </t>
    </r>
    <r>
      <rPr>
        <sz val="11"/>
        <color theme="1"/>
        <rFont val="Noto Sans CJK SC"/>
        <family val="2"/>
      </rPr>
      <t xml:space="preserve">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</si>
  <si>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1.16–1.21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</si>
  <si>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：同值；稀釋股數約 </t>
    </r>
    <r>
      <rPr>
        <sz val="11"/>
        <color theme="1"/>
        <rFont val="Calibri"/>
        <family val="2"/>
        <charset val="1"/>
      </rPr>
      <t xml:space="preserve">1.85 </t>
    </r>
    <r>
      <rPr>
        <sz val="11"/>
        <color theme="1"/>
        <rFont val="Noto Sans CJK SC"/>
        <family val="2"/>
      </rPr>
      <t xml:space="preserve">億股</t>
    </r>
  </si>
  <si>
    <t xml:space="preserve">q3_sh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</si>
  <si>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稀釋股數指引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</si>
  <si>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1.85 </t>
    </r>
    <r>
      <rPr>
        <sz val="11"/>
        <color theme="1"/>
        <rFont val="Noto Sans CJK SC"/>
        <family val="2"/>
      </rPr>
      <t xml:space="preserve">億股</t>
    </r>
  </si>
  <si>
    <t xml:space="preserve">tx_26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</si>
  <si>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</si>
  <si>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non-GAAP </t>
    </r>
    <r>
      <rPr>
        <sz val="11"/>
        <color theme="1"/>
        <rFont val="Noto Sans CJK SC"/>
        <family val="2"/>
      </rPr>
      <t xml:space="preserve">稅率約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</si>
  <si>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推導約 </t>
    </r>
    <r>
      <rPr>
        <sz val="11"/>
        <color theme="1"/>
        <rFont val="Calibri"/>
        <family val="2"/>
        <charset val="1"/>
      </rPr>
      <t xml:space="preserve">11%</t>
    </r>
  </si>
  <si>
    <t xml:space="preserve">q_oth</t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</si>
  <si>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每季利息與其他收益</t>
    </r>
  </si>
  <si>
    <r>
      <rPr>
        <sz val="11"/>
        <color theme="1"/>
        <rFont val="Calibri"/>
        <family val="2"/>
        <charset val="1"/>
      </rPr>
      <t xml:space="preserve">2Q26 0.0121</t>
    </r>
    <r>
      <rPr>
        <sz val="11"/>
        <color theme="1"/>
        <rFont val="Noto Sans CJK SC"/>
        <family val="2"/>
      </rPr>
      <t xml:space="preserve">；現金與有價證券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</si>
  <si>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g_q4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</si>
  <si>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</si>
  <si>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公司未給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指引；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第二家以後客戶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年底起出貨（公司）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</si>
  <si>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：共識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6.557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6.09–7.38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，不作校準）</t>
    </r>
  </si>
  <si>
    <t xml:space="preserve">gm_q4</t>
  </si>
  <si>
    <r>
      <rPr>
        <sz val="11"/>
        <color theme="1"/>
        <rFont val="Calibri"/>
        <family val="2"/>
        <charset val="1"/>
      </rPr>
      <t xml:space="preserve">4Q26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</si>
  <si>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；公司長期目標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轉述）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</si>
  <si>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</si>
  <si>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</si>
  <si>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1.58 </t>
    </r>
    <r>
      <rPr>
        <sz val="11"/>
        <color theme="1"/>
        <rFont val="Noto Sans CJK SC"/>
        <family val="2"/>
      </rPr>
      <t xml:space="preserve">億美元；</t>
    </r>
    <r>
      <rPr>
        <sz val="11"/>
        <color theme="1"/>
        <rFont val="Calibri"/>
        <family val="2"/>
        <charset val="1"/>
      </rPr>
      <t xml:space="preserve">2Q→3Q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16%</t>
    </r>
  </si>
  <si>
    <t xml:space="preserve">q4_sh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</si>
  <si>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</si>
  <si>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1.85 </t>
    </r>
    <r>
      <rPr>
        <sz val="11"/>
        <color theme="1"/>
        <rFont val="Noto Sans CJK SC"/>
        <family val="2"/>
      </rPr>
      <t xml:space="preserve">億股；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認股權證最多 </t>
    </r>
    <r>
      <rPr>
        <sz val="11"/>
        <color theme="1"/>
        <rFont val="Calibri"/>
        <family val="2"/>
        <charset val="1"/>
      </rPr>
      <t xml:space="preserve">326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TIKR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</si>
  <si>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FY2024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）與股東權益</t>
    </r>
  </si>
  <si>
    <t xml:space="preserve">a24_rev_in</t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</si>
  <si>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營收</t>
    </r>
  </si>
  <si>
    <t xml:space="preserve">https://www.sec.gov/Archives/edgar/data/1736297/000173629726000005/q425exhibit991.htm</t>
  </si>
  <si>
    <r>
      <rPr>
        <sz val="11"/>
        <color theme="1"/>
        <rFont val="Calibri"/>
        <family val="2"/>
        <charset val="1"/>
      </rPr>
      <t xml:space="preserve">https://uk.marketscreener.com/quote/stock/ASTERA-LABS-INC-167508773/finances/</t>
    </r>
    <r>
      <rPr>
        <sz val="11"/>
        <color theme="1"/>
        <rFont val="Noto Sans CJK SC"/>
        <family val="2"/>
      </rPr>
      <t xml:space="preserve">：同值（</t>
    </r>
    <r>
      <rPr>
        <sz val="11"/>
        <color theme="1"/>
        <rFont val="Calibri"/>
        <family val="2"/>
        <charset val="1"/>
      </rPr>
      <t xml:space="preserve">396.3 </t>
    </r>
    <r>
      <rPr>
        <sz val="11"/>
        <color theme="1"/>
        <rFont val="Noto Sans CJK SC"/>
        <family val="2"/>
      </rPr>
      <t xml:space="preserve">百萬美元）</t>
    </r>
  </si>
  <si>
    <t xml:space="preserve">a24_gp_in</t>
  </si>
  <si>
    <r>
      <rPr>
        <sz val="11"/>
        <color theme="1"/>
        <rFont val="Calibri"/>
        <family val="2"/>
        <charset val="1"/>
      </rPr>
      <t xml:space="preserve">FY2024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</si>
  <si>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76.6%</t>
    </r>
  </si>
  <si>
    <t xml:space="preserve">a24_opx_in</t>
  </si>
  <si>
    <r>
      <rPr>
        <sz val="11"/>
        <color theme="1"/>
        <rFont val="Calibri"/>
        <family val="2"/>
        <charset val="1"/>
      </rPr>
      <t xml:space="preserve">FY2024 non-GAAP </t>
    </r>
    <r>
      <rPr>
        <sz val="11"/>
        <color theme="1"/>
        <rFont val="Noto Sans CJK SC"/>
        <family val="2"/>
      </rPr>
      <t xml:space="preserve">營業費用（＝毛利 − 營業利益）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</si>
  <si>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119,594 </t>
    </r>
    <r>
      <rPr>
        <sz val="11"/>
        <color theme="1"/>
        <rFont val="Noto Sans CJK SC"/>
        <family val="2"/>
      </rPr>
      <t xml:space="preserve">千美元</t>
    </r>
  </si>
  <si>
    <t xml:space="preserve">a24_ninc_in</t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</si>
  <si>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利息收入</t>
    </r>
  </si>
  <si>
    <t xml:space="preserve">a24_ni_in</t>
  </si>
  <si>
    <r>
      <rPr>
        <sz val="11"/>
        <color theme="1"/>
        <rFont val="Calibri"/>
        <family val="2"/>
        <charset val="1"/>
      </rPr>
      <t xml:space="preserve">FY2024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</si>
  <si>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擬制稀釋股數 </t>
    </r>
    <r>
      <rPr>
        <sz val="11"/>
        <color theme="1"/>
        <rFont val="Calibri"/>
        <family val="2"/>
        <charset val="1"/>
      </rPr>
      <t xml:space="preserve">168,913 </t>
    </r>
    <r>
      <rPr>
        <sz val="11"/>
        <color theme="1"/>
        <rFont val="Noto Sans CJK SC"/>
        <family val="2"/>
      </rPr>
      <t xml:space="preserve">千股（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上市前後）；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淨損 </t>
    </r>
    <r>
      <rPr>
        <sz val="11"/>
        <color theme="1"/>
        <rFont val="Calibri"/>
        <family val="2"/>
        <charset val="1"/>
      </rPr>
      <t xml:space="preserve">83,421</t>
    </r>
  </si>
  <si>
    <t xml:space="preserve">a24_sh_in</t>
  </si>
  <si>
    <r>
      <rPr>
        <sz val="11"/>
        <color theme="1"/>
        <rFont val="Calibri"/>
        <family val="2"/>
        <charset val="1"/>
      </rPr>
      <t xml:space="preserve">FY2024 non-GAAP </t>
    </r>
    <r>
      <rPr>
        <sz val="11"/>
        <color theme="1"/>
        <rFont val="Noto Sans CJK SC"/>
        <family val="2"/>
      </rPr>
      <t xml:space="preserve">稀釋股數</t>
    </r>
  </si>
  <si>
    <t xml:space="preserve">a24_eps_in</t>
  </si>
  <si>
    <r>
      <rPr>
        <sz val="11"/>
        <color theme="1"/>
        <rFont val="Calibri"/>
        <family val="2"/>
        <charset val="1"/>
      </rPr>
      <t xml:space="preserve">FY2024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</si>
  <si>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−0.64</t>
    </r>
    <r>
      <rPr>
        <sz val="11"/>
        <color theme="1"/>
        <rFont val="Noto Sans CJK SC"/>
        <family val="2"/>
      </rPr>
      <t xml:space="preserve">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</si>
  <si>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</si>
  <si>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</si>
  <si>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https://uk.marketscreener.com/quote/stock/ASTERA-LABS-INC-167508773/finances/</t>
    </r>
    <r>
      <rPr>
        <sz val="11"/>
        <color theme="1"/>
        <rFont val="Noto Sans CJK SC"/>
        <family val="2"/>
      </rPr>
      <t xml:space="preserve">：同值（</t>
    </r>
    <r>
      <rPr>
        <sz val="11"/>
        <color theme="1"/>
        <rFont val="Calibri"/>
        <family val="2"/>
        <charset val="1"/>
      </rPr>
      <t xml:space="preserve">852.5 </t>
    </r>
    <r>
      <rPr>
        <sz val="11"/>
        <color theme="1"/>
        <rFont val="Noto Sans CJK SC"/>
        <family val="2"/>
      </rPr>
      <t xml:space="preserve">百萬美元）</t>
    </r>
  </si>
  <si>
    <t xml:space="preserve">a25_gp_in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</si>
  <si>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</si>
  <si>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75.8%</t>
    </r>
  </si>
  <si>
    <t xml:space="preserve">a25_opx_in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</si>
  <si>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營業費用（＝毛利 − 營業利益）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</si>
  <si>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334,406 </t>
    </r>
    <r>
      <rPr>
        <sz val="11"/>
        <color theme="1"/>
        <rFont val="Noto Sans CJK SC"/>
        <family val="2"/>
      </rPr>
      <t xml:space="preserve">千美元</t>
    </r>
  </si>
  <si>
    <t xml:space="preserve">a25_ninc_in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</si>
  <si>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利息收入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</si>
  <si>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</si>
  <si>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</si>
  <si>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219,134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1.22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</si>
  <si>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</si>
  <si>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稀釋股數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</si>
  <si>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</si>
  <si>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</si>
  <si>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1.22</t>
    </r>
    <r>
      <rPr>
        <sz val="11"/>
        <color theme="1"/>
        <rFont val="Noto Sans CJK SC"/>
        <family val="2"/>
      </rPr>
      <t xml:space="preserve">）</t>
    </r>
  </si>
  <si>
    <t xml:space="preserve">a25_ni_h1</t>
  </si>
  <si>
    <r>
      <rPr>
        <sz val="11"/>
        <color theme="1"/>
        <rFont val="Calibri"/>
        <family val="2"/>
        <charset val="1"/>
      </rPr>
      <t xml:space="preserve">1H25 non-GAAP </t>
    </r>
    <r>
      <rPr>
        <sz val="11"/>
        <color theme="1"/>
        <rFont val="Noto Sans CJK SC"/>
        <family val="2"/>
      </rPr>
      <t xml:space="preserve">淨利（近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</si>
  <si>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1H25 137,650 </t>
    </r>
    <r>
      <rPr>
        <sz val="11"/>
        <color theme="1"/>
        <rFont val="Noto Sans CJK SC"/>
        <family val="2"/>
      </rPr>
      <t xml:space="preserve">千美元</t>
    </r>
  </si>
  <si>
    <t xml:space="preserve">eq_23</t>
  </si>
  <si>
    <r>
      <rPr>
        <sz val="11"/>
        <color theme="1"/>
        <rFont val="Noto Sans CJK SC"/>
        <family val="2"/>
      </rPr>
      <t xml:space="preserve">股東權益 </t>
    </r>
    <r>
      <rPr>
        <sz val="11"/>
        <color theme="1"/>
        <rFont val="Calibri"/>
        <family val="2"/>
        <charset val="1"/>
      </rPr>
      <t xml:space="preserve">2023-12-31</t>
    </r>
  </si>
  <si>
    <t xml:space="preserve">https://stockanalysis.com/stocks/alab/financials/balance-sheet/</t>
  </si>
  <si>
    <r>
      <rPr>
        <sz val="11"/>
        <color theme="1"/>
        <rFont val="Noto Sans CJK SC"/>
        <family val="2"/>
      </rPr>
      <t xml:space="preserve">上市前（</t>
    </r>
    <r>
      <rPr>
        <sz val="11"/>
        <color theme="1"/>
        <rFont val="Calibri"/>
        <family val="2"/>
        <charset val="1"/>
      </rPr>
      <t xml:space="preserve">2024-03 IPO</t>
    </r>
    <r>
      <rPr>
        <sz val="11"/>
        <color theme="1"/>
        <rFont val="Noto Sans CJK SC"/>
        <family val="2"/>
      </rPr>
      <t xml:space="preserve">）</t>
    </r>
  </si>
  <si>
    <t xml:space="preserve">eq_24</t>
  </si>
  <si>
    <r>
      <rPr>
        <sz val="11"/>
        <color theme="1"/>
        <rFont val="Noto Sans CJK SC"/>
        <family val="2"/>
      </rPr>
      <t xml:space="preserve">股東權益 </t>
    </r>
    <r>
      <rPr>
        <sz val="11"/>
        <color theme="1"/>
        <rFont val="Calibri"/>
        <family val="2"/>
        <charset val="1"/>
      </rPr>
      <t xml:space="preserve">2024-12-31</t>
    </r>
  </si>
  <si>
    <t xml:space="preserve">eq_25</t>
  </si>
  <si>
    <r>
      <rPr>
        <sz val="11"/>
        <color theme="1"/>
        <rFont val="Noto Sans CJK SC"/>
        <family val="2"/>
      </rPr>
      <t xml:space="preserve">股東權益 </t>
    </r>
    <r>
      <rPr>
        <sz val="11"/>
        <color theme="1"/>
        <rFont val="Calibri"/>
        <family val="2"/>
        <charset val="1"/>
      </rPr>
      <t xml:space="preserve">2025-12-31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</si>
  <si>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1,363,634 </t>
    </r>
    <r>
      <rPr>
        <sz val="11"/>
        <color theme="1"/>
        <rFont val="Noto Sans CJK SC"/>
        <family val="2"/>
      </rPr>
      <t xml:space="preserve">千美元</t>
    </r>
  </si>
  <si>
    <t xml:space="preserve">eq_q2</t>
  </si>
  <si>
    <r>
      <rPr>
        <sz val="11"/>
        <color theme="1"/>
        <rFont val="Noto Sans CJK SC"/>
        <family val="2"/>
      </rPr>
      <t xml:space="preserve">股東權益 </t>
    </r>
    <r>
      <rPr>
        <sz val="11"/>
        <color theme="1"/>
        <rFont val="Calibri"/>
        <family val="2"/>
        <charset val="1"/>
      </rPr>
      <t xml:space="preserve">2026-06-30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</si>
  <si>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1,725,704 </t>
    </r>
    <r>
      <rPr>
        <sz val="11"/>
        <color theme="1"/>
        <rFont val="Noto Sans CJK SC"/>
        <family val="2"/>
      </rPr>
      <t xml:space="preserve">千美元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</si>
  <si>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營業費用、毛利率、稅率、股數（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</si>
  <si>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</si>
  <si>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</si>
  <si>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</si>
  <si>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69.6% ÷ 115.1%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Noto Sans CJK SC"/>
        <family val="2"/>
      </rPr>
      <t xml:space="preserve">（推導）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</si>
  <si>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</si>
  <si>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</si>
  <si>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</si>
  <si>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</si>
  <si>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gm_27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</si>
  <si>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</si>
  <si>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：長期毛利率目標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</si>
  <si>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FY2024 76.6%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75.8%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（交換晶片硬體占比上升）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</si>
  <si>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</si>
  <si>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</si>
  <si>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</si>
  <si>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</si>
  <si>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t xml:space="preserve">同上；競爭者增加時價格下壓</t>
  </si>
  <si>
    <t xml:space="preserve">oth_f</t>
  </si>
  <si>
    <r>
      <rPr>
        <sz val="11"/>
        <color theme="1"/>
        <rFont val="Noto Sans CJK SC"/>
        <family val="2"/>
      </rPr>
      <t xml:space="preserve">利息與其他收益（每年，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</si>
  <si>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現金與有價證券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</si>
  <si>
    <t xml:space="preserve">tx_27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</si>
  <si>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</si>
  <si>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稅率約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</si>
  <si>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12.7%</t>
    </r>
  </si>
  <si>
    <t xml:space="preserve">tx_28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</si>
  <si>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FY2028</t>
    </r>
  </si>
  <si>
    <t xml:space="preserve">tx_29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</si>
  <si>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FY2029</t>
    </r>
  </si>
  <si>
    <t xml:space="preserve">sh_g</t>
  </si>
  <si>
    <r>
      <rPr>
        <sz val="11"/>
        <color theme="1"/>
        <rFont val="Noto Sans CJK SC"/>
        <family val="2"/>
      </rPr>
      <t xml:space="preserve">股數年變動（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</si>
  <si>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FY2025→1H26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179.6→183.3 </t>
    </r>
    <r>
      <rPr>
        <sz val="11"/>
        <color theme="1"/>
        <rFont val="Noto Sans CJK SC"/>
        <family val="2"/>
      </rPr>
      <t xml:space="preserve">百萬股；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股票薪酬 </t>
    </r>
    <r>
      <rPr>
        <sz val="11"/>
        <color theme="1"/>
        <rFont val="Calibri"/>
        <family val="2"/>
        <charset val="1"/>
      </rPr>
      <t xml:space="preserve">1.13 </t>
    </r>
    <r>
      <rPr>
        <sz val="11"/>
        <color theme="1"/>
        <rFont val="Noto Sans CJK SC"/>
        <family val="2"/>
      </rPr>
      <t xml:space="preserve">億美元</t>
    </r>
  </si>
  <si>
    <t xml:space="preserve">買回計畫：未找到</t>
  </si>
  <si>
    <t xml:space="preserve">mf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</si>
  <si>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</si>
  <si>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 </t>
    </r>
    <r>
      <rPr>
        <sz val="11"/>
        <color theme="1"/>
        <rFont val="Calibri"/>
        <family val="2"/>
        <charset val="1"/>
      </rPr>
      <t xml:space="preserve">+279%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改機架）、</t>
    </r>
    <r>
      <rPr>
        <sz val="11"/>
        <color theme="1"/>
        <rFont val="Calibri"/>
        <family val="2"/>
        <charset val="1"/>
      </rPr>
      <t xml:space="preserve">CY2028 +23%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+15%</t>
    </r>
  </si>
  <si>
    <r>
      <rPr>
        <sz val="11"/>
        <color theme="1"/>
        <rFont val="Calibri"/>
        <family val="2"/>
        <charset val="1"/>
      </rPr>
      <t xml:space="preserve">±20%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NVLink Fusion</t>
    </r>
    <r>
      <rPr>
        <sz val="11"/>
        <color theme="1"/>
        <rFont val="Noto Sans CJK SC"/>
        <family val="2"/>
      </rPr>
      <t xml:space="preserve">、乙太網路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搶占 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架構）</t>
    </r>
  </si>
  <si>
    <t xml:space="preserve">g2n</t>
  </si>
  <si>
    <r>
      <rPr>
        <sz val="11"/>
        <color theme="1"/>
        <rFont val="Calibri"/>
        <family val="2"/>
        <charset val="1"/>
      </rPr>
      <t xml:space="preserve">GAAP EPS ÷ non-GAAP EPS</t>
    </r>
    <r>
      <rPr>
        <sz val="11"/>
        <color theme="1"/>
        <rFont val="Noto Sans CJK SC"/>
        <family val="2"/>
      </rPr>
      <t xml:space="preserve">（規則值換算用）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</si>
  <si>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GAAP 1.22 ÷ non-GAAP 1.84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0.66</t>
    </r>
  </si>
  <si>
    <r>
      <rPr>
        <sz val="11"/>
        <color theme="1"/>
        <rFont val="Calibri"/>
        <family val="2"/>
        <charset val="1"/>
      </rPr>
      <t xml:space="preserve">https://uk.marketscreener.com/quote/stock/ASTERA-LABS-INC-167508773/finances/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GAAP 4.75 ÷ Yahoo non-GAAP 6.40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0.74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</si>
  <si>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</si>
  <si>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cons_q3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</si>
  <si>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</si>
  <si>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5.457–5.570</t>
    </r>
    <r>
      <rPr>
        <sz val="11"/>
        <color theme="1"/>
        <rFont val="Noto Sans CJK SC"/>
        <family val="2"/>
      </rPr>
      <t xml:space="preserve">）</t>
    </r>
  </si>
  <si>
    <t xml:space="preserve">cons_q4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</si>
  <si>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</si>
  <si>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6.091–7.379</t>
    </r>
    <r>
      <rPr>
        <sz val="11"/>
        <color theme="1"/>
        <rFont val="Noto Sans CJK SC"/>
        <family val="2"/>
      </rPr>
      <t xml:space="preserve">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</si>
  <si>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</si>
  <si>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</si>
  <si>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1.86–1.99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</si>
  <si>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https://stockanalysis.com/stocks/alab/forecast/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家）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</si>
  <si>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</si>
  <si>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non-GAAP EPS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</si>
  <si>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3.90–4.33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</si>
  <si>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https://stockanalysis.com/stocks/alab/forecast/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4.03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</si>
  <si>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</si>
  <si>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</si>
  <si>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2.19–3.68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</si>
  <si>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https://uk.marketscreener.com/quote/stock/ASTERA-LABS-INC-167508773/finances/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2.976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</si>
  <si>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</si>
  <si>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</si>
  <si>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4.35–8.80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</si>
  <si>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）：未找到；</t>
    </r>
    <r>
      <rPr>
        <sz val="11"/>
        <color theme="1"/>
        <rFont val="Calibri"/>
        <family val="2"/>
        <charset val="1"/>
      </rPr>
      <t xml:space="preserve">MarketScreener GAAP 4.749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</si>
  <si>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</si>
  <si>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</si>
  <si>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家）</t>
    </r>
  </si>
  <si>
    <t xml:space="preserve">第二來源：未找到</t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</si>
  <si>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</si>
  <si>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non-GAAP EPS</t>
    </r>
    <r>
      <rPr>
        <sz val="11"/>
        <color theme="1"/>
        <rFont val="Noto Sans CJK SC"/>
        <family val="2"/>
      </rPr>
      <t xml:space="preserve">（推導＝</t>
    </r>
    <r>
      <rPr>
        <sz val="11"/>
        <color theme="1"/>
        <rFont val="Calibri"/>
        <family val="2"/>
        <charset val="1"/>
      </rPr>
      <t xml:space="preserve">MarketScreener GAAP 6.36 × FY2027 non-GAAP ÷ 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</si>
  <si>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FY2028 GAAP EPS 6.36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4.749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</si>
  <si>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non-GAAP FY2028 </t>
    </r>
    <r>
      <rPr>
        <sz val="11"/>
        <color theme="1"/>
        <rFont val="Noto Sans CJK SC"/>
        <family val="2"/>
      </rPr>
      <t xml:space="preserve">共識：未找到（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</si>
  <si>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tp_street</t>
  </si>
  <si>
    <t xml:space="preserve">賣方平均目標價</t>
  </si>
  <si>
    <r>
      <rPr>
        <sz val="11"/>
        <color theme="1"/>
        <rFont val="Calibri"/>
        <family val="2"/>
        <charset val="1"/>
      </rPr>
      <t xml:space="preserve">https://stockanalysis.com/stocks/alab/forecast/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家，資料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190–500</t>
    </r>
    <r>
      <rPr>
        <sz val="11"/>
        <color theme="1"/>
        <rFont val="Noto Sans CJK SC"/>
        <family val="2"/>
      </rPr>
      <t xml:space="preserve">；中位數 </t>
    </r>
    <r>
      <rPr>
        <sz val="11"/>
        <color theme="1"/>
        <rFont val="Calibri"/>
        <family val="2"/>
        <charset val="1"/>
      </rPr>
      <t xml:space="preserve">425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</si>
  <si>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https://www.tickflow.io/stock/ALAB/forecast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370.42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家；頁面數字前後不一致）</t>
    </r>
  </si>
  <si>
    <t xml:space="preserve">tam_su</t>
  </si>
  <si>
    <r>
      <rPr>
        <sz val="11"/>
        <color theme="1"/>
        <rFont val="Noto Sans CJK SC"/>
        <family val="2"/>
      </rPr>
      <t xml:space="preserve">公司估計：商用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交換晶片市場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</si>
  <si>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年每年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億美元（公司）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</si>
  <si>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</si>
  <si>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</si>
  <si>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</si>
  <si>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</si>
  <si>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</si>
  <si>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</si>
  <si>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</si>
  <si>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</si>
  <si>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</si>
  <si>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</si>
  <si>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</si>
  <si>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</si>
  <si>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https://stockanalysis.com/stocks/alab/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257.16</t>
    </r>
    <r>
      <rPr>
        <sz val="11"/>
        <color theme="1"/>
        <rFont val="Noto Sans CJK SC"/>
        <family val="2"/>
      </rPr>
      <t xml:space="preserve">（市值 </t>
    </r>
    <r>
      <rPr>
        <sz val="11"/>
        <color theme="1"/>
        <rFont val="Calibri"/>
        <family val="2"/>
        <charset val="1"/>
      </rPr>
      <t xml:space="preserve">446.1 </t>
    </r>
    <r>
      <rPr>
        <sz val="11"/>
        <color theme="1"/>
        <rFont val="Noto Sans CJK SC"/>
        <family val="2"/>
      </rPr>
      <t xml:space="preserve">億美元）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</si>
  <si>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257.16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</si>
  <si>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</si>
  <si>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</si>
  <si>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https://stockanalysis.com/stocks/alab/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97.89–499.48</t>
    </r>
  </si>
  <si>
    <t xml:space="preserve">sh_out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</si>
  <si>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</si>
  <si>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https://stockanalysis.com/stocks/alab/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173.49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</si>
  <si>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https://www.sec.gov/Archives/edgar/data/1736297/000173629726000010/alab-20251231.htm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170,214,503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，公司）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</si>
  <si>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</si>
  <si>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</si>
  <si>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</si>
  <si>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</si>
  <si>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</si>
  <si>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</si>
  <si>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</si>
  <si>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</si>
  <si>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</si>
  <si>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平均股東權益，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月〔至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〕三期平均；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</si>
  <si>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公司新聞稿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StockAnalysis </t>
    </r>
    <r>
      <rPr>
        <sz val="11"/>
        <color theme="1"/>
        <rFont val="Noto Sans CJK SC"/>
        <family val="2"/>
      </rPr>
      <t xml:space="preserve">年底股東權益（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權益因 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上市大增）</t>
    </r>
  </si>
  <si>
    <r>
      <rPr>
        <sz val="11"/>
        <color theme="1"/>
        <rFont val="Noto Sans CJK SC"/>
        <family val="2"/>
      </rPr>
      <t xml:space="preserve">參考（不採）：</t>
    </r>
    <r>
      <rPr>
        <sz val="11"/>
        <color theme="1"/>
        <rFont val="Calibri"/>
        <family val="2"/>
        <charset val="1"/>
      </rPr>
      <t xml:space="preserve">GAAP ROE stockanalysis FY2025 18.82%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25.83%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</si>
  <si>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</si>
  <si>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</si>
  <si>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</si>
  <si>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</si>
  <si>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</si>
  <si>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</si>
  <si>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</si>
  <si>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</si>
  <si>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</si>
  <si>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</si>
  <si>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</si>
  <si>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</si>
  <si>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</si>
  <si>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</si>
  <si>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</si>
  <si>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</si>
  <si>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，與本模型同口徑）：未找到（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上市，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年以前虧損），依工作單以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</si>
  <si>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</si>
  <si>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</si>
  <si>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</si>
  <si>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</si>
  <si>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</si>
  <si>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Noto Sans CJK SC"/>
        <family val="2"/>
      </rPr>
      <t xml:space="preserve">賣方平均目標價（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tp_street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26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388.36</t>
    </r>
    <r>
      <rPr>
        <sz val="11"/>
        <color theme="1"/>
        <rFont val="Noto Sans CJK SC"/>
        <family val="2"/>
      </rPr>
      <t xml:space="preserve">，資料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</si>
  <si>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Tickflow 24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370.42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</si>
  <si>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</si>
  <si>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 </t>
    </r>
    <r>
      <rPr>
        <sz val="11"/>
        <color theme="1"/>
        <rFont val="Noto Sans CJK SC"/>
        <family val="2"/>
      </rPr>
      <t xml:space="preserve">共識）</t>
    </r>
  </si>
  <si>
    <r>
      <rPr>
        <sz val="11"/>
        <color theme="1"/>
        <rFont val="Calibri"/>
        <family val="2"/>
        <charset val="1"/>
      </rPr>
      <t xml:space="preserve">Yahoo FY2027 6.40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為推導值（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</si>
  <si>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</si>
  <si>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）。藍字＝輸入；黑字＝公式。會計年度＝日曆年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</si>
  <si>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指引中點（營收 </t>
    </r>
    <r>
      <rPr>
        <sz val="11"/>
        <color theme="1"/>
        <rFont val="Calibri"/>
        <family val="2"/>
        <charset val="1"/>
      </rPr>
      <t xml:space="preserve">5.50 </t>
    </r>
    <r>
      <rPr>
        <sz val="11"/>
        <color theme="1"/>
        <rFont val="Noto Sans CJK SC"/>
        <family val="2"/>
      </rPr>
      <t xml:space="preserve">億美元、毛利率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、營業費用 </t>
    </r>
    <r>
      <rPr>
        <sz val="11"/>
        <color theme="1"/>
        <rFont val="Calibri"/>
        <family val="2"/>
        <charset val="1"/>
      </rPr>
      <t xml:space="preserve">1.58 </t>
    </r>
    <r>
      <rPr>
        <sz val="11"/>
        <color theme="1"/>
        <rFont val="Noto Sans CJK SC"/>
        <family val="2"/>
      </rPr>
      <t xml:space="preserve">億美元）＋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（季增 </t>
    </r>
    <r>
      <rPr>
        <sz val="11"/>
        <color theme="1"/>
        <rFont val="Calibri"/>
        <family val="2"/>
        <charset val="1"/>
      </rPr>
      <t xml:space="preserve">g_q4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gm_q4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）。產品線拆分（</t>
    </r>
    <r>
      <rPr>
        <sz val="11"/>
        <color theme="1"/>
        <rFont val="Calibri"/>
        <family val="2"/>
        <charset val="1"/>
      </rPr>
      <t xml:space="preserve">Scorpio X</t>
    </r>
    <r>
      <rPr>
        <sz val="11"/>
        <color theme="1"/>
        <rFont val="Noto Sans CJK SC"/>
        <family val="2"/>
      </rPr>
      <t xml:space="preserve">）為假設，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與訊號調節為殘差。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）公布後以實績取代 </t>
    </r>
    <r>
      <rPr>
        <sz val="11"/>
        <color theme="1"/>
        <rFont val="Calibri"/>
        <family val="2"/>
        <charset val="1"/>
      </rPr>
      <t xml:space="preserve">3Q</t>
    </r>
  </si>
  <si>
    <t xml:space="preserve">FY2024A</t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</si>
  <si>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</si>
  <si>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</si>
  <si>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</si>
  <si>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</si>
  <si>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</si>
  <si>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</si>
  <si>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</si>
  <si>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</si>
  <si>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</si>
  <si>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3Q26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</si>
  <si>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毛利（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</si>
  <si>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</si>
  <si>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毛利率</t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</si>
  <si>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</si>
  <si>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營業費用率</t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</si>
  <si>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</si>
  <si>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利息與其他收益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</si>
  <si>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</si>
  <si>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稅前利益</t>
  </si>
  <si>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</si>
  <si>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實績＝稅前 − 淨利（推導）</t>
  </si>
  <si>
    <t xml:space="preserve">有效稅率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</si>
  <si>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</si>
  <si>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</si>
  <si>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Noto Sans CJK SC"/>
        <family val="2"/>
      </rPr>
      <t xml:space="preserve">稀釋股數（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</si>
  <si>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全年＝四季平均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</si>
  <si>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</si>
  <si>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公司揭露：</t>
    </r>
    <r>
      <rPr>
        <sz val="11"/>
        <color theme="1"/>
        <rFont val="Calibri"/>
        <family val="2"/>
        <charset val="1"/>
      </rPr>
      <t xml:space="preserve">FY2024 0.84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1.84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0.61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0.80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1.16–1.21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</si>
  <si>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</si>
  <si>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與訊號調節（</t>
    </r>
    <r>
      <rPr>
        <sz val="11"/>
        <color theme="1"/>
        <rFont val="Calibri"/>
        <family val="2"/>
        <charset val="1"/>
      </rPr>
      <t xml:space="preserve">Aries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Scorpio 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Taurus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Leo</t>
    </r>
    <r>
      <rPr>
        <sz val="11"/>
        <color theme="1"/>
        <rFont val="Noto Sans CJK SC"/>
        <family val="2"/>
      </rPr>
      <t xml:space="preserve">）＝營收 − </t>
    </r>
    <r>
      <rPr>
        <sz val="11"/>
        <color theme="1"/>
        <rFont val="Calibri"/>
        <family val="2"/>
        <charset val="1"/>
      </rPr>
      <t xml:space="preserve">Scorpio X</t>
    </r>
    <r>
      <rPr>
        <sz val="11"/>
        <color theme="1"/>
        <rFont val="Noto Sans CJK SC"/>
        <family val="2"/>
      </rPr>
      <t xml:space="preserve">（殘差）</t>
    </r>
  </si>
  <si>
    <r>
      <rPr>
        <sz val="11"/>
        <color theme="1"/>
        <rFont val="Calibri"/>
        <family val="2"/>
        <charset val="1"/>
      </rPr>
      <t xml:space="preserve">Scorpio X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</si>
  <si>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Scorpio 3Q26 </t>
    </r>
    <r>
      <rPr>
        <sz val="11"/>
        <color theme="1"/>
        <rFont val="Noto Sans CJK SC"/>
        <family val="2"/>
      </rPr>
      <t xml:space="preserve">成為最大產品線、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P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</si>
  <si>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</si>
  <si>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</si>
  <si>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</si>
  <si>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</si>
  <si>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</si>
  <si>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</si>
  <si>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0.80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</si>
  <si>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1.185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</si>
  <si>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</si>
  <si>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Units — Astera Labs </t>
    </r>
    <r>
      <rPr>
        <sz val="11"/>
        <color theme="1"/>
        <rFont val="Noto Sans CJK SC"/>
        <family val="2"/>
      </rPr>
      <t xml:space="preserve">在非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交換晶片（</t>
    </r>
    <r>
      <rPr>
        <sz val="11"/>
        <color theme="1"/>
        <rFont val="Calibri"/>
        <family val="2"/>
        <charset val="1"/>
      </rPr>
      <t xml:space="preserve">Scorpio X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PCIe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CXL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每顆內容；日曆年＝會計年度）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</si>
  <si>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</si>
  <si>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</si>
  <si>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</si>
  <si>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</si>
  <si>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交換晶片市場合計（含 </t>
    </r>
    <r>
      <rPr>
        <sz val="11"/>
        <color theme="1"/>
        <rFont val="Calibri"/>
        <family val="2"/>
        <charset val="1"/>
      </rPr>
      <t xml:space="preserve">NVIDIA NVLink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</si>
  <si>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頁「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交換晶片」</t>
    </r>
  </si>
  <si>
    <r>
      <rPr>
        <sz val="11"/>
        <color theme="1"/>
        <rFont val="Noto Sans CJK SC"/>
        <family val="2"/>
      </rPr>
      <t xml:space="preserve">  其中非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可服務市場）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</si>
  <si>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</si>
  <si>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Calibri"/>
        <family val="2"/>
        <charset val="1"/>
      </rPr>
      <t xml:space="preserve">Astera Scorpio X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</si>
  <si>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為假設（公司未揭露）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</si>
  <si>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</si>
  <si>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</si>
  <si>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Scorpio X ÷ scale-up </t>
    </r>
    <r>
      <rPr>
        <sz val="11"/>
        <color theme="1"/>
        <rFont val="Noto Sans CJK SC"/>
        <family val="2"/>
      </rPr>
      <t xml:space="preserve">交換晶片合計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</si>
  <si>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NVIDIA NVLink </t>
    </r>
    <r>
      <rPr>
        <sz val="11"/>
        <color theme="1"/>
        <rFont val="Noto Sans CJK SC"/>
        <family val="2"/>
      </rPr>
      <t xml:space="preserve">的分母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</si>
  <si>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每顆非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加速器營收（美元／顆）</t>
    </r>
  </si>
  <si>
    <r>
      <rPr>
        <sz val="11"/>
        <color theme="1"/>
        <rFont val="Noto Sans CJK SC"/>
        <family val="2"/>
      </rPr>
      <t xml:space="preserve">公司：現有設計案每顆加速器內容逾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美元（採用該平台者）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</si>
  <si>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</si>
  <si>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</si>
  <si>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Astera PCIe </t>
    </r>
    <r>
      <rPr>
        <sz val="11"/>
        <color theme="1"/>
        <rFont val="Noto Sans CJK SC"/>
        <family val="2"/>
      </rPr>
      <t xml:space="preserve">與訊號調節營收（情境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</si>
  <si>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為錨點殘差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</si>
  <si>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等每顆加速器營收（美元／顆）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</si>
  <si>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c_pcie × </t>
    </r>
    <r>
      <rPr>
        <sz val="11"/>
        <color theme="1"/>
        <rFont val="Noto Sans CJK SC"/>
        <family val="2"/>
      </rPr>
      <t xml:space="preserve">有效份額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</si>
  <si>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c_pcie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</si>
  <si>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c_pcie 250 </t>
    </r>
    <r>
      <rPr>
        <sz val="11"/>
        <color theme="1"/>
        <rFont val="Noto Sans CJK SC"/>
        <family val="2"/>
      </rPr>
      <t xml:space="preserve">美元／顆（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</si>
  <si>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</si>
  <si>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</si>
  <si>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Scorpio X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營收為假設（公司未揭露產品線），</t>
    </r>
    <r>
      <rPr>
        <b val="true"/>
        <sz val="11"/>
        <rFont val="Cambria"/>
        <family val="0"/>
        <charset val="1"/>
      </rPr>
      <t xml:space="preserve">PCIe </t>
    </r>
    <r>
      <rPr>
        <b val="true"/>
        <sz val="11"/>
        <rFont val="Noto Sans CJK SC"/>
        <family val="2"/>
      </rPr>
      <t xml:space="preserve">等為殘差；兩者的份額相對值是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，是最需要每季檢查的輸入。每顆加速器營收 ＝ </t>
    </r>
    <r>
      <rPr>
        <b val="true"/>
        <sz val="11"/>
        <rFont val="Cambria"/>
        <family val="0"/>
        <charset val="1"/>
      </rPr>
      <t xml:space="preserve">Astera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顆數，可直接與公司「每顆逾 </t>
    </r>
    <r>
      <rPr>
        <b val="true"/>
        <sz val="11"/>
        <rFont val="Cambria"/>
        <family val="0"/>
        <charset val="1"/>
      </rPr>
      <t xml:space="preserve">1,000 </t>
    </r>
    <r>
      <rPr>
        <b val="true"/>
        <sz val="11"/>
        <rFont val="Noto Sans CJK SC"/>
        <family val="2"/>
      </rPr>
      <t xml:space="preserve">美元」的說法對照。</t>
    </r>
  </si>
  <si>
    <r>
      <rPr>
        <sz val="11"/>
        <color theme="1"/>
        <rFont val="Calibri"/>
        <family val="2"/>
        <charset val="1"/>
      </rPr>
      <t xml:space="preserve">PL — Astera Labs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起為模型。會計年度＝日曆年。三情境各一個完整推導區塊（本頁下方），頂端為摘要。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起），差異在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</si>
  <si>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</si>
  <si>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</si>
  <si>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</si>
  <si>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</si>
  <si>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</si>
  <si>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</si>
  <si>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</si>
  <si>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Scorpio X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</si>
  <si>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PCIe </t>
    </r>
    <r>
      <rPr>
        <sz val="11"/>
        <color theme="1"/>
        <rFont val="Noto Sans CJK SC"/>
        <family val="2"/>
      </rPr>
      <t xml:space="preserve">與訊號調節營收</t>
    </r>
  </si>
  <si>
    <t xml:space="preserve">營業利益率</t>
  </si>
  <si>
    <t xml:space="preserve">淨利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</si>
  <si>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</si>
  <si>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</si>
  <si>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</si>
  <si>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模型營收、</t>
    </r>
    <r>
      <rPr>
        <b val="true"/>
        <sz val="11"/>
        <rFont val="Cambria"/>
        <family val="0"/>
        <charset val="1"/>
      </rPr>
      <t xml:space="preserve">Scorpio X </t>
    </r>
    <r>
      <rPr>
        <b val="true"/>
        <sz val="11"/>
        <rFont val="Noto Sans CJK SC"/>
        <family val="2"/>
      </rPr>
      <t xml:space="preserve">營收、淨利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</si>
  <si>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</si>
  <si>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營收 − 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</si>
  <si>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：（營業利益＋其他收益）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稅率）− 淨利錨點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</si>
  <si>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：順利（顆數係數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</si>
  <si>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Scorpio X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；市場為日曆年＝會計年度）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</si>
  <si>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</si>
  <si>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交換晶片內容（網通模型）；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起乘顆數係數</t>
    </r>
  </si>
  <si>
    <r>
      <rPr>
        <sz val="11"/>
        <color theme="1"/>
        <rFont val="Calibri"/>
        <family val="2"/>
        <charset val="1"/>
      </rPr>
      <t xml:space="preserve">Astera Scorpio X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</si>
  <si>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</si>
  <si>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</t>
    </r>
  </si>
  <si>
    <r>
      <rPr>
        <b val="true"/>
        <sz val="11"/>
        <rFont val="Cambria"/>
        <family val="0"/>
        <charset val="1"/>
      </rPr>
      <t xml:space="preserve">B. PCIe </t>
    </r>
    <r>
      <rPr>
        <b val="true"/>
        <sz val="11"/>
        <rFont val="Noto Sans CJK SC"/>
        <family val="2"/>
      </rPr>
      <t xml:space="preserve">與訊號調節（</t>
    </r>
    <r>
      <rPr>
        <b val="true"/>
        <sz val="11"/>
        <rFont val="Cambria"/>
        <family val="0"/>
        <charset val="1"/>
      </rPr>
      <t xml:space="preserve">Aries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Scorpio P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Taurus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Leo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</si>
  <si>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</si>
  <si>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PCIe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CXL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可服務市場＝顆數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每顆內容（</t>
    </r>
    <r>
      <rPr>
        <sz val="11"/>
        <color theme="1"/>
        <rFont val="Calibri"/>
        <family val="2"/>
        <charset val="1"/>
      </rPr>
      <t xml:space="preserve">c_pcie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</si>
  <si>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c_pcie </t>
    </r>
    <r>
      <rPr>
        <sz val="11"/>
        <color theme="1"/>
        <rFont val="Noto Sans CJK SC"/>
        <family val="2"/>
      </rPr>
      <t xml:space="preserve">只影響份額顯示，校準時抵銷</t>
    </r>
  </si>
  <si>
    <r>
      <rPr>
        <sz val="11"/>
        <color theme="1"/>
        <rFont val="Calibri"/>
        <family val="2"/>
        <charset val="1"/>
      </rPr>
      <t xml:space="preserve">Astera PCIe </t>
    </r>
    <r>
      <rPr>
        <sz val="11"/>
        <color theme="1"/>
        <rFont val="Noto Sans CJK SC"/>
        <family val="2"/>
      </rPr>
      <t xml:space="preserve">等有效份額（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可服務市場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</si>
  <si>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等有效份額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</si>
  <si>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與訊號調節營收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</si>
  <si>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合計</t>
    </r>
  </si>
  <si>
    <t xml:space="preserve">營收年增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</si>
  <si>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</si>
  <si>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起為輸入路徑（公司長期目標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；交換晶片硬體占比上升）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</si>
  <si>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</si>
  <si>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</si>
  <si>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</si>
  <si>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</si>
  <si>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稅率約 </t>
    </r>
    <r>
      <rPr>
        <sz val="11"/>
        <color theme="1"/>
        <rFont val="Calibri"/>
        <family val="2"/>
        <charset val="1"/>
      </rPr>
      <t xml:space="preserve">12%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</si>
  <si>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</si>
  <si>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</si>
  <si>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：平平（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</si>
  <si>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：不如預期（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</si>
  <si>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</t>
    </r>
    <r>
      <rPr>
        <sz val="11"/>
        <color theme="1"/>
        <rFont val="Calibri"/>
        <family val="2"/>
        <charset val="1"/>
      </rPr>
      <t xml:space="preserve">Astera Labs 2024-03 </t>
    </r>
    <r>
      <rPr>
        <sz val="11"/>
        <color theme="1"/>
        <rFont val="Noto Sans CJK SC"/>
        <family val="2"/>
      </rPr>
      <t xml:space="preserve">上市，年底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2024–2025</t>
    </r>
    <r>
      <rPr>
        <sz val="11"/>
        <color theme="1"/>
        <rFont val="Noto Sans CJK SC"/>
        <family val="2"/>
      </rPr>
      <t xml:space="preserve">，且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為虧損（負值，不用）：規則值只有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年一個觀測值（兩個來源）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</si>
  <si>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Astera Labs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仍在增加時，見頂年未知，判為中段。規則值基準＝</t>
    </r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× g2n</t>
    </r>
    <r>
      <rPr>
        <sz val="11"/>
        <color theme="1"/>
        <rFont val="Noto Sans CJK SC"/>
        <family val="2"/>
      </rPr>
      <t xml:space="preserve">），與年底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的計算口徑一致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</si>
  <si>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</si>
  <si>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</si>
  <si>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</si>
  <si>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</si>
  <si>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</si>
  <si>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</si>
  <si>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</si>
  <si>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</si>
  <si>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</si>
  <si>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</si>
  <si>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</si>
  <si>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</si>
  <si>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</si>
  <si>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</si>
  <si>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</si>
  <si>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</si>
  <si>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</si>
  <si>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</si>
  <si>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</si>
  <si>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</si>
  <si>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</si>
  <si>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</si>
  <si>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</si>
  <si>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</si>
  <si>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</si>
  <si>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</si>
  <si>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</si>
  <si>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Credo</t>
  </si>
  <si>
    <t xml:space="preserve">CRDO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</si>
  <si>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</si>
  <si>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</si>
  <si>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Marvell</t>
  </si>
  <si>
    <t xml:space="preserve">MRVL</t>
  </si>
  <si>
    <t xml:space="preserve">Broadcom</t>
  </si>
  <si>
    <t xml:space="preserve">AVGO</t>
  </si>
  <si>
    <t xml:space="preserve">Rambus</t>
  </si>
  <si>
    <t xml:space="preserve">RMBS</t>
  </si>
  <si>
    <t xml:space="preserve">MACOM</t>
  </si>
  <si>
    <t xml:space="preserve">MTSI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</si>
  <si>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</si>
  <si>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美股高速連接晶片同業（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Rambus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列名競爭者為主；不放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</si>
  <si>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</si>
  <si>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</si>
  <si>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</si>
  <si>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</si>
  <si>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</si>
  <si>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</si>
  <si>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</si>
  <si>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</si>
  <si>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</si>
  <si>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</si>
  <si>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tp_street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26 </t>
    </r>
    <r>
      <rPr>
        <sz val="11"/>
        <color theme="1"/>
        <rFont val="Noto Sans CJK SC"/>
        <family val="2"/>
      </rPr>
      <t xml:space="preserve">家平均 </t>
    </r>
    <r>
      <rPr>
        <sz val="11"/>
        <color theme="1"/>
        <rFont val="Calibri"/>
        <family val="2"/>
        <charset val="1"/>
      </rPr>
      <t xml:space="preserve">388.36</t>
    </r>
    <r>
      <rPr>
        <sz val="11"/>
        <color theme="1"/>
        <rFont val="Noto Sans CJK SC"/>
        <family val="2"/>
      </rPr>
      <t xml:space="preserve">（資料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190–500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</si>
  <si>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</si>
  <si>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</si>
  <si>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</si>
  <si>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</si>
  <si>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共識為推導值）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</si>
  <si>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</si>
  <si>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</si>
  <si>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</si>
  <si>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</si>
  <si>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、低於最小值＝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</si>
  <si>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</si>
  <si>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平均股東權益三期平均（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，約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；淨現金約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億美元使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偏低），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：美股高速連接晶片同業（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Rambus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MACOM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本身前瞻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倍、高於所有同業，同業中位數偏誤方向為低估成長溢價。十年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年一個觀測值（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），分位檢查參考性低。情境對應：顆數情境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</si>
  <si>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</si>
  <si>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</si>
  <si>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</si>
  <si>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</si>
  <si>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</si>
  <si>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隱含價（順利）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</si>
  <si>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隱含價（平平）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</si>
  <si>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隱含價（不如預期）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</si>
  <si>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</si>
  <si>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</si>
  <si>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EPS × g2n 0.70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十年年底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依循環位置取分位（非設備股：以本模型營收最高年判定，三情境皆為中段＝中位數）。</t>
    </r>
    <r>
      <rPr>
        <sz val="11"/>
        <color theme="1"/>
        <rFont val="Calibri"/>
        <family val="2"/>
        <charset val="1"/>
      </rPr>
      <t xml:space="preserve">Astera Labs 2024-03 </t>
    </r>
    <r>
      <rPr>
        <sz val="11"/>
        <color theme="1"/>
        <rFont val="Noto Sans CJK SC"/>
        <family val="2"/>
      </rPr>
      <t xml:space="preserve">上市，十年倍數只有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年一個正值（約 </t>
    </r>
    <r>
      <rPr>
        <sz val="11"/>
        <color theme="1"/>
        <rFont val="Calibri"/>
        <family val="2"/>
        <charset val="1"/>
      </rPr>
      <t xml:space="preserve">127–128x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115% </t>
    </r>
    <r>
      <rPr>
        <sz val="11"/>
        <color theme="1"/>
        <rFont val="Noto Sans CJK SC"/>
        <family val="2"/>
      </rPr>
      <t xml:space="preserve">的高成長期；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年虧損為負值不用），偏誤方向為明顯高估；隱含價約為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年底價格、未折現。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</si>
  <si>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</si>
  <si>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</si>
  <si>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</si>
  <si>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</si>
  <si>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</si>
  <si>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</si>
  <si>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</si>
  <si>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三情境相同（顆數係數自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</si>
  <si>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</si>
  <si>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</si>
  <si>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</si>
  <si>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</si>
  <si>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</si>
  <si>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</si>
  <si>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賣方平均目標價 − </t>
    </r>
    <r>
      <rPr>
        <sz val="11"/>
        <color theme="1"/>
        <rFont val="Calibri"/>
        <family val="2"/>
        <charset val="1"/>
      </rPr>
      <t xml:space="preserve">1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</si>
  <si>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</si>
  <si>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</si>
  <si>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</si>
  <si>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</si>
  <si>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</si>
  <si>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</si>
  <si>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</si>
  <si>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</si>
  <si>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</si>
  <si>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FY2028 EPS</t>
  </si>
  <si>
    <r>
      <rPr>
        <b val="true"/>
        <sz val="11"/>
        <rFont val="Cambria"/>
        <family val="0"/>
        <charset val="1"/>
      </rPr>
      <t xml:space="preserve">FY2027 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</t>
    </r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</si>
  <si>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</si>
  <si>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</si>
  <si>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</si>
  <si>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</si>
  <si>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月（會計年度＝日曆年）；年底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資料商以近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計算，故以 </t>
    </r>
    <r>
      <rPr>
        <sz val="11"/>
        <color theme="1"/>
        <rFont val="Calibri"/>
        <family val="2"/>
        <charset val="1"/>
      </rPr>
      <t xml:space="preserve">g2n </t>
    </r>
    <r>
      <rPr>
        <sz val="11"/>
        <color theme="1"/>
        <rFont val="Noto Sans CJK SC"/>
        <family val="2"/>
      </rPr>
      <t xml:space="preserve">換算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</si>
  <si>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假設倍數；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</si>
  <si>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</si>
  <si>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</si>
  <si>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</si>
  <si>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</si>
  <si>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</si>
  <si>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</si>
  <si>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讀法：以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倍（同業前瞻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中位數附近）計，現價隱含的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高於模型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約三成，需要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份額上升（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 高」）才達得到；以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倍計約等於模型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45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現行前瞻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附近）計略低於模型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。現價隱含的是情境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（顆數不下修）且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份額維持，並給成長溢價。</t>
    </r>
  </si>
  <si>
    <r>
      <rPr>
        <sz val="11"/>
        <color theme="1"/>
        <rFont val="Noto Sans CJK SC"/>
        <family val="2"/>
      </rPr>
      <t xml:space="preserve">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</si>
  <si>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</si>
  <si>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</t>
    </r>
    <r>
      <rPr>
        <sz val="11"/>
        <color theme="1"/>
        <rFont val="Calibri"/>
        <family val="2"/>
        <charset val="1"/>
      </rPr>
      <t xml:space="preserve">Astera Labs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年一個正值（約 </t>
    </r>
    <r>
      <rPr>
        <sz val="11"/>
        <color theme="1"/>
        <rFont val="Calibri"/>
        <family val="2"/>
        <charset val="1"/>
      </rPr>
      <t xml:space="preserve">127–128x</t>
    </r>
    <r>
      <rPr>
        <sz val="11"/>
        <color theme="1"/>
        <rFont val="Noto Sans CJK SC"/>
        <family val="2"/>
      </rPr>
      <t xml:space="preserve">，營收年增 </t>
    </r>
    <r>
      <rPr>
        <sz val="11"/>
        <color theme="1"/>
        <rFont val="Calibri"/>
        <family val="2"/>
        <charset val="1"/>
      </rPr>
      <t xml:space="preserve">115% </t>
    </r>
    <r>
      <rPr>
        <sz val="11"/>
        <color theme="1"/>
        <rFont val="Noto Sans CJK SC"/>
        <family val="2"/>
      </rPr>
      <t xml:space="preserve">的高成長期），三個分位相同；歷史倍數為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，規則值偏高的方向明確。前瞻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</si>
  <si>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</si>
  <si>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</si>
  <si>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</si>
  <si>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（會計年度末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</si>
  <si>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</si>
  <si>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</si>
  <si>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年一個正值；</t>
    </r>
    <r>
      <rPr>
        <sz val="11"/>
        <color theme="1"/>
        <rFont val="Calibri"/>
        <family val="2"/>
        <charset val="1"/>
      </rPr>
      <t xml:space="preserve">2024 −77.0x </t>
    </r>
    <r>
      <rPr>
        <sz val="11"/>
        <color theme="1"/>
        <rFont val="Noto Sans CJK SC"/>
        <family val="2"/>
      </rPr>
      <t xml:space="preserve">為虧損，不用）；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（會計年度末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（資料商；會計年度＝日曆年，日期口徑與年底相同；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虧損無值）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</si>
  <si>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</si>
  <si>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</si>
  <si>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</si>
  <si>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</si>
  <si>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</si>
  <si>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</si>
  <si>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</si>
  <si>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</si>
  <si>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</si>
  <si>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</si>
  <si>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</si>
  <si>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</si>
  <si>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</si>
  <si>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</si>
  <si>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</si>
  <si>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</si>
  <si>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</si>
  <si>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</si>
  <si>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</si>
  <si>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</si>
  <si>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</si>
  <si>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</si>
  <si>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</si>
  <si>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</si>
  <si>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</si>
  <si>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</si>
  <si>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</si>
  <si>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</si>
  <si>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</si>
  <si>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</si>
  <si>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</si>
  <si>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</si>
  <si>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</si>
  <si>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</si>
  <si>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B42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</si>
  <si>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</si>
  <si>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</si>
  <si>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共識、公司說法、市場層。只作事後對照，不為對上數字而調參數。共識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4.35–8.80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</si>
  <si>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</si>
  <si>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</si>
  <si>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</si>
  <si>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</si>
  <si>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</si>
  <si>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</si>
  <si>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</si>
  <si>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</si>
  <si>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共識與指引（校準未使用共識）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</si>
  <si>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營收（指引中點）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</si>
  <si>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</si>
  <si>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5.40–5.60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</si>
  <si>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營收（模型假設）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</si>
  <si>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6.09–7.38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</si>
  <si>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</si>
  <si>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</si>
  <si>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1.86–1.99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</si>
  <si>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</si>
  <si>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3.90–4.33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</si>
  <si>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</si>
  <si>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2.19–3.68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</si>
  <si>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</si>
  <si>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4.35–8.80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</si>
  <si>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</si>
  <si>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</si>
  <si>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共識（推導）</t>
    </r>
  </si>
  <si>
    <r>
      <rPr>
        <sz val="11"/>
        <color theme="1"/>
        <rFont val="Calibri"/>
        <family val="2"/>
        <charset val="1"/>
      </rPr>
      <t xml:space="preserve">MarketScreener GAAP × non-GAAP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比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</si>
  <si>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non-GAAP FY2028</t>
    </r>
    <r>
      <rPr>
        <sz val="11"/>
        <color theme="1"/>
        <rFont val="Noto Sans CJK SC"/>
        <family val="2"/>
      </rPr>
      <t xml:space="preserve">：未找到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</si>
  <si>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公司長期目標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</si>
  <si>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</si>
  <si>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份額與市場（機制檢查）</t>
    </r>
  </si>
  <si>
    <r>
      <rPr>
        <sz val="11"/>
        <color theme="1"/>
        <rFont val="Calibri"/>
        <family val="2"/>
        <charset val="1"/>
      </rPr>
      <t xml:space="preserve">FY2028 Scorpio X </t>
    </r>
    <r>
      <rPr>
        <sz val="11"/>
        <color theme="1"/>
        <rFont val="Noto Sans CJK SC"/>
        <family val="2"/>
      </rPr>
      <t xml:space="preserve">每顆非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加速器營收（美元／顆）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公司「逾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美元」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</si>
  <si>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</si>
  <si>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Noto Sans CJK SC"/>
        <family val="2"/>
      </rPr>
      <t xml:space="preserve">公司說法為採用平台的每顆內容；本列分母為全部非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</si>
  <si>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交換晶片市場（網通模型）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年商用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</si>
  <si>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</si>
  <si>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口徑不同：公司數字為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年、含所有商用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</t>
    </r>
  </si>
  <si>
    <r>
      <rPr>
        <sz val="11"/>
        <color theme="1"/>
        <rFont val="Calibri"/>
        <family val="2"/>
        <charset val="1"/>
      </rPr>
      <t xml:space="preserve">FY2027 Scorpio X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交換）</t>
    </r>
  </si>
  <si>
    <r>
      <rPr>
        <sz val="11"/>
        <color theme="1"/>
        <rFont val="Calibri"/>
        <family val="2"/>
        <charset val="1"/>
      </rPr>
      <t xml:space="preserve">FY2028 Astera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</si>
  <si>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</si>
  <si>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</si>
  <si>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</si>
  <si>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t xml:space="preserve">公司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</si>
  <si>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</si>
  <si>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</si>
  <si>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1.16–1.21</t>
    </r>
  </si>
  <si>
    <r>
      <rPr>
        <sz val="11"/>
        <color theme="1"/>
        <rFont val="Calibri"/>
        <family val="2"/>
        <charset val="1"/>
      </rPr>
      <t xml:space="preserve">FY2025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1.84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</si>
  <si>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營業費用彈性（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</si>
  <si>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</si>
  <si>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</si>
  <si>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</si>
  <si>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</si>
  <si>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指引，並依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指引更新 </t>
    </r>
    <r>
      <rPr>
        <sz val="11"/>
        <color theme="1"/>
        <rFont val="Calibri"/>
        <family val="2"/>
        <charset val="1"/>
      </rPr>
      <t xml:space="preserve">g_q4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</si>
  <si>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</si>
  <si>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</si>
  <si>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</si>
  <si>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</si>
  <si>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Scorpio X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</si>
  <si>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</si>
  <si>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</si>
  <si>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</si>
  <si>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Scorpio X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</si>
  <si>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</si>
  <si>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</si>
  <si>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</si>
  <si>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</si>
  <si>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 低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</si>
  <si>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有效份額相對值 </t>
    </r>
    <r>
      <rPr>
        <sz val="11"/>
        <color theme="1"/>
        <rFont val="Calibri"/>
        <family val="2"/>
        <charset val="1"/>
      </rPr>
      <t xml:space="preserve">FY2027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0.60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NVLink Fusion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UALink </t>
    </r>
    <r>
      <rPr>
        <sz val="11"/>
        <color theme="1"/>
        <rFont val="Noto Sans CJK SC"/>
        <family val="2"/>
      </rPr>
      <t xml:space="preserve">交換晶片搶份額）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</si>
  <si>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</si>
  <si>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FY2027 1.40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1.70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2.00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家客戶陸續量產）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</si>
  <si>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等份額 低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</si>
  <si>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等相對值 </t>
    </r>
    <r>
      <rPr>
        <sz val="11"/>
        <color theme="1"/>
        <rFont val="Calibri"/>
        <family val="2"/>
        <charset val="1"/>
      </rPr>
      <t xml:space="preserve">FY2027 0.65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0.45</t>
    </r>
    <r>
      <rPr>
        <sz val="11"/>
        <color theme="1"/>
        <rFont val="Noto Sans CJK SC"/>
        <family val="2"/>
      </rPr>
      <t xml:space="preserve">（重定時器價格戰、平台整合）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</si>
  <si>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等份額 高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</si>
  <si>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PCIe 7 </t>
    </r>
    <r>
      <rPr>
        <sz val="11"/>
        <color theme="1"/>
        <rFont val="Noto Sans CJK SC"/>
        <family val="2"/>
      </rPr>
      <t xml:space="preserve">單價上升抵銷份額競爭）</t>
    </r>
  </si>
  <si>
    <t xml:space="preserve">最大客戶部分轉單</t>
  </si>
  <si>
    <r>
      <rPr>
        <sz val="11"/>
        <color theme="1"/>
        <rFont val="Noto Sans CJK SC"/>
        <family val="2"/>
      </rPr>
      <t xml:space="preserve">最大終端客戶（逾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等內容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轉給他人或自製</t>
    </r>
  </si>
  <si>
    <t xml:space="preserve">毛利率 低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</si>
  <si>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 66%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64%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</si>
  <si>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</si>
  <si>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72%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</si>
  <si>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</si>
  <si>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</si>
  <si>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</si>
  <si>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</si>
  <si>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</si>
  <si>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NVLink Fusion</t>
    </r>
    <r>
      <rPr>
        <sz val="11"/>
        <color theme="1"/>
        <rFont val="Noto Sans CJK SC"/>
        <family val="2"/>
      </rPr>
      <t xml:space="preserve">、乙太網路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搶占）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</si>
  <si>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</si>
  <si>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</si>
  <si>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0.9</t>
    </r>
  </si>
  <si>
    <t xml:space="preserve">營業費用隨營收成長較多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</si>
  <si>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</si>
  <si>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</si>
  <si>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</si>
  <si>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</si>
  <si>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</si>
  <si>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</si>
  <si>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為錨點、各案例相同；顆數情境自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不受影響。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份額高／低是 </t>
    </r>
    <r>
      <rPr>
        <sz val="11"/>
        <color theme="1"/>
        <rFont val="Calibri"/>
        <family val="2"/>
        <charset val="1"/>
      </rPr>
      <t xml:space="preserve">FY2027–FY2028 EPS </t>
    </r>
    <r>
      <rPr>
        <sz val="11"/>
        <color theme="1"/>
        <rFont val="Noto Sans CJK SC"/>
        <family val="2"/>
      </rPr>
      <t xml:space="preserve">最大的單一變數，其次是 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等份額與毛利率；顆數情境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主要打在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起。稅率影響較小。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</si>
  <si>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</si>
  <si>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</si>
  <si>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</si>
  <si>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</si>
  <si>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</si>
  <si>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</si>
  <si>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</si>
  <si>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</si>
  <si>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</si>
  <si>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</si>
  <si>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</si>
  <si>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</si>
  <si>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</si>
  <si>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</si>
  <si>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</si>
  <si>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</si>
  <si>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</si>
  <si>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</si>
  <si>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Scorpio X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</si>
  <si>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Scorpio X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</si>
  <si>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PCIe </t>
    </r>
    <r>
      <rPr>
        <b val="true"/>
        <sz val="11"/>
        <rFont val="Noto Sans CJK SC"/>
        <family val="2"/>
      </rPr>
      <t xml:space="preserve">等份額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</si>
  <si>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PCIe </t>
    </r>
    <r>
      <rPr>
        <b val="true"/>
        <sz val="11"/>
        <rFont val="Noto Sans CJK SC"/>
        <family val="2"/>
      </rPr>
      <t xml:space="preserve">等份額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</si>
  <si>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案例區塊：最大客戶部分轉單（情境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</si>
  <si>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</si>
  <si>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</si>
  <si>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</si>
  <si>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</si>
  <si>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scale-up </t>
    </r>
    <r>
      <rPr>
        <b val="true"/>
        <sz val="11"/>
        <rFont val="Noto Sans CJK SC"/>
        <family val="2"/>
      </rPr>
      <t xml:space="preserve">交換市場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</si>
  <si>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scale-up </t>
    </r>
    <r>
      <rPr>
        <b val="true"/>
        <sz val="11"/>
        <rFont val="Noto Sans CJK SC"/>
        <family val="2"/>
      </rPr>
      <t xml:space="preserve">交換市場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</si>
  <si>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</si>
  <si>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</si>
  <si>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新聞稿與 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</si>
  <si>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比較欄與資產負債表）</t>
    </r>
  </si>
  <si>
    <t xml:space="preserve">https://www.sec.gov/Archives/edgar/data/0001736297/000173629726000033/q226exhibit991.htm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</si>
  <si>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網站）</t>
    </r>
  </si>
  <si>
    <t xml:space="preserve">https://ir.asteralabs.com/news-releases/news-release-details/astera-labs-reports-second-quarter-2026-financial-results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</si>
  <si>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指引、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年商用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交換市場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</si>
  <si>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（客戶集中、競爭者、股數）</t>
    </r>
  </si>
  <si>
    <t xml:space="preserve">https://www.sec.gov/Archives/edgar/data/1736297/000173629726000010/alab-20251231.htm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</si>
  <si>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Scorpio 3Q26 </t>
    </r>
    <r>
      <rPr>
        <sz val="11"/>
        <color theme="1"/>
        <rFont val="Noto Sans CJK SC"/>
        <family val="2"/>
      </rPr>
      <t xml:space="preserve">成為最大產品線、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P</t>
    </r>
    <r>
      <rPr>
        <sz val="11"/>
        <color theme="1"/>
        <rFont val="Noto Sans CJK SC"/>
        <family val="2"/>
      </rPr>
      <t xml:space="preserve">、逾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家客戶、長期毛利率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Taurus 2030 </t>
    </r>
    <r>
      <rPr>
        <sz val="11"/>
        <color theme="1"/>
        <rFont val="Noto Sans CJK SC"/>
        <family val="2"/>
      </rPr>
      <t xml:space="preserve">年逾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億美元）</t>
    </r>
  </si>
  <si>
    <t xml:space="preserve">https://www.marketbeat.com/instant-alerts/astera-labs-q2-earnings-call-highlights-2026-08-04/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</si>
  <si>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分析（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；毛利率下滑原因、客戶集中）</t>
    </r>
  </si>
  <si>
    <t xml:space="preserve">https://futurumgroup.com/insights/astera-labs-q2-fy-2026-earnings-pull-scorpio-switch-leadership-forward/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</si>
  <si>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法說逐字稿（每顆加速器內容逾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美元、</t>
    </r>
    <r>
      <rPr>
        <sz val="11"/>
        <color theme="1"/>
        <rFont val="Calibri"/>
        <family val="2"/>
        <charset val="1"/>
      </rPr>
      <t xml:space="preserve">Scorpio 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為分析師引述）</t>
    </r>
  </si>
  <si>
    <t xml:space="preserve">https://www.fool.com/earnings/call-transcripts/2026/05/05/astera-labs-alab-q1-2026-earnings-transcript/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</si>
  <si>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Scorpio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認股權證）</t>
    </r>
  </si>
  <si>
    <t xml:space="preserve">https://www.tikr.com/blog/astera-labs-what-a-224-bull-case-looks-like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</si>
  <si>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分析師預估（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頁面）</t>
    </r>
  </si>
  <si>
    <t xml:space="preserve">https://finance.yahoo.com/quote/ALAB/analysis/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</si>
  <si>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預估與目標價（資料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</si>
  <si>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https://stockanalysis.com/stocks/alab/forecast/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</si>
  <si>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年度預估（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）</t>
    </r>
  </si>
  <si>
    <t xml:space="preserve">https://uk.marketscreener.com/quote/stock/ASTERA-LABS-INC-167508773/finances/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</si>
  <si>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（目標價第二來源；頁面數字前後不一致）</t>
    </r>
  </si>
  <si>
    <t xml:space="preserve">https://www.tickflow.io/stock/ALAB/forecast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</si>
  <si>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週區間、股數、前瞻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</si>
  <si>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https://stockanalysis.com/stocks/alab/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</si>
  <si>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</si>
  <si>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https://companiesmarketcap.com/astera-labs/pe-ratio/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</si>
  <si>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會計年度末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ROE</t>
    </r>
  </si>
  <si>
    <t xml:space="preserve">https://stockanalysis.com/stocks/alab/financials/ratios/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</si>
  <si>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資產負債表（股東權益）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</si>
  <si>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statistics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CRDO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RMBS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MTSI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</si>
  <si>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https://stockanalysis.com/stocks/crdo/statistics/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</si>
  <si>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</si>
  <si>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財報；產品線營收拆分（</t>
    </r>
    <r>
      <rPr>
        <sz val="11"/>
        <color theme="1"/>
        <rFont val="Calibri"/>
        <family val="2"/>
        <charset val="1"/>
      </rPr>
      <t xml:space="preserve">Aries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Taurus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Scorpio 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）；客戶名稱第一手出處；每顆加速器 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內容第一手來源；</t>
    </r>
    <r>
      <rPr>
        <sz val="11"/>
        <color theme="1"/>
        <rFont val="Calibri"/>
        <family val="2"/>
        <charset val="1"/>
      </rPr>
      <t xml:space="preserve">FY2028 non-GAAP </t>
    </r>
    <r>
      <rPr>
        <sz val="11"/>
        <color theme="1"/>
        <rFont val="Noto Sans CJK SC"/>
        <family val="2"/>
      </rPr>
      <t xml:space="preserve">共識；前瞻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</si>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</sst>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0.0%"/>
    <numFmt numFmtId="167" formatCode="#,##0.000"/>
    <numFmt numFmtId="168" formatCode="#,##0.0"/>
    <numFmt numFmtId="169" formatCode="#,##0.00"/>
    <numFmt numFmtId="170" formatCode="#,##0"/>
    <numFmt numFmtId="171" formatCode="0.00%"/>
    <numFmt numFmtId="172" formatCode="0.0000"/>
    <numFmt numFmtId="173" formatCode="0.0"/>
    <numFmt numFmtId="174" formatCode="@"/>
    <numFmt numFmtId="17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1" t="str">
        <f aca="false">"投資建議："&amp;Val!B130&amp;"（依上檔空間固定規則）"</f>
        <v>投資建議：放空（依上檔空間固定規則）</v>
      </c>
    </row>
    <row r="18" customFormat="false" ht="17.15" hidden="false" customHeight="false" outlineLevel="0" collapsed="false">
      <c r="A18" s="5" t="s">
        <v>13</v>
      </c>
    </row>
    <row r="19" customFormat="false" ht="17.15" hidden="false" customHeight="false" outlineLevel="0" collapsed="false">
      <c r="A19" s="5" t="s">
        <v>14</v>
      </c>
    </row>
    <row r="20" customFormat="false" ht="17.15" hidden="false" customHeight="false" outlineLevel="0" collapsed="false">
      <c r="A20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16</v>
      </c>
    </row>
    <row r="2" customFormat="false" ht="17.15" hidden="false" customHeight="false" outlineLevel="0" collapsed="false">
      <c r="A2" s="5" t="s">
        <v>17</v>
      </c>
    </row>
    <row r="3" customFormat="false" ht="17.15" hidden="false" customHeight="false" outlineLevel="0" collapsed="false">
      <c r="A3" s="6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</row>
    <row r="4" customFormat="false" ht="17.15" hidden="false" customHeight="false" outlineLevel="0" collapsed="false">
      <c r="A4" s="1" t="s">
        <v>27</v>
      </c>
    </row>
    <row r="5" customFormat="false" ht="17.15" hidden="false" customHeight="false" outlineLevel="0" collapsed="false">
      <c r="A5" s="0" t="s">
        <v>28</v>
      </c>
      <c r="B5" s="5" t="s">
        <v>29</v>
      </c>
      <c r="C5" s="0" t="s">
        <v>30</v>
      </c>
      <c r="E5" s="7" t="n">
        <v>2.025</v>
      </c>
      <c r="G5" s="8" t="s">
        <v>31</v>
      </c>
      <c r="H5" s="8" t="s">
        <v>32</v>
      </c>
      <c r="I5" s="5" t="s">
        <v>33</v>
      </c>
    </row>
    <row r="6" customFormat="false" ht="17.15" hidden="false" customHeight="false" outlineLevel="0" collapsed="false">
      <c r="A6" s="0" t="s">
        <v>34</v>
      </c>
      <c r="B6" s="5" t="s">
        <v>35</v>
      </c>
      <c r="C6" s="0" t="s">
        <v>30</v>
      </c>
      <c r="E6" s="7" t="n">
        <v>7.701</v>
      </c>
      <c r="G6" s="8" t="s">
        <v>31</v>
      </c>
      <c r="H6" s="5" t="s">
        <v>36</v>
      </c>
      <c r="I6" s="5" t="s">
        <v>36</v>
      </c>
    </row>
    <row r="7" customFormat="false" ht="17.15" hidden="false" customHeight="false" outlineLevel="0" collapsed="false">
      <c r="A7" s="0" t="s">
        <v>37</v>
      </c>
      <c r="B7" s="5" t="s">
        <v>38</v>
      </c>
      <c r="C7" s="0" t="s">
        <v>30</v>
      </c>
      <c r="E7" s="7" t="n">
        <v>9.468</v>
      </c>
      <c r="G7" s="8" t="s">
        <v>31</v>
      </c>
      <c r="H7" s="5" t="s">
        <v>36</v>
      </c>
      <c r="I7" s="5" t="s">
        <v>36</v>
      </c>
    </row>
    <row r="8" customFormat="false" ht="17.15" hidden="false" customHeight="false" outlineLevel="0" collapsed="false">
      <c r="A8" s="0" t="s">
        <v>39</v>
      </c>
      <c r="B8" s="5" t="s">
        <v>40</v>
      </c>
      <c r="C8" s="0" t="s">
        <v>30</v>
      </c>
      <c r="E8" s="7" t="n">
        <v>10.8882</v>
      </c>
      <c r="G8" s="8" t="s">
        <v>31</v>
      </c>
      <c r="H8" s="5" t="s">
        <v>36</v>
      </c>
      <c r="I8" s="5" t="s">
        <v>36</v>
      </c>
    </row>
    <row r="9" customFormat="false" ht="17.15" hidden="false" customHeight="false" outlineLevel="0" collapsed="false">
      <c r="A9" s="0" t="s">
        <v>41</v>
      </c>
      <c r="B9" s="0" t="s">
        <v>42</v>
      </c>
      <c r="C9" s="0" t="s">
        <v>30</v>
      </c>
      <c r="E9" s="7" t="n">
        <v>18.2761</v>
      </c>
      <c r="G9" s="8" t="s">
        <v>31</v>
      </c>
      <c r="H9" s="8" t="s">
        <v>43</v>
      </c>
      <c r="I9" s="5" t="s">
        <v>44</v>
      </c>
    </row>
    <row r="10" customFormat="false" ht="17.15" hidden="false" customHeight="false" outlineLevel="0" collapsed="false">
      <c r="A10" s="0" t="s">
        <v>45</v>
      </c>
      <c r="B10" s="0" t="s">
        <v>46</v>
      </c>
      <c r="C10" s="0" t="s">
        <v>30</v>
      </c>
      <c r="E10" s="7" t="n">
        <v>37.4157</v>
      </c>
      <c r="G10" s="8" t="s">
        <v>31</v>
      </c>
      <c r="H10" s="8" t="s">
        <v>43</v>
      </c>
      <c r="I10" s="5" t="s">
        <v>36</v>
      </c>
    </row>
    <row r="11" customFormat="false" ht="17.15" hidden="false" customHeight="false" outlineLevel="0" collapsed="false">
      <c r="A11" s="0" t="s">
        <v>47</v>
      </c>
      <c r="B11" s="0" t="s">
        <v>48</v>
      </c>
      <c r="C11" s="0" t="s">
        <v>30</v>
      </c>
      <c r="E11" s="7" t="n">
        <v>44.9835</v>
      </c>
      <c r="G11" s="8" t="s">
        <v>31</v>
      </c>
      <c r="H11" s="8" t="s">
        <v>43</v>
      </c>
      <c r="I11" s="5" t="s">
        <v>36</v>
      </c>
    </row>
    <row r="12" customFormat="false" ht="17.15" hidden="false" customHeight="false" outlineLevel="0" collapsed="false">
      <c r="A12" s="0" t="s">
        <v>49</v>
      </c>
      <c r="B12" s="0" t="s">
        <v>50</v>
      </c>
      <c r="C12" s="0" t="s">
        <v>30</v>
      </c>
      <c r="E12" s="7" t="n">
        <v>51.2458</v>
      </c>
      <c r="G12" s="8" t="s">
        <v>31</v>
      </c>
      <c r="H12" s="8" t="s">
        <v>43</v>
      </c>
      <c r="I12" s="5" t="s">
        <v>36</v>
      </c>
    </row>
    <row r="13" customFormat="false" ht="17.15" hidden="false" customHeight="false" outlineLevel="0" collapsed="false">
      <c r="A13" s="0" t="s">
        <v>51</v>
      </c>
      <c r="B13" s="0" t="s">
        <v>52</v>
      </c>
      <c r="C13" s="5" t="s">
        <v>53</v>
      </c>
      <c r="E13" s="7" t="n">
        <v>15.2</v>
      </c>
      <c r="G13" s="8" t="s">
        <v>31</v>
      </c>
      <c r="H13" s="8" t="s">
        <v>54</v>
      </c>
      <c r="I13" s="5" t="s">
        <v>55</v>
      </c>
    </row>
    <row r="14" customFormat="false" ht="17.15" hidden="false" customHeight="false" outlineLevel="0" collapsed="false">
      <c r="A14" s="0" t="s">
        <v>56</v>
      </c>
      <c r="B14" s="0" t="s">
        <v>57</v>
      </c>
      <c r="C14" s="5" t="s">
        <v>53</v>
      </c>
      <c r="E14" s="7" t="n">
        <v>23.7</v>
      </c>
      <c r="G14" s="8" t="s">
        <v>31</v>
      </c>
      <c r="H14" s="8" t="s">
        <v>58</v>
      </c>
      <c r="I14" s="5" t="s">
        <v>36</v>
      </c>
    </row>
    <row r="15" customFormat="false" ht="17.15" hidden="false" customHeight="false" outlineLevel="0" collapsed="false">
      <c r="A15" s="0" t="s">
        <v>59</v>
      </c>
      <c r="B15" s="0" t="s">
        <v>60</v>
      </c>
      <c r="C15" s="5" t="s">
        <v>53</v>
      </c>
      <c r="E15" s="7" t="n">
        <v>26.5</v>
      </c>
      <c r="G15" s="8" t="s">
        <v>31</v>
      </c>
      <c r="H15" s="8" t="s">
        <v>61</v>
      </c>
      <c r="I15" s="5" t="s">
        <v>36</v>
      </c>
    </row>
    <row r="16" customFormat="false" ht="17.15" hidden="false" customHeight="false" outlineLevel="0" collapsed="false">
      <c r="A16" s="0" t="s">
        <v>62</v>
      </c>
      <c r="B16" s="0" t="s">
        <v>63</v>
      </c>
      <c r="C16" s="5" t="s">
        <v>53</v>
      </c>
      <c r="E16" s="7" t="n">
        <v>30.15</v>
      </c>
      <c r="G16" s="8" t="s">
        <v>31</v>
      </c>
      <c r="H16" s="8" t="s">
        <v>64</v>
      </c>
      <c r="I16" s="5" t="s">
        <v>36</v>
      </c>
    </row>
    <row r="17" customFormat="false" ht="17.15" hidden="false" customHeight="false" outlineLevel="0" collapsed="false">
      <c r="A17" s="0" t="s">
        <v>65</v>
      </c>
      <c r="B17" s="5" t="s">
        <v>66</v>
      </c>
      <c r="C17" s="5" t="s">
        <v>53</v>
      </c>
      <c r="E17" s="7" t="n">
        <v>3.75</v>
      </c>
      <c r="G17" s="8" t="s">
        <v>31</v>
      </c>
      <c r="H17" s="8" t="s">
        <v>67</v>
      </c>
      <c r="I17" s="8" t="s">
        <v>68</v>
      </c>
    </row>
    <row r="18" customFormat="false" ht="17.15" hidden="false" customHeight="false" outlineLevel="0" collapsed="false">
      <c r="A18" s="0" t="s">
        <v>69</v>
      </c>
      <c r="B18" s="5" t="s">
        <v>70</v>
      </c>
      <c r="C18" s="5" t="s">
        <v>53</v>
      </c>
      <c r="E18" s="7" t="n">
        <v>8.5</v>
      </c>
      <c r="G18" s="8" t="s">
        <v>31</v>
      </c>
      <c r="H18" s="5" t="s">
        <v>36</v>
      </c>
      <c r="I18" s="5" t="s">
        <v>36</v>
      </c>
    </row>
    <row r="19" customFormat="false" ht="17.15" hidden="false" customHeight="false" outlineLevel="0" collapsed="false">
      <c r="A19" s="0" t="s">
        <v>71</v>
      </c>
      <c r="B19" s="5" t="s">
        <v>72</v>
      </c>
      <c r="C19" s="5" t="s">
        <v>53</v>
      </c>
      <c r="E19" s="7" t="n">
        <v>10</v>
      </c>
      <c r="G19" s="8" t="s">
        <v>31</v>
      </c>
      <c r="H19" s="5" t="s">
        <v>36</v>
      </c>
      <c r="I19" s="5" t="s">
        <v>36</v>
      </c>
    </row>
    <row r="20" customFormat="false" ht="17.15" hidden="false" customHeight="false" outlineLevel="0" collapsed="false">
      <c r="A20" s="0" t="s">
        <v>73</v>
      </c>
      <c r="B20" s="5" t="s">
        <v>74</v>
      </c>
      <c r="C20" s="5" t="s">
        <v>53</v>
      </c>
      <c r="E20" s="7" t="n">
        <v>11.5</v>
      </c>
      <c r="G20" s="8" t="s">
        <v>31</v>
      </c>
      <c r="H20" s="5" t="s">
        <v>36</v>
      </c>
      <c r="I20" s="5" t="s">
        <v>36</v>
      </c>
    </row>
    <row r="21" customFormat="false" ht="17.15" hidden="false" customHeight="false" outlineLevel="0" collapsed="false">
      <c r="A21" s="0" t="s">
        <v>75</v>
      </c>
      <c r="B21" s="0" t="s">
        <v>76</v>
      </c>
      <c r="C21" s="0" t="s">
        <v>30</v>
      </c>
      <c r="E21" s="7" t="n">
        <v>781.872916666667</v>
      </c>
      <c r="G21" s="8" t="s">
        <v>31</v>
      </c>
      <c r="H21" s="8" t="s">
        <v>77</v>
      </c>
      <c r="I21" s="8" t="s">
        <v>78</v>
      </c>
    </row>
    <row r="22" customFormat="false" ht="17.15" hidden="false" customHeight="false" outlineLevel="0" collapsed="false">
      <c r="A22" s="0" t="s">
        <v>79</v>
      </c>
      <c r="B22" s="0" t="s">
        <v>80</v>
      </c>
      <c r="C22" s="0" t="s">
        <v>30</v>
      </c>
      <c r="E22" s="7" t="n">
        <v>1565.35</v>
      </c>
      <c r="G22" s="8" t="s">
        <v>31</v>
      </c>
      <c r="H22" s="8" t="s">
        <v>77</v>
      </c>
      <c r="I22" s="5" t="s">
        <v>36</v>
      </c>
    </row>
    <row r="23" customFormat="false" ht="17.15" hidden="false" customHeight="false" outlineLevel="0" collapsed="false">
      <c r="A23" s="0" t="s">
        <v>81</v>
      </c>
      <c r="B23" s="0" t="s">
        <v>82</v>
      </c>
      <c r="C23" s="0" t="s">
        <v>30</v>
      </c>
      <c r="E23" s="7" t="n">
        <v>1984.26388888889</v>
      </c>
      <c r="G23" s="8" t="s">
        <v>31</v>
      </c>
      <c r="H23" s="8" t="s">
        <v>77</v>
      </c>
      <c r="I23" s="5" t="s">
        <v>36</v>
      </c>
    </row>
    <row r="24" customFormat="false" ht="17.15" hidden="false" customHeight="false" outlineLevel="0" collapsed="false">
      <c r="A24" s="0" t="s">
        <v>83</v>
      </c>
      <c r="B24" s="0" t="s">
        <v>84</v>
      </c>
      <c r="C24" s="0" t="s">
        <v>30</v>
      </c>
      <c r="E24" s="7" t="n">
        <v>2260.39027777778</v>
      </c>
      <c r="G24" s="8" t="s">
        <v>31</v>
      </c>
      <c r="H24" s="8" t="s">
        <v>77</v>
      </c>
      <c r="I24" s="5" t="s">
        <v>36</v>
      </c>
    </row>
    <row r="25" customFormat="false" ht="17.15" hidden="false" customHeight="false" outlineLevel="0" collapsed="false">
      <c r="A25" s="0" t="s">
        <v>85</v>
      </c>
      <c r="B25" s="5" t="s">
        <v>86</v>
      </c>
      <c r="C25" s="0" t="s">
        <v>87</v>
      </c>
      <c r="E25" s="7" t="n">
        <v>1</v>
      </c>
      <c r="G25" s="8" t="s">
        <v>88</v>
      </c>
      <c r="H25" s="8" t="s">
        <v>89</v>
      </c>
      <c r="I25" s="8" t="s">
        <v>90</v>
      </c>
    </row>
    <row r="26" customFormat="false" ht="17.15" hidden="false" customHeight="false" outlineLevel="0" collapsed="false">
      <c r="A26" s="0" t="s">
        <v>91</v>
      </c>
      <c r="B26" s="5" t="s">
        <v>92</v>
      </c>
      <c r="C26" s="0" t="s">
        <v>87</v>
      </c>
      <c r="E26" s="7" t="n">
        <v>1</v>
      </c>
      <c r="G26" s="8" t="s">
        <v>88</v>
      </c>
      <c r="H26" s="8" t="s">
        <v>93</v>
      </c>
      <c r="I26" s="5" t="s">
        <v>36</v>
      </c>
    </row>
    <row r="27" customFormat="false" ht="17.15" hidden="false" customHeight="false" outlineLevel="0" collapsed="false">
      <c r="A27" s="0" t="s">
        <v>94</v>
      </c>
      <c r="B27" s="5" t="s">
        <v>95</v>
      </c>
      <c r="C27" s="0" t="s">
        <v>87</v>
      </c>
      <c r="E27" s="7" t="n">
        <v>0.8</v>
      </c>
      <c r="G27" s="8" t="s">
        <v>88</v>
      </c>
      <c r="H27" s="8" t="s">
        <v>96</v>
      </c>
      <c r="I27" s="8" t="s">
        <v>90</v>
      </c>
    </row>
    <row r="28" customFormat="false" ht="17.15" hidden="false" customHeight="false" outlineLevel="0" collapsed="false">
      <c r="A28" s="0" t="s">
        <v>97</v>
      </c>
      <c r="B28" s="5" t="s">
        <v>98</v>
      </c>
      <c r="C28" s="0" t="s">
        <v>87</v>
      </c>
      <c r="E28" s="7" t="n">
        <v>0.85</v>
      </c>
      <c r="G28" s="8" t="s">
        <v>88</v>
      </c>
      <c r="H28" s="8" t="s">
        <v>99</v>
      </c>
      <c r="I28" s="5" t="s">
        <v>36</v>
      </c>
    </row>
    <row r="29" customFormat="false" ht="17.15" hidden="false" customHeight="false" outlineLevel="0" collapsed="false">
      <c r="A29" s="0" t="s">
        <v>100</v>
      </c>
      <c r="B29" s="5" t="s">
        <v>101</v>
      </c>
      <c r="C29" s="0" t="s">
        <v>87</v>
      </c>
      <c r="E29" s="7" t="n">
        <v>0.6</v>
      </c>
      <c r="G29" s="8" t="s">
        <v>88</v>
      </c>
      <c r="H29" s="8" t="s">
        <v>102</v>
      </c>
      <c r="I29" s="8" t="s">
        <v>90</v>
      </c>
    </row>
    <row r="30" customFormat="false" ht="17.15" hidden="false" customHeight="false" outlineLevel="0" collapsed="false">
      <c r="A30" s="0" t="s">
        <v>103</v>
      </c>
      <c r="B30" s="5" t="s">
        <v>104</v>
      </c>
      <c r="C30" s="0" t="s">
        <v>87</v>
      </c>
      <c r="E30" s="7" t="n">
        <v>0.6</v>
      </c>
      <c r="G30" s="8" t="s">
        <v>88</v>
      </c>
      <c r="H30" s="8" t="s">
        <v>105</v>
      </c>
      <c r="I30" s="5" t="s">
        <v>36</v>
      </c>
    </row>
    <row r="31" customFormat="false" ht="17.15" hidden="false" customHeight="false" outlineLevel="0" collapsed="false">
      <c r="A31" s="1" t="s">
        <v>106</v>
      </c>
    </row>
    <row r="32" customFormat="false" ht="17.15" hidden="false" customHeight="false" outlineLevel="0" collapsed="false">
      <c r="A32" s="0" t="s">
        <v>107</v>
      </c>
      <c r="B32" s="0" t="s">
        <v>108</v>
      </c>
      <c r="C32" s="0" t="s">
        <v>30</v>
      </c>
      <c r="D32" s="7" t="n">
        <v>0</v>
      </c>
      <c r="E32" s="7" t="n">
        <v>0</v>
      </c>
      <c r="F32" s="7" t="n">
        <v>0.02</v>
      </c>
      <c r="G32" s="8" t="s">
        <v>88</v>
      </c>
      <c r="H32" s="8" t="s">
        <v>109</v>
      </c>
      <c r="I32" s="8" t="s">
        <v>110</v>
      </c>
    </row>
    <row r="33" customFormat="false" ht="17.15" hidden="false" customHeight="false" outlineLevel="0" collapsed="false">
      <c r="A33" s="0" t="s">
        <v>111</v>
      </c>
      <c r="B33" s="0" t="s">
        <v>112</v>
      </c>
      <c r="C33" s="0" t="s">
        <v>30</v>
      </c>
      <c r="D33" s="7" t="n">
        <v>0.28</v>
      </c>
      <c r="E33" s="7" t="n">
        <v>0.38</v>
      </c>
      <c r="F33" s="7" t="n">
        <v>0.5</v>
      </c>
      <c r="G33" s="8" t="s">
        <v>88</v>
      </c>
      <c r="H33" s="5" t="s">
        <v>113</v>
      </c>
      <c r="I33" s="8" t="s">
        <v>114</v>
      </c>
    </row>
    <row r="34" customFormat="false" ht="17.15" hidden="false" customHeight="false" outlineLevel="0" collapsed="false">
      <c r="A34" s="0" t="s">
        <v>115</v>
      </c>
      <c r="B34" s="0" t="s">
        <v>116</v>
      </c>
      <c r="C34" s="0" t="s">
        <v>87</v>
      </c>
      <c r="D34" s="7" t="n">
        <v>0.7</v>
      </c>
      <c r="E34" s="7" t="n">
        <v>1</v>
      </c>
      <c r="F34" s="7" t="n">
        <v>1.4</v>
      </c>
      <c r="G34" s="8" t="s">
        <v>88</v>
      </c>
      <c r="H34" s="8" t="s">
        <v>117</v>
      </c>
      <c r="I34" s="5" t="s">
        <v>118</v>
      </c>
    </row>
    <row r="35" customFormat="false" ht="17.15" hidden="false" customHeight="false" outlineLevel="0" collapsed="false">
      <c r="A35" s="0" t="s">
        <v>119</v>
      </c>
      <c r="B35" s="0" t="s">
        <v>120</v>
      </c>
      <c r="C35" s="0" t="s">
        <v>87</v>
      </c>
      <c r="D35" s="7" t="n">
        <v>0.6</v>
      </c>
      <c r="E35" s="7" t="n">
        <v>1.1</v>
      </c>
      <c r="F35" s="7" t="n">
        <v>1.7</v>
      </c>
      <c r="G35" s="8" t="s">
        <v>88</v>
      </c>
      <c r="H35" s="8" t="s">
        <v>121</v>
      </c>
      <c r="I35" s="5" t="s">
        <v>122</v>
      </c>
    </row>
    <row r="36" customFormat="false" ht="17.15" hidden="false" customHeight="false" outlineLevel="0" collapsed="false">
      <c r="A36" s="0" t="s">
        <v>123</v>
      </c>
      <c r="B36" s="0" t="s">
        <v>124</v>
      </c>
      <c r="C36" s="0" t="s">
        <v>87</v>
      </c>
      <c r="D36" s="7" t="n">
        <v>0.5</v>
      </c>
      <c r="E36" s="7" t="n">
        <v>1.15</v>
      </c>
      <c r="F36" s="7" t="n">
        <v>2</v>
      </c>
      <c r="G36" s="8" t="s">
        <v>88</v>
      </c>
      <c r="H36" s="5" t="s">
        <v>36</v>
      </c>
      <c r="I36" s="8" t="s">
        <v>125</v>
      </c>
    </row>
    <row r="37" customFormat="false" ht="17.15" hidden="false" customHeight="false" outlineLevel="0" collapsed="false">
      <c r="A37" s="1" t="s">
        <v>126</v>
      </c>
    </row>
    <row r="38" customFormat="false" ht="17.15" hidden="false" customHeight="false" outlineLevel="0" collapsed="false">
      <c r="A38" s="0" t="s">
        <v>127</v>
      </c>
      <c r="B38" s="5" t="s">
        <v>128</v>
      </c>
      <c r="C38" s="0" t="s">
        <v>129</v>
      </c>
      <c r="D38" s="7" t="n">
        <v>150</v>
      </c>
      <c r="E38" s="7" t="n">
        <v>250</v>
      </c>
      <c r="F38" s="7" t="n">
        <v>400</v>
      </c>
      <c r="G38" s="8" t="s">
        <v>88</v>
      </c>
      <c r="H38" s="5" t="s">
        <v>130</v>
      </c>
      <c r="I38" s="5" t="s">
        <v>131</v>
      </c>
    </row>
    <row r="39" customFormat="false" ht="17.15" hidden="false" customHeight="false" outlineLevel="0" collapsed="false">
      <c r="A39" s="0" t="s">
        <v>132</v>
      </c>
      <c r="B39" s="0" t="s">
        <v>133</v>
      </c>
      <c r="C39" s="0" t="s">
        <v>87</v>
      </c>
      <c r="D39" s="7" t="n">
        <v>0.65</v>
      </c>
      <c r="E39" s="7" t="n">
        <v>0.8</v>
      </c>
      <c r="F39" s="7" t="n">
        <v>1</v>
      </c>
      <c r="G39" s="8" t="s">
        <v>88</v>
      </c>
      <c r="H39" s="8" t="s">
        <v>134</v>
      </c>
      <c r="I39" s="8" t="s">
        <v>135</v>
      </c>
    </row>
    <row r="40" customFormat="false" ht="17.15" hidden="false" customHeight="false" outlineLevel="0" collapsed="false">
      <c r="A40" s="0" t="s">
        <v>136</v>
      </c>
      <c r="B40" s="0" t="s">
        <v>137</v>
      </c>
      <c r="C40" s="0" t="s">
        <v>87</v>
      </c>
      <c r="D40" s="7" t="n">
        <v>0.55</v>
      </c>
      <c r="E40" s="7" t="n">
        <v>0.75</v>
      </c>
      <c r="F40" s="7" t="n">
        <v>1</v>
      </c>
      <c r="G40" s="8" t="s">
        <v>88</v>
      </c>
      <c r="H40" s="5" t="s">
        <v>138</v>
      </c>
      <c r="I40" s="8" t="s">
        <v>139</v>
      </c>
    </row>
    <row r="41" customFormat="false" ht="17.15" hidden="false" customHeight="false" outlineLevel="0" collapsed="false">
      <c r="A41" s="0" t="s">
        <v>140</v>
      </c>
      <c r="B41" s="0" t="s">
        <v>141</v>
      </c>
      <c r="C41" s="0" t="s">
        <v>87</v>
      </c>
      <c r="D41" s="7" t="n">
        <v>0.45</v>
      </c>
      <c r="E41" s="7" t="n">
        <v>0.7</v>
      </c>
      <c r="F41" s="7" t="n">
        <v>1</v>
      </c>
      <c r="G41" s="8" t="s">
        <v>88</v>
      </c>
      <c r="H41" s="5" t="s">
        <v>36</v>
      </c>
      <c r="I41" s="8" t="s">
        <v>125</v>
      </c>
    </row>
    <row r="42" customFormat="false" ht="17.15" hidden="false" customHeight="false" outlineLevel="0" collapsed="false">
      <c r="A42" s="0" t="s">
        <v>142</v>
      </c>
      <c r="B42" s="5" t="s">
        <v>143</v>
      </c>
      <c r="C42" s="0" t="s">
        <v>144</v>
      </c>
      <c r="E42" s="7" t="n">
        <v>0.7</v>
      </c>
      <c r="G42" s="8" t="s">
        <v>145</v>
      </c>
      <c r="H42" s="5" t="s">
        <v>146</v>
      </c>
      <c r="I42" s="5" t="s">
        <v>147</v>
      </c>
    </row>
    <row r="43" customFormat="false" ht="17.15" hidden="false" customHeight="false" outlineLevel="0" collapsed="false">
      <c r="A43" s="0" t="s">
        <v>148</v>
      </c>
      <c r="B43" s="5" t="s">
        <v>149</v>
      </c>
      <c r="C43" s="0" t="s">
        <v>144</v>
      </c>
      <c r="E43" s="7" t="n">
        <v>0.3</v>
      </c>
      <c r="G43" s="8" t="s">
        <v>88</v>
      </c>
      <c r="H43" s="5" t="s">
        <v>150</v>
      </c>
      <c r="I43" s="8" t="s">
        <v>125</v>
      </c>
    </row>
    <row r="44" customFormat="false" ht="17.15" hidden="false" customHeight="false" outlineLevel="0" collapsed="false">
      <c r="A44" s="0" t="s">
        <v>151</v>
      </c>
      <c r="B44" s="5" t="s">
        <v>152</v>
      </c>
      <c r="C44" s="0" t="s">
        <v>87</v>
      </c>
      <c r="E44" s="0" t="n">
        <f aca="false">rel_p_27*(1-cust_top*cl_loss)</f>
        <v>0.632</v>
      </c>
      <c r="G44" s="0" t="s">
        <v>31</v>
      </c>
      <c r="H44" s="5" t="s">
        <v>153</v>
      </c>
      <c r="I44" s="5" t="s">
        <v>154</v>
      </c>
    </row>
    <row r="45" customFormat="false" ht="17.15" hidden="false" customHeight="false" outlineLevel="0" collapsed="false">
      <c r="A45" s="0" t="s">
        <v>155</v>
      </c>
      <c r="B45" s="5" t="s">
        <v>156</v>
      </c>
      <c r="C45" s="0" t="s">
        <v>87</v>
      </c>
      <c r="E45" s="0" t="n">
        <f aca="false">rel_p_28*(1-cust_top*cl_loss)</f>
        <v>0.5925</v>
      </c>
      <c r="G45" s="0" t="s">
        <v>31</v>
      </c>
      <c r="H45" s="5" t="s">
        <v>153</v>
      </c>
      <c r="I45" s="5" t="s">
        <v>36</v>
      </c>
    </row>
    <row r="46" customFormat="false" ht="17.15" hidden="false" customHeight="false" outlineLevel="0" collapsed="false">
      <c r="A46" s="0" t="s">
        <v>157</v>
      </c>
      <c r="B46" s="5" t="s">
        <v>158</v>
      </c>
      <c r="C46" s="0" t="s">
        <v>87</v>
      </c>
      <c r="E46" s="0" t="n">
        <f aca="false">rel_p_29*(1-cust_top*cl_loss)</f>
        <v>0.553</v>
      </c>
      <c r="G46" s="0" t="s">
        <v>31</v>
      </c>
      <c r="H46" s="5" t="s">
        <v>153</v>
      </c>
      <c r="I46" s="5" t="s">
        <v>36</v>
      </c>
    </row>
    <row r="47" customFormat="false" ht="17.15" hidden="false" customHeight="false" outlineLevel="0" collapsed="false">
      <c r="A47" s="1" t="s">
        <v>159</v>
      </c>
    </row>
    <row r="48" customFormat="false" ht="17.15" hidden="false" customHeight="false" outlineLevel="0" collapsed="false">
      <c r="A48" s="0" t="s">
        <v>160</v>
      </c>
      <c r="B48" s="0" t="s">
        <v>161</v>
      </c>
      <c r="C48" s="0" t="s">
        <v>30</v>
      </c>
      <c r="E48" s="7" t="n">
        <v>0.308361</v>
      </c>
      <c r="G48" s="8" t="s">
        <v>145</v>
      </c>
      <c r="H48" s="8" t="s">
        <v>162</v>
      </c>
      <c r="I48" s="8" t="s">
        <v>163</v>
      </c>
    </row>
    <row r="49" customFormat="false" ht="17.15" hidden="false" customHeight="false" outlineLevel="0" collapsed="false">
      <c r="A49" s="0" t="s">
        <v>164</v>
      </c>
      <c r="B49" s="0" t="s">
        <v>165</v>
      </c>
      <c r="C49" s="0" t="s">
        <v>30</v>
      </c>
      <c r="E49" s="7" t="n">
        <v>0.23564</v>
      </c>
      <c r="G49" s="8" t="s">
        <v>145</v>
      </c>
      <c r="H49" s="8" t="s">
        <v>166</v>
      </c>
      <c r="I49" s="8" t="s">
        <v>167</v>
      </c>
    </row>
    <row r="50" customFormat="false" ht="17.15" hidden="false" customHeight="false" outlineLevel="0" collapsed="false">
      <c r="A50" s="0" t="s">
        <v>168</v>
      </c>
      <c r="B50" s="0" t="s">
        <v>169</v>
      </c>
      <c r="C50" s="0" t="s">
        <v>30</v>
      </c>
      <c r="E50" s="0" t="n">
        <f aca="false">0.23564-0.111729</f>
        <v>0.123911</v>
      </c>
      <c r="G50" s="0" t="s">
        <v>145</v>
      </c>
      <c r="H50" s="0" t="s">
        <v>170</v>
      </c>
      <c r="I50" s="0" t="s">
        <v>125</v>
      </c>
    </row>
    <row r="51" customFormat="false" ht="17.15" hidden="false" customHeight="false" outlineLevel="0" collapsed="false">
      <c r="A51" s="0" t="s">
        <v>171</v>
      </c>
      <c r="B51" s="0" t="s">
        <v>172</v>
      </c>
      <c r="C51" s="0" t="s">
        <v>30</v>
      </c>
      <c r="E51" s="7" t="n">
        <v>0.011581</v>
      </c>
      <c r="G51" s="8" t="s">
        <v>145</v>
      </c>
      <c r="H51" s="8" t="s">
        <v>173</v>
      </c>
      <c r="I51" s="8" t="s">
        <v>125</v>
      </c>
    </row>
    <row r="52" customFormat="false" ht="17.15" hidden="false" customHeight="false" outlineLevel="0" collapsed="false">
      <c r="A52" s="0" t="s">
        <v>174</v>
      </c>
      <c r="B52" s="0" t="s">
        <v>175</v>
      </c>
      <c r="C52" s="0" t="s">
        <v>30</v>
      </c>
      <c r="E52" s="7" t="n">
        <v>0.110069</v>
      </c>
      <c r="G52" s="8" t="s">
        <v>145</v>
      </c>
      <c r="H52" s="8" t="s">
        <v>176</v>
      </c>
      <c r="I52" s="8" t="s">
        <v>125</v>
      </c>
    </row>
    <row r="53" customFormat="false" ht="17.15" hidden="false" customHeight="false" outlineLevel="0" collapsed="false">
      <c r="A53" s="0" t="s">
        <v>177</v>
      </c>
      <c r="B53" s="0" t="s">
        <v>178</v>
      </c>
      <c r="C53" s="5" t="s">
        <v>179</v>
      </c>
      <c r="E53" s="7" t="n">
        <v>0.181157</v>
      </c>
      <c r="G53" s="8" t="s">
        <v>145</v>
      </c>
      <c r="H53" s="8" t="s">
        <v>180</v>
      </c>
      <c r="I53" s="8" t="s">
        <v>125</v>
      </c>
    </row>
    <row r="54" customFormat="false" ht="17.15" hidden="false" customHeight="false" outlineLevel="0" collapsed="false">
      <c r="A54" s="0" t="s">
        <v>181</v>
      </c>
      <c r="B54" s="0" t="s">
        <v>182</v>
      </c>
      <c r="C54" s="0" t="s">
        <v>30</v>
      </c>
      <c r="E54" s="7" t="n">
        <v>0.3924</v>
      </c>
      <c r="G54" s="8" t="s">
        <v>145</v>
      </c>
      <c r="H54" s="8" t="s">
        <v>183</v>
      </c>
      <c r="I54" s="8" t="s">
        <v>184</v>
      </c>
    </row>
    <row r="55" customFormat="false" ht="17.15" hidden="false" customHeight="false" outlineLevel="0" collapsed="false">
      <c r="A55" s="0" t="s">
        <v>185</v>
      </c>
      <c r="B55" s="0" t="s">
        <v>186</v>
      </c>
      <c r="C55" s="0" t="s">
        <v>30</v>
      </c>
      <c r="E55" s="7" t="n">
        <v>0.289259</v>
      </c>
      <c r="G55" s="8" t="s">
        <v>145</v>
      </c>
      <c r="H55" s="8" t="s">
        <v>187</v>
      </c>
      <c r="I55" s="8" t="s">
        <v>188</v>
      </c>
    </row>
    <row r="56" customFormat="false" ht="17.15" hidden="false" customHeight="false" outlineLevel="0" collapsed="false">
      <c r="A56" s="0" t="s">
        <v>189</v>
      </c>
      <c r="B56" s="0" t="s">
        <v>190</v>
      </c>
      <c r="C56" s="0" t="s">
        <v>30</v>
      </c>
      <c r="E56" s="0" t="n">
        <f aca="false">0.289259-0.153472</f>
        <v>0.135787</v>
      </c>
      <c r="G56" s="0" t="s">
        <v>145</v>
      </c>
      <c r="H56" s="0" t="s">
        <v>191</v>
      </c>
      <c r="I56" s="0" t="s">
        <v>192</v>
      </c>
    </row>
    <row r="57" customFormat="false" ht="17.15" hidden="false" customHeight="false" outlineLevel="0" collapsed="false">
      <c r="A57" s="0" t="s">
        <v>193</v>
      </c>
      <c r="B57" s="0" t="s">
        <v>194</v>
      </c>
      <c r="C57" s="0" t="s">
        <v>30</v>
      </c>
      <c r="E57" s="0" t="n">
        <f aca="false">0.013577-0.0015</f>
        <v>0.012077</v>
      </c>
      <c r="G57" s="0" t="s">
        <v>145</v>
      </c>
      <c r="H57" s="0" t="s">
        <v>195</v>
      </c>
      <c r="I57" s="0" t="s">
        <v>196</v>
      </c>
    </row>
    <row r="58" customFormat="false" ht="17.15" hidden="false" customHeight="false" outlineLevel="0" collapsed="false">
      <c r="A58" s="0" t="s">
        <v>197</v>
      </c>
      <c r="B58" s="0" t="s">
        <v>198</v>
      </c>
      <c r="C58" s="0" t="s">
        <v>30</v>
      </c>
      <c r="E58" s="7" t="n">
        <v>0.145816</v>
      </c>
      <c r="G58" s="8" t="s">
        <v>145</v>
      </c>
      <c r="H58" s="8" t="s">
        <v>199</v>
      </c>
      <c r="I58" s="8" t="s">
        <v>200</v>
      </c>
    </row>
    <row r="59" customFormat="false" ht="17.15" hidden="false" customHeight="false" outlineLevel="0" collapsed="false">
      <c r="A59" s="0" t="s">
        <v>201</v>
      </c>
      <c r="B59" s="0" t="s">
        <v>202</v>
      </c>
      <c r="C59" s="5" t="s">
        <v>179</v>
      </c>
      <c r="E59" s="7" t="n">
        <v>0.18334</v>
      </c>
      <c r="G59" s="8" t="s">
        <v>145</v>
      </c>
      <c r="H59" s="8" t="s">
        <v>203</v>
      </c>
      <c r="I59" s="8" t="s">
        <v>125</v>
      </c>
    </row>
    <row r="60" customFormat="false" ht="17.15" hidden="false" customHeight="false" outlineLevel="0" collapsed="false">
      <c r="A60" s="0" t="s">
        <v>204</v>
      </c>
      <c r="B60" s="0" t="s">
        <v>205</v>
      </c>
      <c r="C60" s="0" t="s">
        <v>206</v>
      </c>
      <c r="E60" s="7" t="n">
        <v>0.8</v>
      </c>
      <c r="G60" s="8" t="s">
        <v>145</v>
      </c>
      <c r="H60" s="8" t="s">
        <v>207</v>
      </c>
      <c r="I60" s="8" t="s">
        <v>208</v>
      </c>
    </row>
    <row r="61" customFormat="false" ht="17.15" hidden="false" customHeight="false" outlineLevel="0" collapsed="false">
      <c r="A61" s="0" t="s">
        <v>209</v>
      </c>
      <c r="B61" s="0" t="s">
        <v>210</v>
      </c>
      <c r="C61" s="0" t="s">
        <v>30</v>
      </c>
      <c r="D61" s="7" t="n">
        <v>0.54</v>
      </c>
      <c r="E61" s="7" t="n">
        <v>0.55</v>
      </c>
      <c r="F61" s="7" t="n">
        <v>0.56</v>
      </c>
      <c r="G61" s="8" t="s">
        <v>211</v>
      </c>
      <c r="H61" s="8" t="s">
        <v>212</v>
      </c>
      <c r="I61" s="8" t="s">
        <v>213</v>
      </c>
    </row>
    <row r="62" customFormat="false" ht="17.15" hidden="false" customHeight="false" outlineLevel="0" collapsed="false">
      <c r="A62" s="0" t="s">
        <v>214</v>
      </c>
      <c r="B62" s="0" t="s">
        <v>215</v>
      </c>
      <c r="C62" s="0" t="s">
        <v>144</v>
      </c>
      <c r="D62" s="7" t="n">
        <v>0.715</v>
      </c>
      <c r="E62" s="7" t="n">
        <v>0.72</v>
      </c>
      <c r="F62" s="7" t="n">
        <v>0.725</v>
      </c>
      <c r="G62" s="8" t="s">
        <v>211</v>
      </c>
      <c r="H62" s="8" t="s">
        <v>216</v>
      </c>
      <c r="I62" s="8" t="s">
        <v>217</v>
      </c>
    </row>
    <row r="63" customFormat="false" ht="17.15" hidden="false" customHeight="false" outlineLevel="0" collapsed="false">
      <c r="A63" s="0" t="s">
        <v>218</v>
      </c>
      <c r="B63" s="0" t="s">
        <v>219</v>
      </c>
      <c r="C63" s="0" t="s">
        <v>30</v>
      </c>
      <c r="D63" s="7" t="n">
        <v>0.156</v>
      </c>
      <c r="E63" s="7" t="n">
        <v>0.158</v>
      </c>
      <c r="F63" s="7" t="n">
        <v>0.16</v>
      </c>
      <c r="G63" s="8" t="s">
        <v>211</v>
      </c>
      <c r="H63" s="8" t="s">
        <v>220</v>
      </c>
      <c r="I63" s="8" t="s">
        <v>221</v>
      </c>
    </row>
    <row r="64" customFormat="false" ht="17.15" hidden="false" customHeight="false" outlineLevel="0" collapsed="false">
      <c r="A64" s="0" t="s">
        <v>222</v>
      </c>
      <c r="B64" s="0" t="s">
        <v>223</v>
      </c>
      <c r="C64" s="0" t="s">
        <v>206</v>
      </c>
      <c r="D64" s="7" t="n">
        <v>1.16</v>
      </c>
      <c r="E64" s="7" t="n">
        <v>1.185</v>
      </c>
      <c r="F64" s="7" t="n">
        <v>1.21</v>
      </c>
      <c r="G64" s="8" t="s">
        <v>211</v>
      </c>
      <c r="H64" s="8" t="s">
        <v>224</v>
      </c>
      <c r="I64" s="8" t="s">
        <v>225</v>
      </c>
    </row>
    <row r="65" customFormat="false" ht="17.15" hidden="false" customHeight="false" outlineLevel="0" collapsed="false">
      <c r="A65" s="0" t="s">
        <v>226</v>
      </c>
      <c r="B65" s="0" t="s">
        <v>227</v>
      </c>
      <c r="C65" s="5" t="s">
        <v>179</v>
      </c>
      <c r="E65" s="7" t="n">
        <v>0.185</v>
      </c>
      <c r="G65" s="8" t="s">
        <v>211</v>
      </c>
      <c r="H65" s="8" t="s">
        <v>228</v>
      </c>
      <c r="I65" s="8" t="s">
        <v>125</v>
      </c>
    </row>
    <row r="66" customFormat="false" ht="17.15" hidden="false" customHeight="false" outlineLevel="0" collapsed="false">
      <c r="A66" s="0" t="s">
        <v>229</v>
      </c>
      <c r="B66" s="0" t="s">
        <v>230</v>
      </c>
      <c r="C66" s="0" t="s">
        <v>144</v>
      </c>
      <c r="D66" s="7" t="n">
        <v>0.11</v>
      </c>
      <c r="E66" s="7" t="n">
        <v>0.12</v>
      </c>
      <c r="F66" s="7" t="n">
        <v>0.13</v>
      </c>
      <c r="G66" s="8" t="s">
        <v>211</v>
      </c>
      <c r="H66" s="8" t="s">
        <v>231</v>
      </c>
      <c r="I66" s="8" t="s">
        <v>232</v>
      </c>
    </row>
    <row r="67" customFormat="false" ht="17.15" hidden="false" customHeight="false" outlineLevel="0" collapsed="false">
      <c r="A67" s="0" t="s">
        <v>233</v>
      </c>
      <c r="B67" s="0" t="s">
        <v>234</v>
      </c>
      <c r="C67" s="0" t="s">
        <v>30</v>
      </c>
      <c r="D67" s="7" t="n">
        <v>0.011</v>
      </c>
      <c r="E67" s="7" t="n">
        <v>0.0125</v>
      </c>
      <c r="F67" s="7" t="n">
        <v>0.014</v>
      </c>
      <c r="G67" s="8" t="s">
        <v>88</v>
      </c>
      <c r="H67" s="8" t="s">
        <v>235</v>
      </c>
      <c r="I67" s="8" t="s">
        <v>125</v>
      </c>
    </row>
    <row r="68" customFormat="false" ht="17.15" hidden="false" customHeight="false" outlineLevel="0" collapsed="false">
      <c r="A68" s="0" t="s">
        <v>236</v>
      </c>
      <c r="B68" s="0" t="s">
        <v>237</v>
      </c>
      <c r="C68" s="0" t="s">
        <v>144</v>
      </c>
      <c r="D68" s="7" t="n">
        <v>0.05</v>
      </c>
      <c r="E68" s="7" t="n">
        <v>0.15</v>
      </c>
      <c r="F68" s="7" t="n">
        <v>0.3</v>
      </c>
      <c r="G68" s="8" t="s">
        <v>88</v>
      </c>
      <c r="H68" s="5" t="s">
        <v>238</v>
      </c>
      <c r="I68" s="8" t="s">
        <v>239</v>
      </c>
    </row>
    <row r="69" customFormat="false" ht="17.15" hidden="false" customHeight="false" outlineLevel="0" collapsed="false">
      <c r="A69" s="0" t="s">
        <v>240</v>
      </c>
      <c r="B69" s="0" t="s">
        <v>241</v>
      </c>
      <c r="C69" s="0" t="s">
        <v>144</v>
      </c>
      <c r="D69" s="7" t="n">
        <v>0.7</v>
      </c>
      <c r="E69" s="7" t="n">
        <v>0.715</v>
      </c>
      <c r="F69" s="7" t="n">
        <v>0.725</v>
      </c>
      <c r="G69" s="8" t="s">
        <v>88</v>
      </c>
      <c r="H69" s="8" t="s">
        <v>242</v>
      </c>
      <c r="I69" s="8" t="s">
        <v>125</v>
      </c>
    </row>
    <row r="70" customFormat="false" ht="17.15" hidden="false" customHeight="false" outlineLevel="0" collapsed="false">
      <c r="A70" s="0" t="s">
        <v>243</v>
      </c>
      <c r="B70" s="0" t="s">
        <v>244</v>
      </c>
      <c r="C70" s="0" t="s">
        <v>30</v>
      </c>
      <c r="D70" s="7" t="n">
        <v>0.162</v>
      </c>
      <c r="E70" s="7" t="n">
        <v>0.168</v>
      </c>
      <c r="F70" s="7" t="n">
        <v>0.176</v>
      </c>
      <c r="G70" s="8" t="s">
        <v>88</v>
      </c>
      <c r="H70" s="8" t="s">
        <v>245</v>
      </c>
      <c r="I70" s="8" t="s">
        <v>125</v>
      </c>
    </row>
    <row r="71" customFormat="false" ht="17.15" hidden="false" customHeight="false" outlineLevel="0" collapsed="false">
      <c r="A71" s="0" t="s">
        <v>246</v>
      </c>
      <c r="B71" s="0" t="s">
        <v>247</v>
      </c>
      <c r="C71" s="5" t="s">
        <v>179</v>
      </c>
      <c r="D71" s="7" t="n">
        <v>0.1855</v>
      </c>
      <c r="E71" s="7" t="n">
        <v>0.1865</v>
      </c>
      <c r="F71" s="7" t="n">
        <v>0.188</v>
      </c>
      <c r="G71" s="8" t="s">
        <v>88</v>
      </c>
      <c r="H71" s="8" t="s">
        <v>248</v>
      </c>
      <c r="I71" s="8" t="s">
        <v>125</v>
      </c>
    </row>
    <row r="72" customFormat="false" ht="17.15" hidden="false" customHeight="false" outlineLevel="0" collapsed="false">
      <c r="A72" s="1" t="s">
        <v>249</v>
      </c>
    </row>
    <row r="73" customFormat="false" ht="17.15" hidden="false" customHeight="false" outlineLevel="0" collapsed="false">
      <c r="A73" s="0" t="s">
        <v>250</v>
      </c>
      <c r="B73" s="0" t="s">
        <v>251</v>
      </c>
      <c r="C73" s="0" t="s">
        <v>30</v>
      </c>
      <c r="E73" s="7" t="n">
        <v>0.39629</v>
      </c>
      <c r="G73" s="8" t="s">
        <v>145</v>
      </c>
      <c r="H73" s="8" t="s">
        <v>252</v>
      </c>
      <c r="I73" s="8" t="s">
        <v>253</v>
      </c>
    </row>
    <row r="74" customFormat="false" ht="17.15" hidden="false" customHeight="false" outlineLevel="0" collapsed="false">
      <c r="A74" s="0" t="s">
        <v>254</v>
      </c>
      <c r="B74" s="0" t="s">
        <v>255</v>
      </c>
      <c r="C74" s="0" t="s">
        <v>30</v>
      </c>
      <c r="E74" s="7" t="n">
        <v>0.303544</v>
      </c>
      <c r="G74" s="8" t="s">
        <v>145</v>
      </c>
      <c r="H74" s="8" t="s">
        <v>256</v>
      </c>
      <c r="I74" s="8" t="s">
        <v>125</v>
      </c>
    </row>
    <row r="75" customFormat="false" ht="17.15" hidden="false" customHeight="false" outlineLevel="0" collapsed="false">
      <c r="A75" s="0" t="s">
        <v>257</v>
      </c>
      <c r="B75" s="0" t="s">
        <v>258</v>
      </c>
      <c r="C75" s="0" t="s">
        <v>30</v>
      </c>
      <c r="E75" s="0" t="n">
        <f aca="false">0.303544-0.119594</f>
        <v>0.18395</v>
      </c>
      <c r="G75" s="0" t="s">
        <v>145</v>
      </c>
      <c r="H75" s="0" t="s">
        <v>259</v>
      </c>
      <c r="I75" s="0" t="s">
        <v>125</v>
      </c>
    </row>
    <row r="76" customFormat="false" ht="17.15" hidden="false" customHeight="false" outlineLevel="0" collapsed="false">
      <c r="A76" s="0" t="s">
        <v>260</v>
      </c>
      <c r="B76" s="0" t="s">
        <v>261</v>
      </c>
      <c r="C76" s="0" t="s">
        <v>30</v>
      </c>
      <c r="E76" s="7" t="n">
        <v>0.034288</v>
      </c>
      <c r="G76" s="8" t="s">
        <v>145</v>
      </c>
      <c r="H76" s="8" t="s">
        <v>252</v>
      </c>
      <c r="I76" s="8" t="s">
        <v>125</v>
      </c>
    </row>
    <row r="77" customFormat="false" ht="17.15" hidden="false" customHeight="false" outlineLevel="0" collapsed="false">
      <c r="A77" s="0" t="s">
        <v>262</v>
      </c>
      <c r="B77" s="0" t="s">
        <v>263</v>
      </c>
      <c r="C77" s="0" t="s">
        <v>30</v>
      </c>
      <c r="E77" s="7" t="n">
        <v>0.143329</v>
      </c>
      <c r="G77" s="8" t="s">
        <v>145</v>
      </c>
      <c r="H77" s="8" t="s">
        <v>252</v>
      </c>
      <c r="I77" s="5" t="s">
        <v>264</v>
      </c>
    </row>
    <row r="78" customFormat="false" ht="17.15" hidden="false" customHeight="false" outlineLevel="0" collapsed="false">
      <c r="A78" s="0" t="s">
        <v>265</v>
      </c>
      <c r="B78" s="0" t="s">
        <v>266</v>
      </c>
      <c r="C78" s="5" t="s">
        <v>179</v>
      </c>
      <c r="E78" s="7" t="n">
        <v>0.168913</v>
      </c>
      <c r="G78" s="8" t="s">
        <v>145</v>
      </c>
      <c r="H78" s="8" t="s">
        <v>252</v>
      </c>
      <c r="I78" s="8" t="s">
        <v>125</v>
      </c>
    </row>
    <row r="79" customFormat="false" ht="17.15" hidden="false" customHeight="false" outlineLevel="0" collapsed="false">
      <c r="A79" s="0" t="s">
        <v>267</v>
      </c>
      <c r="B79" s="0" t="s">
        <v>268</v>
      </c>
      <c r="C79" s="0" t="s">
        <v>206</v>
      </c>
      <c r="E79" s="7" t="n">
        <v>0.84</v>
      </c>
      <c r="G79" s="8" t="s">
        <v>145</v>
      </c>
      <c r="H79" s="8" t="s">
        <v>269</v>
      </c>
      <c r="I79" s="8" t="s">
        <v>125</v>
      </c>
    </row>
    <row r="80" customFormat="false" ht="17.15" hidden="false" customHeight="false" outlineLevel="0" collapsed="false">
      <c r="A80" s="0" t="s">
        <v>270</v>
      </c>
      <c r="B80" s="0" t="s">
        <v>271</v>
      </c>
      <c r="C80" s="0" t="s">
        <v>30</v>
      </c>
      <c r="E80" s="7" t="n">
        <v>0.852525</v>
      </c>
      <c r="G80" s="8" t="s">
        <v>145</v>
      </c>
      <c r="H80" s="8" t="s">
        <v>252</v>
      </c>
      <c r="I80" s="8" t="s">
        <v>272</v>
      </c>
    </row>
    <row r="81" customFormat="false" ht="17.15" hidden="false" customHeight="false" outlineLevel="0" collapsed="false">
      <c r="A81" s="0" t="s">
        <v>273</v>
      </c>
      <c r="B81" s="0" t="s">
        <v>274</v>
      </c>
      <c r="C81" s="0" t="s">
        <v>30</v>
      </c>
      <c r="E81" s="7" t="n">
        <v>0.646384</v>
      </c>
      <c r="G81" s="8" t="s">
        <v>145</v>
      </c>
      <c r="H81" s="8" t="s">
        <v>275</v>
      </c>
      <c r="I81" s="8" t="s">
        <v>125</v>
      </c>
    </row>
    <row r="82" customFormat="false" ht="17.15" hidden="false" customHeight="false" outlineLevel="0" collapsed="false">
      <c r="A82" s="0" t="s">
        <v>276</v>
      </c>
      <c r="B82" s="0" t="s">
        <v>277</v>
      </c>
      <c r="C82" s="0" t="s">
        <v>30</v>
      </c>
      <c r="E82" s="0" t="n">
        <f aca="false">0.646384-0.334406</f>
        <v>0.311978</v>
      </c>
      <c r="G82" s="0" t="s">
        <v>145</v>
      </c>
      <c r="H82" s="0" t="s">
        <v>278</v>
      </c>
      <c r="I82" s="0" t="s">
        <v>125</v>
      </c>
    </row>
    <row r="83" customFormat="false" ht="17.15" hidden="false" customHeight="false" outlineLevel="0" collapsed="false">
      <c r="A83" s="0" t="s">
        <v>279</v>
      </c>
      <c r="B83" s="0" t="s">
        <v>280</v>
      </c>
      <c r="C83" s="0" t="s">
        <v>30</v>
      </c>
      <c r="E83" s="7" t="n">
        <v>0.04473</v>
      </c>
      <c r="G83" s="8" t="s">
        <v>145</v>
      </c>
      <c r="H83" s="8" t="s">
        <v>252</v>
      </c>
      <c r="I83" s="8" t="s">
        <v>125</v>
      </c>
    </row>
    <row r="84" customFormat="false" ht="17.15" hidden="false" customHeight="false" outlineLevel="0" collapsed="false">
      <c r="A84" s="0" t="s">
        <v>281</v>
      </c>
      <c r="B84" s="0" t="s">
        <v>282</v>
      </c>
      <c r="C84" s="0" t="s">
        <v>30</v>
      </c>
      <c r="E84" s="7" t="n">
        <v>0.331015</v>
      </c>
      <c r="G84" s="8" t="s">
        <v>145</v>
      </c>
      <c r="H84" s="8" t="s">
        <v>252</v>
      </c>
      <c r="I84" s="8" t="s">
        <v>283</v>
      </c>
    </row>
    <row r="85" customFormat="false" ht="17.15" hidden="false" customHeight="false" outlineLevel="0" collapsed="false">
      <c r="A85" s="0" t="s">
        <v>284</v>
      </c>
      <c r="B85" s="0" t="s">
        <v>285</v>
      </c>
      <c r="C85" s="5" t="s">
        <v>179</v>
      </c>
      <c r="E85" s="7" t="n">
        <v>0.179551</v>
      </c>
      <c r="G85" s="8" t="s">
        <v>145</v>
      </c>
      <c r="H85" s="8" t="s">
        <v>252</v>
      </c>
      <c r="I85" s="8" t="s">
        <v>125</v>
      </c>
    </row>
    <row r="86" customFormat="false" ht="17.15" hidden="false" customHeight="false" outlineLevel="0" collapsed="false">
      <c r="A86" s="0" t="s">
        <v>286</v>
      </c>
      <c r="B86" s="0" t="s">
        <v>287</v>
      </c>
      <c r="C86" s="0" t="s">
        <v>206</v>
      </c>
      <c r="E86" s="7" t="n">
        <v>1.84</v>
      </c>
      <c r="G86" s="8" t="s">
        <v>145</v>
      </c>
      <c r="H86" s="8" t="s">
        <v>288</v>
      </c>
      <c r="I86" s="8" t="s">
        <v>125</v>
      </c>
    </row>
    <row r="87" customFormat="false" ht="17.15" hidden="false" customHeight="false" outlineLevel="0" collapsed="false">
      <c r="A87" s="0" t="s">
        <v>289</v>
      </c>
      <c r="B87" s="0" t="s">
        <v>290</v>
      </c>
      <c r="C87" s="0" t="s">
        <v>30</v>
      </c>
      <c r="E87" s="7" t="n">
        <v>0.13765</v>
      </c>
      <c r="G87" s="8" t="s">
        <v>145</v>
      </c>
      <c r="H87" s="8" t="s">
        <v>291</v>
      </c>
      <c r="I87" s="8" t="s">
        <v>125</v>
      </c>
    </row>
    <row r="88" customFormat="false" ht="17.15" hidden="false" customHeight="false" outlineLevel="0" collapsed="false">
      <c r="A88" s="0" t="s">
        <v>292</v>
      </c>
      <c r="B88" s="5" t="s">
        <v>293</v>
      </c>
      <c r="C88" s="0" t="s">
        <v>30</v>
      </c>
      <c r="E88" s="7" t="n">
        <v>0.15743</v>
      </c>
      <c r="G88" s="8" t="s">
        <v>145</v>
      </c>
      <c r="H88" s="8" t="s">
        <v>294</v>
      </c>
      <c r="I88" s="5" t="s">
        <v>295</v>
      </c>
    </row>
    <row r="89" customFormat="false" ht="17.15" hidden="false" customHeight="false" outlineLevel="0" collapsed="false">
      <c r="A89" s="0" t="s">
        <v>296</v>
      </c>
      <c r="B89" s="5" t="s">
        <v>297</v>
      </c>
      <c r="C89" s="0" t="s">
        <v>30</v>
      </c>
      <c r="E89" s="7" t="n">
        <v>0.9648</v>
      </c>
      <c r="G89" s="8" t="s">
        <v>145</v>
      </c>
      <c r="H89" s="8" t="s">
        <v>294</v>
      </c>
      <c r="I89" s="8" t="s">
        <v>125</v>
      </c>
    </row>
    <row r="90" customFormat="false" ht="17.15" hidden="false" customHeight="false" outlineLevel="0" collapsed="false">
      <c r="A90" s="0" t="s">
        <v>298</v>
      </c>
      <c r="B90" s="5" t="s">
        <v>299</v>
      </c>
      <c r="C90" s="0" t="s">
        <v>30</v>
      </c>
      <c r="E90" s="7" t="n">
        <v>1.363634</v>
      </c>
      <c r="G90" s="8" t="s">
        <v>145</v>
      </c>
      <c r="H90" s="8" t="s">
        <v>294</v>
      </c>
      <c r="I90" s="8" t="s">
        <v>300</v>
      </c>
    </row>
    <row r="91" customFormat="false" ht="17.15" hidden="false" customHeight="false" outlineLevel="0" collapsed="false">
      <c r="A91" s="0" t="s">
        <v>301</v>
      </c>
      <c r="B91" s="5" t="s">
        <v>302</v>
      </c>
      <c r="C91" s="0" t="s">
        <v>30</v>
      </c>
      <c r="E91" s="7" t="n">
        <v>1.725704</v>
      </c>
      <c r="G91" s="8" t="s">
        <v>145</v>
      </c>
      <c r="H91" s="8" t="s">
        <v>294</v>
      </c>
      <c r="I91" s="8" t="s">
        <v>303</v>
      </c>
    </row>
    <row r="92" customFormat="false" ht="17.15" hidden="false" customHeight="false" outlineLevel="0" collapsed="false">
      <c r="A92" s="1" t="s">
        <v>304</v>
      </c>
    </row>
    <row r="93" customFormat="false" ht="17.15" hidden="false" customHeight="false" outlineLevel="0" collapsed="false">
      <c r="A93" s="0" t="s">
        <v>305</v>
      </c>
      <c r="B93" s="5" t="s">
        <v>306</v>
      </c>
      <c r="C93" s="0" t="s">
        <v>87</v>
      </c>
      <c r="D93" s="7" t="n">
        <v>0.4</v>
      </c>
      <c r="E93" s="9" t="n">
        <f aca="false">Q!B28</f>
        <v>0.725675131680289</v>
      </c>
      <c r="F93" s="7" t="n">
        <v>0.9</v>
      </c>
      <c r="G93" s="8" t="s">
        <v>31</v>
      </c>
      <c r="H93" s="8" t="s">
        <v>307</v>
      </c>
      <c r="I93" s="8" t="s">
        <v>308</v>
      </c>
    </row>
    <row r="94" customFormat="false" ht="17.15" hidden="false" customHeight="false" outlineLevel="0" collapsed="false">
      <c r="A94" s="0" t="s">
        <v>309</v>
      </c>
      <c r="B94" s="5" t="s">
        <v>310</v>
      </c>
      <c r="C94" s="0" t="s">
        <v>311</v>
      </c>
      <c r="D94" s="7" t="n">
        <v>-0.01</v>
      </c>
      <c r="E94" s="7" t="n">
        <v>0</v>
      </c>
      <c r="F94" s="7" t="n">
        <v>0.02</v>
      </c>
      <c r="G94" s="8" t="s">
        <v>88</v>
      </c>
      <c r="H94" s="5" t="s">
        <v>150</v>
      </c>
      <c r="I94" s="8" t="s">
        <v>312</v>
      </c>
    </row>
    <row r="95" customFormat="false" ht="17.15" hidden="false" customHeight="false" outlineLevel="0" collapsed="false">
      <c r="A95" s="0" t="s">
        <v>313</v>
      </c>
      <c r="B95" s="0" t="s">
        <v>314</v>
      </c>
      <c r="C95" s="0" t="s">
        <v>144</v>
      </c>
      <c r="D95" s="7" t="n">
        <v>0.66</v>
      </c>
      <c r="E95" s="7" t="n">
        <v>0.7</v>
      </c>
      <c r="F95" s="7" t="n">
        <v>0.72</v>
      </c>
      <c r="G95" s="8" t="s">
        <v>88</v>
      </c>
      <c r="H95" s="8" t="s">
        <v>315</v>
      </c>
      <c r="I95" s="8" t="s">
        <v>316</v>
      </c>
    </row>
    <row r="96" customFormat="false" ht="17.15" hidden="false" customHeight="false" outlineLevel="0" collapsed="false">
      <c r="A96" s="0" t="s">
        <v>317</v>
      </c>
      <c r="B96" s="0" t="s">
        <v>318</v>
      </c>
      <c r="C96" s="0" t="s">
        <v>144</v>
      </c>
      <c r="D96" s="7" t="n">
        <v>0.65</v>
      </c>
      <c r="E96" s="7" t="n">
        <v>0.695</v>
      </c>
      <c r="F96" s="7" t="n">
        <v>0.72</v>
      </c>
      <c r="G96" s="8" t="s">
        <v>88</v>
      </c>
      <c r="H96" s="5" t="s">
        <v>36</v>
      </c>
      <c r="I96" s="8" t="s">
        <v>125</v>
      </c>
    </row>
    <row r="97" customFormat="false" ht="17.15" hidden="false" customHeight="false" outlineLevel="0" collapsed="false">
      <c r="A97" s="0" t="s">
        <v>319</v>
      </c>
      <c r="B97" s="0" t="s">
        <v>320</v>
      </c>
      <c r="C97" s="0" t="s">
        <v>144</v>
      </c>
      <c r="D97" s="7" t="n">
        <v>0.64</v>
      </c>
      <c r="E97" s="7" t="n">
        <v>0.69</v>
      </c>
      <c r="F97" s="7" t="n">
        <v>0.72</v>
      </c>
      <c r="G97" s="8" t="s">
        <v>88</v>
      </c>
      <c r="H97" s="5" t="s">
        <v>321</v>
      </c>
      <c r="I97" s="8" t="s">
        <v>125</v>
      </c>
    </row>
    <row r="98" customFormat="false" ht="17.15" hidden="false" customHeight="false" outlineLevel="0" collapsed="false">
      <c r="A98" s="0" t="s">
        <v>322</v>
      </c>
      <c r="B98" s="5" t="s">
        <v>323</v>
      </c>
      <c r="C98" s="0" t="s">
        <v>30</v>
      </c>
      <c r="D98" s="7" t="n">
        <v>0.03</v>
      </c>
      <c r="E98" s="7" t="n">
        <v>0.05</v>
      </c>
      <c r="F98" s="7" t="n">
        <v>0.07</v>
      </c>
      <c r="G98" s="8" t="s">
        <v>88</v>
      </c>
      <c r="H98" s="5" t="s">
        <v>324</v>
      </c>
      <c r="I98" s="8" t="s">
        <v>125</v>
      </c>
    </row>
    <row r="99" customFormat="false" ht="17.15" hidden="false" customHeight="false" outlineLevel="0" collapsed="false">
      <c r="A99" s="0" t="s">
        <v>325</v>
      </c>
      <c r="B99" s="0" t="s">
        <v>326</v>
      </c>
      <c r="C99" s="0" t="s">
        <v>144</v>
      </c>
      <c r="D99" s="7" t="n">
        <v>0.1</v>
      </c>
      <c r="E99" s="7" t="n">
        <v>0.12</v>
      </c>
      <c r="F99" s="7" t="n">
        <v>0.15</v>
      </c>
      <c r="G99" s="8" t="s">
        <v>88</v>
      </c>
      <c r="H99" s="8" t="s">
        <v>327</v>
      </c>
      <c r="I99" s="8" t="s">
        <v>328</v>
      </c>
    </row>
    <row r="100" customFormat="false" ht="17.15" hidden="false" customHeight="false" outlineLevel="0" collapsed="false">
      <c r="A100" s="0" t="s">
        <v>329</v>
      </c>
      <c r="B100" s="0" t="s">
        <v>330</v>
      </c>
      <c r="C100" s="0" t="s">
        <v>144</v>
      </c>
      <c r="D100" s="7" t="n">
        <v>0.1</v>
      </c>
      <c r="E100" s="7" t="n">
        <v>0.12</v>
      </c>
      <c r="F100" s="7" t="n">
        <v>0.15</v>
      </c>
      <c r="G100" s="8" t="s">
        <v>88</v>
      </c>
      <c r="H100" s="5" t="s">
        <v>36</v>
      </c>
      <c r="I100" s="8" t="s">
        <v>125</v>
      </c>
    </row>
    <row r="101" customFormat="false" ht="17.15" hidden="false" customHeight="false" outlineLevel="0" collapsed="false">
      <c r="A101" s="0" t="s">
        <v>331</v>
      </c>
      <c r="B101" s="0" t="s">
        <v>332</v>
      </c>
      <c r="C101" s="0" t="s">
        <v>144</v>
      </c>
      <c r="D101" s="7" t="n">
        <v>0.1</v>
      </c>
      <c r="E101" s="7" t="n">
        <v>0.12</v>
      </c>
      <c r="F101" s="7" t="n">
        <v>0.15</v>
      </c>
      <c r="G101" s="8" t="s">
        <v>88</v>
      </c>
      <c r="H101" s="5" t="s">
        <v>36</v>
      </c>
      <c r="I101" s="8" t="s">
        <v>125</v>
      </c>
    </row>
    <row r="102" customFormat="false" ht="17.15" hidden="false" customHeight="false" outlineLevel="0" collapsed="false">
      <c r="A102" s="0" t="s">
        <v>333</v>
      </c>
      <c r="B102" s="5" t="s">
        <v>334</v>
      </c>
      <c r="C102" s="0" t="s">
        <v>144</v>
      </c>
      <c r="D102" s="7" t="n">
        <v>0.005</v>
      </c>
      <c r="E102" s="7" t="n">
        <v>0.015</v>
      </c>
      <c r="F102" s="7" t="n">
        <v>0.03</v>
      </c>
      <c r="G102" s="8" t="s">
        <v>88</v>
      </c>
      <c r="H102" s="8" t="s">
        <v>335</v>
      </c>
      <c r="I102" s="5" t="s">
        <v>336</v>
      </c>
    </row>
    <row r="103" customFormat="false" ht="17.15" hidden="false" customHeight="false" outlineLevel="0" collapsed="false">
      <c r="A103" s="0" t="s">
        <v>337</v>
      </c>
      <c r="B103" s="5" t="s">
        <v>338</v>
      </c>
      <c r="C103" s="0" t="s">
        <v>87</v>
      </c>
      <c r="D103" s="7" t="n">
        <v>0.8</v>
      </c>
      <c r="E103" s="7" t="n">
        <v>1</v>
      </c>
      <c r="F103" s="7" t="n">
        <v>1.2</v>
      </c>
      <c r="G103" s="8" t="s">
        <v>88</v>
      </c>
      <c r="H103" s="5" t="s">
        <v>339</v>
      </c>
      <c r="I103" s="8" t="s">
        <v>340</v>
      </c>
    </row>
    <row r="104" customFormat="false" ht="17.15" hidden="false" customHeight="false" outlineLevel="0" collapsed="false">
      <c r="A104" s="0" t="s">
        <v>341</v>
      </c>
      <c r="B104" s="0" t="s">
        <v>342</v>
      </c>
      <c r="C104" s="0" t="s">
        <v>87</v>
      </c>
      <c r="D104" s="7" t="n">
        <v>0.62</v>
      </c>
      <c r="E104" s="7" t="n">
        <v>0.7</v>
      </c>
      <c r="F104" s="7" t="n">
        <v>0.78</v>
      </c>
      <c r="G104" s="8" t="s">
        <v>88</v>
      </c>
      <c r="H104" s="8" t="s">
        <v>343</v>
      </c>
      <c r="I104" s="8" t="s">
        <v>344</v>
      </c>
    </row>
    <row r="105" customFormat="false" ht="17.15" hidden="false" customHeight="false" outlineLevel="0" collapsed="false">
      <c r="A105" s="1" t="s">
        <v>345</v>
      </c>
    </row>
    <row r="106" customFormat="false" ht="17.15" hidden="false" customHeight="false" outlineLevel="0" collapsed="false">
      <c r="A106" s="0" t="s">
        <v>346</v>
      </c>
      <c r="B106" s="5" t="s">
        <v>347</v>
      </c>
      <c r="C106" s="0" t="s">
        <v>30</v>
      </c>
      <c r="E106" s="7" t="n">
        <v>0.5508</v>
      </c>
      <c r="G106" s="8" t="s">
        <v>211</v>
      </c>
      <c r="H106" s="8" t="s">
        <v>348</v>
      </c>
      <c r="I106" s="8" t="s">
        <v>125</v>
      </c>
    </row>
    <row r="107" customFormat="false" ht="17.15" hidden="false" customHeight="false" outlineLevel="0" collapsed="false">
      <c r="A107" s="0" t="s">
        <v>349</v>
      </c>
      <c r="B107" s="5" t="s">
        <v>350</v>
      </c>
      <c r="C107" s="0" t="s">
        <v>30</v>
      </c>
      <c r="E107" s="7" t="n">
        <v>0.65571</v>
      </c>
      <c r="G107" s="8" t="s">
        <v>211</v>
      </c>
      <c r="H107" s="8" t="s">
        <v>351</v>
      </c>
      <c r="I107" s="8" t="s">
        <v>125</v>
      </c>
    </row>
    <row r="108" customFormat="false" ht="17.15" hidden="false" customHeight="false" outlineLevel="0" collapsed="false">
      <c r="A108" s="0" t="s">
        <v>352</v>
      </c>
      <c r="B108" s="5" t="s">
        <v>353</v>
      </c>
      <c r="C108" s="0" t="s">
        <v>30</v>
      </c>
      <c r="E108" s="7" t="n">
        <v>1.91</v>
      </c>
      <c r="G108" s="8" t="s">
        <v>211</v>
      </c>
      <c r="H108" s="8" t="s">
        <v>354</v>
      </c>
      <c r="I108" s="8" t="s">
        <v>355</v>
      </c>
    </row>
    <row r="109" customFormat="false" ht="17.15" hidden="false" customHeight="false" outlineLevel="0" collapsed="false">
      <c r="A109" s="0" t="s">
        <v>356</v>
      </c>
      <c r="B109" s="5" t="s">
        <v>357</v>
      </c>
      <c r="C109" s="0" t="s">
        <v>206</v>
      </c>
      <c r="E109" s="7" t="n">
        <v>4.03</v>
      </c>
      <c r="G109" s="8" t="s">
        <v>211</v>
      </c>
      <c r="H109" s="8" t="s">
        <v>358</v>
      </c>
      <c r="I109" s="8" t="s">
        <v>359</v>
      </c>
    </row>
    <row r="110" customFormat="false" ht="17.15" hidden="false" customHeight="false" outlineLevel="0" collapsed="false">
      <c r="A110" s="0" t="s">
        <v>360</v>
      </c>
      <c r="B110" s="5" t="s">
        <v>361</v>
      </c>
      <c r="C110" s="0" t="s">
        <v>30</v>
      </c>
      <c r="E110" s="7" t="n">
        <v>2.98</v>
      </c>
      <c r="G110" s="8" t="s">
        <v>211</v>
      </c>
      <c r="H110" s="8" t="s">
        <v>362</v>
      </c>
      <c r="I110" s="8" t="s">
        <v>363</v>
      </c>
    </row>
    <row r="111" customFormat="false" ht="17.15" hidden="false" customHeight="false" outlineLevel="0" collapsed="false">
      <c r="A111" s="0" t="s">
        <v>364</v>
      </c>
      <c r="B111" s="5" t="s">
        <v>365</v>
      </c>
      <c r="C111" s="0" t="s">
        <v>206</v>
      </c>
      <c r="E111" s="7" t="n">
        <v>6.4</v>
      </c>
      <c r="G111" s="8" t="s">
        <v>211</v>
      </c>
      <c r="H111" s="8" t="s">
        <v>366</v>
      </c>
      <c r="I111" s="5" t="s">
        <v>367</v>
      </c>
    </row>
    <row r="112" customFormat="false" ht="17.15" hidden="false" customHeight="false" outlineLevel="0" collapsed="false">
      <c r="A112" s="0" t="s">
        <v>368</v>
      </c>
      <c r="B112" s="5" t="s">
        <v>369</v>
      </c>
      <c r="C112" s="0" t="s">
        <v>30</v>
      </c>
      <c r="E112" s="7" t="n">
        <v>3.835</v>
      </c>
      <c r="G112" s="8" t="s">
        <v>211</v>
      </c>
      <c r="H112" s="8" t="s">
        <v>370</v>
      </c>
      <c r="I112" s="5" t="s">
        <v>371</v>
      </c>
    </row>
    <row r="113" customFormat="false" ht="17.15" hidden="false" customHeight="false" outlineLevel="0" collapsed="false">
      <c r="A113" s="0" t="s">
        <v>372</v>
      </c>
      <c r="B113" s="5" t="s">
        <v>373</v>
      </c>
      <c r="C113" s="0" t="s">
        <v>206</v>
      </c>
      <c r="E113" s="0" t="n">
        <f aca="false">6.36*cons_eps27/4.749</f>
        <v>8.57106759317751</v>
      </c>
      <c r="G113" s="0" t="s">
        <v>31</v>
      </c>
      <c r="H113" s="0" t="s">
        <v>374</v>
      </c>
      <c r="I113" s="0" t="s">
        <v>375</v>
      </c>
    </row>
    <row r="114" customFormat="false" ht="17.15" hidden="false" customHeight="false" outlineLevel="0" collapsed="false">
      <c r="A114" s="10" t="s">
        <v>376</v>
      </c>
      <c r="B114" s="11" t="s">
        <v>377</v>
      </c>
      <c r="C114" s="10" t="s">
        <v>206</v>
      </c>
      <c r="D114" s="10"/>
      <c r="E114" s="12" t="n">
        <v>388.36</v>
      </c>
      <c r="F114" s="10"/>
      <c r="G114" s="10" t="s">
        <v>211</v>
      </c>
      <c r="H114" s="10" t="s">
        <v>378</v>
      </c>
      <c r="I114" s="10" t="s">
        <v>379</v>
      </c>
    </row>
    <row r="115" customFormat="false" ht="17.15" hidden="false" customHeight="false" outlineLevel="0" collapsed="false">
      <c r="A115" s="0" t="s">
        <v>380</v>
      </c>
      <c r="B115" s="5" t="s">
        <v>381</v>
      </c>
      <c r="C115" s="0" t="s">
        <v>30</v>
      </c>
      <c r="E115" s="7" t="n">
        <v>20</v>
      </c>
      <c r="G115" s="8" t="s">
        <v>211</v>
      </c>
      <c r="H115" s="8" t="s">
        <v>382</v>
      </c>
      <c r="I115" s="8" t="s">
        <v>125</v>
      </c>
    </row>
    <row r="116" customFormat="false" ht="17.15" hidden="false" customHeight="false" outlineLevel="0" collapsed="false">
      <c r="A116" s="10" t="s">
        <v>383</v>
      </c>
      <c r="B116" s="11" t="s">
        <v>384</v>
      </c>
      <c r="C116" s="10" t="s">
        <v>144</v>
      </c>
      <c r="D116" s="10"/>
      <c r="E116" s="12" t="n">
        <v>0.3</v>
      </c>
      <c r="F116" s="10"/>
      <c r="G116" s="10" t="s">
        <v>88</v>
      </c>
      <c r="H116" s="10" t="s">
        <v>385</v>
      </c>
      <c r="I116" s="11" t="s">
        <v>386</v>
      </c>
    </row>
    <row r="117" customFormat="false" ht="17.15" hidden="false" customHeight="false" outlineLevel="0" collapsed="false">
      <c r="A117" s="10" t="s">
        <v>387</v>
      </c>
      <c r="B117" s="11" t="s">
        <v>388</v>
      </c>
      <c r="C117" s="10" t="s">
        <v>144</v>
      </c>
      <c r="D117" s="10"/>
      <c r="E117" s="12" t="n">
        <v>0.5</v>
      </c>
      <c r="F117" s="10"/>
      <c r="G117" s="10" t="s">
        <v>88</v>
      </c>
      <c r="H117" s="10" t="s">
        <v>389</v>
      </c>
      <c r="I117" s="10" t="s">
        <v>125</v>
      </c>
    </row>
    <row r="118" customFormat="false" ht="17.15" hidden="false" customHeight="false" outlineLevel="0" collapsed="false">
      <c r="A118" s="10" t="s">
        <v>390</v>
      </c>
      <c r="B118" s="11" t="s">
        <v>391</v>
      </c>
      <c r="C118" s="10" t="s">
        <v>144</v>
      </c>
      <c r="D118" s="10"/>
      <c r="E118" s="12" t="n">
        <v>0.2</v>
      </c>
      <c r="F118" s="10"/>
      <c r="G118" s="10" t="s">
        <v>88</v>
      </c>
      <c r="H118" s="10" t="s">
        <v>389</v>
      </c>
      <c r="I118" s="10" t="s">
        <v>125</v>
      </c>
    </row>
    <row r="119" customFormat="false" ht="17.15" hidden="false" customHeight="false" outlineLevel="0" collapsed="false">
      <c r="A119" s="1" t="s">
        <v>392</v>
      </c>
    </row>
    <row r="120" customFormat="false" ht="17.15" hidden="false" customHeight="false" outlineLevel="0" collapsed="false">
      <c r="A120" s="0" t="s">
        <v>393</v>
      </c>
      <c r="B120" s="5" t="s">
        <v>394</v>
      </c>
      <c r="C120" s="0" t="s">
        <v>206</v>
      </c>
      <c r="E120" s="7" t="n">
        <v>257.16</v>
      </c>
      <c r="G120" s="8" t="s">
        <v>211</v>
      </c>
      <c r="H120" s="8" t="s">
        <v>395</v>
      </c>
      <c r="I120" s="8" t="s">
        <v>396</v>
      </c>
    </row>
    <row r="121" customFormat="false" ht="17.15" hidden="false" customHeight="false" outlineLevel="0" collapsed="false">
      <c r="A121" s="0" t="s">
        <v>397</v>
      </c>
      <c r="B121" s="0" t="s">
        <v>398</v>
      </c>
      <c r="C121" s="0" t="s">
        <v>206</v>
      </c>
      <c r="E121" s="7" t="n">
        <v>499.48</v>
      </c>
      <c r="G121" s="8" t="s">
        <v>211</v>
      </c>
      <c r="H121" s="8" t="s">
        <v>399</v>
      </c>
      <c r="I121" s="8" t="s">
        <v>125</v>
      </c>
    </row>
    <row r="122" customFormat="false" ht="17.15" hidden="false" customHeight="false" outlineLevel="0" collapsed="false">
      <c r="A122" s="0" t="s">
        <v>400</v>
      </c>
      <c r="B122" s="5" t="s">
        <v>401</v>
      </c>
      <c r="C122" s="5" t="s">
        <v>179</v>
      </c>
      <c r="E122" s="7" t="n">
        <v>0.17349</v>
      </c>
      <c r="G122" s="8" t="s">
        <v>211</v>
      </c>
      <c r="H122" s="8" t="s">
        <v>402</v>
      </c>
      <c r="I122" s="8" t="s">
        <v>403</v>
      </c>
    </row>
    <row r="123" customFormat="false" ht="17.15" hidden="false" customHeight="false" outlineLevel="0" collapsed="false">
      <c r="A123" s="1" t="s">
        <v>404</v>
      </c>
    </row>
    <row r="124" customFormat="false" ht="17.15" hidden="false" customHeight="false" outlineLevel="0" collapsed="false">
      <c r="A124" s="10" t="s">
        <v>405</v>
      </c>
      <c r="B124" s="11" t="s">
        <v>406</v>
      </c>
      <c r="C124" s="10" t="s">
        <v>144</v>
      </c>
      <c r="D124" s="10"/>
      <c r="E124" s="12" t="n">
        <v>0.1</v>
      </c>
      <c r="F124" s="10"/>
      <c r="G124" s="10" t="s">
        <v>88</v>
      </c>
      <c r="H124" s="10" t="s">
        <v>407</v>
      </c>
      <c r="I124" s="10" t="s">
        <v>408</v>
      </c>
    </row>
    <row r="125" customFormat="false" ht="17.15" hidden="false" customHeight="false" outlineLevel="0" collapsed="false">
      <c r="A125" s="10" t="s">
        <v>409</v>
      </c>
      <c r="B125" s="11" t="s">
        <v>410</v>
      </c>
      <c r="C125" s="10" t="s">
        <v>144</v>
      </c>
      <c r="D125" s="10"/>
      <c r="E125" s="12" t="n">
        <v>0.04</v>
      </c>
      <c r="F125" s="10"/>
      <c r="G125" s="10" t="s">
        <v>88</v>
      </c>
      <c r="H125" s="10" t="s">
        <v>411</v>
      </c>
      <c r="I125" s="10" t="s">
        <v>125</v>
      </c>
    </row>
    <row r="126" customFormat="false" ht="17.15" hidden="false" customHeight="false" outlineLevel="0" collapsed="false">
      <c r="A126" s="10" t="s">
        <v>412</v>
      </c>
      <c r="B126" s="10" t="s">
        <v>413</v>
      </c>
      <c r="C126" s="10" t="s">
        <v>144</v>
      </c>
      <c r="D126" s="10"/>
      <c r="E126" s="10" t="n">
        <f aca="false">AVERAGE(a24_ni_in/AVERAGE(eq_23,eq_24),a25_ni_in/AVERAGE(eq_24,eq_25),(a25_ni_in-a25_ni_h1+q1_ni+q2_ni)/AVERAGE(eq_25,eq_q2))</f>
        <v>0.276866400660502</v>
      </c>
      <c r="F126" s="10"/>
      <c r="G126" s="10" t="s">
        <v>31</v>
      </c>
      <c r="H126" s="11" t="s">
        <v>414</v>
      </c>
      <c r="I126" s="11" t="s">
        <v>415</v>
      </c>
    </row>
    <row r="127" customFormat="false" ht="17.15" hidden="false" customHeight="false" outlineLevel="0" collapsed="false">
      <c r="A127" s="10" t="s">
        <v>416</v>
      </c>
      <c r="B127" s="11" t="s">
        <v>417</v>
      </c>
      <c r="C127" s="10" t="s">
        <v>144</v>
      </c>
      <c r="D127" s="10"/>
      <c r="E127" s="12" t="n">
        <v>0.5</v>
      </c>
      <c r="F127" s="10"/>
      <c r="G127" s="10" t="s">
        <v>88</v>
      </c>
      <c r="H127" s="10" t="s">
        <v>418</v>
      </c>
      <c r="I127" s="10" t="s">
        <v>125</v>
      </c>
    </row>
    <row r="128" customFormat="false" ht="17.15" hidden="false" customHeight="false" outlineLevel="0" collapsed="false">
      <c r="A128" s="10" t="s">
        <v>419</v>
      </c>
      <c r="B128" s="11" t="s">
        <v>420</v>
      </c>
      <c r="C128" s="10" t="s">
        <v>144</v>
      </c>
      <c r="D128" s="10"/>
      <c r="E128" s="10" t="n">
        <f aca="false">tp_g+0.02</f>
        <v>0.06</v>
      </c>
      <c r="F128" s="10"/>
      <c r="G128" s="10" t="s">
        <v>88</v>
      </c>
      <c r="H128" s="11" t="s">
        <v>421</v>
      </c>
      <c r="I128" s="10" t="s">
        <v>422</v>
      </c>
    </row>
    <row r="129" customFormat="false" ht="17.15" hidden="false" customHeight="false" outlineLevel="0" collapsed="false">
      <c r="A129" s="10" t="s">
        <v>423</v>
      </c>
      <c r="B129" s="11" t="s">
        <v>424</v>
      </c>
      <c r="C129" s="10" t="s">
        <v>144</v>
      </c>
      <c r="D129" s="10"/>
      <c r="E129" s="10" t="n">
        <f aca="false">tp_g</f>
        <v>0.04</v>
      </c>
      <c r="F129" s="10"/>
      <c r="G129" s="10" t="s">
        <v>88</v>
      </c>
      <c r="H129" s="11" t="s">
        <v>36</v>
      </c>
      <c r="I129" s="10" t="s">
        <v>125</v>
      </c>
    </row>
    <row r="130" customFormat="false" ht="17.15" hidden="false" customHeight="false" outlineLevel="0" collapsed="false">
      <c r="A130" s="10" t="s">
        <v>425</v>
      </c>
      <c r="B130" s="11" t="s">
        <v>426</v>
      </c>
      <c r="C130" s="10" t="s">
        <v>144</v>
      </c>
      <c r="D130" s="10"/>
      <c r="E130" s="10" t="n">
        <f aca="false">tp_g-0.02</f>
        <v>0.02</v>
      </c>
      <c r="F130" s="10"/>
      <c r="G130" s="10" t="s">
        <v>88</v>
      </c>
      <c r="H130" s="11" t="s">
        <v>36</v>
      </c>
      <c r="I130" s="10" t="s">
        <v>125</v>
      </c>
    </row>
    <row r="131" customFormat="false" ht="17.15" hidden="false" customHeight="false" outlineLevel="0" collapsed="false">
      <c r="A131" s="10" t="s">
        <v>427</v>
      </c>
      <c r="B131" s="11" t="s">
        <v>428</v>
      </c>
      <c r="C131" s="10" t="s">
        <v>144</v>
      </c>
      <c r="D131" s="10"/>
      <c r="E131" s="13" t="n">
        <f aca="false">PL!$G$88</f>
        <v>0.393436495102616</v>
      </c>
      <c r="F131" s="10"/>
      <c r="G131" s="10" t="s">
        <v>31</v>
      </c>
      <c r="H131" s="10" t="s">
        <v>429</v>
      </c>
      <c r="I131" s="10" t="s">
        <v>125</v>
      </c>
    </row>
    <row r="132" customFormat="false" ht="17.15" hidden="false" customHeight="false" outlineLevel="0" collapsed="false">
      <c r="A132" s="10" t="s">
        <v>430</v>
      </c>
      <c r="B132" s="11" t="s">
        <v>431</v>
      </c>
      <c r="C132" s="10" t="s">
        <v>144</v>
      </c>
      <c r="D132" s="10"/>
      <c r="E132" s="10" t="n">
        <f aca="false">(PL!$G$122+PL!$G$122*0.8)/2</f>
        <v>0.337778985994133</v>
      </c>
      <c r="F132" s="10"/>
      <c r="G132" s="10" t="s">
        <v>88</v>
      </c>
      <c r="H132" s="11" t="s">
        <v>432</v>
      </c>
      <c r="I132" s="10" t="s">
        <v>389</v>
      </c>
    </row>
    <row r="133" customFormat="false" ht="17.15" hidden="false" customHeight="false" outlineLevel="0" collapsed="false">
      <c r="A133" s="10" t="s">
        <v>433</v>
      </c>
      <c r="B133" s="11" t="s">
        <v>434</v>
      </c>
      <c r="C133" s="10" t="s">
        <v>144</v>
      </c>
      <c r="D133" s="10"/>
      <c r="E133" s="10" t="n">
        <f aca="false">PL!$G$156*0.8</f>
        <v>0.235305169620531</v>
      </c>
      <c r="F133" s="10"/>
      <c r="G133" s="10" t="s">
        <v>88</v>
      </c>
      <c r="H133" s="11" t="s">
        <v>435</v>
      </c>
      <c r="I133" s="10" t="s">
        <v>389</v>
      </c>
    </row>
    <row r="134" customFormat="false" ht="17.15" hidden="false" customHeight="false" outlineLevel="0" collapsed="false">
      <c r="A134" s="10" t="s">
        <v>436</v>
      </c>
      <c r="B134" s="11" t="s">
        <v>437</v>
      </c>
      <c r="C134" s="10" t="s">
        <v>206</v>
      </c>
      <c r="D134" s="10"/>
      <c r="E134" s="10" t="n">
        <f aca="false">tp_street</f>
        <v>388.36</v>
      </c>
      <c r="F134" s="10"/>
      <c r="G134" s="10" t="s">
        <v>211</v>
      </c>
      <c r="H134" s="11" t="s">
        <v>438</v>
      </c>
      <c r="I134" s="10" t="s">
        <v>439</v>
      </c>
    </row>
    <row r="135" customFormat="false" ht="17.15" hidden="false" customHeight="false" outlineLevel="0" collapsed="false">
      <c r="A135" s="10" t="s">
        <v>440</v>
      </c>
      <c r="B135" s="11" t="s">
        <v>441</v>
      </c>
      <c r="C135" s="10" t="s">
        <v>206</v>
      </c>
      <c r="D135" s="10"/>
      <c r="E135" s="10" t="n">
        <f aca="false">2/12*cons_eps27+10/12*cons_eps28</f>
        <v>8.2092229943146</v>
      </c>
      <c r="F135" s="10"/>
      <c r="G135" s="10" t="s">
        <v>31</v>
      </c>
      <c r="H135" s="10" t="s">
        <v>442</v>
      </c>
      <c r="I135" s="11" t="s"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8" min="2" style="0" width="14"/>
    <col collapsed="false" customWidth="true" hidden="false" outlineLevel="0" max="9" min="9" style="0" width="3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444</v>
      </c>
    </row>
    <row r="2" customFormat="false" ht="17.15" hidden="false" customHeight="false" outlineLevel="0" collapsed="false">
      <c r="A2" s="0" t="s">
        <v>445</v>
      </c>
    </row>
    <row r="3" customFormat="false" ht="17.15" hidden="false" customHeight="false" outlineLevel="0" collapsed="false">
      <c r="A3" s="6" t="s">
        <v>19</v>
      </c>
      <c r="B3" s="14" t="s">
        <v>446</v>
      </c>
      <c r="C3" s="14" t="s">
        <v>447</v>
      </c>
      <c r="D3" s="14" t="s">
        <v>448</v>
      </c>
      <c r="E3" s="14" t="s">
        <v>449</v>
      </c>
      <c r="F3" s="14" t="s">
        <v>450</v>
      </c>
      <c r="G3" s="14" t="s">
        <v>451</v>
      </c>
      <c r="H3" s="14" t="s">
        <v>452</v>
      </c>
      <c r="I3" s="6" t="s">
        <v>24</v>
      </c>
      <c r="J3" s="6" t="s">
        <v>453</v>
      </c>
    </row>
    <row r="4" customFormat="false" ht="17.15" hidden="false" customHeight="false" outlineLevel="0" collapsed="false">
      <c r="A4" s="5" t="s">
        <v>454</v>
      </c>
      <c r="B4" s="15" t="n">
        <f aca="false">a24_rev_in</f>
        <v>0.39629</v>
      </c>
      <c r="C4" s="15" t="n">
        <f aca="false">a25_rev_in</f>
        <v>0.852525</v>
      </c>
      <c r="D4" s="15" t="n">
        <f aca="false">q1_rev</f>
        <v>0.308361</v>
      </c>
      <c r="E4" s="15" t="n">
        <f aca="false">q2_rev</f>
        <v>0.3924</v>
      </c>
      <c r="F4" s="15" t="n">
        <f aca="false">q3_rev</f>
        <v>0.55</v>
      </c>
      <c r="G4" s="15" t="n">
        <f aca="false">F4*(1+g_q4)</f>
        <v>0.6325</v>
      </c>
      <c r="H4" s="15" t="n">
        <f aca="false">SUM(D4:G4)</f>
        <v>1.883261</v>
      </c>
      <c r="I4" s="8" t="s">
        <v>455</v>
      </c>
      <c r="J4" s="8" t="s">
        <v>456</v>
      </c>
    </row>
    <row r="5" customFormat="false" ht="17.15" hidden="false" customHeight="false" outlineLevel="0" collapsed="false">
      <c r="A5" s="5" t="s">
        <v>457</v>
      </c>
      <c r="B5" s="15" t="n">
        <f aca="false">a24_gp_in</f>
        <v>0.303544</v>
      </c>
      <c r="C5" s="15" t="n">
        <f aca="false">a25_gp_in</f>
        <v>0.646384</v>
      </c>
      <c r="D5" s="15" t="n">
        <f aca="false">q1_gp</f>
        <v>0.23564</v>
      </c>
      <c r="E5" s="15" t="n">
        <f aca="false">q2_gp</f>
        <v>0.289259</v>
      </c>
      <c r="F5" s="15" t="n">
        <f aca="false">F4*q3_gm</f>
        <v>0.396</v>
      </c>
      <c r="G5" s="15" t="n">
        <f aca="false">G4*gm_q4</f>
        <v>0.4522375</v>
      </c>
      <c r="H5" s="15" t="n">
        <f aca="false">SUM(D5:G5)</f>
        <v>1.3731365</v>
      </c>
      <c r="I5" s="8" t="s">
        <v>458</v>
      </c>
    </row>
    <row r="6" customFormat="false" ht="15" hidden="false" customHeight="false" outlineLevel="0" collapsed="false">
      <c r="A6" s="5" t="s">
        <v>459</v>
      </c>
      <c r="B6" s="16" t="n">
        <f aca="false">B5/B4</f>
        <v>0.765964319059275</v>
      </c>
      <c r="C6" s="16" t="n">
        <f aca="false">C5/C4</f>
        <v>0.758199466291311</v>
      </c>
      <c r="D6" s="16" t="n">
        <f aca="false">D5/D4</f>
        <v>0.764169269135851</v>
      </c>
      <c r="E6" s="16" t="n">
        <f aca="false">E5/E4</f>
        <v>0.737153414882773</v>
      </c>
      <c r="F6" s="16" t="n">
        <f aca="false">F5/F4</f>
        <v>0.72</v>
      </c>
      <c r="G6" s="16" t="n">
        <f aca="false">G5/G4</f>
        <v>0.715</v>
      </c>
      <c r="H6" s="16" t="n">
        <f aca="false">H5/H4</f>
        <v>0.729127030188593</v>
      </c>
      <c r="I6" s="8" t="s">
        <v>31</v>
      </c>
    </row>
    <row r="7" customFormat="false" ht="17.15" hidden="false" customHeight="false" outlineLevel="0" collapsed="false">
      <c r="A7" s="5" t="s">
        <v>460</v>
      </c>
      <c r="B7" s="15" t="n">
        <f aca="false">a24_opx_in</f>
        <v>0.18395</v>
      </c>
      <c r="C7" s="15" t="n">
        <f aca="false">a25_opx_in</f>
        <v>0.311978</v>
      </c>
      <c r="D7" s="15" t="n">
        <f aca="false">q1_opx</f>
        <v>0.123911</v>
      </c>
      <c r="E7" s="15" t="n">
        <f aca="false">q2_opx</f>
        <v>0.135787</v>
      </c>
      <c r="F7" s="15" t="n">
        <f aca="false">q3_opx</f>
        <v>0.158</v>
      </c>
      <c r="G7" s="15" t="n">
        <f aca="false">q4_opx</f>
        <v>0.168</v>
      </c>
      <c r="H7" s="15" t="n">
        <f aca="false">SUM(D7:G7)</f>
        <v>0.585698</v>
      </c>
      <c r="I7" s="8" t="s">
        <v>455</v>
      </c>
    </row>
    <row r="8" customFormat="false" ht="15" hidden="false" customHeight="false" outlineLevel="0" collapsed="false">
      <c r="A8" s="5" t="s">
        <v>461</v>
      </c>
      <c r="B8" s="16" t="n">
        <f aca="false">B7/B4</f>
        <v>0.464180272023013</v>
      </c>
      <c r="C8" s="16" t="n">
        <f aca="false">C7/C4</f>
        <v>0.365945866690126</v>
      </c>
      <c r="D8" s="16" t="n">
        <f aca="false">D7/D4</f>
        <v>0.401837456747124</v>
      </c>
      <c r="E8" s="16" t="n">
        <f aca="false">E7/E4</f>
        <v>0.346042303771662</v>
      </c>
      <c r="F8" s="16" t="n">
        <f aca="false">F7/F4</f>
        <v>0.287272727272727</v>
      </c>
      <c r="G8" s="16" t="n">
        <f aca="false">G7/G4</f>
        <v>0.265612648221344</v>
      </c>
      <c r="H8" s="16" t="n">
        <f aca="false">H7/H4</f>
        <v>0.311002033175433</v>
      </c>
      <c r="I8" s="8" t="s">
        <v>31</v>
      </c>
    </row>
    <row r="9" customFormat="false" ht="17.15" hidden="false" customHeight="false" outlineLevel="0" collapsed="false">
      <c r="A9" s="5" t="s">
        <v>462</v>
      </c>
      <c r="B9" s="15" t="n">
        <f aca="false">B5-B7</f>
        <v>0.119594</v>
      </c>
      <c r="C9" s="15" t="n">
        <f aca="false">C5-C7</f>
        <v>0.334406</v>
      </c>
      <c r="D9" s="15" t="n">
        <f aca="false">D5-D7</f>
        <v>0.111729</v>
      </c>
      <c r="E9" s="15" t="n">
        <f aca="false">E5-E7</f>
        <v>0.153472</v>
      </c>
      <c r="F9" s="15" t="n">
        <f aca="false">F5-F7</f>
        <v>0.238</v>
      </c>
      <c r="G9" s="15" t="n">
        <f aca="false">G5-G7</f>
        <v>0.2842375</v>
      </c>
      <c r="H9" s="15" t="n">
        <f aca="false">H5-H7</f>
        <v>0.7874385</v>
      </c>
      <c r="I9" s="8" t="s">
        <v>31</v>
      </c>
    </row>
    <row r="10" customFormat="false" ht="17.15" hidden="false" customHeight="false" outlineLevel="0" collapsed="false">
      <c r="A10" s="5" t="s">
        <v>463</v>
      </c>
      <c r="B10" s="15" t="n">
        <f aca="false">a24_ninc_in</f>
        <v>0.034288</v>
      </c>
      <c r="C10" s="15" t="n">
        <f aca="false">a25_ninc_in</f>
        <v>0.04473</v>
      </c>
      <c r="D10" s="15" t="n">
        <f aca="false">q1_ninc</f>
        <v>0.011581</v>
      </c>
      <c r="E10" s="15" t="n">
        <f aca="false">q2_ninc</f>
        <v>0.012077</v>
      </c>
      <c r="F10" s="15" t="n">
        <f aca="false">q_oth</f>
        <v>0.0125</v>
      </c>
      <c r="G10" s="15" t="n">
        <f aca="false">q_oth</f>
        <v>0.0125</v>
      </c>
      <c r="H10" s="15" t="n">
        <f aca="false">SUM(D10:G10)</f>
        <v>0.048658</v>
      </c>
      <c r="I10" s="8" t="s">
        <v>464</v>
      </c>
    </row>
    <row r="11" customFormat="false" ht="15" hidden="false" customHeight="false" outlineLevel="0" collapsed="false">
      <c r="A11" s="5" t="s">
        <v>465</v>
      </c>
      <c r="B11" s="15" t="n">
        <f aca="false">B9+B10</f>
        <v>0.153882</v>
      </c>
      <c r="C11" s="15" t="n">
        <f aca="false">C9+C10</f>
        <v>0.379136</v>
      </c>
      <c r="D11" s="15" t="n">
        <f aca="false">D9+D10</f>
        <v>0.12331</v>
      </c>
      <c r="E11" s="15" t="n">
        <f aca="false">E9+E10</f>
        <v>0.165549</v>
      </c>
      <c r="F11" s="15" t="n">
        <f aca="false">F9+F10</f>
        <v>0.2505</v>
      </c>
      <c r="G11" s="15" t="n">
        <f aca="false">G9+G10</f>
        <v>0.2967375</v>
      </c>
      <c r="H11" s="15" t="n">
        <f aca="false">H9+H10</f>
        <v>0.8360965</v>
      </c>
      <c r="I11" s="8" t="s">
        <v>31</v>
      </c>
    </row>
    <row r="12" customFormat="false" ht="17.15" hidden="false" customHeight="false" outlineLevel="0" collapsed="false">
      <c r="A12" s="5" t="s">
        <v>466</v>
      </c>
      <c r="B12" s="15" t="n">
        <f aca="false">B11-a24_ni_in</f>
        <v>0.010553</v>
      </c>
      <c r="C12" s="15" t="n">
        <f aca="false">C11-a25_ni_in</f>
        <v>0.048121</v>
      </c>
      <c r="D12" s="15" t="n">
        <f aca="false">D11-q1_ni</f>
        <v>0.013241</v>
      </c>
      <c r="E12" s="15" t="n">
        <f aca="false">E11-q2_ni</f>
        <v>0.019733</v>
      </c>
      <c r="F12" s="15" t="n">
        <f aca="false">F11*tx_26</f>
        <v>0.03006</v>
      </c>
      <c r="G12" s="15" t="n">
        <f aca="false">G11*tx_26</f>
        <v>0.0356085</v>
      </c>
      <c r="H12" s="15" t="n">
        <f aca="false">SUM(D12:G12)</f>
        <v>0.0986425</v>
      </c>
      <c r="I12" s="8" t="s">
        <v>31</v>
      </c>
      <c r="J12" s="5" t="s">
        <v>467</v>
      </c>
    </row>
    <row r="13" customFormat="false" ht="15" hidden="false" customHeight="false" outlineLevel="0" collapsed="false">
      <c r="A13" s="5" t="s">
        <v>468</v>
      </c>
      <c r="B13" s="16" t="n">
        <f aca="false">B12/B11</f>
        <v>0.0685785212045594</v>
      </c>
      <c r="C13" s="16" t="n">
        <f aca="false">C12/C11</f>
        <v>0.126922792876435</v>
      </c>
      <c r="D13" s="16" t="n">
        <f aca="false">D12/D11</f>
        <v>0.107379774551942</v>
      </c>
      <c r="E13" s="16" t="n">
        <f aca="false">E12/E11</f>
        <v>0.11919733734423</v>
      </c>
      <c r="F13" s="16" t="n">
        <f aca="false">F12/F11</f>
        <v>0.12</v>
      </c>
      <c r="G13" s="16" t="n">
        <f aca="false">G12/G11</f>
        <v>0.12</v>
      </c>
      <c r="H13" s="16" t="n">
        <f aca="false">H12/H11</f>
        <v>0.117979802570636</v>
      </c>
      <c r="I13" s="8" t="s">
        <v>31</v>
      </c>
    </row>
    <row r="14" customFormat="false" ht="17.15" hidden="false" customHeight="false" outlineLevel="0" collapsed="false">
      <c r="A14" s="5" t="s">
        <v>469</v>
      </c>
      <c r="B14" s="15" t="n">
        <f aca="false">a24_ni_in</f>
        <v>0.143329</v>
      </c>
      <c r="C14" s="15" t="n">
        <f aca="false">a25_ni_in</f>
        <v>0.331015</v>
      </c>
      <c r="D14" s="15" t="n">
        <f aca="false">q1_ni</f>
        <v>0.110069</v>
      </c>
      <c r="E14" s="15" t="n">
        <f aca="false">q2_ni</f>
        <v>0.145816</v>
      </c>
      <c r="F14" s="15" t="n">
        <f aca="false">F11-F12</f>
        <v>0.22044</v>
      </c>
      <c r="G14" s="15" t="n">
        <f aca="false">G11-G12</f>
        <v>0.261129</v>
      </c>
      <c r="H14" s="15" t="n">
        <f aca="false">SUM(D14:G14)</f>
        <v>0.737454</v>
      </c>
      <c r="I14" s="8" t="s">
        <v>458</v>
      </c>
    </row>
    <row r="15" customFormat="false" ht="15" hidden="false" customHeight="false" outlineLevel="0" collapsed="false">
      <c r="A15" s="5" t="s">
        <v>470</v>
      </c>
      <c r="B15" s="16" t="n">
        <f aca="false">B14/B4</f>
        <v>0.361677054682177</v>
      </c>
      <c r="C15" s="16" t="n">
        <f aca="false">C14/C4</f>
        <v>0.388276003636257</v>
      </c>
      <c r="D15" s="16" t="n">
        <f aca="false">D14/D4</f>
        <v>0.356948511647063</v>
      </c>
      <c r="E15" s="16" t="n">
        <f aca="false">E14/E4</f>
        <v>0.371600407747197</v>
      </c>
      <c r="F15" s="16" t="n">
        <f aca="false">F14/F4</f>
        <v>0.4008</v>
      </c>
      <c r="G15" s="16" t="n">
        <f aca="false">G14/G4</f>
        <v>0.412852173913043</v>
      </c>
      <c r="H15" s="16" t="n">
        <f aca="false">H14/H4</f>
        <v>0.391583535155244</v>
      </c>
      <c r="I15" s="8" t="s">
        <v>31</v>
      </c>
    </row>
    <row r="16" customFormat="false" ht="17.15" hidden="false" customHeight="false" outlineLevel="0" collapsed="false">
      <c r="A16" s="5" t="s">
        <v>471</v>
      </c>
      <c r="B16" s="15" t="n">
        <f aca="false">a24_sh_in</f>
        <v>0.168913</v>
      </c>
      <c r="C16" s="15" t="n">
        <f aca="false">a25_sh_in</f>
        <v>0.179551</v>
      </c>
      <c r="D16" s="15" t="n">
        <f aca="false">q1_sh</f>
        <v>0.181157</v>
      </c>
      <c r="E16" s="15" t="n">
        <f aca="false">q2_sh</f>
        <v>0.18334</v>
      </c>
      <c r="F16" s="15" t="n">
        <f aca="false">q3_sh</f>
        <v>0.185</v>
      </c>
      <c r="G16" s="15" t="n">
        <f aca="false">q4_sh</f>
        <v>0.1865</v>
      </c>
      <c r="H16" s="15" t="n">
        <f aca="false">AVERAGE(D16:G16)</f>
        <v>0.18399925</v>
      </c>
      <c r="I16" s="8" t="s">
        <v>464</v>
      </c>
      <c r="J16" s="5" t="s">
        <v>472</v>
      </c>
    </row>
    <row r="17" customFormat="false" ht="17.15" hidden="false" customHeight="false" outlineLevel="0" collapsed="false">
      <c r="A17" s="0" t="s">
        <v>473</v>
      </c>
      <c r="B17" s="9" t="n">
        <f aca="false">B14/B16</f>
        <v>0.848537412750943</v>
      </c>
      <c r="C17" s="9" t="n">
        <f aca="false">C14/C16</f>
        <v>1.8435709074302</v>
      </c>
      <c r="D17" s="9" t="n">
        <f aca="false">D14/D16</f>
        <v>0.607588997389005</v>
      </c>
      <c r="E17" s="9" t="n">
        <f aca="false">E14/E16</f>
        <v>0.795331078869859</v>
      </c>
      <c r="F17" s="9" t="n">
        <f aca="false">F14/F16</f>
        <v>1.19156756756757</v>
      </c>
      <c r="G17" s="9" t="n">
        <f aca="false">G14/G16</f>
        <v>1.40015549597855</v>
      </c>
      <c r="H17" s="9" t="n">
        <f aca="false">H14/H16</f>
        <v>4.00791851053741</v>
      </c>
      <c r="I17" s="8" t="s">
        <v>31</v>
      </c>
      <c r="J17" s="5" t="s">
        <v>474</v>
      </c>
    </row>
    <row r="18" customFormat="false" ht="17.15" hidden="false" customHeight="false" outlineLevel="0" collapsed="false">
      <c r="A18" s="0" t="s">
        <v>475</v>
      </c>
      <c r="C18" s="15" t="n">
        <f aca="false">x_25</f>
        <v>0</v>
      </c>
      <c r="H18" s="15" t="n">
        <f aca="false">x_26</f>
        <v>0.38</v>
      </c>
      <c r="I18" s="8" t="s">
        <v>88</v>
      </c>
    </row>
    <row r="19" customFormat="false" ht="17.15" hidden="false" customHeight="false" outlineLevel="0" collapsed="false">
      <c r="A19" s="0" t="s">
        <v>476</v>
      </c>
      <c r="C19" s="15" t="n">
        <f aca="false">C4-C18</f>
        <v>0.852525</v>
      </c>
      <c r="H19" s="15" t="n">
        <f aca="false">H4-H18</f>
        <v>1.503261</v>
      </c>
      <c r="I19" s="8" t="s">
        <v>31</v>
      </c>
    </row>
    <row r="20" customFormat="false" ht="17.15" hidden="false" customHeight="false" outlineLevel="0" collapsed="false">
      <c r="A20" s="0" t="s">
        <v>477</v>
      </c>
      <c r="C20" s="16" t="n">
        <f aca="false">C18/C4</f>
        <v>0</v>
      </c>
      <c r="H20" s="16" t="n">
        <f aca="false">H18/H4</f>
        <v>0.201777661195129</v>
      </c>
      <c r="I20" s="8" t="s">
        <v>31</v>
      </c>
      <c r="J20" s="5" t="s">
        <v>478</v>
      </c>
    </row>
    <row r="23" customFormat="false" ht="17.15" hidden="false" customHeight="false" outlineLevel="0" collapsed="false">
      <c r="A23" s="1" t="s">
        <v>479</v>
      </c>
    </row>
    <row r="24" customFormat="false" ht="17.15" hidden="false" customHeight="false" outlineLevel="0" collapsed="false">
      <c r="A24" s="0" t="s">
        <v>480</v>
      </c>
      <c r="B24" s="16" t="n">
        <f aca="false">H4/cons_rev26-1</f>
        <v>-0.0139994764397905</v>
      </c>
    </row>
    <row r="25" customFormat="false" ht="17.15" hidden="false" customHeight="false" outlineLevel="0" collapsed="false">
      <c r="A25" s="0" t="s">
        <v>481</v>
      </c>
      <c r="B25" s="16" t="n">
        <f aca="false">H17/cons_eps26-1</f>
        <v>-0.00547927778228119</v>
      </c>
    </row>
    <row r="26" customFormat="false" ht="17.15" hidden="false" customHeight="false" outlineLevel="0" collapsed="false">
      <c r="A26" s="0" t="s">
        <v>482</v>
      </c>
      <c r="B26" s="16" t="n">
        <f aca="false">H4/C4-1</f>
        <v>1.20903903111346</v>
      </c>
    </row>
    <row r="27" customFormat="false" ht="17.15" hidden="false" customHeight="false" outlineLevel="0" collapsed="false">
      <c r="A27" s="0" t="s">
        <v>483</v>
      </c>
      <c r="B27" s="16" t="n">
        <f aca="false">H7/C7-1</f>
        <v>0.877369558109867</v>
      </c>
    </row>
    <row r="28" customFormat="false" ht="17.15" hidden="false" customHeight="false" outlineLevel="0" collapsed="false">
      <c r="A28" s="5" t="s">
        <v>484</v>
      </c>
      <c r="B28" s="9" t="n">
        <f aca="false">B27/B26</f>
        <v>0.725675131680289</v>
      </c>
    </row>
    <row r="29" customFormat="false" ht="17.15" hidden="false" customHeight="false" outlineLevel="0" collapsed="false">
      <c r="A29" s="0" t="s">
        <v>485</v>
      </c>
      <c r="B29" s="16" t="n">
        <f aca="false">E17/q2_eps-1</f>
        <v>-0.00583615141267591</v>
      </c>
    </row>
    <row r="30" customFormat="false" ht="17.15" hidden="false" customHeight="false" outlineLevel="0" collapsed="false">
      <c r="A30" s="0" t="s">
        <v>486</v>
      </c>
      <c r="B30" s="16" t="n">
        <f aca="false">F17/q3_eps-1</f>
        <v>0.00554225111187146</v>
      </c>
    </row>
    <row r="31" customFormat="false" ht="17.15" hidden="false" customHeight="false" outlineLevel="0" collapsed="false">
      <c r="A31" s="0" t="s">
        <v>487</v>
      </c>
      <c r="B31" s="16" t="n">
        <f aca="false">G4/cons_q4-1</f>
        <v>-0.0353967455124981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488</v>
      </c>
    </row>
    <row r="3" customFormat="false" ht="17.15" hidden="false" customHeight="false" outlineLevel="0" collapsed="false">
      <c r="A3" s="6" t="s">
        <v>19</v>
      </c>
      <c r="B3" s="6" t="s">
        <v>20</v>
      </c>
      <c r="C3" s="14" t="s">
        <v>489</v>
      </c>
      <c r="D3" s="14" t="s">
        <v>490</v>
      </c>
      <c r="E3" s="14" t="s">
        <v>491</v>
      </c>
      <c r="F3" s="14" t="s">
        <v>492</v>
      </c>
      <c r="G3" s="6" t="s">
        <v>453</v>
      </c>
    </row>
    <row r="4" customFormat="false" ht="17.15" hidden="false" customHeight="false" outlineLevel="0" collapsed="false">
      <c r="A4" s="0" t="s">
        <v>493</v>
      </c>
      <c r="B4" s="0" t="s">
        <v>30</v>
      </c>
      <c r="C4" s="17" t="n">
        <f aca="false">msu_26</f>
        <v>18.2761</v>
      </c>
      <c r="D4" s="17" t="n">
        <f aca="false">msu_27</f>
        <v>37.4157</v>
      </c>
      <c r="E4" s="17" t="n">
        <f aca="false">msu_28</f>
        <v>44.9835</v>
      </c>
      <c r="F4" s="17" t="n">
        <f aca="false">msu_29</f>
        <v>51.2458</v>
      </c>
      <c r="G4" s="8" t="s">
        <v>494</v>
      </c>
    </row>
    <row r="5" customFormat="false" ht="17.15" hidden="false" customHeight="false" outlineLevel="0" collapsed="false">
      <c r="A5" s="5" t="s">
        <v>495</v>
      </c>
      <c r="B5" s="0" t="s">
        <v>30</v>
      </c>
      <c r="C5" s="17" t="n">
        <f aca="false">PL!D63</f>
        <v>2.025</v>
      </c>
      <c r="D5" s="17" t="n">
        <f aca="false">PL!E63</f>
        <v>7.701</v>
      </c>
      <c r="E5" s="17" t="n">
        <f aca="false">PL!F63</f>
        <v>9.468</v>
      </c>
      <c r="F5" s="17" t="n">
        <f aca="false">PL!G63</f>
        <v>10.8882</v>
      </c>
      <c r="G5" s="8" t="s">
        <v>496</v>
      </c>
    </row>
    <row r="6" customFormat="false" ht="17.15" hidden="false" customHeight="false" outlineLevel="0" collapsed="false">
      <c r="A6" s="0" t="s">
        <v>497</v>
      </c>
      <c r="B6" s="0" t="s">
        <v>30</v>
      </c>
      <c r="C6" s="18" t="n">
        <f aca="false">PL!D67</f>
        <v>0.38</v>
      </c>
      <c r="D6" s="18" t="n">
        <f aca="false">PL!E67</f>
        <v>1.44512592592593</v>
      </c>
      <c r="E6" s="18" t="n">
        <f aca="false">PL!F67</f>
        <v>1.95438222222222</v>
      </c>
      <c r="F6" s="18" t="n">
        <f aca="false">PL!G67</f>
        <v>2.34970044444444</v>
      </c>
      <c r="G6" s="8" t="s">
        <v>498</v>
      </c>
    </row>
    <row r="7" customFormat="false" ht="17.15" hidden="false" customHeight="false" outlineLevel="0" collapsed="false">
      <c r="A7" s="0" t="s">
        <v>499</v>
      </c>
      <c r="B7" s="0" t="s">
        <v>144</v>
      </c>
      <c r="C7" s="16" t="n">
        <f aca="false">PL!D66</f>
        <v>0.187654320987654</v>
      </c>
      <c r="D7" s="16" t="n">
        <f aca="false">PL!E66</f>
        <v>0.187654320987654</v>
      </c>
      <c r="E7" s="16" t="n">
        <f aca="false">PL!F66</f>
        <v>0.20641975308642</v>
      </c>
      <c r="F7" s="16" t="n">
        <f aca="false">PL!G66</f>
        <v>0.215802469135802</v>
      </c>
      <c r="G7" s="8" t="s">
        <v>500</v>
      </c>
    </row>
    <row r="8" customFormat="false" ht="17.15" hidden="false" customHeight="false" outlineLevel="0" collapsed="false">
      <c r="A8" s="0" t="s">
        <v>501</v>
      </c>
      <c r="B8" s="0" t="s">
        <v>144</v>
      </c>
      <c r="C8" s="16" t="n">
        <f aca="false">PL!D67/C4</f>
        <v>0.0207921821395155</v>
      </c>
      <c r="D8" s="16" t="n">
        <f aca="false">PL!E67/D4</f>
        <v>0.0386235170242953</v>
      </c>
      <c r="E8" s="16" t="n">
        <f aca="false">PL!F67/E4</f>
        <v>0.0434466464864277</v>
      </c>
      <c r="F8" s="16" t="n">
        <f aca="false">PL!G67/F4</f>
        <v>0.0458515711423072</v>
      </c>
      <c r="G8" s="5" t="s">
        <v>502</v>
      </c>
    </row>
    <row r="9" customFormat="false" ht="17.15" hidden="false" customHeight="false" outlineLevel="0" collapsed="false">
      <c r="A9" s="0" t="s">
        <v>503</v>
      </c>
      <c r="B9" s="0" t="s">
        <v>129</v>
      </c>
      <c r="C9" s="19" t="n">
        <f aca="false">PL!D67*1000/nnu_26</f>
        <v>101.333333333333</v>
      </c>
      <c r="D9" s="19" t="n">
        <f aca="false">PL!E67*1000/nnu_27</f>
        <v>170.014814814815</v>
      </c>
      <c r="E9" s="19" t="n">
        <f aca="false">PL!F67*1000/nnu_28</f>
        <v>195.438222222222</v>
      </c>
      <c r="F9" s="19" t="n">
        <f aca="false">PL!G67*1000/nnu_29</f>
        <v>204.321777777778</v>
      </c>
      <c r="G9" s="5" t="s">
        <v>504</v>
      </c>
    </row>
    <row r="10" customFormat="false" ht="17.15" hidden="false" customHeight="false" outlineLevel="0" collapsed="false">
      <c r="A10" s="0" t="s">
        <v>505</v>
      </c>
      <c r="B10" s="5" t="s">
        <v>53</v>
      </c>
      <c r="C10" s="17" t="n">
        <f aca="false">PL!D69</f>
        <v>15.2</v>
      </c>
      <c r="D10" s="17" t="n">
        <f aca="false">PL!E69</f>
        <v>23.7</v>
      </c>
      <c r="E10" s="17" t="n">
        <f aca="false">PL!F69</f>
        <v>26.5</v>
      </c>
      <c r="F10" s="17" t="n">
        <f aca="false">PL!G69</f>
        <v>30.15</v>
      </c>
      <c r="G10" s="8" t="s">
        <v>506</v>
      </c>
    </row>
    <row r="11" customFormat="false" ht="17.15" hidden="false" customHeight="false" outlineLevel="0" collapsed="false">
      <c r="A11" s="0" t="s">
        <v>507</v>
      </c>
      <c r="B11" s="0" t="s">
        <v>30</v>
      </c>
      <c r="C11" s="18" t="n">
        <f aca="false">PL!D73</f>
        <v>1.503261</v>
      </c>
      <c r="D11" s="18" t="n">
        <f aca="false">PL!E73</f>
        <v>1.8751203</v>
      </c>
      <c r="E11" s="18" t="n">
        <f aca="false">PL!F73</f>
        <v>1.96561265625</v>
      </c>
      <c r="F11" s="18" t="n">
        <f aca="false">PL!G73</f>
        <v>2.08725811875</v>
      </c>
      <c r="G11" s="8" t="s">
        <v>508</v>
      </c>
    </row>
    <row r="12" customFormat="false" ht="17.15" hidden="false" customHeight="false" outlineLevel="0" collapsed="false">
      <c r="A12" s="0" t="s">
        <v>509</v>
      </c>
      <c r="B12" s="0" t="s">
        <v>129</v>
      </c>
      <c r="C12" s="19" t="n">
        <f aca="false">PL!D73*1000/PL!D69</f>
        <v>98.89875</v>
      </c>
      <c r="D12" s="19" t="n">
        <f aca="false">PL!E73*1000/PL!E69</f>
        <v>79.119</v>
      </c>
      <c r="E12" s="19" t="n">
        <f aca="false">PL!F73*1000/PL!F69</f>
        <v>74.1740625</v>
      </c>
      <c r="F12" s="19" t="n">
        <f aca="false">PL!G73*1000/PL!G69</f>
        <v>69.229125</v>
      </c>
      <c r="G12" s="5" t="s">
        <v>510</v>
      </c>
    </row>
    <row r="13" customFormat="false" ht="17.15" hidden="false" customHeight="false" outlineLevel="0" collapsed="false">
      <c r="A13" s="0" t="s">
        <v>511</v>
      </c>
      <c r="B13" s="0" t="s">
        <v>144</v>
      </c>
      <c r="C13" s="16" t="n">
        <f aca="false">PL!D73/PL!D70</f>
        <v>0.395595</v>
      </c>
      <c r="D13" s="16" t="n">
        <f aca="false">PL!E73/PL!E70</f>
        <v>0.316476</v>
      </c>
      <c r="E13" s="16" t="n">
        <f aca="false">PL!F73/PL!F70</f>
        <v>0.29669625</v>
      </c>
      <c r="F13" s="16" t="n">
        <f aca="false">PL!G73/PL!G70</f>
        <v>0.2769165</v>
      </c>
      <c r="G13" s="8" t="s">
        <v>512</v>
      </c>
    </row>
    <row r="14" customFormat="false" ht="17.15" hidden="false" customHeight="false" outlineLevel="0" collapsed="false">
      <c r="A14" s="0" t="s">
        <v>513</v>
      </c>
      <c r="B14" s="0" t="s">
        <v>144</v>
      </c>
      <c r="C14" s="20" t="n">
        <f aca="false">PL!D75/itc_26</f>
        <v>0.00240865358021204</v>
      </c>
      <c r="D14" s="20" t="n">
        <f aca="false">PL!E75/itc_27</f>
        <v>0.00212108871876956</v>
      </c>
      <c r="E14" s="20" t="n">
        <f aca="false">PL!F75/itc_28</f>
        <v>0.00197554110641366</v>
      </c>
      <c r="F14" s="20" t="n">
        <f aca="false">PL!G75/itc_29</f>
        <v>0.00196291702668111</v>
      </c>
      <c r="G14" s="8" t="s">
        <v>514</v>
      </c>
    </row>
    <row r="16" customFormat="false" ht="17.15" hidden="false" customHeight="false" outlineLevel="0" collapsed="false">
      <c r="A16" s="3" t="s">
        <v>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516</v>
      </c>
    </row>
    <row r="2" customFormat="false" ht="17.15" hidden="false" customHeight="false" outlineLevel="0" collapsed="false">
      <c r="A2" s="5" t="s">
        <v>517</v>
      </c>
    </row>
    <row r="3" customFormat="false" ht="17.15" hidden="false" customHeight="false" outlineLevel="0" collapsed="false">
      <c r="A3" s="6" t="s">
        <v>518</v>
      </c>
      <c r="B3" s="6" t="s">
        <v>20</v>
      </c>
      <c r="C3" s="14" t="s">
        <v>447</v>
      </c>
      <c r="D3" s="14" t="s">
        <v>489</v>
      </c>
      <c r="E3" s="14" t="s">
        <v>490</v>
      </c>
      <c r="F3" s="14" t="s">
        <v>491</v>
      </c>
      <c r="G3" s="14" t="s">
        <v>492</v>
      </c>
      <c r="H3" s="14" t="s">
        <v>519</v>
      </c>
      <c r="I3" s="14" t="s">
        <v>520</v>
      </c>
      <c r="J3" s="14" t="s">
        <v>521</v>
      </c>
      <c r="K3" s="6" t="s">
        <v>453</v>
      </c>
    </row>
    <row r="4" customFormat="false" ht="17.15" hidden="false" customHeight="false" outlineLevel="0" collapsed="false">
      <c r="A4" s="3" t="s">
        <v>522</v>
      </c>
    </row>
    <row r="5" customFormat="false" ht="15" hidden="false" customHeight="false" outlineLevel="0" collapsed="false">
      <c r="A5" s="5" t="s">
        <v>454</v>
      </c>
      <c r="B5" s="0" t="s">
        <v>30</v>
      </c>
      <c r="C5" s="18" t="n">
        <f aca="false">C75</f>
        <v>0.852525</v>
      </c>
      <c r="D5" s="18" t="n">
        <f aca="false">D75</f>
        <v>1.883261</v>
      </c>
      <c r="E5" s="18" t="n">
        <f aca="false">E75</f>
        <v>3.32024622592593</v>
      </c>
      <c r="F5" s="18" t="n">
        <f aca="false">F75</f>
        <v>3.91999487847222</v>
      </c>
      <c r="G5" s="18" t="n">
        <f aca="false">G75</f>
        <v>4.43695856319445</v>
      </c>
      <c r="H5" s="21" t="n">
        <f aca="false">H75</f>
        <v>4.91579117741759</v>
      </c>
      <c r="I5" s="21" t="n">
        <f aca="false">I75</f>
        <v>5.32851881436358</v>
      </c>
      <c r="J5" s="21" t="n">
        <f aca="false">J75</f>
        <v>5.6482299432254</v>
      </c>
    </row>
    <row r="6" customFormat="false" ht="15" hidden="false" customHeight="false" outlineLevel="0" collapsed="false">
      <c r="A6" s="5" t="s">
        <v>523</v>
      </c>
      <c r="B6" s="0" t="s">
        <v>144</v>
      </c>
      <c r="D6" s="16" t="n">
        <f aca="false">D76</f>
        <v>1.20903903111346</v>
      </c>
      <c r="E6" s="16" t="n">
        <f aca="false">E76</f>
        <v>0.763030310682336</v>
      </c>
      <c r="F6" s="16" t="n">
        <f aca="false">F76</f>
        <v>0.180633787898981</v>
      </c>
      <c r="G6" s="16" t="n">
        <f aca="false">G76</f>
        <v>0.131878663301648</v>
      </c>
      <c r="H6" s="22" t="n">
        <f aca="false">H76</f>
        <v>0.107919108867765</v>
      </c>
      <c r="I6" s="22" t="n">
        <f aca="false">I76</f>
        <v>0.0839595544338826</v>
      </c>
      <c r="J6" s="22" t="n">
        <f aca="false">J76</f>
        <v>0.06</v>
      </c>
    </row>
    <row r="7" customFormat="false" ht="17.15" hidden="false" customHeight="false" outlineLevel="0" collapsed="false">
      <c r="A7" s="0" t="s">
        <v>524</v>
      </c>
      <c r="B7" s="0" t="s">
        <v>30</v>
      </c>
      <c r="C7" s="18" t="n">
        <f aca="false">C67</f>
        <v>0</v>
      </c>
      <c r="D7" s="18" t="n">
        <f aca="false">D67</f>
        <v>0.38</v>
      </c>
      <c r="E7" s="18" t="n">
        <f aca="false">E67</f>
        <v>1.44512592592593</v>
      </c>
      <c r="F7" s="18" t="n">
        <f aca="false">F67</f>
        <v>1.95438222222222</v>
      </c>
      <c r="G7" s="18" t="n">
        <f aca="false">G67</f>
        <v>2.34970044444444</v>
      </c>
    </row>
    <row r="8" customFormat="false" ht="17.15" hidden="false" customHeight="false" outlineLevel="0" collapsed="false">
      <c r="A8" s="0" t="s">
        <v>525</v>
      </c>
      <c r="B8" s="0" t="s">
        <v>30</v>
      </c>
      <c r="C8" s="18" t="n">
        <f aca="false">C73</f>
        <v>0.852525</v>
      </c>
      <c r="D8" s="18" t="n">
        <f aca="false">D73</f>
        <v>1.503261</v>
      </c>
      <c r="E8" s="18" t="n">
        <f aca="false">E73</f>
        <v>1.8751203</v>
      </c>
      <c r="F8" s="18" t="n">
        <f aca="false">F73</f>
        <v>1.96561265625</v>
      </c>
      <c r="G8" s="18" t="n">
        <f aca="false">G73</f>
        <v>2.08725811875</v>
      </c>
    </row>
    <row r="9" customFormat="false" ht="15" hidden="false" customHeight="false" outlineLevel="0" collapsed="false">
      <c r="A9" s="5" t="s">
        <v>459</v>
      </c>
      <c r="B9" s="0" t="s">
        <v>144</v>
      </c>
      <c r="C9" s="16" t="n">
        <f aca="false">C79</f>
        <v>0.758199466291311</v>
      </c>
      <c r="D9" s="16" t="n">
        <f aca="false">D79</f>
        <v>0.729127030188593</v>
      </c>
      <c r="E9" s="16" t="n">
        <f aca="false">E79</f>
        <v>0.7</v>
      </c>
      <c r="F9" s="16" t="n">
        <f aca="false">F79</f>
        <v>0.695</v>
      </c>
      <c r="G9" s="16" t="n">
        <f aca="false">G79</f>
        <v>0.69</v>
      </c>
    </row>
    <row r="10" customFormat="false" ht="15" hidden="false" customHeight="false" outlineLevel="0" collapsed="false">
      <c r="A10" s="5" t="s">
        <v>526</v>
      </c>
      <c r="B10" s="0" t="s">
        <v>144</v>
      </c>
      <c r="C10" s="16" t="n">
        <f aca="false">C84</f>
        <v>0.392253599601185</v>
      </c>
      <c r="D10" s="16" t="n">
        <f aca="false">D84</f>
        <v>0.41812499701316</v>
      </c>
      <c r="E10" s="16" t="n">
        <f aca="false">E84</f>
        <v>0.425922109376881</v>
      </c>
      <c r="F10" s="16" t="n">
        <f aca="false">F84</f>
        <v>0.43242542309162</v>
      </c>
      <c r="G10" s="16" t="n">
        <f aca="false">G84</f>
        <v>0.435817945646582</v>
      </c>
    </row>
    <row r="11" customFormat="false" ht="15" hidden="false" customHeight="false" outlineLevel="0" collapsed="false">
      <c r="A11" s="5" t="s">
        <v>470</v>
      </c>
      <c r="B11" s="0" t="s">
        <v>144</v>
      </c>
      <c r="C11" s="16" t="n">
        <f aca="false">C88</f>
        <v>0.388276003636257</v>
      </c>
      <c r="D11" s="16" t="n">
        <f aca="false">D88</f>
        <v>0.391583535155244</v>
      </c>
      <c r="E11" s="16" t="n">
        <f aca="false">E88</f>
        <v>0.388063485470581</v>
      </c>
      <c r="F11" s="16" t="n">
        <f aca="false">F88</f>
        <v>0.391758876781496</v>
      </c>
      <c r="G11" s="16" t="n">
        <f aca="false">G88</f>
        <v>0.393436495102616</v>
      </c>
      <c r="H11" s="22" t="n">
        <f aca="false">H88</f>
        <v>0.393436495102616</v>
      </c>
      <c r="I11" s="22" t="n">
        <f aca="false">I88</f>
        <v>0.393436495102616</v>
      </c>
      <c r="J11" s="22" t="n">
        <f aca="false">J88</f>
        <v>0.393436495102616</v>
      </c>
    </row>
    <row r="12" customFormat="false" ht="15" hidden="false" customHeight="false" outlineLevel="0" collapsed="false">
      <c r="A12" s="5" t="s">
        <v>527</v>
      </c>
      <c r="B12" s="0" t="s">
        <v>30</v>
      </c>
      <c r="C12" s="18" t="n">
        <f aca="false">C87</f>
        <v>0.331015</v>
      </c>
      <c r="D12" s="18" t="n">
        <f aca="false">D87</f>
        <v>0.737454</v>
      </c>
      <c r="E12" s="18" t="n">
        <f aca="false">E87</f>
        <v>1.28846632305336</v>
      </c>
      <c r="F12" s="18" t="n">
        <f aca="false">F87</f>
        <v>1.53569279057949</v>
      </c>
      <c r="G12" s="18" t="n">
        <f aca="false">G87</f>
        <v>1.74566142601876</v>
      </c>
      <c r="H12" s="21" t="n">
        <f aca="false">H87</f>
        <v>1.93405165149954</v>
      </c>
      <c r="I12" s="21" t="n">
        <f aca="false">I87</f>
        <v>2.09643376641155</v>
      </c>
      <c r="J12" s="21" t="n">
        <f aca="false">J87</f>
        <v>2.22221979239625</v>
      </c>
    </row>
    <row r="13" customFormat="false" ht="17.15" hidden="false" customHeight="false" outlineLevel="0" collapsed="false">
      <c r="A13" s="0" t="s">
        <v>473</v>
      </c>
      <c r="B13" s="0" t="s">
        <v>206</v>
      </c>
      <c r="C13" s="9" t="n">
        <f aca="false">C90</f>
        <v>1.8435709074302</v>
      </c>
      <c r="D13" s="9" t="n">
        <f aca="false">D90</f>
        <v>4.00791851053741</v>
      </c>
      <c r="E13" s="9" t="n">
        <f aca="false">E90</f>
        <v>6.89907675613375</v>
      </c>
      <c r="F13" s="9" t="n">
        <f aca="false">F90</f>
        <v>8.10132785589452</v>
      </c>
      <c r="G13" s="9" t="n">
        <f aca="false">G90</f>
        <v>9.07289397657835</v>
      </c>
      <c r="H13" s="23" t="n">
        <f aca="false">H90</f>
        <v>9.90348040333241</v>
      </c>
      <c r="I13" s="23" t="n">
        <f aca="false">I90</f>
        <v>10.5763272959024</v>
      </c>
      <c r="J13" s="23" t="n">
        <f aca="false">J90</f>
        <v>11.0452285060655</v>
      </c>
    </row>
    <row r="14" customFormat="false" ht="17.15" hidden="false" customHeight="false" outlineLevel="0" collapsed="false">
      <c r="A14" s="0" t="s">
        <v>528</v>
      </c>
      <c r="B14" s="0" t="s">
        <v>144</v>
      </c>
      <c r="D14" s="16" t="n">
        <f aca="false">D91</f>
        <v>1.17399748194342</v>
      </c>
      <c r="E14" s="16" t="n">
        <f aca="false">E91</f>
        <v>0.721361534171681</v>
      </c>
      <c r="F14" s="16" t="n">
        <f aca="false">F91</f>
        <v>0.174262606759938</v>
      </c>
      <c r="G14" s="16" t="n">
        <f aca="false">G91</f>
        <v>0.119926774717174</v>
      </c>
      <c r="H14" s="22" t="n">
        <f aca="false">H91</f>
        <v>0.0915459200667637</v>
      </c>
      <c r="I14" s="22" t="n">
        <f aca="false">I91</f>
        <v>0.0679404477181109</v>
      </c>
      <c r="J14" s="22" t="n">
        <f aca="false">J91</f>
        <v>0.0443349753694584</v>
      </c>
    </row>
    <row r="16" customFormat="false" ht="17.15" hidden="false" customHeight="false" outlineLevel="0" collapsed="false">
      <c r="A16" s="3" t="s">
        <v>529</v>
      </c>
    </row>
    <row r="17" customFormat="false" ht="15" hidden="false" customHeight="false" outlineLevel="0" collapsed="false">
      <c r="A17" s="5" t="s">
        <v>454</v>
      </c>
      <c r="B17" s="0" t="s">
        <v>30</v>
      </c>
      <c r="C17" s="18" t="n">
        <f aca="false">C109</f>
        <v>0.852525</v>
      </c>
      <c r="D17" s="18" t="n">
        <f aca="false">D109</f>
        <v>1.883261</v>
      </c>
      <c r="E17" s="18" t="n">
        <f aca="false">E109</f>
        <v>3.32024622592593</v>
      </c>
      <c r="F17" s="18" t="n">
        <f aca="false">F109</f>
        <v>3.13599590277778</v>
      </c>
      <c r="G17" s="18" t="n">
        <f aca="false">G109</f>
        <v>3.77141477871528</v>
      </c>
      <c r="H17" s="21" t="n">
        <f aca="false">H109</f>
        <v>4.3311457322172</v>
      </c>
      <c r="I17" s="21" t="n">
        <f aca="false">I109</f>
        <v>4.73917009336002</v>
      </c>
      <c r="J17" s="21" t="n">
        <f aca="false">J109</f>
        <v>4.92873689709442</v>
      </c>
    </row>
    <row r="18" customFormat="false" ht="15" hidden="false" customHeight="false" outlineLevel="0" collapsed="false">
      <c r="A18" s="5" t="s">
        <v>523</v>
      </c>
      <c r="B18" s="0" t="s">
        <v>144</v>
      </c>
      <c r="D18" s="16" t="n">
        <f aca="false">D110</f>
        <v>1.20903903111346</v>
      </c>
      <c r="E18" s="16" t="n">
        <f aca="false">E110</f>
        <v>0.763030310682336</v>
      </c>
      <c r="F18" s="16" t="n">
        <f aca="false">F110</f>
        <v>-0.0554929696808149</v>
      </c>
      <c r="G18" s="16" t="n">
        <f aca="false">G110</f>
        <v>0.202621079758</v>
      </c>
      <c r="H18" s="22" t="n">
        <f aca="false">H110</f>
        <v>0.148414053172</v>
      </c>
      <c r="I18" s="22" t="n">
        <f aca="false">I110</f>
        <v>0.0942070265860001</v>
      </c>
      <c r="J18" s="22" t="n">
        <f aca="false">J110</f>
        <v>0.04</v>
      </c>
    </row>
    <row r="19" customFormat="false" ht="17.15" hidden="false" customHeight="false" outlineLevel="0" collapsed="false">
      <c r="A19" s="0" t="s">
        <v>524</v>
      </c>
      <c r="B19" s="0" t="s">
        <v>30</v>
      </c>
      <c r="C19" s="18" t="n">
        <f aca="false">C101</f>
        <v>0</v>
      </c>
      <c r="D19" s="18" t="n">
        <f aca="false">D101</f>
        <v>0.38</v>
      </c>
      <c r="E19" s="18" t="n">
        <f aca="false">E101</f>
        <v>1.44512592592593</v>
      </c>
      <c r="F19" s="18" t="n">
        <f aca="false">F101</f>
        <v>1.56350577777778</v>
      </c>
      <c r="G19" s="18" t="n">
        <f aca="false">G101</f>
        <v>1.99724537777778</v>
      </c>
    </row>
    <row r="20" customFormat="false" ht="17.15" hidden="false" customHeight="false" outlineLevel="0" collapsed="false">
      <c r="A20" s="0" t="s">
        <v>525</v>
      </c>
      <c r="B20" s="0" t="s">
        <v>30</v>
      </c>
      <c r="C20" s="18" t="n">
        <f aca="false">C107</f>
        <v>0.852525</v>
      </c>
      <c r="D20" s="18" t="n">
        <f aca="false">D107</f>
        <v>1.503261</v>
      </c>
      <c r="E20" s="18" t="n">
        <f aca="false">E107</f>
        <v>1.8751203</v>
      </c>
      <c r="F20" s="18" t="n">
        <f aca="false">F107</f>
        <v>1.572490125</v>
      </c>
      <c r="G20" s="18" t="n">
        <f aca="false">G107</f>
        <v>1.7741694009375</v>
      </c>
    </row>
    <row r="21" customFormat="false" ht="15" hidden="false" customHeight="false" outlineLevel="0" collapsed="false">
      <c r="A21" s="5" t="s">
        <v>459</v>
      </c>
      <c r="B21" s="0" t="s">
        <v>144</v>
      </c>
      <c r="C21" s="16" t="n">
        <f aca="false">C113</f>
        <v>0.758199466291311</v>
      </c>
      <c r="D21" s="16" t="n">
        <f aca="false">D113</f>
        <v>0.729127030188593</v>
      </c>
      <c r="E21" s="16" t="n">
        <f aca="false">E113</f>
        <v>0.7</v>
      </c>
      <c r="F21" s="16" t="n">
        <f aca="false">F113</f>
        <v>0.695</v>
      </c>
      <c r="G21" s="16" t="n">
        <f aca="false">G113</f>
        <v>0.69</v>
      </c>
    </row>
    <row r="22" customFormat="false" ht="15" hidden="false" customHeight="false" outlineLevel="0" collapsed="false">
      <c r="A22" s="5" t="s">
        <v>526</v>
      </c>
      <c r="B22" s="0" t="s">
        <v>144</v>
      </c>
      <c r="C22" s="16" t="n">
        <f aca="false">C118</f>
        <v>0.392253599601185</v>
      </c>
      <c r="D22" s="16" t="n">
        <f aca="false">D118</f>
        <v>0.41812499701316</v>
      </c>
      <c r="E22" s="16" t="n">
        <f aca="false">E118</f>
        <v>0.425922109376881</v>
      </c>
      <c r="F22" s="16" t="n">
        <f aca="false">F118</f>
        <v>0.404819110048871</v>
      </c>
      <c r="G22" s="16" t="n">
        <f aca="false">G118</f>
        <v>0.413230994436648</v>
      </c>
    </row>
    <row r="23" customFormat="false" ht="15" hidden="false" customHeight="false" outlineLevel="0" collapsed="false">
      <c r="A23" s="5" t="s">
        <v>470</v>
      </c>
      <c r="B23" s="0" t="s">
        <v>144</v>
      </c>
      <c r="C23" s="16" t="n">
        <f aca="false">C122</f>
        <v>0.388276003636257</v>
      </c>
      <c r="D23" s="16" t="n">
        <f aca="false">D122</f>
        <v>0.391583535155244</v>
      </c>
      <c r="E23" s="16" t="n">
        <f aca="false">E122</f>
        <v>0.388063485470581</v>
      </c>
      <c r="F23" s="16" t="n">
        <f aca="false">F122</f>
        <v>0.370271447419094</v>
      </c>
      <c r="G23" s="16" t="n">
        <f aca="false">G122</f>
        <v>0.375309984437926</v>
      </c>
      <c r="H23" s="22" t="n">
        <f aca="false">H122</f>
        <v>0.362799651623328</v>
      </c>
      <c r="I23" s="22" t="n">
        <f aca="false">I122</f>
        <v>0.350289318808731</v>
      </c>
      <c r="J23" s="22" t="n">
        <f aca="false">J122</f>
        <v>0.337778985994133</v>
      </c>
    </row>
    <row r="24" customFormat="false" ht="15" hidden="false" customHeight="false" outlineLevel="0" collapsed="false">
      <c r="A24" s="5" t="s">
        <v>527</v>
      </c>
      <c r="B24" s="0" t="s">
        <v>30</v>
      </c>
      <c r="C24" s="18" t="n">
        <f aca="false">C121</f>
        <v>0.331015</v>
      </c>
      <c r="D24" s="18" t="n">
        <f aca="false">D121</f>
        <v>0.737454</v>
      </c>
      <c r="E24" s="18" t="n">
        <f aca="false">E121</f>
        <v>1.28846632305336</v>
      </c>
      <c r="F24" s="18" t="n">
        <f aca="false">F121</f>
        <v>1.16116974202188</v>
      </c>
      <c r="G24" s="18" t="n">
        <f aca="false">G121</f>
        <v>1.41544962190859</v>
      </c>
      <c r="H24" s="21" t="n">
        <f aca="false">H121</f>
        <v>1.57133816277826</v>
      </c>
      <c r="I24" s="21" t="n">
        <f aca="false">I121</f>
        <v>1.66008066372179</v>
      </c>
      <c r="J24" s="21" t="n">
        <f aca="false">J121</f>
        <v>1.66482375133243</v>
      </c>
    </row>
    <row r="25" customFormat="false" ht="17.15" hidden="false" customHeight="false" outlineLevel="0" collapsed="false">
      <c r="A25" s="0" t="s">
        <v>473</v>
      </c>
      <c r="B25" s="0" t="s">
        <v>206</v>
      </c>
      <c r="C25" s="9" t="n">
        <f aca="false">C124</f>
        <v>1.8435709074302</v>
      </c>
      <c r="D25" s="9" t="n">
        <f aca="false">D124</f>
        <v>4.00791851053741</v>
      </c>
      <c r="E25" s="9" t="n">
        <f aca="false">E124</f>
        <v>6.89907675613375</v>
      </c>
      <c r="F25" s="9" t="n">
        <f aca="false">F124</f>
        <v>6.12558503508631</v>
      </c>
      <c r="G25" s="9" t="n">
        <f aca="false">G124</f>
        <v>7.35665241687397</v>
      </c>
      <c r="H25" s="23" t="n">
        <f aca="false">H124</f>
        <v>8.04617430460936</v>
      </c>
      <c r="I25" s="23" t="n">
        <f aca="false">I124</f>
        <v>8.37496357787328</v>
      </c>
      <c r="J25" s="23" t="n">
        <f aca="false">J124</f>
        <v>8.27477048791984</v>
      </c>
    </row>
    <row r="26" customFormat="false" ht="17.15" hidden="false" customHeight="false" outlineLevel="0" collapsed="false">
      <c r="A26" s="0" t="s">
        <v>528</v>
      </c>
      <c r="B26" s="0" t="s">
        <v>144</v>
      </c>
      <c r="D26" s="16" t="n">
        <f aca="false">D125</f>
        <v>1.17399748194342</v>
      </c>
      <c r="E26" s="16" t="n">
        <f aca="false">E125</f>
        <v>0.721361534171681</v>
      </c>
      <c r="F26" s="16" t="n">
        <f aca="false">F125</f>
        <v>-0.11211525083552</v>
      </c>
      <c r="G26" s="16" t="n">
        <f aca="false">G125</f>
        <v>0.200971396974545</v>
      </c>
      <c r="H26" s="22" t="n">
        <f aca="false">H125</f>
        <v>0.0937276696876197</v>
      </c>
      <c r="I26" s="22" t="n">
        <f aca="false">I125</f>
        <v>0.0408628076917958</v>
      </c>
      <c r="J26" s="22" t="n">
        <f aca="false">J125</f>
        <v>-0.0119634060520759</v>
      </c>
    </row>
    <row r="28" customFormat="false" ht="17.15" hidden="false" customHeight="false" outlineLevel="0" collapsed="false">
      <c r="A28" s="3" t="s">
        <v>530</v>
      </c>
    </row>
    <row r="29" customFormat="false" ht="15" hidden="false" customHeight="false" outlineLevel="0" collapsed="false">
      <c r="A29" s="5" t="s">
        <v>454</v>
      </c>
      <c r="B29" s="0" t="s">
        <v>30</v>
      </c>
      <c r="C29" s="18" t="n">
        <f aca="false">C143</f>
        <v>0.852525</v>
      </c>
      <c r="D29" s="18" t="n">
        <f aca="false">D143</f>
        <v>1.883261</v>
      </c>
      <c r="E29" s="18" t="n">
        <f aca="false">E143</f>
        <v>3.32024622592593</v>
      </c>
      <c r="F29" s="18" t="n">
        <f aca="false">F143</f>
        <v>2.35199692708333</v>
      </c>
      <c r="G29" s="18" t="n">
        <f aca="false">G143</f>
        <v>2.66217513791667</v>
      </c>
      <c r="H29" s="21" t="n">
        <f aca="false">H143</f>
        <v>2.913979037945</v>
      </c>
      <c r="I29" s="21" t="n">
        <f aca="false">I143</f>
        <v>3.080929311922</v>
      </c>
      <c r="J29" s="21" t="n">
        <f aca="false">J143</f>
        <v>3.14254789816044</v>
      </c>
    </row>
    <row r="30" customFormat="false" ht="15" hidden="false" customHeight="false" outlineLevel="0" collapsed="false">
      <c r="A30" s="5" t="s">
        <v>523</v>
      </c>
      <c r="B30" s="0" t="s">
        <v>144</v>
      </c>
      <c r="D30" s="16" t="n">
        <f aca="false">D144</f>
        <v>1.20903903111346</v>
      </c>
      <c r="E30" s="16" t="n">
        <f aca="false">E144</f>
        <v>0.763030310682336</v>
      </c>
      <c r="F30" s="16" t="n">
        <f aca="false">F144</f>
        <v>-0.291619727260611</v>
      </c>
      <c r="G30" s="16" t="n">
        <f aca="false">G144</f>
        <v>0.131878663301648</v>
      </c>
      <c r="H30" s="22" t="n">
        <f aca="false">H144</f>
        <v>0.094585775534432</v>
      </c>
      <c r="I30" s="22" t="n">
        <f aca="false">I144</f>
        <v>0.057292887767216</v>
      </c>
      <c r="J30" s="22" t="n">
        <f aca="false">J144</f>
        <v>0.02</v>
      </c>
    </row>
    <row r="31" customFormat="false" ht="17.15" hidden="false" customHeight="false" outlineLevel="0" collapsed="false">
      <c r="A31" s="0" t="s">
        <v>524</v>
      </c>
      <c r="B31" s="0" t="s">
        <v>30</v>
      </c>
      <c r="C31" s="18" t="n">
        <f aca="false">C135</f>
        <v>0</v>
      </c>
      <c r="D31" s="18" t="n">
        <f aca="false">D135</f>
        <v>0.38</v>
      </c>
      <c r="E31" s="18" t="n">
        <f aca="false">E135</f>
        <v>1.44512592592593</v>
      </c>
      <c r="F31" s="18" t="n">
        <f aca="false">F135</f>
        <v>1.17262933333333</v>
      </c>
      <c r="G31" s="18" t="n">
        <f aca="false">G135</f>
        <v>1.40982026666667</v>
      </c>
    </row>
    <row r="32" customFormat="false" ht="17.15" hidden="false" customHeight="false" outlineLevel="0" collapsed="false">
      <c r="A32" s="0" t="s">
        <v>525</v>
      </c>
      <c r="B32" s="0" t="s">
        <v>30</v>
      </c>
      <c r="C32" s="18" t="n">
        <f aca="false">C141</f>
        <v>0.852525</v>
      </c>
      <c r="D32" s="18" t="n">
        <f aca="false">D141</f>
        <v>1.503261</v>
      </c>
      <c r="E32" s="18" t="n">
        <f aca="false">E141</f>
        <v>1.8751203</v>
      </c>
      <c r="F32" s="18" t="n">
        <f aca="false">F141</f>
        <v>1.17936759375</v>
      </c>
      <c r="G32" s="18" t="n">
        <f aca="false">G141</f>
        <v>1.25235487125</v>
      </c>
    </row>
    <row r="33" customFormat="false" ht="15" hidden="false" customHeight="false" outlineLevel="0" collapsed="false">
      <c r="A33" s="5" t="s">
        <v>459</v>
      </c>
      <c r="B33" s="0" t="s">
        <v>144</v>
      </c>
      <c r="C33" s="16" t="n">
        <f aca="false">C147</f>
        <v>0.758199466291311</v>
      </c>
      <c r="D33" s="16" t="n">
        <f aca="false">D147</f>
        <v>0.729127030188593</v>
      </c>
      <c r="E33" s="16" t="n">
        <f aca="false">E147</f>
        <v>0.7</v>
      </c>
      <c r="F33" s="16" t="n">
        <f aca="false">F147</f>
        <v>0.695</v>
      </c>
      <c r="G33" s="16" t="n">
        <f aca="false">G147</f>
        <v>0.69</v>
      </c>
    </row>
    <row r="34" customFormat="false" ht="15" hidden="false" customHeight="false" outlineLevel="0" collapsed="false">
      <c r="A34" s="5" t="s">
        <v>526</v>
      </c>
      <c r="B34" s="0" t="s">
        <v>144</v>
      </c>
      <c r="C34" s="16" t="n">
        <f aca="false">C152</f>
        <v>0.392253599601185</v>
      </c>
      <c r="D34" s="16" t="n">
        <f aca="false">D152</f>
        <v>0.41812499701316</v>
      </c>
      <c r="E34" s="16" t="n">
        <f aca="false">E152</f>
        <v>0.425922109376881</v>
      </c>
      <c r="F34" s="16" t="n">
        <f aca="false">F152</f>
        <v>0.308092146731828</v>
      </c>
      <c r="G34" s="16" t="n">
        <f aca="false">G152</f>
        <v>0.31545866341245</v>
      </c>
    </row>
    <row r="35" customFormat="false" ht="15" hidden="false" customHeight="false" outlineLevel="0" collapsed="false">
      <c r="A35" s="5" t="s">
        <v>470</v>
      </c>
      <c r="B35" s="0" t="s">
        <v>144</v>
      </c>
      <c r="C35" s="16" t="n">
        <f aca="false">C156</f>
        <v>0.388276003636257</v>
      </c>
      <c r="D35" s="16" t="n">
        <f aca="false">D156</f>
        <v>0.391583535155244</v>
      </c>
      <c r="E35" s="16" t="n">
        <f aca="false">E156</f>
        <v>0.388063485470581</v>
      </c>
      <c r="F35" s="16" t="n">
        <f aca="false">F156</f>
        <v>0.289828596558792</v>
      </c>
      <c r="G35" s="16" t="n">
        <f aca="false">G156</f>
        <v>0.294131462025663</v>
      </c>
      <c r="H35" s="22" t="n">
        <f aca="false">H156</f>
        <v>0.274522697890619</v>
      </c>
      <c r="I35" s="22" t="n">
        <f aca="false">I156</f>
        <v>0.254913933755575</v>
      </c>
      <c r="J35" s="22" t="n">
        <f aca="false">J156</f>
        <v>0.235305169620531</v>
      </c>
    </row>
    <row r="36" customFormat="false" ht="15" hidden="false" customHeight="false" outlineLevel="0" collapsed="false">
      <c r="A36" s="5" t="s">
        <v>527</v>
      </c>
      <c r="B36" s="0" t="s">
        <v>30</v>
      </c>
      <c r="C36" s="18" t="n">
        <f aca="false">C155</f>
        <v>0.331015</v>
      </c>
      <c r="D36" s="18" t="n">
        <f aca="false">D155</f>
        <v>0.737454</v>
      </c>
      <c r="E36" s="18" t="n">
        <f aca="false">E155</f>
        <v>1.28846632305336</v>
      </c>
      <c r="F36" s="18" t="n">
        <f aca="false">F155</f>
        <v>0.681675968487154</v>
      </c>
      <c r="G36" s="18" t="n">
        <f aca="false">G155</f>
        <v>0.783029465483801</v>
      </c>
      <c r="H36" s="21" t="n">
        <f aca="false">H155</f>
        <v>0.799953387093372</v>
      </c>
      <c r="I36" s="21" t="n">
        <f aca="false">I155</f>
        <v>0.785371810524894</v>
      </c>
      <c r="J36" s="21" t="n">
        <f aca="false">J155</f>
        <v>0.739457766217285</v>
      </c>
    </row>
    <row r="37" customFormat="false" ht="17.15" hidden="false" customHeight="false" outlineLevel="0" collapsed="false">
      <c r="A37" s="0" t="s">
        <v>473</v>
      </c>
      <c r="B37" s="0" t="s">
        <v>206</v>
      </c>
      <c r="C37" s="9" t="n">
        <f aca="false">C158</f>
        <v>1.8435709074302</v>
      </c>
      <c r="D37" s="9" t="n">
        <f aca="false">D158</f>
        <v>4.00791851053741</v>
      </c>
      <c r="E37" s="9" t="n">
        <f aca="false">E158</f>
        <v>6.89907675613375</v>
      </c>
      <c r="F37" s="9" t="n">
        <f aca="false">F158</f>
        <v>3.59608415568256</v>
      </c>
      <c r="G37" s="9" t="n">
        <f aca="false">G158</f>
        <v>4.06971433004271</v>
      </c>
      <c r="H37" s="23" t="n">
        <f aca="false">H158</f>
        <v>4.09623118726748</v>
      </c>
      <c r="I37" s="23" t="n">
        <f aca="false">I158</f>
        <v>3.96213295653246</v>
      </c>
      <c r="J37" s="23" t="n">
        <f aca="false">J158</f>
        <v>3.6753700180339</v>
      </c>
    </row>
    <row r="38" customFormat="false" ht="17.15" hidden="false" customHeight="false" outlineLevel="0" collapsed="false">
      <c r="A38" s="0" t="s">
        <v>528</v>
      </c>
      <c r="B38" s="0" t="s">
        <v>144</v>
      </c>
      <c r="D38" s="16" t="n">
        <f aca="false">D159</f>
        <v>1.17399748194342</v>
      </c>
      <c r="E38" s="16" t="n">
        <f aca="false">E159</f>
        <v>0.721361534171681</v>
      </c>
      <c r="F38" s="16" t="n">
        <f aca="false">F159</f>
        <v>-0.478758639337445</v>
      </c>
      <c r="G38" s="16" t="n">
        <f aca="false">G159</f>
        <v>0.131707199791672</v>
      </c>
      <c r="H38" s="22" t="n">
        <f aca="false">H159</f>
        <v>0.00651565566384571</v>
      </c>
      <c r="I38" s="22" t="n">
        <f aca="false">I159</f>
        <v>-0.0327369781158472</v>
      </c>
      <c r="J38" s="22" t="n">
        <f aca="false">J159</f>
        <v>-0.0723758999621066</v>
      </c>
    </row>
    <row r="40" customFormat="false" ht="17.15" hidden="false" customHeight="false" outlineLevel="0" collapsed="false">
      <c r="A40" s="3" t="s">
        <v>531</v>
      </c>
    </row>
    <row r="41" customFormat="false" ht="17.15" hidden="false" customHeight="false" outlineLevel="0" collapsed="false">
      <c r="A41" s="5" t="s">
        <v>532</v>
      </c>
      <c r="D41" s="24" t="n">
        <f aca="false">D75-a26_rev</f>
        <v>0</v>
      </c>
    </row>
    <row r="42" customFormat="false" ht="17.15" hidden="false" customHeight="false" outlineLevel="0" collapsed="false">
      <c r="A42" s="5" t="s">
        <v>533</v>
      </c>
      <c r="D42" s="24" t="n">
        <f aca="false">D67-D63*D66</f>
        <v>0</v>
      </c>
    </row>
    <row r="43" customFormat="false" ht="17.15" hidden="false" customHeight="false" outlineLevel="0" collapsed="false">
      <c r="A43" s="5" t="s">
        <v>534</v>
      </c>
      <c r="D43" s="24" t="n">
        <f aca="false">(D83+D85)*(1-D86)-a26_ni</f>
        <v>0</v>
      </c>
    </row>
    <row r="60" customFormat="false" ht="17.15" hidden="false" customHeight="false" outlineLevel="0" collapsed="false">
      <c r="A60" s="3" t="s">
        <v>535</v>
      </c>
    </row>
    <row r="61" customFormat="false" ht="17.15" hidden="false" customHeight="false" outlineLevel="0" collapsed="false">
      <c r="A61" s="6" t="s">
        <v>19</v>
      </c>
      <c r="B61" s="6" t="s">
        <v>20</v>
      </c>
      <c r="C61" s="14" t="s">
        <v>447</v>
      </c>
      <c r="D61" s="14" t="s">
        <v>489</v>
      </c>
      <c r="E61" s="14" t="s">
        <v>490</v>
      </c>
      <c r="F61" s="14" t="s">
        <v>491</v>
      </c>
      <c r="G61" s="14" t="s">
        <v>492</v>
      </c>
      <c r="H61" s="14" t="s">
        <v>519</v>
      </c>
      <c r="I61" s="14" t="s">
        <v>520</v>
      </c>
      <c r="J61" s="14" t="s">
        <v>521</v>
      </c>
      <c r="K61" s="6" t="s">
        <v>453</v>
      </c>
    </row>
    <row r="62" customFormat="false" ht="17.15" hidden="false" customHeight="false" outlineLevel="0" collapsed="false">
      <c r="A62" s="1" t="s">
        <v>536</v>
      </c>
    </row>
    <row r="63" customFormat="false" ht="17.15" hidden="false" customHeight="false" outlineLevel="0" collapsed="false">
      <c r="A63" s="5" t="s">
        <v>537</v>
      </c>
      <c r="B63" s="0" t="s">
        <v>30</v>
      </c>
      <c r="D63" s="18" t="n">
        <f aca="false">msx_26</f>
        <v>2.025</v>
      </c>
      <c r="E63" s="18" t="n">
        <f aca="false">msx_27</f>
        <v>7.701</v>
      </c>
      <c r="F63" s="18" t="n">
        <f aca="false">msx_28*um28_A</f>
        <v>9.468</v>
      </c>
      <c r="G63" s="18" t="n">
        <f aca="false">msx_29*um29_A</f>
        <v>10.8882</v>
      </c>
      <c r="H63" s="2"/>
      <c r="K63" s="8" t="s">
        <v>538</v>
      </c>
    </row>
    <row r="64" customFormat="false" ht="17.15" hidden="false" customHeight="false" outlineLevel="0" collapsed="false">
      <c r="A64" s="0" t="s">
        <v>539</v>
      </c>
      <c r="B64" s="0" t="s">
        <v>144</v>
      </c>
      <c r="D64" s="20" t="n">
        <f aca="false">a26_x/D63</f>
        <v>0.187654320987654</v>
      </c>
      <c r="H64" s="2"/>
      <c r="K64" s="8" t="s">
        <v>31</v>
      </c>
    </row>
    <row r="65" customFormat="false" ht="17.15" hidden="false" customHeight="false" outlineLevel="0" collapsed="false">
      <c r="A65" s="0" t="s">
        <v>540</v>
      </c>
      <c r="B65" s="0" t="s">
        <v>87</v>
      </c>
      <c r="D65" s="9" t="n">
        <f aca="false">1</f>
        <v>1</v>
      </c>
      <c r="E65" s="9" t="n">
        <f aca="false">rel_x_27</f>
        <v>1</v>
      </c>
      <c r="F65" s="9" t="n">
        <f aca="false">rel_x_28</f>
        <v>1.1</v>
      </c>
      <c r="G65" s="9" t="n">
        <f aca="false">rel_x_29</f>
        <v>1.15</v>
      </c>
      <c r="H65" s="2"/>
    </row>
    <row r="66" customFormat="false" ht="17.15" hidden="false" customHeight="false" outlineLevel="0" collapsed="false">
      <c r="A66" s="0" t="s">
        <v>541</v>
      </c>
      <c r="B66" s="0" t="s">
        <v>144</v>
      </c>
      <c r="D66" s="20" t="n">
        <f aca="false">$D$64*D65</f>
        <v>0.187654320987654</v>
      </c>
      <c r="E66" s="20" t="n">
        <f aca="false">$D$64*E65</f>
        <v>0.187654320987654</v>
      </c>
      <c r="F66" s="20" t="n">
        <f aca="false">$D$64*F65</f>
        <v>0.20641975308642</v>
      </c>
      <c r="G66" s="20" t="n">
        <f aca="false">$D$64*G65</f>
        <v>0.215802469135802</v>
      </c>
      <c r="H66" s="2"/>
    </row>
    <row r="67" customFormat="false" ht="17.15" hidden="false" customHeight="false" outlineLevel="0" collapsed="false">
      <c r="A67" s="0" t="s">
        <v>475</v>
      </c>
      <c r="B67" s="0" t="s">
        <v>30</v>
      </c>
      <c r="C67" s="15" t="n">
        <f aca="false">a25_x</f>
        <v>0</v>
      </c>
      <c r="D67" s="15" t="n">
        <f aca="false">a26_x</f>
        <v>0.38</v>
      </c>
      <c r="E67" s="15" t="n">
        <f aca="false">E63*E66</f>
        <v>1.44512592592593</v>
      </c>
      <c r="F67" s="15" t="n">
        <f aca="false">F63*F66</f>
        <v>1.95438222222222</v>
      </c>
      <c r="G67" s="15" t="n">
        <f aca="false">G63*G66</f>
        <v>2.34970044444444</v>
      </c>
      <c r="H67" s="2"/>
    </row>
    <row r="68" customFormat="false" ht="17.15" hidden="false" customHeight="false" outlineLevel="0" collapsed="false">
      <c r="A68" s="1" t="s">
        <v>542</v>
      </c>
    </row>
    <row r="69" customFormat="false" ht="17.15" hidden="false" customHeight="false" outlineLevel="0" collapsed="false">
      <c r="A69" s="0" t="s">
        <v>543</v>
      </c>
      <c r="B69" s="5" t="s">
        <v>53</v>
      </c>
      <c r="D69" s="18" t="n">
        <f aca="false">u_26</f>
        <v>15.2</v>
      </c>
      <c r="E69" s="18" t="n">
        <f aca="false">u_27</f>
        <v>23.7</v>
      </c>
      <c r="F69" s="18" t="n">
        <f aca="false">u_28*um28_A</f>
        <v>26.5</v>
      </c>
      <c r="G69" s="18" t="n">
        <f aca="false">u_29*um29_A</f>
        <v>30.15</v>
      </c>
      <c r="H69" s="2"/>
    </row>
    <row r="70" customFormat="false" ht="17.15" hidden="false" customHeight="false" outlineLevel="0" collapsed="false">
      <c r="A70" s="0" t="s">
        <v>544</v>
      </c>
      <c r="B70" s="0" t="s">
        <v>30</v>
      </c>
      <c r="D70" s="18" t="n">
        <f aca="false">D69*c_pcie/1000</f>
        <v>3.8</v>
      </c>
      <c r="E70" s="18" t="n">
        <f aca="false">E69*c_pcie/1000</f>
        <v>5.925</v>
      </c>
      <c r="F70" s="18" t="n">
        <f aca="false">F69*c_pcie/1000</f>
        <v>6.625</v>
      </c>
      <c r="G70" s="18" t="n">
        <f aca="false">G69*c_pcie/1000</f>
        <v>7.5375</v>
      </c>
      <c r="H70" s="2"/>
      <c r="K70" s="8" t="s">
        <v>545</v>
      </c>
    </row>
    <row r="71" customFormat="false" ht="17.15" hidden="false" customHeight="false" outlineLevel="0" collapsed="false">
      <c r="A71" s="0" t="s">
        <v>546</v>
      </c>
      <c r="B71" s="0" t="s">
        <v>144</v>
      </c>
      <c r="D71" s="20" t="n">
        <f aca="false">a26_p/D70</f>
        <v>0.395595</v>
      </c>
      <c r="H71" s="2"/>
    </row>
    <row r="72" customFormat="false" ht="17.15" hidden="false" customHeight="false" outlineLevel="0" collapsed="false">
      <c r="A72" s="0" t="s">
        <v>547</v>
      </c>
      <c r="B72" s="0" t="s">
        <v>87</v>
      </c>
      <c r="D72" s="9" t="n">
        <f aca="false">1</f>
        <v>1</v>
      </c>
      <c r="E72" s="9" t="n">
        <f aca="false">rel_p_27</f>
        <v>0.8</v>
      </c>
      <c r="F72" s="9" t="n">
        <f aca="false">rel_p_28</f>
        <v>0.75</v>
      </c>
      <c r="G72" s="9" t="n">
        <f aca="false">rel_p_29</f>
        <v>0.7</v>
      </c>
      <c r="H72" s="2"/>
    </row>
    <row r="73" customFormat="false" ht="17.15" hidden="false" customHeight="false" outlineLevel="0" collapsed="false">
      <c r="A73" s="0" t="s">
        <v>548</v>
      </c>
      <c r="B73" s="0" t="s">
        <v>30</v>
      </c>
      <c r="C73" s="15" t="n">
        <f aca="false">a25_p</f>
        <v>0.852525</v>
      </c>
      <c r="D73" s="15" t="n">
        <f aca="false">a26_p</f>
        <v>1.503261</v>
      </c>
      <c r="E73" s="15" t="n">
        <f aca="false">E70*$D$71*E72</f>
        <v>1.8751203</v>
      </c>
      <c r="F73" s="15" t="n">
        <f aca="false">F70*$D$71*F72</f>
        <v>1.96561265625</v>
      </c>
      <c r="G73" s="15" t="n">
        <f aca="false">G70*$D$71*G72</f>
        <v>2.08725811875</v>
      </c>
      <c r="H73" s="2"/>
    </row>
    <row r="74" customFormat="false" ht="17.15" hidden="false" customHeight="false" outlineLevel="0" collapsed="false">
      <c r="A74" s="1" t="s">
        <v>549</v>
      </c>
    </row>
    <row r="75" customFormat="false" ht="15" hidden="false" customHeight="false" outlineLevel="0" collapsed="false">
      <c r="A75" s="5" t="s">
        <v>454</v>
      </c>
      <c r="B75" s="0" t="s">
        <v>30</v>
      </c>
      <c r="C75" s="15" t="n">
        <f aca="false">a25_rev</f>
        <v>0.852525</v>
      </c>
      <c r="D75" s="15" t="n">
        <f aca="false">D67+D73</f>
        <v>1.883261</v>
      </c>
      <c r="E75" s="15" t="n">
        <f aca="false">E67+E73</f>
        <v>3.32024622592593</v>
      </c>
      <c r="F75" s="15" t="n">
        <f aca="false">F67+F73</f>
        <v>3.91999487847222</v>
      </c>
      <c r="G75" s="15" t="n">
        <f aca="false">G67+G73</f>
        <v>4.43695856319445</v>
      </c>
      <c r="H75" s="25" t="n">
        <f aca="false">G75*(1+H76)</f>
        <v>4.91579117741759</v>
      </c>
      <c r="I75" s="26" t="n">
        <f aca="false">H75*(1+I76)</f>
        <v>5.32851881436358</v>
      </c>
      <c r="J75" s="26" t="n">
        <f aca="false">I75*(1+J76)</f>
        <v>5.6482299432254</v>
      </c>
    </row>
    <row r="76" customFormat="false" ht="15" hidden="false" customHeight="false" outlineLevel="0" collapsed="false">
      <c r="A76" s="5" t="s">
        <v>550</v>
      </c>
      <c r="B76" s="0" t="s">
        <v>144</v>
      </c>
      <c r="D76" s="16" t="n">
        <f aca="false">D75/C75-1</f>
        <v>1.20903903111346</v>
      </c>
      <c r="E76" s="16" t="n">
        <f aca="false">E75/D75-1</f>
        <v>0.763030310682336</v>
      </c>
      <c r="F76" s="16" t="n">
        <f aca="false">F75/E75-1</f>
        <v>0.180633787898981</v>
      </c>
      <c r="G76" s="16" t="n">
        <f aca="false">G75/F75-1</f>
        <v>0.131878663301648</v>
      </c>
      <c r="H76" s="27" t="n">
        <f aca="false">$G76+(fade_gA-$G76)*1/3</f>
        <v>0.107919108867765</v>
      </c>
      <c r="I76" s="22" t="n">
        <f aca="false">$G76+(fade_gA-$G76)*2/3</f>
        <v>0.0839595544338826</v>
      </c>
      <c r="J76" s="22" t="n">
        <f aca="false">$G76+(fade_gA-$G76)*3/3</f>
        <v>0.06</v>
      </c>
    </row>
    <row r="77" customFormat="false" ht="17.15" hidden="false" customHeight="false" outlineLevel="0" collapsed="false">
      <c r="A77" s="0" t="s">
        <v>477</v>
      </c>
      <c r="B77" s="0" t="s">
        <v>144</v>
      </c>
      <c r="C77" s="16" t="n">
        <f aca="false">C67/C75</f>
        <v>0</v>
      </c>
      <c r="D77" s="16" t="n">
        <f aca="false">D67/D75</f>
        <v>0.201777661195129</v>
      </c>
      <c r="E77" s="16" t="n">
        <f aca="false">E67/E75</f>
        <v>0.435246613531778</v>
      </c>
      <c r="F77" s="16" t="n">
        <f aca="false">F67/F75</f>
        <v>0.49856754480861</v>
      </c>
      <c r="G77" s="16" t="n">
        <f aca="false">G67/G75</f>
        <v>0.529574574785469</v>
      </c>
      <c r="H77" s="2"/>
    </row>
    <row r="78" customFormat="false" ht="17.15" hidden="false" customHeight="false" outlineLevel="0" collapsed="false">
      <c r="A78" s="1" t="s">
        <v>551</v>
      </c>
    </row>
    <row r="79" customFormat="false" ht="17.15" hidden="false" customHeight="false" outlineLevel="0" collapsed="false">
      <c r="A79" s="5" t="s">
        <v>459</v>
      </c>
      <c r="B79" s="0" t="s">
        <v>144</v>
      </c>
      <c r="C79" s="16" t="n">
        <f aca="false">a25_gp/a25_rev</f>
        <v>0.758199466291311</v>
      </c>
      <c r="D79" s="16" t="n">
        <f aca="false">a26_gp/a26_rev</f>
        <v>0.729127030188593</v>
      </c>
      <c r="E79" s="16" t="n">
        <f aca="false">gm_27</f>
        <v>0.7</v>
      </c>
      <c r="F79" s="16" t="n">
        <f aca="false">gm_28</f>
        <v>0.695</v>
      </c>
      <c r="G79" s="16" t="n">
        <f aca="false">gm_29</f>
        <v>0.69</v>
      </c>
      <c r="H79" s="2"/>
      <c r="K79" s="8" t="s">
        <v>552</v>
      </c>
    </row>
    <row r="80" customFormat="false" ht="15" hidden="false" customHeight="false" outlineLevel="0" collapsed="false">
      <c r="A80" s="5" t="s">
        <v>553</v>
      </c>
      <c r="B80" s="0" t="s">
        <v>30</v>
      </c>
      <c r="C80" s="15" t="n">
        <f aca="false">C75*C79</f>
        <v>0.646384</v>
      </c>
      <c r="D80" s="15" t="n">
        <f aca="false">D75*D79</f>
        <v>1.3731365</v>
      </c>
      <c r="E80" s="15" t="n">
        <f aca="false">E75*E79</f>
        <v>2.32417235814815</v>
      </c>
      <c r="F80" s="15" t="n">
        <f aca="false">F75*F79</f>
        <v>2.7243964405382</v>
      </c>
      <c r="G80" s="15" t="n">
        <f aca="false">G75*G79</f>
        <v>3.06150140860417</v>
      </c>
      <c r="H80" s="2"/>
    </row>
    <row r="81" customFormat="false" ht="15" hidden="false" customHeight="false" outlineLevel="0" collapsed="false">
      <c r="A81" s="5" t="s">
        <v>554</v>
      </c>
      <c r="B81" s="0" t="s">
        <v>30</v>
      </c>
      <c r="C81" s="15" t="n">
        <f aca="false">a25_opx</f>
        <v>0.311978</v>
      </c>
      <c r="D81" s="15" t="n">
        <f aca="false">a26_opx</f>
        <v>0.585698</v>
      </c>
      <c r="E81" s="15" t="n">
        <f aca="false">D81*(1+MAX(0,phi*E76))</f>
        <v>0.910006081951151</v>
      </c>
      <c r="F81" s="15" t="n">
        <f aca="false">E81*(1+MAX(0,phi*F76))</f>
        <v>1.02929099669786</v>
      </c>
      <c r="G81" s="15" t="n">
        <f aca="false">F81*(1+MAX(0,phi*G76))</f>
        <v>1.12779524267376</v>
      </c>
      <c r="H81" s="2"/>
    </row>
    <row r="82" customFormat="false" ht="15" hidden="false" customHeight="false" outlineLevel="0" collapsed="false">
      <c r="A82" s="5" t="s">
        <v>555</v>
      </c>
      <c r="B82" s="0" t="s">
        <v>30</v>
      </c>
      <c r="C82" s="15" t="n">
        <f aca="false">C81</f>
        <v>0.311978</v>
      </c>
      <c r="D82" s="15" t="n">
        <f aca="false">D81</f>
        <v>0.585698</v>
      </c>
      <c r="E82" s="15" t="n">
        <f aca="false">E81+0*E75</f>
        <v>0.910006081951151</v>
      </c>
      <c r="F82" s="15" t="n">
        <f aca="false">F81+0*F75</f>
        <v>1.02929099669786</v>
      </c>
      <c r="G82" s="15" t="n">
        <f aca="false">G81+0*G75</f>
        <v>1.12779524267376</v>
      </c>
      <c r="H82" s="2"/>
    </row>
    <row r="83" customFormat="false" ht="15" hidden="false" customHeight="false" outlineLevel="0" collapsed="false">
      <c r="A83" s="5" t="s">
        <v>556</v>
      </c>
      <c r="B83" s="0" t="s">
        <v>30</v>
      </c>
      <c r="C83" s="15" t="n">
        <f aca="false">C80-C82</f>
        <v>0.334406</v>
      </c>
      <c r="D83" s="15" t="n">
        <f aca="false">D80-D82</f>
        <v>0.7874385</v>
      </c>
      <c r="E83" s="15" t="n">
        <f aca="false">E80-E82</f>
        <v>1.414166276197</v>
      </c>
      <c r="F83" s="15" t="n">
        <f aca="false">F80-F82</f>
        <v>1.69510544384033</v>
      </c>
      <c r="G83" s="15" t="n">
        <f aca="false">G80-G82</f>
        <v>1.93370616593041</v>
      </c>
      <c r="H83" s="2"/>
    </row>
    <row r="84" customFormat="false" ht="15" hidden="false" customHeight="false" outlineLevel="0" collapsed="false">
      <c r="A84" s="5" t="s">
        <v>526</v>
      </c>
      <c r="B84" s="0" t="s">
        <v>144</v>
      </c>
      <c r="C84" s="16" t="n">
        <f aca="false">C83/C75</f>
        <v>0.392253599601185</v>
      </c>
      <c r="D84" s="16" t="n">
        <f aca="false">D83/D75</f>
        <v>0.41812499701316</v>
      </c>
      <c r="E84" s="16" t="n">
        <f aca="false">E83/E75</f>
        <v>0.425922109376881</v>
      </c>
      <c r="F84" s="16" t="n">
        <f aca="false">F83/F75</f>
        <v>0.43242542309162</v>
      </c>
      <c r="G84" s="16" t="n">
        <f aca="false">G83/G75</f>
        <v>0.435817945646582</v>
      </c>
      <c r="H84" s="2"/>
    </row>
    <row r="85" customFormat="false" ht="15" hidden="false" customHeight="false" outlineLevel="0" collapsed="false">
      <c r="A85" s="5" t="s">
        <v>463</v>
      </c>
      <c r="B85" s="0" t="s">
        <v>30</v>
      </c>
      <c r="C85" s="15" t="n">
        <f aca="false">a25_ninc</f>
        <v>0.04473</v>
      </c>
      <c r="D85" s="15" t="n">
        <f aca="false">a26_ninc</f>
        <v>0.048658</v>
      </c>
      <c r="E85" s="15" t="n">
        <f aca="false">oth_f</f>
        <v>0.05</v>
      </c>
      <c r="F85" s="15" t="n">
        <f aca="false">oth_f</f>
        <v>0.05</v>
      </c>
      <c r="G85" s="15" t="n">
        <f aca="false">oth_f</f>
        <v>0.05</v>
      </c>
      <c r="H85" s="2"/>
    </row>
    <row r="86" customFormat="false" ht="17.15" hidden="false" customHeight="false" outlineLevel="0" collapsed="false">
      <c r="A86" s="5" t="s">
        <v>468</v>
      </c>
      <c r="B86" s="0" t="s">
        <v>144</v>
      </c>
      <c r="C86" s="16" t="n">
        <f aca="false">a25_tx</f>
        <v>0.126922792876435</v>
      </c>
      <c r="D86" s="16" t="n">
        <f aca="false">a26_tx</f>
        <v>0.117979802570636</v>
      </c>
      <c r="E86" s="16" t="n">
        <f aca="false">tx_27</f>
        <v>0.12</v>
      </c>
      <c r="F86" s="16" t="n">
        <f aca="false">tx_28</f>
        <v>0.12</v>
      </c>
      <c r="G86" s="16" t="n">
        <f aca="false">tx_29</f>
        <v>0.12</v>
      </c>
      <c r="H86" s="2"/>
      <c r="K86" s="5" t="s">
        <v>557</v>
      </c>
    </row>
    <row r="87" customFormat="false" ht="15" hidden="false" customHeight="false" outlineLevel="0" collapsed="false">
      <c r="A87" s="5" t="s">
        <v>527</v>
      </c>
      <c r="B87" s="0" t="s">
        <v>30</v>
      </c>
      <c r="C87" s="15" t="n">
        <f aca="false">a25_ni</f>
        <v>0.331015</v>
      </c>
      <c r="D87" s="15" t="n">
        <f aca="false">a26_ni</f>
        <v>0.737454</v>
      </c>
      <c r="E87" s="15" t="n">
        <f aca="false">(E83+E85)*(1-E86)</f>
        <v>1.28846632305336</v>
      </c>
      <c r="F87" s="15" t="n">
        <f aca="false">(F83+F85)*(1-F86)</f>
        <v>1.53569279057949</v>
      </c>
      <c r="G87" s="15" t="n">
        <f aca="false">(G83+G85)*(1-G86)</f>
        <v>1.74566142601876</v>
      </c>
      <c r="H87" s="25" t="n">
        <f aca="false">H75*H88</f>
        <v>1.93405165149954</v>
      </c>
      <c r="I87" s="26" t="n">
        <f aca="false">I75*I88</f>
        <v>2.09643376641155</v>
      </c>
      <c r="J87" s="26" t="n">
        <f aca="false">J75*J88</f>
        <v>2.22221979239625</v>
      </c>
    </row>
    <row r="88" customFormat="false" ht="15" hidden="false" customHeight="false" outlineLevel="0" collapsed="false">
      <c r="A88" s="5" t="s">
        <v>470</v>
      </c>
      <c r="B88" s="0" t="s">
        <v>144</v>
      </c>
      <c r="C88" s="16" t="n">
        <f aca="false">C87/C75</f>
        <v>0.388276003636257</v>
      </c>
      <c r="D88" s="16" t="n">
        <f aca="false">D87/D75</f>
        <v>0.391583535155244</v>
      </c>
      <c r="E88" s="16" t="n">
        <f aca="false">E87/E75</f>
        <v>0.388063485470581</v>
      </c>
      <c r="F88" s="16" t="n">
        <f aca="false">F87/F75</f>
        <v>0.391758876781496</v>
      </c>
      <c r="G88" s="16" t="n">
        <f aca="false">G87/G75</f>
        <v>0.393436495102616</v>
      </c>
      <c r="H88" s="27" t="n">
        <f aca="false">$G88+(fade_mA-$G88)*1/3</f>
        <v>0.393436495102616</v>
      </c>
      <c r="I88" s="22" t="n">
        <f aca="false">$G88+(fade_mA-$G88)*2/3</f>
        <v>0.393436495102616</v>
      </c>
      <c r="J88" s="22" t="n">
        <f aca="false">$G88+(fade_mA-$G88)*3/3</f>
        <v>0.393436495102616</v>
      </c>
    </row>
    <row r="89" customFormat="false" ht="15" hidden="false" customHeight="false" outlineLevel="0" collapsed="false">
      <c r="A89" s="5" t="s">
        <v>558</v>
      </c>
      <c r="B89" s="5" t="s">
        <v>179</v>
      </c>
      <c r="C89" s="24" t="n">
        <f aca="false">a25_sh</f>
        <v>0.179551</v>
      </c>
      <c r="D89" s="24" t="n">
        <f aca="false">a26_sh</f>
        <v>0.18399925</v>
      </c>
      <c r="E89" s="24" t="n">
        <f aca="false">D89*(1+sh_g)</f>
        <v>0.18675923875</v>
      </c>
      <c r="F89" s="24" t="n">
        <f aca="false">E89*(1+sh_g)</f>
        <v>0.18956062733125</v>
      </c>
      <c r="G89" s="24" t="n">
        <f aca="false">F89*(1+sh_g)</f>
        <v>0.192404036741219</v>
      </c>
      <c r="H89" s="28" t="n">
        <f aca="false">G89*(1+sh_g)</f>
        <v>0.195290097292337</v>
      </c>
      <c r="I89" s="29" t="n">
        <f aca="false">H89*(1+sh_g)</f>
        <v>0.198219448751722</v>
      </c>
      <c r="J89" s="29" t="n">
        <f aca="false">I89*(1+sh_g)</f>
        <v>0.201192740482998</v>
      </c>
    </row>
    <row r="90" customFormat="false" ht="17.15" hidden="false" customHeight="false" outlineLevel="0" collapsed="false">
      <c r="A90" s="0" t="s">
        <v>473</v>
      </c>
      <c r="B90" s="0" t="s">
        <v>206</v>
      </c>
      <c r="C90" s="9" t="n">
        <f aca="false">C87/C89</f>
        <v>1.8435709074302</v>
      </c>
      <c r="D90" s="9" t="n">
        <f aca="false">D87/D89</f>
        <v>4.00791851053741</v>
      </c>
      <c r="E90" s="9" t="n">
        <f aca="false">E87/E89</f>
        <v>6.89907675613375</v>
      </c>
      <c r="F90" s="9" t="n">
        <f aca="false">F87/F89</f>
        <v>8.10132785589452</v>
      </c>
      <c r="G90" s="9" t="n">
        <f aca="false">G87/G89</f>
        <v>9.07289397657835</v>
      </c>
      <c r="H90" s="30" t="n">
        <f aca="false">H87/H89</f>
        <v>9.90348040333241</v>
      </c>
      <c r="I90" s="23" t="n">
        <f aca="false">I87/I89</f>
        <v>10.5763272959024</v>
      </c>
      <c r="J90" s="23" t="n">
        <f aca="false">J87/J89</f>
        <v>11.0452285060655</v>
      </c>
    </row>
    <row r="91" customFormat="false" ht="17.15" hidden="false" customHeight="false" outlineLevel="0" collapsed="false">
      <c r="A91" s="0" t="s">
        <v>559</v>
      </c>
      <c r="B91" s="0" t="s">
        <v>144</v>
      </c>
      <c r="D91" s="16" t="n">
        <f aca="false">D90/C90-1</f>
        <v>1.17399748194342</v>
      </c>
      <c r="E91" s="16" t="n">
        <f aca="false">E90/D90-1</f>
        <v>0.721361534171681</v>
      </c>
      <c r="F91" s="16" t="n">
        <f aca="false">F90/E90-1</f>
        <v>0.174262606759938</v>
      </c>
      <c r="G91" s="16" t="n">
        <f aca="false">G90/F90-1</f>
        <v>0.119926774717174</v>
      </c>
      <c r="H91" s="27" t="n">
        <f aca="false">H90/G90-1</f>
        <v>0.0915459200667637</v>
      </c>
      <c r="I91" s="22" t="n">
        <f aca="false">I90/H90-1</f>
        <v>0.0679404477181109</v>
      </c>
      <c r="J91" s="22" t="n">
        <f aca="false">J90/I90-1</f>
        <v>0.0443349753694584</v>
      </c>
    </row>
    <row r="94" customFormat="false" ht="17.15" hidden="false" customHeight="false" outlineLevel="0" collapsed="false">
      <c r="A94" s="3" t="s">
        <v>560</v>
      </c>
    </row>
    <row r="95" customFormat="false" ht="17.15" hidden="false" customHeight="false" outlineLevel="0" collapsed="false">
      <c r="A95" s="6" t="s">
        <v>19</v>
      </c>
      <c r="B95" s="6" t="s">
        <v>20</v>
      </c>
      <c r="C95" s="14" t="s">
        <v>447</v>
      </c>
      <c r="D95" s="14" t="s">
        <v>489</v>
      </c>
      <c r="E95" s="14" t="s">
        <v>490</v>
      </c>
      <c r="F95" s="14" t="s">
        <v>491</v>
      </c>
      <c r="G95" s="14" t="s">
        <v>492</v>
      </c>
      <c r="H95" s="14" t="s">
        <v>519</v>
      </c>
      <c r="I95" s="14" t="s">
        <v>520</v>
      </c>
      <c r="J95" s="14" t="s">
        <v>521</v>
      </c>
      <c r="K95" s="6" t="s">
        <v>453</v>
      </c>
    </row>
    <row r="96" customFormat="false" ht="17.15" hidden="false" customHeight="false" outlineLevel="0" collapsed="false">
      <c r="A96" s="1" t="s">
        <v>536</v>
      </c>
    </row>
    <row r="97" customFormat="false" ht="17.15" hidden="false" customHeight="false" outlineLevel="0" collapsed="false">
      <c r="A97" s="5" t="s">
        <v>537</v>
      </c>
      <c r="B97" s="0" t="s">
        <v>30</v>
      </c>
      <c r="D97" s="18" t="n">
        <f aca="false">msx_26</f>
        <v>2.025</v>
      </c>
      <c r="E97" s="18" t="n">
        <f aca="false">msx_27</f>
        <v>7.701</v>
      </c>
      <c r="F97" s="18" t="n">
        <f aca="false">msx_28*um28_B</f>
        <v>7.5744</v>
      </c>
      <c r="G97" s="18" t="n">
        <f aca="false">msx_29*um29_B</f>
        <v>9.25497</v>
      </c>
      <c r="H97" s="2"/>
      <c r="K97" s="8" t="s">
        <v>538</v>
      </c>
    </row>
    <row r="98" customFormat="false" ht="17.15" hidden="false" customHeight="false" outlineLevel="0" collapsed="false">
      <c r="A98" s="0" t="s">
        <v>539</v>
      </c>
      <c r="B98" s="0" t="s">
        <v>144</v>
      </c>
      <c r="D98" s="20" t="n">
        <f aca="false">a26_x/D97</f>
        <v>0.187654320987654</v>
      </c>
      <c r="H98" s="2"/>
      <c r="K98" s="8" t="s">
        <v>31</v>
      </c>
    </row>
    <row r="99" customFormat="false" ht="17.15" hidden="false" customHeight="false" outlineLevel="0" collapsed="false">
      <c r="A99" s="0" t="s">
        <v>540</v>
      </c>
      <c r="B99" s="0" t="s">
        <v>87</v>
      </c>
      <c r="D99" s="9" t="n">
        <f aca="false">1</f>
        <v>1</v>
      </c>
      <c r="E99" s="9" t="n">
        <f aca="false">rel_x_27</f>
        <v>1</v>
      </c>
      <c r="F99" s="9" t="n">
        <f aca="false">rel_x_28</f>
        <v>1.1</v>
      </c>
      <c r="G99" s="9" t="n">
        <f aca="false">rel_x_29</f>
        <v>1.15</v>
      </c>
      <c r="H99" s="2"/>
    </row>
    <row r="100" customFormat="false" ht="17.15" hidden="false" customHeight="false" outlineLevel="0" collapsed="false">
      <c r="A100" s="0" t="s">
        <v>541</v>
      </c>
      <c r="B100" s="0" t="s">
        <v>144</v>
      </c>
      <c r="D100" s="20" t="n">
        <f aca="false">$D$98*D99</f>
        <v>0.187654320987654</v>
      </c>
      <c r="E100" s="20" t="n">
        <f aca="false">$D$98*E99</f>
        <v>0.187654320987654</v>
      </c>
      <c r="F100" s="20" t="n">
        <f aca="false">$D$98*F99</f>
        <v>0.20641975308642</v>
      </c>
      <c r="G100" s="20" t="n">
        <f aca="false">$D$98*G99</f>
        <v>0.215802469135802</v>
      </c>
      <c r="H100" s="2"/>
    </row>
    <row r="101" customFormat="false" ht="17.15" hidden="false" customHeight="false" outlineLevel="0" collapsed="false">
      <c r="A101" s="0" t="s">
        <v>475</v>
      </c>
      <c r="B101" s="0" t="s">
        <v>30</v>
      </c>
      <c r="C101" s="15" t="n">
        <f aca="false">a25_x</f>
        <v>0</v>
      </c>
      <c r="D101" s="15" t="n">
        <f aca="false">a26_x</f>
        <v>0.38</v>
      </c>
      <c r="E101" s="15" t="n">
        <f aca="false">E97*E100</f>
        <v>1.44512592592593</v>
      </c>
      <c r="F101" s="15" t="n">
        <f aca="false">F97*F100</f>
        <v>1.56350577777778</v>
      </c>
      <c r="G101" s="15" t="n">
        <f aca="false">G97*G100</f>
        <v>1.99724537777778</v>
      </c>
      <c r="H101" s="2"/>
    </row>
    <row r="102" customFormat="false" ht="17.15" hidden="false" customHeight="false" outlineLevel="0" collapsed="false">
      <c r="A102" s="1" t="s">
        <v>542</v>
      </c>
    </row>
    <row r="103" customFormat="false" ht="17.15" hidden="false" customHeight="false" outlineLevel="0" collapsed="false">
      <c r="A103" s="0" t="s">
        <v>543</v>
      </c>
      <c r="B103" s="5" t="s">
        <v>53</v>
      </c>
      <c r="D103" s="18" t="n">
        <f aca="false">u_26</f>
        <v>15.2</v>
      </c>
      <c r="E103" s="18" t="n">
        <f aca="false">u_27</f>
        <v>23.7</v>
      </c>
      <c r="F103" s="18" t="n">
        <f aca="false">u_28*um28_B</f>
        <v>21.2</v>
      </c>
      <c r="G103" s="18" t="n">
        <f aca="false">u_29*um29_B</f>
        <v>25.6275</v>
      </c>
      <c r="H103" s="2"/>
    </row>
    <row r="104" customFormat="false" ht="17.15" hidden="false" customHeight="false" outlineLevel="0" collapsed="false">
      <c r="A104" s="0" t="s">
        <v>544</v>
      </c>
      <c r="B104" s="0" t="s">
        <v>30</v>
      </c>
      <c r="D104" s="18" t="n">
        <f aca="false">D103*c_pcie/1000</f>
        <v>3.8</v>
      </c>
      <c r="E104" s="18" t="n">
        <f aca="false">E103*c_pcie/1000</f>
        <v>5.925</v>
      </c>
      <c r="F104" s="18" t="n">
        <f aca="false">F103*c_pcie/1000</f>
        <v>5.3</v>
      </c>
      <c r="G104" s="18" t="n">
        <f aca="false">G103*c_pcie/1000</f>
        <v>6.406875</v>
      </c>
      <c r="H104" s="2"/>
      <c r="K104" s="8" t="s">
        <v>545</v>
      </c>
    </row>
    <row r="105" customFormat="false" ht="17.15" hidden="false" customHeight="false" outlineLevel="0" collapsed="false">
      <c r="A105" s="0" t="s">
        <v>546</v>
      </c>
      <c r="B105" s="0" t="s">
        <v>144</v>
      </c>
      <c r="D105" s="20" t="n">
        <f aca="false">a26_p/D104</f>
        <v>0.395595</v>
      </c>
      <c r="H105" s="2"/>
    </row>
    <row r="106" customFormat="false" ht="17.15" hidden="false" customHeight="false" outlineLevel="0" collapsed="false">
      <c r="A106" s="0" t="s">
        <v>547</v>
      </c>
      <c r="B106" s="0" t="s">
        <v>87</v>
      </c>
      <c r="D106" s="9" t="n">
        <f aca="false">1</f>
        <v>1</v>
      </c>
      <c r="E106" s="9" t="n">
        <f aca="false">rel_p_27</f>
        <v>0.8</v>
      </c>
      <c r="F106" s="9" t="n">
        <f aca="false">rel_p_28</f>
        <v>0.75</v>
      </c>
      <c r="G106" s="9" t="n">
        <f aca="false">rel_p_29</f>
        <v>0.7</v>
      </c>
      <c r="H106" s="2"/>
    </row>
    <row r="107" customFormat="false" ht="17.15" hidden="false" customHeight="false" outlineLevel="0" collapsed="false">
      <c r="A107" s="0" t="s">
        <v>548</v>
      </c>
      <c r="B107" s="0" t="s">
        <v>30</v>
      </c>
      <c r="C107" s="15" t="n">
        <f aca="false">a25_p</f>
        <v>0.852525</v>
      </c>
      <c r="D107" s="15" t="n">
        <f aca="false">a26_p</f>
        <v>1.503261</v>
      </c>
      <c r="E107" s="15" t="n">
        <f aca="false">E104*$D$105*E106</f>
        <v>1.8751203</v>
      </c>
      <c r="F107" s="15" t="n">
        <f aca="false">F104*$D$105*F106</f>
        <v>1.572490125</v>
      </c>
      <c r="G107" s="15" t="n">
        <f aca="false">G104*$D$105*G106</f>
        <v>1.7741694009375</v>
      </c>
      <c r="H107" s="2"/>
    </row>
    <row r="108" customFormat="false" ht="17.15" hidden="false" customHeight="false" outlineLevel="0" collapsed="false">
      <c r="A108" s="1" t="s">
        <v>549</v>
      </c>
    </row>
    <row r="109" customFormat="false" ht="15" hidden="false" customHeight="false" outlineLevel="0" collapsed="false">
      <c r="A109" s="5" t="s">
        <v>454</v>
      </c>
      <c r="B109" s="0" t="s">
        <v>30</v>
      </c>
      <c r="C109" s="15" t="n">
        <f aca="false">a25_rev</f>
        <v>0.852525</v>
      </c>
      <c r="D109" s="15" t="n">
        <f aca="false">D101+D107</f>
        <v>1.883261</v>
      </c>
      <c r="E109" s="15" t="n">
        <f aca="false">E101+E107</f>
        <v>3.32024622592593</v>
      </c>
      <c r="F109" s="15" t="n">
        <f aca="false">F101+F107</f>
        <v>3.13599590277778</v>
      </c>
      <c r="G109" s="15" t="n">
        <f aca="false">G101+G107</f>
        <v>3.77141477871528</v>
      </c>
      <c r="H109" s="25" t="n">
        <f aca="false">G109*(1+H110)</f>
        <v>4.3311457322172</v>
      </c>
      <c r="I109" s="26" t="n">
        <f aca="false">H109*(1+I110)</f>
        <v>4.73917009336002</v>
      </c>
      <c r="J109" s="26" t="n">
        <f aca="false">I109*(1+J110)</f>
        <v>4.92873689709442</v>
      </c>
    </row>
    <row r="110" customFormat="false" ht="15" hidden="false" customHeight="false" outlineLevel="0" collapsed="false">
      <c r="A110" s="5" t="s">
        <v>550</v>
      </c>
      <c r="B110" s="0" t="s">
        <v>144</v>
      </c>
      <c r="D110" s="16" t="n">
        <f aca="false">D109/C109-1</f>
        <v>1.20903903111346</v>
      </c>
      <c r="E110" s="16" t="n">
        <f aca="false">E109/D109-1</f>
        <v>0.763030310682336</v>
      </c>
      <c r="F110" s="16" t="n">
        <f aca="false">F109/E109-1</f>
        <v>-0.0554929696808149</v>
      </c>
      <c r="G110" s="16" t="n">
        <f aca="false">G109/F109-1</f>
        <v>0.202621079758</v>
      </c>
      <c r="H110" s="27" t="n">
        <f aca="false">$G110+(fade_gB-$G110)*1/3</f>
        <v>0.148414053172</v>
      </c>
      <c r="I110" s="22" t="n">
        <f aca="false">$G110+(fade_gB-$G110)*2/3</f>
        <v>0.0942070265860001</v>
      </c>
      <c r="J110" s="22" t="n">
        <f aca="false">$G110+(fade_gB-$G110)*3/3</f>
        <v>0.04</v>
      </c>
    </row>
    <row r="111" customFormat="false" ht="17.15" hidden="false" customHeight="false" outlineLevel="0" collapsed="false">
      <c r="A111" s="0" t="s">
        <v>477</v>
      </c>
      <c r="B111" s="0" t="s">
        <v>144</v>
      </c>
      <c r="C111" s="16" t="n">
        <f aca="false">C101/C109</f>
        <v>0</v>
      </c>
      <c r="D111" s="16" t="n">
        <f aca="false">D101/D109</f>
        <v>0.201777661195129</v>
      </c>
      <c r="E111" s="16" t="n">
        <f aca="false">E101/E109</f>
        <v>0.435246613531778</v>
      </c>
      <c r="F111" s="16" t="n">
        <f aca="false">F101/F109</f>
        <v>0.49856754480861</v>
      </c>
      <c r="G111" s="16" t="n">
        <f aca="false">G101/G109</f>
        <v>0.529574574785469</v>
      </c>
      <c r="H111" s="2"/>
    </row>
    <row r="112" customFormat="false" ht="17.15" hidden="false" customHeight="false" outlineLevel="0" collapsed="false">
      <c r="A112" s="1" t="s">
        <v>551</v>
      </c>
    </row>
    <row r="113" customFormat="false" ht="17.15" hidden="false" customHeight="false" outlineLevel="0" collapsed="false">
      <c r="A113" s="5" t="s">
        <v>459</v>
      </c>
      <c r="B113" s="0" t="s">
        <v>144</v>
      </c>
      <c r="C113" s="16" t="n">
        <f aca="false">a25_gp/a25_rev</f>
        <v>0.758199466291311</v>
      </c>
      <c r="D113" s="16" t="n">
        <f aca="false">a26_gp/a26_rev</f>
        <v>0.729127030188593</v>
      </c>
      <c r="E113" s="16" t="n">
        <f aca="false">gm_27</f>
        <v>0.7</v>
      </c>
      <c r="F113" s="16" t="n">
        <f aca="false">gm_28</f>
        <v>0.695</v>
      </c>
      <c r="G113" s="16" t="n">
        <f aca="false">gm_29</f>
        <v>0.69</v>
      </c>
      <c r="H113" s="2"/>
      <c r="K113" s="8" t="s">
        <v>552</v>
      </c>
    </row>
    <row r="114" customFormat="false" ht="15" hidden="false" customHeight="false" outlineLevel="0" collapsed="false">
      <c r="A114" s="5" t="s">
        <v>553</v>
      </c>
      <c r="B114" s="0" t="s">
        <v>30</v>
      </c>
      <c r="C114" s="15" t="n">
        <f aca="false">C109*C113</f>
        <v>0.646384</v>
      </c>
      <c r="D114" s="15" t="n">
        <f aca="false">D109*D113</f>
        <v>1.3731365</v>
      </c>
      <c r="E114" s="15" t="n">
        <f aca="false">E109*E113</f>
        <v>2.32417235814815</v>
      </c>
      <c r="F114" s="15" t="n">
        <f aca="false">F109*F113</f>
        <v>2.17951715243056</v>
      </c>
      <c r="G114" s="15" t="n">
        <f aca="false">G109*G113</f>
        <v>2.60227619731354</v>
      </c>
      <c r="H114" s="2"/>
    </row>
    <row r="115" customFormat="false" ht="15" hidden="false" customHeight="false" outlineLevel="0" collapsed="false">
      <c r="A115" s="5" t="s">
        <v>554</v>
      </c>
      <c r="B115" s="0" t="s">
        <v>30</v>
      </c>
      <c r="C115" s="15" t="n">
        <f aca="false">a25_opx</f>
        <v>0.311978</v>
      </c>
      <c r="D115" s="15" t="n">
        <f aca="false">a26_opx</f>
        <v>0.585698</v>
      </c>
      <c r="E115" s="15" t="n">
        <f aca="false">D115*(1+MAX(0,phi*E110))</f>
        <v>0.910006081951151</v>
      </c>
      <c r="F115" s="15" t="n">
        <f aca="false">E115*(1+MAX(0,phi*F110))</f>
        <v>0.910006081951151</v>
      </c>
      <c r="G115" s="15" t="n">
        <f aca="false">F115*(1+MAX(0,phi*G110))</f>
        <v>1.04381071787196</v>
      </c>
      <c r="H115" s="2"/>
    </row>
    <row r="116" customFormat="false" ht="15" hidden="false" customHeight="false" outlineLevel="0" collapsed="false">
      <c r="A116" s="5" t="s">
        <v>555</v>
      </c>
      <c r="B116" s="0" t="s">
        <v>30</v>
      </c>
      <c r="C116" s="15" t="n">
        <f aca="false">C115</f>
        <v>0.311978</v>
      </c>
      <c r="D116" s="15" t="n">
        <f aca="false">D115</f>
        <v>0.585698</v>
      </c>
      <c r="E116" s="15" t="n">
        <f aca="false">E115+0*E109</f>
        <v>0.910006081951151</v>
      </c>
      <c r="F116" s="15" t="n">
        <f aca="false">F115+0*F109</f>
        <v>0.910006081951151</v>
      </c>
      <c r="G116" s="15" t="n">
        <f aca="false">G115+0*G109</f>
        <v>1.04381071787196</v>
      </c>
      <c r="H116" s="2"/>
    </row>
    <row r="117" customFormat="false" ht="15" hidden="false" customHeight="false" outlineLevel="0" collapsed="false">
      <c r="A117" s="5" t="s">
        <v>556</v>
      </c>
      <c r="B117" s="0" t="s">
        <v>30</v>
      </c>
      <c r="C117" s="15" t="n">
        <f aca="false">C114-C116</f>
        <v>0.334406</v>
      </c>
      <c r="D117" s="15" t="n">
        <f aca="false">D114-D116</f>
        <v>0.7874385</v>
      </c>
      <c r="E117" s="15" t="n">
        <f aca="false">E114-E116</f>
        <v>1.414166276197</v>
      </c>
      <c r="F117" s="15" t="n">
        <f aca="false">F114-F116</f>
        <v>1.26951107047941</v>
      </c>
      <c r="G117" s="15" t="n">
        <f aca="false">G114-G116</f>
        <v>1.55846547944158</v>
      </c>
      <c r="H117" s="2"/>
    </row>
    <row r="118" customFormat="false" ht="15" hidden="false" customHeight="false" outlineLevel="0" collapsed="false">
      <c r="A118" s="5" t="s">
        <v>526</v>
      </c>
      <c r="B118" s="0" t="s">
        <v>144</v>
      </c>
      <c r="C118" s="16" t="n">
        <f aca="false">C117/C109</f>
        <v>0.392253599601185</v>
      </c>
      <c r="D118" s="16" t="n">
        <f aca="false">D117/D109</f>
        <v>0.41812499701316</v>
      </c>
      <c r="E118" s="16" t="n">
        <f aca="false">E117/E109</f>
        <v>0.425922109376881</v>
      </c>
      <c r="F118" s="16" t="n">
        <f aca="false">F117/F109</f>
        <v>0.404819110048871</v>
      </c>
      <c r="G118" s="16" t="n">
        <f aca="false">G117/G109</f>
        <v>0.413230994436648</v>
      </c>
      <c r="H118" s="2"/>
    </row>
    <row r="119" customFormat="false" ht="15" hidden="false" customHeight="false" outlineLevel="0" collapsed="false">
      <c r="A119" s="5" t="s">
        <v>463</v>
      </c>
      <c r="B119" s="0" t="s">
        <v>30</v>
      </c>
      <c r="C119" s="15" t="n">
        <f aca="false">a25_ninc</f>
        <v>0.04473</v>
      </c>
      <c r="D119" s="15" t="n">
        <f aca="false">a26_ninc</f>
        <v>0.048658</v>
      </c>
      <c r="E119" s="15" t="n">
        <f aca="false">oth_f</f>
        <v>0.05</v>
      </c>
      <c r="F119" s="15" t="n">
        <f aca="false">oth_f</f>
        <v>0.05</v>
      </c>
      <c r="G119" s="15" t="n">
        <f aca="false">oth_f</f>
        <v>0.05</v>
      </c>
      <c r="H119" s="2"/>
    </row>
    <row r="120" customFormat="false" ht="17.15" hidden="false" customHeight="false" outlineLevel="0" collapsed="false">
      <c r="A120" s="5" t="s">
        <v>468</v>
      </c>
      <c r="B120" s="0" t="s">
        <v>144</v>
      </c>
      <c r="C120" s="16" t="n">
        <f aca="false">a25_tx</f>
        <v>0.126922792876435</v>
      </c>
      <c r="D120" s="16" t="n">
        <f aca="false">a26_tx</f>
        <v>0.117979802570636</v>
      </c>
      <c r="E120" s="16" t="n">
        <f aca="false">tx_27</f>
        <v>0.12</v>
      </c>
      <c r="F120" s="16" t="n">
        <f aca="false">tx_28</f>
        <v>0.12</v>
      </c>
      <c r="G120" s="16" t="n">
        <f aca="false">tx_29</f>
        <v>0.12</v>
      </c>
      <c r="H120" s="2"/>
      <c r="K120" s="5" t="s">
        <v>557</v>
      </c>
    </row>
    <row r="121" customFormat="false" ht="15" hidden="false" customHeight="false" outlineLevel="0" collapsed="false">
      <c r="A121" s="5" t="s">
        <v>527</v>
      </c>
      <c r="B121" s="0" t="s">
        <v>30</v>
      </c>
      <c r="C121" s="15" t="n">
        <f aca="false">a25_ni</f>
        <v>0.331015</v>
      </c>
      <c r="D121" s="15" t="n">
        <f aca="false">a26_ni</f>
        <v>0.737454</v>
      </c>
      <c r="E121" s="15" t="n">
        <f aca="false">(E117+E119)*(1-E120)</f>
        <v>1.28846632305336</v>
      </c>
      <c r="F121" s="15" t="n">
        <f aca="false">(F117+F119)*(1-F120)</f>
        <v>1.16116974202188</v>
      </c>
      <c r="G121" s="15" t="n">
        <f aca="false">(G117+G119)*(1-G120)</f>
        <v>1.41544962190859</v>
      </c>
      <c r="H121" s="25" t="n">
        <f aca="false">H109*H122</f>
        <v>1.57133816277826</v>
      </c>
      <c r="I121" s="26" t="n">
        <f aca="false">I109*I122</f>
        <v>1.66008066372179</v>
      </c>
      <c r="J121" s="26" t="n">
        <f aca="false">J109*J122</f>
        <v>1.66482375133243</v>
      </c>
    </row>
    <row r="122" customFormat="false" ht="15" hidden="false" customHeight="false" outlineLevel="0" collapsed="false">
      <c r="A122" s="5" t="s">
        <v>470</v>
      </c>
      <c r="B122" s="0" t="s">
        <v>144</v>
      </c>
      <c r="C122" s="16" t="n">
        <f aca="false">C121/C109</f>
        <v>0.388276003636257</v>
      </c>
      <c r="D122" s="16" t="n">
        <f aca="false">D121/D109</f>
        <v>0.391583535155244</v>
      </c>
      <c r="E122" s="16" t="n">
        <f aca="false">E121/E109</f>
        <v>0.388063485470581</v>
      </c>
      <c r="F122" s="16" t="n">
        <f aca="false">F121/F109</f>
        <v>0.370271447419094</v>
      </c>
      <c r="G122" s="16" t="n">
        <f aca="false">G121/G109</f>
        <v>0.375309984437926</v>
      </c>
      <c r="H122" s="27" t="n">
        <f aca="false">$G122+(fade_mB-$G122)*1/3</f>
        <v>0.362799651623328</v>
      </c>
      <c r="I122" s="22" t="n">
        <f aca="false">$G122+(fade_mB-$G122)*2/3</f>
        <v>0.350289318808731</v>
      </c>
      <c r="J122" s="22" t="n">
        <f aca="false">$G122+(fade_mB-$G122)*3/3</f>
        <v>0.337778985994133</v>
      </c>
    </row>
    <row r="123" customFormat="false" ht="15" hidden="false" customHeight="false" outlineLevel="0" collapsed="false">
      <c r="A123" s="5" t="s">
        <v>558</v>
      </c>
      <c r="B123" s="5" t="s">
        <v>179</v>
      </c>
      <c r="C123" s="24" t="n">
        <f aca="false">a25_sh</f>
        <v>0.179551</v>
      </c>
      <c r="D123" s="24" t="n">
        <f aca="false">a26_sh</f>
        <v>0.18399925</v>
      </c>
      <c r="E123" s="24" t="n">
        <f aca="false">D123*(1+sh_g)</f>
        <v>0.18675923875</v>
      </c>
      <c r="F123" s="24" t="n">
        <f aca="false">E123*(1+sh_g)</f>
        <v>0.18956062733125</v>
      </c>
      <c r="G123" s="24" t="n">
        <f aca="false">F123*(1+sh_g)</f>
        <v>0.192404036741219</v>
      </c>
      <c r="H123" s="28" t="n">
        <f aca="false">G123*(1+sh_g)</f>
        <v>0.195290097292337</v>
      </c>
      <c r="I123" s="29" t="n">
        <f aca="false">H123*(1+sh_g)</f>
        <v>0.198219448751722</v>
      </c>
      <c r="J123" s="29" t="n">
        <f aca="false">I123*(1+sh_g)</f>
        <v>0.201192740482998</v>
      </c>
    </row>
    <row r="124" customFormat="false" ht="17.15" hidden="false" customHeight="false" outlineLevel="0" collapsed="false">
      <c r="A124" s="0" t="s">
        <v>473</v>
      </c>
      <c r="B124" s="0" t="s">
        <v>206</v>
      </c>
      <c r="C124" s="9" t="n">
        <f aca="false">C121/C123</f>
        <v>1.8435709074302</v>
      </c>
      <c r="D124" s="9" t="n">
        <f aca="false">D121/D123</f>
        <v>4.00791851053741</v>
      </c>
      <c r="E124" s="9" t="n">
        <f aca="false">E121/E123</f>
        <v>6.89907675613375</v>
      </c>
      <c r="F124" s="9" t="n">
        <f aca="false">F121/F123</f>
        <v>6.12558503508631</v>
      </c>
      <c r="G124" s="9" t="n">
        <f aca="false">G121/G123</f>
        <v>7.35665241687397</v>
      </c>
      <c r="H124" s="30" t="n">
        <f aca="false">H121/H123</f>
        <v>8.04617430460936</v>
      </c>
      <c r="I124" s="23" t="n">
        <f aca="false">I121/I123</f>
        <v>8.37496357787328</v>
      </c>
      <c r="J124" s="23" t="n">
        <f aca="false">J121/J123</f>
        <v>8.27477048791984</v>
      </c>
    </row>
    <row r="125" customFormat="false" ht="17.15" hidden="false" customHeight="false" outlineLevel="0" collapsed="false">
      <c r="A125" s="0" t="s">
        <v>559</v>
      </c>
      <c r="B125" s="0" t="s">
        <v>144</v>
      </c>
      <c r="D125" s="16" t="n">
        <f aca="false">D124/C124-1</f>
        <v>1.17399748194342</v>
      </c>
      <c r="E125" s="16" t="n">
        <f aca="false">E124/D124-1</f>
        <v>0.721361534171681</v>
      </c>
      <c r="F125" s="16" t="n">
        <f aca="false">F124/E124-1</f>
        <v>-0.11211525083552</v>
      </c>
      <c r="G125" s="16" t="n">
        <f aca="false">G124/F124-1</f>
        <v>0.200971396974545</v>
      </c>
      <c r="H125" s="27" t="n">
        <f aca="false">H124/G124-1</f>
        <v>0.0937276696876197</v>
      </c>
      <c r="I125" s="22" t="n">
        <f aca="false">I124/H124-1</f>
        <v>0.0408628076917958</v>
      </c>
      <c r="J125" s="22" t="n">
        <f aca="false">J124/I124-1</f>
        <v>-0.0119634060520759</v>
      </c>
    </row>
    <row r="128" customFormat="false" ht="17.15" hidden="false" customHeight="false" outlineLevel="0" collapsed="false">
      <c r="A128" s="3" t="s">
        <v>561</v>
      </c>
    </row>
    <row r="129" customFormat="false" ht="17.15" hidden="false" customHeight="false" outlineLevel="0" collapsed="false">
      <c r="A129" s="6" t="s">
        <v>19</v>
      </c>
      <c r="B129" s="6" t="s">
        <v>20</v>
      </c>
      <c r="C129" s="14" t="s">
        <v>447</v>
      </c>
      <c r="D129" s="14" t="s">
        <v>489</v>
      </c>
      <c r="E129" s="14" t="s">
        <v>490</v>
      </c>
      <c r="F129" s="14" t="s">
        <v>491</v>
      </c>
      <c r="G129" s="14" t="s">
        <v>492</v>
      </c>
      <c r="H129" s="14" t="s">
        <v>519</v>
      </c>
      <c r="I129" s="14" t="s">
        <v>520</v>
      </c>
      <c r="J129" s="14" t="s">
        <v>521</v>
      </c>
      <c r="K129" s="6" t="s">
        <v>453</v>
      </c>
    </row>
    <row r="130" customFormat="false" ht="17.15" hidden="false" customHeight="false" outlineLevel="0" collapsed="false">
      <c r="A130" s="1" t="s">
        <v>536</v>
      </c>
    </row>
    <row r="131" customFormat="false" ht="17.15" hidden="false" customHeight="false" outlineLevel="0" collapsed="false">
      <c r="A131" s="5" t="s">
        <v>537</v>
      </c>
      <c r="B131" s="0" t="s">
        <v>30</v>
      </c>
      <c r="D131" s="18" t="n">
        <f aca="false">msx_26</f>
        <v>2.025</v>
      </c>
      <c r="E131" s="18" t="n">
        <f aca="false">msx_27</f>
        <v>7.701</v>
      </c>
      <c r="F131" s="18" t="n">
        <f aca="false">msx_28*um28_C</f>
        <v>5.6808</v>
      </c>
      <c r="G131" s="18" t="n">
        <f aca="false">msx_29*um29_C</f>
        <v>6.53292</v>
      </c>
      <c r="H131" s="2"/>
      <c r="K131" s="8" t="s">
        <v>538</v>
      </c>
    </row>
    <row r="132" customFormat="false" ht="17.15" hidden="false" customHeight="false" outlineLevel="0" collapsed="false">
      <c r="A132" s="0" t="s">
        <v>539</v>
      </c>
      <c r="B132" s="0" t="s">
        <v>144</v>
      </c>
      <c r="D132" s="20" t="n">
        <f aca="false">a26_x/D131</f>
        <v>0.187654320987654</v>
      </c>
      <c r="H132" s="2"/>
      <c r="K132" s="8" t="s">
        <v>31</v>
      </c>
    </row>
    <row r="133" customFormat="false" ht="17.15" hidden="false" customHeight="false" outlineLevel="0" collapsed="false">
      <c r="A133" s="0" t="s">
        <v>540</v>
      </c>
      <c r="B133" s="0" t="s">
        <v>87</v>
      </c>
      <c r="D133" s="9" t="n">
        <f aca="false">1</f>
        <v>1</v>
      </c>
      <c r="E133" s="9" t="n">
        <f aca="false">rel_x_27</f>
        <v>1</v>
      </c>
      <c r="F133" s="9" t="n">
        <f aca="false">rel_x_28</f>
        <v>1.1</v>
      </c>
      <c r="G133" s="9" t="n">
        <f aca="false">rel_x_29</f>
        <v>1.15</v>
      </c>
      <c r="H133" s="2"/>
    </row>
    <row r="134" customFormat="false" ht="17.15" hidden="false" customHeight="false" outlineLevel="0" collapsed="false">
      <c r="A134" s="0" t="s">
        <v>541</v>
      </c>
      <c r="B134" s="0" t="s">
        <v>144</v>
      </c>
      <c r="D134" s="20" t="n">
        <f aca="false">$D$132*D133</f>
        <v>0.187654320987654</v>
      </c>
      <c r="E134" s="20" t="n">
        <f aca="false">$D$132*E133</f>
        <v>0.187654320987654</v>
      </c>
      <c r="F134" s="20" t="n">
        <f aca="false">$D$132*F133</f>
        <v>0.20641975308642</v>
      </c>
      <c r="G134" s="20" t="n">
        <f aca="false">$D$132*G133</f>
        <v>0.215802469135802</v>
      </c>
      <c r="H134" s="2"/>
    </row>
    <row r="135" customFormat="false" ht="17.15" hidden="false" customHeight="false" outlineLevel="0" collapsed="false">
      <c r="A135" s="0" t="s">
        <v>475</v>
      </c>
      <c r="B135" s="0" t="s">
        <v>30</v>
      </c>
      <c r="C135" s="15" t="n">
        <f aca="false">a25_x</f>
        <v>0</v>
      </c>
      <c r="D135" s="15" t="n">
        <f aca="false">a26_x</f>
        <v>0.38</v>
      </c>
      <c r="E135" s="15" t="n">
        <f aca="false">E131*E134</f>
        <v>1.44512592592593</v>
      </c>
      <c r="F135" s="15" t="n">
        <f aca="false">F131*F134</f>
        <v>1.17262933333333</v>
      </c>
      <c r="G135" s="15" t="n">
        <f aca="false">G131*G134</f>
        <v>1.40982026666667</v>
      </c>
      <c r="H135" s="2"/>
    </row>
    <row r="136" customFormat="false" ht="17.15" hidden="false" customHeight="false" outlineLevel="0" collapsed="false">
      <c r="A136" s="1" t="s">
        <v>542</v>
      </c>
    </row>
    <row r="137" customFormat="false" ht="17.15" hidden="false" customHeight="false" outlineLevel="0" collapsed="false">
      <c r="A137" s="0" t="s">
        <v>543</v>
      </c>
      <c r="B137" s="5" t="s">
        <v>53</v>
      </c>
      <c r="D137" s="18" t="n">
        <f aca="false">u_26</f>
        <v>15.2</v>
      </c>
      <c r="E137" s="18" t="n">
        <f aca="false">u_27</f>
        <v>23.7</v>
      </c>
      <c r="F137" s="18" t="n">
        <f aca="false">u_28*um28_C</f>
        <v>15.9</v>
      </c>
      <c r="G137" s="18" t="n">
        <f aca="false">u_29*um29_C</f>
        <v>18.09</v>
      </c>
      <c r="H137" s="2"/>
    </row>
    <row r="138" customFormat="false" ht="17.15" hidden="false" customHeight="false" outlineLevel="0" collapsed="false">
      <c r="A138" s="0" t="s">
        <v>544</v>
      </c>
      <c r="B138" s="0" t="s">
        <v>30</v>
      </c>
      <c r="D138" s="18" t="n">
        <f aca="false">D137*c_pcie/1000</f>
        <v>3.8</v>
      </c>
      <c r="E138" s="18" t="n">
        <f aca="false">E137*c_pcie/1000</f>
        <v>5.925</v>
      </c>
      <c r="F138" s="18" t="n">
        <f aca="false">F137*c_pcie/1000</f>
        <v>3.975</v>
      </c>
      <c r="G138" s="18" t="n">
        <f aca="false">G137*c_pcie/1000</f>
        <v>4.5225</v>
      </c>
      <c r="H138" s="2"/>
      <c r="K138" s="8" t="s">
        <v>545</v>
      </c>
    </row>
    <row r="139" customFormat="false" ht="17.15" hidden="false" customHeight="false" outlineLevel="0" collapsed="false">
      <c r="A139" s="0" t="s">
        <v>546</v>
      </c>
      <c r="B139" s="0" t="s">
        <v>144</v>
      </c>
      <c r="D139" s="20" t="n">
        <f aca="false">a26_p/D138</f>
        <v>0.395595</v>
      </c>
      <c r="H139" s="2"/>
    </row>
    <row r="140" customFormat="false" ht="17.15" hidden="false" customHeight="false" outlineLevel="0" collapsed="false">
      <c r="A140" s="0" t="s">
        <v>547</v>
      </c>
      <c r="B140" s="0" t="s">
        <v>87</v>
      </c>
      <c r="D140" s="9" t="n">
        <f aca="false">1</f>
        <v>1</v>
      </c>
      <c r="E140" s="9" t="n">
        <f aca="false">rel_p_27</f>
        <v>0.8</v>
      </c>
      <c r="F140" s="9" t="n">
        <f aca="false">rel_p_28</f>
        <v>0.75</v>
      </c>
      <c r="G140" s="9" t="n">
        <f aca="false">rel_p_29</f>
        <v>0.7</v>
      </c>
      <c r="H140" s="2"/>
    </row>
    <row r="141" customFormat="false" ht="17.15" hidden="false" customHeight="false" outlineLevel="0" collapsed="false">
      <c r="A141" s="0" t="s">
        <v>548</v>
      </c>
      <c r="B141" s="0" t="s">
        <v>30</v>
      </c>
      <c r="C141" s="15" t="n">
        <f aca="false">a25_p</f>
        <v>0.852525</v>
      </c>
      <c r="D141" s="15" t="n">
        <f aca="false">a26_p</f>
        <v>1.503261</v>
      </c>
      <c r="E141" s="15" t="n">
        <f aca="false">E138*$D$139*E140</f>
        <v>1.8751203</v>
      </c>
      <c r="F141" s="15" t="n">
        <f aca="false">F138*$D$139*F140</f>
        <v>1.17936759375</v>
      </c>
      <c r="G141" s="15" t="n">
        <f aca="false">G138*$D$139*G140</f>
        <v>1.25235487125</v>
      </c>
      <c r="H141" s="2"/>
    </row>
    <row r="142" customFormat="false" ht="17.15" hidden="false" customHeight="false" outlineLevel="0" collapsed="false">
      <c r="A142" s="1" t="s">
        <v>549</v>
      </c>
    </row>
    <row r="143" customFormat="false" ht="15" hidden="false" customHeight="false" outlineLevel="0" collapsed="false">
      <c r="A143" s="5" t="s">
        <v>454</v>
      </c>
      <c r="B143" s="0" t="s">
        <v>30</v>
      </c>
      <c r="C143" s="15" t="n">
        <f aca="false">a25_rev</f>
        <v>0.852525</v>
      </c>
      <c r="D143" s="15" t="n">
        <f aca="false">D135+D141</f>
        <v>1.883261</v>
      </c>
      <c r="E143" s="15" t="n">
        <f aca="false">E135+E141</f>
        <v>3.32024622592593</v>
      </c>
      <c r="F143" s="15" t="n">
        <f aca="false">F135+F141</f>
        <v>2.35199692708333</v>
      </c>
      <c r="G143" s="15" t="n">
        <f aca="false">G135+G141</f>
        <v>2.66217513791667</v>
      </c>
      <c r="H143" s="25" t="n">
        <f aca="false">G143*(1+H144)</f>
        <v>2.913979037945</v>
      </c>
      <c r="I143" s="26" t="n">
        <f aca="false">H143*(1+I144)</f>
        <v>3.080929311922</v>
      </c>
      <c r="J143" s="26" t="n">
        <f aca="false">I143*(1+J144)</f>
        <v>3.14254789816044</v>
      </c>
    </row>
    <row r="144" customFormat="false" ht="15" hidden="false" customHeight="false" outlineLevel="0" collapsed="false">
      <c r="A144" s="5" t="s">
        <v>550</v>
      </c>
      <c r="B144" s="0" t="s">
        <v>144</v>
      </c>
      <c r="D144" s="16" t="n">
        <f aca="false">D143/C143-1</f>
        <v>1.20903903111346</v>
      </c>
      <c r="E144" s="16" t="n">
        <f aca="false">E143/D143-1</f>
        <v>0.763030310682336</v>
      </c>
      <c r="F144" s="16" t="n">
        <f aca="false">F143/E143-1</f>
        <v>-0.291619727260611</v>
      </c>
      <c r="G144" s="16" t="n">
        <f aca="false">G143/F143-1</f>
        <v>0.131878663301648</v>
      </c>
      <c r="H144" s="27" t="n">
        <f aca="false">$G144+(fade_gC-$G144)*1/3</f>
        <v>0.094585775534432</v>
      </c>
      <c r="I144" s="22" t="n">
        <f aca="false">$G144+(fade_gC-$G144)*2/3</f>
        <v>0.057292887767216</v>
      </c>
      <c r="J144" s="22" t="n">
        <f aca="false">$G144+(fade_gC-$G144)*3/3</f>
        <v>0.02</v>
      </c>
    </row>
    <row r="145" customFormat="false" ht="17.15" hidden="false" customHeight="false" outlineLevel="0" collapsed="false">
      <c r="A145" s="0" t="s">
        <v>477</v>
      </c>
      <c r="B145" s="0" t="s">
        <v>144</v>
      </c>
      <c r="C145" s="16" t="n">
        <f aca="false">C135/C143</f>
        <v>0</v>
      </c>
      <c r="D145" s="16" t="n">
        <f aca="false">D135/D143</f>
        <v>0.201777661195129</v>
      </c>
      <c r="E145" s="16" t="n">
        <f aca="false">E135/E143</f>
        <v>0.435246613531778</v>
      </c>
      <c r="F145" s="16" t="n">
        <f aca="false">F135/F143</f>
        <v>0.49856754480861</v>
      </c>
      <c r="G145" s="16" t="n">
        <f aca="false">G135/G143</f>
        <v>0.529574574785469</v>
      </c>
      <c r="H145" s="2"/>
    </row>
    <row r="146" customFormat="false" ht="17.15" hidden="false" customHeight="false" outlineLevel="0" collapsed="false">
      <c r="A146" s="1" t="s">
        <v>551</v>
      </c>
    </row>
    <row r="147" customFormat="false" ht="17.15" hidden="false" customHeight="false" outlineLevel="0" collapsed="false">
      <c r="A147" s="5" t="s">
        <v>459</v>
      </c>
      <c r="B147" s="0" t="s">
        <v>144</v>
      </c>
      <c r="C147" s="16" t="n">
        <f aca="false">a25_gp/a25_rev</f>
        <v>0.758199466291311</v>
      </c>
      <c r="D147" s="16" t="n">
        <f aca="false">a26_gp/a26_rev</f>
        <v>0.729127030188593</v>
      </c>
      <c r="E147" s="16" t="n">
        <f aca="false">gm_27</f>
        <v>0.7</v>
      </c>
      <c r="F147" s="16" t="n">
        <f aca="false">gm_28</f>
        <v>0.695</v>
      </c>
      <c r="G147" s="16" t="n">
        <f aca="false">gm_29</f>
        <v>0.69</v>
      </c>
      <c r="H147" s="2"/>
      <c r="K147" s="8" t="s">
        <v>552</v>
      </c>
    </row>
    <row r="148" customFormat="false" ht="15" hidden="false" customHeight="false" outlineLevel="0" collapsed="false">
      <c r="A148" s="5" t="s">
        <v>553</v>
      </c>
      <c r="B148" s="0" t="s">
        <v>30</v>
      </c>
      <c r="C148" s="15" t="n">
        <f aca="false">C143*C147</f>
        <v>0.646384</v>
      </c>
      <c r="D148" s="15" t="n">
        <f aca="false">D143*D147</f>
        <v>1.3731365</v>
      </c>
      <c r="E148" s="15" t="n">
        <f aca="false">E143*E147</f>
        <v>2.32417235814815</v>
      </c>
      <c r="F148" s="15" t="n">
        <f aca="false">F143*F147</f>
        <v>1.63463786432292</v>
      </c>
      <c r="G148" s="15" t="n">
        <f aca="false">G143*G147</f>
        <v>1.8369008451625</v>
      </c>
      <c r="H148" s="2"/>
    </row>
    <row r="149" customFormat="false" ht="15" hidden="false" customHeight="false" outlineLevel="0" collapsed="false">
      <c r="A149" s="5" t="s">
        <v>554</v>
      </c>
      <c r="B149" s="0" t="s">
        <v>30</v>
      </c>
      <c r="C149" s="15" t="n">
        <f aca="false">a25_opx</f>
        <v>0.311978</v>
      </c>
      <c r="D149" s="15" t="n">
        <f aca="false">a26_opx</f>
        <v>0.585698</v>
      </c>
      <c r="E149" s="15" t="n">
        <f aca="false">D149*(1+MAX(0,phi*E144))</f>
        <v>0.910006081951151</v>
      </c>
      <c r="F149" s="15" t="n">
        <f aca="false">E149*(1+MAX(0,phi*F144))</f>
        <v>0.910006081951151</v>
      </c>
      <c r="G149" s="15" t="n">
        <f aca="false">F149*(1+MAX(0,phi*G144))</f>
        <v>0.997094634385453</v>
      </c>
      <c r="H149" s="2"/>
    </row>
    <row r="150" customFormat="false" ht="15" hidden="false" customHeight="false" outlineLevel="0" collapsed="false">
      <c r="A150" s="5" t="s">
        <v>555</v>
      </c>
      <c r="B150" s="0" t="s">
        <v>30</v>
      </c>
      <c r="C150" s="15" t="n">
        <f aca="false">C149</f>
        <v>0.311978</v>
      </c>
      <c r="D150" s="15" t="n">
        <f aca="false">D149</f>
        <v>0.585698</v>
      </c>
      <c r="E150" s="15" t="n">
        <f aca="false">E149+0*E143</f>
        <v>0.910006081951151</v>
      </c>
      <c r="F150" s="15" t="n">
        <f aca="false">F149+0*F143</f>
        <v>0.910006081951151</v>
      </c>
      <c r="G150" s="15" t="n">
        <f aca="false">G149+0*G143</f>
        <v>0.997094634385453</v>
      </c>
      <c r="H150" s="2"/>
    </row>
    <row r="151" customFormat="false" ht="15" hidden="false" customHeight="false" outlineLevel="0" collapsed="false">
      <c r="A151" s="5" t="s">
        <v>556</v>
      </c>
      <c r="B151" s="0" t="s">
        <v>30</v>
      </c>
      <c r="C151" s="15" t="n">
        <f aca="false">C148-C150</f>
        <v>0.334406</v>
      </c>
      <c r="D151" s="15" t="n">
        <f aca="false">D148-D150</f>
        <v>0.7874385</v>
      </c>
      <c r="E151" s="15" t="n">
        <f aca="false">E148-E150</f>
        <v>1.414166276197</v>
      </c>
      <c r="F151" s="15" t="n">
        <f aca="false">F148-F150</f>
        <v>0.724631782371766</v>
      </c>
      <c r="G151" s="15" t="n">
        <f aca="false">G148-G150</f>
        <v>0.839806210777047</v>
      </c>
      <c r="H151" s="2"/>
    </row>
    <row r="152" customFormat="false" ht="15" hidden="false" customHeight="false" outlineLevel="0" collapsed="false">
      <c r="A152" s="5" t="s">
        <v>526</v>
      </c>
      <c r="B152" s="0" t="s">
        <v>144</v>
      </c>
      <c r="C152" s="16" t="n">
        <f aca="false">C151/C143</f>
        <v>0.392253599601185</v>
      </c>
      <c r="D152" s="16" t="n">
        <f aca="false">D151/D143</f>
        <v>0.41812499701316</v>
      </c>
      <c r="E152" s="16" t="n">
        <f aca="false">E151/E143</f>
        <v>0.425922109376881</v>
      </c>
      <c r="F152" s="16" t="n">
        <f aca="false">F151/F143</f>
        <v>0.308092146731828</v>
      </c>
      <c r="G152" s="16" t="n">
        <f aca="false">G151/G143</f>
        <v>0.31545866341245</v>
      </c>
      <c r="H152" s="2"/>
    </row>
    <row r="153" customFormat="false" ht="15" hidden="false" customHeight="false" outlineLevel="0" collapsed="false">
      <c r="A153" s="5" t="s">
        <v>463</v>
      </c>
      <c r="B153" s="0" t="s">
        <v>30</v>
      </c>
      <c r="C153" s="15" t="n">
        <f aca="false">a25_ninc</f>
        <v>0.04473</v>
      </c>
      <c r="D153" s="15" t="n">
        <f aca="false">a26_ninc</f>
        <v>0.048658</v>
      </c>
      <c r="E153" s="15" t="n">
        <f aca="false">oth_f</f>
        <v>0.05</v>
      </c>
      <c r="F153" s="15" t="n">
        <f aca="false">oth_f</f>
        <v>0.05</v>
      </c>
      <c r="G153" s="15" t="n">
        <f aca="false">oth_f</f>
        <v>0.05</v>
      </c>
      <c r="H153" s="2"/>
    </row>
    <row r="154" customFormat="false" ht="17.15" hidden="false" customHeight="false" outlineLevel="0" collapsed="false">
      <c r="A154" s="5" t="s">
        <v>468</v>
      </c>
      <c r="B154" s="0" t="s">
        <v>144</v>
      </c>
      <c r="C154" s="16" t="n">
        <f aca="false">a25_tx</f>
        <v>0.126922792876435</v>
      </c>
      <c r="D154" s="16" t="n">
        <f aca="false">a26_tx</f>
        <v>0.117979802570636</v>
      </c>
      <c r="E154" s="16" t="n">
        <f aca="false">tx_27</f>
        <v>0.12</v>
      </c>
      <c r="F154" s="16" t="n">
        <f aca="false">tx_28</f>
        <v>0.12</v>
      </c>
      <c r="G154" s="16" t="n">
        <f aca="false">tx_29</f>
        <v>0.12</v>
      </c>
      <c r="H154" s="2"/>
      <c r="K154" s="5" t="s">
        <v>557</v>
      </c>
    </row>
    <row r="155" customFormat="false" ht="15" hidden="false" customHeight="false" outlineLevel="0" collapsed="false">
      <c r="A155" s="5" t="s">
        <v>527</v>
      </c>
      <c r="B155" s="0" t="s">
        <v>30</v>
      </c>
      <c r="C155" s="15" t="n">
        <f aca="false">a25_ni</f>
        <v>0.331015</v>
      </c>
      <c r="D155" s="15" t="n">
        <f aca="false">a26_ni</f>
        <v>0.737454</v>
      </c>
      <c r="E155" s="15" t="n">
        <f aca="false">(E151+E153)*(1-E154)</f>
        <v>1.28846632305336</v>
      </c>
      <c r="F155" s="15" t="n">
        <f aca="false">(F151+F153)*(1-F154)</f>
        <v>0.681675968487154</v>
      </c>
      <c r="G155" s="15" t="n">
        <f aca="false">(G151+G153)*(1-G154)</f>
        <v>0.783029465483801</v>
      </c>
      <c r="H155" s="25" t="n">
        <f aca="false">H143*H156</f>
        <v>0.799953387093372</v>
      </c>
      <c r="I155" s="26" t="n">
        <f aca="false">I143*I156</f>
        <v>0.785371810524894</v>
      </c>
      <c r="J155" s="26" t="n">
        <f aca="false">J143*J156</f>
        <v>0.739457766217285</v>
      </c>
    </row>
    <row r="156" customFormat="false" ht="15" hidden="false" customHeight="false" outlineLevel="0" collapsed="false">
      <c r="A156" s="5" t="s">
        <v>470</v>
      </c>
      <c r="B156" s="0" t="s">
        <v>144</v>
      </c>
      <c r="C156" s="16" t="n">
        <f aca="false">C155/C143</f>
        <v>0.388276003636257</v>
      </c>
      <c r="D156" s="16" t="n">
        <f aca="false">D155/D143</f>
        <v>0.391583535155244</v>
      </c>
      <c r="E156" s="16" t="n">
        <f aca="false">E155/E143</f>
        <v>0.388063485470581</v>
      </c>
      <c r="F156" s="16" t="n">
        <f aca="false">F155/F143</f>
        <v>0.289828596558792</v>
      </c>
      <c r="G156" s="16" t="n">
        <f aca="false">G155/G143</f>
        <v>0.294131462025663</v>
      </c>
      <c r="H156" s="27" t="n">
        <f aca="false">$G156+(fade_mC-$G156)*1/3</f>
        <v>0.274522697890619</v>
      </c>
      <c r="I156" s="22" t="n">
        <f aca="false">$G156+(fade_mC-$G156)*2/3</f>
        <v>0.254913933755575</v>
      </c>
      <c r="J156" s="22" t="n">
        <f aca="false">$G156+(fade_mC-$G156)*3/3</f>
        <v>0.235305169620531</v>
      </c>
    </row>
    <row r="157" customFormat="false" ht="15" hidden="false" customHeight="false" outlineLevel="0" collapsed="false">
      <c r="A157" s="5" t="s">
        <v>558</v>
      </c>
      <c r="B157" s="5" t="s">
        <v>179</v>
      </c>
      <c r="C157" s="24" t="n">
        <f aca="false">a25_sh</f>
        <v>0.179551</v>
      </c>
      <c r="D157" s="24" t="n">
        <f aca="false">a26_sh</f>
        <v>0.18399925</v>
      </c>
      <c r="E157" s="24" t="n">
        <f aca="false">D157*(1+sh_g)</f>
        <v>0.18675923875</v>
      </c>
      <c r="F157" s="24" t="n">
        <f aca="false">E157*(1+sh_g)</f>
        <v>0.18956062733125</v>
      </c>
      <c r="G157" s="24" t="n">
        <f aca="false">F157*(1+sh_g)</f>
        <v>0.192404036741219</v>
      </c>
      <c r="H157" s="28" t="n">
        <f aca="false">G157*(1+sh_g)</f>
        <v>0.195290097292337</v>
      </c>
      <c r="I157" s="29" t="n">
        <f aca="false">H157*(1+sh_g)</f>
        <v>0.198219448751722</v>
      </c>
      <c r="J157" s="29" t="n">
        <f aca="false">I157*(1+sh_g)</f>
        <v>0.201192740482998</v>
      </c>
    </row>
    <row r="158" customFormat="false" ht="17.15" hidden="false" customHeight="false" outlineLevel="0" collapsed="false">
      <c r="A158" s="0" t="s">
        <v>473</v>
      </c>
      <c r="B158" s="0" t="s">
        <v>206</v>
      </c>
      <c r="C158" s="9" t="n">
        <f aca="false">C155/C157</f>
        <v>1.8435709074302</v>
      </c>
      <c r="D158" s="9" t="n">
        <f aca="false">D155/D157</f>
        <v>4.00791851053741</v>
      </c>
      <c r="E158" s="9" t="n">
        <f aca="false">E155/E157</f>
        <v>6.89907675613375</v>
      </c>
      <c r="F158" s="9" t="n">
        <f aca="false">F155/F157</f>
        <v>3.59608415568256</v>
      </c>
      <c r="G158" s="9" t="n">
        <f aca="false">G155/G157</f>
        <v>4.06971433004271</v>
      </c>
      <c r="H158" s="30" t="n">
        <f aca="false">H155/H157</f>
        <v>4.09623118726748</v>
      </c>
      <c r="I158" s="23" t="n">
        <f aca="false">I155/I157</f>
        <v>3.96213295653246</v>
      </c>
      <c r="J158" s="23" t="n">
        <f aca="false">J155/J157</f>
        <v>3.6753700180339</v>
      </c>
    </row>
    <row r="159" customFormat="false" ht="17.15" hidden="false" customHeight="false" outlineLevel="0" collapsed="false">
      <c r="A159" s="0" t="s">
        <v>559</v>
      </c>
      <c r="B159" s="0" t="s">
        <v>144</v>
      </c>
      <c r="D159" s="16" t="n">
        <f aca="false">D158/C158-1</f>
        <v>1.17399748194342</v>
      </c>
      <c r="E159" s="16" t="n">
        <f aca="false">E158/D158-1</f>
        <v>0.721361534171681</v>
      </c>
      <c r="F159" s="16" t="n">
        <f aca="false">F158/E158-1</f>
        <v>-0.478758639337445</v>
      </c>
      <c r="G159" s="16" t="n">
        <f aca="false">G158/F158-1</f>
        <v>0.131707199791672</v>
      </c>
      <c r="H159" s="27" t="n">
        <f aca="false">H158/G158-1</f>
        <v>0.00651565566384571</v>
      </c>
      <c r="I159" s="22" t="n">
        <f aca="false">I158/H158-1</f>
        <v>-0.0327369781158472</v>
      </c>
      <c r="J159" s="22" t="n">
        <f aca="false">J158/I158-1</f>
        <v>-0.0723758999621066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562</v>
      </c>
    </row>
    <row r="2" customFormat="false" ht="17.15" hidden="false" customHeight="false" outlineLevel="0" collapsed="false">
      <c r="A2" s="5" t="s">
        <v>563</v>
      </c>
    </row>
    <row r="4" customFormat="false" ht="17.15" hidden="false" customHeight="false" outlineLevel="0" collapsed="false">
      <c r="A4" s="1" t="s">
        <v>564</v>
      </c>
    </row>
    <row r="5" customFormat="false" ht="17.15" hidden="false" customHeight="false" outlineLevel="0" collapsed="false">
      <c r="A5" s="1" t="s">
        <v>565</v>
      </c>
    </row>
    <row r="6" customFormat="false" ht="17.15" hidden="false" customHeight="false" outlineLevel="0" collapsed="false">
      <c r="A6" s="6" t="s">
        <v>19</v>
      </c>
      <c r="B6" s="14" t="s">
        <v>566</v>
      </c>
      <c r="C6" s="14" t="s">
        <v>567</v>
      </c>
      <c r="D6" s="14" t="s">
        <v>568</v>
      </c>
      <c r="E6" s="6" t="s">
        <v>453</v>
      </c>
    </row>
    <row r="7" customFormat="false" ht="17.15" hidden="false" customHeight="false" outlineLevel="0" collapsed="false">
      <c r="A7" s="5" t="s">
        <v>569</v>
      </c>
      <c r="E7" s="0" t="s">
        <v>570</v>
      </c>
    </row>
    <row r="8" customFormat="false" ht="15" hidden="false" customHeight="false" outlineLevel="0" collapsed="false">
      <c r="A8" s="0" t="s">
        <v>571</v>
      </c>
      <c r="B8" s="9" t="n">
        <f aca="false">PL!E13</f>
        <v>6.89907675613375</v>
      </c>
      <c r="C8" s="9" t="n">
        <f aca="false">PL!E25</f>
        <v>6.89907675613375</v>
      </c>
      <c r="D8" s="9" t="n">
        <f aca="false">PL!E37</f>
        <v>6.89907675613375</v>
      </c>
    </row>
    <row r="9" customFormat="false" ht="15" hidden="false" customHeight="false" outlineLevel="0" collapsed="false">
      <c r="A9" s="0" t="s">
        <v>572</v>
      </c>
      <c r="B9" s="9" t="n">
        <f aca="false">PL!F13</f>
        <v>8.10132785589452</v>
      </c>
      <c r="C9" s="9" t="n">
        <f aca="false">PL!F25</f>
        <v>6.12558503508631</v>
      </c>
      <c r="D9" s="9" t="n">
        <f aca="false">PL!F37</f>
        <v>3.59608415568256</v>
      </c>
    </row>
    <row r="10" customFormat="false" ht="15" hidden="false" customHeight="false" outlineLevel="0" collapsed="false">
      <c r="A10" s="0" t="s">
        <v>573</v>
      </c>
      <c r="B10" s="9" t="n">
        <f aca="false">PL!G13</f>
        <v>9.07289397657835</v>
      </c>
      <c r="C10" s="9" t="n">
        <f aca="false">PL!G25</f>
        <v>7.35665241687397</v>
      </c>
      <c r="D10" s="9" t="n">
        <f aca="false">PL!G37</f>
        <v>4.06971433004271</v>
      </c>
    </row>
    <row r="11" customFormat="false" ht="15" hidden="false" customHeight="false" outlineLevel="0" collapsed="false">
      <c r="A11" s="0" t="s">
        <v>574</v>
      </c>
      <c r="B11" s="9" t="n">
        <f aca="false">PL!H13</f>
        <v>9.90348040333241</v>
      </c>
      <c r="C11" s="9" t="n">
        <f aca="false">PL!H25</f>
        <v>8.04617430460936</v>
      </c>
      <c r="D11" s="9" t="n">
        <f aca="false">PL!H37</f>
        <v>4.09623118726748</v>
      </c>
    </row>
    <row r="12" customFormat="false" ht="15" hidden="false" customHeight="false" outlineLevel="0" collapsed="false">
      <c r="A12" s="0" t="s">
        <v>575</v>
      </c>
      <c r="B12" s="9" t="n">
        <f aca="false">PL!I13</f>
        <v>10.5763272959024</v>
      </c>
      <c r="C12" s="9" t="n">
        <f aca="false">PL!I25</f>
        <v>8.37496357787328</v>
      </c>
      <c r="D12" s="9" t="n">
        <f aca="false">PL!I37</f>
        <v>3.96213295653246</v>
      </c>
    </row>
    <row r="13" customFormat="false" ht="15" hidden="false" customHeight="false" outlineLevel="0" collapsed="false">
      <c r="A13" s="0" t="s">
        <v>576</v>
      </c>
      <c r="B13" s="9" t="n">
        <f aca="false">PL!J13</f>
        <v>11.0452285060655</v>
      </c>
      <c r="C13" s="9" t="n">
        <f aca="false">PL!J25</f>
        <v>8.27477048791984</v>
      </c>
      <c r="D13" s="9" t="n">
        <f aca="false">PL!J37</f>
        <v>3.6753700180339</v>
      </c>
    </row>
    <row r="14" customFormat="false" ht="17.15" hidden="false" customHeight="false" outlineLevel="0" collapsed="false">
      <c r="A14" s="5" t="s">
        <v>577</v>
      </c>
    </row>
    <row r="15" customFormat="false" ht="17.15" hidden="false" customHeight="false" outlineLevel="0" collapsed="false">
      <c r="A15" s="5" t="s">
        <v>578</v>
      </c>
      <c r="B15" s="16" t="n">
        <f aca="false">IF(tp_roe&lt;=tp_g,0.8,MIN(tp_g/tp_roe,0.8))</f>
        <v>0.144474013114537</v>
      </c>
      <c r="E15" s="8" t="s">
        <v>579</v>
      </c>
    </row>
    <row r="16" customFormat="false" ht="15" hidden="false" customHeight="false" outlineLevel="0" collapsed="false">
      <c r="A16" s="0" t="s">
        <v>571</v>
      </c>
      <c r="B16" s="9" t="n">
        <f aca="false">B8*(1-$B$15)</f>
        <v>5.90233945038989</v>
      </c>
      <c r="C16" s="9" t="n">
        <f aca="false">C8*(1-$B$15)</f>
        <v>5.90233945038989</v>
      </c>
      <c r="D16" s="9" t="n">
        <f aca="false">D8*(1-$B$15)</f>
        <v>5.90233945038989</v>
      </c>
    </row>
    <row r="17" customFormat="false" ht="15" hidden="false" customHeight="false" outlineLevel="0" collapsed="false">
      <c r="A17" s="0" t="s">
        <v>572</v>
      </c>
      <c r="B17" s="9" t="n">
        <f aca="false">B9*(1-$B$15)</f>
        <v>6.93089650899685</v>
      </c>
      <c r="C17" s="9" t="n">
        <f aca="false">C9*(1-$B$15)</f>
        <v>5.24059718239304</v>
      </c>
      <c r="D17" s="9" t="n">
        <f aca="false">D9*(1-$B$15)</f>
        <v>3.0765434462135</v>
      </c>
    </row>
    <row r="18" customFormat="false" ht="15" hidden="false" customHeight="false" outlineLevel="0" collapsed="false">
      <c r="A18" s="0" t="s">
        <v>573</v>
      </c>
      <c r="B18" s="9" t="n">
        <f aca="false">B10*(1-$B$15)</f>
        <v>7.76209657321936</v>
      </c>
      <c r="C18" s="9" t="n">
        <f aca="false">C10*(1-$B$15)</f>
        <v>6.29380731911943</v>
      </c>
      <c r="D18" s="9" t="n">
        <f aca="false">D10*(1-$B$15)</f>
        <v>3.4817463685517</v>
      </c>
    </row>
    <row r="19" customFormat="false" ht="15" hidden="false" customHeight="false" outlineLevel="0" collapsed="false">
      <c r="A19" s="0" t="s">
        <v>574</v>
      </c>
      <c r="B19" s="9" t="n">
        <f aca="false">B11*(1-$B$15)</f>
        <v>8.4726848456618</v>
      </c>
      <c r="C19" s="9" t="n">
        <f aca="false">C11*(1-$B$15)</f>
        <v>6.88371121260338</v>
      </c>
      <c r="D19" s="9" t="n">
        <f aca="false">D11*(1-$B$15)</f>
        <v>3.50443222899803</v>
      </c>
    </row>
    <row r="20" customFormat="false" ht="15" hidden="false" customHeight="false" outlineLevel="0" collapsed="false">
      <c r="A20" s="0" t="s">
        <v>575</v>
      </c>
      <c r="B20" s="9" t="n">
        <f aca="false">B12*(1-$B$15)</f>
        <v>9.04832284745052</v>
      </c>
      <c r="C20" s="9" t="n">
        <f aca="false">C12*(1-$B$15)</f>
        <v>7.16499898008985</v>
      </c>
      <c r="D20" s="9" t="n">
        <f aca="false">D12*(1-$B$15)</f>
        <v>3.38970770780885</v>
      </c>
    </row>
    <row r="21" customFormat="false" ht="15" hidden="false" customHeight="false" outlineLevel="0" collapsed="false">
      <c r="A21" s="0" t="s">
        <v>576</v>
      </c>
      <c r="B21" s="9" t="n">
        <f aca="false">B13*(1-$B$15)</f>
        <v>9.44948001802715</v>
      </c>
      <c r="C21" s="9" t="n">
        <f aca="false">C13*(1-$B$15)</f>
        <v>7.07928118792833</v>
      </c>
      <c r="D21" s="9" t="n">
        <f aca="false">D13*(1-$B$15)</f>
        <v>3.14437456184769</v>
      </c>
    </row>
    <row r="22" customFormat="false" ht="17.15" hidden="false" customHeight="false" outlineLevel="0" collapsed="false">
      <c r="A22" s="0" t="s">
        <v>580</v>
      </c>
      <c r="B22" s="18" t="n">
        <f aca="false">MAX(0,SUMPRODUCT(B16:B21,1/(1+tp_r)^{1;2;3;4;5;6})+B21*(1+tp_g)/(tp_r-tp_g)/(1+tp_r)^6)</f>
        <v>126.120536418805</v>
      </c>
      <c r="C22" s="18" t="n">
        <f aca="false">MAX(0,SUMPRODUCT(C16:C21,1/(1+tp_r)^{1;2;3;4;5;6})+C21*(1+tp_g)/(tp_r-tp_g)/(1+tp_r)^6)</f>
        <v>96.8373111672541</v>
      </c>
      <c r="D22" s="18" t="n">
        <f aca="false">MAX(0,SUMPRODUCT(D16:D21,1/(1+tp_r)^{1;2;3;4;5;6})+D21*(1+tp_g)/(tp_r-tp_g)/(1+tp_r)^6)</f>
        <v>47.5627183186331</v>
      </c>
      <c r="E22" s="8" t="s">
        <v>581</v>
      </c>
    </row>
    <row r="23" customFormat="false" ht="17.15" hidden="false" customHeight="false" outlineLevel="0" collapsed="false">
      <c r="A23" s="0" t="s">
        <v>582</v>
      </c>
      <c r="B23" s="18" t="n">
        <f aca="false">B22*(1+tp_r)</f>
        <v>138.732590060686</v>
      </c>
      <c r="C23" s="18" t="n">
        <f aca="false">C22*(1+tp_r)</f>
        <v>106.52104228398</v>
      </c>
      <c r="D23" s="18" t="n">
        <f aca="false">D22*(1+tp_r)</f>
        <v>52.3189901504964</v>
      </c>
    </row>
    <row r="24" customFormat="false" ht="17.15" hidden="false" customHeight="false" outlineLevel="0" collapsed="false">
      <c r="A24" s="0" t="s">
        <v>583</v>
      </c>
      <c r="B24" s="31" t="n">
        <f aca="false">tp_wA*B23+tp_wB*C23+tp_wC*D23</f>
        <v>105.344096190295</v>
      </c>
      <c r="E24" s="8" t="s">
        <v>584</v>
      </c>
    </row>
    <row r="26" customFormat="false" ht="17.15" hidden="false" customHeight="false" outlineLevel="0" collapsed="false">
      <c r="A26" s="1" t="s">
        <v>585</v>
      </c>
    </row>
    <row r="27" customFormat="false" ht="17.15" hidden="false" customHeight="false" outlineLevel="0" collapsed="false">
      <c r="A27" s="6" t="s">
        <v>586</v>
      </c>
      <c r="B27" s="6" t="s">
        <v>587</v>
      </c>
      <c r="C27" s="6" t="s">
        <v>588</v>
      </c>
      <c r="D27" s="6" t="s">
        <v>589</v>
      </c>
      <c r="E27" s="6" t="s">
        <v>590</v>
      </c>
      <c r="F27" s="6" t="s">
        <v>24</v>
      </c>
    </row>
    <row r="28" customFormat="false" ht="17.15" hidden="false" customHeight="false" outlineLevel="0" collapsed="false">
      <c r="A28" s="0" t="s">
        <v>591</v>
      </c>
      <c r="B28" s="0" t="s">
        <v>592</v>
      </c>
      <c r="C28" s="32" t="n">
        <v>20.19</v>
      </c>
      <c r="D28" s="8" t="s">
        <v>593</v>
      </c>
      <c r="E28" s="8" t="s">
        <v>594</v>
      </c>
      <c r="F28" s="8" t="s">
        <v>211</v>
      </c>
    </row>
    <row r="29" customFormat="false" ht="17.15" hidden="false" customHeight="false" outlineLevel="0" collapsed="false">
      <c r="A29" s="0" t="s">
        <v>595</v>
      </c>
      <c r="B29" s="0" t="s">
        <v>596</v>
      </c>
      <c r="C29" s="32" t="n">
        <v>40.44</v>
      </c>
      <c r="D29" s="8" t="s">
        <v>593</v>
      </c>
      <c r="E29" s="8" t="s">
        <v>594</v>
      </c>
      <c r="F29" s="8" t="s">
        <v>211</v>
      </c>
    </row>
    <row r="30" customFormat="false" ht="17.15" hidden="false" customHeight="false" outlineLevel="0" collapsed="false">
      <c r="A30" s="0" t="s">
        <v>597</v>
      </c>
      <c r="B30" s="0" t="s">
        <v>598</v>
      </c>
      <c r="C30" s="32" t="n">
        <v>18.52</v>
      </c>
      <c r="D30" s="8" t="s">
        <v>593</v>
      </c>
      <c r="E30" s="8" t="s">
        <v>594</v>
      </c>
      <c r="F30" s="8" t="s">
        <v>211</v>
      </c>
    </row>
    <row r="31" customFormat="false" ht="17.15" hidden="false" customHeight="false" outlineLevel="0" collapsed="false">
      <c r="A31" s="0" t="s">
        <v>599</v>
      </c>
      <c r="B31" s="0" t="s">
        <v>600</v>
      </c>
      <c r="C31" s="32" t="n">
        <v>25.23</v>
      </c>
      <c r="D31" s="8" t="s">
        <v>593</v>
      </c>
      <c r="E31" s="8" t="s">
        <v>594</v>
      </c>
      <c r="F31" s="8" t="s">
        <v>211</v>
      </c>
    </row>
    <row r="32" customFormat="false" ht="17.15" hidden="false" customHeight="false" outlineLevel="0" collapsed="false">
      <c r="A32" s="0" t="s">
        <v>601</v>
      </c>
      <c r="B32" s="0" t="s">
        <v>602</v>
      </c>
      <c r="C32" s="32" t="n">
        <v>28.59</v>
      </c>
      <c r="D32" s="8" t="s">
        <v>593</v>
      </c>
      <c r="E32" s="8" t="s">
        <v>594</v>
      </c>
      <c r="F32" s="8" t="s">
        <v>211</v>
      </c>
    </row>
    <row r="33" customFormat="false" ht="17.15" hidden="false" customHeight="false" outlineLevel="0" collapsed="false">
      <c r="A33" s="5" t="s">
        <v>603</v>
      </c>
      <c r="B33" s="33" t="n">
        <f aca="false">MEDIAN(C28:C32)</f>
        <v>25.23</v>
      </c>
      <c r="E33" s="5" t="s">
        <v>604</v>
      </c>
    </row>
    <row r="34" customFormat="false" ht="17.15" hidden="false" customHeight="false" outlineLevel="0" collapsed="false">
      <c r="A34" s="0" t="s">
        <v>605</v>
      </c>
      <c r="B34" s="9" t="n">
        <f aca="false">tp_wA*(2/12*B8+10/12*B9)+tp_wB*(2/12*C8+10/12*C9)+tp_wC*(2/12*D8+10/12*D9)</f>
        <v>6.32685254722898</v>
      </c>
      <c r="E34" s="5" t="s">
        <v>606</v>
      </c>
    </row>
    <row r="35" customFormat="false" ht="17.15" hidden="false" customHeight="false" outlineLevel="0" collapsed="false">
      <c r="A35" s="0" t="s">
        <v>607</v>
      </c>
      <c r="B35" s="31" t="n">
        <f aca="false">B33*B34</f>
        <v>159.626489766587</v>
      </c>
      <c r="E35" s="5" t="s">
        <v>608</v>
      </c>
    </row>
    <row r="37" customFormat="false" ht="17.15" hidden="false" customHeight="false" outlineLevel="0" collapsed="false">
      <c r="A37" s="1" t="s">
        <v>609</v>
      </c>
    </row>
    <row r="38" customFormat="false" ht="15" hidden="false" customHeight="false" outlineLevel="0" collapsed="false">
      <c r="A38" s="6" t="s">
        <v>19</v>
      </c>
      <c r="B38" s="6" t="s">
        <v>610</v>
      </c>
      <c r="C38" s="14"/>
      <c r="D38" s="14"/>
      <c r="E38" s="6" t="s">
        <v>453</v>
      </c>
    </row>
    <row r="39" customFormat="false" ht="17.15" hidden="false" customHeight="false" outlineLevel="0" collapsed="false">
      <c r="A39" s="5" t="s">
        <v>611</v>
      </c>
      <c r="B39" s="31" t="n">
        <f aca="false">tp_w_dcf*B24+(1-tp_w_dcf)*B35</f>
        <v>132.485292978441</v>
      </c>
      <c r="E39" s="8" t="s">
        <v>612</v>
      </c>
    </row>
    <row r="40" customFormat="false" ht="17.15" hidden="false" customHeight="false" outlineLevel="0" collapsed="false">
      <c r="A40" s="0" t="s">
        <v>613</v>
      </c>
      <c r="B40" s="18" t="n">
        <f aca="false">B35</f>
        <v>159.626489766587</v>
      </c>
    </row>
    <row r="41" customFormat="false" ht="17.15" hidden="false" customHeight="false" outlineLevel="0" collapsed="false">
      <c r="A41" s="5" t="s">
        <v>614</v>
      </c>
      <c r="B41" s="18" t="n">
        <f aca="false">cons_tp</f>
        <v>388.36</v>
      </c>
      <c r="E41" s="8" t="s">
        <v>615</v>
      </c>
    </row>
    <row r="42" customFormat="false" ht="17.15" hidden="false" customHeight="false" outlineLevel="0" collapsed="false">
      <c r="A42" s="5" t="s">
        <v>616</v>
      </c>
      <c r="B42" s="16" t="n">
        <f aca="false">B39/px-1</f>
        <v>-0.484813761944156</v>
      </c>
      <c r="E42" s="5" t="s">
        <v>617</v>
      </c>
    </row>
    <row r="43" customFormat="false" ht="17.15" hidden="false" customHeight="false" outlineLevel="0" collapsed="false">
      <c r="A43" s="5" t="s">
        <v>618</v>
      </c>
      <c r="B43" s="16" t="n">
        <f aca="false">B40/px-1</f>
        <v>-0.379271699461086</v>
      </c>
    </row>
    <row r="44" customFormat="false" ht="17.15" hidden="false" customHeight="false" outlineLevel="0" collapsed="false">
      <c r="A44" s="5" t="s">
        <v>619</v>
      </c>
      <c r="B44" s="16" t="n">
        <f aca="false">B34/cons_feps-1</f>
        <v>-0.229299465782484</v>
      </c>
      <c r="E44" s="5" t="s">
        <v>620</v>
      </c>
    </row>
    <row r="45" customFormat="false" ht="17.15" hidden="false" customHeight="false" outlineLevel="0" collapsed="false">
      <c r="A45" s="5" t="s">
        <v>621</v>
      </c>
      <c r="B45" s="16" t="n">
        <f aca="false">(cons_tp/cons_feps)/B33-1</f>
        <v>0.87506008499202</v>
      </c>
      <c r="E45" s="0" t="str">
        <f aca="false">"共識目標價隱含 "&amp;TEXT(cons_tp/cons_feps,"0.0")&amp;"x，同業中位數 "&amp;TEXT(B33,"0.0")&amp;"x"</f>
        <v>共識目標價隱含 47.3x，同業中位數 25.2x</v>
      </c>
    </row>
    <row r="46" customFormat="false" ht="17.15" hidden="false" customHeight="false" outlineLevel="0" collapsed="false">
      <c r="A46" s="5" t="s">
        <v>622</v>
      </c>
      <c r="B46" s="34" t="str">
        <f aca="false">TEXT(D23,"#,##0.00")&amp;"～"&amp;TEXT(B23,"#,##0.00")</f>
        <v>52.32～138.73</v>
      </c>
      <c r="E46" s="8" t="s">
        <v>623</v>
      </c>
    </row>
    <row r="47" customFormat="false" ht="17.15" hidden="false" customHeight="false" outlineLevel="0" collapsed="false">
      <c r="A47" s="5" t="s">
        <v>624</v>
      </c>
      <c r="B47" s="35" t="n">
        <f aca="false">IF(px/B9&gt;MAX($B$102:$C$111),1,IF(px/B9&lt;MIN($B$102:$C$111),0,PERCENTRANK($B$102:$C$111,px/B9)))</f>
        <v>0</v>
      </c>
      <c r="C47" s="35" t="n">
        <f aca="false">IF(px/C9&gt;MAX($B$102:$C$111),1,IF(px/C9&lt;MIN($B$102:$C$111),0,PERCENTRANK($B$102:$C$111,px/C9)))</f>
        <v>0</v>
      </c>
      <c r="D47" s="35" t="n">
        <f aca="false">IF(px/D9&gt;MAX($B$102:$C$111),1,IF(px/D9&lt;MIN($B$102:$C$111),0,PERCENTRANK($B$102:$C$111,px/D9)))</f>
        <v>0</v>
      </c>
      <c r="E47" s="5" t="s">
        <v>625</v>
      </c>
    </row>
    <row r="48" customFormat="false" ht="17.15" hidden="false" customHeight="false" outlineLevel="0" collapsed="false">
      <c r="A48" s="5" t="s">
        <v>626</v>
      </c>
      <c r="B48" s="0" t="s">
        <v>627</v>
      </c>
    </row>
    <row r="51" customFormat="false" ht="15" hidden="false" customHeight="false" outlineLevel="0" collapsed="false">
      <c r="A51" s="3" t="s">
        <v>628</v>
      </c>
    </row>
    <row r="52" customFormat="false" ht="15" hidden="false" customHeight="false" outlineLevel="0" collapsed="false">
      <c r="A52" s="6" t="s">
        <v>19</v>
      </c>
      <c r="B52" s="6" t="s">
        <v>610</v>
      </c>
      <c r="C52" s="14"/>
      <c r="D52" s="14"/>
      <c r="E52" s="6" t="s">
        <v>453</v>
      </c>
    </row>
    <row r="53" customFormat="false" ht="17.15" hidden="false" customHeight="false" outlineLevel="0" collapsed="false">
      <c r="A53" s="5" t="s">
        <v>629</v>
      </c>
      <c r="B53" s="19" t="n">
        <f aca="false">tp_wA*F81+tp_wB*F82+tp_wC*F83</f>
        <v>616.322122932452</v>
      </c>
      <c r="E53" s="5" t="s">
        <v>630</v>
      </c>
    </row>
    <row r="54" customFormat="false" ht="17.15" hidden="false" customHeight="false" outlineLevel="0" collapsed="false">
      <c r="A54" s="5" t="s">
        <v>631</v>
      </c>
      <c r="B54" s="16" t="n">
        <f aca="false">B53/px-1</f>
        <v>1.39664847928314</v>
      </c>
      <c r="E54" s="5" t="s">
        <v>632</v>
      </c>
    </row>
    <row r="55" customFormat="false" ht="17.15" hidden="false" customHeight="false" outlineLevel="0" collapsed="false">
      <c r="A55" s="5" t="s">
        <v>633</v>
      </c>
      <c r="B55" s="19" t="n">
        <f aca="false">F81</f>
        <v>616.322122932452</v>
      </c>
      <c r="E55" s="0" t="str">
        <f aca="false">"FY2027 GAAP 換算 EPS "&amp;TEXT(D81,"0.00")&amp;" × "&amp;TEXT(E81,"0.0")&amp;" 倍（第 3 節）"</f>
        <v>FY2027 GAAP 換算 EPS 4.83 × 127.6 倍（第 3 節）</v>
      </c>
    </row>
    <row r="56" customFormat="false" ht="17.15" hidden="false" customHeight="false" outlineLevel="0" collapsed="false">
      <c r="A56" s="5" t="s">
        <v>634</v>
      </c>
      <c r="B56" s="19" t="n">
        <f aca="false">F82</f>
        <v>616.322122932452</v>
      </c>
      <c r="E56" s="0" t="str">
        <f aca="false">"FY2027 GAAP 換算 EPS "&amp;TEXT(D82,"0.00")&amp;" × "&amp;TEXT(E82,"0.0")&amp;" 倍（第 3 節）"</f>
        <v>FY2027 GAAP 換算 EPS 4.83 × 127.6 倍（第 3 節）</v>
      </c>
    </row>
    <row r="57" customFormat="false" ht="17.15" hidden="false" customHeight="false" outlineLevel="0" collapsed="false">
      <c r="A57" s="5" t="s">
        <v>635</v>
      </c>
      <c r="B57" s="19" t="n">
        <f aca="false">F83</f>
        <v>616.322122932452</v>
      </c>
      <c r="E57" s="0" t="str">
        <f aca="false">"FY2027 GAAP 換算 EPS "&amp;TEXT(D83,"0.00")&amp;" × "&amp;TEXT(E83,"0.0")&amp;" 倍（第 3 節）"</f>
        <v>FY2027 GAAP 換算 EPS 4.83 × 127.6 倍（第 3 節）</v>
      </c>
    </row>
    <row r="58" customFormat="false" ht="17.15" hidden="false" customHeight="false" outlineLevel="0" collapsed="false">
      <c r="A58" s="5" t="s">
        <v>636</v>
      </c>
      <c r="B58" s="35" t="n">
        <f aca="false">tp_wA</f>
        <v>0.3</v>
      </c>
      <c r="C58" s="35" t="n">
        <f aca="false">tp_wB</f>
        <v>0.5</v>
      </c>
      <c r="D58" s="35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5" t="s">
        <v>637</v>
      </c>
      <c r="B59" s="0" t="s">
        <v>638</v>
      </c>
    </row>
    <row r="61" customFormat="false" ht="17.15" hidden="false" customHeight="false" outlineLevel="0" collapsed="false">
      <c r="A61" s="1" t="s">
        <v>639</v>
      </c>
    </row>
    <row r="62" customFormat="false" ht="15" hidden="false" customHeight="false" outlineLevel="0" collapsed="false">
      <c r="A62" s="6" t="s">
        <v>19</v>
      </c>
      <c r="B62" s="14" t="s">
        <v>640</v>
      </c>
      <c r="C62" s="14" t="s">
        <v>641</v>
      </c>
      <c r="D62" s="14" t="s">
        <v>642</v>
      </c>
      <c r="E62" s="6" t="s">
        <v>453</v>
      </c>
    </row>
    <row r="63" customFormat="false" ht="17.15" hidden="false" customHeight="false" outlineLevel="0" collapsed="false">
      <c r="A63" s="5" t="s">
        <v>643</v>
      </c>
      <c r="B63" s="9" t="n">
        <f aca="false">px</f>
        <v>257.16</v>
      </c>
    </row>
    <row r="64" customFormat="false" ht="17.15" hidden="false" customHeight="false" outlineLevel="0" collapsed="false">
      <c r="A64" s="5" t="s">
        <v>644</v>
      </c>
      <c r="B64" s="33" t="n">
        <f aca="false">px/PL!D13</f>
        <v>64.1629811893352</v>
      </c>
      <c r="C64" s="33" t="n">
        <f aca="false">px/PL!D25</f>
        <v>64.1629811893352</v>
      </c>
      <c r="D64" s="33" t="n">
        <f aca="false">px/PL!D37</f>
        <v>64.1629811893352</v>
      </c>
    </row>
    <row r="65" customFormat="false" ht="17.15" hidden="false" customHeight="false" outlineLevel="0" collapsed="false">
      <c r="A65" s="5" t="s">
        <v>645</v>
      </c>
      <c r="B65" s="33" t="n">
        <f aca="false">px/PL!E13</f>
        <v>37.2745526814682</v>
      </c>
      <c r="C65" s="33" t="n">
        <f aca="false">px/PL!E25</f>
        <v>37.2745526814682</v>
      </c>
      <c r="D65" s="33" t="n">
        <f aca="false">px/PL!E37</f>
        <v>37.2745526814682</v>
      </c>
      <c r="E65" s="8" t="s">
        <v>646</v>
      </c>
    </row>
    <row r="66" customFormat="false" ht="17.15" hidden="false" customHeight="false" outlineLevel="0" collapsed="false">
      <c r="A66" s="5" t="s">
        <v>647</v>
      </c>
      <c r="B66" s="33" t="n">
        <f aca="false">px/PL!F13</f>
        <v>31.7429444375456</v>
      </c>
      <c r="C66" s="33" t="n">
        <f aca="false">px/PL!F25</f>
        <v>41.9812962397928</v>
      </c>
      <c r="D66" s="33" t="n">
        <f aca="false">px/PL!F37</f>
        <v>71.5111184463339</v>
      </c>
      <c r="E66" s="8" t="s">
        <v>648</v>
      </c>
    </row>
    <row r="67" customFormat="false" ht="17.15" hidden="false" customHeight="false" outlineLevel="0" collapsed="false">
      <c r="A67" s="5" t="s">
        <v>649</v>
      </c>
      <c r="B67" s="33" t="n">
        <f aca="false">px/PL!G13</f>
        <v>28.343767783891</v>
      </c>
      <c r="C67" s="33" t="n">
        <f aca="false">px/PL!G25</f>
        <v>34.9561166448685</v>
      </c>
      <c r="D67" s="33" t="n">
        <f aca="false">px/PL!G37</f>
        <v>63.1887103479574</v>
      </c>
    </row>
    <row r="68" customFormat="false" ht="17.15" hidden="false" customHeight="false" outlineLevel="0" collapsed="false">
      <c r="A68" s="5" t="s">
        <v>650</v>
      </c>
      <c r="B68" s="33" t="n">
        <f aca="false">px/cons_eps26</f>
        <v>63.8114143920596</v>
      </c>
    </row>
    <row r="69" customFormat="false" ht="17.15" hidden="false" customHeight="false" outlineLevel="0" collapsed="false">
      <c r="A69" s="5" t="s">
        <v>651</v>
      </c>
      <c r="B69" s="33" t="n">
        <f aca="false">px/cons_eps27</f>
        <v>40.18125</v>
      </c>
    </row>
    <row r="70" customFormat="false" ht="17.15" hidden="false" customHeight="false" outlineLevel="0" collapsed="false">
      <c r="A70" s="5" t="s">
        <v>652</v>
      </c>
      <c r="B70" s="35" t="n">
        <f aca="false">px/px_hi-1</f>
        <v>-0.485144550332346</v>
      </c>
    </row>
    <row r="71" customFormat="false" ht="17.15" hidden="false" customHeight="false" outlineLevel="0" collapsed="false">
      <c r="A71" s="5" t="s">
        <v>653</v>
      </c>
      <c r="B71" s="35" t="n">
        <f aca="false">px/tp_street-1</f>
        <v>-0.337830878566279</v>
      </c>
    </row>
    <row r="73" customFormat="false" ht="17.15" hidden="false" customHeight="false" outlineLevel="0" collapsed="false">
      <c r="A73" s="1" t="s">
        <v>654</v>
      </c>
    </row>
    <row r="74" customFormat="false" ht="17.15" hidden="false" customHeight="false" outlineLevel="0" collapsed="false">
      <c r="A74" s="6" t="s">
        <v>655</v>
      </c>
      <c r="B74" s="6" t="s">
        <v>656</v>
      </c>
      <c r="C74" s="14" t="s">
        <v>657</v>
      </c>
      <c r="D74" s="6" t="s">
        <v>658</v>
      </c>
      <c r="E74" s="6" t="s">
        <v>659</v>
      </c>
      <c r="F74" s="6" t="s">
        <v>453</v>
      </c>
    </row>
    <row r="75" customFormat="false" ht="17.15" hidden="false" customHeight="false" outlineLevel="0" collapsed="false">
      <c r="A75" s="0" t="s">
        <v>640</v>
      </c>
      <c r="B75" s="0" t="n">
        <f aca="false">INDEX({2026,2027,2028,2029},MATCH(MAX(PL!D75:G75),PL!D75:G75,0))</f>
        <v>2029</v>
      </c>
      <c r="C75" s="0" t="str">
        <f aca="false">IF(B75=2029,"中段",IF(2027&lt;B75,"中段",IF(2027=B75,"見頂","谷底")))</f>
        <v>中段</v>
      </c>
      <c r="D75" s="33" t="n">
        <f aca="false">IF(C75="見頂",pe_peak,IF(C75="谷底",pe_trough,pe_mid))</f>
        <v>127.62</v>
      </c>
      <c r="E75" s="0" t="str">
        <f aca="false">IF(B75=2029,"是：營收到觀測期末仍在增加","否")</f>
        <v>是：營收到觀測期末仍在增加</v>
      </c>
      <c r="F75" s="8" t="s">
        <v>660</v>
      </c>
    </row>
    <row r="76" customFormat="false" ht="15" hidden="false" customHeight="false" outlineLevel="0" collapsed="false">
      <c r="A76" s="0" t="s">
        <v>641</v>
      </c>
      <c r="B76" s="0" t="n">
        <f aca="false">INDEX({2026,2027,2028,2029},MATCH(MAX(PL!D109:G109),PL!D109:G109,0))</f>
        <v>2029</v>
      </c>
      <c r="C76" s="0" t="str">
        <f aca="false">IF(B76=2029,"中段",IF(2027&lt;B76,"中段",IF(2027=B76,"見頂","谷底")))</f>
        <v>中段</v>
      </c>
      <c r="D76" s="33" t="n">
        <f aca="false">IF(C76="見頂",pe_peak,IF(C76="谷底",pe_trough,pe_mid))</f>
        <v>127.62</v>
      </c>
      <c r="E76" s="0" t="str">
        <f aca="false">IF(B76=2029,"是：營收到觀測期末仍在增加","否")</f>
        <v>是：營收到觀測期末仍在增加</v>
      </c>
      <c r="F76" s="5" t="s">
        <v>36</v>
      </c>
    </row>
    <row r="77" customFormat="false" ht="15" hidden="false" customHeight="false" outlineLevel="0" collapsed="false">
      <c r="A77" s="0" t="s">
        <v>642</v>
      </c>
      <c r="B77" s="0" t="n">
        <f aca="false">INDEX({2026,2027,2028,2029},MATCH(MAX(PL!D143:G143),PL!D143:G143,0))</f>
        <v>2027</v>
      </c>
      <c r="C77" s="0" t="str">
        <f aca="false">IF(B77=2029,"中段",IF(2027&lt;B77,"中段",IF(2027=B77,"見頂","谷底")))</f>
        <v>見頂</v>
      </c>
      <c r="D77" s="33" t="n">
        <f aca="false">IF(C77="見頂",pe_peak,IF(C77="谷底",pe_trough,pe_mid))</f>
        <v>127.62</v>
      </c>
      <c r="E77" s="0" t="str">
        <f aca="false">IF(B77=2029,"是：營收到觀測期末仍在增加","否")</f>
        <v>否</v>
      </c>
      <c r="F77" s="5" t="s">
        <v>36</v>
      </c>
    </row>
    <row r="79" customFormat="false" ht="17.15" hidden="false" customHeight="false" outlineLevel="0" collapsed="false">
      <c r="A79" s="1" t="s">
        <v>661</v>
      </c>
    </row>
    <row r="80" customFormat="false" ht="17.15" hidden="false" customHeight="false" outlineLevel="0" collapsed="false">
      <c r="A80" s="6" t="s">
        <v>655</v>
      </c>
      <c r="B80" s="14" t="s">
        <v>662</v>
      </c>
      <c r="C80" s="14" t="s">
        <v>663</v>
      </c>
      <c r="D80" s="14" t="s">
        <v>664</v>
      </c>
      <c r="E80" s="6" t="s">
        <v>665</v>
      </c>
      <c r="F80" s="6" t="s">
        <v>666</v>
      </c>
      <c r="G80" s="6" t="s">
        <v>667</v>
      </c>
      <c r="H80" s="6" t="s">
        <v>668</v>
      </c>
    </row>
    <row r="81" customFormat="false" ht="15" hidden="false" customHeight="false" outlineLevel="0" collapsed="false">
      <c r="A81" s="10" t="s">
        <v>640</v>
      </c>
      <c r="B81" s="36" t="n">
        <f aca="false">PL!E13</f>
        <v>6.89907675613375</v>
      </c>
      <c r="C81" s="36" t="n">
        <f aca="false">PL!F13</f>
        <v>8.10132785589452</v>
      </c>
      <c r="D81" s="36" t="n">
        <f aca="false">B81*g2n</f>
        <v>4.82935372929362</v>
      </c>
      <c r="E81" s="37" t="n">
        <f aca="false">D75</f>
        <v>127.62</v>
      </c>
      <c r="F81" s="38" t="n">
        <f aca="false">D81*E81</f>
        <v>616.322122932452</v>
      </c>
      <c r="G81" s="39" t="n">
        <f aca="false">F81/px-1</f>
        <v>1.39664847928314</v>
      </c>
      <c r="H81" s="37" t="n">
        <f aca="false">px/B81</f>
        <v>37.2745526814682</v>
      </c>
    </row>
    <row r="82" customFormat="false" ht="15" hidden="false" customHeight="false" outlineLevel="0" collapsed="false">
      <c r="A82" s="10" t="s">
        <v>641</v>
      </c>
      <c r="B82" s="36" t="n">
        <f aca="false">PL!E25</f>
        <v>6.89907675613375</v>
      </c>
      <c r="C82" s="36" t="n">
        <f aca="false">PL!F25</f>
        <v>6.12558503508631</v>
      </c>
      <c r="D82" s="36" t="n">
        <f aca="false">B82*g2n</f>
        <v>4.82935372929362</v>
      </c>
      <c r="E82" s="37" t="n">
        <f aca="false">D76</f>
        <v>127.62</v>
      </c>
      <c r="F82" s="38" t="n">
        <f aca="false">D82*E82</f>
        <v>616.322122932452</v>
      </c>
      <c r="G82" s="39" t="n">
        <f aca="false">F82/px-1</f>
        <v>1.39664847928314</v>
      </c>
      <c r="H82" s="37" t="n">
        <f aca="false">px/B82</f>
        <v>37.2745526814682</v>
      </c>
    </row>
    <row r="83" customFormat="false" ht="15" hidden="false" customHeight="false" outlineLevel="0" collapsed="false">
      <c r="A83" s="10" t="s">
        <v>642</v>
      </c>
      <c r="B83" s="36" t="n">
        <f aca="false">PL!E37</f>
        <v>6.89907675613375</v>
      </c>
      <c r="C83" s="36" t="n">
        <f aca="false">PL!F37</f>
        <v>3.59608415568256</v>
      </c>
      <c r="D83" s="36" t="n">
        <f aca="false">B83*g2n</f>
        <v>4.82935372929362</v>
      </c>
      <c r="E83" s="37" t="n">
        <f aca="false">D77</f>
        <v>127.62</v>
      </c>
      <c r="F83" s="38" t="n">
        <f aca="false">D83*E83</f>
        <v>616.322122932452</v>
      </c>
      <c r="G83" s="39" t="n">
        <f aca="false">F83/px-1</f>
        <v>1.39664847928314</v>
      </c>
      <c r="H83" s="37" t="n">
        <f aca="false">px/B83</f>
        <v>37.2745526814682</v>
      </c>
    </row>
    <row r="84" customFormat="false" ht="17.15" hidden="false" customHeight="false" outlineLevel="0" collapsed="false">
      <c r="A84" s="0" t="s">
        <v>669</v>
      </c>
    </row>
    <row r="86" customFormat="false" ht="17.15" hidden="false" customHeight="false" outlineLevel="0" collapsed="false">
      <c r="A86" s="1" t="s">
        <v>670</v>
      </c>
    </row>
    <row r="87" customFormat="false" ht="17.15" hidden="false" customHeight="false" outlineLevel="0" collapsed="false">
      <c r="A87" s="6" t="s">
        <v>671</v>
      </c>
      <c r="B87" s="6" t="s">
        <v>672</v>
      </c>
      <c r="C87" s="6" t="s">
        <v>673</v>
      </c>
      <c r="D87" s="6" t="s">
        <v>674</v>
      </c>
      <c r="E87" s="6" t="s">
        <v>675</v>
      </c>
      <c r="F87" s="6" t="s">
        <v>676</v>
      </c>
    </row>
    <row r="88" customFormat="false" ht="15" hidden="false" customHeight="false" outlineLevel="0" collapsed="false">
      <c r="A88" s="32" t="n">
        <v>20</v>
      </c>
      <c r="B88" s="9" t="n">
        <f aca="false">px/A88</f>
        <v>12.858</v>
      </c>
      <c r="C88" s="9" t="n">
        <f aca="false">PL!F13</f>
        <v>8.10132785589452</v>
      </c>
      <c r="D88" s="35" t="n">
        <f aca="false">B88/C88-1</f>
        <v>0.58714722187728</v>
      </c>
      <c r="E88" s="9" t="n">
        <f aca="false">PL!F37</f>
        <v>3.59608415568256</v>
      </c>
      <c r="F88" s="35" t="n">
        <f aca="false">B88/E88-1</f>
        <v>2.57555592231669</v>
      </c>
    </row>
    <row r="89" customFormat="false" ht="15" hidden="false" customHeight="false" outlineLevel="0" collapsed="false">
      <c r="A89" s="32" t="n">
        <v>25</v>
      </c>
      <c r="B89" s="9" t="n">
        <f aca="false">px/A89</f>
        <v>10.2864</v>
      </c>
      <c r="C89" s="9" t="n">
        <f aca="false">PL!F13</f>
        <v>8.10132785589452</v>
      </c>
      <c r="D89" s="35" t="n">
        <f aca="false">B89/C89-1</f>
        <v>0.269717777501824</v>
      </c>
      <c r="E89" s="9" t="n">
        <f aca="false">PL!F37</f>
        <v>3.59608415568256</v>
      </c>
      <c r="F89" s="35" t="n">
        <f aca="false">B89/E89-1</f>
        <v>1.86044473785336</v>
      </c>
    </row>
    <row r="90" customFormat="false" ht="15" hidden="false" customHeight="false" outlineLevel="0" collapsed="false">
      <c r="A90" s="32" t="n">
        <v>35</v>
      </c>
      <c r="B90" s="9" t="n">
        <f aca="false">px/A90</f>
        <v>7.34742857142857</v>
      </c>
      <c r="C90" s="9" t="n">
        <f aca="false">PL!F13</f>
        <v>8.10132785589452</v>
      </c>
      <c r="D90" s="35" t="n">
        <f aca="false">B90/C90-1</f>
        <v>-0.0930587303558401</v>
      </c>
      <c r="E90" s="9" t="n">
        <f aca="false">PL!F37</f>
        <v>3.59608415568256</v>
      </c>
      <c r="F90" s="35" t="n">
        <f aca="false">B90/E90-1</f>
        <v>1.0431748127524</v>
      </c>
    </row>
    <row r="91" customFormat="false" ht="15" hidden="false" customHeight="false" outlineLevel="0" collapsed="false">
      <c r="A91" s="32" t="n">
        <v>45</v>
      </c>
      <c r="B91" s="9" t="n">
        <f aca="false">px/A91</f>
        <v>5.71466666666667</v>
      </c>
      <c r="C91" s="9" t="n">
        <f aca="false">PL!F13</f>
        <v>8.10132785589452</v>
      </c>
      <c r="D91" s="35" t="n">
        <f aca="false">B91/C91-1</f>
        <v>-0.294601234721209</v>
      </c>
      <c r="E91" s="9" t="n">
        <f aca="false">PL!F37</f>
        <v>3.59608415568256</v>
      </c>
      <c r="F91" s="35" t="n">
        <f aca="false">B91/E91-1</f>
        <v>0.589135965474086</v>
      </c>
    </row>
    <row r="92" customFormat="false" ht="17.15" hidden="false" customHeight="false" outlineLevel="0" collapsed="false">
      <c r="A92" s="5" t="s">
        <v>677</v>
      </c>
    </row>
    <row r="93" customFormat="false" ht="17.15" hidden="false" customHeight="false" outlineLevel="0" collapsed="false">
      <c r="A93" s="5" t="s">
        <v>678</v>
      </c>
    </row>
    <row r="97" customFormat="false" ht="17.15" hidden="false" customHeight="false" outlineLevel="0" collapsed="false">
      <c r="A97" s="1" t="s">
        <v>679</v>
      </c>
    </row>
    <row r="98" customFormat="false" ht="17.15" hidden="false" customHeight="false" outlineLevel="0" collapsed="false">
      <c r="A98" s="5" t="s">
        <v>680</v>
      </c>
    </row>
    <row r="100" customFormat="false" ht="17.15" hidden="false" customHeight="false" outlineLevel="0" collapsed="false">
      <c r="A100" s="1" t="s">
        <v>681</v>
      </c>
    </row>
    <row r="101" customFormat="false" ht="17.15" hidden="false" customHeight="false" outlineLevel="0" collapsed="false">
      <c r="A101" s="6" t="s">
        <v>682</v>
      </c>
      <c r="B101" s="14" t="s">
        <v>683</v>
      </c>
      <c r="C101" s="14" t="s">
        <v>684</v>
      </c>
      <c r="D101" s="6" t="s">
        <v>685</v>
      </c>
    </row>
    <row r="102" customFormat="false" ht="17.15" hidden="false" customHeight="false" outlineLevel="0" collapsed="false">
      <c r="A102" s="0" t="s">
        <v>686</v>
      </c>
      <c r="D102" s="0" t="s">
        <v>687</v>
      </c>
    </row>
    <row r="103" customFormat="false" ht="15" hidden="false" customHeight="false" outlineLevel="0" collapsed="false">
      <c r="A103" s="0" t="s">
        <v>688</v>
      </c>
    </row>
    <row r="104" customFormat="false" ht="15" hidden="false" customHeight="false" outlineLevel="0" collapsed="false">
      <c r="A104" s="0" t="s">
        <v>689</v>
      </c>
    </row>
    <row r="105" customFormat="false" ht="15" hidden="false" customHeight="false" outlineLevel="0" collapsed="false">
      <c r="A105" s="0" t="s">
        <v>690</v>
      </c>
    </row>
    <row r="106" customFormat="false" ht="15" hidden="false" customHeight="false" outlineLevel="0" collapsed="false">
      <c r="A106" s="0" t="s">
        <v>691</v>
      </c>
    </row>
    <row r="107" customFormat="false" ht="15" hidden="false" customHeight="false" outlineLevel="0" collapsed="false">
      <c r="A107" s="0" t="s">
        <v>692</v>
      </c>
    </row>
    <row r="108" customFormat="false" ht="15" hidden="false" customHeight="false" outlineLevel="0" collapsed="false">
      <c r="A108" s="0" t="s">
        <v>693</v>
      </c>
    </row>
    <row r="109" customFormat="false" ht="15" hidden="false" customHeight="false" outlineLevel="0" collapsed="false">
      <c r="A109" s="0" t="s">
        <v>694</v>
      </c>
    </row>
    <row r="110" customFormat="false" ht="15" hidden="false" customHeight="false" outlineLevel="0" collapsed="false">
      <c r="A110" s="0" t="s">
        <v>695</v>
      </c>
    </row>
    <row r="111" customFormat="false" ht="15" hidden="false" customHeight="false" outlineLevel="0" collapsed="false">
      <c r="A111" s="0" t="s">
        <v>696</v>
      </c>
      <c r="B111" s="40" t="n">
        <v>127</v>
      </c>
      <c r="C111" s="40" t="n">
        <v>128.23</v>
      </c>
    </row>
    <row r="112" customFormat="false" ht="17.15" hidden="false" customHeight="false" outlineLevel="0" collapsed="false">
      <c r="A112" s="0" t="s">
        <v>697</v>
      </c>
      <c r="B112" s="9" t="n">
        <f aca="false">PERCENTILE(B102:B111,0.25)</f>
        <v>127</v>
      </c>
      <c r="C112" s="9" t="n">
        <f aca="false">PERCENTILE(C102:C111,0.25)</f>
        <v>128.23</v>
      </c>
    </row>
    <row r="113" customFormat="false" ht="15" hidden="false" customHeight="false" outlineLevel="0" collapsed="false">
      <c r="A113" s="5" t="s">
        <v>698</v>
      </c>
      <c r="B113" s="9" t="n">
        <f aca="false">MEDIAN(B102:B111)</f>
        <v>127</v>
      </c>
      <c r="C113" s="9" t="n">
        <f aca="false">MEDIAN(C102:C111)</f>
        <v>128.23</v>
      </c>
    </row>
    <row r="114" customFormat="false" ht="17.15" hidden="false" customHeight="false" outlineLevel="0" collapsed="false">
      <c r="A114" s="0" t="s">
        <v>699</v>
      </c>
      <c r="B114" s="9" t="n">
        <f aca="false">PERCENTILE(B102:B111,0.75)</f>
        <v>127</v>
      </c>
      <c r="C114" s="9" t="n">
        <f aca="false">PERCENTILE(C102:C111,0.75)</f>
        <v>128.23</v>
      </c>
    </row>
    <row r="115" customFormat="false" ht="15" hidden="false" customHeight="false" outlineLevel="0" collapsed="false">
      <c r="A115" s="5" t="s">
        <v>700</v>
      </c>
      <c r="B115" s="9" t="n">
        <f aca="false">MIN(B102:B111)</f>
        <v>127</v>
      </c>
      <c r="C115" s="9" t="n">
        <f aca="false">MIN(C102:C111)</f>
        <v>128.23</v>
      </c>
    </row>
    <row r="116" customFormat="false" ht="15" hidden="false" customHeight="false" outlineLevel="0" collapsed="false">
      <c r="A116" s="5" t="s">
        <v>701</v>
      </c>
      <c r="B116" s="9" t="n">
        <f aca="false">MAX(B102:B111)</f>
        <v>127</v>
      </c>
      <c r="C116" s="9" t="n">
        <f aca="false">MAX(C102:C111)</f>
        <v>128.23</v>
      </c>
    </row>
    <row r="117" customFormat="false" ht="17.15" hidden="false" customHeight="false" outlineLevel="0" collapsed="false">
      <c r="A117" s="3" t="s">
        <v>702</v>
      </c>
      <c r="B117" s="9" t="n">
        <f aca="false">ROUND(AVERAGE(B112,C112),2)</f>
        <v>127.62</v>
      </c>
    </row>
    <row r="118" customFormat="false" ht="17.15" hidden="false" customHeight="false" outlineLevel="0" collapsed="false">
      <c r="A118" s="3" t="s">
        <v>703</v>
      </c>
      <c r="B118" s="9" t="n">
        <f aca="false">ROUND(AVERAGE(B113,C113),2)</f>
        <v>127.62</v>
      </c>
    </row>
    <row r="119" customFormat="false" ht="17.15" hidden="false" customHeight="false" outlineLevel="0" collapsed="false">
      <c r="A119" s="3" t="s">
        <v>704</v>
      </c>
      <c r="B119" s="9" t="n">
        <f aca="false">ROUND(AVERAGE(B114,C114),2)</f>
        <v>127.62</v>
      </c>
    </row>
    <row r="120" customFormat="false" ht="17.15" hidden="false" customHeight="false" outlineLevel="0" collapsed="false">
      <c r="A120" s="3" t="s">
        <v>705</v>
      </c>
      <c r="B120" s="9" t="n">
        <f aca="false">ROUND(MIN(B115,C115),2)</f>
        <v>127</v>
      </c>
    </row>
    <row r="121" customFormat="false" ht="17.15" hidden="false" customHeight="false" outlineLevel="0" collapsed="false">
      <c r="A121" s="3" t="s">
        <v>706</v>
      </c>
      <c r="B121" s="9" t="n">
        <f aca="false">ROUND(MAX(B116,C116),2)</f>
        <v>128.23</v>
      </c>
    </row>
    <row r="123" customFormat="false" ht="17.15" hidden="false" customHeight="false" outlineLevel="0" collapsed="false">
      <c r="A123" s="1" t="s">
        <v>707</v>
      </c>
    </row>
    <row r="124" customFormat="false" ht="17.15" hidden="false" customHeight="false" outlineLevel="0" collapsed="false">
      <c r="A124" s="6" t="s">
        <v>708</v>
      </c>
      <c r="B124" s="6" t="s">
        <v>709</v>
      </c>
      <c r="C124" s="6" t="s">
        <v>710</v>
      </c>
      <c r="D124" s="6" t="s">
        <v>22</v>
      </c>
      <c r="E124" s="6" t="s">
        <v>711</v>
      </c>
      <c r="F124" s="6" t="s">
        <v>666</v>
      </c>
      <c r="G124" s="6" t="s">
        <v>712</v>
      </c>
      <c r="H124" s="6" t="s">
        <v>713</v>
      </c>
    </row>
    <row r="125" customFormat="false" ht="17.15" hidden="false" customHeight="false" outlineLevel="0" collapsed="false">
      <c r="A125" s="5" t="s">
        <v>714</v>
      </c>
      <c r="B125" s="0" t="s">
        <v>715</v>
      </c>
      <c r="C125" s="9" t="n">
        <f aca="false">B117</f>
        <v>127.62</v>
      </c>
      <c r="D125" s="8" t="s">
        <v>716</v>
      </c>
      <c r="E125" s="18" t="n">
        <f aca="false">D81</f>
        <v>4.82935372929362</v>
      </c>
      <c r="F125" s="17" t="n">
        <f aca="false">C125*E125</f>
        <v>616.322122932452</v>
      </c>
      <c r="G125" s="16" t="n">
        <f aca="false">F125/px-1</f>
        <v>1.39664847928314</v>
      </c>
      <c r="H125" s="9" t="n">
        <f aca="false">px/E125</f>
        <v>53.249360973526</v>
      </c>
    </row>
    <row r="126" customFormat="false" ht="17.15" hidden="false" customHeight="false" outlineLevel="0" collapsed="false">
      <c r="A126" s="5" t="s">
        <v>717</v>
      </c>
      <c r="B126" s="5" t="s">
        <v>718</v>
      </c>
      <c r="C126" s="9" t="n">
        <f aca="false">B118</f>
        <v>127.62</v>
      </c>
      <c r="D126" s="8" t="s">
        <v>716</v>
      </c>
      <c r="E126" s="18" t="n">
        <f aca="false">D81</f>
        <v>4.82935372929362</v>
      </c>
      <c r="F126" s="17" t="n">
        <f aca="false">C126*E126</f>
        <v>616.322122932452</v>
      </c>
      <c r="G126" s="16" t="n">
        <f aca="false">F126/px-1</f>
        <v>1.39664847928314</v>
      </c>
      <c r="H126" s="9" t="n">
        <f aca="false">px/E126</f>
        <v>53.249360973526</v>
      </c>
    </row>
    <row r="127" customFormat="false" ht="17.15" hidden="false" customHeight="false" outlineLevel="0" collapsed="false">
      <c r="A127" s="5" t="s">
        <v>719</v>
      </c>
      <c r="B127" s="0" t="s">
        <v>720</v>
      </c>
      <c r="C127" s="9" t="n">
        <f aca="false">B119</f>
        <v>127.62</v>
      </c>
      <c r="D127" s="8" t="s">
        <v>716</v>
      </c>
      <c r="E127" s="18" t="n">
        <f aca="false">D81</f>
        <v>4.82935372929362</v>
      </c>
      <c r="F127" s="17" t="n">
        <f aca="false">C127*E127</f>
        <v>616.322122932452</v>
      </c>
      <c r="G127" s="16" t="n">
        <f aca="false">F127/px-1</f>
        <v>1.39664847928314</v>
      </c>
      <c r="H127" s="9" t="n">
        <f aca="false">px/E127</f>
        <v>53.249360973526</v>
      </c>
    </row>
    <row r="129" customFormat="false" ht="17.15" hidden="false" customHeight="false" outlineLevel="0" collapsed="false">
      <c r="A129" s="5" t="s">
        <v>721</v>
      </c>
      <c r="B129" s="0" t="str">
        <f aca="false">IF(B42&gt;0.5,"大於 50%",IF(B42&gt;0.25,"25%–50%",IF(B42&gt;=0,"0%–25%",IF(B42&gt;=-0.25,"0%～−25%",IF(B42&gt;=-0.5,"−25%～−50%","小於 −50%")))))</f>
        <v>−25%～−50%</v>
      </c>
      <c r="E129" s="5" t="s">
        <v>722</v>
      </c>
    </row>
    <row r="130" customFormat="false" ht="17.15" hidden="false" customHeight="false" outlineLevel="0" collapsed="false">
      <c r="A130" s="5" t="s">
        <v>723</v>
      </c>
      <c r="B130" s="0" t="str">
        <f aca="false">IF(B42&gt;0.5,"強力買進",IF(B42&gt;0.25,"買進",IF(B42&gt;=-0.25,"中立",IF(B42&gt;=-0.5,"放空","強力放空"))))</f>
        <v>放空</v>
      </c>
      <c r="E130" s="5" t="s">
        <v>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725</v>
      </c>
    </row>
    <row r="3" customFormat="false" ht="17.15" hidden="false" customHeight="false" outlineLevel="0" collapsed="false">
      <c r="A3" s="6" t="s">
        <v>19</v>
      </c>
      <c r="B3" s="6" t="s">
        <v>726</v>
      </c>
      <c r="C3" s="6" t="s">
        <v>727</v>
      </c>
      <c r="D3" s="6" t="s">
        <v>728</v>
      </c>
      <c r="E3" s="6" t="s">
        <v>729</v>
      </c>
      <c r="F3" s="6" t="s">
        <v>730</v>
      </c>
      <c r="G3" s="6" t="s">
        <v>731</v>
      </c>
      <c r="H3" s="6" t="s">
        <v>732</v>
      </c>
      <c r="I3" s="6" t="s">
        <v>733</v>
      </c>
      <c r="J3" s="6" t="s">
        <v>453</v>
      </c>
    </row>
    <row r="4" customFormat="false" ht="17.15" hidden="false" customHeight="false" outlineLevel="0" collapsed="false">
      <c r="A4" s="1" t="s">
        <v>734</v>
      </c>
    </row>
    <row r="5" customFormat="false" ht="17.15" hidden="false" customHeight="false" outlineLevel="0" collapsed="false">
      <c r="A5" s="0" t="s">
        <v>735</v>
      </c>
      <c r="B5" s="15" t="n">
        <f aca="false">cons_q3</f>
        <v>0.5508</v>
      </c>
      <c r="C5" s="15" t="n">
        <f aca="false">Q!F4</f>
        <v>0.55</v>
      </c>
      <c r="D5" s="16" t="n">
        <f aca="false">C5/B5-1</f>
        <v>-0.00145243282498164</v>
      </c>
      <c r="E5" s="15" t="n">
        <f aca="false">Q!F4</f>
        <v>0.55</v>
      </c>
      <c r="F5" s="16" t="n">
        <f aca="false">E5/B5-1</f>
        <v>-0.00145243282498164</v>
      </c>
      <c r="G5" s="15" t="n">
        <f aca="false">Q!F4</f>
        <v>0.55</v>
      </c>
      <c r="H5" s="16" t="n">
        <f aca="false">G5/B5-1</f>
        <v>-0.00145243282498164</v>
      </c>
      <c r="I5" s="8" t="s">
        <v>736</v>
      </c>
      <c r="J5" s="5" t="s">
        <v>737</v>
      </c>
    </row>
    <row r="6" customFormat="false" ht="17.15" hidden="false" customHeight="false" outlineLevel="0" collapsed="false">
      <c r="A6" s="0" t="s">
        <v>738</v>
      </c>
      <c r="B6" s="15" t="n">
        <f aca="false">cons_q4</f>
        <v>0.65571</v>
      </c>
      <c r="C6" s="15" t="n">
        <f aca="false">Q!G4</f>
        <v>0.6325</v>
      </c>
      <c r="D6" s="16" t="n">
        <f aca="false">C6/B6-1</f>
        <v>-0.0353967455124981</v>
      </c>
      <c r="E6" s="15" t="n">
        <f aca="false">Q!G4</f>
        <v>0.6325</v>
      </c>
      <c r="F6" s="16" t="n">
        <f aca="false">E6/B6-1</f>
        <v>-0.0353967455124981</v>
      </c>
      <c r="G6" s="15" t="n">
        <f aca="false">Q!G4</f>
        <v>0.6325</v>
      </c>
      <c r="H6" s="16" t="n">
        <f aca="false">G6/B6-1</f>
        <v>-0.0353967455124981</v>
      </c>
      <c r="I6" s="8" t="s">
        <v>739</v>
      </c>
      <c r="J6" s="5" t="s">
        <v>740</v>
      </c>
    </row>
    <row r="7" customFormat="false" ht="17.15" hidden="false" customHeight="false" outlineLevel="0" collapsed="false">
      <c r="A7" s="0" t="s">
        <v>741</v>
      </c>
      <c r="B7" s="18" t="n">
        <f aca="false">cons_rev26</f>
        <v>1.91</v>
      </c>
      <c r="C7" s="18" t="n">
        <f aca="false">PL!D75</f>
        <v>1.883261</v>
      </c>
      <c r="D7" s="16" t="n">
        <f aca="false">C7/B7-1</f>
        <v>-0.0139994764397905</v>
      </c>
      <c r="E7" s="18" t="n">
        <f aca="false">PL!D109</f>
        <v>1.883261</v>
      </c>
      <c r="F7" s="16" t="n">
        <f aca="false">E7/B7-1</f>
        <v>-0.0139994764397905</v>
      </c>
      <c r="G7" s="18" t="n">
        <f aca="false">PL!D143</f>
        <v>1.883261</v>
      </c>
      <c r="H7" s="16" t="n">
        <f aca="false">G7/B7-1</f>
        <v>-0.0139994764397905</v>
      </c>
      <c r="I7" s="8" t="s">
        <v>742</v>
      </c>
    </row>
    <row r="8" customFormat="false" ht="17.15" hidden="false" customHeight="false" outlineLevel="0" collapsed="false">
      <c r="A8" s="0" t="s">
        <v>743</v>
      </c>
      <c r="B8" s="18" t="n">
        <f aca="false">cons_eps26</f>
        <v>4.03</v>
      </c>
      <c r="C8" s="18" t="n">
        <f aca="false">PL!D90</f>
        <v>4.00791851053741</v>
      </c>
      <c r="D8" s="16" t="n">
        <f aca="false">C8/B8-1</f>
        <v>-0.00547927778228119</v>
      </c>
      <c r="E8" s="18" t="n">
        <f aca="false">PL!D124</f>
        <v>4.00791851053741</v>
      </c>
      <c r="F8" s="16" t="n">
        <f aca="false">E8/B8-1</f>
        <v>-0.00547927778228119</v>
      </c>
      <c r="G8" s="18" t="n">
        <f aca="false">PL!D158</f>
        <v>4.00791851053741</v>
      </c>
      <c r="H8" s="16" t="n">
        <f aca="false">G8/B8-1</f>
        <v>-0.00547927778228119</v>
      </c>
      <c r="I8" s="8" t="s">
        <v>744</v>
      </c>
    </row>
    <row r="9" customFormat="false" ht="17.15" hidden="false" customHeight="false" outlineLevel="0" collapsed="false">
      <c r="A9" s="0" t="s">
        <v>745</v>
      </c>
      <c r="B9" s="18" t="n">
        <f aca="false">cons_rev27</f>
        <v>2.98</v>
      </c>
      <c r="C9" s="18" t="n">
        <f aca="false">PL!E75</f>
        <v>3.32024622592593</v>
      </c>
      <c r="D9" s="16" t="n">
        <f aca="false">C9/B9-1</f>
        <v>0.114176585881183</v>
      </c>
      <c r="E9" s="18" t="n">
        <f aca="false">PL!E109</f>
        <v>3.32024622592593</v>
      </c>
      <c r="F9" s="16" t="n">
        <f aca="false">E9/B9-1</f>
        <v>0.114176585881183</v>
      </c>
      <c r="G9" s="18" t="n">
        <f aca="false">PL!E143</f>
        <v>3.32024622592593</v>
      </c>
      <c r="H9" s="16" t="n">
        <f aca="false">G9/B9-1</f>
        <v>0.114176585881183</v>
      </c>
      <c r="I9" s="8" t="s">
        <v>746</v>
      </c>
    </row>
    <row r="10" customFormat="false" ht="17.15" hidden="false" customHeight="false" outlineLevel="0" collapsed="false">
      <c r="A10" s="0" t="s">
        <v>747</v>
      </c>
      <c r="B10" s="18" t="n">
        <f aca="false">cons_eps27</f>
        <v>6.4</v>
      </c>
      <c r="C10" s="18" t="n">
        <f aca="false">PL!E90</f>
        <v>6.89907675613375</v>
      </c>
      <c r="D10" s="16" t="n">
        <f aca="false">C10/B10-1</f>
        <v>0.0779807431458983</v>
      </c>
      <c r="E10" s="18" t="n">
        <f aca="false">PL!E124</f>
        <v>6.89907675613375</v>
      </c>
      <c r="F10" s="16" t="n">
        <f aca="false">E10/B10-1</f>
        <v>0.0779807431458983</v>
      </c>
      <c r="G10" s="18" t="n">
        <f aca="false">PL!E158</f>
        <v>6.89907675613375</v>
      </c>
      <c r="H10" s="16" t="n">
        <f aca="false">G10/B10-1</f>
        <v>0.0779807431458983</v>
      </c>
      <c r="I10" s="8" t="s">
        <v>748</v>
      </c>
    </row>
    <row r="11" customFormat="false" ht="17.15" hidden="false" customHeight="false" outlineLevel="0" collapsed="false">
      <c r="A11" s="0" t="s">
        <v>749</v>
      </c>
      <c r="B11" s="18" t="n">
        <f aca="false">cons_rev28</f>
        <v>3.835</v>
      </c>
      <c r="C11" s="18" t="n">
        <f aca="false">PL!F75</f>
        <v>3.91999487847222</v>
      </c>
      <c r="D11" s="16" t="n">
        <f aca="false">C11/B11-1</f>
        <v>0.0221629409314792</v>
      </c>
      <c r="E11" s="18" t="n">
        <f aca="false">PL!F109</f>
        <v>3.13599590277778</v>
      </c>
      <c r="F11" s="16" t="n">
        <f aca="false">E11/B11-1</f>
        <v>-0.182269647254816</v>
      </c>
      <c r="G11" s="18" t="n">
        <f aca="false">PL!F143</f>
        <v>2.35199692708333</v>
      </c>
      <c r="H11" s="16" t="n">
        <f aca="false">G11/B11-1</f>
        <v>-0.386702235441113</v>
      </c>
      <c r="I11" s="8" t="s">
        <v>750</v>
      </c>
    </row>
    <row r="12" customFormat="false" ht="17.15" hidden="false" customHeight="false" outlineLevel="0" collapsed="false">
      <c r="A12" s="0" t="s">
        <v>751</v>
      </c>
      <c r="B12" s="18" t="n">
        <f aca="false">cons_eps28</f>
        <v>8.57106759317751</v>
      </c>
      <c r="C12" s="18" t="n">
        <f aca="false">PL!F90</f>
        <v>8.10132785589452</v>
      </c>
      <c r="D12" s="16" t="n">
        <f aca="false">C12/B12-1</f>
        <v>-0.0548052774262224</v>
      </c>
      <c r="E12" s="18" t="n">
        <f aca="false">PL!F124</f>
        <v>6.12558503508631</v>
      </c>
      <c r="F12" s="16" t="n">
        <f aca="false">E12/B12-1</f>
        <v>-0.285318314376355</v>
      </c>
      <c r="G12" s="18" t="n">
        <f aca="false">PL!F158</f>
        <v>3.59608415568256</v>
      </c>
      <c r="H12" s="16" t="n">
        <f aca="false">G12/B12-1</f>
        <v>-0.580439179065044</v>
      </c>
      <c r="I12" s="8" t="s">
        <v>752</v>
      </c>
      <c r="J12" s="5" t="s">
        <v>753</v>
      </c>
    </row>
    <row r="13" customFormat="false" ht="17.15" hidden="false" customHeight="false" outlineLevel="0" collapsed="false">
      <c r="A13" s="0" t="s">
        <v>754</v>
      </c>
      <c r="B13" s="16" t="n">
        <v>0.7</v>
      </c>
      <c r="C13" s="16" t="n">
        <f aca="false">PL!E79</f>
        <v>0.7</v>
      </c>
      <c r="D13" s="16" t="n">
        <f aca="false">C13-B13</f>
        <v>0</v>
      </c>
      <c r="E13" s="16" t="n">
        <f aca="false">PL!E113</f>
        <v>0.7</v>
      </c>
      <c r="F13" s="16" t="n">
        <f aca="false">E13-B13</f>
        <v>0</v>
      </c>
      <c r="G13" s="16" t="n">
        <f aca="false">PL!E147</f>
        <v>0.7</v>
      </c>
      <c r="H13" s="16" t="n">
        <f aca="false">G13-B13</f>
        <v>0</v>
      </c>
      <c r="I13" s="5" t="s">
        <v>755</v>
      </c>
    </row>
    <row r="14" customFormat="false" ht="17.15" hidden="false" customHeight="false" outlineLevel="0" collapsed="false">
      <c r="A14" s="1" t="s">
        <v>756</v>
      </c>
    </row>
    <row r="15" customFormat="false" ht="17.15" hidden="false" customHeight="false" outlineLevel="0" collapsed="false">
      <c r="A15" s="0" t="s">
        <v>757</v>
      </c>
      <c r="B15" s="19" t="n">
        <v>1000</v>
      </c>
      <c r="C15" s="19" t="n">
        <f aca="false">PL!F67*1000/nnu_28</f>
        <v>195.438222222222</v>
      </c>
      <c r="D15" s="16" t="n">
        <f aca="false">C15/B15-1</f>
        <v>-0.804561777777778</v>
      </c>
      <c r="E15" s="19" t="n">
        <f aca="false">PL!F101*1000/nnu_28</f>
        <v>156.350577777778</v>
      </c>
      <c r="F15" s="16" t="n">
        <f aca="false">E15/B15-1</f>
        <v>-0.843649422222222</v>
      </c>
      <c r="G15" s="19" t="n">
        <f aca="false">PL!F135*1000/nnu_28</f>
        <v>117.262933333333</v>
      </c>
      <c r="H15" s="16" t="n">
        <f aca="false">G15/B15-1</f>
        <v>-0.882737066666667</v>
      </c>
      <c r="I15" s="5" t="s">
        <v>758</v>
      </c>
      <c r="J15" s="5" t="s">
        <v>759</v>
      </c>
    </row>
    <row r="16" customFormat="false" ht="17.15" hidden="false" customHeight="false" outlineLevel="0" collapsed="false">
      <c r="A16" s="0" t="s">
        <v>760</v>
      </c>
      <c r="B16" s="17" t="n">
        <f aca="false">tam_su</f>
        <v>20</v>
      </c>
      <c r="C16" s="17" t="n">
        <f aca="false">PL!G63</f>
        <v>10.8882</v>
      </c>
      <c r="D16" s="16" t="n">
        <f aca="false">C16/B16-1</f>
        <v>-0.45559</v>
      </c>
      <c r="E16" s="17" t="n">
        <f aca="false">PL!G97</f>
        <v>9.25497</v>
      </c>
      <c r="F16" s="16" t="n">
        <f aca="false">E16/B16-1</f>
        <v>-0.5372515</v>
      </c>
      <c r="G16" s="17" t="n">
        <f aca="false">PL!G131</f>
        <v>6.53292</v>
      </c>
      <c r="H16" s="16" t="n">
        <f aca="false">G16/B16-1</f>
        <v>-0.673354</v>
      </c>
      <c r="I16" s="5" t="s">
        <v>761</v>
      </c>
      <c r="J16" s="5" t="s">
        <v>762</v>
      </c>
    </row>
    <row r="17" customFormat="false" ht="17.15" hidden="false" customHeight="false" outlineLevel="0" collapsed="false">
      <c r="A17" s="0" t="s">
        <v>763</v>
      </c>
      <c r="C17" s="16" t="n">
        <f aca="false">PL!E66</f>
        <v>0.187654320987654</v>
      </c>
      <c r="E17" s="16" t="n">
        <f aca="false">PL!E100</f>
        <v>0.187654320987654</v>
      </c>
      <c r="G17" s="16" t="n">
        <f aca="false">PL!E134</f>
        <v>0.187654320987654</v>
      </c>
      <c r="I17" s="8" t="s">
        <v>125</v>
      </c>
    </row>
    <row r="18" customFormat="false" ht="17.15" hidden="false" customHeight="false" outlineLevel="0" collapsed="false">
      <c r="A18" s="0" t="s">
        <v>764</v>
      </c>
      <c r="C18" s="20" t="n">
        <f aca="false">PL!F75/itc_28</f>
        <v>0.00197554110641366</v>
      </c>
      <c r="E18" s="20" t="n">
        <f aca="false">PL!F109/itc_28</f>
        <v>0.00158043288513093</v>
      </c>
      <c r="G18" s="20" t="n">
        <f aca="false">PL!F143/itc_28</f>
        <v>0.00118532466384819</v>
      </c>
      <c r="I18" s="8" t="s">
        <v>765</v>
      </c>
      <c r="J18" s="5" t="s">
        <v>766</v>
      </c>
    </row>
    <row r="19" customFormat="false" ht="17.15" hidden="false" customHeight="false" outlineLevel="0" collapsed="false">
      <c r="A19" s="1" t="s">
        <v>767</v>
      </c>
    </row>
    <row r="20" customFormat="false" ht="17.15" hidden="false" customHeight="false" outlineLevel="0" collapsed="false">
      <c r="A20" s="0" t="s">
        <v>485</v>
      </c>
      <c r="B20" s="9" t="n">
        <f aca="false">q2_eps</f>
        <v>0.8</v>
      </c>
      <c r="C20" s="9" t="n">
        <f aca="false">Q!E17</f>
        <v>0.795331078869859</v>
      </c>
      <c r="D20" s="16" t="n">
        <f aca="false">C20/B20-1</f>
        <v>-0.00583615141267591</v>
      </c>
      <c r="E20" s="9" t="n">
        <f aca="false">Q!E17</f>
        <v>0.795331078869859</v>
      </c>
      <c r="F20" s="16" t="n">
        <f aca="false">E20/B20-1</f>
        <v>-0.00583615141267591</v>
      </c>
      <c r="G20" s="9" t="n">
        <f aca="false">Q!E17</f>
        <v>0.795331078869859</v>
      </c>
      <c r="H20" s="16" t="n">
        <f aca="false">G20/B20-1</f>
        <v>-0.00583615141267591</v>
      </c>
      <c r="I20" s="5" t="s">
        <v>768</v>
      </c>
      <c r="J20" s="5" t="s">
        <v>769</v>
      </c>
    </row>
    <row r="21" customFormat="false" ht="17.15" hidden="false" customHeight="false" outlineLevel="0" collapsed="false">
      <c r="A21" s="0" t="s">
        <v>770</v>
      </c>
      <c r="B21" s="9" t="n">
        <f aca="false">q3_eps</f>
        <v>1.185</v>
      </c>
      <c r="C21" s="9" t="n">
        <f aca="false">Q!F17</f>
        <v>1.19156756756757</v>
      </c>
      <c r="D21" s="16" t="n">
        <f aca="false">C21/B21-1</f>
        <v>0.00554225111187146</v>
      </c>
      <c r="E21" s="9" t="n">
        <f aca="false">Q!F17</f>
        <v>1.19156756756757</v>
      </c>
      <c r="F21" s="16" t="n">
        <f aca="false">E21/B21-1</f>
        <v>0.00554225111187146</v>
      </c>
      <c r="G21" s="9" t="n">
        <f aca="false">Q!F17</f>
        <v>1.19156756756757</v>
      </c>
      <c r="H21" s="16" t="n">
        <f aca="false">G21/B21-1</f>
        <v>0.00554225111187146</v>
      </c>
      <c r="I21" s="5" t="s">
        <v>771</v>
      </c>
    </row>
    <row r="22" customFormat="false" ht="17.15" hidden="false" customHeight="false" outlineLevel="0" collapsed="false">
      <c r="A22" s="0" t="s">
        <v>772</v>
      </c>
      <c r="B22" s="9" t="n">
        <f aca="false">a25_eps_in</f>
        <v>1.84</v>
      </c>
      <c r="C22" s="9" t="n">
        <f aca="false">PL!C90</f>
        <v>1.8435709074302</v>
      </c>
      <c r="D22" s="16" t="n">
        <f aca="false">C22/B22-1</f>
        <v>0.00194071055989187</v>
      </c>
      <c r="E22" s="9" t="n">
        <f aca="false">PL!C124</f>
        <v>1.8435709074302</v>
      </c>
      <c r="F22" s="16" t="n">
        <f aca="false">E22/B22-1</f>
        <v>0.00194071055989187</v>
      </c>
      <c r="G22" s="9" t="n">
        <f aca="false">PL!C158</f>
        <v>1.8435709074302</v>
      </c>
      <c r="H22" s="16" t="n">
        <f aca="false">G22/B22-1</f>
        <v>0.00194071055989187</v>
      </c>
      <c r="I22" s="5" t="s">
        <v>768</v>
      </c>
    </row>
    <row r="23" customFormat="false" ht="17.15" hidden="false" customHeight="false" outlineLevel="0" collapsed="false">
      <c r="A23" s="0" t="s">
        <v>773</v>
      </c>
      <c r="C23" s="9" t="n">
        <f aca="false">Q!B28</f>
        <v>0.725675131680289</v>
      </c>
      <c r="E23" s="9" t="n">
        <f aca="false">Q!B28</f>
        <v>0.725675131680289</v>
      </c>
      <c r="G23" s="9" t="n">
        <f aca="false">Q!B28</f>
        <v>0.725675131680289</v>
      </c>
      <c r="I23" s="8" t="s">
        <v>774</v>
      </c>
    </row>
    <row r="24" customFormat="false" ht="17.15" hidden="false" customHeight="false" outlineLevel="0" collapsed="false">
      <c r="A24" s="1" t="s">
        <v>775</v>
      </c>
    </row>
    <row r="25" customFormat="false" ht="17.15" hidden="false" customHeight="false" outlineLevel="0" collapsed="false">
      <c r="A25" s="0" t="s">
        <v>776</v>
      </c>
      <c r="J25" s="5" t="s">
        <v>777</v>
      </c>
    </row>
    <row r="26" customFormat="false" ht="17.15" hidden="false" customHeight="false" outlineLevel="0" collapsed="false">
      <c r="A26" s="0" t="s">
        <v>778</v>
      </c>
      <c r="J26" s="5" t="s">
        <v>777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779</v>
      </c>
    </row>
    <row r="3" customFormat="false" ht="17.15" hidden="false" customHeight="false" outlineLevel="0" collapsed="false">
      <c r="A3" s="6" t="s">
        <v>780</v>
      </c>
      <c r="B3" s="6" t="s">
        <v>781</v>
      </c>
      <c r="C3" s="14" t="s">
        <v>782</v>
      </c>
      <c r="D3" s="14" t="s">
        <v>783</v>
      </c>
      <c r="E3" s="14" t="s">
        <v>784</v>
      </c>
      <c r="F3" s="14" t="s">
        <v>662</v>
      </c>
      <c r="G3" s="14" t="s">
        <v>785</v>
      </c>
      <c r="H3" s="14" t="s">
        <v>786</v>
      </c>
      <c r="I3" s="14" t="s">
        <v>787</v>
      </c>
      <c r="J3" s="14" t="s">
        <v>788</v>
      </c>
      <c r="K3" s="14" t="s">
        <v>663</v>
      </c>
      <c r="L3" s="14" t="s">
        <v>789</v>
      </c>
    </row>
    <row r="4" customFormat="false" ht="17.15" hidden="false" customHeight="false" outlineLevel="0" collapsed="false">
      <c r="A4" s="5" t="s">
        <v>790</v>
      </c>
      <c r="B4" s="0" t="s">
        <v>791</v>
      </c>
      <c r="C4" s="18" t="n">
        <f aca="false">PL!E75</f>
        <v>3.32024622592593</v>
      </c>
      <c r="D4" s="18" t="n">
        <f aca="false">PL!E67</f>
        <v>1.44512592592593</v>
      </c>
      <c r="E4" s="16" t="n">
        <f aca="false">PL!E79</f>
        <v>0.7</v>
      </c>
      <c r="F4" s="9" t="n">
        <f aca="false">PL!E90</f>
        <v>6.89907675613375</v>
      </c>
      <c r="G4" s="16" t="n">
        <f aca="false">F4/F$4-1</f>
        <v>0</v>
      </c>
      <c r="H4" s="18" t="n">
        <f aca="false">PL!F75</f>
        <v>3.91999487847222</v>
      </c>
      <c r="I4" s="18" t="n">
        <f aca="false">PL!F67</f>
        <v>1.95438222222222</v>
      </c>
      <c r="J4" s="16" t="n">
        <f aca="false">PL!F79</f>
        <v>0.695</v>
      </c>
      <c r="K4" s="9" t="n">
        <f aca="false">PL!F90</f>
        <v>8.10132785589452</v>
      </c>
      <c r="L4" s="16" t="n">
        <f aca="false">K4/K$4-1</f>
        <v>0</v>
      </c>
    </row>
    <row r="5" customFormat="false" ht="17.15" hidden="false" customHeight="false" outlineLevel="0" collapsed="false">
      <c r="A5" s="0" t="s">
        <v>792</v>
      </c>
      <c r="B5" s="0" t="s">
        <v>793</v>
      </c>
      <c r="C5" s="18" t="n">
        <f aca="false">E55</f>
        <v>2.88670844814815</v>
      </c>
      <c r="D5" s="18" t="n">
        <f aca="false">E47</f>
        <v>1.01158814814815</v>
      </c>
      <c r="E5" s="16" t="n">
        <f aca="false">E59</f>
        <v>0.7</v>
      </c>
      <c r="F5" s="9" t="n">
        <f aca="false">E70</f>
        <v>5.93014528133628</v>
      </c>
      <c r="G5" s="16" t="n">
        <f aca="false">F5/F$4-1</f>
        <v>-0.14044364326517</v>
      </c>
      <c r="H5" s="18" t="n">
        <f aca="false">F55</f>
        <v>3.03163932291667</v>
      </c>
      <c r="I5" s="18" t="n">
        <f aca="false">F47</f>
        <v>1.06602666666667</v>
      </c>
      <c r="J5" s="16" t="n">
        <f aca="false">F59</f>
        <v>0.695</v>
      </c>
      <c r="K5" s="9" t="n">
        <f aca="false">F70</f>
        <v>6.10574331330589</v>
      </c>
      <c r="L5" s="16" t="n">
        <f aca="false">K5/K$4-1</f>
        <v>-0.246328080789453</v>
      </c>
    </row>
    <row r="6" customFormat="false" ht="17.15" hidden="false" customHeight="false" outlineLevel="0" collapsed="false">
      <c r="A6" s="0" t="s">
        <v>794</v>
      </c>
      <c r="B6" s="0" t="s">
        <v>795</v>
      </c>
      <c r="C6" s="18" t="n">
        <f aca="false">E89</f>
        <v>3.8982965962963</v>
      </c>
      <c r="D6" s="18" t="n">
        <f aca="false">E81</f>
        <v>2.0231762962963</v>
      </c>
      <c r="E6" s="16" t="n">
        <f aca="false">E93</f>
        <v>0.7</v>
      </c>
      <c r="F6" s="9" t="n">
        <f aca="false">E104</f>
        <v>8.19098538919704</v>
      </c>
      <c r="G6" s="16" t="n">
        <f aca="false">F6/F$4-1</f>
        <v>0.187258191020226</v>
      </c>
      <c r="H6" s="18" t="n">
        <f aca="false">F89</f>
        <v>4.98602154513889</v>
      </c>
      <c r="I6" s="18" t="n">
        <f aca="false">F81</f>
        <v>3.02040888888889</v>
      </c>
      <c r="J6" s="16" t="n">
        <f aca="false">F93</f>
        <v>0.695</v>
      </c>
      <c r="K6" s="9" t="n">
        <f aca="false">F104</f>
        <v>10.5108747694005</v>
      </c>
      <c r="L6" s="16" t="n">
        <f aca="false">K6/K$4-1</f>
        <v>0.297426169680668</v>
      </c>
    </row>
    <row r="7" customFormat="false" ht="17.15" hidden="false" customHeight="false" outlineLevel="0" collapsed="false">
      <c r="A7" s="0" t="s">
        <v>796</v>
      </c>
      <c r="B7" s="0" t="s">
        <v>797</v>
      </c>
      <c r="C7" s="18" t="n">
        <f aca="false">E123</f>
        <v>2.96866116967593</v>
      </c>
      <c r="D7" s="18" t="n">
        <f aca="false">E115</f>
        <v>1.44512592592593</v>
      </c>
      <c r="E7" s="16" t="n">
        <f aca="false">E127</f>
        <v>0.7</v>
      </c>
      <c r="F7" s="9" t="n">
        <f aca="false">E138</f>
        <v>6.11330480146068</v>
      </c>
      <c r="G7" s="16" t="n">
        <f aca="false">F7/F$4-1</f>
        <v>-0.113895233007006</v>
      </c>
      <c r="H7" s="18" t="n">
        <f aca="false">F123</f>
        <v>3.39583150347222</v>
      </c>
      <c r="I7" s="18" t="n">
        <f aca="false">F115</f>
        <v>1.95438222222222</v>
      </c>
      <c r="J7" s="16" t="n">
        <f aca="false">F127</f>
        <v>0.695</v>
      </c>
      <c r="K7" s="9" t="n">
        <f aca="false">F138</f>
        <v>6.92961809028726</v>
      </c>
      <c r="L7" s="16" t="n">
        <f aca="false">K7/K$4-1</f>
        <v>-0.144631816715667</v>
      </c>
    </row>
    <row r="8" customFormat="false" ht="17.15" hidden="false" customHeight="false" outlineLevel="0" collapsed="false">
      <c r="A8" s="0" t="s">
        <v>798</v>
      </c>
      <c r="B8" s="5" t="s">
        <v>799</v>
      </c>
      <c r="C8" s="18" t="n">
        <f aca="false">E157</f>
        <v>3.78902630092593</v>
      </c>
      <c r="D8" s="18" t="n">
        <f aca="false">E149</f>
        <v>1.44512592592593</v>
      </c>
      <c r="E8" s="16" t="n">
        <f aca="false">E161</f>
        <v>0.7</v>
      </c>
      <c r="F8" s="9" t="n">
        <f aca="false">E172</f>
        <v>7.94677269569785</v>
      </c>
      <c r="G8" s="16" t="n">
        <f aca="false">F8/F$4-1</f>
        <v>0.151860310676008</v>
      </c>
      <c r="H8" s="18" t="n">
        <f aca="false">F157</f>
        <v>4.57519909722222</v>
      </c>
      <c r="I8" s="18" t="n">
        <f aca="false">F149</f>
        <v>1.95438222222222</v>
      </c>
      <c r="J8" s="16" t="n">
        <f aca="false">F161</f>
        <v>0.695</v>
      </c>
      <c r="K8" s="9" t="n">
        <f aca="false">F172</f>
        <v>9.56786775786428</v>
      </c>
      <c r="L8" s="16" t="n">
        <f aca="false">K8/K$4-1</f>
        <v>0.181024633005404</v>
      </c>
    </row>
    <row r="9" customFormat="false" ht="17.15" hidden="false" customHeight="false" outlineLevel="0" collapsed="false">
      <c r="A9" s="5" t="s">
        <v>800</v>
      </c>
      <c r="B9" s="5" t="s">
        <v>801</v>
      </c>
      <c r="C9" s="18" t="n">
        <f aca="false">E191</f>
        <v>2.92647096292593</v>
      </c>
      <c r="D9" s="18" t="n">
        <f aca="false">E183</f>
        <v>1.44512592592593</v>
      </c>
      <c r="E9" s="16" t="n">
        <f aca="false">E195</f>
        <v>0.7</v>
      </c>
      <c r="F9" s="9" t="n">
        <f aca="false">E206</f>
        <v>6.01901216689991</v>
      </c>
      <c r="G9" s="16" t="n">
        <f aca="false">F9/F$4-1</f>
        <v>-0.127562660967847</v>
      </c>
      <c r="H9" s="18" t="n">
        <f aca="false">F191</f>
        <v>3.50721622065972</v>
      </c>
      <c r="I9" s="18" t="n">
        <f aca="false">F183</f>
        <v>1.95438222222222</v>
      </c>
      <c r="J9" s="16" t="n">
        <f aca="false">F195</f>
        <v>0.695</v>
      </c>
      <c r="K9" s="9" t="n">
        <f aca="false">F206</f>
        <v>7.18690373404556</v>
      </c>
      <c r="L9" s="16" t="n">
        <f aca="false">K9/K$4-1</f>
        <v>-0.112873363245461</v>
      </c>
    </row>
    <row r="10" customFormat="false" ht="17.15" hidden="false" customHeight="false" outlineLevel="0" collapsed="false">
      <c r="A10" s="5" t="s">
        <v>802</v>
      </c>
      <c r="B10" s="5" t="s">
        <v>803</v>
      </c>
      <c r="C10" s="18" t="n">
        <f aca="false">E225</f>
        <v>3.32024622592593</v>
      </c>
      <c r="D10" s="18" t="n">
        <f aca="false">E217</f>
        <v>1.44512592592593</v>
      </c>
      <c r="E10" s="16" t="n">
        <f aca="false">E229</f>
        <v>0.66</v>
      </c>
      <c r="F10" s="9" t="n">
        <f aca="false">E240</f>
        <v>6.27328352665373</v>
      </c>
      <c r="G10" s="16" t="n">
        <f aca="false">F10/F$4-1</f>
        <v>-0.0907068078237636</v>
      </c>
      <c r="H10" s="18" t="n">
        <f aca="false">F225</f>
        <v>3.91999487847222</v>
      </c>
      <c r="I10" s="18" t="n">
        <f aca="false">F217</f>
        <v>1.95438222222222</v>
      </c>
      <c r="J10" s="16" t="n">
        <f aca="false">F229</f>
        <v>0.65</v>
      </c>
      <c r="K10" s="9" t="n">
        <f aca="false">F240</f>
        <v>7.28242469349762</v>
      </c>
      <c r="L10" s="16" t="n">
        <f aca="false">K10/K$4-1</f>
        <v>-0.101082585097585</v>
      </c>
    </row>
    <row r="11" customFormat="false" ht="17.15" hidden="false" customHeight="false" outlineLevel="0" collapsed="false">
      <c r="A11" s="5" t="s">
        <v>804</v>
      </c>
      <c r="B11" s="5" t="s">
        <v>805</v>
      </c>
      <c r="C11" s="18" t="n">
        <f aca="false">E259</f>
        <v>3.32024622592593</v>
      </c>
      <c r="D11" s="18" t="n">
        <f aca="false">E251</f>
        <v>1.44512592592593</v>
      </c>
      <c r="E11" s="16" t="n">
        <f aca="false">E263</f>
        <v>0.72</v>
      </c>
      <c r="F11" s="9" t="n">
        <f aca="false">E274</f>
        <v>7.21197337087376</v>
      </c>
      <c r="G11" s="16" t="n">
        <f aca="false">F11/F$4-1</f>
        <v>0.0453534039118819</v>
      </c>
      <c r="H11" s="18" t="n">
        <f aca="false">F259</f>
        <v>3.91999487847222</v>
      </c>
      <c r="I11" s="18" t="n">
        <f aca="false">F251</f>
        <v>1.95438222222222</v>
      </c>
      <c r="J11" s="16" t="n">
        <f aca="false">F263</f>
        <v>0.72</v>
      </c>
      <c r="K11" s="9" t="n">
        <f aca="false">F274</f>
        <v>8.55627405722612</v>
      </c>
      <c r="L11" s="16" t="n">
        <f aca="false">K11/K$4-1</f>
        <v>0.0561569917208808</v>
      </c>
    </row>
    <row r="12" customFormat="false" ht="17.15" hidden="false" customHeight="false" outlineLevel="0" collapsed="false">
      <c r="A12" s="5" t="s">
        <v>806</v>
      </c>
      <c r="B12" s="0" t="s">
        <v>807</v>
      </c>
      <c r="C12" s="18" t="n">
        <f aca="false">E293</f>
        <v>3.32024622592593</v>
      </c>
      <c r="D12" s="18" t="n">
        <f aca="false">E285</f>
        <v>1.44512592592593</v>
      </c>
      <c r="E12" s="16" t="n">
        <f aca="false">E297</f>
        <v>0.7</v>
      </c>
      <c r="F12" s="9" t="n">
        <f aca="false">E308</f>
        <v>6.66388095762919</v>
      </c>
      <c r="G12" s="16" t="n">
        <f aca="false">F12/F$4-1</f>
        <v>-0.0340909090909092</v>
      </c>
      <c r="H12" s="18" t="n">
        <f aca="false">F293</f>
        <v>3.91999487847222</v>
      </c>
      <c r="I12" s="18" t="n">
        <f aca="false">F285</f>
        <v>1.95438222222222</v>
      </c>
      <c r="J12" s="16" t="n">
        <f aca="false">F297</f>
        <v>0.695</v>
      </c>
      <c r="K12" s="9" t="n">
        <f aca="false">F308</f>
        <v>7.82514622444357</v>
      </c>
      <c r="L12" s="16" t="n">
        <f aca="false">K12/K$4-1</f>
        <v>-0.0340909090909091</v>
      </c>
    </row>
    <row r="13" customFormat="false" ht="17.15" hidden="false" customHeight="false" outlineLevel="0" collapsed="false">
      <c r="A13" s="5" t="s">
        <v>808</v>
      </c>
      <c r="B13" s="0" t="s">
        <v>809</v>
      </c>
      <c r="C13" s="18" t="n">
        <f aca="false">E327</f>
        <v>3.32024622592593</v>
      </c>
      <c r="D13" s="18" t="n">
        <f aca="false">E319</f>
        <v>1.44512592592593</v>
      </c>
      <c r="E13" s="16" t="n">
        <f aca="false">E331</f>
        <v>0.7</v>
      </c>
      <c r="F13" s="9" t="n">
        <f aca="false">E342</f>
        <v>7.05587395513679</v>
      </c>
      <c r="G13" s="16" t="n">
        <f aca="false">F13/F$4-1</f>
        <v>0.0227272727272727</v>
      </c>
      <c r="H13" s="18" t="n">
        <f aca="false">F327</f>
        <v>3.91999487847222</v>
      </c>
      <c r="I13" s="18" t="n">
        <f aca="false">F319</f>
        <v>1.95438222222222</v>
      </c>
      <c r="J13" s="16" t="n">
        <f aca="false">F331</f>
        <v>0.695</v>
      </c>
      <c r="K13" s="9" t="n">
        <f aca="false">F342</f>
        <v>8.28544894352848</v>
      </c>
      <c r="L13" s="16" t="n">
        <f aca="false">K13/K$4-1</f>
        <v>0.0227272727272727</v>
      </c>
    </row>
    <row r="14" customFormat="false" ht="17.15" hidden="false" customHeight="false" outlineLevel="0" collapsed="false">
      <c r="A14" s="5" t="s">
        <v>810</v>
      </c>
      <c r="B14" s="0" t="s">
        <v>811</v>
      </c>
      <c r="C14" s="18" t="n">
        <f aca="false">E361</f>
        <v>3.03122104074074</v>
      </c>
      <c r="D14" s="18" t="n">
        <f aca="false">E353</f>
        <v>1.15610074074074</v>
      </c>
      <c r="E14" s="16" t="n">
        <f aca="false">E365</f>
        <v>0.7</v>
      </c>
      <c r="F14" s="9" t="n">
        <f aca="false">E376</f>
        <v>6.2531224396021</v>
      </c>
      <c r="G14" s="16" t="n">
        <f aca="false">F14/F$4-1</f>
        <v>-0.093629095510113</v>
      </c>
      <c r="H14" s="18" t="n">
        <f aca="false">F361</f>
        <v>3.52911843402778</v>
      </c>
      <c r="I14" s="18" t="n">
        <f aca="false">F353</f>
        <v>1.56350577777778</v>
      </c>
      <c r="J14" s="16" t="n">
        <f aca="false">F365</f>
        <v>0.695</v>
      </c>
      <c r="K14" s="9" t="n">
        <f aca="false">F376</f>
        <v>7.22931629076689</v>
      </c>
      <c r="L14" s="16" t="n">
        <f aca="false">K14/K$4-1</f>
        <v>-0.107638103362667</v>
      </c>
    </row>
    <row r="15" customFormat="false" ht="17.15" hidden="false" customHeight="false" outlineLevel="0" collapsed="false">
      <c r="A15" s="5" t="s">
        <v>812</v>
      </c>
      <c r="B15" s="0" t="s">
        <v>813</v>
      </c>
      <c r="C15" s="18" t="n">
        <f aca="false">E395</f>
        <v>3.60927141111111</v>
      </c>
      <c r="D15" s="18" t="n">
        <f aca="false">E387</f>
        <v>1.73415111111111</v>
      </c>
      <c r="E15" s="16" t="n">
        <f aca="false">E399</f>
        <v>0.7</v>
      </c>
      <c r="F15" s="9" t="n">
        <f aca="false">E410</f>
        <v>7.5450310726654</v>
      </c>
      <c r="G15" s="16" t="n">
        <f aca="false">F15/F$4-1</f>
        <v>0.0936290955101129</v>
      </c>
      <c r="H15" s="18" t="n">
        <f aca="false">F395</f>
        <v>4.31087132291667</v>
      </c>
      <c r="I15" s="18" t="n">
        <f aca="false">F387</f>
        <v>2.34525866666667</v>
      </c>
      <c r="J15" s="16" t="n">
        <f aca="false">F399</f>
        <v>0.695</v>
      </c>
      <c r="K15" s="9" t="n">
        <f aca="false">F410</f>
        <v>8.97475915514281</v>
      </c>
      <c r="L15" s="16" t="n">
        <f aca="false">K15/K$4-1</f>
        <v>0.107813350451282</v>
      </c>
    </row>
    <row r="16" customFormat="false" ht="17.15" hidden="false" customHeight="false" outlineLevel="0" collapsed="false">
      <c r="A16" s="5" t="s">
        <v>814</v>
      </c>
      <c r="B16" s="5" t="s">
        <v>815</v>
      </c>
      <c r="C16" s="18" t="n">
        <f aca="false">E429</f>
        <v>3.32024622592593</v>
      </c>
      <c r="D16" s="18" t="n">
        <f aca="false">E421</f>
        <v>1.44512592592593</v>
      </c>
      <c r="E16" s="16" t="n">
        <f aca="false">E433</f>
        <v>0.7</v>
      </c>
      <c r="F16" s="9" t="n">
        <f aca="false">E444</f>
        <v>6.53198430463618</v>
      </c>
      <c r="G16" s="16" t="n">
        <f aca="false">F16/F$4-1</f>
        <v>-0.0532089241029535</v>
      </c>
      <c r="H16" s="18" t="n">
        <f aca="false">F429</f>
        <v>3.91999487847222</v>
      </c>
      <c r="I16" s="18" t="n">
        <f aca="false">F421</f>
        <v>1.95438222222222</v>
      </c>
      <c r="J16" s="16" t="n">
        <f aca="false">F433</f>
        <v>0.695</v>
      </c>
      <c r="K16" s="9" t="n">
        <f aca="false">F444</f>
        <v>7.54783779860828</v>
      </c>
      <c r="L16" s="16" t="n">
        <f aca="false">K16/K$4-1</f>
        <v>-0.0683209057986109</v>
      </c>
    </row>
    <row r="17" customFormat="false" ht="17.15" hidden="false" customHeight="false" outlineLevel="0" collapsed="false">
      <c r="A17" s="5" t="s">
        <v>816</v>
      </c>
      <c r="B17" s="5" t="s">
        <v>817</v>
      </c>
      <c r="C17" s="18" t="n">
        <f aca="false">E463</f>
        <v>3.32024622592593</v>
      </c>
      <c r="D17" s="18" t="n">
        <f aca="false">E455</f>
        <v>1.44512592592593</v>
      </c>
      <c r="E17" s="16" t="n">
        <f aca="false">E467</f>
        <v>0.7</v>
      </c>
      <c r="F17" s="9" t="n">
        <f aca="false">E478</f>
        <v>6.58618014139374</v>
      </c>
      <c r="G17" s="16" t="n">
        <f aca="false">F17/F$4-1</f>
        <v>-0.0453534039118821</v>
      </c>
      <c r="H17" s="18" t="n">
        <f aca="false">F463</f>
        <v>3.91999487847222</v>
      </c>
      <c r="I17" s="18" t="n">
        <f aca="false">F455</f>
        <v>1.95438222222222</v>
      </c>
      <c r="J17" s="16" t="n">
        <f aca="false">F467</f>
        <v>0.695</v>
      </c>
      <c r="K17" s="9" t="n">
        <f aca="false">F478</f>
        <v>7.73737089482923</v>
      </c>
      <c r="L17" s="16" t="n">
        <f aca="false">K17/K$4-1</f>
        <v>-0.0449255933767045</v>
      </c>
    </row>
    <row r="18" customFormat="false" ht="17.15" hidden="false" customHeight="false" outlineLevel="0" collapsed="false">
      <c r="A18" s="5" t="s">
        <v>818</v>
      </c>
      <c r="B18" s="0" t="s">
        <v>819</v>
      </c>
      <c r="C18" s="18" t="n">
        <f aca="false">PL!E109</f>
        <v>3.32024622592593</v>
      </c>
      <c r="D18" s="18" t="n">
        <f aca="false">PL!E101</f>
        <v>1.44512592592593</v>
      </c>
      <c r="E18" s="16" t="n">
        <f aca="false">PL!E113</f>
        <v>0.7</v>
      </c>
      <c r="F18" s="9" t="n">
        <f aca="false">PL!E124</f>
        <v>6.89907675613375</v>
      </c>
      <c r="G18" s="16" t="n">
        <f aca="false">F18/F$4-1</f>
        <v>0</v>
      </c>
      <c r="H18" s="18" t="n">
        <f aca="false">PL!F109</f>
        <v>3.13599590277778</v>
      </c>
      <c r="I18" s="18" t="n">
        <f aca="false">PL!F101</f>
        <v>1.56350577777778</v>
      </c>
      <c r="J18" s="16" t="n">
        <f aca="false">PL!F113</f>
        <v>0.695</v>
      </c>
      <c r="K18" s="9" t="n">
        <f aca="false">PL!F124</f>
        <v>6.12558503508631</v>
      </c>
      <c r="L18" s="16" t="n">
        <f aca="false">K18/K$4-1</f>
        <v>-0.243878887011178</v>
      </c>
    </row>
    <row r="19" customFormat="false" ht="17.15" hidden="false" customHeight="false" outlineLevel="0" collapsed="false">
      <c r="A19" s="5" t="s">
        <v>820</v>
      </c>
      <c r="B19" s="0" t="s">
        <v>821</v>
      </c>
      <c r="C19" s="18" t="n">
        <f aca="false">PL!E143</f>
        <v>3.32024622592593</v>
      </c>
      <c r="D19" s="18" t="n">
        <f aca="false">PL!E135</f>
        <v>1.44512592592593</v>
      </c>
      <c r="E19" s="16" t="n">
        <f aca="false">PL!E147</f>
        <v>0.7</v>
      </c>
      <c r="F19" s="9" t="n">
        <f aca="false">PL!E158</f>
        <v>6.89907675613375</v>
      </c>
      <c r="G19" s="16" t="n">
        <f aca="false">F19/F$4-1</f>
        <v>0</v>
      </c>
      <c r="H19" s="18" t="n">
        <f aca="false">PL!F143</f>
        <v>2.35199692708333</v>
      </c>
      <c r="I19" s="18" t="n">
        <f aca="false">PL!F135</f>
        <v>1.17262933333333</v>
      </c>
      <c r="J19" s="16" t="n">
        <f aca="false">PL!F147</f>
        <v>0.695</v>
      </c>
      <c r="K19" s="9" t="n">
        <f aca="false">PL!F158</f>
        <v>3.59608415568256</v>
      </c>
      <c r="L19" s="16" t="n">
        <f aca="false">K19/K$4-1</f>
        <v>-0.556111760979275</v>
      </c>
    </row>
    <row r="21" customFormat="false" ht="17.15" hidden="false" customHeight="false" outlineLevel="0" collapsed="false">
      <c r="A21" s="5" t="s">
        <v>822</v>
      </c>
    </row>
    <row r="23" customFormat="false" ht="17.15" hidden="false" customHeight="false" outlineLevel="0" collapsed="false">
      <c r="A23" s="3" t="s">
        <v>823</v>
      </c>
    </row>
    <row r="24" customFormat="false" ht="17.15" hidden="false" customHeight="false" outlineLevel="0" collapsed="false">
      <c r="A24" s="6" t="s">
        <v>780</v>
      </c>
      <c r="B24" s="6" t="s">
        <v>781</v>
      </c>
      <c r="C24" s="14" t="s">
        <v>824</v>
      </c>
      <c r="D24" s="14" t="s">
        <v>825</v>
      </c>
      <c r="E24" s="6" t="s">
        <v>826</v>
      </c>
      <c r="F24" s="6" t="s">
        <v>827</v>
      </c>
    </row>
    <row r="25" customFormat="false" ht="17.15" hidden="false" customHeight="false" outlineLevel="0" collapsed="false">
      <c r="A25" s="5" t="s">
        <v>22</v>
      </c>
      <c r="B25" s="0" t="s">
        <v>828</v>
      </c>
      <c r="C25" s="9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105.344096190295</v>
      </c>
      <c r="D25" s="9" t="n">
        <f aca="false">Val!B35</f>
        <v>159.626489766587</v>
      </c>
      <c r="E25" s="9" t="n">
        <f aca="false">tp_w_dcf*C25+(1-tp_w_dcf)*D25</f>
        <v>132.485292978441</v>
      </c>
      <c r="F25" s="16" t="n">
        <f aca="false">E25/E$25-1</f>
        <v>0</v>
      </c>
    </row>
    <row r="26" customFormat="false" ht="17.15" hidden="false" customHeight="false" outlineLevel="0" collapsed="false">
      <c r="A26" s="5" t="s">
        <v>829</v>
      </c>
      <c r="B26" s="0" t="s">
        <v>830</v>
      </c>
      <c r="C26" s="9" t="n">
        <f aca="false">(tp_wA*MAX(0,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MAX(0,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MAX(0,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91.0867571054362</v>
      </c>
      <c r="D26" s="9" t="n">
        <f aca="false">Val!B35</f>
        <v>159.626489766587</v>
      </c>
      <c r="E26" s="9" t="n">
        <f aca="false">tp_w_dcf*C26+(1-tp_w_dcf)*D26</f>
        <v>125.356623436012</v>
      </c>
      <c r="F26" s="16" t="n">
        <f aca="false">E26/E$25-1</f>
        <v>-0.0538072519761824</v>
      </c>
    </row>
    <row r="27" customFormat="false" ht="17.15" hidden="false" customHeight="false" outlineLevel="0" collapsed="false">
      <c r="A27" s="5" t="s">
        <v>831</v>
      </c>
      <c r="B27" s="0" t="s">
        <v>832</v>
      </c>
      <c r="C27" s="9" t="n">
        <f aca="false">(tp_wA*MAX(0,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MAX(0,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MAX(0,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125.303170017272</v>
      </c>
      <c r="D27" s="9" t="n">
        <f aca="false">Val!B35</f>
        <v>159.626489766587</v>
      </c>
      <c r="E27" s="9" t="n">
        <f aca="false">tp_w_dcf*C27+(1-tp_w_dcf)*D27</f>
        <v>142.464829891929</v>
      </c>
      <c r="F27" s="16" t="n">
        <f aca="false">E27/E$25-1</f>
        <v>0.0753256205963353</v>
      </c>
    </row>
    <row r="28" customFormat="false" ht="17.15" hidden="false" customHeight="false" outlineLevel="0" collapsed="false">
      <c r="A28" s="5" t="s">
        <v>833</v>
      </c>
      <c r="B28" s="0" t="s">
        <v>834</v>
      </c>
      <c r="C28" s="9" t="n">
        <f aca="false">(tp_wA*MAX(0,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MAX(0,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MAX(0,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116.168171204721</v>
      </c>
      <c r="D28" s="9" t="n">
        <f aca="false">Val!B35</f>
        <v>159.626489766587</v>
      </c>
      <c r="E28" s="9" t="n">
        <f aca="false">tp_w_dcf*C28+(1-tp_w_dcf)*D28</f>
        <v>137.897330485654</v>
      </c>
      <c r="F28" s="16" t="n">
        <f aca="false">E28/E$25-1</f>
        <v>0.0408501003058022</v>
      </c>
    </row>
    <row r="29" customFormat="false" ht="17.15" hidden="false" customHeight="false" outlineLevel="0" collapsed="false">
      <c r="A29" s="5" t="s">
        <v>835</v>
      </c>
      <c r="B29" s="0" t="s">
        <v>836</v>
      </c>
      <c r="C29" s="9" t="n">
        <f aca="false">(tp_wA*MAX(0,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MAX(0,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MAX(0,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97.92166046038</v>
      </c>
      <c r="D29" s="9" t="n">
        <f aca="false">Val!B35</f>
        <v>159.626489766587</v>
      </c>
      <c r="E29" s="9" t="n">
        <f aca="false">tp_w_dcf*C29+(1-tp_w_dcf)*D29</f>
        <v>128.774075113484</v>
      </c>
      <c r="F29" s="16" t="n">
        <f aca="false">E29/E$25-1</f>
        <v>-0.0280123006978693</v>
      </c>
    </row>
    <row r="30" customFormat="false" ht="17.15" hidden="false" customHeight="false" outlineLevel="0" collapsed="false">
      <c r="A30" s="0" t="s">
        <v>837</v>
      </c>
      <c r="B30" s="0" t="s">
        <v>838</v>
      </c>
      <c r="C30" s="9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105.344096190295</v>
      </c>
      <c r="D30" s="9" t="n">
        <f aca="false">Val!B35</f>
        <v>159.626489766587</v>
      </c>
      <c r="E30" s="9" t="n">
        <f aca="false">0.3*C30+(1-0.3)*D30</f>
        <v>143.341771693699</v>
      </c>
      <c r="F30" s="16" t="n">
        <f aca="false">E30/E$25-1</f>
        <v>0.0819447839921756</v>
      </c>
    </row>
    <row r="31" customFormat="false" ht="17.15" hidden="false" customHeight="false" outlineLevel="0" collapsed="false">
      <c r="A31" s="0" t="s">
        <v>839</v>
      </c>
      <c r="B31" s="0" t="s">
        <v>840</v>
      </c>
      <c r="C31" s="9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105.344096190295</v>
      </c>
      <c r="D31" s="9" t="n">
        <f aca="false">Val!B35</f>
        <v>159.626489766587</v>
      </c>
      <c r="E31" s="9" t="n">
        <f aca="false">0.7*C31+(1-0.7)*D31</f>
        <v>121.628814263182</v>
      </c>
      <c r="F31" s="16" t="n">
        <f aca="false">E31/E$25-1</f>
        <v>-0.0819447839921756</v>
      </c>
    </row>
    <row r="40" customFormat="false" ht="17.15" hidden="false" customHeight="false" outlineLevel="0" collapsed="false">
      <c r="A40" s="3" t="s">
        <v>841</v>
      </c>
    </row>
    <row r="41" customFormat="false" ht="17.15" hidden="false" customHeight="false" outlineLevel="0" collapsed="false">
      <c r="A41" s="6" t="s">
        <v>19</v>
      </c>
      <c r="B41" s="6" t="s">
        <v>20</v>
      </c>
      <c r="C41" s="14" t="s">
        <v>447</v>
      </c>
      <c r="D41" s="14" t="s">
        <v>489</v>
      </c>
      <c r="E41" s="14" t="s">
        <v>490</v>
      </c>
      <c r="F41" s="14" t="s">
        <v>491</v>
      </c>
      <c r="G41" s="14" t="s">
        <v>492</v>
      </c>
      <c r="H41" s="6" t="s">
        <v>453</v>
      </c>
    </row>
    <row r="42" customFormat="false" ht="17.15" hidden="false" customHeight="false" outlineLevel="0" collapsed="false">
      <c r="A42" s="1" t="s">
        <v>536</v>
      </c>
    </row>
    <row r="43" customFormat="false" ht="17.15" hidden="false" customHeight="false" outlineLevel="0" collapsed="false">
      <c r="A43" s="5" t="s">
        <v>537</v>
      </c>
      <c r="B43" s="0" t="s">
        <v>30</v>
      </c>
      <c r="D43" s="18" t="n">
        <f aca="false">msx_26</f>
        <v>2.025</v>
      </c>
      <c r="E43" s="18" t="n">
        <f aca="false">msx_27</f>
        <v>7.701</v>
      </c>
      <c r="F43" s="18" t="n">
        <f aca="false">msx_28*um28_A</f>
        <v>9.468</v>
      </c>
      <c r="G43" s="18" t="n">
        <f aca="false">msx_29*um29_A</f>
        <v>10.8882</v>
      </c>
      <c r="H43" s="8" t="s">
        <v>538</v>
      </c>
    </row>
    <row r="44" customFormat="false" ht="17.15" hidden="false" customHeight="false" outlineLevel="0" collapsed="false">
      <c r="A44" s="0" t="s">
        <v>539</v>
      </c>
      <c r="B44" s="0" t="s">
        <v>144</v>
      </c>
      <c r="D44" s="20" t="n">
        <f aca="false">a26_x/D43</f>
        <v>0.187654320987654</v>
      </c>
      <c r="H44" s="8" t="s">
        <v>31</v>
      </c>
    </row>
    <row r="45" customFormat="false" ht="17.15" hidden="false" customHeight="false" outlineLevel="0" collapsed="false">
      <c r="A45" s="0" t="s">
        <v>540</v>
      </c>
      <c r="B45" s="0" t="s">
        <v>87</v>
      </c>
      <c r="D45" s="9" t="n">
        <f aca="false">1</f>
        <v>1</v>
      </c>
      <c r="E45" s="9" t="n">
        <f aca="false">XLO_27</f>
        <v>0.7</v>
      </c>
      <c r="F45" s="9" t="n">
        <f aca="false">XLO_28</f>
        <v>0.6</v>
      </c>
      <c r="G45" s="9" t="n">
        <f aca="false">XLO_29</f>
        <v>0.5</v>
      </c>
    </row>
    <row r="46" customFormat="false" ht="17.15" hidden="false" customHeight="false" outlineLevel="0" collapsed="false">
      <c r="A46" s="0" t="s">
        <v>541</v>
      </c>
      <c r="B46" s="0" t="s">
        <v>144</v>
      </c>
      <c r="D46" s="20" t="n">
        <f aca="false">$D$44*D45</f>
        <v>0.187654320987654</v>
      </c>
      <c r="E46" s="20" t="n">
        <f aca="false">$D$44*E45</f>
        <v>0.131358024691358</v>
      </c>
      <c r="F46" s="20" t="n">
        <f aca="false">$D$44*F45</f>
        <v>0.112592592592593</v>
      </c>
      <c r="G46" s="20" t="n">
        <f aca="false">$D$44*G45</f>
        <v>0.0938271604938272</v>
      </c>
    </row>
    <row r="47" customFormat="false" ht="17.15" hidden="false" customHeight="false" outlineLevel="0" collapsed="false">
      <c r="A47" s="0" t="s">
        <v>475</v>
      </c>
      <c r="B47" s="0" t="s">
        <v>30</v>
      </c>
      <c r="C47" s="15" t="n">
        <f aca="false">a25_x</f>
        <v>0</v>
      </c>
      <c r="D47" s="15" t="n">
        <f aca="false">a26_x</f>
        <v>0.38</v>
      </c>
      <c r="E47" s="15" t="n">
        <f aca="false">E43*E46</f>
        <v>1.01158814814815</v>
      </c>
      <c r="F47" s="15" t="n">
        <f aca="false">F43*F46</f>
        <v>1.06602666666667</v>
      </c>
      <c r="G47" s="15" t="n">
        <f aca="false">G43*G46</f>
        <v>1.02160888888889</v>
      </c>
    </row>
    <row r="48" customFormat="false" ht="17.15" hidden="false" customHeight="false" outlineLevel="0" collapsed="false">
      <c r="A48" s="1" t="s">
        <v>542</v>
      </c>
    </row>
    <row r="49" customFormat="false" ht="17.15" hidden="false" customHeight="false" outlineLevel="0" collapsed="false">
      <c r="A49" s="0" t="s">
        <v>543</v>
      </c>
      <c r="B49" s="5" t="s">
        <v>53</v>
      </c>
      <c r="D49" s="18" t="n">
        <f aca="false">u_26</f>
        <v>15.2</v>
      </c>
      <c r="E49" s="18" t="n">
        <f aca="false">u_27</f>
        <v>23.7</v>
      </c>
      <c r="F49" s="18" t="n">
        <f aca="false">u_28*um28_A</f>
        <v>26.5</v>
      </c>
      <c r="G49" s="18" t="n">
        <f aca="false">u_29*um29_A</f>
        <v>30.15</v>
      </c>
    </row>
    <row r="50" customFormat="false" ht="17.15" hidden="false" customHeight="false" outlineLevel="0" collapsed="false">
      <c r="A50" s="0" t="s">
        <v>544</v>
      </c>
      <c r="B50" s="0" t="s">
        <v>30</v>
      </c>
      <c r="D50" s="18" t="n">
        <f aca="false">D49*c_pcie/1000</f>
        <v>3.8</v>
      </c>
      <c r="E50" s="18" t="n">
        <f aca="false">E49*c_pcie/1000</f>
        <v>5.925</v>
      </c>
      <c r="F50" s="18" t="n">
        <f aca="false">F49*c_pcie/1000</f>
        <v>6.625</v>
      </c>
      <c r="G50" s="18" t="n">
        <f aca="false">G49*c_pcie/1000</f>
        <v>7.5375</v>
      </c>
      <c r="H50" s="8" t="s">
        <v>545</v>
      </c>
    </row>
    <row r="51" customFormat="false" ht="17.15" hidden="false" customHeight="false" outlineLevel="0" collapsed="false">
      <c r="A51" s="0" t="s">
        <v>546</v>
      </c>
      <c r="B51" s="0" t="s">
        <v>144</v>
      </c>
      <c r="D51" s="20" t="n">
        <f aca="false">a26_p/D50</f>
        <v>0.395595</v>
      </c>
    </row>
    <row r="52" customFormat="false" ht="17.15" hidden="false" customHeight="false" outlineLevel="0" collapsed="false">
      <c r="A52" s="0" t="s">
        <v>547</v>
      </c>
      <c r="B52" s="0" t="s">
        <v>87</v>
      </c>
      <c r="D52" s="9" t="n">
        <f aca="false">1</f>
        <v>1</v>
      </c>
      <c r="E52" s="9" t="n">
        <f aca="false">rel_p_27</f>
        <v>0.8</v>
      </c>
      <c r="F52" s="9" t="n">
        <f aca="false">rel_p_28</f>
        <v>0.75</v>
      </c>
      <c r="G52" s="9" t="n">
        <f aca="false">rel_p_29</f>
        <v>0.7</v>
      </c>
    </row>
    <row r="53" customFormat="false" ht="17.15" hidden="false" customHeight="false" outlineLevel="0" collapsed="false">
      <c r="A53" s="0" t="s">
        <v>548</v>
      </c>
      <c r="B53" s="0" t="s">
        <v>30</v>
      </c>
      <c r="C53" s="15" t="n">
        <f aca="false">a25_p</f>
        <v>0.852525</v>
      </c>
      <c r="D53" s="15" t="n">
        <f aca="false">a26_p</f>
        <v>1.503261</v>
      </c>
      <c r="E53" s="15" t="n">
        <f aca="false">E50*$D$51*E52</f>
        <v>1.8751203</v>
      </c>
      <c r="F53" s="15" t="n">
        <f aca="false">F50*$D$51*F52</f>
        <v>1.96561265625</v>
      </c>
      <c r="G53" s="15" t="n">
        <f aca="false">G50*$D$51*G52</f>
        <v>2.08725811875</v>
      </c>
    </row>
    <row r="54" customFormat="false" ht="17.15" hidden="false" customHeight="false" outlineLevel="0" collapsed="false">
      <c r="A54" s="1" t="s">
        <v>549</v>
      </c>
    </row>
    <row r="55" customFormat="false" ht="15" hidden="false" customHeight="false" outlineLevel="0" collapsed="false">
      <c r="A55" s="5" t="s">
        <v>454</v>
      </c>
      <c r="B55" s="0" t="s">
        <v>30</v>
      </c>
      <c r="C55" s="15" t="n">
        <f aca="false">a25_rev</f>
        <v>0.852525</v>
      </c>
      <c r="D55" s="15" t="n">
        <f aca="false">D47+D53</f>
        <v>1.883261</v>
      </c>
      <c r="E55" s="15" t="n">
        <f aca="false">E47+E53</f>
        <v>2.88670844814815</v>
      </c>
      <c r="F55" s="15" t="n">
        <f aca="false">F47+F53</f>
        <v>3.03163932291667</v>
      </c>
      <c r="G55" s="15" t="n">
        <f aca="false">G47+G53</f>
        <v>3.10886700763889</v>
      </c>
    </row>
    <row r="56" customFormat="false" ht="15" hidden="false" customHeight="false" outlineLevel="0" collapsed="false">
      <c r="A56" s="5" t="s">
        <v>550</v>
      </c>
      <c r="B56" s="0" t="s">
        <v>144</v>
      </c>
      <c r="D56" s="16" t="n">
        <f aca="false">D55/C55-1</f>
        <v>1.20903903111346</v>
      </c>
      <c r="E56" s="16" t="n">
        <f aca="false">E55/D55-1</f>
        <v>0.532824418998826</v>
      </c>
      <c r="F56" s="16" t="n">
        <f aca="false">F55/E55-1</f>
        <v>0.0502062738138633</v>
      </c>
      <c r="G56" s="16" t="n">
        <f aca="false">G55/F55-1</f>
        <v>0.0254739025643471</v>
      </c>
    </row>
    <row r="57" customFormat="false" ht="17.15" hidden="false" customHeight="false" outlineLevel="0" collapsed="false">
      <c r="A57" s="0" t="s">
        <v>477</v>
      </c>
      <c r="B57" s="0" t="s">
        <v>144</v>
      </c>
      <c r="C57" s="16" t="n">
        <f aca="false">C47/C55</f>
        <v>0</v>
      </c>
      <c r="D57" s="16" t="n">
        <f aca="false">D47/D55</f>
        <v>0.201777661195129</v>
      </c>
      <c r="E57" s="16" t="n">
        <f aca="false">E47/E55</f>
        <v>0.35042962125153</v>
      </c>
      <c r="F57" s="16" t="n">
        <f aca="false">F47/F55</f>
        <v>0.351633737763062</v>
      </c>
      <c r="G57" s="16" t="n">
        <f aca="false">G47/G55</f>
        <v>0.328611319293705</v>
      </c>
    </row>
    <row r="58" customFormat="false" ht="17.15" hidden="false" customHeight="false" outlineLevel="0" collapsed="false">
      <c r="A58" s="1" t="s">
        <v>551</v>
      </c>
    </row>
    <row r="59" customFormat="false" ht="17.15" hidden="false" customHeight="false" outlineLevel="0" collapsed="false">
      <c r="A59" s="5" t="s">
        <v>459</v>
      </c>
      <c r="B59" s="0" t="s">
        <v>144</v>
      </c>
      <c r="C59" s="16" t="n">
        <f aca="false">a25_gp/a25_rev</f>
        <v>0.758199466291311</v>
      </c>
      <c r="D59" s="16" t="n">
        <f aca="false">a26_gp/a26_rev</f>
        <v>0.729127030188593</v>
      </c>
      <c r="E59" s="16" t="n">
        <f aca="false">gm_27</f>
        <v>0.7</v>
      </c>
      <c r="F59" s="16" t="n">
        <f aca="false">gm_28</f>
        <v>0.695</v>
      </c>
      <c r="G59" s="16" t="n">
        <f aca="false">gm_29</f>
        <v>0.69</v>
      </c>
      <c r="H59" s="8" t="s">
        <v>552</v>
      </c>
    </row>
    <row r="60" customFormat="false" ht="15" hidden="false" customHeight="false" outlineLevel="0" collapsed="false">
      <c r="A60" s="5" t="s">
        <v>553</v>
      </c>
      <c r="B60" s="0" t="s">
        <v>30</v>
      </c>
      <c r="C60" s="15" t="n">
        <f aca="false">C55*C59</f>
        <v>0.646384</v>
      </c>
      <c r="D60" s="15" t="n">
        <f aca="false">D55*D59</f>
        <v>1.3731365</v>
      </c>
      <c r="E60" s="15" t="n">
        <f aca="false">E55*E59</f>
        <v>2.0206959137037</v>
      </c>
      <c r="F60" s="15" t="n">
        <f aca="false">F55*F59</f>
        <v>2.10698932942708</v>
      </c>
      <c r="G60" s="15" t="n">
        <f aca="false">G55*G59</f>
        <v>2.14511823527083</v>
      </c>
    </row>
    <row r="61" customFormat="false" ht="15" hidden="false" customHeight="false" outlineLevel="0" collapsed="false">
      <c r="A61" s="5" t="s">
        <v>554</v>
      </c>
      <c r="B61" s="0" t="s">
        <v>30</v>
      </c>
      <c r="C61" s="15" t="n">
        <f aca="false">a25_opx</f>
        <v>0.311978</v>
      </c>
      <c r="D61" s="15" t="n">
        <f aca="false">a26_opx</f>
        <v>0.585698</v>
      </c>
      <c r="E61" s="15" t="n">
        <f aca="false">D61*(1+MAX(0,phi*E56))</f>
        <v>0.812162483681809</v>
      </c>
      <c r="F61" s="15" t="n">
        <f aca="false">E61*(1+MAX(0,phi*F56))</f>
        <v>0.841752360343164</v>
      </c>
      <c r="G61" s="15" t="n">
        <f aca="false">F61*(1+MAX(0,phi*G56))</f>
        <v>0.857312807268885</v>
      </c>
    </row>
    <row r="62" customFormat="false" ht="15" hidden="false" customHeight="false" outlineLevel="0" collapsed="false">
      <c r="A62" s="5" t="s">
        <v>555</v>
      </c>
      <c r="B62" s="0" t="s">
        <v>30</v>
      </c>
      <c r="C62" s="15" t="n">
        <f aca="false">C61</f>
        <v>0.311978</v>
      </c>
      <c r="D62" s="15" t="n">
        <f aca="false">D61</f>
        <v>0.585698</v>
      </c>
      <c r="E62" s="15" t="n">
        <f aca="false">E61+0*E55</f>
        <v>0.812162483681809</v>
      </c>
      <c r="F62" s="15" t="n">
        <f aca="false">F61+0*F55</f>
        <v>0.841752360343164</v>
      </c>
      <c r="G62" s="15" t="n">
        <f aca="false">G61+0*G55</f>
        <v>0.857312807268885</v>
      </c>
    </row>
    <row r="63" customFormat="false" ht="15" hidden="false" customHeight="false" outlineLevel="0" collapsed="false">
      <c r="A63" s="5" t="s">
        <v>556</v>
      </c>
      <c r="B63" s="0" t="s">
        <v>30</v>
      </c>
      <c r="C63" s="15" t="n">
        <f aca="false">C60-C62</f>
        <v>0.334406</v>
      </c>
      <c r="D63" s="15" t="n">
        <f aca="false">D60-D62</f>
        <v>0.7874385</v>
      </c>
      <c r="E63" s="15" t="n">
        <f aca="false">E60-E62</f>
        <v>1.20853343002189</v>
      </c>
      <c r="F63" s="15" t="n">
        <f aca="false">F60-F62</f>
        <v>1.26523696908392</v>
      </c>
      <c r="G63" s="15" t="n">
        <f aca="false">G60-G62</f>
        <v>1.28780542800195</v>
      </c>
    </row>
    <row r="64" customFormat="false" ht="15" hidden="false" customHeight="false" outlineLevel="0" collapsed="false">
      <c r="A64" s="5" t="s">
        <v>526</v>
      </c>
      <c r="B64" s="0" t="s">
        <v>144</v>
      </c>
      <c r="C64" s="16" t="n">
        <f aca="false">C63/C55</f>
        <v>0.392253599601185</v>
      </c>
      <c r="D64" s="16" t="n">
        <f aca="false">D63/D55</f>
        <v>0.41812499701316</v>
      </c>
      <c r="E64" s="16" t="n">
        <f aca="false">E63/E55</f>
        <v>0.418654481992174</v>
      </c>
      <c r="F64" s="16" t="n">
        <f aca="false">F63/F55</f>
        <v>0.417344160804282</v>
      </c>
      <c r="G64" s="16" t="n">
        <f aca="false">G63/G55</f>
        <v>0.414236255471091</v>
      </c>
    </row>
    <row r="65" customFormat="false" ht="15" hidden="false" customHeight="false" outlineLevel="0" collapsed="false">
      <c r="A65" s="5" t="s">
        <v>463</v>
      </c>
      <c r="B65" s="0" t="s">
        <v>30</v>
      </c>
      <c r="C65" s="15" t="n">
        <f aca="false">a25_ninc</f>
        <v>0.04473</v>
      </c>
      <c r="D65" s="15" t="n">
        <f aca="false">a26_ninc</f>
        <v>0.048658</v>
      </c>
      <c r="E65" s="15" t="n">
        <f aca="false">oth_f</f>
        <v>0.05</v>
      </c>
      <c r="F65" s="15" t="n">
        <f aca="false">oth_f</f>
        <v>0.05</v>
      </c>
      <c r="G65" s="15" t="n">
        <f aca="false">oth_f</f>
        <v>0.05</v>
      </c>
    </row>
    <row r="66" customFormat="false" ht="17.15" hidden="false" customHeight="false" outlineLevel="0" collapsed="false">
      <c r="A66" s="5" t="s">
        <v>468</v>
      </c>
      <c r="B66" s="0" t="s">
        <v>144</v>
      </c>
      <c r="C66" s="16" t="n">
        <f aca="false">a25_tx</f>
        <v>0.126922792876435</v>
      </c>
      <c r="D66" s="16" t="n">
        <f aca="false">a26_tx</f>
        <v>0.117979802570636</v>
      </c>
      <c r="E66" s="16" t="n">
        <f aca="false">tx_27</f>
        <v>0.12</v>
      </c>
      <c r="F66" s="16" t="n">
        <f aca="false">tx_28</f>
        <v>0.12</v>
      </c>
      <c r="G66" s="16" t="n">
        <f aca="false">tx_29</f>
        <v>0.12</v>
      </c>
      <c r="H66" s="5" t="s">
        <v>557</v>
      </c>
    </row>
    <row r="67" customFormat="false" ht="15" hidden="false" customHeight="false" outlineLevel="0" collapsed="false">
      <c r="A67" s="5" t="s">
        <v>527</v>
      </c>
      <c r="B67" s="0" t="s">
        <v>30</v>
      </c>
      <c r="C67" s="15" t="n">
        <f aca="false">a25_ni</f>
        <v>0.331015</v>
      </c>
      <c r="D67" s="15" t="n">
        <f aca="false">a26_ni</f>
        <v>0.737454</v>
      </c>
      <c r="E67" s="15" t="n">
        <f aca="false">(E63+E65)*(1-E66)</f>
        <v>1.10750941841927</v>
      </c>
      <c r="F67" s="15" t="n">
        <f aca="false">(F63+F65)*(1-F66)</f>
        <v>1.15740853279385</v>
      </c>
      <c r="G67" s="15" t="n">
        <f aca="false">(G63+G65)*(1-G66)</f>
        <v>1.17726877664171</v>
      </c>
    </row>
    <row r="68" customFormat="false" ht="15" hidden="false" customHeight="false" outlineLevel="0" collapsed="false">
      <c r="A68" s="5" t="s">
        <v>470</v>
      </c>
      <c r="B68" s="0" t="s">
        <v>144</v>
      </c>
      <c r="C68" s="16" t="n">
        <f aca="false">C67/C55</f>
        <v>0.388276003636257</v>
      </c>
      <c r="D68" s="16" t="n">
        <f aca="false">D67/D55</f>
        <v>0.391583535155244</v>
      </c>
      <c r="E68" s="16" t="n">
        <f aca="false">E67/E55</f>
        <v>0.383658217763469</v>
      </c>
      <c r="F68" s="16" t="n">
        <f aca="false">F67/F55</f>
        <v>0.3817764613504</v>
      </c>
      <c r="G68" s="16" t="n">
        <f aca="false">G67/G55</f>
        <v>0.378680970832465</v>
      </c>
    </row>
    <row r="69" customFormat="false" ht="15" hidden="false" customHeight="false" outlineLevel="0" collapsed="false">
      <c r="A69" s="5" t="s">
        <v>558</v>
      </c>
      <c r="B69" s="5" t="s">
        <v>179</v>
      </c>
      <c r="C69" s="24" t="n">
        <f aca="false">a25_sh</f>
        <v>0.179551</v>
      </c>
      <c r="D69" s="24" t="n">
        <f aca="false">a26_sh</f>
        <v>0.18399925</v>
      </c>
      <c r="E69" s="24" t="n">
        <f aca="false">D69*(1+sh_g)</f>
        <v>0.18675923875</v>
      </c>
      <c r="F69" s="24" t="n">
        <f aca="false">E69*(1+sh_g)</f>
        <v>0.18956062733125</v>
      </c>
      <c r="G69" s="24" t="n">
        <f aca="false">F69*(1+sh_g)</f>
        <v>0.192404036741219</v>
      </c>
    </row>
    <row r="70" customFormat="false" ht="17.15" hidden="false" customHeight="false" outlineLevel="0" collapsed="false">
      <c r="A70" s="0" t="s">
        <v>473</v>
      </c>
      <c r="B70" s="0" t="s">
        <v>206</v>
      </c>
      <c r="C70" s="9" t="n">
        <f aca="false">C67/C69</f>
        <v>1.8435709074302</v>
      </c>
      <c r="D70" s="9" t="n">
        <f aca="false">D67/D69</f>
        <v>4.00791851053741</v>
      </c>
      <c r="E70" s="9" t="n">
        <f aca="false">E67/E69</f>
        <v>5.93014528133628</v>
      </c>
      <c r="F70" s="9" t="n">
        <f aca="false">F67/F69</f>
        <v>6.10574331330589</v>
      </c>
      <c r="G70" s="9" t="n">
        <f aca="false">G67/G69</f>
        <v>6.1187322084366</v>
      </c>
    </row>
    <row r="71" customFormat="false" ht="17.15" hidden="false" customHeight="false" outlineLevel="0" collapsed="false">
      <c r="A71" s="0" t="s">
        <v>559</v>
      </c>
      <c r="B71" s="0" t="s">
        <v>144</v>
      </c>
      <c r="D71" s="16" t="n">
        <f aca="false">D70/C70-1</f>
        <v>1.17399748194342</v>
      </c>
      <c r="E71" s="16" t="n">
        <f aca="false">E70/D70-1</f>
        <v>0.479607248936088</v>
      </c>
      <c r="F71" s="16" t="n">
        <f aca="false">F70/E70-1</f>
        <v>0.0296110843223802</v>
      </c>
      <c r="G71" s="16" t="n">
        <f aca="false">G70/F70-1</f>
        <v>0.00212732413798156</v>
      </c>
    </row>
    <row r="74" customFormat="false" ht="17.15" hidden="false" customHeight="false" outlineLevel="0" collapsed="false">
      <c r="A74" s="3" t="s">
        <v>842</v>
      </c>
    </row>
    <row r="75" customFormat="false" ht="17.15" hidden="false" customHeight="false" outlineLevel="0" collapsed="false">
      <c r="A75" s="6" t="s">
        <v>19</v>
      </c>
      <c r="B75" s="6" t="s">
        <v>20</v>
      </c>
      <c r="C75" s="14" t="s">
        <v>447</v>
      </c>
      <c r="D75" s="14" t="s">
        <v>489</v>
      </c>
      <c r="E75" s="14" t="s">
        <v>490</v>
      </c>
      <c r="F75" s="14" t="s">
        <v>491</v>
      </c>
      <c r="G75" s="14" t="s">
        <v>492</v>
      </c>
      <c r="H75" s="6" t="s">
        <v>453</v>
      </c>
    </row>
    <row r="76" customFormat="false" ht="17.15" hidden="false" customHeight="false" outlineLevel="0" collapsed="false">
      <c r="A76" s="1" t="s">
        <v>536</v>
      </c>
    </row>
    <row r="77" customFormat="false" ht="17.15" hidden="false" customHeight="false" outlineLevel="0" collapsed="false">
      <c r="A77" s="5" t="s">
        <v>537</v>
      </c>
      <c r="B77" s="0" t="s">
        <v>30</v>
      </c>
      <c r="D77" s="18" t="n">
        <f aca="false">msx_26</f>
        <v>2.025</v>
      </c>
      <c r="E77" s="18" t="n">
        <f aca="false">msx_27</f>
        <v>7.701</v>
      </c>
      <c r="F77" s="18" t="n">
        <f aca="false">msx_28*um28_A</f>
        <v>9.468</v>
      </c>
      <c r="G77" s="18" t="n">
        <f aca="false">msx_29*um29_A</f>
        <v>10.8882</v>
      </c>
      <c r="H77" s="8" t="s">
        <v>538</v>
      </c>
    </row>
    <row r="78" customFormat="false" ht="17.15" hidden="false" customHeight="false" outlineLevel="0" collapsed="false">
      <c r="A78" s="0" t="s">
        <v>539</v>
      </c>
      <c r="B78" s="0" t="s">
        <v>144</v>
      </c>
      <c r="D78" s="20" t="n">
        <f aca="false">a26_x/D77</f>
        <v>0.187654320987654</v>
      </c>
      <c r="H78" s="8" t="s">
        <v>31</v>
      </c>
    </row>
    <row r="79" customFormat="false" ht="17.15" hidden="false" customHeight="false" outlineLevel="0" collapsed="false">
      <c r="A79" s="0" t="s">
        <v>540</v>
      </c>
      <c r="B79" s="0" t="s">
        <v>87</v>
      </c>
      <c r="D79" s="9" t="n">
        <f aca="false">1</f>
        <v>1</v>
      </c>
      <c r="E79" s="9" t="n">
        <f aca="false">XHI_27</f>
        <v>1.4</v>
      </c>
      <c r="F79" s="9" t="n">
        <f aca="false">XHI_28</f>
        <v>1.7</v>
      </c>
      <c r="G79" s="9" t="n">
        <f aca="false">XHI_29</f>
        <v>2</v>
      </c>
    </row>
    <row r="80" customFormat="false" ht="17.15" hidden="false" customHeight="false" outlineLevel="0" collapsed="false">
      <c r="A80" s="0" t="s">
        <v>541</v>
      </c>
      <c r="B80" s="0" t="s">
        <v>144</v>
      </c>
      <c r="D80" s="20" t="n">
        <f aca="false">$D$78*D79</f>
        <v>0.187654320987654</v>
      </c>
      <c r="E80" s="20" t="n">
        <f aca="false">$D$78*E79</f>
        <v>0.262716049382716</v>
      </c>
      <c r="F80" s="20" t="n">
        <f aca="false">$D$78*F79</f>
        <v>0.319012345679012</v>
      </c>
      <c r="G80" s="20" t="n">
        <f aca="false">$D$78*G79</f>
        <v>0.375308641975309</v>
      </c>
    </row>
    <row r="81" customFormat="false" ht="17.15" hidden="false" customHeight="false" outlineLevel="0" collapsed="false">
      <c r="A81" s="0" t="s">
        <v>475</v>
      </c>
      <c r="B81" s="0" t="s">
        <v>30</v>
      </c>
      <c r="C81" s="15" t="n">
        <f aca="false">a25_x</f>
        <v>0</v>
      </c>
      <c r="D81" s="15" t="n">
        <f aca="false">a26_x</f>
        <v>0.38</v>
      </c>
      <c r="E81" s="15" t="n">
        <f aca="false">E77*E80</f>
        <v>2.0231762962963</v>
      </c>
      <c r="F81" s="15" t="n">
        <f aca="false">F77*F80</f>
        <v>3.02040888888889</v>
      </c>
      <c r="G81" s="15" t="n">
        <f aca="false">G77*G80</f>
        <v>4.08643555555556</v>
      </c>
    </row>
    <row r="82" customFormat="false" ht="17.15" hidden="false" customHeight="false" outlineLevel="0" collapsed="false">
      <c r="A82" s="1" t="s">
        <v>542</v>
      </c>
    </row>
    <row r="83" customFormat="false" ht="17.15" hidden="false" customHeight="false" outlineLevel="0" collapsed="false">
      <c r="A83" s="0" t="s">
        <v>543</v>
      </c>
      <c r="B83" s="5" t="s">
        <v>53</v>
      </c>
      <c r="D83" s="18" t="n">
        <f aca="false">u_26</f>
        <v>15.2</v>
      </c>
      <c r="E83" s="18" t="n">
        <f aca="false">u_27</f>
        <v>23.7</v>
      </c>
      <c r="F83" s="18" t="n">
        <f aca="false">u_28*um28_A</f>
        <v>26.5</v>
      </c>
      <c r="G83" s="18" t="n">
        <f aca="false">u_29*um29_A</f>
        <v>30.15</v>
      </c>
    </row>
    <row r="84" customFormat="false" ht="17.15" hidden="false" customHeight="false" outlineLevel="0" collapsed="false">
      <c r="A84" s="0" t="s">
        <v>544</v>
      </c>
      <c r="B84" s="0" t="s">
        <v>30</v>
      </c>
      <c r="D84" s="18" t="n">
        <f aca="false">D83*c_pcie/1000</f>
        <v>3.8</v>
      </c>
      <c r="E84" s="18" t="n">
        <f aca="false">E83*c_pcie/1000</f>
        <v>5.925</v>
      </c>
      <c r="F84" s="18" t="n">
        <f aca="false">F83*c_pcie/1000</f>
        <v>6.625</v>
      </c>
      <c r="G84" s="18" t="n">
        <f aca="false">G83*c_pcie/1000</f>
        <v>7.5375</v>
      </c>
      <c r="H84" s="8" t="s">
        <v>545</v>
      </c>
    </row>
    <row r="85" customFormat="false" ht="17.15" hidden="false" customHeight="false" outlineLevel="0" collapsed="false">
      <c r="A85" s="0" t="s">
        <v>546</v>
      </c>
      <c r="B85" s="0" t="s">
        <v>144</v>
      </c>
      <c r="D85" s="20" t="n">
        <f aca="false">a26_p/D84</f>
        <v>0.395595</v>
      </c>
    </row>
    <row r="86" customFormat="false" ht="17.15" hidden="false" customHeight="false" outlineLevel="0" collapsed="false">
      <c r="A86" s="0" t="s">
        <v>547</v>
      </c>
      <c r="B86" s="0" t="s">
        <v>87</v>
      </c>
      <c r="D86" s="9" t="n">
        <f aca="false">1</f>
        <v>1</v>
      </c>
      <c r="E86" s="9" t="n">
        <f aca="false">rel_p_27</f>
        <v>0.8</v>
      </c>
      <c r="F86" s="9" t="n">
        <f aca="false">rel_p_28</f>
        <v>0.75</v>
      </c>
      <c r="G86" s="9" t="n">
        <f aca="false">rel_p_29</f>
        <v>0.7</v>
      </c>
    </row>
    <row r="87" customFormat="false" ht="17.15" hidden="false" customHeight="false" outlineLevel="0" collapsed="false">
      <c r="A87" s="0" t="s">
        <v>548</v>
      </c>
      <c r="B87" s="0" t="s">
        <v>30</v>
      </c>
      <c r="C87" s="15" t="n">
        <f aca="false">a25_p</f>
        <v>0.852525</v>
      </c>
      <c r="D87" s="15" t="n">
        <f aca="false">a26_p</f>
        <v>1.503261</v>
      </c>
      <c r="E87" s="15" t="n">
        <f aca="false">E84*$D$85*E86</f>
        <v>1.8751203</v>
      </c>
      <c r="F87" s="15" t="n">
        <f aca="false">F84*$D$85*F86</f>
        <v>1.96561265625</v>
      </c>
      <c r="G87" s="15" t="n">
        <f aca="false">G84*$D$85*G86</f>
        <v>2.08725811875</v>
      </c>
    </row>
    <row r="88" customFormat="false" ht="17.15" hidden="false" customHeight="false" outlineLevel="0" collapsed="false">
      <c r="A88" s="1" t="s">
        <v>549</v>
      </c>
    </row>
    <row r="89" customFormat="false" ht="15" hidden="false" customHeight="false" outlineLevel="0" collapsed="false">
      <c r="A89" s="5" t="s">
        <v>454</v>
      </c>
      <c r="B89" s="0" t="s">
        <v>30</v>
      </c>
      <c r="C89" s="15" t="n">
        <f aca="false">a25_rev</f>
        <v>0.852525</v>
      </c>
      <c r="D89" s="15" t="n">
        <f aca="false">D81+D87</f>
        <v>1.883261</v>
      </c>
      <c r="E89" s="15" t="n">
        <f aca="false">E81+E87</f>
        <v>3.8982965962963</v>
      </c>
      <c r="F89" s="15" t="n">
        <f aca="false">F81+F87</f>
        <v>4.98602154513889</v>
      </c>
      <c r="G89" s="15" t="n">
        <f aca="false">G81+G87</f>
        <v>6.17369367430556</v>
      </c>
    </row>
    <row r="90" customFormat="false" ht="15" hidden="false" customHeight="false" outlineLevel="0" collapsed="false">
      <c r="A90" s="5" t="s">
        <v>550</v>
      </c>
      <c r="B90" s="0" t="s">
        <v>144</v>
      </c>
      <c r="D90" s="16" t="n">
        <f aca="false">D89/C89-1</f>
        <v>1.20903903111346</v>
      </c>
      <c r="E90" s="16" t="n">
        <f aca="false">E89/D89-1</f>
        <v>1.06997149959368</v>
      </c>
      <c r="F90" s="16" t="n">
        <f aca="false">F89/E89-1</f>
        <v>0.279025703143271</v>
      </c>
      <c r="G90" s="16" t="n">
        <f aca="false">G89/F89-1</f>
        <v>0.238200360430569</v>
      </c>
    </row>
    <row r="91" customFormat="false" ht="17.15" hidden="false" customHeight="false" outlineLevel="0" collapsed="false">
      <c r="A91" s="0" t="s">
        <v>477</v>
      </c>
      <c r="B91" s="0" t="s">
        <v>144</v>
      </c>
      <c r="C91" s="16" t="n">
        <f aca="false">C81/C89</f>
        <v>0</v>
      </c>
      <c r="D91" s="16" t="n">
        <f aca="false">D81/D89</f>
        <v>0.201777661195129</v>
      </c>
      <c r="E91" s="16" t="n">
        <f aca="false">E81/E89</f>
        <v>0.518989832179132</v>
      </c>
      <c r="F91" s="16" t="n">
        <f aca="false">F81/F89</f>
        <v>0.605775338422601</v>
      </c>
      <c r="G91" s="16" t="n">
        <f aca="false">G81/G89</f>
        <v>0.661910967912611</v>
      </c>
    </row>
    <row r="92" customFormat="false" ht="17.15" hidden="false" customHeight="false" outlineLevel="0" collapsed="false">
      <c r="A92" s="1" t="s">
        <v>551</v>
      </c>
    </row>
    <row r="93" customFormat="false" ht="17.15" hidden="false" customHeight="false" outlineLevel="0" collapsed="false">
      <c r="A93" s="5" t="s">
        <v>459</v>
      </c>
      <c r="B93" s="0" t="s">
        <v>144</v>
      </c>
      <c r="C93" s="16" t="n">
        <f aca="false">a25_gp/a25_rev</f>
        <v>0.758199466291311</v>
      </c>
      <c r="D93" s="16" t="n">
        <f aca="false">a26_gp/a26_rev</f>
        <v>0.729127030188593</v>
      </c>
      <c r="E93" s="16" t="n">
        <f aca="false">gm_27</f>
        <v>0.7</v>
      </c>
      <c r="F93" s="16" t="n">
        <f aca="false">gm_28</f>
        <v>0.695</v>
      </c>
      <c r="G93" s="16" t="n">
        <f aca="false">gm_29</f>
        <v>0.69</v>
      </c>
      <c r="H93" s="8" t="s">
        <v>552</v>
      </c>
    </row>
    <row r="94" customFormat="false" ht="15" hidden="false" customHeight="false" outlineLevel="0" collapsed="false">
      <c r="A94" s="5" t="s">
        <v>553</v>
      </c>
      <c r="B94" s="0" t="s">
        <v>30</v>
      </c>
      <c r="C94" s="15" t="n">
        <f aca="false">C89*C93</f>
        <v>0.646384</v>
      </c>
      <c r="D94" s="15" t="n">
        <f aca="false">D89*D93</f>
        <v>1.3731365</v>
      </c>
      <c r="E94" s="15" t="n">
        <f aca="false">E89*E93</f>
        <v>2.72880761740741</v>
      </c>
      <c r="F94" s="15" t="n">
        <f aca="false">F89*F93</f>
        <v>3.46528497387153</v>
      </c>
      <c r="G94" s="15" t="n">
        <f aca="false">G89*G93</f>
        <v>4.25984863527083</v>
      </c>
    </row>
    <row r="95" customFormat="false" ht="15" hidden="false" customHeight="false" outlineLevel="0" collapsed="false">
      <c r="A95" s="5" t="s">
        <v>554</v>
      </c>
      <c r="B95" s="0" t="s">
        <v>30</v>
      </c>
      <c r="C95" s="15" t="n">
        <f aca="false">a25_opx</f>
        <v>0.311978</v>
      </c>
      <c r="D95" s="15" t="n">
        <f aca="false">a26_opx</f>
        <v>0.585698</v>
      </c>
      <c r="E95" s="15" t="n">
        <f aca="false">D95*(1+MAX(0,phi*E90))</f>
        <v>1.04046421297694</v>
      </c>
      <c r="F95" s="15" t="n">
        <f aca="false">E95*(1+MAX(0,phi*F90))</f>
        <v>1.25113950218088</v>
      </c>
      <c r="G95" s="15" t="n">
        <f aca="false">F95*(1+MAX(0,phi*G90))</f>
        <v>1.46740656946083</v>
      </c>
    </row>
    <row r="96" customFormat="false" ht="15" hidden="false" customHeight="false" outlineLevel="0" collapsed="false">
      <c r="A96" s="5" t="s">
        <v>555</v>
      </c>
      <c r="B96" s="0" t="s">
        <v>30</v>
      </c>
      <c r="C96" s="15" t="n">
        <f aca="false">C95</f>
        <v>0.311978</v>
      </c>
      <c r="D96" s="15" t="n">
        <f aca="false">D95</f>
        <v>0.585698</v>
      </c>
      <c r="E96" s="15" t="n">
        <f aca="false">E95+0*E89</f>
        <v>1.04046421297694</v>
      </c>
      <c r="F96" s="15" t="n">
        <f aca="false">F95+0*F89</f>
        <v>1.25113950218088</v>
      </c>
      <c r="G96" s="15" t="n">
        <f aca="false">G95+0*G89</f>
        <v>1.46740656946083</v>
      </c>
    </row>
    <row r="97" customFormat="false" ht="15" hidden="false" customHeight="false" outlineLevel="0" collapsed="false">
      <c r="A97" s="5" t="s">
        <v>556</v>
      </c>
      <c r="B97" s="0" t="s">
        <v>30</v>
      </c>
      <c r="C97" s="15" t="n">
        <f aca="false">C94-C96</f>
        <v>0.334406</v>
      </c>
      <c r="D97" s="15" t="n">
        <f aca="false">D94-D96</f>
        <v>0.7874385</v>
      </c>
      <c r="E97" s="15" t="n">
        <f aca="false">E94-E96</f>
        <v>1.68834340443047</v>
      </c>
      <c r="F97" s="15" t="n">
        <f aca="false">F94-F96</f>
        <v>2.21414547169065</v>
      </c>
      <c r="G97" s="15" t="n">
        <f aca="false">G94-G96</f>
        <v>2.79244206581</v>
      </c>
    </row>
    <row r="98" customFormat="false" ht="15" hidden="false" customHeight="false" outlineLevel="0" collapsed="false">
      <c r="A98" s="5" t="s">
        <v>526</v>
      </c>
      <c r="B98" s="0" t="s">
        <v>144</v>
      </c>
      <c r="C98" s="16" t="n">
        <f aca="false">C97/C89</f>
        <v>0.392253599601185</v>
      </c>
      <c r="D98" s="16" t="n">
        <f aca="false">D97/D89</f>
        <v>0.41812499701316</v>
      </c>
      <c r="E98" s="16" t="n">
        <f aca="false">E97/E89</f>
        <v>0.433097729412004</v>
      </c>
      <c r="F98" s="16" t="n">
        <f aca="false">F97/F89</f>
        <v>0.444070578445319</v>
      </c>
      <c r="G98" s="16" t="n">
        <f aca="false">G97/G89</f>
        <v>0.452313025738859</v>
      </c>
    </row>
    <row r="99" customFormat="false" ht="15" hidden="false" customHeight="false" outlineLevel="0" collapsed="false">
      <c r="A99" s="5" t="s">
        <v>463</v>
      </c>
      <c r="B99" s="0" t="s">
        <v>30</v>
      </c>
      <c r="C99" s="15" t="n">
        <f aca="false">a25_ninc</f>
        <v>0.04473</v>
      </c>
      <c r="D99" s="15" t="n">
        <f aca="false">a26_ninc</f>
        <v>0.048658</v>
      </c>
      <c r="E99" s="15" t="n">
        <f aca="false">oth_f</f>
        <v>0.05</v>
      </c>
      <c r="F99" s="15" t="n">
        <f aca="false">oth_f</f>
        <v>0.05</v>
      </c>
      <c r="G99" s="15" t="n">
        <f aca="false">oth_f</f>
        <v>0.05</v>
      </c>
    </row>
    <row r="100" customFormat="false" ht="17.15" hidden="false" customHeight="false" outlineLevel="0" collapsed="false">
      <c r="A100" s="5" t="s">
        <v>468</v>
      </c>
      <c r="B100" s="0" t="s">
        <v>144</v>
      </c>
      <c r="C100" s="16" t="n">
        <f aca="false">a25_tx</f>
        <v>0.126922792876435</v>
      </c>
      <c r="D100" s="16" t="n">
        <f aca="false">a26_tx</f>
        <v>0.117979802570636</v>
      </c>
      <c r="E100" s="16" t="n">
        <f aca="false">tx_27</f>
        <v>0.12</v>
      </c>
      <c r="F100" s="16" t="n">
        <f aca="false">tx_28</f>
        <v>0.12</v>
      </c>
      <c r="G100" s="16" t="n">
        <f aca="false">tx_29</f>
        <v>0.12</v>
      </c>
      <c r="H100" s="5" t="s">
        <v>557</v>
      </c>
    </row>
    <row r="101" customFormat="false" ht="15" hidden="false" customHeight="false" outlineLevel="0" collapsed="false">
      <c r="A101" s="5" t="s">
        <v>527</v>
      </c>
      <c r="B101" s="0" t="s">
        <v>30</v>
      </c>
      <c r="C101" s="15" t="n">
        <f aca="false">a25_ni</f>
        <v>0.331015</v>
      </c>
      <c r="D101" s="15" t="n">
        <f aca="false">a26_ni</f>
        <v>0.737454</v>
      </c>
      <c r="E101" s="15" t="n">
        <f aca="false">(E97+E99)*(1-E100)</f>
        <v>1.52974219589881</v>
      </c>
      <c r="F101" s="15" t="n">
        <f aca="false">(F97+F99)*(1-F100)</f>
        <v>1.99244801508777</v>
      </c>
      <c r="G101" s="15" t="n">
        <f aca="false">(G97+G99)*(1-G100)</f>
        <v>2.5013490179128</v>
      </c>
    </row>
    <row r="102" customFormat="false" ht="15" hidden="false" customHeight="false" outlineLevel="0" collapsed="false">
      <c r="A102" s="5" t="s">
        <v>470</v>
      </c>
      <c r="B102" s="0" t="s">
        <v>144</v>
      </c>
      <c r="C102" s="16" t="n">
        <f aca="false">C101/C89</f>
        <v>0.388276003636257</v>
      </c>
      <c r="D102" s="16" t="n">
        <f aca="false">D101/D89</f>
        <v>0.391583535155244</v>
      </c>
      <c r="E102" s="16" t="n">
        <f aca="false">E101/E89</f>
        <v>0.392412982981386</v>
      </c>
      <c r="F102" s="16" t="n">
        <f aca="false">F101/F89</f>
        <v>0.399606780085077</v>
      </c>
      <c r="G102" s="16" t="n">
        <f aca="false">G101/G89</f>
        <v>0.405162476447969</v>
      </c>
    </row>
    <row r="103" customFormat="false" ht="15" hidden="false" customHeight="false" outlineLevel="0" collapsed="false">
      <c r="A103" s="5" t="s">
        <v>558</v>
      </c>
      <c r="B103" s="5" t="s">
        <v>179</v>
      </c>
      <c r="C103" s="24" t="n">
        <f aca="false">a25_sh</f>
        <v>0.179551</v>
      </c>
      <c r="D103" s="24" t="n">
        <f aca="false">a26_sh</f>
        <v>0.18399925</v>
      </c>
      <c r="E103" s="24" t="n">
        <f aca="false">D103*(1+sh_g)</f>
        <v>0.18675923875</v>
      </c>
      <c r="F103" s="24" t="n">
        <f aca="false">E103*(1+sh_g)</f>
        <v>0.18956062733125</v>
      </c>
      <c r="G103" s="24" t="n">
        <f aca="false">F103*(1+sh_g)</f>
        <v>0.192404036741219</v>
      </c>
    </row>
    <row r="104" customFormat="false" ht="17.15" hidden="false" customHeight="false" outlineLevel="0" collapsed="false">
      <c r="A104" s="0" t="s">
        <v>473</v>
      </c>
      <c r="B104" s="0" t="s">
        <v>206</v>
      </c>
      <c r="C104" s="9" t="n">
        <f aca="false">C101/C103</f>
        <v>1.8435709074302</v>
      </c>
      <c r="D104" s="9" t="n">
        <f aca="false">D101/D103</f>
        <v>4.00791851053741</v>
      </c>
      <c r="E104" s="9" t="n">
        <f aca="false">E101/E103</f>
        <v>8.19098538919704</v>
      </c>
      <c r="F104" s="9" t="n">
        <f aca="false">F101/F103</f>
        <v>10.5108747694005</v>
      </c>
      <c r="G104" s="9" t="n">
        <f aca="false">G101/G103</f>
        <v>13.0005017580639</v>
      </c>
    </row>
    <row r="105" customFormat="false" ht="17.15" hidden="false" customHeight="false" outlineLevel="0" collapsed="false">
      <c r="A105" s="0" t="s">
        <v>559</v>
      </c>
      <c r="B105" s="0" t="s">
        <v>144</v>
      </c>
      <c r="D105" s="16" t="n">
        <f aca="false">D104/C104-1</f>
        <v>1.17399748194342</v>
      </c>
      <c r="E105" s="16" t="n">
        <f aca="false">E104/D104-1</f>
        <v>1.04370058115247</v>
      </c>
      <c r="F105" s="16" t="n">
        <f aca="false">F104/E104-1</f>
        <v>0.283224700078594</v>
      </c>
      <c r="G105" s="16" t="n">
        <f aca="false">G104/F104-1</f>
        <v>0.236862016081783</v>
      </c>
    </row>
    <row r="108" customFormat="false" ht="17.15" hidden="false" customHeight="false" outlineLevel="0" collapsed="false">
      <c r="A108" s="3" t="s">
        <v>843</v>
      </c>
    </row>
    <row r="109" customFormat="false" ht="17.15" hidden="false" customHeight="false" outlineLevel="0" collapsed="false">
      <c r="A109" s="6" t="s">
        <v>19</v>
      </c>
      <c r="B109" s="6" t="s">
        <v>20</v>
      </c>
      <c r="C109" s="14" t="s">
        <v>447</v>
      </c>
      <c r="D109" s="14" t="s">
        <v>489</v>
      </c>
      <c r="E109" s="14" t="s">
        <v>490</v>
      </c>
      <c r="F109" s="14" t="s">
        <v>491</v>
      </c>
      <c r="G109" s="14" t="s">
        <v>492</v>
      </c>
      <c r="H109" s="6" t="s">
        <v>453</v>
      </c>
    </row>
    <row r="110" customFormat="false" ht="17.15" hidden="false" customHeight="false" outlineLevel="0" collapsed="false">
      <c r="A110" s="1" t="s">
        <v>536</v>
      </c>
    </row>
    <row r="111" customFormat="false" ht="17.15" hidden="false" customHeight="false" outlineLevel="0" collapsed="false">
      <c r="A111" s="5" t="s">
        <v>537</v>
      </c>
      <c r="B111" s="0" t="s">
        <v>30</v>
      </c>
      <c r="D111" s="18" t="n">
        <f aca="false">msx_26</f>
        <v>2.025</v>
      </c>
      <c r="E111" s="18" t="n">
        <f aca="false">msx_27</f>
        <v>7.701</v>
      </c>
      <c r="F111" s="18" t="n">
        <f aca="false">msx_28*um28_A</f>
        <v>9.468</v>
      </c>
      <c r="G111" s="18" t="n">
        <f aca="false">msx_29*um29_A</f>
        <v>10.8882</v>
      </c>
      <c r="H111" s="8" t="s">
        <v>538</v>
      </c>
    </row>
    <row r="112" customFormat="false" ht="17.15" hidden="false" customHeight="false" outlineLevel="0" collapsed="false">
      <c r="A112" s="0" t="s">
        <v>539</v>
      </c>
      <c r="B112" s="0" t="s">
        <v>144</v>
      </c>
      <c r="D112" s="20" t="n">
        <f aca="false">a26_x/D111</f>
        <v>0.187654320987654</v>
      </c>
      <c r="H112" s="8" t="s">
        <v>31</v>
      </c>
    </row>
    <row r="113" customFormat="false" ht="17.15" hidden="false" customHeight="false" outlineLevel="0" collapsed="false">
      <c r="A113" s="0" t="s">
        <v>540</v>
      </c>
      <c r="B113" s="0" t="s">
        <v>87</v>
      </c>
      <c r="D113" s="9" t="n">
        <f aca="false">1</f>
        <v>1</v>
      </c>
      <c r="E113" s="9" t="n">
        <f aca="false">rel_x_27</f>
        <v>1</v>
      </c>
      <c r="F113" s="9" t="n">
        <f aca="false">rel_x_28</f>
        <v>1.1</v>
      </c>
      <c r="G113" s="9" t="n">
        <f aca="false">rel_x_29</f>
        <v>1.15</v>
      </c>
    </row>
    <row r="114" customFormat="false" ht="17.15" hidden="false" customHeight="false" outlineLevel="0" collapsed="false">
      <c r="A114" s="0" t="s">
        <v>541</v>
      </c>
      <c r="B114" s="0" t="s">
        <v>144</v>
      </c>
      <c r="D114" s="20" t="n">
        <f aca="false">$D$112*D113</f>
        <v>0.187654320987654</v>
      </c>
      <c r="E114" s="20" t="n">
        <f aca="false">$D$112*E113</f>
        <v>0.187654320987654</v>
      </c>
      <c r="F114" s="20" t="n">
        <f aca="false">$D$112*F113</f>
        <v>0.20641975308642</v>
      </c>
      <c r="G114" s="20" t="n">
        <f aca="false">$D$112*G113</f>
        <v>0.215802469135802</v>
      </c>
    </row>
    <row r="115" customFormat="false" ht="17.15" hidden="false" customHeight="false" outlineLevel="0" collapsed="false">
      <c r="A115" s="0" t="s">
        <v>475</v>
      </c>
      <c r="B115" s="0" t="s">
        <v>30</v>
      </c>
      <c r="C115" s="15" t="n">
        <f aca="false">a25_x</f>
        <v>0</v>
      </c>
      <c r="D115" s="15" t="n">
        <f aca="false">a26_x</f>
        <v>0.38</v>
      </c>
      <c r="E115" s="15" t="n">
        <f aca="false">E111*E114</f>
        <v>1.44512592592593</v>
      </c>
      <c r="F115" s="15" t="n">
        <f aca="false">F111*F114</f>
        <v>1.95438222222222</v>
      </c>
      <c r="G115" s="15" t="n">
        <f aca="false">G111*G114</f>
        <v>2.34970044444444</v>
      </c>
    </row>
    <row r="116" customFormat="false" ht="17.15" hidden="false" customHeight="false" outlineLevel="0" collapsed="false">
      <c r="A116" s="1" t="s">
        <v>542</v>
      </c>
    </row>
    <row r="117" customFormat="false" ht="17.15" hidden="false" customHeight="false" outlineLevel="0" collapsed="false">
      <c r="A117" s="0" t="s">
        <v>543</v>
      </c>
      <c r="B117" s="5" t="s">
        <v>53</v>
      </c>
      <c r="D117" s="18" t="n">
        <f aca="false">u_26</f>
        <v>15.2</v>
      </c>
      <c r="E117" s="18" t="n">
        <f aca="false">u_27</f>
        <v>23.7</v>
      </c>
      <c r="F117" s="18" t="n">
        <f aca="false">u_28*um28_A</f>
        <v>26.5</v>
      </c>
      <c r="G117" s="18" t="n">
        <f aca="false">u_29*um29_A</f>
        <v>30.15</v>
      </c>
    </row>
    <row r="118" customFormat="false" ht="17.15" hidden="false" customHeight="false" outlineLevel="0" collapsed="false">
      <c r="A118" s="0" t="s">
        <v>544</v>
      </c>
      <c r="B118" s="0" t="s">
        <v>30</v>
      </c>
      <c r="D118" s="18" t="n">
        <f aca="false">D117*c_pcie/1000</f>
        <v>3.8</v>
      </c>
      <c r="E118" s="18" t="n">
        <f aca="false">E117*c_pcie/1000</f>
        <v>5.925</v>
      </c>
      <c r="F118" s="18" t="n">
        <f aca="false">F117*c_pcie/1000</f>
        <v>6.625</v>
      </c>
      <c r="G118" s="18" t="n">
        <f aca="false">G117*c_pcie/1000</f>
        <v>7.5375</v>
      </c>
      <c r="H118" s="8" t="s">
        <v>545</v>
      </c>
    </row>
    <row r="119" customFormat="false" ht="17.15" hidden="false" customHeight="false" outlineLevel="0" collapsed="false">
      <c r="A119" s="0" t="s">
        <v>546</v>
      </c>
      <c r="B119" s="0" t="s">
        <v>144</v>
      </c>
      <c r="D119" s="20" t="n">
        <f aca="false">a26_p/D118</f>
        <v>0.395595</v>
      </c>
    </row>
    <row r="120" customFormat="false" ht="17.15" hidden="false" customHeight="false" outlineLevel="0" collapsed="false">
      <c r="A120" s="0" t="s">
        <v>547</v>
      </c>
      <c r="B120" s="0" t="s">
        <v>87</v>
      </c>
      <c r="D120" s="9" t="n">
        <f aca="false">1</f>
        <v>1</v>
      </c>
      <c r="E120" s="9" t="n">
        <f aca="false">PLO_27</f>
        <v>0.65</v>
      </c>
      <c r="F120" s="9" t="n">
        <f aca="false">PLO_28</f>
        <v>0.55</v>
      </c>
      <c r="G120" s="9" t="n">
        <f aca="false">PLO_29</f>
        <v>0.45</v>
      </c>
    </row>
    <row r="121" customFormat="false" ht="17.15" hidden="false" customHeight="false" outlineLevel="0" collapsed="false">
      <c r="A121" s="0" t="s">
        <v>548</v>
      </c>
      <c r="B121" s="0" t="s">
        <v>30</v>
      </c>
      <c r="C121" s="15" t="n">
        <f aca="false">a25_p</f>
        <v>0.852525</v>
      </c>
      <c r="D121" s="15" t="n">
        <f aca="false">a26_p</f>
        <v>1.503261</v>
      </c>
      <c r="E121" s="15" t="n">
        <f aca="false">E118*$D$119*E120</f>
        <v>1.52353524375</v>
      </c>
      <c r="F121" s="15" t="n">
        <f aca="false">F118*$D$119*F120</f>
        <v>1.44144928125</v>
      </c>
      <c r="G121" s="15" t="n">
        <f aca="false">G118*$D$119*G120</f>
        <v>1.341808790625</v>
      </c>
    </row>
    <row r="122" customFormat="false" ht="17.15" hidden="false" customHeight="false" outlineLevel="0" collapsed="false">
      <c r="A122" s="1" t="s">
        <v>549</v>
      </c>
    </row>
    <row r="123" customFormat="false" ht="15" hidden="false" customHeight="false" outlineLevel="0" collapsed="false">
      <c r="A123" s="5" t="s">
        <v>454</v>
      </c>
      <c r="B123" s="0" t="s">
        <v>30</v>
      </c>
      <c r="C123" s="15" t="n">
        <f aca="false">a25_rev</f>
        <v>0.852525</v>
      </c>
      <c r="D123" s="15" t="n">
        <f aca="false">D115+D121</f>
        <v>1.883261</v>
      </c>
      <c r="E123" s="15" t="n">
        <f aca="false">E115+E121</f>
        <v>2.96866116967593</v>
      </c>
      <c r="F123" s="15" t="n">
        <f aca="false">F115+F121</f>
        <v>3.39583150347222</v>
      </c>
      <c r="G123" s="15" t="n">
        <f aca="false">G115+G121</f>
        <v>3.69150923506944</v>
      </c>
    </row>
    <row r="124" customFormat="false" ht="15" hidden="false" customHeight="false" outlineLevel="0" collapsed="false">
      <c r="A124" s="5" t="s">
        <v>550</v>
      </c>
      <c r="B124" s="0" t="s">
        <v>144</v>
      </c>
      <c r="D124" s="16" t="n">
        <f aca="false">D123/C123-1</f>
        <v>1.20903903111346</v>
      </c>
      <c r="E124" s="16" t="n">
        <f aca="false">E123/D123-1</f>
        <v>0.576340809731591</v>
      </c>
      <c r="F124" s="16" t="n">
        <f aca="false">F123/E123-1</f>
        <v>0.143893260086306</v>
      </c>
      <c r="G124" s="16" t="n">
        <f aca="false">G123/F123-1</f>
        <v>0.0870707899655483</v>
      </c>
    </row>
    <row r="125" customFormat="false" ht="17.15" hidden="false" customHeight="false" outlineLevel="0" collapsed="false">
      <c r="A125" s="0" t="s">
        <v>477</v>
      </c>
      <c r="B125" s="0" t="s">
        <v>144</v>
      </c>
      <c r="C125" s="16" t="n">
        <f aca="false">C115/C123</f>
        <v>0</v>
      </c>
      <c r="D125" s="16" t="n">
        <f aca="false">D115/D123</f>
        <v>0.201777661195129</v>
      </c>
      <c r="E125" s="16" t="n">
        <f aca="false">E115/E123</f>
        <v>0.486793825003506</v>
      </c>
      <c r="F125" s="16" t="n">
        <f aca="false">F115/F123</f>
        <v>0.575523909305828</v>
      </c>
      <c r="G125" s="16" t="n">
        <f aca="false">G115/G123</f>
        <v>0.636514849298553</v>
      </c>
    </row>
    <row r="126" customFormat="false" ht="17.15" hidden="false" customHeight="false" outlineLevel="0" collapsed="false">
      <c r="A126" s="1" t="s">
        <v>551</v>
      </c>
    </row>
    <row r="127" customFormat="false" ht="17.15" hidden="false" customHeight="false" outlineLevel="0" collapsed="false">
      <c r="A127" s="5" t="s">
        <v>459</v>
      </c>
      <c r="B127" s="0" t="s">
        <v>144</v>
      </c>
      <c r="C127" s="16" t="n">
        <f aca="false">a25_gp/a25_rev</f>
        <v>0.758199466291311</v>
      </c>
      <c r="D127" s="16" t="n">
        <f aca="false">a26_gp/a26_rev</f>
        <v>0.729127030188593</v>
      </c>
      <c r="E127" s="16" t="n">
        <f aca="false">gm_27</f>
        <v>0.7</v>
      </c>
      <c r="F127" s="16" t="n">
        <f aca="false">gm_28</f>
        <v>0.695</v>
      </c>
      <c r="G127" s="16" t="n">
        <f aca="false">gm_29</f>
        <v>0.69</v>
      </c>
      <c r="H127" s="8" t="s">
        <v>552</v>
      </c>
    </row>
    <row r="128" customFormat="false" ht="15" hidden="false" customHeight="false" outlineLevel="0" collapsed="false">
      <c r="A128" s="5" t="s">
        <v>553</v>
      </c>
      <c r="B128" s="0" t="s">
        <v>30</v>
      </c>
      <c r="C128" s="15" t="n">
        <f aca="false">C123*C127</f>
        <v>0.646384</v>
      </c>
      <c r="D128" s="15" t="n">
        <f aca="false">D123*D127</f>
        <v>1.3731365</v>
      </c>
      <c r="E128" s="15" t="n">
        <f aca="false">E123*E127</f>
        <v>2.07806281877315</v>
      </c>
      <c r="F128" s="15" t="n">
        <f aca="false">F123*F127</f>
        <v>2.36010289491319</v>
      </c>
      <c r="G128" s="15" t="n">
        <f aca="false">G123*G127</f>
        <v>2.54714137219792</v>
      </c>
    </row>
    <row r="129" customFormat="false" ht="15" hidden="false" customHeight="false" outlineLevel="0" collapsed="false">
      <c r="A129" s="5" t="s">
        <v>554</v>
      </c>
      <c r="B129" s="0" t="s">
        <v>30</v>
      </c>
      <c r="C129" s="15" t="n">
        <f aca="false">a25_opx</f>
        <v>0.311978</v>
      </c>
      <c r="D129" s="15" t="n">
        <f aca="false">a26_opx</f>
        <v>0.585698</v>
      </c>
      <c r="E129" s="15" t="n">
        <f aca="false">D129*(1+MAX(0,phi*E124))</f>
        <v>0.830658101764608</v>
      </c>
      <c r="F129" s="15" t="n">
        <f aca="false">E129*(1+MAX(0,phi*F124))</f>
        <v>0.917395221775888</v>
      </c>
      <c r="G129" s="15" t="n">
        <f aca="false">F129*(1+MAX(0,phi*G124))</f>
        <v>0.97536093700101</v>
      </c>
    </row>
    <row r="130" customFormat="false" ht="15" hidden="false" customHeight="false" outlineLevel="0" collapsed="false">
      <c r="A130" s="5" t="s">
        <v>555</v>
      </c>
      <c r="B130" s="0" t="s">
        <v>30</v>
      </c>
      <c r="C130" s="15" t="n">
        <f aca="false">C129</f>
        <v>0.311978</v>
      </c>
      <c r="D130" s="15" t="n">
        <f aca="false">D129</f>
        <v>0.585698</v>
      </c>
      <c r="E130" s="15" t="n">
        <f aca="false">E129+0*E123</f>
        <v>0.830658101764608</v>
      </c>
      <c r="F130" s="15" t="n">
        <f aca="false">F129+0*F123</f>
        <v>0.917395221775888</v>
      </c>
      <c r="G130" s="15" t="n">
        <f aca="false">G129+0*G123</f>
        <v>0.97536093700101</v>
      </c>
    </row>
    <row r="131" customFormat="false" ht="15" hidden="false" customHeight="false" outlineLevel="0" collapsed="false">
      <c r="A131" s="5" t="s">
        <v>556</v>
      </c>
      <c r="B131" s="0" t="s">
        <v>30</v>
      </c>
      <c r="C131" s="15" t="n">
        <f aca="false">C128-C130</f>
        <v>0.334406</v>
      </c>
      <c r="D131" s="15" t="n">
        <f aca="false">D128-D130</f>
        <v>0.7874385</v>
      </c>
      <c r="E131" s="15" t="n">
        <f aca="false">E128-E130</f>
        <v>1.24740471700854</v>
      </c>
      <c r="F131" s="15" t="n">
        <f aca="false">F128-F130</f>
        <v>1.44270767313731</v>
      </c>
      <c r="G131" s="15" t="n">
        <f aca="false">G128-G130</f>
        <v>1.57178043519691</v>
      </c>
    </row>
    <row r="132" customFormat="false" ht="15" hidden="false" customHeight="false" outlineLevel="0" collapsed="false">
      <c r="A132" s="5" t="s">
        <v>526</v>
      </c>
      <c r="B132" s="0" t="s">
        <v>144</v>
      </c>
      <c r="C132" s="16" t="n">
        <f aca="false">C131/C123</f>
        <v>0.392253599601185</v>
      </c>
      <c r="D132" s="16" t="n">
        <f aca="false">D131/D123</f>
        <v>0.41812499701316</v>
      </c>
      <c r="E132" s="16" t="n">
        <f aca="false">E131/E123</f>
        <v>0.420191003860745</v>
      </c>
      <c r="F132" s="16" t="n">
        <f aca="false">F131/F123</f>
        <v>0.424846660283982</v>
      </c>
      <c r="G132" s="16" t="n">
        <f aca="false">G131/G123</f>
        <v>0.425782609525922</v>
      </c>
    </row>
    <row r="133" customFormat="false" ht="15" hidden="false" customHeight="false" outlineLevel="0" collapsed="false">
      <c r="A133" s="5" t="s">
        <v>463</v>
      </c>
      <c r="B133" s="0" t="s">
        <v>30</v>
      </c>
      <c r="C133" s="15" t="n">
        <f aca="false">a25_ninc</f>
        <v>0.04473</v>
      </c>
      <c r="D133" s="15" t="n">
        <f aca="false">a26_ninc</f>
        <v>0.048658</v>
      </c>
      <c r="E133" s="15" t="n">
        <f aca="false">oth_f</f>
        <v>0.05</v>
      </c>
      <c r="F133" s="15" t="n">
        <f aca="false">oth_f</f>
        <v>0.05</v>
      </c>
      <c r="G133" s="15" t="n">
        <f aca="false">oth_f</f>
        <v>0.05</v>
      </c>
    </row>
    <row r="134" customFormat="false" ht="17.15" hidden="false" customHeight="false" outlineLevel="0" collapsed="false">
      <c r="A134" s="5" t="s">
        <v>468</v>
      </c>
      <c r="B134" s="0" t="s">
        <v>144</v>
      </c>
      <c r="C134" s="16" t="n">
        <f aca="false">a25_tx</f>
        <v>0.126922792876435</v>
      </c>
      <c r="D134" s="16" t="n">
        <f aca="false">a26_tx</f>
        <v>0.117979802570636</v>
      </c>
      <c r="E134" s="16" t="n">
        <f aca="false">tx_27</f>
        <v>0.12</v>
      </c>
      <c r="F134" s="16" t="n">
        <f aca="false">tx_28</f>
        <v>0.12</v>
      </c>
      <c r="G134" s="16" t="n">
        <f aca="false">tx_29</f>
        <v>0.12</v>
      </c>
      <c r="H134" s="5" t="s">
        <v>557</v>
      </c>
    </row>
    <row r="135" customFormat="false" ht="15" hidden="false" customHeight="false" outlineLevel="0" collapsed="false">
      <c r="A135" s="5" t="s">
        <v>527</v>
      </c>
      <c r="B135" s="0" t="s">
        <v>30</v>
      </c>
      <c r="C135" s="15" t="n">
        <f aca="false">a25_ni</f>
        <v>0.331015</v>
      </c>
      <c r="D135" s="15" t="n">
        <f aca="false">a26_ni</f>
        <v>0.737454</v>
      </c>
      <c r="E135" s="15" t="n">
        <f aca="false">(E131+E133)*(1-E134)</f>
        <v>1.14171615096752</v>
      </c>
      <c r="F135" s="15" t="n">
        <f aca="false">(F131+F133)*(1-F134)</f>
        <v>1.31358275236083</v>
      </c>
      <c r="G135" s="15" t="n">
        <f aca="false">(G131+G133)*(1-G134)</f>
        <v>1.42716678297328</v>
      </c>
    </row>
    <row r="136" customFormat="false" ht="15" hidden="false" customHeight="false" outlineLevel="0" collapsed="false">
      <c r="A136" s="5" t="s">
        <v>470</v>
      </c>
      <c r="B136" s="0" t="s">
        <v>144</v>
      </c>
      <c r="C136" s="16" t="n">
        <f aca="false">C135/C123</f>
        <v>0.388276003636257</v>
      </c>
      <c r="D136" s="16" t="n">
        <f aca="false">D135/D123</f>
        <v>0.391583535155244</v>
      </c>
      <c r="E136" s="16" t="n">
        <f aca="false">E135/E123</f>
        <v>0.384589579514779</v>
      </c>
      <c r="F136" s="16" t="n">
        <f aca="false">F135/F123</f>
        <v>0.386822123246603</v>
      </c>
      <c r="G136" s="16" t="n">
        <f aca="false">G135/G123</f>
        <v>0.386607940572152</v>
      </c>
    </row>
    <row r="137" customFormat="false" ht="15" hidden="false" customHeight="false" outlineLevel="0" collapsed="false">
      <c r="A137" s="5" t="s">
        <v>558</v>
      </c>
      <c r="B137" s="5" t="s">
        <v>179</v>
      </c>
      <c r="C137" s="24" t="n">
        <f aca="false">a25_sh</f>
        <v>0.179551</v>
      </c>
      <c r="D137" s="24" t="n">
        <f aca="false">a26_sh</f>
        <v>0.18399925</v>
      </c>
      <c r="E137" s="24" t="n">
        <f aca="false">D137*(1+sh_g)</f>
        <v>0.18675923875</v>
      </c>
      <c r="F137" s="24" t="n">
        <f aca="false">E137*(1+sh_g)</f>
        <v>0.18956062733125</v>
      </c>
      <c r="G137" s="24" t="n">
        <f aca="false">F137*(1+sh_g)</f>
        <v>0.192404036741219</v>
      </c>
    </row>
    <row r="138" customFormat="false" ht="17.15" hidden="false" customHeight="false" outlineLevel="0" collapsed="false">
      <c r="A138" s="0" t="s">
        <v>473</v>
      </c>
      <c r="B138" s="0" t="s">
        <v>206</v>
      </c>
      <c r="C138" s="9" t="n">
        <f aca="false">C135/C137</f>
        <v>1.8435709074302</v>
      </c>
      <c r="D138" s="9" t="n">
        <f aca="false">D135/D137</f>
        <v>4.00791851053741</v>
      </c>
      <c r="E138" s="9" t="n">
        <f aca="false">E135/E137</f>
        <v>6.11330480146068</v>
      </c>
      <c r="F138" s="9" t="n">
        <f aca="false">F135/F137</f>
        <v>6.92961809028726</v>
      </c>
      <c r="G138" s="9" t="n">
        <f aca="false">G135/G137</f>
        <v>7.41755114469247</v>
      </c>
    </row>
    <row r="139" customFormat="false" ht="17.15" hidden="false" customHeight="false" outlineLevel="0" collapsed="false">
      <c r="A139" s="0" t="s">
        <v>559</v>
      </c>
      <c r="B139" s="0" t="s">
        <v>144</v>
      </c>
      <c r="D139" s="16" t="n">
        <f aca="false">D138/C138-1</f>
        <v>1.17399748194342</v>
      </c>
      <c r="E139" s="16" t="n">
        <f aca="false">E138/D138-1</f>
        <v>0.5253066611479</v>
      </c>
      <c r="F139" s="16" t="n">
        <f aca="false">F138/E138-1</f>
        <v>0.133530605022595</v>
      </c>
      <c r="G139" s="16" t="n">
        <f aca="false">G138/F138-1</f>
        <v>0.0704126905765721</v>
      </c>
    </row>
    <row r="142" customFormat="false" ht="17.15" hidden="false" customHeight="false" outlineLevel="0" collapsed="false">
      <c r="A142" s="3" t="s">
        <v>844</v>
      </c>
    </row>
    <row r="143" customFormat="false" ht="17.15" hidden="false" customHeight="false" outlineLevel="0" collapsed="false">
      <c r="A143" s="6" t="s">
        <v>19</v>
      </c>
      <c r="B143" s="6" t="s">
        <v>20</v>
      </c>
      <c r="C143" s="14" t="s">
        <v>447</v>
      </c>
      <c r="D143" s="14" t="s">
        <v>489</v>
      </c>
      <c r="E143" s="14" t="s">
        <v>490</v>
      </c>
      <c r="F143" s="14" t="s">
        <v>491</v>
      </c>
      <c r="G143" s="14" t="s">
        <v>492</v>
      </c>
      <c r="H143" s="6" t="s">
        <v>453</v>
      </c>
    </row>
    <row r="144" customFormat="false" ht="17.15" hidden="false" customHeight="false" outlineLevel="0" collapsed="false">
      <c r="A144" s="1" t="s">
        <v>536</v>
      </c>
    </row>
    <row r="145" customFormat="false" ht="17.15" hidden="false" customHeight="false" outlineLevel="0" collapsed="false">
      <c r="A145" s="5" t="s">
        <v>537</v>
      </c>
      <c r="B145" s="0" t="s">
        <v>30</v>
      </c>
      <c r="D145" s="18" t="n">
        <f aca="false">msx_26</f>
        <v>2.025</v>
      </c>
      <c r="E145" s="18" t="n">
        <f aca="false">msx_27</f>
        <v>7.701</v>
      </c>
      <c r="F145" s="18" t="n">
        <f aca="false">msx_28*um28_A</f>
        <v>9.468</v>
      </c>
      <c r="G145" s="18" t="n">
        <f aca="false">msx_29*um29_A</f>
        <v>10.8882</v>
      </c>
      <c r="H145" s="8" t="s">
        <v>538</v>
      </c>
    </row>
    <row r="146" customFormat="false" ht="17.15" hidden="false" customHeight="false" outlineLevel="0" collapsed="false">
      <c r="A146" s="0" t="s">
        <v>539</v>
      </c>
      <c r="B146" s="0" t="s">
        <v>144</v>
      </c>
      <c r="D146" s="20" t="n">
        <f aca="false">a26_x/D145</f>
        <v>0.187654320987654</v>
      </c>
      <c r="H146" s="8" t="s">
        <v>31</v>
      </c>
    </row>
    <row r="147" customFormat="false" ht="17.15" hidden="false" customHeight="false" outlineLevel="0" collapsed="false">
      <c r="A147" s="0" t="s">
        <v>540</v>
      </c>
      <c r="B147" s="0" t="s">
        <v>87</v>
      </c>
      <c r="D147" s="9" t="n">
        <f aca="false">1</f>
        <v>1</v>
      </c>
      <c r="E147" s="9" t="n">
        <f aca="false">rel_x_27</f>
        <v>1</v>
      </c>
      <c r="F147" s="9" t="n">
        <f aca="false">rel_x_28</f>
        <v>1.1</v>
      </c>
      <c r="G147" s="9" t="n">
        <f aca="false">rel_x_29</f>
        <v>1.15</v>
      </c>
    </row>
    <row r="148" customFormat="false" ht="17.15" hidden="false" customHeight="false" outlineLevel="0" collapsed="false">
      <c r="A148" s="0" t="s">
        <v>541</v>
      </c>
      <c r="B148" s="0" t="s">
        <v>144</v>
      </c>
      <c r="D148" s="20" t="n">
        <f aca="false">$D$146*D147</f>
        <v>0.187654320987654</v>
      </c>
      <c r="E148" s="20" t="n">
        <f aca="false">$D$146*E147</f>
        <v>0.187654320987654</v>
      </c>
      <c r="F148" s="20" t="n">
        <f aca="false">$D$146*F147</f>
        <v>0.20641975308642</v>
      </c>
      <c r="G148" s="20" t="n">
        <f aca="false">$D$146*G147</f>
        <v>0.215802469135802</v>
      </c>
    </row>
    <row r="149" customFormat="false" ht="17.15" hidden="false" customHeight="false" outlineLevel="0" collapsed="false">
      <c r="A149" s="0" t="s">
        <v>475</v>
      </c>
      <c r="B149" s="0" t="s">
        <v>30</v>
      </c>
      <c r="C149" s="15" t="n">
        <f aca="false">a25_x</f>
        <v>0</v>
      </c>
      <c r="D149" s="15" t="n">
        <f aca="false">a26_x</f>
        <v>0.38</v>
      </c>
      <c r="E149" s="15" t="n">
        <f aca="false">E145*E148</f>
        <v>1.44512592592593</v>
      </c>
      <c r="F149" s="15" t="n">
        <f aca="false">F145*F148</f>
        <v>1.95438222222222</v>
      </c>
      <c r="G149" s="15" t="n">
        <f aca="false">G145*G148</f>
        <v>2.34970044444444</v>
      </c>
    </row>
    <row r="150" customFormat="false" ht="17.15" hidden="false" customHeight="false" outlineLevel="0" collapsed="false">
      <c r="A150" s="1" t="s">
        <v>542</v>
      </c>
    </row>
    <row r="151" customFormat="false" ht="17.15" hidden="false" customHeight="false" outlineLevel="0" collapsed="false">
      <c r="A151" s="0" t="s">
        <v>543</v>
      </c>
      <c r="B151" s="5" t="s">
        <v>53</v>
      </c>
      <c r="D151" s="18" t="n">
        <f aca="false">u_26</f>
        <v>15.2</v>
      </c>
      <c r="E151" s="18" t="n">
        <f aca="false">u_27</f>
        <v>23.7</v>
      </c>
      <c r="F151" s="18" t="n">
        <f aca="false">u_28*um28_A</f>
        <v>26.5</v>
      </c>
      <c r="G151" s="18" t="n">
        <f aca="false">u_29*um29_A</f>
        <v>30.15</v>
      </c>
    </row>
    <row r="152" customFormat="false" ht="17.15" hidden="false" customHeight="false" outlineLevel="0" collapsed="false">
      <c r="A152" s="0" t="s">
        <v>544</v>
      </c>
      <c r="B152" s="0" t="s">
        <v>30</v>
      </c>
      <c r="D152" s="18" t="n">
        <f aca="false">D151*c_pcie/1000</f>
        <v>3.8</v>
      </c>
      <c r="E152" s="18" t="n">
        <f aca="false">E151*c_pcie/1000</f>
        <v>5.925</v>
      </c>
      <c r="F152" s="18" t="n">
        <f aca="false">F151*c_pcie/1000</f>
        <v>6.625</v>
      </c>
      <c r="G152" s="18" t="n">
        <f aca="false">G151*c_pcie/1000</f>
        <v>7.5375</v>
      </c>
      <c r="H152" s="8" t="s">
        <v>545</v>
      </c>
    </row>
    <row r="153" customFormat="false" ht="17.15" hidden="false" customHeight="false" outlineLevel="0" collapsed="false">
      <c r="A153" s="0" t="s">
        <v>546</v>
      </c>
      <c r="B153" s="0" t="s">
        <v>144</v>
      </c>
      <c r="D153" s="20" t="n">
        <f aca="false">a26_p/D152</f>
        <v>0.395595</v>
      </c>
    </row>
    <row r="154" customFormat="false" ht="17.15" hidden="false" customHeight="false" outlineLevel="0" collapsed="false">
      <c r="A154" s="0" t="s">
        <v>547</v>
      </c>
      <c r="B154" s="0" t="s">
        <v>87</v>
      </c>
      <c r="D154" s="9" t="n">
        <f aca="false">1</f>
        <v>1</v>
      </c>
      <c r="E154" s="9" t="n">
        <f aca="false">PHI_27</f>
        <v>1</v>
      </c>
      <c r="F154" s="9" t="n">
        <f aca="false">PHI_28</f>
        <v>1</v>
      </c>
      <c r="G154" s="9" t="n">
        <f aca="false">PHI_29</f>
        <v>1</v>
      </c>
    </row>
    <row r="155" customFormat="false" ht="17.15" hidden="false" customHeight="false" outlineLevel="0" collapsed="false">
      <c r="A155" s="0" t="s">
        <v>548</v>
      </c>
      <c r="B155" s="0" t="s">
        <v>30</v>
      </c>
      <c r="C155" s="15" t="n">
        <f aca="false">a25_p</f>
        <v>0.852525</v>
      </c>
      <c r="D155" s="15" t="n">
        <f aca="false">a26_p</f>
        <v>1.503261</v>
      </c>
      <c r="E155" s="15" t="n">
        <f aca="false">E152*$D$153*E154</f>
        <v>2.343900375</v>
      </c>
      <c r="F155" s="15" t="n">
        <f aca="false">F152*$D$153*F154</f>
        <v>2.620816875</v>
      </c>
      <c r="G155" s="15" t="n">
        <f aca="false">G152*$D$153*G154</f>
        <v>2.9817973125</v>
      </c>
    </row>
    <row r="156" customFormat="false" ht="17.15" hidden="false" customHeight="false" outlineLevel="0" collapsed="false">
      <c r="A156" s="1" t="s">
        <v>549</v>
      </c>
    </row>
    <row r="157" customFormat="false" ht="15" hidden="false" customHeight="false" outlineLevel="0" collapsed="false">
      <c r="A157" s="5" t="s">
        <v>454</v>
      </c>
      <c r="B157" s="0" t="s">
        <v>30</v>
      </c>
      <c r="C157" s="15" t="n">
        <f aca="false">a25_rev</f>
        <v>0.852525</v>
      </c>
      <c r="D157" s="15" t="n">
        <f aca="false">D149+D155</f>
        <v>1.883261</v>
      </c>
      <c r="E157" s="15" t="n">
        <f aca="false">E149+E155</f>
        <v>3.78902630092593</v>
      </c>
      <c r="F157" s="15" t="n">
        <f aca="false">F149+F155</f>
        <v>4.57519909722222</v>
      </c>
      <c r="G157" s="15" t="n">
        <f aca="false">G149+G155</f>
        <v>5.33149775694445</v>
      </c>
    </row>
    <row r="158" customFormat="false" ht="15" hidden="false" customHeight="false" outlineLevel="0" collapsed="false">
      <c r="A158" s="5" t="s">
        <v>550</v>
      </c>
      <c r="B158" s="0" t="s">
        <v>144</v>
      </c>
      <c r="D158" s="16" t="n">
        <f aca="false">D157/C157-1</f>
        <v>1.20903903111346</v>
      </c>
      <c r="E158" s="16" t="n">
        <f aca="false">E157/D157-1</f>
        <v>1.01194964528333</v>
      </c>
      <c r="F158" s="16" t="n">
        <f aca="false">F157/E157-1</f>
        <v>0.207486761468026</v>
      </c>
      <c r="G158" s="16" t="n">
        <f aca="false">G157/F157-1</f>
        <v>0.165303988668253</v>
      </c>
    </row>
    <row r="159" customFormat="false" ht="17.15" hidden="false" customHeight="false" outlineLevel="0" collapsed="false">
      <c r="A159" s="0" t="s">
        <v>477</v>
      </c>
      <c r="B159" s="0" t="s">
        <v>144</v>
      </c>
      <c r="C159" s="16" t="n">
        <f aca="false">C149/C157</f>
        <v>0</v>
      </c>
      <c r="D159" s="16" t="n">
        <f aca="false">D149/D157</f>
        <v>0.201777661195129</v>
      </c>
      <c r="E159" s="16" t="n">
        <f aca="false">E149/E157</f>
        <v>0.381397702510743</v>
      </c>
      <c r="F159" s="16" t="n">
        <f aca="false">F149/F157</f>
        <v>0.427168781225019</v>
      </c>
      <c r="G159" s="16" t="n">
        <f aca="false">G149/G157</f>
        <v>0.440720516365947</v>
      </c>
    </row>
    <row r="160" customFormat="false" ht="17.15" hidden="false" customHeight="false" outlineLevel="0" collapsed="false">
      <c r="A160" s="1" t="s">
        <v>551</v>
      </c>
    </row>
    <row r="161" customFormat="false" ht="17.15" hidden="false" customHeight="false" outlineLevel="0" collapsed="false">
      <c r="A161" s="5" t="s">
        <v>459</v>
      </c>
      <c r="B161" s="0" t="s">
        <v>144</v>
      </c>
      <c r="C161" s="16" t="n">
        <f aca="false">a25_gp/a25_rev</f>
        <v>0.758199466291311</v>
      </c>
      <c r="D161" s="16" t="n">
        <f aca="false">a26_gp/a26_rev</f>
        <v>0.729127030188593</v>
      </c>
      <c r="E161" s="16" t="n">
        <f aca="false">gm_27</f>
        <v>0.7</v>
      </c>
      <c r="F161" s="16" t="n">
        <f aca="false">gm_28</f>
        <v>0.695</v>
      </c>
      <c r="G161" s="16" t="n">
        <f aca="false">gm_29</f>
        <v>0.69</v>
      </c>
      <c r="H161" s="8" t="s">
        <v>552</v>
      </c>
    </row>
    <row r="162" customFormat="false" ht="15" hidden="false" customHeight="false" outlineLevel="0" collapsed="false">
      <c r="A162" s="5" t="s">
        <v>553</v>
      </c>
      <c r="B162" s="0" t="s">
        <v>30</v>
      </c>
      <c r="C162" s="15" t="n">
        <f aca="false">C157*C161</f>
        <v>0.646384</v>
      </c>
      <c r="D162" s="15" t="n">
        <f aca="false">D157*D161</f>
        <v>1.3731365</v>
      </c>
      <c r="E162" s="15" t="n">
        <f aca="false">E157*E161</f>
        <v>2.65231841064815</v>
      </c>
      <c r="F162" s="15" t="n">
        <f aca="false">F157*F161</f>
        <v>3.17976337256944</v>
      </c>
      <c r="G162" s="15" t="n">
        <f aca="false">G157*G161</f>
        <v>3.67873345229167</v>
      </c>
    </row>
    <row r="163" customFormat="false" ht="15" hidden="false" customHeight="false" outlineLevel="0" collapsed="false">
      <c r="A163" s="5" t="s">
        <v>554</v>
      </c>
      <c r="B163" s="0" t="s">
        <v>30</v>
      </c>
      <c r="C163" s="15" t="n">
        <f aca="false">a25_opx</f>
        <v>0.311978</v>
      </c>
      <c r="D163" s="15" t="n">
        <f aca="false">a26_opx</f>
        <v>0.585698</v>
      </c>
      <c r="E163" s="15" t="n">
        <f aca="false">D163*(1+MAX(0,phi*E158))</f>
        <v>1.01580338886654</v>
      </c>
      <c r="F163" s="15" t="n">
        <f aca="false">E163*(1+MAX(0,phi*F158))</f>
        <v>1.16875085620218</v>
      </c>
      <c r="G163" s="15" t="n">
        <f aca="false">F163*(1+MAX(0,phi*G158))</f>
        <v>1.30895069534805</v>
      </c>
    </row>
    <row r="164" customFormat="false" ht="15" hidden="false" customHeight="false" outlineLevel="0" collapsed="false">
      <c r="A164" s="5" t="s">
        <v>555</v>
      </c>
      <c r="B164" s="0" t="s">
        <v>30</v>
      </c>
      <c r="C164" s="15" t="n">
        <f aca="false">C163</f>
        <v>0.311978</v>
      </c>
      <c r="D164" s="15" t="n">
        <f aca="false">D163</f>
        <v>0.585698</v>
      </c>
      <c r="E164" s="15" t="n">
        <f aca="false">E163+0*E157</f>
        <v>1.01580338886654</v>
      </c>
      <c r="F164" s="15" t="n">
        <f aca="false">F163+0*F157</f>
        <v>1.16875085620218</v>
      </c>
      <c r="G164" s="15" t="n">
        <f aca="false">G163+0*G157</f>
        <v>1.30895069534805</v>
      </c>
    </row>
    <row r="165" customFormat="false" ht="15" hidden="false" customHeight="false" outlineLevel="0" collapsed="false">
      <c r="A165" s="5" t="s">
        <v>556</v>
      </c>
      <c r="B165" s="0" t="s">
        <v>30</v>
      </c>
      <c r="C165" s="15" t="n">
        <f aca="false">C162-C164</f>
        <v>0.334406</v>
      </c>
      <c r="D165" s="15" t="n">
        <f aca="false">D162-D164</f>
        <v>0.7874385</v>
      </c>
      <c r="E165" s="15" t="n">
        <f aca="false">E162-E164</f>
        <v>1.63651502178161</v>
      </c>
      <c r="F165" s="15" t="n">
        <f aca="false">F162-F164</f>
        <v>2.01101251636726</v>
      </c>
      <c r="G165" s="15" t="n">
        <f aca="false">G162-G164</f>
        <v>2.36978275694362</v>
      </c>
    </row>
    <row r="166" customFormat="false" ht="15" hidden="false" customHeight="false" outlineLevel="0" collapsed="false">
      <c r="A166" s="5" t="s">
        <v>526</v>
      </c>
      <c r="B166" s="0" t="s">
        <v>144</v>
      </c>
      <c r="C166" s="16" t="n">
        <f aca="false">C165/C157</f>
        <v>0.392253599601185</v>
      </c>
      <c r="D166" s="16" t="n">
        <f aca="false">D165/D157</f>
        <v>0.41812499701316</v>
      </c>
      <c r="E166" s="16" t="n">
        <f aca="false">E165/E157</f>
        <v>0.431909121713326</v>
      </c>
      <c r="F166" s="16" t="n">
        <f aca="false">F165/F157</f>
        <v>0.439546448937758</v>
      </c>
      <c r="G166" s="16" t="n">
        <f aca="false">G165/G157</f>
        <v>0.444487246357161</v>
      </c>
    </row>
    <row r="167" customFormat="false" ht="15" hidden="false" customHeight="false" outlineLevel="0" collapsed="false">
      <c r="A167" s="5" t="s">
        <v>463</v>
      </c>
      <c r="B167" s="0" t="s">
        <v>30</v>
      </c>
      <c r="C167" s="15" t="n">
        <f aca="false">a25_ninc</f>
        <v>0.04473</v>
      </c>
      <c r="D167" s="15" t="n">
        <f aca="false">a26_ninc</f>
        <v>0.048658</v>
      </c>
      <c r="E167" s="15" t="n">
        <f aca="false">oth_f</f>
        <v>0.05</v>
      </c>
      <c r="F167" s="15" t="n">
        <f aca="false">oth_f</f>
        <v>0.05</v>
      </c>
      <c r="G167" s="15" t="n">
        <f aca="false">oth_f</f>
        <v>0.05</v>
      </c>
    </row>
    <row r="168" customFormat="false" ht="17.15" hidden="false" customHeight="false" outlineLevel="0" collapsed="false">
      <c r="A168" s="5" t="s">
        <v>468</v>
      </c>
      <c r="B168" s="0" t="s">
        <v>144</v>
      </c>
      <c r="C168" s="16" t="n">
        <f aca="false">a25_tx</f>
        <v>0.126922792876435</v>
      </c>
      <c r="D168" s="16" t="n">
        <f aca="false">a26_tx</f>
        <v>0.117979802570636</v>
      </c>
      <c r="E168" s="16" t="n">
        <f aca="false">tx_27</f>
        <v>0.12</v>
      </c>
      <c r="F168" s="16" t="n">
        <f aca="false">tx_28</f>
        <v>0.12</v>
      </c>
      <c r="G168" s="16" t="n">
        <f aca="false">tx_29</f>
        <v>0.12</v>
      </c>
      <c r="H168" s="5" t="s">
        <v>557</v>
      </c>
    </row>
    <row r="169" customFormat="false" ht="15" hidden="false" customHeight="false" outlineLevel="0" collapsed="false">
      <c r="A169" s="5" t="s">
        <v>527</v>
      </c>
      <c r="B169" s="0" t="s">
        <v>30</v>
      </c>
      <c r="C169" s="15" t="n">
        <f aca="false">a25_ni</f>
        <v>0.331015</v>
      </c>
      <c r="D169" s="15" t="n">
        <f aca="false">a26_ni</f>
        <v>0.737454</v>
      </c>
      <c r="E169" s="15" t="n">
        <f aca="false">(E165+E167)*(1-E168)</f>
        <v>1.48413321916782</v>
      </c>
      <c r="F169" s="15" t="n">
        <f aca="false">(F165+F167)*(1-F168)</f>
        <v>1.81369101440319</v>
      </c>
      <c r="G169" s="15" t="n">
        <f aca="false">(G165+G167)*(1-G168)</f>
        <v>2.12940882611038</v>
      </c>
    </row>
    <row r="170" customFormat="false" ht="15" hidden="false" customHeight="false" outlineLevel="0" collapsed="false">
      <c r="A170" s="5" t="s">
        <v>470</v>
      </c>
      <c r="B170" s="0" t="s">
        <v>144</v>
      </c>
      <c r="C170" s="16" t="n">
        <f aca="false">C169/C157</f>
        <v>0.388276003636257</v>
      </c>
      <c r="D170" s="16" t="n">
        <f aca="false">D169/D157</f>
        <v>0.391583535155244</v>
      </c>
      <c r="E170" s="16" t="n">
        <f aca="false">E169/E157</f>
        <v>0.391692509182408</v>
      </c>
      <c r="F170" s="16" t="n">
        <f aca="false">F169/F157</f>
        <v>0.396417942883481</v>
      </c>
      <c r="G170" s="16" t="n">
        <f aca="false">G169/G157</f>
        <v>0.399401617179105</v>
      </c>
    </row>
    <row r="171" customFormat="false" ht="15" hidden="false" customHeight="false" outlineLevel="0" collapsed="false">
      <c r="A171" s="5" t="s">
        <v>558</v>
      </c>
      <c r="B171" s="5" t="s">
        <v>179</v>
      </c>
      <c r="C171" s="24" t="n">
        <f aca="false">a25_sh</f>
        <v>0.179551</v>
      </c>
      <c r="D171" s="24" t="n">
        <f aca="false">a26_sh</f>
        <v>0.18399925</v>
      </c>
      <c r="E171" s="24" t="n">
        <f aca="false">D171*(1+sh_g)</f>
        <v>0.18675923875</v>
      </c>
      <c r="F171" s="24" t="n">
        <f aca="false">E171*(1+sh_g)</f>
        <v>0.18956062733125</v>
      </c>
      <c r="G171" s="24" t="n">
        <f aca="false">F171*(1+sh_g)</f>
        <v>0.192404036741219</v>
      </c>
    </row>
    <row r="172" customFormat="false" ht="17.15" hidden="false" customHeight="false" outlineLevel="0" collapsed="false">
      <c r="A172" s="0" t="s">
        <v>473</v>
      </c>
      <c r="B172" s="0" t="s">
        <v>206</v>
      </c>
      <c r="C172" s="9" t="n">
        <f aca="false">C169/C171</f>
        <v>1.8435709074302</v>
      </c>
      <c r="D172" s="9" t="n">
        <f aca="false">D169/D171</f>
        <v>4.00791851053741</v>
      </c>
      <c r="E172" s="9" t="n">
        <f aca="false">E169/E171</f>
        <v>7.94677269569785</v>
      </c>
      <c r="F172" s="9" t="n">
        <f aca="false">F169/F171</f>
        <v>9.56786775786428</v>
      </c>
      <c r="G172" s="9" t="n">
        <f aca="false">G169/G171</f>
        <v>11.0673812367794</v>
      </c>
    </row>
    <row r="173" customFormat="false" ht="17.15" hidden="false" customHeight="false" outlineLevel="0" collapsed="false">
      <c r="A173" s="0" t="s">
        <v>559</v>
      </c>
      <c r="B173" s="0" t="s">
        <v>144</v>
      </c>
      <c r="D173" s="16" t="n">
        <f aca="false">D172/C172-1</f>
        <v>1.17399748194342</v>
      </c>
      <c r="E173" s="16" t="n">
        <f aca="false">E172/D172-1</f>
        <v>0.982768031536722</v>
      </c>
      <c r="F173" s="16" t="n">
        <f aca="false">F172/E172-1</f>
        <v>0.203994140041786</v>
      </c>
      <c r="G173" s="16" t="n">
        <f aca="false">G172/F172-1</f>
        <v>0.156723892602155</v>
      </c>
    </row>
    <row r="176" customFormat="false" ht="17.15" hidden="false" customHeight="false" outlineLevel="0" collapsed="false">
      <c r="A176" s="3" t="s">
        <v>845</v>
      </c>
    </row>
    <row r="177" customFormat="false" ht="17.15" hidden="false" customHeight="false" outlineLevel="0" collapsed="false">
      <c r="A177" s="6" t="s">
        <v>19</v>
      </c>
      <c r="B177" s="6" t="s">
        <v>20</v>
      </c>
      <c r="C177" s="14" t="s">
        <v>447</v>
      </c>
      <c r="D177" s="14" t="s">
        <v>489</v>
      </c>
      <c r="E177" s="14" t="s">
        <v>490</v>
      </c>
      <c r="F177" s="14" t="s">
        <v>491</v>
      </c>
      <c r="G177" s="14" t="s">
        <v>492</v>
      </c>
      <c r="H177" s="6" t="s">
        <v>453</v>
      </c>
    </row>
    <row r="178" customFormat="false" ht="17.15" hidden="false" customHeight="false" outlineLevel="0" collapsed="false">
      <c r="A178" s="1" t="s">
        <v>536</v>
      </c>
    </row>
    <row r="179" customFormat="false" ht="17.15" hidden="false" customHeight="false" outlineLevel="0" collapsed="false">
      <c r="A179" s="5" t="s">
        <v>537</v>
      </c>
      <c r="B179" s="0" t="s">
        <v>30</v>
      </c>
      <c r="D179" s="18" t="n">
        <f aca="false">msx_26</f>
        <v>2.025</v>
      </c>
      <c r="E179" s="18" t="n">
        <f aca="false">msx_27</f>
        <v>7.701</v>
      </c>
      <c r="F179" s="18" t="n">
        <f aca="false">msx_28*um28_A</f>
        <v>9.468</v>
      </c>
      <c r="G179" s="18" t="n">
        <f aca="false">msx_29*um29_A</f>
        <v>10.8882</v>
      </c>
      <c r="H179" s="8" t="s">
        <v>538</v>
      </c>
    </row>
    <row r="180" customFormat="false" ht="17.15" hidden="false" customHeight="false" outlineLevel="0" collapsed="false">
      <c r="A180" s="0" t="s">
        <v>539</v>
      </c>
      <c r="B180" s="0" t="s">
        <v>144</v>
      </c>
      <c r="D180" s="20" t="n">
        <f aca="false">a26_x/D179</f>
        <v>0.187654320987654</v>
      </c>
      <c r="H180" s="8" t="s">
        <v>31</v>
      </c>
    </row>
    <row r="181" customFormat="false" ht="17.15" hidden="false" customHeight="false" outlineLevel="0" collapsed="false">
      <c r="A181" s="0" t="s">
        <v>540</v>
      </c>
      <c r="B181" s="0" t="s">
        <v>87</v>
      </c>
      <c r="D181" s="9" t="n">
        <f aca="false">1</f>
        <v>1</v>
      </c>
      <c r="E181" s="9" t="n">
        <f aca="false">rel_x_27</f>
        <v>1</v>
      </c>
      <c r="F181" s="9" t="n">
        <f aca="false">rel_x_28</f>
        <v>1.1</v>
      </c>
      <c r="G181" s="9" t="n">
        <f aca="false">rel_x_29</f>
        <v>1.15</v>
      </c>
    </row>
    <row r="182" customFormat="false" ht="17.15" hidden="false" customHeight="false" outlineLevel="0" collapsed="false">
      <c r="A182" s="0" t="s">
        <v>541</v>
      </c>
      <c r="B182" s="0" t="s">
        <v>144</v>
      </c>
      <c r="D182" s="20" t="n">
        <f aca="false">$D$180*D181</f>
        <v>0.187654320987654</v>
      </c>
      <c r="E182" s="20" t="n">
        <f aca="false">$D$180*E181</f>
        <v>0.187654320987654</v>
      </c>
      <c r="F182" s="20" t="n">
        <f aca="false">$D$180*F181</f>
        <v>0.20641975308642</v>
      </c>
      <c r="G182" s="20" t="n">
        <f aca="false">$D$180*G181</f>
        <v>0.215802469135802</v>
      </c>
    </row>
    <row r="183" customFormat="false" ht="17.15" hidden="false" customHeight="false" outlineLevel="0" collapsed="false">
      <c r="A183" s="0" t="s">
        <v>475</v>
      </c>
      <c r="B183" s="0" t="s">
        <v>30</v>
      </c>
      <c r="C183" s="15" t="n">
        <f aca="false">a25_x</f>
        <v>0</v>
      </c>
      <c r="D183" s="15" t="n">
        <f aca="false">a26_x</f>
        <v>0.38</v>
      </c>
      <c r="E183" s="15" t="n">
        <f aca="false">E179*E182</f>
        <v>1.44512592592593</v>
      </c>
      <c r="F183" s="15" t="n">
        <f aca="false">F179*F182</f>
        <v>1.95438222222222</v>
      </c>
      <c r="G183" s="15" t="n">
        <f aca="false">G179*G182</f>
        <v>2.34970044444444</v>
      </c>
    </row>
    <row r="184" customFormat="false" ht="17.15" hidden="false" customHeight="false" outlineLevel="0" collapsed="false">
      <c r="A184" s="1" t="s">
        <v>542</v>
      </c>
    </row>
    <row r="185" customFormat="false" ht="17.15" hidden="false" customHeight="false" outlineLevel="0" collapsed="false">
      <c r="A185" s="0" t="s">
        <v>543</v>
      </c>
      <c r="B185" s="5" t="s">
        <v>53</v>
      </c>
      <c r="D185" s="18" t="n">
        <f aca="false">u_26</f>
        <v>15.2</v>
      </c>
      <c r="E185" s="18" t="n">
        <f aca="false">u_27</f>
        <v>23.7</v>
      </c>
      <c r="F185" s="18" t="n">
        <f aca="false">u_28*um28_A</f>
        <v>26.5</v>
      </c>
      <c r="G185" s="18" t="n">
        <f aca="false">u_29*um29_A</f>
        <v>30.15</v>
      </c>
    </row>
    <row r="186" customFormat="false" ht="17.15" hidden="false" customHeight="false" outlineLevel="0" collapsed="false">
      <c r="A186" s="0" t="s">
        <v>544</v>
      </c>
      <c r="B186" s="0" t="s">
        <v>30</v>
      </c>
      <c r="D186" s="18" t="n">
        <f aca="false">D185*c_pcie/1000</f>
        <v>3.8</v>
      </c>
      <c r="E186" s="18" t="n">
        <f aca="false">E185*c_pcie/1000</f>
        <v>5.925</v>
      </c>
      <c r="F186" s="18" t="n">
        <f aca="false">F185*c_pcie/1000</f>
        <v>6.625</v>
      </c>
      <c r="G186" s="18" t="n">
        <f aca="false">G185*c_pcie/1000</f>
        <v>7.5375</v>
      </c>
      <c r="H186" s="8" t="s">
        <v>545</v>
      </c>
    </row>
    <row r="187" customFormat="false" ht="17.15" hidden="false" customHeight="false" outlineLevel="0" collapsed="false">
      <c r="A187" s="0" t="s">
        <v>546</v>
      </c>
      <c r="B187" s="0" t="s">
        <v>144</v>
      </c>
      <c r="D187" s="20" t="n">
        <f aca="false">a26_p/D186</f>
        <v>0.395595</v>
      </c>
    </row>
    <row r="188" customFormat="false" ht="17.15" hidden="false" customHeight="false" outlineLevel="0" collapsed="false">
      <c r="A188" s="0" t="s">
        <v>547</v>
      </c>
      <c r="B188" s="0" t="s">
        <v>87</v>
      </c>
      <c r="D188" s="9" t="n">
        <f aca="false">1</f>
        <v>1</v>
      </c>
      <c r="E188" s="9" t="n">
        <f aca="false">cl_27</f>
        <v>0.632</v>
      </c>
      <c r="F188" s="9" t="n">
        <f aca="false">cl_28</f>
        <v>0.5925</v>
      </c>
      <c r="G188" s="9" t="n">
        <f aca="false">cl_29</f>
        <v>0.553</v>
      </c>
    </row>
    <row r="189" customFormat="false" ht="17.15" hidden="false" customHeight="false" outlineLevel="0" collapsed="false">
      <c r="A189" s="0" t="s">
        <v>548</v>
      </c>
      <c r="B189" s="0" t="s">
        <v>30</v>
      </c>
      <c r="C189" s="15" t="n">
        <f aca="false">a25_p</f>
        <v>0.852525</v>
      </c>
      <c r="D189" s="15" t="n">
        <f aca="false">a26_p</f>
        <v>1.503261</v>
      </c>
      <c r="E189" s="15" t="n">
        <f aca="false">E186*$D$187*E188</f>
        <v>1.481345037</v>
      </c>
      <c r="F189" s="15" t="n">
        <f aca="false">F186*$D$187*F188</f>
        <v>1.5528339984375</v>
      </c>
      <c r="G189" s="15" t="n">
        <f aca="false">G186*$D$187*G188</f>
        <v>1.6489339138125</v>
      </c>
    </row>
    <row r="190" customFormat="false" ht="17.15" hidden="false" customHeight="false" outlineLevel="0" collapsed="false">
      <c r="A190" s="1" t="s">
        <v>549</v>
      </c>
    </row>
    <row r="191" customFormat="false" ht="15" hidden="false" customHeight="false" outlineLevel="0" collapsed="false">
      <c r="A191" s="5" t="s">
        <v>454</v>
      </c>
      <c r="B191" s="0" t="s">
        <v>30</v>
      </c>
      <c r="C191" s="15" t="n">
        <f aca="false">a25_rev</f>
        <v>0.852525</v>
      </c>
      <c r="D191" s="15" t="n">
        <f aca="false">D183+D189</f>
        <v>1.883261</v>
      </c>
      <c r="E191" s="15" t="n">
        <f aca="false">E183+E189</f>
        <v>2.92647096292593</v>
      </c>
      <c r="F191" s="15" t="n">
        <f aca="false">F183+F189</f>
        <v>3.50721622065972</v>
      </c>
      <c r="G191" s="15" t="n">
        <f aca="false">G183+G189</f>
        <v>3.99863435825694</v>
      </c>
    </row>
    <row r="192" customFormat="false" ht="15" hidden="false" customHeight="false" outlineLevel="0" collapsed="false">
      <c r="A192" s="5" t="s">
        <v>550</v>
      </c>
      <c r="B192" s="0" t="s">
        <v>144</v>
      </c>
      <c r="D192" s="16" t="n">
        <f aca="false">D191/C191-1</f>
        <v>1.20903903111346</v>
      </c>
      <c r="E192" s="16" t="n">
        <f aca="false">E191/D191-1</f>
        <v>0.553938069617502</v>
      </c>
      <c r="F192" s="16" t="n">
        <f aca="false">F191/E191-1</f>
        <v>0.198445590300052</v>
      </c>
      <c r="G192" s="16" t="n">
        <f aca="false">G191/F191-1</f>
        <v>0.140116293572794</v>
      </c>
    </row>
    <row r="193" customFormat="false" ht="17.15" hidden="false" customHeight="false" outlineLevel="0" collapsed="false">
      <c r="A193" s="0" t="s">
        <v>477</v>
      </c>
      <c r="B193" s="0" t="s">
        <v>144</v>
      </c>
      <c r="C193" s="16" t="n">
        <f aca="false">C183/C191</f>
        <v>0</v>
      </c>
      <c r="D193" s="16" t="n">
        <f aca="false">D183/D191</f>
        <v>0.201777661195129</v>
      </c>
      <c r="E193" s="16" t="n">
        <f aca="false">E183/E191</f>
        <v>0.493811810960553</v>
      </c>
      <c r="F193" s="16" t="n">
        <f aca="false">F183/F191</f>
        <v>0.557246003457008</v>
      </c>
      <c r="G193" s="16" t="n">
        <f aca="false">G183/G191</f>
        <v>0.587625732668568</v>
      </c>
    </row>
    <row r="194" customFormat="false" ht="17.15" hidden="false" customHeight="false" outlineLevel="0" collapsed="false">
      <c r="A194" s="1" t="s">
        <v>551</v>
      </c>
    </row>
    <row r="195" customFormat="false" ht="17.15" hidden="false" customHeight="false" outlineLevel="0" collapsed="false">
      <c r="A195" s="5" t="s">
        <v>459</v>
      </c>
      <c r="B195" s="0" t="s">
        <v>144</v>
      </c>
      <c r="C195" s="16" t="n">
        <f aca="false">a25_gp/a25_rev</f>
        <v>0.758199466291311</v>
      </c>
      <c r="D195" s="16" t="n">
        <f aca="false">a26_gp/a26_rev</f>
        <v>0.729127030188593</v>
      </c>
      <c r="E195" s="16" t="n">
        <f aca="false">gm_27</f>
        <v>0.7</v>
      </c>
      <c r="F195" s="16" t="n">
        <f aca="false">gm_28</f>
        <v>0.695</v>
      </c>
      <c r="G195" s="16" t="n">
        <f aca="false">gm_29</f>
        <v>0.69</v>
      </c>
      <c r="H195" s="8" t="s">
        <v>552</v>
      </c>
    </row>
    <row r="196" customFormat="false" ht="15" hidden="false" customHeight="false" outlineLevel="0" collapsed="false">
      <c r="A196" s="5" t="s">
        <v>553</v>
      </c>
      <c r="B196" s="0" t="s">
        <v>30</v>
      </c>
      <c r="C196" s="15" t="n">
        <f aca="false">C191*C195</f>
        <v>0.646384</v>
      </c>
      <c r="D196" s="15" t="n">
        <f aca="false">D191*D195</f>
        <v>1.3731365</v>
      </c>
      <c r="E196" s="15" t="n">
        <f aca="false">E191*E195</f>
        <v>2.04852967404815</v>
      </c>
      <c r="F196" s="15" t="n">
        <f aca="false">F191*F195</f>
        <v>2.43751527335851</v>
      </c>
      <c r="G196" s="15" t="n">
        <f aca="false">G191*G195</f>
        <v>2.75905770719729</v>
      </c>
    </row>
    <row r="197" customFormat="false" ht="15" hidden="false" customHeight="false" outlineLevel="0" collapsed="false">
      <c r="A197" s="5" t="s">
        <v>554</v>
      </c>
      <c r="B197" s="0" t="s">
        <v>30</v>
      </c>
      <c r="C197" s="15" t="n">
        <f aca="false">a25_opx</f>
        <v>0.311978</v>
      </c>
      <c r="D197" s="15" t="n">
        <f aca="false">a26_opx</f>
        <v>0.585698</v>
      </c>
      <c r="E197" s="15" t="n">
        <f aca="false">D197*(1+MAX(0,phi*E192))</f>
        <v>0.821136344142223</v>
      </c>
      <c r="F197" s="15" t="n">
        <f aca="false">E197*(1+MAX(0,phi*F192))</f>
        <v>0.939385750182395</v>
      </c>
      <c r="G197" s="15" t="n">
        <f aca="false">F197*(1+MAX(0,phi*G192))</f>
        <v>1.03490146913225</v>
      </c>
    </row>
    <row r="198" customFormat="false" ht="15" hidden="false" customHeight="false" outlineLevel="0" collapsed="false">
      <c r="A198" s="5" t="s">
        <v>555</v>
      </c>
      <c r="B198" s="0" t="s">
        <v>30</v>
      </c>
      <c r="C198" s="15" t="n">
        <f aca="false">C197</f>
        <v>0.311978</v>
      </c>
      <c r="D198" s="15" t="n">
        <f aca="false">D197</f>
        <v>0.585698</v>
      </c>
      <c r="E198" s="15" t="n">
        <f aca="false">E197+0*E191</f>
        <v>0.821136344142223</v>
      </c>
      <c r="F198" s="15" t="n">
        <f aca="false">F197+0*F191</f>
        <v>0.939385750182395</v>
      </c>
      <c r="G198" s="15" t="n">
        <f aca="false">G197+0*G191</f>
        <v>1.03490146913225</v>
      </c>
    </row>
    <row r="199" customFormat="false" ht="15" hidden="false" customHeight="false" outlineLevel="0" collapsed="false">
      <c r="A199" s="5" t="s">
        <v>556</v>
      </c>
      <c r="B199" s="0" t="s">
        <v>30</v>
      </c>
      <c r="C199" s="15" t="n">
        <f aca="false">C196-C198</f>
        <v>0.334406</v>
      </c>
      <c r="D199" s="15" t="n">
        <f aca="false">D196-D198</f>
        <v>0.7874385</v>
      </c>
      <c r="E199" s="15" t="n">
        <f aca="false">E196-E198</f>
        <v>1.22739332990593</v>
      </c>
      <c r="F199" s="15" t="n">
        <f aca="false">F196-F198</f>
        <v>1.49812952317611</v>
      </c>
      <c r="G199" s="15" t="n">
        <f aca="false">G196-G198</f>
        <v>1.72415623806504</v>
      </c>
    </row>
    <row r="200" customFormat="false" ht="15" hidden="false" customHeight="false" outlineLevel="0" collapsed="false">
      <c r="A200" s="5" t="s">
        <v>526</v>
      </c>
      <c r="B200" s="0" t="s">
        <v>144</v>
      </c>
      <c r="C200" s="16" t="n">
        <f aca="false">C199/C191</f>
        <v>0.392253599601185</v>
      </c>
      <c r="D200" s="16" t="n">
        <f aca="false">D199/D191</f>
        <v>0.41812499701316</v>
      </c>
      <c r="E200" s="16" t="n">
        <f aca="false">E199/E191</f>
        <v>0.419410732399258</v>
      </c>
      <c r="F200" s="16" t="n">
        <f aca="false">F199/F191</f>
        <v>0.427156305434259</v>
      </c>
      <c r="G200" s="16" t="n">
        <f aca="false">G199/G191</f>
        <v>0.43118627100894</v>
      </c>
    </row>
    <row r="201" customFormat="false" ht="15" hidden="false" customHeight="false" outlineLevel="0" collapsed="false">
      <c r="A201" s="5" t="s">
        <v>463</v>
      </c>
      <c r="B201" s="0" t="s">
        <v>30</v>
      </c>
      <c r="C201" s="15" t="n">
        <f aca="false">a25_ninc</f>
        <v>0.04473</v>
      </c>
      <c r="D201" s="15" t="n">
        <f aca="false">a26_ninc</f>
        <v>0.048658</v>
      </c>
      <c r="E201" s="15" t="n">
        <f aca="false">oth_f</f>
        <v>0.05</v>
      </c>
      <c r="F201" s="15" t="n">
        <f aca="false">oth_f</f>
        <v>0.05</v>
      </c>
      <c r="G201" s="15" t="n">
        <f aca="false">oth_f</f>
        <v>0.05</v>
      </c>
    </row>
    <row r="202" customFormat="false" ht="17.15" hidden="false" customHeight="false" outlineLevel="0" collapsed="false">
      <c r="A202" s="5" t="s">
        <v>468</v>
      </c>
      <c r="B202" s="0" t="s">
        <v>144</v>
      </c>
      <c r="C202" s="16" t="n">
        <f aca="false">a25_tx</f>
        <v>0.126922792876435</v>
      </c>
      <c r="D202" s="16" t="n">
        <f aca="false">a26_tx</f>
        <v>0.117979802570636</v>
      </c>
      <c r="E202" s="16" t="n">
        <f aca="false">tx_27</f>
        <v>0.12</v>
      </c>
      <c r="F202" s="16" t="n">
        <f aca="false">tx_28</f>
        <v>0.12</v>
      </c>
      <c r="G202" s="16" t="n">
        <f aca="false">tx_29</f>
        <v>0.12</v>
      </c>
      <c r="H202" s="5" t="s">
        <v>557</v>
      </c>
    </row>
    <row r="203" customFormat="false" ht="15" hidden="false" customHeight="false" outlineLevel="0" collapsed="false">
      <c r="A203" s="5" t="s">
        <v>527</v>
      </c>
      <c r="B203" s="0" t="s">
        <v>30</v>
      </c>
      <c r="C203" s="15" t="n">
        <f aca="false">a25_ni</f>
        <v>0.331015</v>
      </c>
      <c r="D203" s="15" t="n">
        <f aca="false">a26_ni</f>
        <v>0.737454</v>
      </c>
      <c r="E203" s="15" t="n">
        <f aca="false">(E199+E201)*(1-E202)</f>
        <v>1.12410613031721</v>
      </c>
      <c r="F203" s="15" t="n">
        <f aca="false">(F199+F201)*(1-F202)</f>
        <v>1.36235398039498</v>
      </c>
      <c r="G203" s="15" t="n">
        <f aca="false">(G199+G201)*(1-G202)</f>
        <v>1.56125748949723</v>
      </c>
    </row>
    <row r="204" customFormat="false" ht="15" hidden="false" customHeight="false" outlineLevel="0" collapsed="false">
      <c r="A204" s="5" t="s">
        <v>470</v>
      </c>
      <c r="B204" s="0" t="s">
        <v>144</v>
      </c>
      <c r="C204" s="16" t="n">
        <f aca="false">C203/C191</f>
        <v>0.388276003636257</v>
      </c>
      <c r="D204" s="16" t="n">
        <f aca="false">D203/D191</f>
        <v>0.391583535155244</v>
      </c>
      <c r="E204" s="16" t="n">
        <f aca="false">E203/E191</f>
        <v>0.384116618465716</v>
      </c>
      <c r="F204" s="16" t="n">
        <f aca="false">F203/F191</f>
        <v>0.38844311119738</v>
      </c>
      <c r="G204" s="16" t="n">
        <f aca="false">G203/G191</f>
        <v>0.39044767528527</v>
      </c>
    </row>
    <row r="205" customFormat="false" ht="15" hidden="false" customHeight="false" outlineLevel="0" collapsed="false">
      <c r="A205" s="5" t="s">
        <v>558</v>
      </c>
      <c r="B205" s="5" t="s">
        <v>179</v>
      </c>
      <c r="C205" s="24" t="n">
        <f aca="false">a25_sh</f>
        <v>0.179551</v>
      </c>
      <c r="D205" s="24" t="n">
        <f aca="false">a26_sh</f>
        <v>0.18399925</v>
      </c>
      <c r="E205" s="24" t="n">
        <f aca="false">D205*(1+sh_g)</f>
        <v>0.18675923875</v>
      </c>
      <c r="F205" s="24" t="n">
        <f aca="false">E205*(1+sh_g)</f>
        <v>0.18956062733125</v>
      </c>
      <c r="G205" s="24" t="n">
        <f aca="false">F205*(1+sh_g)</f>
        <v>0.192404036741219</v>
      </c>
    </row>
    <row r="206" customFormat="false" ht="17.15" hidden="false" customHeight="false" outlineLevel="0" collapsed="false">
      <c r="A206" s="0" t="s">
        <v>473</v>
      </c>
      <c r="B206" s="0" t="s">
        <v>206</v>
      </c>
      <c r="C206" s="9" t="n">
        <f aca="false">C203/C205</f>
        <v>1.8435709074302</v>
      </c>
      <c r="D206" s="9" t="n">
        <f aca="false">D203/D205</f>
        <v>4.00791851053741</v>
      </c>
      <c r="E206" s="9" t="n">
        <f aca="false">E203/E205</f>
        <v>6.01901216689991</v>
      </c>
      <c r="F206" s="9" t="n">
        <f aca="false">F203/F205</f>
        <v>7.18690373404556</v>
      </c>
      <c r="G206" s="9" t="n">
        <f aca="false">G203/G205</f>
        <v>8.11447366666796</v>
      </c>
    </row>
    <row r="207" customFormat="false" ht="17.15" hidden="false" customHeight="false" outlineLevel="0" collapsed="false">
      <c r="A207" s="0" t="s">
        <v>559</v>
      </c>
      <c r="B207" s="0" t="s">
        <v>144</v>
      </c>
      <c r="D207" s="16" t="n">
        <f aca="false">D206/C206-1</f>
        <v>1.17399748194342</v>
      </c>
      <c r="E207" s="16" t="n">
        <f aca="false">E206/D206-1</f>
        <v>0.501780076385046</v>
      </c>
      <c r="F207" s="16" t="n">
        <f aca="false">F206/E206-1</f>
        <v>0.194033760816797</v>
      </c>
      <c r="G207" s="16" t="n">
        <f aca="false">G206/F206-1</f>
        <v>0.129063914996989</v>
      </c>
    </row>
    <row r="210" customFormat="false" ht="17.15" hidden="false" customHeight="false" outlineLevel="0" collapsed="false">
      <c r="A210" s="3" t="s">
        <v>846</v>
      </c>
    </row>
    <row r="211" customFormat="false" ht="17.15" hidden="false" customHeight="false" outlineLevel="0" collapsed="false">
      <c r="A211" s="6" t="s">
        <v>19</v>
      </c>
      <c r="B211" s="6" t="s">
        <v>20</v>
      </c>
      <c r="C211" s="14" t="s">
        <v>447</v>
      </c>
      <c r="D211" s="14" t="s">
        <v>489</v>
      </c>
      <c r="E211" s="14" t="s">
        <v>490</v>
      </c>
      <c r="F211" s="14" t="s">
        <v>491</v>
      </c>
      <c r="G211" s="14" t="s">
        <v>492</v>
      </c>
      <c r="H211" s="6" t="s">
        <v>453</v>
      </c>
    </row>
    <row r="212" customFormat="false" ht="17.15" hidden="false" customHeight="false" outlineLevel="0" collapsed="false">
      <c r="A212" s="1" t="s">
        <v>536</v>
      </c>
    </row>
    <row r="213" customFormat="false" ht="17.15" hidden="false" customHeight="false" outlineLevel="0" collapsed="false">
      <c r="A213" s="5" t="s">
        <v>537</v>
      </c>
      <c r="B213" s="0" t="s">
        <v>30</v>
      </c>
      <c r="D213" s="18" t="n">
        <f aca="false">msx_26</f>
        <v>2.025</v>
      </c>
      <c r="E213" s="18" t="n">
        <f aca="false">msx_27</f>
        <v>7.701</v>
      </c>
      <c r="F213" s="18" t="n">
        <f aca="false">msx_28*um28_A</f>
        <v>9.468</v>
      </c>
      <c r="G213" s="18" t="n">
        <f aca="false">msx_29*um29_A</f>
        <v>10.8882</v>
      </c>
      <c r="H213" s="8" t="s">
        <v>538</v>
      </c>
    </row>
    <row r="214" customFormat="false" ht="17.15" hidden="false" customHeight="false" outlineLevel="0" collapsed="false">
      <c r="A214" s="0" t="s">
        <v>539</v>
      </c>
      <c r="B214" s="0" t="s">
        <v>144</v>
      </c>
      <c r="D214" s="20" t="n">
        <f aca="false">a26_x/D213</f>
        <v>0.187654320987654</v>
      </c>
      <c r="H214" s="8" t="s">
        <v>31</v>
      </c>
    </row>
    <row r="215" customFormat="false" ht="17.15" hidden="false" customHeight="false" outlineLevel="0" collapsed="false">
      <c r="A215" s="0" t="s">
        <v>540</v>
      </c>
      <c r="B215" s="0" t="s">
        <v>87</v>
      </c>
      <c r="D215" s="9" t="n">
        <f aca="false">1</f>
        <v>1</v>
      </c>
      <c r="E215" s="9" t="n">
        <f aca="false">rel_x_27</f>
        <v>1</v>
      </c>
      <c r="F215" s="9" t="n">
        <f aca="false">rel_x_28</f>
        <v>1.1</v>
      </c>
      <c r="G215" s="9" t="n">
        <f aca="false">rel_x_29</f>
        <v>1.15</v>
      </c>
    </row>
    <row r="216" customFormat="false" ht="17.15" hidden="false" customHeight="false" outlineLevel="0" collapsed="false">
      <c r="A216" s="0" t="s">
        <v>541</v>
      </c>
      <c r="B216" s="0" t="s">
        <v>144</v>
      </c>
      <c r="D216" s="20" t="n">
        <f aca="false">$D$214*D215</f>
        <v>0.187654320987654</v>
      </c>
      <c r="E216" s="20" t="n">
        <f aca="false">$D$214*E215</f>
        <v>0.187654320987654</v>
      </c>
      <c r="F216" s="20" t="n">
        <f aca="false">$D$214*F215</f>
        <v>0.20641975308642</v>
      </c>
      <c r="G216" s="20" t="n">
        <f aca="false">$D$214*G215</f>
        <v>0.215802469135802</v>
      </c>
    </row>
    <row r="217" customFormat="false" ht="17.15" hidden="false" customHeight="false" outlineLevel="0" collapsed="false">
      <c r="A217" s="0" t="s">
        <v>475</v>
      </c>
      <c r="B217" s="0" t="s">
        <v>30</v>
      </c>
      <c r="C217" s="15" t="n">
        <f aca="false">a25_x</f>
        <v>0</v>
      </c>
      <c r="D217" s="15" t="n">
        <f aca="false">a26_x</f>
        <v>0.38</v>
      </c>
      <c r="E217" s="15" t="n">
        <f aca="false">E213*E216</f>
        <v>1.44512592592593</v>
      </c>
      <c r="F217" s="15" t="n">
        <f aca="false">F213*F216</f>
        <v>1.95438222222222</v>
      </c>
      <c r="G217" s="15" t="n">
        <f aca="false">G213*G216</f>
        <v>2.34970044444444</v>
      </c>
    </row>
    <row r="218" customFormat="false" ht="17.15" hidden="false" customHeight="false" outlineLevel="0" collapsed="false">
      <c r="A218" s="1" t="s">
        <v>542</v>
      </c>
    </row>
    <row r="219" customFormat="false" ht="17.15" hidden="false" customHeight="false" outlineLevel="0" collapsed="false">
      <c r="A219" s="0" t="s">
        <v>543</v>
      </c>
      <c r="B219" s="5" t="s">
        <v>53</v>
      </c>
      <c r="D219" s="18" t="n">
        <f aca="false">u_26</f>
        <v>15.2</v>
      </c>
      <c r="E219" s="18" t="n">
        <f aca="false">u_27</f>
        <v>23.7</v>
      </c>
      <c r="F219" s="18" t="n">
        <f aca="false">u_28*um28_A</f>
        <v>26.5</v>
      </c>
      <c r="G219" s="18" t="n">
        <f aca="false">u_29*um29_A</f>
        <v>30.15</v>
      </c>
    </row>
    <row r="220" customFormat="false" ht="17.15" hidden="false" customHeight="false" outlineLevel="0" collapsed="false">
      <c r="A220" s="0" t="s">
        <v>544</v>
      </c>
      <c r="B220" s="0" t="s">
        <v>30</v>
      </c>
      <c r="D220" s="18" t="n">
        <f aca="false">D219*c_pcie/1000</f>
        <v>3.8</v>
      </c>
      <c r="E220" s="18" t="n">
        <f aca="false">E219*c_pcie/1000</f>
        <v>5.925</v>
      </c>
      <c r="F220" s="18" t="n">
        <f aca="false">F219*c_pcie/1000</f>
        <v>6.625</v>
      </c>
      <c r="G220" s="18" t="n">
        <f aca="false">G219*c_pcie/1000</f>
        <v>7.5375</v>
      </c>
      <c r="H220" s="8" t="s">
        <v>545</v>
      </c>
    </row>
    <row r="221" customFormat="false" ht="17.15" hidden="false" customHeight="false" outlineLevel="0" collapsed="false">
      <c r="A221" s="0" t="s">
        <v>546</v>
      </c>
      <c r="B221" s="0" t="s">
        <v>144</v>
      </c>
      <c r="D221" s="20" t="n">
        <f aca="false">a26_p/D220</f>
        <v>0.395595</v>
      </c>
    </row>
    <row r="222" customFormat="false" ht="17.15" hidden="false" customHeight="false" outlineLevel="0" collapsed="false">
      <c r="A222" s="0" t="s">
        <v>547</v>
      </c>
      <c r="B222" s="0" t="s">
        <v>87</v>
      </c>
      <c r="D222" s="9" t="n">
        <f aca="false">1</f>
        <v>1</v>
      </c>
      <c r="E222" s="9" t="n">
        <f aca="false">rel_p_27</f>
        <v>0.8</v>
      </c>
      <c r="F222" s="9" t="n">
        <f aca="false">rel_p_28</f>
        <v>0.75</v>
      </c>
      <c r="G222" s="9" t="n">
        <f aca="false">rel_p_29</f>
        <v>0.7</v>
      </c>
    </row>
    <row r="223" customFormat="false" ht="17.15" hidden="false" customHeight="false" outlineLevel="0" collapsed="false">
      <c r="A223" s="0" t="s">
        <v>548</v>
      </c>
      <c r="B223" s="0" t="s">
        <v>30</v>
      </c>
      <c r="C223" s="15" t="n">
        <f aca="false">a25_p</f>
        <v>0.852525</v>
      </c>
      <c r="D223" s="15" t="n">
        <f aca="false">a26_p</f>
        <v>1.503261</v>
      </c>
      <c r="E223" s="15" t="n">
        <f aca="false">E220*$D$221*E222</f>
        <v>1.8751203</v>
      </c>
      <c r="F223" s="15" t="n">
        <f aca="false">F220*$D$221*F222</f>
        <v>1.96561265625</v>
      </c>
      <c r="G223" s="15" t="n">
        <f aca="false">G220*$D$221*G222</f>
        <v>2.08725811875</v>
      </c>
    </row>
    <row r="224" customFormat="false" ht="17.15" hidden="false" customHeight="false" outlineLevel="0" collapsed="false">
      <c r="A224" s="1" t="s">
        <v>549</v>
      </c>
    </row>
    <row r="225" customFormat="false" ht="15" hidden="false" customHeight="false" outlineLevel="0" collapsed="false">
      <c r="A225" s="5" t="s">
        <v>454</v>
      </c>
      <c r="B225" s="0" t="s">
        <v>30</v>
      </c>
      <c r="C225" s="15" t="n">
        <f aca="false">a25_rev</f>
        <v>0.852525</v>
      </c>
      <c r="D225" s="15" t="n">
        <f aca="false">D217+D223</f>
        <v>1.883261</v>
      </c>
      <c r="E225" s="15" t="n">
        <f aca="false">E217+E223</f>
        <v>3.32024622592593</v>
      </c>
      <c r="F225" s="15" t="n">
        <f aca="false">F217+F223</f>
        <v>3.91999487847222</v>
      </c>
      <c r="G225" s="15" t="n">
        <f aca="false">G217+G223</f>
        <v>4.43695856319445</v>
      </c>
    </row>
    <row r="226" customFormat="false" ht="15" hidden="false" customHeight="false" outlineLevel="0" collapsed="false">
      <c r="A226" s="5" t="s">
        <v>550</v>
      </c>
      <c r="B226" s="0" t="s">
        <v>144</v>
      </c>
      <c r="D226" s="16" t="n">
        <f aca="false">D225/C225-1</f>
        <v>1.20903903111346</v>
      </c>
      <c r="E226" s="16" t="n">
        <f aca="false">E225/D225-1</f>
        <v>0.763030310682336</v>
      </c>
      <c r="F226" s="16" t="n">
        <f aca="false">F225/E225-1</f>
        <v>0.180633787898981</v>
      </c>
      <c r="G226" s="16" t="n">
        <f aca="false">G225/F225-1</f>
        <v>0.131878663301648</v>
      </c>
    </row>
    <row r="227" customFormat="false" ht="17.15" hidden="false" customHeight="false" outlineLevel="0" collapsed="false">
      <c r="A227" s="0" t="s">
        <v>477</v>
      </c>
      <c r="B227" s="0" t="s">
        <v>144</v>
      </c>
      <c r="C227" s="16" t="n">
        <f aca="false">C217/C225</f>
        <v>0</v>
      </c>
      <c r="D227" s="16" t="n">
        <f aca="false">D217/D225</f>
        <v>0.201777661195129</v>
      </c>
      <c r="E227" s="16" t="n">
        <f aca="false">E217/E225</f>
        <v>0.435246613531778</v>
      </c>
      <c r="F227" s="16" t="n">
        <f aca="false">F217/F225</f>
        <v>0.49856754480861</v>
      </c>
      <c r="G227" s="16" t="n">
        <f aca="false">G217/G225</f>
        <v>0.529574574785469</v>
      </c>
    </row>
    <row r="228" customFormat="false" ht="17.15" hidden="false" customHeight="false" outlineLevel="0" collapsed="false">
      <c r="A228" s="1" t="s">
        <v>551</v>
      </c>
    </row>
    <row r="229" customFormat="false" ht="17.15" hidden="false" customHeight="false" outlineLevel="0" collapsed="false">
      <c r="A229" s="5" t="s">
        <v>459</v>
      </c>
      <c r="B229" s="0" t="s">
        <v>144</v>
      </c>
      <c r="C229" s="16" t="n">
        <f aca="false">a25_gp/a25_rev</f>
        <v>0.758199466291311</v>
      </c>
      <c r="D229" s="16" t="n">
        <f aca="false">a26_gp/a26_rev</f>
        <v>0.729127030188593</v>
      </c>
      <c r="E229" s="16" t="n">
        <f aca="false">GMLO_27</f>
        <v>0.66</v>
      </c>
      <c r="F229" s="16" t="n">
        <f aca="false">GMLO_28</f>
        <v>0.65</v>
      </c>
      <c r="G229" s="16" t="n">
        <f aca="false">GMLO_29</f>
        <v>0.64</v>
      </c>
      <c r="H229" s="8" t="s">
        <v>552</v>
      </c>
    </row>
    <row r="230" customFormat="false" ht="15" hidden="false" customHeight="false" outlineLevel="0" collapsed="false">
      <c r="A230" s="5" t="s">
        <v>553</v>
      </c>
      <c r="B230" s="0" t="s">
        <v>30</v>
      </c>
      <c r="C230" s="15" t="n">
        <f aca="false">C225*C229</f>
        <v>0.646384</v>
      </c>
      <c r="D230" s="15" t="n">
        <f aca="false">D225*D229</f>
        <v>1.3731365</v>
      </c>
      <c r="E230" s="15" t="n">
        <f aca="false">E225*E229</f>
        <v>2.19136250911111</v>
      </c>
      <c r="F230" s="15" t="n">
        <f aca="false">F225*F229</f>
        <v>2.54799667100695</v>
      </c>
      <c r="G230" s="15" t="n">
        <f aca="false">G225*G229</f>
        <v>2.83965348044444</v>
      </c>
    </row>
    <row r="231" customFormat="false" ht="15" hidden="false" customHeight="false" outlineLevel="0" collapsed="false">
      <c r="A231" s="5" t="s">
        <v>554</v>
      </c>
      <c r="B231" s="0" t="s">
        <v>30</v>
      </c>
      <c r="C231" s="15" t="n">
        <f aca="false">a25_opx</f>
        <v>0.311978</v>
      </c>
      <c r="D231" s="15" t="n">
        <f aca="false">a26_opx</f>
        <v>0.585698</v>
      </c>
      <c r="E231" s="15" t="n">
        <f aca="false">D231*(1+MAX(0,phi*E226))</f>
        <v>0.910006081951151</v>
      </c>
      <c r="F231" s="15" t="n">
        <f aca="false">E231*(1+MAX(0,phi*F226))</f>
        <v>1.02929099669786</v>
      </c>
      <c r="G231" s="15" t="n">
        <f aca="false">F231*(1+MAX(0,phi*G226))</f>
        <v>1.12779524267376</v>
      </c>
    </row>
    <row r="232" customFormat="false" ht="15" hidden="false" customHeight="false" outlineLevel="0" collapsed="false">
      <c r="A232" s="5" t="s">
        <v>555</v>
      </c>
      <c r="B232" s="0" t="s">
        <v>30</v>
      </c>
      <c r="C232" s="15" t="n">
        <f aca="false">C231</f>
        <v>0.311978</v>
      </c>
      <c r="D232" s="15" t="n">
        <f aca="false">D231</f>
        <v>0.585698</v>
      </c>
      <c r="E232" s="15" t="n">
        <f aca="false">E231+0*E225</f>
        <v>0.910006081951151</v>
      </c>
      <c r="F232" s="15" t="n">
        <f aca="false">F231+0*F225</f>
        <v>1.02929099669786</v>
      </c>
      <c r="G232" s="15" t="n">
        <f aca="false">G231+0*G225</f>
        <v>1.12779524267376</v>
      </c>
    </row>
    <row r="233" customFormat="false" ht="15" hidden="false" customHeight="false" outlineLevel="0" collapsed="false">
      <c r="A233" s="5" t="s">
        <v>556</v>
      </c>
      <c r="B233" s="0" t="s">
        <v>30</v>
      </c>
      <c r="C233" s="15" t="n">
        <f aca="false">C230-C232</f>
        <v>0.334406</v>
      </c>
      <c r="D233" s="15" t="n">
        <f aca="false">D230-D232</f>
        <v>0.7874385</v>
      </c>
      <c r="E233" s="15" t="n">
        <f aca="false">E230-E232</f>
        <v>1.28135642715996</v>
      </c>
      <c r="F233" s="15" t="n">
        <f aca="false">F230-F232</f>
        <v>1.51870567430908</v>
      </c>
      <c r="G233" s="15" t="n">
        <f aca="false">G230-G232</f>
        <v>1.71185823777069</v>
      </c>
    </row>
    <row r="234" customFormat="false" ht="15" hidden="false" customHeight="false" outlineLevel="0" collapsed="false">
      <c r="A234" s="5" t="s">
        <v>526</v>
      </c>
      <c r="B234" s="0" t="s">
        <v>144</v>
      </c>
      <c r="C234" s="16" t="n">
        <f aca="false">C233/C225</f>
        <v>0.392253599601185</v>
      </c>
      <c r="D234" s="16" t="n">
        <f aca="false">D233/D225</f>
        <v>0.41812499701316</v>
      </c>
      <c r="E234" s="16" t="n">
        <f aca="false">E233/E225</f>
        <v>0.385922109376881</v>
      </c>
      <c r="F234" s="16" t="n">
        <f aca="false">F233/F225</f>
        <v>0.38742542309162</v>
      </c>
      <c r="G234" s="16" t="n">
        <f aca="false">G233/G225</f>
        <v>0.385817945646582</v>
      </c>
    </row>
    <row r="235" customFormat="false" ht="15" hidden="false" customHeight="false" outlineLevel="0" collapsed="false">
      <c r="A235" s="5" t="s">
        <v>463</v>
      </c>
      <c r="B235" s="0" t="s">
        <v>30</v>
      </c>
      <c r="C235" s="15" t="n">
        <f aca="false">a25_ninc</f>
        <v>0.04473</v>
      </c>
      <c r="D235" s="15" t="n">
        <f aca="false">a26_ninc</f>
        <v>0.048658</v>
      </c>
      <c r="E235" s="15" t="n">
        <f aca="false">oth_f</f>
        <v>0.05</v>
      </c>
      <c r="F235" s="15" t="n">
        <f aca="false">oth_f</f>
        <v>0.05</v>
      </c>
      <c r="G235" s="15" t="n">
        <f aca="false">oth_f</f>
        <v>0.05</v>
      </c>
    </row>
    <row r="236" customFormat="false" ht="17.15" hidden="false" customHeight="false" outlineLevel="0" collapsed="false">
      <c r="A236" s="5" t="s">
        <v>468</v>
      </c>
      <c r="B236" s="0" t="s">
        <v>144</v>
      </c>
      <c r="C236" s="16" t="n">
        <f aca="false">a25_tx</f>
        <v>0.126922792876435</v>
      </c>
      <c r="D236" s="16" t="n">
        <f aca="false">a26_tx</f>
        <v>0.117979802570636</v>
      </c>
      <c r="E236" s="16" t="n">
        <f aca="false">tx_27</f>
        <v>0.12</v>
      </c>
      <c r="F236" s="16" t="n">
        <f aca="false">tx_28</f>
        <v>0.12</v>
      </c>
      <c r="G236" s="16" t="n">
        <f aca="false">tx_29</f>
        <v>0.12</v>
      </c>
      <c r="H236" s="5" t="s">
        <v>557</v>
      </c>
    </row>
    <row r="237" customFormat="false" ht="15" hidden="false" customHeight="false" outlineLevel="0" collapsed="false">
      <c r="A237" s="5" t="s">
        <v>527</v>
      </c>
      <c r="B237" s="0" t="s">
        <v>30</v>
      </c>
      <c r="C237" s="15" t="n">
        <f aca="false">a25_ni</f>
        <v>0.331015</v>
      </c>
      <c r="D237" s="15" t="n">
        <f aca="false">a26_ni</f>
        <v>0.737454</v>
      </c>
      <c r="E237" s="15" t="n">
        <f aca="false">(E233+E235)*(1-E236)</f>
        <v>1.17159365590077</v>
      </c>
      <c r="F237" s="15" t="n">
        <f aca="false">(F233+F235)*(1-F236)</f>
        <v>1.38046099339199</v>
      </c>
      <c r="G237" s="15" t="n">
        <f aca="false">(G233+G235)*(1-G236)</f>
        <v>1.55043524923821</v>
      </c>
    </row>
    <row r="238" customFormat="false" ht="15" hidden="false" customHeight="false" outlineLevel="0" collapsed="false">
      <c r="A238" s="5" t="s">
        <v>470</v>
      </c>
      <c r="B238" s="0" t="s">
        <v>144</v>
      </c>
      <c r="C238" s="16" t="n">
        <f aca="false">C237/C225</f>
        <v>0.388276003636257</v>
      </c>
      <c r="D238" s="16" t="n">
        <f aca="false">D237/D225</f>
        <v>0.391583535155244</v>
      </c>
      <c r="E238" s="16" t="n">
        <f aca="false">E237/E225</f>
        <v>0.352863485470581</v>
      </c>
      <c r="F238" s="16" t="n">
        <f aca="false">F237/F225</f>
        <v>0.352158876781496</v>
      </c>
      <c r="G238" s="16" t="n">
        <f aca="false">G237/G225</f>
        <v>0.349436495102616</v>
      </c>
    </row>
    <row r="239" customFormat="false" ht="15" hidden="false" customHeight="false" outlineLevel="0" collapsed="false">
      <c r="A239" s="5" t="s">
        <v>558</v>
      </c>
      <c r="B239" s="5" t="s">
        <v>179</v>
      </c>
      <c r="C239" s="24" t="n">
        <f aca="false">a25_sh</f>
        <v>0.179551</v>
      </c>
      <c r="D239" s="24" t="n">
        <f aca="false">a26_sh</f>
        <v>0.18399925</v>
      </c>
      <c r="E239" s="24" t="n">
        <f aca="false">D239*(1+sh_g)</f>
        <v>0.18675923875</v>
      </c>
      <c r="F239" s="24" t="n">
        <f aca="false">E239*(1+sh_g)</f>
        <v>0.18956062733125</v>
      </c>
      <c r="G239" s="24" t="n">
        <f aca="false">F239*(1+sh_g)</f>
        <v>0.192404036741219</v>
      </c>
    </row>
    <row r="240" customFormat="false" ht="17.15" hidden="false" customHeight="false" outlineLevel="0" collapsed="false">
      <c r="A240" s="0" t="s">
        <v>473</v>
      </c>
      <c r="B240" s="0" t="s">
        <v>206</v>
      </c>
      <c r="C240" s="9" t="n">
        <f aca="false">C237/C239</f>
        <v>1.8435709074302</v>
      </c>
      <c r="D240" s="9" t="n">
        <f aca="false">D237/D239</f>
        <v>4.00791851053741</v>
      </c>
      <c r="E240" s="9" t="n">
        <f aca="false">E237/E239</f>
        <v>6.27328352665373</v>
      </c>
      <c r="F240" s="9" t="n">
        <f aca="false">F237/F239</f>
        <v>7.28242469349762</v>
      </c>
      <c r="G240" s="9" t="n">
        <f aca="false">G237/G239</f>
        <v>8.05822619680025</v>
      </c>
    </row>
    <row r="241" customFormat="false" ht="17.15" hidden="false" customHeight="false" outlineLevel="0" collapsed="false">
      <c r="A241" s="0" t="s">
        <v>559</v>
      </c>
      <c r="B241" s="0" t="s">
        <v>144</v>
      </c>
      <c r="D241" s="16" t="n">
        <f aca="false">D240/C240-1</f>
        <v>1.17399748194342</v>
      </c>
      <c r="E241" s="16" t="n">
        <f aca="false">E240/D240-1</f>
        <v>0.565222324296351</v>
      </c>
      <c r="F241" s="16" t="n">
        <f aca="false">F240/E240-1</f>
        <v>0.160863312260044</v>
      </c>
      <c r="G241" s="16" t="n">
        <f aca="false">G240/F240-1</f>
        <v>0.106530659217847</v>
      </c>
    </row>
    <row r="244" customFormat="false" ht="17.15" hidden="false" customHeight="false" outlineLevel="0" collapsed="false">
      <c r="A244" s="3" t="s">
        <v>847</v>
      </c>
    </row>
    <row r="245" customFormat="false" ht="17.15" hidden="false" customHeight="false" outlineLevel="0" collapsed="false">
      <c r="A245" s="6" t="s">
        <v>19</v>
      </c>
      <c r="B245" s="6" t="s">
        <v>20</v>
      </c>
      <c r="C245" s="14" t="s">
        <v>447</v>
      </c>
      <c r="D245" s="14" t="s">
        <v>489</v>
      </c>
      <c r="E245" s="14" t="s">
        <v>490</v>
      </c>
      <c r="F245" s="14" t="s">
        <v>491</v>
      </c>
      <c r="G245" s="14" t="s">
        <v>492</v>
      </c>
      <c r="H245" s="6" t="s">
        <v>453</v>
      </c>
    </row>
    <row r="246" customFormat="false" ht="17.15" hidden="false" customHeight="false" outlineLevel="0" collapsed="false">
      <c r="A246" s="1" t="s">
        <v>536</v>
      </c>
    </row>
    <row r="247" customFormat="false" ht="17.15" hidden="false" customHeight="false" outlineLevel="0" collapsed="false">
      <c r="A247" s="5" t="s">
        <v>537</v>
      </c>
      <c r="B247" s="0" t="s">
        <v>30</v>
      </c>
      <c r="D247" s="18" t="n">
        <f aca="false">msx_26</f>
        <v>2.025</v>
      </c>
      <c r="E247" s="18" t="n">
        <f aca="false">msx_27</f>
        <v>7.701</v>
      </c>
      <c r="F247" s="18" t="n">
        <f aca="false">msx_28*um28_A</f>
        <v>9.468</v>
      </c>
      <c r="G247" s="18" t="n">
        <f aca="false">msx_29*um29_A</f>
        <v>10.8882</v>
      </c>
      <c r="H247" s="8" t="s">
        <v>538</v>
      </c>
    </row>
    <row r="248" customFormat="false" ht="17.15" hidden="false" customHeight="false" outlineLevel="0" collapsed="false">
      <c r="A248" s="0" t="s">
        <v>539</v>
      </c>
      <c r="B248" s="0" t="s">
        <v>144</v>
      </c>
      <c r="D248" s="20" t="n">
        <f aca="false">a26_x/D247</f>
        <v>0.187654320987654</v>
      </c>
      <c r="H248" s="8" t="s">
        <v>31</v>
      </c>
    </row>
    <row r="249" customFormat="false" ht="17.15" hidden="false" customHeight="false" outlineLevel="0" collapsed="false">
      <c r="A249" s="0" t="s">
        <v>540</v>
      </c>
      <c r="B249" s="0" t="s">
        <v>87</v>
      </c>
      <c r="D249" s="9" t="n">
        <f aca="false">1</f>
        <v>1</v>
      </c>
      <c r="E249" s="9" t="n">
        <f aca="false">rel_x_27</f>
        <v>1</v>
      </c>
      <c r="F249" s="9" t="n">
        <f aca="false">rel_x_28</f>
        <v>1.1</v>
      </c>
      <c r="G249" s="9" t="n">
        <f aca="false">rel_x_29</f>
        <v>1.15</v>
      </c>
    </row>
    <row r="250" customFormat="false" ht="17.15" hidden="false" customHeight="false" outlineLevel="0" collapsed="false">
      <c r="A250" s="0" t="s">
        <v>541</v>
      </c>
      <c r="B250" s="0" t="s">
        <v>144</v>
      </c>
      <c r="D250" s="20" t="n">
        <f aca="false">$D$248*D249</f>
        <v>0.187654320987654</v>
      </c>
      <c r="E250" s="20" t="n">
        <f aca="false">$D$248*E249</f>
        <v>0.187654320987654</v>
      </c>
      <c r="F250" s="20" t="n">
        <f aca="false">$D$248*F249</f>
        <v>0.20641975308642</v>
      </c>
      <c r="G250" s="20" t="n">
        <f aca="false">$D$248*G249</f>
        <v>0.215802469135802</v>
      </c>
    </row>
    <row r="251" customFormat="false" ht="17.15" hidden="false" customHeight="false" outlineLevel="0" collapsed="false">
      <c r="A251" s="0" t="s">
        <v>475</v>
      </c>
      <c r="B251" s="0" t="s">
        <v>30</v>
      </c>
      <c r="C251" s="15" t="n">
        <f aca="false">a25_x</f>
        <v>0</v>
      </c>
      <c r="D251" s="15" t="n">
        <f aca="false">a26_x</f>
        <v>0.38</v>
      </c>
      <c r="E251" s="15" t="n">
        <f aca="false">E247*E250</f>
        <v>1.44512592592593</v>
      </c>
      <c r="F251" s="15" t="n">
        <f aca="false">F247*F250</f>
        <v>1.95438222222222</v>
      </c>
      <c r="G251" s="15" t="n">
        <f aca="false">G247*G250</f>
        <v>2.34970044444444</v>
      </c>
    </row>
    <row r="252" customFormat="false" ht="17.15" hidden="false" customHeight="false" outlineLevel="0" collapsed="false">
      <c r="A252" s="1" t="s">
        <v>542</v>
      </c>
    </row>
    <row r="253" customFormat="false" ht="17.15" hidden="false" customHeight="false" outlineLevel="0" collapsed="false">
      <c r="A253" s="0" t="s">
        <v>543</v>
      </c>
      <c r="B253" s="5" t="s">
        <v>53</v>
      </c>
      <c r="D253" s="18" t="n">
        <f aca="false">u_26</f>
        <v>15.2</v>
      </c>
      <c r="E253" s="18" t="n">
        <f aca="false">u_27</f>
        <v>23.7</v>
      </c>
      <c r="F253" s="18" t="n">
        <f aca="false">u_28*um28_A</f>
        <v>26.5</v>
      </c>
      <c r="G253" s="18" t="n">
        <f aca="false">u_29*um29_A</f>
        <v>30.15</v>
      </c>
    </row>
    <row r="254" customFormat="false" ht="17.15" hidden="false" customHeight="false" outlineLevel="0" collapsed="false">
      <c r="A254" s="0" t="s">
        <v>544</v>
      </c>
      <c r="B254" s="0" t="s">
        <v>30</v>
      </c>
      <c r="D254" s="18" t="n">
        <f aca="false">D253*c_pcie/1000</f>
        <v>3.8</v>
      </c>
      <c r="E254" s="18" t="n">
        <f aca="false">E253*c_pcie/1000</f>
        <v>5.925</v>
      </c>
      <c r="F254" s="18" t="n">
        <f aca="false">F253*c_pcie/1000</f>
        <v>6.625</v>
      </c>
      <c r="G254" s="18" t="n">
        <f aca="false">G253*c_pcie/1000</f>
        <v>7.5375</v>
      </c>
      <c r="H254" s="8" t="s">
        <v>545</v>
      </c>
    </row>
    <row r="255" customFormat="false" ht="17.15" hidden="false" customHeight="false" outlineLevel="0" collapsed="false">
      <c r="A255" s="0" t="s">
        <v>546</v>
      </c>
      <c r="B255" s="0" t="s">
        <v>144</v>
      </c>
      <c r="D255" s="20" t="n">
        <f aca="false">a26_p/D254</f>
        <v>0.395595</v>
      </c>
    </row>
    <row r="256" customFormat="false" ht="17.15" hidden="false" customHeight="false" outlineLevel="0" collapsed="false">
      <c r="A256" s="0" t="s">
        <v>547</v>
      </c>
      <c r="B256" s="0" t="s">
        <v>87</v>
      </c>
      <c r="D256" s="9" t="n">
        <f aca="false">1</f>
        <v>1</v>
      </c>
      <c r="E256" s="9" t="n">
        <f aca="false">rel_p_27</f>
        <v>0.8</v>
      </c>
      <c r="F256" s="9" t="n">
        <f aca="false">rel_p_28</f>
        <v>0.75</v>
      </c>
      <c r="G256" s="9" t="n">
        <f aca="false">rel_p_29</f>
        <v>0.7</v>
      </c>
    </row>
    <row r="257" customFormat="false" ht="17.15" hidden="false" customHeight="false" outlineLevel="0" collapsed="false">
      <c r="A257" s="0" t="s">
        <v>548</v>
      </c>
      <c r="B257" s="0" t="s">
        <v>30</v>
      </c>
      <c r="C257" s="15" t="n">
        <f aca="false">a25_p</f>
        <v>0.852525</v>
      </c>
      <c r="D257" s="15" t="n">
        <f aca="false">a26_p</f>
        <v>1.503261</v>
      </c>
      <c r="E257" s="15" t="n">
        <f aca="false">E254*$D$255*E256</f>
        <v>1.8751203</v>
      </c>
      <c r="F257" s="15" t="n">
        <f aca="false">F254*$D$255*F256</f>
        <v>1.96561265625</v>
      </c>
      <c r="G257" s="15" t="n">
        <f aca="false">G254*$D$255*G256</f>
        <v>2.08725811875</v>
      </c>
    </row>
    <row r="258" customFormat="false" ht="17.15" hidden="false" customHeight="false" outlineLevel="0" collapsed="false">
      <c r="A258" s="1" t="s">
        <v>549</v>
      </c>
    </row>
    <row r="259" customFormat="false" ht="15" hidden="false" customHeight="false" outlineLevel="0" collapsed="false">
      <c r="A259" s="5" t="s">
        <v>454</v>
      </c>
      <c r="B259" s="0" t="s">
        <v>30</v>
      </c>
      <c r="C259" s="15" t="n">
        <f aca="false">a25_rev</f>
        <v>0.852525</v>
      </c>
      <c r="D259" s="15" t="n">
        <f aca="false">D251+D257</f>
        <v>1.883261</v>
      </c>
      <c r="E259" s="15" t="n">
        <f aca="false">E251+E257</f>
        <v>3.32024622592593</v>
      </c>
      <c r="F259" s="15" t="n">
        <f aca="false">F251+F257</f>
        <v>3.91999487847222</v>
      </c>
      <c r="G259" s="15" t="n">
        <f aca="false">G251+G257</f>
        <v>4.43695856319445</v>
      </c>
    </row>
    <row r="260" customFormat="false" ht="15" hidden="false" customHeight="false" outlineLevel="0" collapsed="false">
      <c r="A260" s="5" t="s">
        <v>550</v>
      </c>
      <c r="B260" s="0" t="s">
        <v>144</v>
      </c>
      <c r="D260" s="16" t="n">
        <f aca="false">D259/C259-1</f>
        <v>1.20903903111346</v>
      </c>
      <c r="E260" s="16" t="n">
        <f aca="false">E259/D259-1</f>
        <v>0.763030310682336</v>
      </c>
      <c r="F260" s="16" t="n">
        <f aca="false">F259/E259-1</f>
        <v>0.180633787898981</v>
      </c>
      <c r="G260" s="16" t="n">
        <f aca="false">G259/F259-1</f>
        <v>0.131878663301648</v>
      </c>
    </row>
    <row r="261" customFormat="false" ht="17.15" hidden="false" customHeight="false" outlineLevel="0" collapsed="false">
      <c r="A261" s="0" t="s">
        <v>477</v>
      </c>
      <c r="B261" s="0" t="s">
        <v>144</v>
      </c>
      <c r="C261" s="16" t="n">
        <f aca="false">C251/C259</f>
        <v>0</v>
      </c>
      <c r="D261" s="16" t="n">
        <f aca="false">D251/D259</f>
        <v>0.201777661195129</v>
      </c>
      <c r="E261" s="16" t="n">
        <f aca="false">E251/E259</f>
        <v>0.435246613531778</v>
      </c>
      <c r="F261" s="16" t="n">
        <f aca="false">F251/F259</f>
        <v>0.49856754480861</v>
      </c>
      <c r="G261" s="16" t="n">
        <f aca="false">G251/G259</f>
        <v>0.529574574785469</v>
      </c>
    </row>
    <row r="262" customFormat="false" ht="17.15" hidden="false" customHeight="false" outlineLevel="0" collapsed="false">
      <c r="A262" s="1" t="s">
        <v>551</v>
      </c>
    </row>
    <row r="263" customFormat="false" ht="17.15" hidden="false" customHeight="false" outlineLevel="0" collapsed="false">
      <c r="A263" s="5" t="s">
        <v>459</v>
      </c>
      <c r="B263" s="0" t="s">
        <v>144</v>
      </c>
      <c r="C263" s="16" t="n">
        <f aca="false">a25_gp/a25_rev</f>
        <v>0.758199466291311</v>
      </c>
      <c r="D263" s="16" t="n">
        <f aca="false">a26_gp/a26_rev</f>
        <v>0.729127030188593</v>
      </c>
      <c r="E263" s="16" t="n">
        <f aca="false">GMHI_27</f>
        <v>0.72</v>
      </c>
      <c r="F263" s="16" t="n">
        <f aca="false">GMHI_28</f>
        <v>0.72</v>
      </c>
      <c r="G263" s="16" t="n">
        <f aca="false">GMHI_29</f>
        <v>0.72</v>
      </c>
      <c r="H263" s="8" t="s">
        <v>552</v>
      </c>
    </row>
    <row r="264" customFormat="false" ht="15" hidden="false" customHeight="false" outlineLevel="0" collapsed="false">
      <c r="A264" s="5" t="s">
        <v>553</v>
      </c>
      <c r="B264" s="0" t="s">
        <v>30</v>
      </c>
      <c r="C264" s="15" t="n">
        <f aca="false">C259*C263</f>
        <v>0.646384</v>
      </c>
      <c r="D264" s="15" t="n">
        <f aca="false">D259*D263</f>
        <v>1.3731365</v>
      </c>
      <c r="E264" s="15" t="n">
        <f aca="false">E259*E263</f>
        <v>2.39057728266667</v>
      </c>
      <c r="F264" s="15" t="n">
        <f aca="false">F259*F263</f>
        <v>2.8223963125</v>
      </c>
      <c r="G264" s="15" t="n">
        <f aca="false">G259*G263</f>
        <v>3.1946101655</v>
      </c>
    </row>
    <row r="265" customFormat="false" ht="15" hidden="false" customHeight="false" outlineLevel="0" collapsed="false">
      <c r="A265" s="5" t="s">
        <v>554</v>
      </c>
      <c r="B265" s="0" t="s">
        <v>30</v>
      </c>
      <c r="C265" s="15" t="n">
        <f aca="false">a25_opx</f>
        <v>0.311978</v>
      </c>
      <c r="D265" s="15" t="n">
        <f aca="false">a26_opx</f>
        <v>0.585698</v>
      </c>
      <c r="E265" s="15" t="n">
        <f aca="false">D265*(1+MAX(0,phi*E260))</f>
        <v>0.910006081951151</v>
      </c>
      <c r="F265" s="15" t="n">
        <f aca="false">E265*(1+MAX(0,phi*F260))</f>
        <v>1.02929099669786</v>
      </c>
      <c r="G265" s="15" t="n">
        <f aca="false">F265*(1+MAX(0,phi*G260))</f>
        <v>1.12779524267376</v>
      </c>
    </row>
    <row r="266" customFormat="false" ht="15" hidden="false" customHeight="false" outlineLevel="0" collapsed="false">
      <c r="A266" s="5" t="s">
        <v>555</v>
      </c>
      <c r="B266" s="0" t="s">
        <v>30</v>
      </c>
      <c r="C266" s="15" t="n">
        <f aca="false">C265</f>
        <v>0.311978</v>
      </c>
      <c r="D266" s="15" t="n">
        <f aca="false">D265</f>
        <v>0.585698</v>
      </c>
      <c r="E266" s="15" t="n">
        <f aca="false">E265+0*E259</f>
        <v>0.910006081951151</v>
      </c>
      <c r="F266" s="15" t="n">
        <f aca="false">F265+0*F259</f>
        <v>1.02929099669786</v>
      </c>
      <c r="G266" s="15" t="n">
        <f aca="false">G265+0*G259</f>
        <v>1.12779524267376</v>
      </c>
    </row>
    <row r="267" customFormat="false" ht="15" hidden="false" customHeight="false" outlineLevel="0" collapsed="false">
      <c r="A267" s="5" t="s">
        <v>556</v>
      </c>
      <c r="B267" s="0" t="s">
        <v>30</v>
      </c>
      <c r="C267" s="15" t="n">
        <f aca="false">C264-C266</f>
        <v>0.334406</v>
      </c>
      <c r="D267" s="15" t="n">
        <f aca="false">D264-D266</f>
        <v>0.7874385</v>
      </c>
      <c r="E267" s="15" t="n">
        <f aca="false">E264-E266</f>
        <v>1.48057120071552</v>
      </c>
      <c r="F267" s="15" t="n">
        <f aca="false">F264-F266</f>
        <v>1.79310531580214</v>
      </c>
      <c r="G267" s="15" t="n">
        <f aca="false">G264-G266</f>
        <v>2.06681492282624</v>
      </c>
    </row>
    <row r="268" customFormat="false" ht="15" hidden="false" customHeight="false" outlineLevel="0" collapsed="false">
      <c r="A268" s="5" t="s">
        <v>526</v>
      </c>
      <c r="B268" s="0" t="s">
        <v>144</v>
      </c>
      <c r="C268" s="16" t="n">
        <f aca="false">C267/C259</f>
        <v>0.392253599601185</v>
      </c>
      <c r="D268" s="16" t="n">
        <f aca="false">D267/D259</f>
        <v>0.41812499701316</v>
      </c>
      <c r="E268" s="16" t="n">
        <f aca="false">E267/E259</f>
        <v>0.445922109376881</v>
      </c>
      <c r="F268" s="16" t="n">
        <f aca="false">F267/F259</f>
        <v>0.45742542309162</v>
      </c>
      <c r="G268" s="16" t="n">
        <f aca="false">G267/G259</f>
        <v>0.465817945646581</v>
      </c>
    </row>
    <row r="269" customFormat="false" ht="15" hidden="false" customHeight="false" outlineLevel="0" collapsed="false">
      <c r="A269" s="5" t="s">
        <v>463</v>
      </c>
      <c r="B269" s="0" t="s">
        <v>30</v>
      </c>
      <c r="C269" s="15" t="n">
        <f aca="false">a25_ninc</f>
        <v>0.04473</v>
      </c>
      <c r="D269" s="15" t="n">
        <f aca="false">a26_ninc</f>
        <v>0.048658</v>
      </c>
      <c r="E269" s="15" t="n">
        <f aca="false">oth_f</f>
        <v>0.05</v>
      </c>
      <c r="F269" s="15" t="n">
        <f aca="false">oth_f</f>
        <v>0.05</v>
      </c>
      <c r="G269" s="15" t="n">
        <f aca="false">oth_f</f>
        <v>0.05</v>
      </c>
    </row>
    <row r="270" customFormat="false" ht="17.15" hidden="false" customHeight="false" outlineLevel="0" collapsed="false">
      <c r="A270" s="5" t="s">
        <v>468</v>
      </c>
      <c r="B270" s="0" t="s">
        <v>144</v>
      </c>
      <c r="C270" s="16" t="n">
        <f aca="false">a25_tx</f>
        <v>0.126922792876435</v>
      </c>
      <c r="D270" s="16" t="n">
        <f aca="false">a26_tx</f>
        <v>0.117979802570636</v>
      </c>
      <c r="E270" s="16" t="n">
        <f aca="false">tx_27</f>
        <v>0.12</v>
      </c>
      <c r="F270" s="16" t="n">
        <f aca="false">tx_28</f>
        <v>0.12</v>
      </c>
      <c r="G270" s="16" t="n">
        <f aca="false">tx_29</f>
        <v>0.12</v>
      </c>
      <c r="H270" s="5" t="s">
        <v>557</v>
      </c>
    </row>
    <row r="271" customFormat="false" ht="15" hidden="false" customHeight="false" outlineLevel="0" collapsed="false">
      <c r="A271" s="5" t="s">
        <v>527</v>
      </c>
      <c r="B271" s="0" t="s">
        <v>30</v>
      </c>
      <c r="C271" s="15" t="n">
        <f aca="false">a25_ni</f>
        <v>0.331015</v>
      </c>
      <c r="D271" s="15" t="n">
        <f aca="false">a26_ni</f>
        <v>0.737454</v>
      </c>
      <c r="E271" s="15" t="n">
        <f aca="false">(E267+E269)*(1-E270)</f>
        <v>1.34690265662965</v>
      </c>
      <c r="F271" s="15" t="n">
        <f aca="false">(F267+F269)*(1-F270)</f>
        <v>1.62193267790588</v>
      </c>
      <c r="G271" s="15" t="n">
        <f aca="false">(G267+G269)*(1-G270)</f>
        <v>1.86279713208709</v>
      </c>
    </row>
    <row r="272" customFormat="false" ht="15" hidden="false" customHeight="false" outlineLevel="0" collapsed="false">
      <c r="A272" s="5" t="s">
        <v>470</v>
      </c>
      <c r="B272" s="0" t="s">
        <v>144</v>
      </c>
      <c r="C272" s="16" t="n">
        <f aca="false">C271/C259</f>
        <v>0.388276003636257</v>
      </c>
      <c r="D272" s="16" t="n">
        <f aca="false">D271/D259</f>
        <v>0.391583535155244</v>
      </c>
      <c r="E272" s="16" t="n">
        <f aca="false">E271/E259</f>
        <v>0.405663485470581</v>
      </c>
      <c r="F272" s="16" t="n">
        <f aca="false">F271/F259</f>
        <v>0.413758876781496</v>
      </c>
      <c r="G272" s="16" t="n">
        <f aca="false">G271/G259</f>
        <v>0.419836495102616</v>
      </c>
    </row>
    <row r="273" customFormat="false" ht="15" hidden="false" customHeight="false" outlineLevel="0" collapsed="false">
      <c r="A273" s="5" t="s">
        <v>558</v>
      </c>
      <c r="B273" s="5" t="s">
        <v>179</v>
      </c>
      <c r="C273" s="24" t="n">
        <f aca="false">a25_sh</f>
        <v>0.179551</v>
      </c>
      <c r="D273" s="24" t="n">
        <f aca="false">a26_sh</f>
        <v>0.18399925</v>
      </c>
      <c r="E273" s="24" t="n">
        <f aca="false">D273*(1+sh_g)</f>
        <v>0.18675923875</v>
      </c>
      <c r="F273" s="24" t="n">
        <f aca="false">E273*(1+sh_g)</f>
        <v>0.18956062733125</v>
      </c>
      <c r="G273" s="24" t="n">
        <f aca="false">F273*(1+sh_g)</f>
        <v>0.192404036741219</v>
      </c>
    </row>
    <row r="274" customFormat="false" ht="17.15" hidden="false" customHeight="false" outlineLevel="0" collapsed="false">
      <c r="A274" s="0" t="s">
        <v>473</v>
      </c>
      <c r="B274" s="0" t="s">
        <v>206</v>
      </c>
      <c r="C274" s="9" t="n">
        <f aca="false">C271/C273</f>
        <v>1.8435709074302</v>
      </c>
      <c r="D274" s="9" t="n">
        <f aca="false">D271/D273</f>
        <v>4.00791851053741</v>
      </c>
      <c r="E274" s="9" t="n">
        <f aca="false">E271/E273</f>
        <v>7.21197337087376</v>
      </c>
      <c r="F274" s="9" t="n">
        <f aca="false">F271/F273</f>
        <v>8.55627405722612</v>
      </c>
      <c r="G274" s="9" t="n">
        <f aca="false">G271/G273</f>
        <v>9.6816946444452</v>
      </c>
    </row>
    <row r="275" customFormat="false" ht="17.15" hidden="false" customHeight="false" outlineLevel="0" collapsed="false">
      <c r="A275" s="0" t="s">
        <v>559</v>
      </c>
      <c r="B275" s="0" t="s">
        <v>144</v>
      </c>
      <c r="D275" s="16" t="n">
        <f aca="false">D274/C274-1</f>
        <v>1.17399748194342</v>
      </c>
      <c r="E275" s="16" t="n">
        <f aca="false">E274/D274-1</f>
        <v>0.799431139109346</v>
      </c>
      <c r="F275" s="16" t="n">
        <f aca="false">F274/E274-1</f>
        <v>0.186398453962885</v>
      </c>
      <c r="G275" s="16" t="n">
        <f aca="false">G274/F274-1</f>
        <v>0.131531619919141</v>
      </c>
    </row>
    <row r="278" customFormat="false" ht="17.15" hidden="false" customHeight="false" outlineLevel="0" collapsed="false">
      <c r="A278" s="3" t="s">
        <v>848</v>
      </c>
    </row>
    <row r="279" customFormat="false" ht="17.15" hidden="false" customHeight="false" outlineLevel="0" collapsed="false">
      <c r="A279" s="6" t="s">
        <v>19</v>
      </c>
      <c r="B279" s="6" t="s">
        <v>20</v>
      </c>
      <c r="C279" s="14" t="s">
        <v>447</v>
      </c>
      <c r="D279" s="14" t="s">
        <v>489</v>
      </c>
      <c r="E279" s="14" t="s">
        <v>490</v>
      </c>
      <c r="F279" s="14" t="s">
        <v>491</v>
      </c>
      <c r="G279" s="14" t="s">
        <v>492</v>
      </c>
      <c r="H279" s="6" t="s">
        <v>453</v>
      </c>
    </row>
    <row r="280" customFormat="false" ht="17.15" hidden="false" customHeight="false" outlineLevel="0" collapsed="false">
      <c r="A280" s="1" t="s">
        <v>536</v>
      </c>
    </row>
    <row r="281" customFormat="false" ht="17.15" hidden="false" customHeight="false" outlineLevel="0" collapsed="false">
      <c r="A281" s="5" t="s">
        <v>537</v>
      </c>
      <c r="B281" s="0" t="s">
        <v>30</v>
      </c>
      <c r="D281" s="18" t="n">
        <f aca="false">msx_26</f>
        <v>2.025</v>
      </c>
      <c r="E281" s="18" t="n">
        <f aca="false">msx_27</f>
        <v>7.701</v>
      </c>
      <c r="F281" s="18" t="n">
        <f aca="false">msx_28*um28_A</f>
        <v>9.468</v>
      </c>
      <c r="G281" s="18" t="n">
        <f aca="false">msx_29*um29_A</f>
        <v>10.8882</v>
      </c>
      <c r="H281" s="8" t="s">
        <v>538</v>
      </c>
    </row>
    <row r="282" customFormat="false" ht="17.15" hidden="false" customHeight="false" outlineLevel="0" collapsed="false">
      <c r="A282" s="0" t="s">
        <v>539</v>
      </c>
      <c r="B282" s="0" t="s">
        <v>144</v>
      </c>
      <c r="D282" s="20" t="n">
        <f aca="false">a26_x/D281</f>
        <v>0.187654320987654</v>
      </c>
      <c r="H282" s="8" t="s">
        <v>31</v>
      </c>
    </row>
    <row r="283" customFormat="false" ht="17.15" hidden="false" customHeight="false" outlineLevel="0" collapsed="false">
      <c r="A283" s="0" t="s">
        <v>540</v>
      </c>
      <c r="B283" s="0" t="s">
        <v>87</v>
      </c>
      <c r="D283" s="9" t="n">
        <f aca="false">1</f>
        <v>1</v>
      </c>
      <c r="E283" s="9" t="n">
        <f aca="false">rel_x_27</f>
        <v>1</v>
      </c>
      <c r="F283" s="9" t="n">
        <f aca="false">rel_x_28</f>
        <v>1.1</v>
      </c>
      <c r="G283" s="9" t="n">
        <f aca="false">rel_x_29</f>
        <v>1.15</v>
      </c>
    </row>
    <row r="284" customFormat="false" ht="17.15" hidden="false" customHeight="false" outlineLevel="0" collapsed="false">
      <c r="A284" s="0" t="s">
        <v>541</v>
      </c>
      <c r="B284" s="0" t="s">
        <v>144</v>
      </c>
      <c r="D284" s="20" t="n">
        <f aca="false">$D$282*D283</f>
        <v>0.187654320987654</v>
      </c>
      <c r="E284" s="20" t="n">
        <f aca="false">$D$282*E283</f>
        <v>0.187654320987654</v>
      </c>
      <c r="F284" s="20" t="n">
        <f aca="false">$D$282*F283</f>
        <v>0.20641975308642</v>
      </c>
      <c r="G284" s="20" t="n">
        <f aca="false">$D$282*G283</f>
        <v>0.215802469135802</v>
      </c>
    </row>
    <row r="285" customFormat="false" ht="17.15" hidden="false" customHeight="false" outlineLevel="0" collapsed="false">
      <c r="A285" s="0" t="s">
        <v>475</v>
      </c>
      <c r="B285" s="0" t="s">
        <v>30</v>
      </c>
      <c r="C285" s="15" t="n">
        <f aca="false">a25_x</f>
        <v>0</v>
      </c>
      <c r="D285" s="15" t="n">
        <f aca="false">a26_x</f>
        <v>0.38</v>
      </c>
      <c r="E285" s="15" t="n">
        <f aca="false">E281*E284</f>
        <v>1.44512592592593</v>
      </c>
      <c r="F285" s="15" t="n">
        <f aca="false">F281*F284</f>
        <v>1.95438222222222</v>
      </c>
      <c r="G285" s="15" t="n">
        <f aca="false">G281*G284</f>
        <v>2.34970044444444</v>
      </c>
    </row>
    <row r="286" customFormat="false" ht="17.15" hidden="false" customHeight="false" outlineLevel="0" collapsed="false">
      <c r="A286" s="1" t="s">
        <v>542</v>
      </c>
    </row>
    <row r="287" customFormat="false" ht="17.15" hidden="false" customHeight="false" outlineLevel="0" collapsed="false">
      <c r="A287" s="0" t="s">
        <v>543</v>
      </c>
      <c r="B287" s="5" t="s">
        <v>53</v>
      </c>
      <c r="D287" s="18" t="n">
        <f aca="false">u_26</f>
        <v>15.2</v>
      </c>
      <c r="E287" s="18" t="n">
        <f aca="false">u_27</f>
        <v>23.7</v>
      </c>
      <c r="F287" s="18" t="n">
        <f aca="false">u_28*um28_A</f>
        <v>26.5</v>
      </c>
      <c r="G287" s="18" t="n">
        <f aca="false">u_29*um29_A</f>
        <v>30.15</v>
      </c>
    </row>
    <row r="288" customFormat="false" ht="17.15" hidden="false" customHeight="false" outlineLevel="0" collapsed="false">
      <c r="A288" s="0" t="s">
        <v>544</v>
      </c>
      <c r="B288" s="0" t="s">
        <v>30</v>
      </c>
      <c r="D288" s="18" t="n">
        <f aca="false">D287*c_pcie/1000</f>
        <v>3.8</v>
      </c>
      <c r="E288" s="18" t="n">
        <f aca="false">E287*c_pcie/1000</f>
        <v>5.925</v>
      </c>
      <c r="F288" s="18" t="n">
        <f aca="false">F287*c_pcie/1000</f>
        <v>6.625</v>
      </c>
      <c r="G288" s="18" t="n">
        <f aca="false">G287*c_pcie/1000</f>
        <v>7.5375</v>
      </c>
      <c r="H288" s="8" t="s">
        <v>545</v>
      </c>
    </row>
    <row r="289" customFormat="false" ht="17.15" hidden="false" customHeight="false" outlineLevel="0" collapsed="false">
      <c r="A289" s="0" t="s">
        <v>546</v>
      </c>
      <c r="B289" s="0" t="s">
        <v>144</v>
      </c>
      <c r="D289" s="20" t="n">
        <f aca="false">a26_p/D288</f>
        <v>0.395595</v>
      </c>
    </row>
    <row r="290" customFormat="false" ht="17.15" hidden="false" customHeight="false" outlineLevel="0" collapsed="false">
      <c r="A290" s="0" t="s">
        <v>547</v>
      </c>
      <c r="B290" s="0" t="s">
        <v>87</v>
      </c>
      <c r="D290" s="9" t="n">
        <f aca="false">1</f>
        <v>1</v>
      </c>
      <c r="E290" s="9" t="n">
        <f aca="false">rel_p_27</f>
        <v>0.8</v>
      </c>
      <c r="F290" s="9" t="n">
        <f aca="false">rel_p_28</f>
        <v>0.75</v>
      </c>
      <c r="G290" s="9" t="n">
        <f aca="false">rel_p_29</f>
        <v>0.7</v>
      </c>
    </row>
    <row r="291" customFormat="false" ht="17.15" hidden="false" customHeight="false" outlineLevel="0" collapsed="false">
      <c r="A291" s="0" t="s">
        <v>548</v>
      </c>
      <c r="B291" s="0" t="s">
        <v>30</v>
      </c>
      <c r="C291" s="15" t="n">
        <f aca="false">a25_p</f>
        <v>0.852525</v>
      </c>
      <c r="D291" s="15" t="n">
        <f aca="false">a26_p</f>
        <v>1.503261</v>
      </c>
      <c r="E291" s="15" t="n">
        <f aca="false">E288*$D$289*E290</f>
        <v>1.8751203</v>
      </c>
      <c r="F291" s="15" t="n">
        <f aca="false">F288*$D$289*F290</f>
        <v>1.96561265625</v>
      </c>
      <c r="G291" s="15" t="n">
        <f aca="false">G288*$D$289*G290</f>
        <v>2.08725811875</v>
      </c>
    </row>
    <row r="292" customFormat="false" ht="17.15" hidden="false" customHeight="false" outlineLevel="0" collapsed="false">
      <c r="A292" s="1" t="s">
        <v>549</v>
      </c>
    </row>
    <row r="293" customFormat="false" ht="15" hidden="false" customHeight="false" outlineLevel="0" collapsed="false">
      <c r="A293" s="5" t="s">
        <v>454</v>
      </c>
      <c r="B293" s="0" t="s">
        <v>30</v>
      </c>
      <c r="C293" s="15" t="n">
        <f aca="false">a25_rev</f>
        <v>0.852525</v>
      </c>
      <c r="D293" s="15" t="n">
        <f aca="false">D285+D291</f>
        <v>1.883261</v>
      </c>
      <c r="E293" s="15" t="n">
        <f aca="false">E285+E291</f>
        <v>3.32024622592593</v>
      </c>
      <c r="F293" s="15" t="n">
        <f aca="false">F285+F291</f>
        <v>3.91999487847222</v>
      </c>
      <c r="G293" s="15" t="n">
        <f aca="false">G285+G291</f>
        <v>4.43695856319445</v>
      </c>
    </row>
    <row r="294" customFormat="false" ht="15" hidden="false" customHeight="false" outlineLevel="0" collapsed="false">
      <c r="A294" s="5" t="s">
        <v>550</v>
      </c>
      <c r="B294" s="0" t="s">
        <v>144</v>
      </c>
      <c r="D294" s="16" t="n">
        <f aca="false">D293/C293-1</f>
        <v>1.20903903111346</v>
      </c>
      <c r="E294" s="16" t="n">
        <f aca="false">E293/D293-1</f>
        <v>0.763030310682336</v>
      </c>
      <c r="F294" s="16" t="n">
        <f aca="false">F293/E293-1</f>
        <v>0.180633787898981</v>
      </c>
      <c r="G294" s="16" t="n">
        <f aca="false">G293/F293-1</f>
        <v>0.131878663301648</v>
      </c>
    </row>
    <row r="295" customFormat="false" ht="17.15" hidden="false" customHeight="false" outlineLevel="0" collapsed="false">
      <c r="A295" s="0" t="s">
        <v>477</v>
      </c>
      <c r="B295" s="0" t="s">
        <v>144</v>
      </c>
      <c r="C295" s="16" t="n">
        <f aca="false">C285/C293</f>
        <v>0</v>
      </c>
      <c r="D295" s="16" t="n">
        <f aca="false">D285/D293</f>
        <v>0.201777661195129</v>
      </c>
      <c r="E295" s="16" t="n">
        <f aca="false">E285/E293</f>
        <v>0.435246613531778</v>
      </c>
      <c r="F295" s="16" t="n">
        <f aca="false">F285/F293</f>
        <v>0.49856754480861</v>
      </c>
      <c r="G295" s="16" t="n">
        <f aca="false">G285/G293</f>
        <v>0.529574574785469</v>
      </c>
    </row>
    <row r="296" customFormat="false" ht="17.15" hidden="false" customHeight="false" outlineLevel="0" collapsed="false">
      <c r="A296" s="1" t="s">
        <v>551</v>
      </c>
    </row>
    <row r="297" customFormat="false" ht="17.15" hidden="false" customHeight="false" outlineLevel="0" collapsed="false">
      <c r="A297" s="5" t="s">
        <v>459</v>
      </c>
      <c r="B297" s="0" t="s">
        <v>144</v>
      </c>
      <c r="C297" s="16" t="n">
        <f aca="false">a25_gp/a25_rev</f>
        <v>0.758199466291311</v>
      </c>
      <c r="D297" s="16" t="n">
        <f aca="false">a26_gp/a26_rev</f>
        <v>0.729127030188593</v>
      </c>
      <c r="E297" s="16" t="n">
        <f aca="false">gm_27</f>
        <v>0.7</v>
      </c>
      <c r="F297" s="16" t="n">
        <f aca="false">gm_28</f>
        <v>0.695</v>
      </c>
      <c r="G297" s="16" t="n">
        <f aca="false">gm_29</f>
        <v>0.69</v>
      </c>
      <c r="H297" s="8" t="s">
        <v>552</v>
      </c>
    </row>
    <row r="298" customFormat="false" ht="15" hidden="false" customHeight="false" outlineLevel="0" collapsed="false">
      <c r="A298" s="5" t="s">
        <v>553</v>
      </c>
      <c r="B298" s="0" t="s">
        <v>30</v>
      </c>
      <c r="C298" s="15" t="n">
        <f aca="false">C293*C297</f>
        <v>0.646384</v>
      </c>
      <c r="D298" s="15" t="n">
        <f aca="false">D293*D297</f>
        <v>1.3731365</v>
      </c>
      <c r="E298" s="15" t="n">
        <f aca="false">E293*E297</f>
        <v>2.32417235814815</v>
      </c>
      <c r="F298" s="15" t="n">
        <f aca="false">F293*F297</f>
        <v>2.7243964405382</v>
      </c>
      <c r="G298" s="15" t="n">
        <f aca="false">G293*G297</f>
        <v>3.06150140860417</v>
      </c>
    </row>
    <row r="299" customFormat="false" ht="15" hidden="false" customHeight="false" outlineLevel="0" collapsed="false">
      <c r="A299" s="5" t="s">
        <v>554</v>
      </c>
      <c r="B299" s="0" t="s">
        <v>30</v>
      </c>
      <c r="C299" s="15" t="n">
        <f aca="false">a25_opx</f>
        <v>0.311978</v>
      </c>
      <c r="D299" s="15" t="n">
        <f aca="false">a26_opx</f>
        <v>0.585698</v>
      </c>
      <c r="E299" s="15" t="n">
        <f aca="false">D299*(1+MAX(0,phi*E294))</f>
        <v>0.910006081951151</v>
      </c>
      <c r="F299" s="15" t="n">
        <f aca="false">E299*(1+MAX(0,phi*F294))</f>
        <v>1.02929099669786</v>
      </c>
      <c r="G299" s="15" t="n">
        <f aca="false">F299*(1+MAX(0,phi*G294))</f>
        <v>1.12779524267376</v>
      </c>
    </row>
    <row r="300" customFormat="false" ht="15" hidden="false" customHeight="false" outlineLevel="0" collapsed="false">
      <c r="A300" s="5" t="s">
        <v>555</v>
      </c>
      <c r="B300" s="0" t="s">
        <v>30</v>
      </c>
      <c r="C300" s="15" t="n">
        <f aca="false">C299</f>
        <v>0.311978</v>
      </c>
      <c r="D300" s="15" t="n">
        <f aca="false">D299</f>
        <v>0.585698</v>
      </c>
      <c r="E300" s="15" t="n">
        <f aca="false">E299+0*E293</f>
        <v>0.910006081951151</v>
      </c>
      <c r="F300" s="15" t="n">
        <f aca="false">F299+0*F293</f>
        <v>1.02929099669786</v>
      </c>
      <c r="G300" s="15" t="n">
        <f aca="false">G299+0*G293</f>
        <v>1.12779524267376</v>
      </c>
    </row>
    <row r="301" customFormat="false" ht="15" hidden="false" customHeight="false" outlineLevel="0" collapsed="false">
      <c r="A301" s="5" t="s">
        <v>556</v>
      </c>
      <c r="B301" s="0" t="s">
        <v>30</v>
      </c>
      <c r="C301" s="15" t="n">
        <f aca="false">C298-C300</f>
        <v>0.334406</v>
      </c>
      <c r="D301" s="15" t="n">
        <f aca="false">D298-D300</f>
        <v>0.7874385</v>
      </c>
      <c r="E301" s="15" t="n">
        <f aca="false">E298-E300</f>
        <v>1.414166276197</v>
      </c>
      <c r="F301" s="15" t="n">
        <f aca="false">F298-F300</f>
        <v>1.69510544384033</v>
      </c>
      <c r="G301" s="15" t="n">
        <f aca="false">G298-G300</f>
        <v>1.93370616593041</v>
      </c>
    </row>
    <row r="302" customFormat="false" ht="15" hidden="false" customHeight="false" outlineLevel="0" collapsed="false">
      <c r="A302" s="5" t="s">
        <v>526</v>
      </c>
      <c r="B302" s="0" t="s">
        <v>144</v>
      </c>
      <c r="C302" s="16" t="n">
        <f aca="false">C301/C293</f>
        <v>0.392253599601185</v>
      </c>
      <c r="D302" s="16" t="n">
        <f aca="false">D301/D293</f>
        <v>0.41812499701316</v>
      </c>
      <c r="E302" s="16" t="n">
        <f aca="false">E301/E293</f>
        <v>0.425922109376881</v>
      </c>
      <c r="F302" s="16" t="n">
        <f aca="false">F301/F293</f>
        <v>0.43242542309162</v>
      </c>
      <c r="G302" s="16" t="n">
        <f aca="false">G301/G293</f>
        <v>0.435817945646582</v>
      </c>
    </row>
    <row r="303" customFormat="false" ht="15" hidden="false" customHeight="false" outlineLevel="0" collapsed="false">
      <c r="A303" s="5" t="s">
        <v>463</v>
      </c>
      <c r="B303" s="0" t="s">
        <v>30</v>
      </c>
      <c r="C303" s="15" t="n">
        <f aca="false">a25_ninc</f>
        <v>0.04473</v>
      </c>
      <c r="D303" s="15" t="n">
        <f aca="false">a26_ninc</f>
        <v>0.048658</v>
      </c>
      <c r="E303" s="15" t="n">
        <f aca="false">oth_f</f>
        <v>0.05</v>
      </c>
      <c r="F303" s="15" t="n">
        <f aca="false">oth_f</f>
        <v>0.05</v>
      </c>
      <c r="G303" s="15" t="n">
        <f aca="false">oth_f</f>
        <v>0.05</v>
      </c>
    </row>
    <row r="304" customFormat="false" ht="17.15" hidden="false" customHeight="false" outlineLevel="0" collapsed="false">
      <c r="A304" s="5" t="s">
        <v>468</v>
      </c>
      <c r="B304" s="0" t="s">
        <v>144</v>
      </c>
      <c r="C304" s="16" t="n">
        <f aca="false">a25_tx</f>
        <v>0.126922792876435</v>
      </c>
      <c r="D304" s="16" t="n">
        <f aca="false">a26_tx</f>
        <v>0.117979802570636</v>
      </c>
      <c r="E304" s="16" t="n">
        <f aca="false">TXHI_27</f>
        <v>0.15</v>
      </c>
      <c r="F304" s="16" t="n">
        <f aca="false">TXHI_28</f>
        <v>0.15</v>
      </c>
      <c r="G304" s="16" t="n">
        <f aca="false">TXHI_29</f>
        <v>0.15</v>
      </c>
      <c r="H304" s="5" t="s">
        <v>557</v>
      </c>
    </row>
    <row r="305" customFormat="false" ht="15" hidden="false" customHeight="false" outlineLevel="0" collapsed="false">
      <c r="A305" s="5" t="s">
        <v>527</v>
      </c>
      <c r="B305" s="0" t="s">
        <v>30</v>
      </c>
      <c r="C305" s="15" t="n">
        <f aca="false">a25_ni</f>
        <v>0.331015</v>
      </c>
      <c r="D305" s="15" t="n">
        <f aca="false">a26_ni</f>
        <v>0.737454</v>
      </c>
      <c r="E305" s="15" t="n">
        <f aca="false">(E301+E303)*(1-E304)</f>
        <v>1.24454133476745</v>
      </c>
      <c r="F305" s="15" t="n">
        <f aca="false">(F301+F303)*(1-F304)</f>
        <v>1.48333962726428</v>
      </c>
      <c r="G305" s="15" t="n">
        <f aca="false">(G301+G303)*(1-G304)</f>
        <v>1.68615024104085</v>
      </c>
    </row>
    <row r="306" customFormat="false" ht="15" hidden="false" customHeight="false" outlineLevel="0" collapsed="false">
      <c r="A306" s="5" t="s">
        <v>470</v>
      </c>
      <c r="B306" s="0" t="s">
        <v>144</v>
      </c>
      <c r="C306" s="16" t="n">
        <f aca="false">C305/C293</f>
        <v>0.388276003636257</v>
      </c>
      <c r="D306" s="16" t="n">
        <f aca="false">D305/D293</f>
        <v>0.391583535155244</v>
      </c>
      <c r="E306" s="16" t="n">
        <f aca="false">E305/E293</f>
        <v>0.374834048465902</v>
      </c>
      <c r="F306" s="16" t="n">
        <f aca="false">F305/F293</f>
        <v>0.378403460527581</v>
      </c>
      <c r="G306" s="16" t="n">
        <f aca="false">G305/G293</f>
        <v>0.380023887315027</v>
      </c>
    </row>
    <row r="307" customFormat="false" ht="15" hidden="false" customHeight="false" outlineLevel="0" collapsed="false">
      <c r="A307" s="5" t="s">
        <v>558</v>
      </c>
      <c r="B307" s="5" t="s">
        <v>179</v>
      </c>
      <c r="C307" s="24" t="n">
        <f aca="false">a25_sh</f>
        <v>0.179551</v>
      </c>
      <c r="D307" s="24" t="n">
        <f aca="false">a26_sh</f>
        <v>0.18399925</v>
      </c>
      <c r="E307" s="24" t="n">
        <f aca="false">D307*(1+sh_g)</f>
        <v>0.18675923875</v>
      </c>
      <c r="F307" s="24" t="n">
        <f aca="false">E307*(1+sh_g)</f>
        <v>0.18956062733125</v>
      </c>
      <c r="G307" s="24" t="n">
        <f aca="false">F307*(1+sh_g)</f>
        <v>0.192404036741219</v>
      </c>
    </row>
    <row r="308" customFormat="false" ht="17.15" hidden="false" customHeight="false" outlineLevel="0" collapsed="false">
      <c r="A308" s="0" t="s">
        <v>473</v>
      </c>
      <c r="B308" s="0" t="s">
        <v>206</v>
      </c>
      <c r="C308" s="9" t="n">
        <f aca="false">C305/C307</f>
        <v>1.8435709074302</v>
      </c>
      <c r="D308" s="9" t="n">
        <f aca="false">D305/D307</f>
        <v>4.00791851053741</v>
      </c>
      <c r="E308" s="9" t="n">
        <f aca="false">E305/E307</f>
        <v>6.66388095762919</v>
      </c>
      <c r="F308" s="9" t="n">
        <f aca="false">F305/F307</f>
        <v>7.82514622444357</v>
      </c>
      <c r="G308" s="9" t="n">
        <f aca="false">G305/G307</f>
        <v>8.76359077283136</v>
      </c>
    </row>
    <row r="309" customFormat="false" ht="17.15" hidden="false" customHeight="false" outlineLevel="0" collapsed="false">
      <c r="A309" s="0" t="s">
        <v>559</v>
      </c>
      <c r="B309" s="0" t="s">
        <v>144</v>
      </c>
      <c r="D309" s="16" t="n">
        <f aca="false">D308/C308-1</f>
        <v>1.17399748194342</v>
      </c>
      <c r="E309" s="16" t="n">
        <f aca="false">E308/D308-1</f>
        <v>0.662678754597646</v>
      </c>
      <c r="F309" s="16" t="n">
        <f aca="false">F308/E308-1</f>
        <v>0.174262606759938</v>
      </c>
      <c r="G309" s="16" t="n">
        <f aca="false">G308/F308-1</f>
        <v>0.119926774717174</v>
      </c>
    </row>
    <row r="312" customFormat="false" ht="17.15" hidden="false" customHeight="false" outlineLevel="0" collapsed="false">
      <c r="A312" s="3" t="s">
        <v>849</v>
      </c>
    </row>
    <row r="313" customFormat="false" ht="17.15" hidden="false" customHeight="false" outlineLevel="0" collapsed="false">
      <c r="A313" s="6" t="s">
        <v>19</v>
      </c>
      <c r="B313" s="6" t="s">
        <v>20</v>
      </c>
      <c r="C313" s="14" t="s">
        <v>447</v>
      </c>
      <c r="D313" s="14" t="s">
        <v>489</v>
      </c>
      <c r="E313" s="14" t="s">
        <v>490</v>
      </c>
      <c r="F313" s="14" t="s">
        <v>491</v>
      </c>
      <c r="G313" s="14" t="s">
        <v>492</v>
      </c>
      <c r="H313" s="6" t="s">
        <v>453</v>
      </c>
    </row>
    <row r="314" customFormat="false" ht="17.15" hidden="false" customHeight="false" outlineLevel="0" collapsed="false">
      <c r="A314" s="1" t="s">
        <v>536</v>
      </c>
    </row>
    <row r="315" customFormat="false" ht="17.15" hidden="false" customHeight="false" outlineLevel="0" collapsed="false">
      <c r="A315" s="5" t="s">
        <v>537</v>
      </c>
      <c r="B315" s="0" t="s">
        <v>30</v>
      </c>
      <c r="D315" s="18" t="n">
        <f aca="false">msx_26</f>
        <v>2.025</v>
      </c>
      <c r="E315" s="18" t="n">
        <f aca="false">msx_27</f>
        <v>7.701</v>
      </c>
      <c r="F315" s="18" t="n">
        <f aca="false">msx_28*um28_A</f>
        <v>9.468</v>
      </c>
      <c r="G315" s="18" t="n">
        <f aca="false">msx_29*um29_A</f>
        <v>10.8882</v>
      </c>
      <c r="H315" s="8" t="s">
        <v>538</v>
      </c>
    </row>
    <row r="316" customFormat="false" ht="17.15" hidden="false" customHeight="false" outlineLevel="0" collapsed="false">
      <c r="A316" s="0" t="s">
        <v>539</v>
      </c>
      <c r="B316" s="0" t="s">
        <v>144</v>
      </c>
      <c r="D316" s="20" t="n">
        <f aca="false">a26_x/D315</f>
        <v>0.187654320987654</v>
      </c>
      <c r="H316" s="8" t="s">
        <v>31</v>
      </c>
    </row>
    <row r="317" customFormat="false" ht="17.15" hidden="false" customHeight="false" outlineLevel="0" collapsed="false">
      <c r="A317" s="0" t="s">
        <v>540</v>
      </c>
      <c r="B317" s="0" t="s">
        <v>87</v>
      </c>
      <c r="D317" s="9" t="n">
        <f aca="false">1</f>
        <v>1</v>
      </c>
      <c r="E317" s="9" t="n">
        <f aca="false">rel_x_27</f>
        <v>1</v>
      </c>
      <c r="F317" s="9" t="n">
        <f aca="false">rel_x_28</f>
        <v>1.1</v>
      </c>
      <c r="G317" s="9" t="n">
        <f aca="false">rel_x_29</f>
        <v>1.15</v>
      </c>
    </row>
    <row r="318" customFormat="false" ht="17.15" hidden="false" customHeight="false" outlineLevel="0" collapsed="false">
      <c r="A318" s="0" t="s">
        <v>541</v>
      </c>
      <c r="B318" s="0" t="s">
        <v>144</v>
      </c>
      <c r="D318" s="20" t="n">
        <f aca="false">$D$316*D317</f>
        <v>0.187654320987654</v>
      </c>
      <c r="E318" s="20" t="n">
        <f aca="false">$D$316*E317</f>
        <v>0.187654320987654</v>
      </c>
      <c r="F318" s="20" t="n">
        <f aca="false">$D$316*F317</f>
        <v>0.20641975308642</v>
      </c>
      <c r="G318" s="20" t="n">
        <f aca="false">$D$316*G317</f>
        <v>0.215802469135802</v>
      </c>
    </row>
    <row r="319" customFormat="false" ht="17.15" hidden="false" customHeight="false" outlineLevel="0" collapsed="false">
      <c r="A319" s="0" t="s">
        <v>475</v>
      </c>
      <c r="B319" s="0" t="s">
        <v>30</v>
      </c>
      <c r="C319" s="15" t="n">
        <f aca="false">a25_x</f>
        <v>0</v>
      </c>
      <c r="D319" s="15" t="n">
        <f aca="false">a26_x</f>
        <v>0.38</v>
      </c>
      <c r="E319" s="15" t="n">
        <f aca="false">E315*E318</f>
        <v>1.44512592592593</v>
      </c>
      <c r="F319" s="15" t="n">
        <f aca="false">F315*F318</f>
        <v>1.95438222222222</v>
      </c>
      <c r="G319" s="15" t="n">
        <f aca="false">G315*G318</f>
        <v>2.34970044444444</v>
      </c>
    </row>
    <row r="320" customFormat="false" ht="17.15" hidden="false" customHeight="false" outlineLevel="0" collapsed="false">
      <c r="A320" s="1" t="s">
        <v>542</v>
      </c>
    </row>
    <row r="321" customFormat="false" ht="17.15" hidden="false" customHeight="false" outlineLevel="0" collapsed="false">
      <c r="A321" s="0" t="s">
        <v>543</v>
      </c>
      <c r="B321" s="5" t="s">
        <v>53</v>
      </c>
      <c r="D321" s="18" t="n">
        <f aca="false">u_26</f>
        <v>15.2</v>
      </c>
      <c r="E321" s="18" t="n">
        <f aca="false">u_27</f>
        <v>23.7</v>
      </c>
      <c r="F321" s="18" t="n">
        <f aca="false">u_28*um28_A</f>
        <v>26.5</v>
      </c>
      <c r="G321" s="18" t="n">
        <f aca="false">u_29*um29_A</f>
        <v>30.15</v>
      </c>
    </row>
    <row r="322" customFormat="false" ht="17.15" hidden="false" customHeight="false" outlineLevel="0" collapsed="false">
      <c r="A322" s="0" t="s">
        <v>544</v>
      </c>
      <c r="B322" s="0" t="s">
        <v>30</v>
      </c>
      <c r="D322" s="18" t="n">
        <f aca="false">D321*c_pcie/1000</f>
        <v>3.8</v>
      </c>
      <c r="E322" s="18" t="n">
        <f aca="false">E321*c_pcie/1000</f>
        <v>5.925</v>
      </c>
      <c r="F322" s="18" t="n">
        <f aca="false">F321*c_pcie/1000</f>
        <v>6.625</v>
      </c>
      <c r="G322" s="18" t="n">
        <f aca="false">G321*c_pcie/1000</f>
        <v>7.5375</v>
      </c>
      <c r="H322" s="8" t="s">
        <v>545</v>
      </c>
    </row>
    <row r="323" customFormat="false" ht="17.15" hidden="false" customHeight="false" outlineLevel="0" collapsed="false">
      <c r="A323" s="0" t="s">
        <v>546</v>
      </c>
      <c r="B323" s="0" t="s">
        <v>144</v>
      </c>
      <c r="D323" s="20" t="n">
        <f aca="false">a26_p/D322</f>
        <v>0.395595</v>
      </c>
    </row>
    <row r="324" customFormat="false" ht="17.15" hidden="false" customHeight="false" outlineLevel="0" collapsed="false">
      <c r="A324" s="0" t="s">
        <v>547</v>
      </c>
      <c r="B324" s="0" t="s">
        <v>87</v>
      </c>
      <c r="D324" s="9" t="n">
        <f aca="false">1</f>
        <v>1</v>
      </c>
      <c r="E324" s="9" t="n">
        <f aca="false">rel_p_27</f>
        <v>0.8</v>
      </c>
      <c r="F324" s="9" t="n">
        <f aca="false">rel_p_28</f>
        <v>0.75</v>
      </c>
      <c r="G324" s="9" t="n">
        <f aca="false">rel_p_29</f>
        <v>0.7</v>
      </c>
    </row>
    <row r="325" customFormat="false" ht="17.15" hidden="false" customHeight="false" outlineLevel="0" collapsed="false">
      <c r="A325" s="0" t="s">
        <v>548</v>
      </c>
      <c r="B325" s="0" t="s">
        <v>30</v>
      </c>
      <c r="C325" s="15" t="n">
        <f aca="false">a25_p</f>
        <v>0.852525</v>
      </c>
      <c r="D325" s="15" t="n">
        <f aca="false">a26_p</f>
        <v>1.503261</v>
      </c>
      <c r="E325" s="15" t="n">
        <f aca="false">E322*$D$323*E324</f>
        <v>1.8751203</v>
      </c>
      <c r="F325" s="15" t="n">
        <f aca="false">F322*$D$323*F324</f>
        <v>1.96561265625</v>
      </c>
      <c r="G325" s="15" t="n">
        <f aca="false">G322*$D$323*G324</f>
        <v>2.08725811875</v>
      </c>
    </row>
    <row r="326" customFormat="false" ht="17.15" hidden="false" customHeight="false" outlineLevel="0" collapsed="false">
      <c r="A326" s="1" t="s">
        <v>549</v>
      </c>
    </row>
    <row r="327" customFormat="false" ht="15" hidden="false" customHeight="false" outlineLevel="0" collapsed="false">
      <c r="A327" s="5" t="s">
        <v>454</v>
      </c>
      <c r="B327" s="0" t="s">
        <v>30</v>
      </c>
      <c r="C327" s="15" t="n">
        <f aca="false">a25_rev</f>
        <v>0.852525</v>
      </c>
      <c r="D327" s="15" t="n">
        <f aca="false">D319+D325</f>
        <v>1.883261</v>
      </c>
      <c r="E327" s="15" t="n">
        <f aca="false">E319+E325</f>
        <v>3.32024622592593</v>
      </c>
      <c r="F327" s="15" t="n">
        <f aca="false">F319+F325</f>
        <v>3.91999487847222</v>
      </c>
      <c r="G327" s="15" t="n">
        <f aca="false">G319+G325</f>
        <v>4.43695856319445</v>
      </c>
    </row>
    <row r="328" customFormat="false" ht="15" hidden="false" customHeight="false" outlineLevel="0" collapsed="false">
      <c r="A328" s="5" t="s">
        <v>550</v>
      </c>
      <c r="B328" s="0" t="s">
        <v>144</v>
      </c>
      <c r="D328" s="16" t="n">
        <f aca="false">D327/C327-1</f>
        <v>1.20903903111346</v>
      </c>
      <c r="E328" s="16" t="n">
        <f aca="false">E327/D327-1</f>
        <v>0.763030310682336</v>
      </c>
      <c r="F328" s="16" t="n">
        <f aca="false">F327/E327-1</f>
        <v>0.180633787898981</v>
      </c>
      <c r="G328" s="16" t="n">
        <f aca="false">G327/F327-1</f>
        <v>0.131878663301648</v>
      </c>
    </row>
    <row r="329" customFormat="false" ht="17.15" hidden="false" customHeight="false" outlineLevel="0" collapsed="false">
      <c r="A329" s="0" t="s">
        <v>477</v>
      </c>
      <c r="B329" s="0" t="s">
        <v>144</v>
      </c>
      <c r="C329" s="16" t="n">
        <f aca="false">C319/C327</f>
        <v>0</v>
      </c>
      <c r="D329" s="16" t="n">
        <f aca="false">D319/D327</f>
        <v>0.201777661195129</v>
      </c>
      <c r="E329" s="16" t="n">
        <f aca="false">E319/E327</f>
        <v>0.435246613531778</v>
      </c>
      <c r="F329" s="16" t="n">
        <f aca="false">F319/F327</f>
        <v>0.49856754480861</v>
      </c>
      <c r="G329" s="16" t="n">
        <f aca="false">G319/G327</f>
        <v>0.529574574785469</v>
      </c>
    </row>
    <row r="330" customFormat="false" ht="17.15" hidden="false" customHeight="false" outlineLevel="0" collapsed="false">
      <c r="A330" s="1" t="s">
        <v>551</v>
      </c>
    </row>
    <row r="331" customFormat="false" ht="17.15" hidden="false" customHeight="false" outlineLevel="0" collapsed="false">
      <c r="A331" s="5" t="s">
        <v>459</v>
      </c>
      <c r="B331" s="0" t="s">
        <v>144</v>
      </c>
      <c r="C331" s="16" t="n">
        <f aca="false">a25_gp/a25_rev</f>
        <v>0.758199466291311</v>
      </c>
      <c r="D331" s="16" t="n">
        <f aca="false">a26_gp/a26_rev</f>
        <v>0.729127030188593</v>
      </c>
      <c r="E331" s="16" t="n">
        <f aca="false">gm_27</f>
        <v>0.7</v>
      </c>
      <c r="F331" s="16" t="n">
        <f aca="false">gm_28</f>
        <v>0.695</v>
      </c>
      <c r="G331" s="16" t="n">
        <f aca="false">gm_29</f>
        <v>0.69</v>
      </c>
      <c r="H331" s="8" t="s">
        <v>552</v>
      </c>
    </row>
    <row r="332" customFormat="false" ht="15" hidden="false" customHeight="false" outlineLevel="0" collapsed="false">
      <c r="A332" s="5" t="s">
        <v>553</v>
      </c>
      <c r="B332" s="0" t="s">
        <v>30</v>
      </c>
      <c r="C332" s="15" t="n">
        <f aca="false">C327*C331</f>
        <v>0.646384</v>
      </c>
      <c r="D332" s="15" t="n">
        <f aca="false">D327*D331</f>
        <v>1.3731365</v>
      </c>
      <c r="E332" s="15" t="n">
        <f aca="false">E327*E331</f>
        <v>2.32417235814815</v>
      </c>
      <c r="F332" s="15" t="n">
        <f aca="false">F327*F331</f>
        <v>2.7243964405382</v>
      </c>
      <c r="G332" s="15" t="n">
        <f aca="false">G327*G331</f>
        <v>3.06150140860417</v>
      </c>
    </row>
    <row r="333" customFormat="false" ht="15" hidden="false" customHeight="false" outlineLevel="0" collapsed="false">
      <c r="A333" s="5" t="s">
        <v>554</v>
      </c>
      <c r="B333" s="0" t="s">
        <v>30</v>
      </c>
      <c r="C333" s="15" t="n">
        <f aca="false">a25_opx</f>
        <v>0.311978</v>
      </c>
      <c r="D333" s="15" t="n">
        <f aca="false">a26_opx</f>
        <v>0.585698</v>
      </c>
      <c r="E333" s="15" t="n">
        <f aca="false">D333*(1+MAX(0,phi*E328))</f>
        <v>0.910006081951151</v>
      </c>
      <c r="F333" s="15" t="n">
        <f aca="false">E333*(1+MAX(0,phi*F328))</f>
        <v>1.02929099669786</v>
      </c>
      <c r="G333" s="15" t="n">
        <f aca="false">F333*(1+MAX(0,phi*G328))</f>
        <v>1.12779524267376</v>
      </c>
    </row>
    <row r="334" customFormat="false" ht="15" hidden="false" customHeight="false" outlineLevel="0" collapsed="false">
      <c r="A334" s="5" t="s">
        <v>555</v>
      </c>
      <c r="B334" s="0" t="s">
        <v>30</v>
      </c>
      <c r="C334" s="15" t="n">
        <f aca="false">C333</f>
        <v>0.311978</v>
      </c>
      <c r="D334" s="15" t="n">
        <f aca="false">D333</f>
        <v>0.585698</v>
      </c>
      <c r="E334" s="15" t="n">
        <f aca="false">E333+0*E327</f>
        <v>0.910006081951151</v>
      </c>
      <c r="F334" s="15" t="n">
        <f aca="false">F333+0*F327</f>
        <v>1.02929099669786</v>
      </c>
      <c r="G334" s="15" t="n">
        <f aca="false">G333+0*G327</f>
        <v>1.12779524267376</v>
      </c>
    </row>
    <row r="335" customFormat="false" ht="15" hidden="false" customHeight="false" outlineLevel="0" collapsed="false">
      <c r="A335" s="5" t="s">
        <v>556</v>
      </c>
      <c r="B335" s="0" t="s">
        <v>30</v>
      </c>
      <c r="C335" s="15" t="n">
        <f aca="false">C332-C334</f>
        <v>0.334406</v>
      </c>
      <c r="D335" s="15" t="n">
        <f aca="false">D332-D334</f>
        <v>0.7874385</v>
      </c>
      <c r="E335" s="15" t="n">
        <f aca="false">E332-E334</f>
        <v>1.414166276197</v>
      </c>
      <c r="F335" s="15" t="n">
        <f aca="false">F332-F334</f>
        <v>1.69510544384033</v>
      </c>
      <c r="G335" s="15" t="n">
        <f aca="false">G332-G334</f>
        <v>1.93370616593041</v>
      </c>
    </row>
    <row r="336" customFormat="false" ht="15" hidden="false" customHeight="false" outlineLevel="0" collapsed="false">
      <c r="A336" s="5" t="s">
        <v>526</v>
      </c>
      <c r="B336" s="0" t="s">
        <v>144</v>
      </c>
      <c r="C336" s="16" t="n">
        <f aca="false">C335/C327</f>
        <v>0.392253599601185</v>
      </c>
      <c r="D336" s="16" t="n">
        <f aca="false">D335/D327</f>
        <v>0.41812499701316</v>
      </c>
      <c r="E336" s="16" t="n">
        <f aca="false">E335/E327</f>
        <v>0.425922109376881</v>
      </c>
      <c r="F336" s="16" t="n">
        <f aca="false">F335/F327</f>
        <v>0.43242542309162</v>
      </c>
      <c r="G336" s="16" t="n">
        <f aca="false">G335/G327</f>
        <v>0.435817945646582</v>
      </c>
    </row>
    <row r="337" customFormat="false" ht="15" hidden="false" customHeight="false" outlineLevel="0" collapsed="false">
      <c r="A337" s="5" t="s">
        <v>463</v>
      </c>
      <c r="B337" s="0" t="s">
        <v>30</v>
      </c>
      <c r="C337" s="15" t="n">
        <f aca="false">a25_ninc</f>
        <v>0.04473</v>
      </c>
      <c r="D337" s="15" t="n">
        <f aca="false">a26_ninc</f>
        <v>0.048658</v>
      </c>
      <c r="E337" s="15" t="n">
        <f aca="false">oth_f</f>
        <v>0.05</v>
      </c>
      <c r="F337" s="15" t="n">
        <f aca="false">oth_f</f>
        <v>0.05</v>
      </c>
      <c r="G337" s="15" t="n">
        <f aca="false">oth_f</f>
        <v>0.05</v>
      </c>
    </row>
    <row r="338" customFormat="false" ht="17.15" hidden="false" customHeight="false" outlineLevel="0" collapsed="false">
      <c r="A338" s="5" t="s">
        <v>468</v>
      </c>
      <c r="B338" s="0" t="s">
        <v>144</v>
      </c>
      <c r="C338" s="16" t="n">
        <f aca="false">a25_tx</f>
        <v>0.126922792876435</v>
      </c>
      <c r="D338" s="16" t="n">
        <f aca="false">a26_tx</f>
        <v>0.117979802570636</v>
      </c>
      <c r="E338" s="16" t="n">
        <f aca="false">TXLO_27</f>
        <v>0.1</v>
      </c>
      <c r="F338" s="16" t="n">
        <f aca="false">TXLO_28</f>
        <v>0.1</v>
      </c>
      <c r="G338" s="16" t="n">
        <f aca="false">TXLO_29</f>
        <v>0.1</v>
      </c>
      <c r="H338" s="5" t="s">
        <v>557</v>
      </c>
    </row>
    <row r="339" customFormat="false" ht="15" hidden="false" customHeight="false" outlineLevel="0" collapsed="false">
      <c r="A339" s="5" t="s">
        <v>527</v>
      </c>
      <c r="B339" s="0" t="s">
        <v>30</v>
      </c>
      <c r="C339" s="15" t="n">
        <f aca="false">a25_ni</f>
        <v>0.331015</v>
      </c>
      <c r="D339" s="15" t="n">
        <f aca="false">a26_ni</f>
        <v>0.737454</v>
      </c>
      <c r="E339" s="15" t="n">
        <f aca="false">(E335+E337)*(1-E338)</f>
        <v>1.3177496485773</v>
      </c>
      <c r="F339" s="15" t="n">
        <f aca="false">(F335+F337)*(1-F338)</f>
        <v>1.5705948994563</v>
      </c>
      <c r="G339" s="15" t="n">
        <f aca="false">(G335+G337)*(1-G338)</f>
        <v>1.78533554933737</v>
      </c>
    </row>
    <row r="340" customFormat="false" ht="15" hidden="false" customHeight="false" outlineLevel="0" collapsed="false">
      <c r="A340" s="5" t="s">
        <v>470</v>
      </c>
      <c r="B340" s="0" t="s">
        <v>144</v>
      </c>
      <c r="C340" s="16" t="n">
        <f aca="false">C339/C327</f>
        <v>0.388276003636257</v>
      </c>
      <c r="D340" s="16" t="n">
        <f aca="false">D339/D327</f>
        <v>0.391583535155244</v>
      </c>
      <c r="E340" s="16" t="n">
        <f aca="false">E339/E327</f>
        <v>0.396883110140367</v>
      </c>
      <c r="F340" s="16" t="n">
        <f aca="false">F339/F327</f>
        <v>0.400662487617439</v>
      </c>
      <c r="G340" s="16" t="n">
        <f aca="false">G339/G327</f>
        <v>0.402378233627676</v>
      </c>
    </row>
    <row r="341" customFormat="false" ht="15" hidden="false" customHeight="false" outlineLevel="0" collapsed="false">
      <c r="A341" s="5" t="s">
        <v>558</v>
      </c>
      <c r="B341" s="5" t="s">
        <v>179</v>
      </c>
      <c r="C341" s="24" t="n">
        <f aca="false">a25_sh</f>
        <v>0.179551</v>
      </c>
      <c r="D341" s="24" t="n">
        <f aca="false">a26_sh</f>
        <v>0.18399925</v>
      </c>
      <c r="E341" s="24" t="n">
        <f aca="false">D341*(1+sh_g)</f>
        <v>0.18675923875</v>
      </c>
      <c r="F341" s="24" t="n">
        <f aca="false">E341*(1+sh_g)</f>
        <v>0.18956062733125</v>
      </c>
      <c r="G341" s="24" t="n">
        <f aca="false">F341*(1+sh_g)</f>
        <v>0.192404036741219</v>
      </c>
    </row>
    <row r="342" customFormat="false" ht="17.15" hidden="false" customHeight="false" outlineLevel="0" collapsed="false">
      <c r="A342" s="0" t="s">
        <v>473</v>
      </c>
      <c r="B342" s="0" t="s">
        <v>206</v>
      </c>
      <c r="C342" s="9" t="n">
        <f aca="false">C339/C341</f>
        <v>1.8435709074302</v>
      </c>
      <c r="D342" s="9" t="n">
        <f aca="false">D339/D341</f>
        <v>4.00791851053741</v>
      </c>
      <c r="E342" s="9" t="n">
        <f aca="false">E339/E341</f>
        <v>7.05587395513679</v>
      </c>
      <c r="F342" s="9" t="n">
        <f aca="false">F339/F341</f>
        <v>8.28544894352848</v>
      </c>
      <c r="G342" s="9" t="n">
        <f aca="false">G339/G341</f>
        <v>9.27909611240967</v>
      </c>
    </row>
    <row r="343" customFormat="false" ht="17.15" hidden="false" customHeight="false" outlineLevel="0" collapsed="false">
      <c r="A343" s="0" t="s">
        <v>559</v>
      </c>
      <c r="B343" s="0" t="s">
        <v>144</v>
      </c>
      <c r="D343" s="16" t="n">
        <f aca="false">D342/C342-1</f>
        <v>1.17399748194342</v>
      </c>
      <c r="E343" s="16" t="n">
        <f aca="false">E342/D342-1</f>
        <v>0.760483387221037</v>
      </c>
      <c r="F343" s="16" t="n">
        <f aca="false">F342/E342-1</f>
        <v>0.174262606759938</v>
      </c>
      <c r="G343" s="16" t="n">
        <f aca="false">G342/F342-1</f>
        <v>0.119926774717174</v>
      </c>
    </row>
    <row r="346" customFormat="false" ht="17.15" hidden="false" customHeight="false" outlineLevel="0" collapsed="false">
      <c r="A346" s="3" t="s">
        <v>850</v>
      </c>
    </row>
    <row r="347" customFormat="false" ht="17.15" hidden="false" customHeight="false" outlineLevel="0" collapsed="false">
      <c r="A347" s="6" t="s">
        <v>19</v>
      </c>
      <c r="B347" s="6" t="s">
        <v>20</v>
      </c>
      <c r="C347" s="14" t="s">
        <v>447</v>
      </c>
      <c r="D347" s="14" t="s">
        <v>489</v>
      </c>
      <c r="E347" s="14" t="s">
        <v>490</v>
      </c>
      <c r="F347" s="14" t="s">
        <v>491</v>
      </c>
      <c r="G347" s="14" t="s">
        <v>492</v>
      </c>
      <c r="H347" s="6" t="s">
        <v>453</v>
      </c>
    </row>
    <row r="348" customFormat="false" ht="17.15" hidden="false" customHeight="false" outlineLevel="0" collapsed="false">
      <c r="A348" s="1" t="s">
        <v>536</v>
      </c>
    </row>
    <row r="349" customFormat="false" ht="17.15" hidden="false" customHeight="false" outlineLevel="0" collapsed="false">
      <c r="A349" s="5" t="s">
        <v>537</v>
      </c>
      <c r="B349" s="0" t="s">
        <v>30</v>
      </c>
      <c r="D349" s="18" t="n">
        <f aca="false">msx_26</f>
        <v>2.025</v>
      </c>
      <c r="E349" s="18" t="n">
        <f aca="false">msx_27*mf_lo</f>
        <v>6.1608</v>
      </c>
      <c r="F349" s="18" t="n">
        <f aca="false">msx_28*um28_A*mf_lo</f>
        <v>7.5744</v>
      </c>
      <c r="G349" s="18" t="n">
        <f aca="false">msx_29*um29_A*mf_lo</f>
        <v>8.71056</v>
      </c>
      <c r="H349" s="8" t="s">
        <v>538</v>
      </c>
    </row>
    <row r="350" customFormat="false" ht="17.15" hidden="false" customHeight="false" outlineLevel="0" collapsed="false">
      <c r="A350" s="0" t="s">
        <v>539</v>
      </c>
      <c r="B350" s="0" t="s">
        <v>144</v>
      </c>
      <c r="D350" s="20" t="n">
        <f aca="false">a26_x/D349</f>
        <v>0.187654320987654</v>
      </c>
      <c r="H350" s="8" t="s">
        <v>31</v>
      </c>
    </row>
    <row r="351" customFormat="false" ht="17.15" hidden="false" customHeight="false" outlineLevel="0" collapsed="false">
      <c r="A351" s="0" t="s">
        <v>540</v>
      </c>
      <c r="B351" s="0" t="s">
        <v>87</v>
      </c>
      <c r="D351" s="9" t="n">
        <f aca="false">1</f>
        <v>1</v>
      </c>
      <c r="E351" s="9" t="n">
        <f aca="false">rel_x_27</f>
        <v>1</v>
      </c>
      <c r="F351" s="9" t="n">
        <f aca="false">rel_x_28</f>
        <v>1.1</v>
      </c>
      <c r="G351" s="9" t="n">
        <f aca="false">rel_x_29</f>
        <v>1.15</v>
      </c>
    </row>
    <row r="352" customFormat="false" ht="17.15" hidden="false" customHeight="false" outlineLevel="0" collapsed="false">
      <c r="A352" s="0" t="s">
        <v>541</v>
      </c>
      <c r="B352" s="0" t="s">
        <v>144</v>
      </c>
      <c r="D352" s="20" t="n">
        <f aca="false">$D$350*D351</f>
        <v>0.187654320987654</v>
      </c>
      <c r="E352" s="20" t="n">
        <f aca="false">$D$350*E351</f>
        <v>0.187654320987654</v>
      </c>
      <c r="F352" s="20" t="n">
        <f aca="false">$D$350*F351</f>
        <v>0.20641975308642</v>
      </c>
      <c r="G352" s="20" t="n">
        <f aca="false">$D$350*G351</f>
        <v>0.215802469135802</v>
      </c>
    </row>
    <row r="353" customFormat="false" ht="17.15" hidden="false" customHeight="false" outlineLevel="0" collapsed="false">
      <c r="A353" s="0" t="s">
        <v>475</v>
      </c>
      <c r="B353" s="0" t="s">
        <v>30</v>
      </c>
      <c r="C353" s="15" t="n">
        <f aca="false">a25_x</f>
        <v>0</v>
      </c>
      <c r="D353" s="15" t="n">
        <f aca="false">a26_x</f>
        <v>0.38</v>
      </c>
      <c r="E353" s="15" t="n">
        <f aca="false">E349*E352</f>
        <v>1.15610074074074</v>
      </c>
      <c r="F353" s="15" t="n">
        <f aca="false">F349*F352</f>
        <v>1.56350577777778</v>
      </c>
      <c r="G353" s="15" t="n">
        <f aca="false">G349*G352</f>
        <v>1.87976035555556</v>
      </c>
    </row>
    <row r="354" customFormat="false" ht="17.15" hidden="false" customHeight="false" outlineLevel="0" collapsed="false">
      <c r="A354" s="1" t="s">
        <v>542</v>
      </c>
    </row>
    <row r="355" customFormat="false" ht="17.15" hidden="false" customHeight="false" outlineLevel="0" collapsed="false">
      <c r="A355" s="0" t="s">
        <v>543</v>
      </c>
      <c r="B355" s="5" t="s">
        <v>53</v>
      </c>
      <c r="D355" s="18" t="n">
        <f aca="false">u_26</f>
        <v>15.2</v>
      </c>
      <c r="E355" s="18" t="n">
        <f aca="false">u_27</f>
        <v>23.7</v>
      </c>
      <c r="F355" s="18" t="n">
        <f aca="false">u_28*um28_A</f>
        <v>26.5</v>
      </c>
      <c r="G355" s="18" t="n">
        <f aca="false">u_29*um29_A</f>
        <v>30.15</v>
      </c>
    </row>
    <row r="356" customFormat="false" ht="17.15" hidden="false" customHeight="false" outlineLevel="0" collapsed="false">
      <c r="A356" s="0" t="s">
        <v>544</v>
      </c>
      <c r="B356" s="0" t="s">
        <v>30</v>
      </c>
      <c r="D356" s="18" t="n">
        <f aca="false">D355*c_pcie/1000</f>
        <v>3.8</v>
      </c>
      <c r="E356" s="18" t="n">
        <f aca="false">E355*c_pcie/1000</f>
        <v>5.925</v>
      </c>
      <c r="F356" s="18" t="n">
        <f aca="false">F355*c_pcie/1000</f>
        <v>6.625</v>
      </c>
      <c r="G356" s="18" t="n">
        <f aca="false">G355*c_pcie/1000</f>
        <v>7.5375</v>
      </c>
      <c r="H356" s="8" t="s">
        <v>545</v>
      </c>
    </row>
    <row r="357" customFormat="false" ht="17.15" hidden="false" customHeight="false" outlineLevel="0" collapsed="false">
      <c r="A357" s="0" t="s">
        <v>546</v>
      </c>
      <c r="B357" s="0" t="s">
        <v>144</v>
      </c>
      <c r="D357" s="20" t="n">
        <f aca="false">a26_p/D356</f>
        <v>0.395595</v>
      </c>
    </row>
    <row r="358" customFormat="false" ht="17.15" hidden="false" customHeight="false" outlineLevel="0" collapsed="false">
      <c r="A358" s="0" t="s">
        <v>547</v>
      </c>
      <c r="B358" s="0" t="s">
        <v>87</v>
      </c>
      <c r="D358" s="9" t="n">
        <f aca="false">1</f>
        <v>1</v>
      </c>
      <c r="E358" s="9" t="n">
        <f aca="false">rel_p_27</f>
        <v>0.8</v>
      </c>
      <c r="F358" s="9" t="n">
        <f aca="false">rel_p_28</f>
        <v>0.75</v>
      </c>
      <c r="G358" s="9" t="n">
        <f aca="false">rel_p_29</f>
        <v>0.7</v>
      </c>
    </row>
    <row r="359" customFormat="false" ht="17.15" hidden="false" customHeight="false" outlineLevel="0" collapsed="false">
      <c r="A359" s="0" t="s">
        <v>548</v>
      </c>
      <c r="B359" s="0" t="s">
        <v>30</v>
      </c>
      <c r="C359" s="15" t="n">
        <f aca="false">a25_p</f>
        <v>0.852525</v>
      </c>
      <c r="D359" s="15" t="n">
        <f aca="false">a26_p</f>
        <v>1.503261</v>
      </c>
      <c r="E359" s="15" t="n">
        <f aca="false">E356*$D$357*E358</f>
        <v>1.8751203</v>
      </c>
      <c r="F359" s="15" t="n">
        <f aca="false">F356*$D$357*F358</f>
        <v>1.96561265625</v>
      </c>
      <c r="G359" s="15" t="n">
        <f aca="false">G356*$D$357*G358</f>
        <v>2.08725811875</v>
      </c>
    </row>
    <row r="360" customFormat="false" ht="17.15" hidden="false" customHeight="false" outlineLevel="0" collapsed="false">
      <c r="A360" s="1" t="s">
        <v>549</v>
      </c>
    </row>
    <row r="361" customFormat="false" ht="15" hidden="false" customHeight="false" outlineLevel="0" collapsed="false">
      <c r="A361" s="5" t="s">
        <v>454</v>
      </c>
      <c r="B361" s="0" t="s">
        <v>30</v>
      </c>
      <c r="C361" s="15" t="n">
        <f aca="false">a25_rev</f>
        <v>0.852525</v>
      </c>
      <c r="D361" s="15" t="n">
        <f aca="false">D353+D359</f>
        <v>1.883261</v>
      </c>
      <c r="E361" s="15" t="n">
        <f aca="false">E353+E359</f>
        <v>3.03122104074074</v>
      </c>
      <c r="F361" s="15" t="n">
        <f aca="false">F353+F359</f>
        <v>3.52911843402778</v>
      </c>
      <c r="G361" s="15" t="n">
        <f aca="false">G353+G359</f>
        <v>3.96701847430556</v>
      </c>
    </row>
    <row r="362" customFormat="false" ht="15" hidden="false" customHeight="false" outlineLevel="0" collapsed="false">
      <c r="A362" s="5" t="s">
        <v>550</v>
      </c>
      <c r="B362" s="0" t="s">
        <v>144</v>
      </c>
      <c r="D362" s="16" t="n">
        <f aca="false">D361/C361-1</f>
        <v>1.20903903111346</v>
      </c>
      <c r="E362" s="16" t="n">
        <f aca="false">E361/D361-1</f>
        <v>0.609559716226663</v>
      </c>
      <c r="F362" s="16" t="n">
        <f aca="false">F361/E361-1</f>
        <v>0.164256379391377</v>
      </c>
      <c r="G362" s="16" t="n">
        <f aca="false">G361/F361-1</f>
        <v>0.124081990577461</v>
      </c>
    </row>
    <row r="363" customFormat="false" ht="17.15" hidden="false" customHeight="false" outlineLevel="0" collapsed="false">
      <c r="A363" s="0" t="s">
        <v>477</v>
      </c>
      <c r="B363" s="0" t="s">
        <v>144</v>
      </c>
      <c r="C363" s="16" t="n">
        <f aca="false">C353/C361</f>
        <v>0</v>
      </c>
      <c r="D363" s="16" t="n">
        <f aca="false">D353/D361</f>
        <v>0.201777661195129</v>
      </c>
      <c r="E363" s="16" t="n">
        <f aca="false">E353/E361</f>
        <v>0.381397702510743</v>
      </c>
      <c r="F363" s="16" t="n">
        <f aca="false">F353/F361</f>
        <v>0.443030124096275</v>
      </c>
      <c r="G363" s="16" t="n">
        <f aca="false">G353/G361</f>
        <v>0.473847139288812</v>
      </c>
    </row>
    <row r="364" customFormat="false" ht="17.15" hidden="false" customHeight="false" outlineLevel="0" collapsed="false">
      <c r="A364" s="1" t="s">
        <v>551</v>
      </c>
    </row>
    <row r="365" customFormat="false" ht="17.15" hidden="false" customHeight="false" outlineLevel="0" collapsed="false">
      <c r="A365" s="5" t="s">
        <v>459</v>
      </c>
      <c r="B365" s="0" t="s">
        <v>144</v>
      </c>
      <c r="C365" s="16" t="n">
        <f aca="false">a25_gp/a25_rev</f>
        <v>0.758199466291311</v>
      </c>
      <c r="D365" s="16" t="n">
        <f aca="false">a26_gp/a26_rev</f>
        <v>0.729127030188593</v>
      </c>
      <c r="E365" s="16" t="n">
        <f aca="false">gm_27</f>
        <v>0.7</v>
      </c>
      <c r="F365" s="16" t="n">
        <f aca="false">gm_28</f>
        <v>0.695</v>
      </c>
      <c r="G365" s="16" t="n">
        <f aca="false">gm_29</f>
        <v>0.69</v>
      </c>
      <c r="H365" s="8" t="s">
        <v>552</v>
      </c>
    </row>
    <row r="366" customFormat="false" ht="15" hidden="false" customHeight="false" outlineLevel="0" collapsed="false">
      <c r="A366" s="5" t="s">
        <v>553</v>
      </c>
      <c r="B366" s="0" t="s">
        <v>30</v>
      </c>
      <c r="C366" s="15" t="n">
        <f aca="false">C361*C365</f>
        <v>0.646384</v>
      </c>
      <c r="D366" s="15" t="n">
        <f aca="false">D361*D365</f>
        <v>1.3731365</v>
      </c>
      <c r="E366" s="15" t="n">
        <f aca="false">E361*E365</f>
        <v>2.12185472851852</v>
      </c>
      <c r="F366" s="15" t="n">
        <f aca="false">F361*F365</f>
        <v>2.45273731164931</v>
      </c>
      <c r="G366" s="15" t="n">
        <f aca="false">G361*G365</f>
        <v>2.73724274727083</v>
      </c>
    </row>
    <row r="367" customFormat="false" ht="15" hidden="false" customHeight="false" outlineLevel="0" collapsed="false">
      <c r="A367" s="5" t="s">
        <v>554</v>
      </c>
      <c r="B367" s="0" t="s">
        <v>30</v>
      </c>
      <c r="C367" s="15" t="n">
        <f aca="false">a25_opx</f>
        <v>0.311978</v>
      </c>
      <c r="D367" s="15" t="n">
        <f aca="false">a26_opx</f>
        <v>0.585698</v>
      </c>
      <c r="E367" s="15" t="n">
        <f aca="false">D367*(1+MAX(0,phi*E362))</f>
        <v>0.844777016438256</v>
      </c>
      <c r="F367" s="15" t="n">
        <f aca="false">E367*(1+MAX(0,phi*F362))</f>
        <v>0.94547170795181</v>
      </c>
      <c r="G367" s="15" t="n">
        <f aca="false">F367*(1+MAX(0,phi*G362))</f>
        <v>1.03060502008688</v>
      </c>
    </row>
    <row r="368" customFormat="false" ht="15" hidden="false" customHeight="false" outlineLevel="0" collapsed="false">
      <c r="A368" s="5" t="s">
        <v>555</v>
      </c>
      <c r="B368" s="0" t="s">
        <v>30</v>
      </c>
      <c r="C368" s="15" t="n">
        <f aca="false">C367</f>
        <v>0.311978</v>
      </c>
      <c r="D368" s="15" t="n">
        <f aca="false">D367</f>
        <v>0.585698</v>
      </c>
      <c r="E368" s="15" t="n">
        <f aca="false">E367+0*E361</f>
        <v>0.844777016438256</v>
      </c>
      <c r="F368" s="15" t="n">
        <f aca="false">F367+0*F361</f>
        <v>0.94547170795181</v>
      </c>
      <c r="G368" s="15" t="n">
        <f aca="false">G367+0*G361</f>
        <v>1.03060502008688</v>
      </c>
    </row>
    <row r="369" customFormat="false" ht="15" hidden="false" customHeight="false" outlineLevel="0" collapsed="false">
      <c r="A369" s="5" t="s">
        <v>556</v>
      </c>
      <c r="B369" s="0" t="s">
        <v>30</v>
      </c>
      <c r="C369" s="15" t="n">
        <f aca="false">C366-C368</f>
        <v>0.334406</v>
      </c>
      <c r="D369" s="15" t="n">
        <f aca="false">D366-D368</f>
        <v>0.7874385</v>
      </c>
      <c r="E369" s="15" t="n">
        <f aca="false">E366-E368</f>
        <v>1.27707771208026</v>
      </c>
      <c r="F369" s="15" t="n">
        <f aca="false">F366-F368</f>
        <v>1.5072656036975</v>
      </c>
      <c r="G369" s="15" t="n">
        <f aca="false">G366-G368</f>
        <v>1.70663772718395</v>
      </c>
    </row>
    <row r="370" customFormat="false" ht="15" hidden="false" customHeight="false" outlineLevel="0" collapsed="false">
      <c r="A370" s="5" t="s">
        <v>526</v>
      </c>
      <c r="B370" s="0" t="s">
        <v>144</v>
      </c>
      <c r="C370" s="16" t="n">
        <f aca="false">C369/C361</f>
        <v>0.392253599601185</v>
      </c>
      <c r="D370" s="16" t="n">
        <f aca="false">D369/D361</f>
        <v>0.41812499701316</v>
      </c>
      <c r="E370" s="16" t="n">
        <f aca="false">E369/E361</f>
        <v>0.421308012486012</v>
      </c>
      <c r="F370" s="16" t="n">
        <f aca="false">F369/F361</f>
        <v>0.427094083656823</v>
      </c>
      <c r="G370" s="16" t="n">
        <f aca="false">G369/G361</f>
        <v>0.430206649713852</v>
      </c>
    </row>
    <row r="371" customFormat="false" ht="15" hidden="false" customHeight="false" outlineLevel="0" collapsed="false">
      <c r="A371" s="5" t="s">
        <v>463</v>
      </c>
      <c r="B371" s="0" t="s">
        <v>30</v>
      </c>
      <c r="C371" s="15" t="n">
        <f aca="false">a25_ninc</f>
        <v>0.04473</v>
      </c>
      <c r="D371" s="15" t="n">
        <f aca="false">a26_ninc</f>
        <v>0.048658</v>
      </c>
      <c r="E371" s="15" t="n">
        <f aca="false">oth_f</f>
        <v>0.05</v>
      </c>
      <c r="F371" s="15" t="n">
        <f aca="false">oth_f</f>
        <v>0.05</v>
      </c>
      <c r="G371" s="15" t="n">
        <f aca="false">oth_f</f>
        <v>0.05</v>
      </c>
    </row>
    <row r="372" customFormat="false" ht="17.15" hidden="false" customHeight="false" outlineLevel="0" collapsed="false">
      <c r="A372" s="5" t="s">
        <v>468</v>
      </c>
      <c r="B372" s="0" t="s">
        <v>144</v>
      </c>
      <c r="C372" s="16" t="n">
        <f aca="false">a25_tx</f>
        <v>0.126922792876435</v>
      </c>
      <c r="D372" s="16" t="n">
        <f aca="false">a26_tx</f>
        <v>0.117979802570636</v>
      </c>
      <c r="E372" s="16" t="n">
        <f aca="false">tx_27</f>
        <v>0.12</v>
      </c>
      <c r="F372" s="16" t="n">
        <f aca="false">tx_28</f>
        <v>0.12</v>
      </c>
      <c r="G372" s="16" t="n">
        <f aca="false">tx_29</f>
        <v>0.12</v>
      </c>
      <c r="H372" s="5" t="s">
        <v>557</v>
      </c>
    </row>
    <row r="373" customFormat="false" ht="15" hidden="false" customHeight="false" outlineLevel="0" collapsed="false">
      <c r="A373" s="5" t="s">
        <v>527</v>
      </c>
      <c r="B373" s="0" t="s">
        <v>30</v>
      </c>
      <c r="C373" s="15" t="n">
        <f aca="false">a25_ni</f>
        <v>0.331015</v>
      </c>
      <c r="D373" s="15" t="n">
        <f aca="false">a26_ni</f>
        <v>0.737454</v>
      </c>
      <c r="E373" s="15" t="n">
        <f aca="false">(E369+E371)*(1-E372)</f>
        <v>1.16782838663063</v>
      </c>
      <c r="F373" s="15" t="n">
        <f aca="false">(F369+F371)*(1-F372)</f>
        <v>1.3703937312538</v>
      </c>
      <c r="G373" s="15" t="n">
        <f aca="false">(G369+G371)*(1-G372)</f>
        <v>1.54584119992188</v>
      </c>
    </row>
    <row r="374" customFormat="false" ht="15" hidden="false" customHeight="false" outlineLevel="0" collapsed="false">
      <c r="A374" s="5" t="s">
        <v>470</v>
      </c>
      <c r="B374" s="0" t="s">
        <v>144</v>
      </c>
      <c r="C374" s="16" t="n">
        <f aca="false">C373/C361</f>
        <v>0.388276003636257</v>
      </c>
      <c r="D374" s="16" t="n">
        <f aca="false">D373/D361</f>
        <v>0.391583535155244</v>
      </c>
      <c r="E374" s="16" t="n">
        <f aca="false">E373/E361</f>
        <v>0.385266653581043</v>
      </c>
      <c r="F374" s="16" t="n">
        <f aca="false">F373/F361</f>
        <v>0.388310496479929</v>
      </c>
      <c r="G374" s="16" t="n">
        <f aca="false">G373/G361</f>
        <v>0.389673305010883</v>
      </c>
    </row>
    <row r="375" customFormat="false" ht="15" hidden="false" customHeight="false" outlineLevel="0" collapsed="false">
      <c r="A375" s="5" t="s">
        <v>558</v>
      </c>
      <c r="B375" s="5" t="s">
        <v>179</v>
      </c>
      <c r="C375" s="24" t="n">
        <f aca="false">a25_sh</f>
        <v>0.179551</v>
      </c>
      <c r="D375" s="24" t="n">
        <f aca="false">a26_sh</f>
        <v>0.18399925</v>
      </c>
      <c r="E375" s="24" t="n">
        <f aca="false">D375*(1+sh_g)</f>
        <v>0.18675923875</v>
      </c>
      <c r="F375" s="24" t="n">
        <f aca="false">E375*(1+sh_g)</f>
        <v>0.18956062733125</v>
      </c>
      <c r="G375" s="24" t="n">
        <f aca="false">F375*(1+sh_g)</f>
        <v>0.192404036741219</v>
      </c>
    </row>
    <row r="376" customFormat="false" ht="17.15" hidden="false" customHeight="false" outlineLevel="0" collapsed="false">
      <c r="A376" s="0" t="s">
        <v>473</v>
      </c>
      <c r="B376" s="0" t="s">
        <v>206</v>
      </c>
      <c r="C376" s="9" t="n">
        <f aca="false">C373/C375</f>
        <v>1.8435709074302</v>
      </c>
      <c r="D376" s="9" t="n">
        <f aca="false">D373/D375</f>
        <v>4.00791851053741</v>
      </c>
      <c r="E376" s="9" t="n">
        <f aca="false">E373/E375</f>
        <v>6.2531224396021</v>
      </c>
      <c r="F376" s="9" t="n">
        <f aca="false">F373/F375</f>
        <v>7.22931629076689</v>
      </c>
      <c r="G376" s="9" t="n">
        <f aca="false">G373/G375</f>
        <v>8.03434910256595</v>
      </c>
    </row>
    <row r="377" customFormat="false" ht="17.15" hidden="false" customHeight="false" outlineLevel="0" collapsed="false">
      <c r="A377" s="0" t="s">
        <v>559</v>
      </c>
      <c r="B377" s="0" t="s">
        <v>144</v>
      </c>
      <c r="D377" s="16" t="n">
        <f aca="false">D376/C376-1</f>
        <v>1.17399748194342</v>
      </c>
      <c r="E377" s="16" t="n">
        <f aca="false">E376/D376-1</f>
        <v>0.560192010681286</v>
      </c>
      <c r="F377" s="16" t="n">
        <f aca="false">F376/E376-1</f>
        <v>0.156113023628385</v>
      </c>
      <c r="G377" s="16" t="n">
        <f aca="false">G376/F376-1</f>
        <v>0.111356700885702</v>
      </c>
    </row>
    <row r="380" customFormat="false" ht="17.15" hidden="false" customHeight="false" outlineLevel="0" collapsed="false">
      <c r="A380" s="3" t="s">
        <v>851</v>
      </c>
    </row>
    <row r="381" customFormat="false" ht="17.15" hidden="false" customHeight="false" outlineLevel="0" collapsed="false">
      <c r="A381" s="6" t="s">
        <v>19</v>
      </c>
      <c r="B381" s="6" t="s">
        <v>20</v>
      </c>
      <c r="C381" s="14" t="s">
        <v>447</v>
      </c>
      <c r="D381" s="14" t="s">
        <v>489</v>
      </c>
      <c r="E381" s="14" t="s">
        <v>490</v>
      </c>
      <c r="F381" s="14" t="s">
        <v>491</v>
      </c>
      <c r="G381" s="14" t="s">
        <v>492</v>
      </c>
      <c r="H381" s="6" t="s">
        <v>453</v>
      </c>
    </row>
    <row r="382" customFormat="false" ht="17.15" hidden="false" customHeight="false" outlineLevel="0" collapsed="false">
      <c r="A382" s="1" t="s">
        <v>536</v>
      </c>
    </row>
    <row r="383" customFormat="false" ht="17.15" hidden="false" customHeight="false" outlineLevel="0" collapsed="false">
      <c r="A383" s="5" t="s">
        <v>537</v>
      </c>
      <c r="B383" s="0" t="s">
        <v>30</v>
      </c>
      <c r="D383" s="18" t="n">
        <f aca="false">msx_26</f>
        <v>2.025</v>
      </c>
      <c r="E383" s="18" t="n">
        <f aca="false">msx_27*mf_hi</f>
        <v>9.2412</v>
      </c>
      <c r="F383" s="18" t="n">
        <f aca="false">msx_28*um28_A*mf_hi</f>
        <v>11.3616</v>
      </c>
      <c r="G383" s="18" t="n">
        <f aca="false">msx_29*um29_A*mf_hi</f>
        <v>13.06584</v>
      </c>
      <c r="H383" s="8" t="s">
        <v>538</v>
      </c>
    </row>
    <row r="384" customFormat="false" ht="17.15" hidden="false" customHeight="false" outlineLevel="0" collapsed="false">
      <c r="A384" s="0" t="s">
        <v>539</v>
      </c>
      <c r="B384" s="0" t="s">
        <v>144</v>
      </c>
      <c r="D384" s="20" t="n">
        <f aca="false">a26_x/D383</f>
        <v>0.187654320987654</v>
      </c>
      <c r="H384" s="8" t="s">
        <v>31</v>
      </c>
    </row>
    <row r="385" customFormat="false" ht="17.15" hidden="false" customHeight="false" outlineLevel="0" collapsed="false">
      <c r="A385" s="0" t="s">
        <v>540</v>
      </c>
      <c r="B385" s="0" t="s">
        <v>87</v>
      </c>
      <c r="D385" s="9" t="n">
        <f aca="false">1</f>
        <v>1</v>
      </c>
      <c r="E385" s="9" t="n">
        <f aca="false">rel_x_27</f>
        <v>1</v>
      </c>
      <c r="F385" s="9" t="n">
        <f aca="false">rel_x_28</f>
        <v>1.1</v>
      </c>
      <c r="G385" s="9" t="n">
        <f aca="false">rel_x_29</f>
        <v>1.15</v>
      </c>
    </row>
    <row r="386" customFormat="false" ht="17.15" hidden="false" customHeight="false" outlineLevel="0" collapsed="false">
      <c r="A386" s="0" t="s">
        <v>541</v>
      </c>
      <c r="B386" s="0" t="s">
        <v>144</v>
      </c>
      <c r="D386" s="20" t="n">
        <f aca="false">$D$384*D385</f>
        <v>0.187654320987654</v>
      </c>
      <c r="E386" s="20" t="n">
        <f aca="false">$D$384*E385</f>
        <v>0.187654320987654</v>
      </c>
      <c r="F386" s="20" t="n">
        <f aca="false">$D$384*F385</f>
        <v>0.20641975308642</v>
      </c>
      <c r="G386" s="20" t="n">
        <f aca="false">$D$384*G385</f>
        <v>0.215802469135802</v>
      </c>
    </row>
    <row r="387" customFormat="false" ht="17.15" hidden="false" customHeight="false" outlineLevel="0" collapsed="false">
      <c r="A387" s="0" t="s">
        <v>475</v>
      </c>
      <c r="B387" s="0" t="s">
        <v>30</v>
      </c>
      <c r="C387" s="15" t="n">
        <f aca="false">a25_x</f>
        <v>0</v>
      </c>
      <c r="D387" s="15" t="n">
        <f aca="false">a26_x</f>
        <v>0.38</v>
      </c>
      <c r="E387" s="15" t="n">
        <f aca="false">E383*E386</f>
        <v>1.73415111111111</v>
      </c>
      <c r="F387" s="15" t="n">
        <f aca="false">F383*F386</f>
        <v>2.34525866666667</v>
      </c>
      <c r="G387" s="15" t="n">
        <f aca="false">G383*G386</f>
        <v>2.81964053333333</v>
      </c>
    </row>
    <row r="388" customFormat="false" ht="17.15" hidden="false" customHeight="false" outlineLevel="0" collapsed="false">
      <c r="A388" s="1" t="s">
        <v>542</v>
      </c>
    </row>
    <row r="389" customFormat="false" ht="17.15" hidden="false" customHeight="false" outlineLevel="0" collapsed="false">
      <c r="A389" s="0" t="s">
        <v>543</v>
      </c>
      <c r="B389" s="5" t="s">
        <v>53</v>
      </c>
      <c r="D389" s="18" t="n">
        <f aca="false">u_26</f>
        <v>15.2</v>
      </c>
      <c r="E389" s="18" t="n">
        <f aca="false">u_27</f>
        <v>23.7</v>
      </c>
      <c r="F389" s="18" t="n">
        <f aca="false">u_28*um28_A</f>
        <v>26.5</v>
      </c>
      <c r="G389" s="18" t="n">
        <f aca="false">u_29*um29_A</f>
        <v>30.15</v>
      </c>
    </row>
    <row r="390" customFormat="false" ht="17.15" hidden="false" customHeight="false" outlineLevel="0" collapsed="false">
      <c r="A390" s="0" t="s">
        <v>544</v>
      </c>
      <c r="B390" s="0" t="s">
        <v>30</v>
      </c>
      <c r="D390" s="18" t="n">
        <f aca="false">D389*c_pcie/1000</f>
        <v>3.8</v>
      </c>
      <c r="E390" s="18" t="n">
        <f aca="false">E389*c_pcie/1000</f>
        <v>5.925</v>
      </c>
      <c r="F390" s="18" t="n">
        <f aca="false">F389*c_pcie/1000</f>
        <v>6.625</v>
      </c>
      <c r="G390" s="18" t="n">
        <f aca="false">G389*c_pcie/1000</f>
        <v>7.5375</v>
      </c>
      <c r="H390" s="8" t="s">
        <v>545</v>
      </c>
    </row>
    <row r="391" customFormat="false" ht="17.15" hidden="false" customHeight="false" outlineLevel="0" collapsed="false">
      <c r="A391" s="0" t="s">
        <v>546</v>
      </c>
      <c r="B391" s="0" t="s">
        <v>144</v>
      </c>
      <c r="D391" s="20" t="n">
        <f aca="false">a26_p/D390</f>
        <v>0.395595</v>
      </c>
    </row>
    <row r="392" customFormat="false" ht="17.15" hidden="false" customHeight="false" outlineLevel="0" collapsed="false">
      <c r="A392" s="0" t="s">
        <v>547</v>
      </c>
      <c r="B392" s="0" t="s">
        <v>87</v>
      </c>
      <c r="D392" s="9" t="n">
        <f aca="false">1</f>
        <v>1</v>
      </c>
      <c r="E392" s="9" t="n">
        <f aca="false">rel_p_27</f>
        <v>0.8</v>
      </c>
      <c r="F392" s="9" t="n">
        <f aca="false">rel_p_28</f>
        <v>0.75</v>
      </c>
      <c r="G392" s="9" t="n">
        <f aca="false">rel_p_29</f>
        <v>0.7</v>
      </c>
    </row>
    <row r="393" customFormat="false" ht="17.15" hidden="false" customHeight="false" outlineLevel="0" collapsed="false">
      <c r="A393" s="0" t="s">
        <v>548</v>
      </c>
      <c r="B393" s="0" t="s">
        <v>30</v>
      </c>
      <c r="C393" s="15" t="n">
        <f aca="false">a25_p</f>
        <v>0.852525</v>
      </c>
      <c r="D393" s="15" t="n">
        <f aca="false">a26_p</f>
        <v>1.503261</v>
      </c>
      <c r="E393" s="15" t="n">
        <f aca="false">E390*$D$391*E392</f>
        <v>1.8751203</v>
      </c>
      <c r="F393" s="15" t="n">
        <f aca="false">F390*$D$391*F392</f>
        <v>1.96561265625</v>
      </c>
      <c r="G393" s="15" t="n">
        <f aca="false">G390*$D$391*G392</f>
        <v>2.08725811875</v>
      </c>
    </row>
    <row r="394" customFormat="false" ht="17.15" hidden="false" customHeight="false" outlineLevel="0" collapsed="false">
      <c r="A394" s="1" t="s">
        <v>549</v>
      </c>
    </row>
    <row r="395" customFormat="false" ht="15" hidden="false" customHeight="false" outlineLevel="0" collapsed="false">
      <c r="A395" s="5" t="s">
        <v>454</v>
      </c>
      <c r="B395" s="0" t="s">
        <v>30</v>
      </c>
      <c r="C395" s="15" t="n">
        <f aca="false">a25_rev</f>
        <v>0.852525</v>
      </c>
      <c r="D395" s="15" t="n">
        <f aca="false">D387+D393</f>
        <v>1.883261</v>
      </c>
      <c r="E395" s="15" t="n">
        <f aca="false">E387+E393</f>
        <v>3.60927141111111</v>
      </c>
      <c r="F395" s="15" t="n">
        <f aca="false">F387+F393</f>
        <v>4.31087132291667</v>
      </c>
      <c r="G395" s="15" t="n">
        <f aca="false">G387+G393</f>
        <v>4.90689865208333</v>
      </c>
    </row>
    <row r="396" customFormat="false" ht="15" hidden="false" customHeight="false" outlineLevel="0" collapsed="false">
      <c r="A396" s="5" t="s">
        <v>550</v>
      </c>
      <c r="B396" s="0" t="s">
        <v>144</v>
      </c>
      <c r="D396" s="16" t="n">
        <f aca="false">D395/C395-1</f>
        <v>1.20903903111346</v>
      </c>
      <c r="E396" s="16" t="n">
        <f aca="false">E395/D395-1</f>
        <v>0.916500905138009</v>
      </c>
      <c r="F396" s="16" t="n">
        <f aca="false">F395/E395-1</f>
        <v>0.194388238480954</v>
      </c>
      <c r="G396" s="16" t="n">
        <f aca="false">G395/F395-1</f>
        <v>0.138261452156592</v>
      </c>
    </row>
    <row r="397" customFormat="false" ht="17.15" hidden="false" customHeight="false" outlineLevel="0" collapsed="false">
      <c r="A397" s="0" t="s">
        <v>477</v>
      </c>
      <c r="B397" s="0" t="s">
        <v>144</v>
      </c>
      <c r="C397" s="16" t="n">
        <f aca="false">C387/C395</f>
        <v>0</v>
      </c>
      <c r="D397" s="16" t="n">
        <f aca="false">D387/D395</f>
        <v>0.201777661195129</v>
      </c>
      <c r="E397" s="16" t="n">
        <f aca="false">E387/E395</f>
        <v>0.480471240198934</v>
      </c>
      <c r="F397" s="16" t="n">
        <f aca="false">F387/F395</f>
        <v>0.544033558644915</v>
      </c>
      <c r="G397" s="16" t="n">
        <f aca="false">G387/G395</f>
        <v>0.574627831804961</v>
      </c>
    </row>
    <row r="398" customFormat="false" ht="17.15" hidden="false" customHeight="false" outlineLevel="0" collapsed="false">
      <c r="A398" s="1" t="s">
        <v>551</v>
      </c>
    </row>
    <row r="399" customFormat="false" ht="17.15" hidden="false" customHeight="false" outlineLevel="0" collapsed="false">
      <c r="A399" s="5" t="s">
        <v>459</v>
      </c>
      <c r="B399" s="0" t="s">
        <v>144</v>
      </c>
      <c r="C399" s="16" t="n">
        <f aca="false">a25_gp/a25_rev</f>
        <v>0.758199466291311</v>
      </c>
      <c r="D399" s="16" t="n">
        <f aca="false">a26_gp/a26_rev</f>
        <v>0.729127030188593</v>
      </c>
      <c r="E399" s="16" t="n">
        <f aca="false">gm_27</f>
        <v>0.7</v>
      </c>
      <c r="F399" s="16" t="n">
        <f aca="false">gm_28</f>
        <v>0.695</v>
      </c>
      <c r="G399" s="16" t="n">
        <f aca="false">gm_29</f>
        <v>0.69</v>
      </c>
      <c r="H399" s="8" t="s">
        <v>552</v>
      </c>
    </row>
    <row r="400" customFormat="false" ht="15" hidden="false" customHeight="false" outlineLevel="0" collapsed="false">
      <c r="A400" s="5" t="s">
        <v>553</v>
      </c>
      <c r="B400" s="0" t="s">
        <v>30</v>
      </c>
      <c r="C400" s="15" t="n">
        <f aca="false">C395*C399</f>
        <v>0.646384</v>
      </c>
      <c r="D400" s="15" t="n">
        <f aca="false">D395*D399</f>
        <v>1.3731365</v>
      </c>
      <c r="E400" s="15" t="n">
        <f aca="false">E395*E399</f>
        <v>2.52648998777778</v>
      </c>
      <c r="F400" s="15" t="n">
        <f aca="false">F395*F399</f>
        <v>2.99605556942708</v>
      </c>
      <c r="G400" s="15" t="n">
        <f aca="false">G395*G399</f>
        <v>3.3857600699375</v>
      </c>
    </row>
    <row r="401" customFormat="false" ht="15" hidden="false" customHeight="false" outlineLevel="0" collapsed="false">
      <c r="A401" s="5" t="s">
        <v>554</v>
      </c>
      <c r="B401" s="0" t="s">
        <v>30</v>
      </c>
      <c r="C401" s="15" t="n">
        <f aca="false">a25_opx</f>
        <v>0.311978</v>
      </c>
      <c r="D401" s="15" t="n">
        <f aca="false">a26_opx</f>
        <v>0.585698</v>
      </c>
      <c r="E401" s="15" t="n">
        <f aca="false">D401*(1+MAX(0,phi*E396))</f>
        <v>0.975235147464045</v>
      </c>
      <c r="F401" s="15" t="n">
        <f aca="false">E401*(1+MAX(0,phi*F396))</f>
        <v>1.11280446079555</v>
      </c>
      <c r="G401" s="15" t="n">
        <f aca="false">F401*(1+MAX(0,phi*G396))</f>
        <v>1.22445535669814</v>
      </c>
    </row>
    <row r="402" customFormat="false" ht="15" hidden="false" customHeight="false" outlineLevel="0" collapsed="false">
      <c r="A402" s="5" t="s">
        <v>555</v>
      </c>
      <c r="B402" s="0" t="s">
        <v>30</v>
      </c>
      <c r="C402" s="15" t="n">
        <f aca="false">C401</f>
        <v>0.311978</v>
      </c>
      <c r="D402" s="15" t="n">
        <f aca="false">D401</f>
        <v>0.585698</v>
      </c>
      <c r="E402" s="15" t="n">
        <f aca="false">E401+0*E395</f>
        <v>0.975235147464045</v>
      </c>
      <c r="F402" s="15" t="n">
        <f aca="false">F401+0*F395</f>
        <v>1.11280446079555</v>
      </c>
      <c r="G402" s="15" t="n">
        <f aca="false">G401+0*G395</f>
        <v>1.22445535669814</v>
      </c>
    </row>
    <row r="403" customFormat="false" ht="15" hidden="false" customHeight="false" outlineLevel="0" collapsed="false">
      <c r="A403" s="5" t="s">
        <v>556</v>
      </c>
      <c r="B403" s="0" t="s">
        <v>30</v>
      </c>
      <c r="C403" s="15" t="n">
        <f aca="false">C400-C402</f>
        <v>0.334406</v>
      </c>
      <c r="D403" s="15" t="n">
        <f aca="false">D400-D402</f>
        <v>0.7874385</v>
      </c>
      <c r="E403" s="15" t="n">
        <f aca="false">E400-E402</f>
        <v>1.55125484031373</v>
      </c>
      <c r="F403" s="15" t="n">
        <f aca="false">F400-F402</f>
        <v>1.88325110863153</v>
      </c>
      <c r="G403" s="15" t="n">
        <f aca="false">G400-G402</f>
        <v>2.16130471323936</v>
      </c>
    </row>
    <row r="404" customFormat="false" ht="15" hidden="false" customHeight="false" outlineLevel="0" collapsed="false">
      <c r="A404" s="5" t="s">
        <v>526</v>
      </c>
      <c r="B404" s="0" t="s">
        <v>144</v>
      </c>
      <c r="C404" s="16" t="n">
        <f aca="false">C403/C395</f>
        <v>0.392253599601185</v>
      </c>
      <c r="D404" s="16" t="n">
        <f aca="false">D403/D395</f>
        <v>0.41812499701316</v>
      </c>
      <c r="E404" s="16" t="n">
        <f aca="false">E403/E395</f>
        <v>0.429797225982565</v>
      </c>
      <c r="F404" s="16" t="n">
        <f aca="false">F403/F395</f>
        <v>0.436860895991058</v>
      </c>
      <c r="G404" s="16" t="n">
        <f aca="false">G403/G395</f>
        <v>0.440462472629576</v>
      </c>
    </row>
    <row r="405" customFormat="false" ht="15" hidden="false" customHeight="false" outlineLevel="0" collapsed="false">
      <c r="A405" s="5" t="s">
        <v>463</v>
      </c>
      <c r="B405" s="0" t="s">
        <v>30</v>
      </c>
      <c r="C405" s="15" t="n">
        <f aca="false">a25_ninc</f>
        <v>0.04473</v>
      </c>
      <c r="D405" s="15" t="n">
        <f aca="false">a26_ninc</f>
        <v>0.048658</v>
      </c>
      <c r="E405" s="15" t="n">
        <f aca="false">oth_f</f>
        <v>0.05</v>
      </c>
      <c r="F405" s="15" t="n">
        <f aca="false">oth_f</f>
        <v>0.05</v>
      </c>
      <c r="G405" s="15" t="n">
        <f aca="false">oth_f</f>
        <v>0.05</v>
      </c>
    </row>
    <row r="406" customFormat="false" ht="17.15" hidden="false" customHeight="false" outlineLevel="0" collapsed="false">
      <c r="A406" s="5" t="s">
        <v>468</v>
      </c>
      <c r="B406" s="0" t="s">
        <v>144</v>
      </c>
      <c r="C406" s="16" t="n">
        <f aca="false">a25_tx</f>
        <v>0.126922792876435</v>
      </c>
      <c r="D406" s="16" t="n">
        <f aca="false">a26_tx</f>
        <v>0.117979802570636</v>
      </c>
      <c r="E406" s="16" t="n">
        <f aca="false">tx_27</f>
        <v>0.12</v>
      </c>
      <c r="F406" s="16" t="n">
        <f aca="false">tx_28</f>
        <v>0.12</v>
      </c>
      <c r="G406" s="16" t="n">
        <f aca="false">tx_29</f>
        <v>0.12</v>
      </c>
      <c r="H406" s="5" t="s">
        <v>557</v>
      </c>
    </row>
    <row r="407" customFormat="false" ht="15" hidden="false" customHeight="false" outlineLevel="0" collapsed="false">
      <c r="A407" s="5" t="s">
        <v>527</v>
      </c>
      <c r="B407" s="0" t="s">
        <v>30</v>
      </c>
      <c r="C407" s="15" t="n">
        <f aca="false">a25_ni</f>
        <v>0.331015</v>
      </c>
      <c r="D407" s="15" t="n">
        <f aca="false">a26_ni</f>
        <v>0.737454</v>
      </c>
      <c r="E407" s="15" t="n">
        <f aca="false">(E403+E405)*(1-E406)</f>
        <v>1.40910425947609</v>
      </c>
      <c r="F407" s="15" t="n">
        <f aca="false">(F403+F405)*(1-F406)</f>
        <v>1.70126097559575</v>
      </c>
      <c r="G407" s="15" t="n">
        <f aca="false">(G403+G405)*(1-G406)</f>
        <v>1.94594814765064</v>
      </c>
    </row>
    <row r="408" customFormat="false" ht="15" hidden="false" customHeight="false" outlineLevel="0" collapsed="false">
      <c r="A408" s="5" t="s">
        <v>470</v>
      </c>
      <c r="B408" s="0" t="s">
        <v>144</v>
      </c>
      <c r="C408" s="16" t="n">
        <f aca="false">C407/C395</f>
        <v>0.388276003636257</v>
      </c>
      <c r="D408" s="16" t="n">
        <f aca="false">D407/D395</f>
        <v>0.391583535155244</v>
      </c>
      <c r="E408" s="16" t="n">
        <f aca="false">E407/E395</f>
        <v>0.390412384931255</v>
      </c>
      <c r="F408" s="16" t="n">
        <f aca="false">F407/F395</f>
        <v>0.394644341748689</v>
      </c>
      <c r="G408" s="16" t="n">
        <f aca="false">G407/G395</f>
        <v>0.396573943263418</v>
      </c>
    </row>
    <row r="409" customFormat="false" ht="15" hidden="false" customHeight="false" outlineLevel="0" collapsed="false">
      <c r="A409" s="5" t="s">
        <v>558</v>
      </c>
      <c r="B409" s="5" t="s">
        <v>179</v>
      </c>
      <c r="C409" s="24" t="n">
        <f aca="false">a25_sh</f>
        <v>0.179551</v>
      </c>
      <c r="D409" s="24" t="n">
        <f aca="false">a26_sh</f>
        <v>0.18399925</v>
      </c>
      <c r="E409" s="24" t="n">
        <f aca="false">D409*(1+sh_g)</f>
        <v>0.18675923875</v>
      </c>
      <c r="F409" s="24" t="n">
        <f aca="false">E409*(1+sh_g)</f>
        <v>0.18956062733125</v>
      </c>
      <c r="G409" s="24" t="n">
        <f aca="false">F409*(1+sh_g)</f>
        <v>0.192404036741219</v>
      </c>
    </row>
    <row r="410" customFormat="false" ht="17.15" hidden="false" customHeight="false" outlineLevel="0" collapsed="false">
      <c r="A410" s="0" t="s">
        <v>473</v>
      </c>
      <c r="B410" s="0" t="s">
        <v>206</v>
      </c>
      <c r="C410" s="9" t="n">
        <f aca="false">C407/C409</f>
        <v>1.8435709074302</v>
      </c>
      <c r="D410" s="9" t="n">
        <f aca="false">D407/D409</f>
        <v>4.00791851053741</v>
      </c>
      <c r="E410" s="9" t="n">
        <f aca="false">E407/E409</f>
        <v>7.5450310726654</v>
      </c>
      <c r="F410" s="9" t="n">
        <f aca="false">F407/F409</f>
        <v>8.97475915514281</v>
      </c>
      <c r="G410" s="9" t="n">
        <f aca="false">G407/G409</f>
        <v>10.1138634126888</v>
      </c>
    </row>
    <row r="411" customFormat="false" ht="17.15" hidden="false" customHeight="false" outlineLevel="0" collapsed="false">
      <c r="A411" s="0" t="s">
        <v>559</v>
      </c>
      <c r="B411" s="0" t="s">
        <v>144</v>
      </c>
      <c r="D411" s="16" t="n">
        <f aca="false">D410/C410-1</f>
        <v>1.17399748194342</v>
      </c>
      <c r="E411" s="16" t="n">
        <f aca="false">E410/D410-1</f>
        <v>0.882531057662076</v>
      </c>
      <c r="F411" s="16" t="n">
        <f aca="false">F410/E410-1</f>
        <v>0.189492669905246</v>
      </c>
      <c r="G411" s="16" t="n">
        <f aca="false">G410/F410-1</f>
        <v>0.126923100425844</v>
      </c>
    </row>
    <row r="414" customFormat="false" ht="17.15" hidden="false" customHeight="false" outlineLevel="0" collapsed="false">
      <c r="A414" s="3" t="s">
        <v>852</v>
      </c>
    </row>
    <row r="415" customFormat="false" ht="17.15" hidden="false" customHeight="false" outlineLevel="0" collapsed="false">
      <c r="A415" s="6" t="s">
        <v>19</v>
      </c>
      <c r="B415" s="6" t="s">
        <v>20</v>
      </c>
      <c r="C415" s="14" t="s">
        <v>447</v>
      </c>
      <c r="D415" s="14" t="s">
        <v>489</v>
      </c>
      <c r="E415" s="14" t="s">
        <v>490</v>
      </c>
      <c r="F415" s="14" t="s">
        <v>491</v>
      </c>
      <c r="G415" s="14" t="s">
        <v>492</v>
      </c>
      <c r="H415" s="6" t="s">
        <v>453</v>
      </c>
    </row>
    <row r="416" customFormat="false" ht="17.15" hidden="false" customHeight="false" outlineLevel="0" collapsed="false">
      <c r="A416" s="1" t="s">
        <v>536</v>
      </c>
    </row>
    <row r="417" customFormat="false" ht="17.15" hidden="false" customHeight="false" outlineLevel="0" collapsed="false">
      <c r="A417" s="5" t="s">
        <v>537</v>
      </c>
      <c r="B417" s="0" t="s">
        <v>30</v>
      </c>
      <c r="D417" s="18" t="n">
        <f aca="false">msx_26</f>
        <v>2.025</v>
      </c>
      <c r="E417" s="18" t="n">
        <f aca="false">msx_27</f>
        <v>7.701</v>
      </c>
      <c r="F417" s="18" t="n">
        <f aca="false">msx_28*um28_A</f>
        <v>9.468</v>
      </c>
      <c r="G417" s="18" t="n">
        <f aca="false">msx_29*um29_A</f>
        <v>10.8882</v>
      </c>
      <c r="H417" s="8" t="s">
        <v>538</v>
      </c>
    </row>
    <row r="418" customFormat="false" ht="17.15" hidden="false" customHeight="false" outlineLevel="0" collapsed="false">
      <c r="A418" s="0" t="s">
        <v>539</v>
      </c>
      <c r="B418" s="0" t="s">
        <v>144</v>
      </c>
      <c r="D418" s="20" t="n">
        <f aca="false">a26_x/D417</f>
        <v>0.187654320987654</v>
      </c>
      <c r="H418" s="8" t="s">
        <v>31</v>
      </c>
    </row>
    <row r="419" customFormat="false" ht="17.15" hidden="false" customHeight="false" outlineLevel="0" collapsed="false">
      <c r="A419" s="0" t="s">
        <v>540</v>
      </c>
      <c r="B419" s="0" t="s">
        <v>87</v>
      </c>
      <c r="D419" s="9" t="n">
        <f aca="false">1</f>
        <v>1</v>
      </c>
      <c r="E419" s="9" t="n">
        <f aca="false">rel_x_27</f>
        <v>1</v>
      </c>
      <c r="F419" s="9" t="n">
        <f aca="false">rel_x_28</f>
        <v>1.1</v>
      </c>
      <c r="G419" s="9" t="n">
        <f aca="false">rel_x_29</f>
        <v>1.15</v>
      </c>
    </row>
    <row r="420" customFormat="false" ht="17.15" hidden="false" customHeight="false" outlineLevel="0" collapsed="false">
      <c r="A420" s="0" t="s">
        <v>541</v>
      </c>
      <c r="B420" s="0" t="s">
        <v>144</v>
      </c>
      <c r="D420" s="20" t="n">
        <f aca="false">$D$418*D419</f>
        <v>0.187654320987654</v>
      </c>
      <c r="E420" s="20" t="n">
        <f aca="false">$D$418*E419</f>
        <v>0.187654320987654</v>
      </c>
      <c r="F420" s="20" t="n">
        <f aca="false">$D$418*F419</f>
        <v>0.20641975308642</v>
      </c>
      <c r="G420" s="20" t="n">
        <f aca="false">$D$418*G419</f>
        <v>0.215802469135802</v>
      </c>
    </row>
    <row r="421" customFormat="false" ht="17.15" hidden="false" customHeight="false" outlineLevel="0" collapsed="false">
      <c r="A421" s="0" t="s">
        <v>475</v>
      </c>
      <c r="B421" s="0" t="s">
        <v>30</v>
      </c>
      <c r="C421" s="15" t="n">
        <f aca="false">a25_x</f>
        <v>0</v>
      </c>
      <c r="D421" s="15" t="n">
        <f aca="false">a26_x</f>
        <v>0.38</v>
      </c>
      <c r="E421" s="15" t="n">
        <f aca="false">E417*E420</f>
        <v>1.44512592592593</v>
      </c>
      <c r="F421" s="15" t="n">
        <f aca="false">F417*F420</f>
        <v>1.95438222222222</v>
      </c>
      <c r="G421" s="15" t="n">
        <f aca="false">G417*G420</f>
        <v>2.34970044444444</v>
      </c>
    </row>
    <row r="422" customFormat="false" ht="17.15" hidden="false" customHeight="false" outlineLevel="0" collapsed="false">
      <c r="A422" s="1" t="s">
        <v>542</v>
      </c>
    </row>
    <row r="423" customFormat="false" ht="17.15" hidden="false" customHeight="false" outlineLevel="0" collapsed="false">
      <c r="A423" s="0" t="s">
        <v>543</v>
      </c>
      <c r="B423" s="5" t="s">
        <v>53</v>
      </c>
      <c r="D423" s="18" t="n">
        <f aca="false">u_26</f>
        <v>15.2</v>
      </c>
      <c r="E423" s="18" t="n">
        <f aca="false">u_27</f>
        <v>23.7</v>
      </c>
      <c r="F423" s="18" t="n">
        <f aca="false">u_28*um28_A</f>
        <v>26.5</v>
      </c>
      <c r="G423" s="18" t="n">
        <f aca="false">u_29*um29_A</f>
        <v>30.15</v>
      </c>
    </row>
    <row r="424" customFormat="false" ht="17.15" hidden="false" customHeight="false" outlineLevel="0" collapsed="false">
      <c r="A424" s="0" t="s">
        <v>544</v>
      </c>
      <c r="B424" s="0" t="s">
        <v>30</v>
      </c>
      <c r="D424" s="18" t="n">
        <f aca="false">D423*c_pcie/1000</f>
        <v>3.8</v>
      </c>
      <c r="E424" s="18" t="n">
        <f aca="false">E423*c_pcie/1000</f>
        <v>5.925</v>
      </c>
      <c r="F424" s="18" t="n">
        <f aca="false">F423*c_pcie/1000</f>
        <v>6.625</v>
      </c>
      <c r="G424" s="18" t="n">
        <f aca="false">G423*c_pcie/1000</f>
        <v>7.5375</v>
      </c>
      <c r="H424" s="8" t="s">
        <v>545</v>
      </c>
    </row>
    <row r="425" customFormat="false" ht="17.15" hidden="false" customHeight="false" outlineLevel="0" collapsed="false">
      <c r="A425" s="0" t="s">
        <v>546</v>
      </c>
      <c r="B425" s="0" t="s">
        <v>144</v>
      </c>
      <c r="D425" s="20" t="n">
        <f aca="false">a26_p/D424</f>
        <v>0.395595</v>
      </c>
    </row>
    <row r="426" customFormat="false" ht="17.15" hidden="false" customHeight="false" outlineLevel="0" collapsed="false">
      <c r="A426" s="0" t="s">
        <v>547</v>
      </c>
      <c r="B426" s="0" t="s">
        <v>87</v>
      </c>
      <c r="D426" s="9" t="n">
        <f aca="false">1</f>
        <v>1</v>
      </c>
      <c r="E426" s="9" t="n">
        <f aca="false">rel_p_27</f>
        <v>0.8</v>
      </c>
      <c r="F426" s="9" t="n">
        <f aca="false">rel_p_28</f>
        <v>0.75</v>
      </c>
      <c r="G426" s="9" t="n">
        <f aca="false">rel_p_29</f>
        <v>0.7</v>
      </c>
    </row>
    <row r="427" customFormat="false" ht="17.15" hidden="false" customHeight="false" outlineLevel="0" collapsed="false">
      <c r="A427" s="0" t="s">
        <v>548</v>
      </c>
      <c r="B427" s="0" t="s">
        <v>30</v>
      </c>
      <c r="C427" s="15" t="n">
        <f aca="false">a25_p</f>
        <v>0.852525</v>
      </c>
      <c r="D427" s="15" t="n">
        <f aca="false">a26_p</f>
        <v>1.503261</v>
      </c>
      <c r="E427" s="15" t="n">
        <f aca="false">E424*$D$425*E426</f>
        <v>1.8751203</v>
      </c>
      <c r="F427" s="15" t="n">
        <f aca="false">F424*$D$425*F426</f>
        <v>1.96561265625</v>
      </c>
      <c r="G427" s="15" t="n">
        <f aca="false">G424*$D$425*G426</f>
        <v>2.08725811875</v>
      </c>
    </row>
    <row r="428" customFormat="false" ht="17.15" hidden="false" customHeight="false" outlineLevel="0" collapsed="false">
      <c r="A428" s="1" t="s">
        <v>549</v>
      </c>
    </row>
    <row r="429" customFormat="false" ht="15" hidden="false" customHeight="false" outlineLevel="0" collapsed="false">
      <c r="A429" s="5" t="s">
        <v>454</v>
      </c>
      <c r="B429" s="0" t="s">
        <v>30</v>
      </c>
      <c r="C429" s="15" t="n">
        <f aca="false">a25_rev</f>
        <v>0.852525</v>
      </c>
      <c r="D429" s="15" t="n">
        <f aca="false">D421+D427</f>
        <v>1.883261</v>
      </c>
      <c r="E429" s="15" t="n">
        <f aca="false">E421+E427</f>
        <v>3.32024622592593</v>
      </c>
      <c r="F429" s="15" t="n">
        <f aca="false">F421+F427</f>
        <v>3.91999487847222</v>
      </c>
      <c r="G429" s="15" t="n">
        <f aca="false">G421+G427</f>
        <v>4.43695856319445</v>
      </c>
    </row>
    <row r="430" customFormat="false" ht="15" hidden="false" customHeight="false" outlineLevel="0" collapsed="false">
      <c r="A430" s="5" t="s">
        <v>550</v>
      </c>
      <c r="B430" s="0" t="s">
        <v>144</v>
      </c>
      <c r="D430" s="16" t="n">
        <f aca="false">D429/C429-1</f>
        <v>1.20903903111346</v>
      </c>
      <c r="E430" s="16" t="n">
        <f aca="false">E429/D429-1</f>
        <v>0.763030310682336</v>
      </c>
      <c r="F430" s="16" t="n">
        <f aca="false">F429/E429-1</f>
        <v>0.180633787898981</v>
      </c>
      <c r="G430" s="16" t="n">
        <f aca="false">G429/F429-1</f>
        <v>0.131878663301648</v>
      </c>
    </row>
    <row r="431" customFormat="false" ht="17.15" hidden="false" customHeight="false" outlineLevel="0" collapsed="false">
      <c r="A431" s="0" t="s">
        <v>477</v>
      </c>
      <c r="B431" s="0" t="s">
        <v>144</v>
      </c>
      <c r="C431" s="16" t="n">
        <f aca="false">C421/C429</f>
        <v>0</v>
      </c>
      <c r="D431" s="16" t="n">
        <f aca="false">D421/D429</f>
        <v>0.201777661195129</v>
      </c>
      <c r="E431" s="16" t="n">
        <f aca="false">E421/E429</f>
        <v>0.435246613531778</v>
      </c>
      <c r="F431" s="16" t="n">
        <f aca="false">F421/F429</f>
        <v>0.49856754480861</v>
      </c>
      <c r="G431" s="16" t="n">
        <f aca="false">G421/G429</f>
        <v>0.529574574785469</v>
      </c>
    </row>
    <row r="432" customFormat="false" ht="17.15" hidden="false" customHeight="false" outlineLevel="0" collapsed="false">
      <c r="A432" s="1" t="s">
        <v>551</v>
      </c>
    </row>
    <row r="433" customFormat="false" ht="17.15" hidden="false" customHeight="false" outlineLevel="0" collapsed="false">
      <c r="A433" s="5" t="s">
        <v>459</v>
      </c>
      <c r="B433" s="0" t="s">
        <v>144</v>
      </c>
      <c r="C433" s="16" t="n">
        <f aca="false">a25_gp/a25_rev</f>
        <v>0.758199466291311</v>
      </c>
      <c r="D433" s="16" t="n">
        <f aca="false">a26_gp/a26_rev</f>
        <v>0.729127030188593</v>
      </c>
      <c r="E433" s="16" t="n">
        <f aca="false">gm_27</f>
        <v>0.7</v>
      </c>
      <c r="F433" s="16" t="n">
        <f aca="false">gm_28</f>
        <v>0.695</v>
      </c>
      <c r="G433" s="16" t="n">
        <f aca="false">gm_29</f>
        <v>0.69</v>
      </c>
      <c r="H433" s="8" t="s">
        <v>552</v>
      </c>
    </row>
    <row r="434" customFormat="false" ht="15" hidden="false" customHeight="false" outlineLevel="0" collapsed="false">
      <c r="A434" s="5" t="s">
        <v>553</v>
      </c>
      <c r="B434" s="0" t="s">
        <v>30</v>
      </c>
      <c r="C434" s="15" t="n">
        <f aca="false">C429*C433</f>
        <v>0.646384</v>
      </c>
      <c r="D434" s="15" t="n">
        <f aca="false">D429*D433</f>
        <v>1.3731365</v>
      </c>
      <c r="E434" s="15" t="n">
        <f aca="false">E429*E433</f>
        <v>2.32417235814815</v>
      </c>
      <c r="F434" s="15" t="n">
        <f aca="false">F429*F433</f>
        <v>2.7243964405382</v>
      </c>
      <c r="G434" s="15" t="n">
        <f aca="false">G429*G433</f>
        <v>3.06150140860417</v>
      </c>
    </row>
    <row r="435" customFormat="false" ht="15" hidden="false" customHeight="false" outlineLevel="0" collapsed="false">
      <c r="A435" s="5" t="s">
        <v>554</v>
      </c>
      <c r="B435" s="0" t="s">
        <v>30</v>
      </c>
      <c r="C435" s="15" t="n">
        <f aca="false">a25_opx</f>
        <v>0.311978</v>
      </c>
      <c r="D435" s="15" t="n">
        <f aca="false">a26_opx</f>
        <v>0.585698</v>
      </c>
      <c r="E435" s="15" t="n">
        <f aca="false">D435*(1+MAX(0,phi_hi*E430))</f>
        <v>0.987912794215421</v>
      </c>
      <c r="F435" s="15" t="n">
        <f aca="false">E435*(1+MAX(0,phi_hi*F430))</f>
        <v>1.14851818133512</v>
      </c>
      <c r="G435" s="15" t="n">
        <f aca="false">F435*(1+MAX(0,phi_hi*G430))</f>
        <v>1.28483671961402</v>
      </c>
    </row>
    <row r="436" customFormat="false" ht="15" hidden="false" customHeight="false" outlineLevel="0" collapsed="false">
      <c r="A436" s="5" t="s">
        <v>555</v>
      </c>
      <c r="B436" s="0" t="s">
        <v>30</v>
      </c>
      <c r="C436" s="15" t="n">
        <f aca="false">C435</f>
        <v>0.311978</v>
      </c>
      <c r="D436" s="15" t="n">
        <f aca="false">D435</f>
        <v>0.585698</v>
      </c>
      <c r="E436" s="15" t="n">
        <f aca="false">E435+0*E429</f>
        <v>0.987912794215421</v>
      </c>
      <c r="F436" s="15" t="n">
        <f aca="false">F435+0*F429</f>
        <v>1.14851818133512</v>
      </c>
      <c r="G436" s="15" t="n">
        <f aca="false">G435+0*G429</f>
        <v>1.28483671961402</v>
      </c>
    </row>
    <row r="437" customFormat="false" ht="15" hidden="false" customHeight="false" outlineLevel="0" collapsed="false">
      <c r="A437" s="5" t="s">
        <v>556</v>
      </c>
      <c r="B437" s="0" t="s">
        <v>30</v>
      </c>
      <c r="C437" s="15" t="n">
        <f aca="false">C434-C436</f>
        <v>0.334406</v>
      </c>
      <c r="D437" s="15" t="n">
        <f aca="false">D434-D436</f>
        <v>0.7874385</v>
      </c>
      <c r="E437" s="15" t="n">
        <f aca="false">E434-E436</f>
        <v>1.33625956393273</v>
      </c>
      <c r="F437" s="15" t="n">
        <f aca="false">F434-F436</f>
        <v>1.57587825920308</v>
      </c>
      <c r="G437" s="15" t="n">
        <f aca="false">G434-G436</f>
        <v>1.77666468899014</v>
      </c>
    </row>
    <row r="438" customFormat="false" ht="15" hidden="false" customHeight="false" outlineLevel="0" collapsed="false">
      <c r="A438" s="5" t="s">
        <v>526</v>
      </c>
      <c r="B438" s="0" t="s">
        <v>144</v>
      </c>
      <c r="C438" s="16" t="n">
        <f aca="false">C437/C429</f>
        <v>0.392253599601185</v>
      </c>
      <c r="D438" s="16" t="n">
        <f aca="false">D437/D429</f>
        <v>0.41812499701316</v>
      </c>
      <c r="E438" s="16" t="n">
        <f aca="false">E437/E429</f>
        <v>0.402457972393322</v>
      </c>
      <c r="F438" s="16" t="n">
        <f aca="false">F437/F429</f>
        <v>0.402010285232122</v>
      </c>
      <c r="G438" s="16" t="n">
        <f aca="false">G437/G429</f>
        <v>0.400423998485803</v>
      </c>
    </row>
    <row r="439" customFormat="false" ht="15" hidden="false" customHeight="false" outlineLevel="0" collapsed="false">
      <c r="A439" s="5" t="s">
        <v>463</v>
      </c>
      <c r="B439" s="0" t="s">
        <v>30</v>
      </c>
      <c r="C439" s="15" t="n">
        <f aca="false">a25_ninc</f>
        <v>0.04473</v>
      </c>
      <c r="D439" s="15" t="n">
        <f aca="false">a26_ninc</f>
        <v>0.048658</v>
      </c>
      <c r="E439" s="15" t="n">
        <f aca="false">oth_f</f>
        <v>0.05</v>
      </c>
      <c r="F439" s="15" t="n">
        <f aca="false">oth_f</f>
        <v>0.05</v>
      </c>
      <c r="G439" s="15" t="n">
        <f aca="false">oth_f</f>
        <v>0.05</v>
      </c>
    </row>
    <row r="440" customFormat="false" ht="17.15" hidden="false" customHeight="false" outlineLevel="0" collapsed="false">
      <c r="A440" s="5" t="s">
        <v>468</v>
      </c>
      <c r="B440" s="0" t="s">
        <v>144</v>
      </c>
      <c r="C440" s="16" t="n">
        <f aca="false">a25_tx</f>
        <v>0.126922792876435</v>
      </c>
      <c r="D440" s="16" t="n">
        <f aca="false">a26_tx</f>
        <v>0.117979802570636</v>
      </c>
      <c r="E440" s="16" t="n">
        <f aca="false">tx_27</f>
        <v>0.12</v>
      </c>
      <c r="F440" s="16" t="n">
        <f aca="false">tx_28</f>
        <v>0.12</v>
      </c>
      <c r="G440" s="16" t="n">
        <f aca="false">tx_29</f>
        <v>0.12</v>
      </c>
      <c r="H440" s="5" t="s">
        <v>557</v>
      </c>
    </row>
    <row r="441" customFormat="false" ht="15" hidden="false" customHeight="false" outlineLevel="0" collapsed="false">
      <c r="A441" s="5" t="s">
        <v>527</v>
      </c>
      <c r="B441" s="0" t="s">
        <v>30</v>
      </c>
      <c r="C441" s="15" t="n">
        <f aca="false">a25_ni</f>
        <v>0.331015</v>
      </c>
      <c r="D441" s="15" t="n">
        <f aca="false">a26_ni</f>
        <v>0.737454</v>
      </c>
      <c r="E441" s="15" t="n">
        <f aca="false">(E437+E439)*(1-E440)</f>
        <v>1.2199084162608</v>
      </c>
      <c r="F441" s="15" t="n">
        <f aca="false">(F437+F439)*(1-F440)</f>
        <v>1.43077286809871</v>
      </c>
      <c r="G441" s="15" t="n">
        <f aca="false">(G437+G439)*(1-G440)</f>
        <v>1.60746492631133</v>
      </c>
    </row>
    <row r="442" customFormat="false" ht="15" hidden="false" customHeight="false" outlineLevel="0" collapsed="false">
      <c r="A442" s="5" t="s">
        <v>470</v>
      </c>
      <c r="B442" s="0" t="s">
        <v>144</v>
      </c>
      <c r="C442" s="16" t="n">
        <f aca="false">C441/C429</f>
        <v>0.388276003636257</v>
      </c>
      <c r="D442" s="16" t="n">
        <f aca="false">D441/D429</f>
        <v>0.391583535155244</v>
      </c>
      <c r="E442" s="16" t="n">
        <f aca="false">E441/E429</f>
        <v>0.36741504492505</v>
      </c>
      <c r="F442" s="16" t="n">
        <f aca="false">F441/F429</f>
        <v>0.364993555465138</v>
      </c>
      <c r="G442" s="16" t="n">
        <f aca="false">G441/G429</f>
        <v>0.362289821601131</v>
      </c>
    </row>
    <row r="443" customFormat="false" ht="15" hidden="false" customHeight="false" outlineLevel="0" collapsed="false">
      <c r="A443" s="5" t="s">
        <v>558</v>
      </c>
      <c r="B443" s="5" t="s">
        <v>179</v>
      </c>
      <c r="C443" s="24" t="n">
        <f aca="false">a25_sh</f>
        <v>0.179551</v>
      </c>
      <c r="D443" s="24" t="n">
        <f aca="false">a26_sh</f>
        <v>0.18399925</v>
      </c>
      <c r="E443" s="24" t="n">
        <f aca="false">D443*(1+sh_g)</f>
        <v>0.18675923875</v>
      </c>
      <c r="F443" s="24" t="n">
        <f aca="false">E443*(1+sh_g)</f>
        <v>0.18956062733125</v>
      </c>
      <c r="G443" s="24" t="n">
        <f aca="false">F443*(1+sh_g)</f>
        <v>0.192404036741219</v>
      </c>
    </row>
    <row r="444" customFormat="false" ht="17.15" hidden="false" customHeight="false" outlineLevel="0" collapsed="false">
      <c r="A444" s="0" t="s">
        <v>473</v>
      </c>
      <c r="B444" s="0" t="s">
        <v>206</v>
      </c>
      <c r="C444" s="9" t="n">
        <f aca="false">C441/C443</f>
        <v>1.8435709074302</v>
      </c>
      <c r="D444" s="9" t="n">
        <f aca="false">D441/D443</f>
        <v>4.00791851053741</v>
      </c>
      <c r="E444" s="9" t="n">
        <f aca="false">E441/E443</f>
        <v>6.53198430463618</v>
      </c>
      <c r="F444" s="9" t="n">
        <f aca="false">F441/F443</f>
        <v>7.54783779860828</v>
      </c>
      <c r="G444" s="9" t="n">
        <f aca="false">G441/G443</f>
        <v>8.35463202091414</v>
      </c>
    </row>
    <row r="445" customFormat="false" ht="17.15" hidden="false" customHeight="false" outlineLevel="0" collapsed="false">
      <c r="A445" s="0" t="s">
        <v>559</v>
      </c>
      <c r="B445" s="0" t="s">
        <v>144</v>
      </c>
      <c r="D445" s="16" t="n">
        <f aca="false">D444/C444-1</f>
        <v>1.17399748194342</v>
      </c>
      <c r="E445" s="16" t="n">
        <f aca="false">E444/D444-1</f>
        <v>0.629769738946196</v>
      </c>
      <c r="F445" s="16" t="n">
        <f aca="false">F444/E444-1</f>
        <v>0.155519892056551</v>
      </c>
      <c r="G445" s="16" t="n">
        <f aca="false">G444/F444-1</f>
        <v>0.10689077373319</v>
      </c>
    </row>
    <row r="448" customFormat="false" ht="17.15" hidden="false" customHeight="false" outlineLevel="0" collapsed="false">
      <c r="A448" s="3" t="s">
        <v>853</v>
      </c>
    </row>
    <row r="449" customFormat="false" ht="17.15" hidden="false" customHeight="false" outlineLevel="0" collapsed="false">
      <c r="A449" s="6" t="s">
        <v>19</v>
      </c>
      <c r="B449" s="6" t="s">
        <v>20</v>
      </c>
      <c r="C449" s="14" t="s">
        <v>447</v>
      </c>
      <c r="D449" s="14" t="s">
        <v>489</v>
      </c>
      <c r="E449" s="14" t="s">
        <v>490</v>
      </c>
      <c r="F449" s="14" t="s">
        <v>491</v>
      </c>
      <c r="G449" s="14" t="s">
        <v>492</v>
      </c>
      <c r="H449" s="6" t="s">
        <v>453</v>
      </c>
    </row>
    <row r="450" customFormat="false" ht="17.15" hidden="false" customHeight="false" outlineLevel="0" collapsed="false">
      <c r="A450" s="1" t="s">
        <v>536</v>
      </c>
    </row>
    <row r="451" customFormat="false" ht="17.15" hidden="false" customHeight="false" outlineLevel="0" collapsed="false">
      <c r="A451" s="5" t="s">
        <v>537</v>
      </c>
      <c r="B451" s="0" t="s">
        <v>30</v>
      </c>
      <c r="D451" s="18" t="n">
        <f aca="false">msx_26</f>
        <v>2.025</v>
      </c>
      <c r="E451" s="18" t="n">
        <f aca="false">msx_27</f>
        <v>7.701</v>
      </c>
      <c r="F451" s="18" t="n">
        <f aca="false">msx_28*um28_A</f>
        <v>9.468</v>
      </c>
      <c r="G451" s="18" t="n">
        <f aca="false">msx_29*um29_A</f>
        <v>10.8882</v>
      </c>
      <c r="H451" s="8" t="s">
        <v>538</v>
      </c>
    </row>
    <row r="452" customFormat="false" ht="17.15" hidden="false" customHeight="false" outlineLevel="0" collapsed="false">
      <c r="A452" s="0" t="s">
        <v>539</v>
      </c>
      <c r="B452" s="0" t="s">
        <v>144</v>
      </c>
      <c r="D452" s="20" t="n">
        <f aca="false">a26_x/D451</f>
        <v>0.187654320987654</v>
      </c>
      <c r="H452" s="8" t="s">
        <v>31</v>
      </c>
    </row>
    <row r="453" customFormat="false" ht="17.15" hidden="false" customHeight="false" outlineLevel="0" collapsed="false">
      <c r="A453" s="0" t="s">
        <v>540</v>
      </c>
      <c r="B453" s="0" t="s">
        <v>87</v>
      </c>
      <c r="D453" s="9" t="n">
        <f aca="false">1</f>
        <v>1</v>
      </c>
      <c r="E453" s="9" t="n">
        <f aca="false">rel_x_27</f>
        <v>1</v>
      </c>
      <c r="F453" s="9" t="n">
        <f aca="false">rel_x_28</f>
        <v>1.1</v>
      </c>
      <c r="G453" s="9" t="n">
        <f aca="false">rel_x_29</f>
        <v>1.15</v>
      </c>
    </row>
    <row r="454" customFormat="false" ht="17.15" hidden="false" customHeight="false" outlineLevel="0" collapsed="false">
      <c r="A454" s="0" t="s">
        <v>541</v>
      </c>
      <c r="B454" s="0" t="s">
        <v>144</v>
      </c>
      <c r="D454" s="20" t="n">
        <f aca="false">$D$452*D453</f>
        <v>0.187654320987654</v>
      </c>
      <c r="E454" s="20" t="n">
        <f aca="false">$D$452*E453</f>
        <v>0.187654320987654</v>
      </c>
      <c r="F454" s="20" t="n">
        <f aca="false">$D$452*F453</f>
        <v>0.20641975308642</v>
      </c>
      <c r="G454" s="20" t="n">
        <f aca="false">$D$452*G453</f>
        <v>0.215802469135802</v>
      </c>
    </row>
    <row r="455" customFormat="false" ht="17.15" hidden="false" customHeight="false" outlineLevel="0" collapsed="false">
      <c r="A455" s="0" t="s">
        <v>475</v>
      </c>
      <c r="B455" s="0" t="s">
        <v>30</v>
      </c>
      <c r="C455" s="15" t="n">
        <f aca="false">a25_x</f>
        <v>0</v>
      </c>
      <c r="D455" s="15" t="n">
        <f aca="false">a26_x</f>
        <v>0.38</v>
      </c>
      <c r="E455" s="15" t="n">
        <f aca="false">E451*E454</f>
        <v>1.44512592592593</v>
      </c>
      <c r="F455" s="15" t="n">
        <f aca="false">F451*F454</f>
        <v>1.95438222222222</v>
      </c>
      <c r="G455" s="15" t="n">
        <f aca="false">G451*G454</f>
        <v>2.34970044444444</v>
      </c>
    </row>
    <row r="456" customFormat="false" ht="17.15" hidden="false" customHeight="false" outlineLevel="0" collapsed="false">
      <c r="A456" s="1" t="s">
        <v>542</v>
      </c>
    </row>
    <row r="457" customFormat="false" ht="17.15" hidden="false" customHeight="false" outlineLevel="0" collapsed="false">
      <c r="A457" s="0" t="s">
        <v>543</v>
      </c>
      <c r="B457" s="5" t="s">
        <v>53</v>
      </c>
      <c r="D457" s="18" t="n">
        <f aca="false">u_26</f>
        <v>15.2</v>
      </c>
      <c r="E457" s="18" t="n">
        <f aca="false">u_27</f>
        <v>23.7</v>
      </c>
      <c r="F457" s="18" t="n">
        <f aca="false">u_28*um28_A</f>
        <v>26.5</v>
      </c>
      <c r="G457" s="18" t="n">
        <f aca="false">u_29*um29_A</f>
        <v>30.15</v>
      </c>
    </row>
    <row r="458" customFormat="false" ht="17.15" hidden="false" customHeight="false" outlineLevel="0" collapsed="false">
      <c r="A458" s="0" t="s">
        <v>544</v>
      </c>
      <c r="B458" s="0" t="s">
        <v>30</v>
      </c>
      <c r="D458" s="18" t="n">
        <f aca="false">D457*c_pcie/1000</f>
        <v>3.8</v>
      </c>
      <c r="E458" s="18" t="n">
        <f aca="false">E457*c_pcie/1000</f>
        <v>5.925</v>
      </c>
      <c r="F458" s="18" t="n">
        <f aca="false">F457*c_pcie/1000</f>
        <v>6.625</v>
      </c>
      <c r="G458" s="18" t="n">
        <f aca="false">G457*c_pcie/1000</f>
        <v>7.5375</v>
      </c>
      <c r="H458" s="8" t="s">
        <v>545</v>
      </c>
    </row>
    <row r="459" customFormat="false" ht="17.15" hidden="false" customHeight="false" outlineLevel="0" collapsed="false">
      <c r="A459" s="0" t="s">
        <v>546</v>
      </c>
      <c r="B459" s="0" t="s">
        <v>144</v>
      </c>
      <c r="D459" s="20" t="n">
        <f aca="false">a26_p/D458</f>
        <v>0.395595</v>
      </c>
    </row>
    <row r="460" customFormat="false" ht="17.15" hidden="false" customHeight="false" outlineLevel="0" collapsed="false">
      <c r="A460" s="0" t="s">
        <v>547</v>
      </c>
      <c r="B460" s="0" t="s">
        <v>87</v>
      </c>
      <c r="D460" s="9" t="n">
        <f aca="false">1</f>
        <v>1</v>
      </c>
      <c r="E460" s="9" t="n">
        <f aca="false">rel_p_27</f>
        <v>0.8</v>
      </c>
      <c r="F460" s="9" t="n">
        <f aca="false">rel_p_28</f>
        <v>0.75</v>
      </c>
      <c r="G460" s="9" t="n">
        <f aca="false">rel_p_29</f>
        <v>0.7</v>
      </c>
    </row>
    <row r="461" customFormat="false" ht="17.15" hidden="false" customHeight="false" outlineLevel="0" collapsed="false">
      <c r="A461" s="0" t="s">
        <v>548</v>
      </c>
      <c r="B461" s="0" t="s">
        <v>30</v>
      </c>
      <c r="C461" s="15" t="n">
        <f aca="false">a25_p</f>
        <v>0.852525</v>
      </c>
      <c r="D461" s="15" t="n">
        <f aca="false">a26_p</f>
        <v>1.503261</v>
      </c>
      <c r="E461" s="15" t="n">
        <f aca="false">E458*$D$459*E460</f>
        <v>1.8751203</v>
      </c>
      <c r="F461" s="15" t="n">
        <f aca="false">F458*$D$459*F460</f>
        <v>1.96561265625</v>
      </c>
      <c r="G461" s="15" t="n">
        <f aca="false">G458*$D$459*G460</f>
        <v>2.08725811875</v>
      </c>
    </row>
    <row r="462" customFormat="false" ht="17.15" hidden="false" customHeight="false" outlineLevel="0" collapsed="false">
      <c r="A462" s="1" t="s">
        <v>549</v>
      </c>
    </row>
    <row r="463" customFormat="false" ht="15" hidden="false" customHeight="false" outlineLevel="0" collapsed="false">
      <c r="A463" s="5" t="s">
        <v>454</v>
      </c>
      <c r="B463" s="0" t="s">
        <v>30</v>
      </c>
      <c r="C463" s="15" t="n">
        <f aca="false">a25_rev</f>
        <v>0.852525</v>
      </c>
      <c r="D463" s="15" t="n">
        <f aca="false">D455+D461</f>
        <v>1.883261</v>
      </c>
      <c r="E463" s="15" t="n">
        <f aca="false">E455+E461</f>
        <v>3.32024622592593</v>
      </c>
      <c r="F463" s="15" t="n">
        <f aca="false">F455+F461</f>
        <v>3.91999487847222</v>
      </c>
      <c r="G463" s="15" t="n">
        <f aca="false">G455+G461</f>
        <v>4.43695856319445</v>
      </c>
    </row>
    <row r="464" customFormat="false" ht="15" hidden="false" customHeight="false" outlineLevel="0" collapsed="false">
      <c r="A464" s="5" t="s">
        <v>550</v>
      </c>
      <c r="B464" s="0" t="s">
        <v>144</v>
      </c>
      <c r="D464" s="16" t="n">
        <f aca="false">D463/C463-1</f>
        <v>1.20903903111346</v>
      </c>
      <c r="E464" s="16" t="n">
        <f aca="false">E463/D463-1</f>
        <v>0.763030310682336</v>
      </c>
      <c r="F464" s="16" t="n">
        <f aca="false">F463/E463-1</f>
        <v>0.180633787898981</v>
      </c>
      <c r="G464" s="16" t="n">
        <f aca="false">G463/F463-1</f>
        <v>0.131878663301648</v>
      </c>
    </row>
    <row r="465" customFormat="false" ht="17.15" hidden="false" customHeight="false" outlineLevel="0" collapsed="false">
      <c r="A465" s="0" t="s">
        <v>477</v>
      </c>
      <c r="B465" s="0" t="s">
        <v>144</v>
      </c>
      <c r="C465" s="16" t="n">
        <f aca="false">C455/C463</f>
        <v>0</v>
      </c>
      <c r="D465" s="16" t="n">
        <f aca="false">D455/D463</f>
        <v>0.201777661195129</v>
      </c>
      <c r="E465" s="16" t="n">
        <f aca="false">E455/E463</f>
        <v>0.435246613531778</v>
      </c>
      <c r="F465" s="16" t="n">
        <f aca="false">F455/F463</f>
        <v>0.49856754480861</v>
      </c>
      <c r="G465" s="16" t="n">
        <f aca="false">G455/G463</f>
        <v>0.529574574785469</v>
      </c>
    </row>
    <row r="466" customFormat="false" ht="17.15" hidden="false" customHeight="false" outlineLevel="0" collapsed="false">
      <c r="A466" s="1" t="s">
        <v>551</v>
      </c>
    </row>
    <row r="467" customFormat="false" ht="17.15" hidden="false" customHeight="false" outlineLevel="0" collapsed="false">
      <c r="A467" s="5" t="s">
        <v>459</v>
      </c>
      <c r="B467" s="0" t="s">
        <v>144</v>
      </c>
      <c r="C467" s="16" t="n">
        <f aca="false">a25_gp/a25_rev</f>
        <v>0.758199466291311</v>
      </c>
      <c r="D467" s="16" t="n">
        <f aca="false">a26_gp/a26_rev</f>
        <v>0.729127030188593</v>
      </c>
      <c r="E467" s="16" t="n">
        <f aca="false">gm_27</f>
        <v>0.7</v>
      </c>
      <c r="F467" s="16" t="n">
        <f aca="false">gm_28</f>
        <v>0.695</v>
      </c>
      <c r="G467" s="16" t="n">
        <f aca="false">gm_29</f>
        <v>0.69</v>
      </c>
      <c r="H467" s="8" t="s">
        <v>552</v>
      </c>
    </row>
    <row r="468" customFormat="false" ht="15" hidden="false" customHeight="false" outlineLevel="0" collapsed="false">
      <c r="A468" s="5" t="s">
        <v>553</v>
      </c>
      <c r="B468" s="0" t="s">
        <v>30</v>
      </c>
      <c r="C468" s="15" t="n">
        <f aca="false">C463*C467</f>
        <v>0.646384</v>
      </c>
      <c r="D468" s="15" t="n">
        <f aca="false">D463*D467</f>
        <v>1.3731365</v>
      </c>
      <c r="E468" s="15" t="n">
        <f aca="false">E463*E467</f>
        <v>2.32417235814815</v>
      </c>
      <c r="F468" s="15" t="n">
        <f aca="false">F463*F467</f>
        <v>2.7243964405382</v>
      </c>
      <c r="G468" s="15" t="n">
        <f aca="false">G463*G467</f>
        <v>3.06150140860417</v>
      </c>
    </row>
    <row r="469" customFormat="false" ht="15" hidden="false" customHeight="false" outlineLevel="0" collapsed="false">
      <c r="A469" s="5" t="s">
        <v>554</v>
      </c>
      <c r="B469" s="0" t="s">
        <v>30</v>
      </c>
      <c r="C469" s="15" t="n">
        <f aca="false">a25_opx</f>
        <v>0.311978</v>
      </c>
      <c r="D469" s="15" t="n">
        <f aca="false">a26_opx</f>
        <v>0.585698</v>
      </c>
      <c r="E469" s="15" t="n">
        <f aca="false">D469*(1+MAX(0,phi*E464))</f>
        <v>0.910006081951151</v>
      </c>
      <c r="F469" s="15" t="n">
        <f aca="false">E469*(1+MAX(0,phi*F464))</f>
        <v>1.02929099669786</v>
      </c>
      <c r="G469" s="15" t="n">
        <f aca="false">F469*(1+MAX(0,phi*G464))</f>
        <v>1.12779524267376</v>
      </c>
    </row>
    <row r="470" customFormat="false" ht="15" hidden="false" customHeight="false" outlineLevel="0" collapsed="false">
      <c r="A470" s="5" t="s">
        <v>555</v>
      </c>
      <c r="B470" s="0" t="s">
        <v>30</v>
      </c>
      <c r="C470" s="15" t="n">
        <f aca="false">C469</f>
        <v>0.311978</v>
      </c>
      <c r="D470" s="15" t="n">
        <f aca="false">D469</f>
        <v>0.585698</v>
      </c>
      <c r="E470" s="15" t="n">
        <f aca="false">E469+opx_adj_hi*E463</f>
        <v>0.976411006469669</v>
      </c>
      <c r="F470" s="15" t="n">
        <f aca="false">F469+opx_adj_hi*F463</f>
        <v>1.1076908942673</v>
      </c>
      <c r="G470" s="15" t="n">
        <f aca="false">G469+opx_adj_hi*G463</f>
        <v>1.21653441393764</v>
      </c>
    </row>
    <row r="471" customFormat="false" ht="15" hidden="false" customHeight="false" outlineLevel="0" collapsed="false">
      <c r="A471" s="5" t="s">
        <v>556</v>
      </c>
      <c r="B471" s="0" t="s">
        <v>30</v>
      </c>
      <c r="C471" s="15" t="n">
        <f aca="false">C468-C470</f>
        <v>0.334406</v>
      </c>
      <c r="D471" s="15" t="n">
        <f aca="false">D468-D470</f>
        <v>0.7874385</v>
      </c>
      <c r="E471" s="15" t="n">
        <f aca="false">E468-E470</f>
        <v>1.34776135167848</v>
      </c>
      <c r="F471" s="15" t="n">
        <f aca="false">F468-F470</f>
        <v>1.61670554627089</v>
      </c>
      <c r="G471" s="15" t="n">
        <f aca="false">G468-G470</f>
        <v>1.84496699466652</v>
      </c>
    </row>
    <row r="472" customFormat="false" ht="15" hidden="false" customHeight="false" outlineLevel="0" collapsed="false">
      <c r="A472" s="5" t="s">
        <v>526</v>
      </c>
      <c r="B472" s="0" t="s">
        <v>144</v>
      </c>
      <c r="C472" s="16" t="n">
        <f aca="false">C471/C463</f>
        <v>0.392253599601185</v>
      </c>
      <c r="D472" s="16" t="n">
        <f aca="false">D471/D463</f>
        <v>0.41812499701316</v>
      </c>
      <c r="E472" s="16" t="n">
        <f aca="false">E471/E463</f>
        <v>0.405922109376881</v>
      </c>
      <c r="F472" s="16" t="n">
        <f aca="false">F471/F463</f>
        <v>0.41242542309162</v>
      </c>
      <c r="G472" s="16" t="n">
        <f aca="false">G471/G463</f>
        <v>0.415817945646582</v>
      </c>
    </row>
    <row r="473" customFormat="false" ht="15" hidden="false" customHeight="false" outlineLevel="0" collapsed="false">
      <c r="A473" s="5" t="s">
        <v>463</v>
      </c>
      <c r="B473" s="0" t="s">
        <v>30</v>
      </c>
      <c r="C473" s="15" t="n">
        <f aca="false">a25_ninc</f>
        <v>0.04473</v>
      </c>
      <c r="D473" s="15" t="n">
        <f aca="false">a26_ninc</f>
        <v>0.048658</v>
      </c>
      <c r="E473" s="15" t="n">
        <f aca="false">oth_f</f>
        <v>0.05</v>
      </c>
      <c r="F473" s="15" t="n">
        <f aca="false">oth_f</f>
        <v>0.05</v>
      </c>
      <c r="G473" s="15" t="n">
        <f aca="false">oth_f</f>
        <v>0.05</v>
      </c>
    </row>
    <row r="474" customFormat="false" ht="17.15" hidden="false" customHeight="false" outlineLevel="0" collapsed="false">
      <c r="A474" s="5" t="s">
        <v>468</v>
      </c>
      <c r="B474" s="0" t="s">
        <v>144</v>
      </c>
      <c r="C474" s="16" t="n">
        <f aca="false">a25_tx</f>
        <v>0.126922792876435</v>
      </c>
      <c r="D474" s="16" t="n">
        <f aca="false">a26_tx</f>
        <v>0.117979802570636</v>
      </c>
      <c r="E474" s="16" t="n">
        <f aca="false">tx_27</f>
        <v>0.12</v>
      </c>
      <c r="F474" s="16" t="n">
        <f aca="false">tx_28</f>
        <v>0.12</v>
      </c>
      <c r="G474" s="16" t="n">
        <f aca="false">tx_29</f>
        <v>0.12</v>
      </c>
      <c r="H474" s="5" t="s">
        <v>557</v>
      </c>
    </row>
    <row r="475" customFormat="false" ht="15" hidden="false" customHeight="false" outlineLevel="0" collapsed="false">
      <c r="A475" s="5" t="s">
        <v>527</v>
      </c>
      <c r="B475" s="0" t="s">
        <v>30</v>
      </c>
      <c r="C475" s="15" t="n">
        <f aca="false">a25_ni</f>
        <v>0.331015</v>
      </c>
      <c r="D475" s="15" t="n">
        <f aca="false">a26_ni</f>
        <v>0.737454</v>
      </c>
      <c r="E475" s="15" t="n">
        <f aca="false">(E471+E473)*(1-E474)</f>
        <v>1.23002998947706</v>
      </c>
      <c r="F475" s="15" t="n">
        <f aca="false">(F471+F473)*(1-F474)</f>
        <v>1.46670088071838</v>
      </c>
      <c r="G475" s="15" t="n">
        <f aca="false">(G471+G473)*(1-G474)</f>
        <v>1.66757095530654</v>
      </c>
    </row>
    <row r="476" customFormat="false" ht="15" hidden="false" customHeight="false" outlineLevel="0" collapsed="false">
      <c r="A476" s="5" t="s">
        <v>470</v>
      </c>
      <c r="B476" s="0" t="s">
        <v>144</v>
      </c>
      <c r="C476" s="16" t="n">
        <f aca="false">C475/C463</f>
        <v>0.388276003636257</v>
      </c>
      <c r="D476" s="16" t="n">
        <f aca="false">D475/D463</f>
        <v>0.391583535155244</v>
      </c>
      <c r="E476" s="16" t="n">
        <f aca="false">E475/E463</f>
        <v>0.370463485470581</v>
      </c>
      <c r="F476" s="16" t="n">
        <f aca="false">F475/F463</f>
        <v>0.374158876781496</v>
      </c>
      <c r="G476" s="16" t="n">
        <f aca="false">G475/G463</f>
        <v>0.375836495102616</v>
      </c>
    </row>
    <row r="477" customFormat="false" ht="15" hidden="false" customHeight="false" outlineLevel="0" collapsed="false">
      <c r="A477" s="5" t="s">
        <v>558</v>
      </c>
      <c r="B477" s="5" t="s">
        <v>179</v>
      </c>
      <c r="C477" s="24" t="n">
        <f aca="false">a25_sh</f>
        <v>0.179551</v>
      </c>
      <c r="D477" s="24" t="n">
        <f aca="false">a26_sh</f>
        <v>0.18399925</v>
      </c>
      <c r="E477" s="24" t="n">
        <f aca="false">D477*(1+sh_g)</f>
        <v>0.18675923875</v>
      </c>
      <c r="F477" s="24" t="n">
        <f aca="false">E477*(1+sh_g)</f>
        <v>0.18956062733125</v>
      </c>
      <c r="G477" s="24" t="n">
        <f aca="false">F477*(1+sh_g)</f>
        <v>0.192404036741219</v>
      </c>
    </row>
    <row r="478" customFormat="false" ht="17.15" hidden="false" customHeight="false" outlineLevel="0" collapsed="false">
      <c r="A478" s="0" t="s">
        <v>473</v>
      </c>
      <c r="B478" s="0" t="s">
        <v>206</v>
      </c>
      <c r="C478" s="9" t="n">
        <f aca="false">C475/C477</f>
        <v>1.8435709074302</v>
      </c>
      <c r="D478" s="9" t="n">
        <f aca="false">D475/D477</f>
        <v>4.00791851053741</v>
      </c>
      <c r="E478" s="9" t="n">
        <f aca="false">E475/E477</f>
        <v>6.58618014139374</v>
      </c>
      <c r="F478" s="9" t="n">
        <f aca="false">F475/F477</f>
        <v>7.73737089482923</v>
      </c>
      <c r="G478" s="9" t="n">
        <f aca="false">G475/G477</f>
        <v>8.66702686466711</v>
      </c>
    </row>
    <row r="479" customFormat="false" ht="17.15" hidden="false" customHeight="false" outlineLevel="0" collapsed="false">
      <c r="A479" s="0" t="s">
        <v>559</v>
      </c>
      <c r="B479" s="0" t="s">
        <v>144</v>
      </c>
      <c r="D479" s="16" t="n">
        <f aca="false">D478/C478-1</f>
        <v>1.17399748194342</v>
      </c>
      <c r="E479" s="16" t="n">
        <f aca="false">E478/D478-1</f>
        <v>0.643291929234016</v>
      </c>
      <c r="F479" s="16" t="n">
        <f aca="false">F478/E478-1</f>
        <v>0.174788834912111</v>
      </c>
      <c r="G479" s="16" t="n">
        <f aca="false">G478/F478-1</f>
        <v>0.120151403167083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854</v>
      </c>
    </row>
    <row r="2" customFormat="false" ht="17.15" hidden="false" customHeight="false" outlineLevel="0" collapsed="false">
      <c r="A2" s="5" t="s">
        <v>855</v>
      </c>
      <c r="B2" s="0" t="s">
        <v>856</v>
      </c>
    </row>
    <row r="3" customFormat="false" ht="17.15" hidden="false" customHeight="false" outlineLevel="0" collapsed="false">
      <c r="A3" s="5" t="s">
        <v>857</v>
      </c>
      <c r="B3" s="0" t="s">
        <v>858</v>
      </c>
    </row>
    <row r="4" customFormat="false" ht="17.15" hidden="false" customHeight="false" outlineLevel="0" collapsed="false">
      <c r="A4" s="5" t="s">
        <v>859</v>
      </c>
      <c r="B4" s="0" t="s">
        <v>252</v>
      </c>
    </row>
    <row r="5" customFormat="false" ht="17.15" hidden="false" customHeight="false" outlineLevel="0" collapsed="false">
      <c r="A5" s="5" t="s">
        <v>860</v>
      </c>
      <c r="B5" s="0" t="s">
        <v>861</v>
      </c>
    </row>
    <row r="6" customFormat="false" ht="17.15" hidden="false" customHeight="false" outlineLevel="0" collapsed="false">
      <c r="A6" s="5" t="s">
        <v>862</v>
      </c>
      <c r="B6" s="0" t="s">
        <v>863</v>
      </c>
    </row>
    <row r="7" customFormat="false" ht="17.15" hidden="false" customHeight="false" outlineLevel="0" collapsed="false">
      <c r="A7" s="5" t="s">
        <v>864</v>
      </c>
      <c r="B7" s="0" t="s">
        <v>865</v>
      </c>
    </row>
    <row r="8" customFormat="false" ht="17.15" hidden="false" customHeight="false" outlineLevel="0" collapsed="false">
      <c r="A8" s="5" t="s">
        <v>866</v>
      </c>
      <c r="B8" s="0" t="s">
        <v>867</v>
      </c>
    </row>
    <row r="9" customFormat="false" ht="17.15" hidden="false" customHeight="false" outlineLevel="0" collapsed="false">
      <c r="A9" s="5" t="s">
        <v>868</v>
      </c>
      <c r="B9" s="0" t="s">
        <v>869</v>
      </c>
    </row>
    <row r="10" customFormat="false" ht="17.15" hidden="false" customHeight="false" outlineLevel="0" collapsed="false">
      <c r="A10" s="5" t="s">
        <v>870</v>
      </c>
      <c r="B10" s="0" t="s">
        <v>871</v>
      </c>
    </row>
    <row r="11" customFormat="false" ht="17.15" hidden="false" customHeight="false" outlineLevel="0" collapsed="false">
      <c r="A11" s="5" t="s">
        <v>872</v>
      </c>
      <c r="B11" s="0" t="s">
        <v>873</v>
      </c>
    </row>
    <row r="12" customFormat="false" ht="17.15" hidden="false" customHeight="false" outlineLevel="0" collapsed="false">
      <c r="A12" s="5" t="s">
        <v>874</v>
      </c>
      <c r="B12" s="0" t="s">
        <v>875</v>
      </c>
    </row>
    <row r="13" customFormat="false" ht="17.15" hidden="false" customHeight="false" outlineLevel="0" collapsed="false">
      <c r="A13" s="5" t="s">
        <v>876</v>
      </c>
      <c r="B13" s="0" t="s">
        <v>877</v>
      </c>
    </row>
    <row r="14" customFormat="false" ht="17.15" hidden="false" customHeight="false" outlineLevel="0" collapsed="false">
      <c r="A14" s="5" t="s">
        <v>878</v>
      </c>
      <c r="B14" s="0" t="s">
        <v>879</v>
      </c>
    </row>
    <row r="15" customFormat="false" ht="17.15" hidden="false" customHeight="false" outlineLevel="0" collapsed="false">
      <c r="A15" s="5" t="s">
        <v>880</v>
      </c>
      <c r="B15" s="0" t="s">
        <v>881</v>
      </c>
    </row>
    <row r="16" customFormat="false" ht="17.15" hidden="false" customHeight="false" outlineLevel="0" collapsed="false">
      <c r="A16" s="5" t="s">
        <v>882</v>
      </c>
      <c r="B16" s="0" t="s">
        <v>883</v>
      </c>
    </row>
    <row r="17" customFormat="false" ht="17.15" hidden="false" customHeight="false" outlineLevel="0" collapsed="false">
      <c r="A17" s="5" t="s">
        <v>884</v>
      </c>
      <c r="B17" s="0" t="s">
        <v>294</v>
      </c>
    </row>
    <row r="18" customFormat="false" ht="17.15" hidden="false" customHeight="false" outlineLevel="0" collapsed="false">
      <c r="A18" s="5" t="s">
        <v>885</v>
      </c>
      <c r="B18" s="0" t="s">
        <v>886</v>
      </c>
    </row>
    <row r="19" customFormat="false" ht="17.15" hidden="false" customHeight="false" outlineLevel="0" collapsed="false">
      <c r="A19" s="5" t="s">
        <v>887</v>
      </c>
    </row>
    <row r="20" customFormat="false" ht="17.15" hidden="false" customHeight="false" outlineLevel="0" collapsed="false">
      <c r="A20" s="5" t="s">
        <v>888</v>
      </c>
      <c r="B20" s="5" t="s">
        <v>889</v>
      </c>
    </row>
    <row r="21" customFormat="false" ht="15" hidden="false" customHeight="false" outlineLevel="0" collapsed="false">
      <c r="A21" s="0" t="s">
        <v>890</v>
      </c>
      <c r="B21" s="5" t="s">
        <v>891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2026-10-26T13:47:12Z</dcterms:created>
  <dc:creator>openpyxl</dc:creator>
  <dc:description/>
  <dc:language>en-US</dc:language>
  <cp:lastModifiedBy/>
  <dcterms:modified xsi:type="dcterms:W3CDTF">2026-10-26T13:47:12Z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