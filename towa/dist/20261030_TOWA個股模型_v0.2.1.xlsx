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In!$E$9</definedName>
    <definedName function="false" hidden="false" name="a25_gp" vbProcedure="false">In!$E$6</definedName>
    <definedName function="false" hidden="false" name="a25_ni" vbProcedure="false">In!$E$8</definedName>
    <definedName function="false" hidden="false" name="a25_oi" vbProcedure="false">In!$E$7</definedName>
    <definedName function="false" hidden="false" name="a25_rev" vbProcedure="false">In!$E$5</definedName>
    <definedName function="false" hidden="false" name="ai_25" vbProcedure="false">In!$E$21</definedName>
    <definedName function="false" hidden="false" name="ai_25_hi" vbProcedure="false">In!$F$21</definedName>
    <definedName function="false" hidden="false" name="ai_25_lo" vbProcedure="false">In!$D$21</definedName>
    <definedName function="false" hidden="false" name="bl_25" vbProcedure="false">In!$E$18</definedName>
    <definedName function="false" hidden="false" name="cons_feps" vbProcedure="false">In!$E$147</definedName>
    <definedName function="false" hidden="false" name="cons_ni26" vbProcedure="false">In!$E$130</definedName>
    <definedName function="false" hidden="false" name="cons_oi26" vbProcedure="false">In!$E$129</definedName>
    <definedName function="false" hidden="false" name="cons_rev26" vbProcedure="false">In!$E$128</definedName>
    <definedName function="false" hidden="false" name="cons_rev26_hi" vbProcedure="false">In!$F$128</definedName>
    <definedName function="false" hidden="false" name="cons_rev26_lo" vbProcedure="false">In!$D$128</definedName>
    <definedName function="false" hidden="false" name="cons_tp" vbProcedure="false">In!$E$146</definedName>
    <definedName function="false" hidden="false" name="cw_25" vbProcedure="false">In!$E$52</definedName>
    <definedName function="false" hidden="false" name="cw_25_hi" vbProcedure="false">In!$F$52</definedName>
    <definedName function="false" hidden="false" name="cw_25_lo" vbProcedure="false">In!$D$52</definedName>
    <definedName function="false" hidden="false" name="cw_26" vbProcedure="false">In!$E$53</definedName>
    <definedName function="false" hidden="false" name="cw_27" vbProcedure="false">In!$E$54</definedName>
    <definedName function="false" hidden="false" name="cw_28" vbProcedure="false">In!$E$55</definedName>
    <definedName function="false" hidden="false" name="cw_29" vbProcedure="false">In!$E$56</definedName>
    <definedName function="false" hidden="false" name="den_25" vbProcedure="false">In!$E$39</definedName>
    <definedName function="false" hidden="false" name="den_25_hi" vbProcedure="false">In!$F$39</definedName>
    <definedName function="false" hidden="false" name="den_25_lo" vbProcedure="false">In!$D$39</definedName>
    <definedName function="false" hidden="false" name="den_26" vbProcedure="false">In!$E$40</definedName>
    <definedName function="false" hidden="false" name="den_26_hi" vbProcedure="false">In!$F$40</definedName>
    <definedName function="false" hidden="false" name="den_26_lo" vbProcedure="false">In!$D$40</definedName>
    <definedName function="false" hidden="false" name="den_27" vbProcedure="false">In!$E$41</definedName>
    <definedName function="false" hidden="false" name="den_27_hi" vbProcedure="false">In!$F$41</definedName>
    <definedName function="false" hidden="false" name="den_27_lo" vbProcedure="false">In!$D$41</definedName>
    <definedName function="false" hidden="false" name="den_28" vbProcedure="false">In!$E$42</definedName>
    <definedName function="false" hidden="false" name="den_28_hi" vbProcedure="false">In!$F$42</definedName>
    <definedName function="false" hidden="false" name="den_28_lo" vbProcedure="false">In!$D$42</definedName>
    <definedName function="false" hidden="false" name="den_29" vbProcedure="false">In!$E$43</definedName>
    <definedName function="false" hidden="false" name="den_29_hi" vbProcedure="false">In!$F$43</definedName>
    <definedName function="false" hidden="false" name="den_29_lo" vbProcedure="false">In!$D$43</definedName>
    <definedName function="false" hidden="false" name="dlt" vbProcedure="false">In!$E$49</definedName>
    <definedName function="false" hidden="false" name="dlt_hi" vbProcedure="false">In!$F$49</definedName>
    <definedName function="false" hidden="false" name="dlt_lo" vbProcedure="false">In!$D$49</definedName>
    <definedName function="false" hidden="false" name="eqaA_25" vbProcedure="false">In!$E$74</definedName>
    <definedName function="false" hidden="false" name="eqaA_26" vbProcedure="false">In!$E$75</definedName>
    <definedName function="false" hidden="false" name="eqaA_27" vbProcedure="false">In!$E$76</definedName>
    <definedName function="false" hidden="false" name="eqaA_28" vbProcedure="false">In!$E$77</definedName>
    <definedName function="false" hidden="false" name="eqaA_29" vbProcedure="false">In!$E$78</definedName>
    <definedName function="false" hidden="false" name="eqaB_25" vbProcedure="false">In!$E$84</definedName>
    <definedName function="false" hidden="false" name="eqaB_26" vbProcedure="false">In!$E$85</definedName>
    <definedName function="false" hidden="false" name="eqaB_27" vbProcedure="false">In!$E$86</definedName>
    <definedName function="false" hidden="false" name="eqaB_28" vbProcedure="false">In!$E$87</definedName>
    <definedName function="false" hidden="false" name="eqaB_29" vbProcedure="false">In!$E$88</definedName>
    <definedName function="false" hidden="false" name="eqaC_25" vbProcedure="false">In!$E$94</definedName>
    <definedName function="false" hidden="false" name="eqaC_26" vbProcedure="false">In!$E$95</definedName>
    <definedName function="false" hidden="false" name="eqaC_27" vbProcedure="false">In!$E$96</definedName>
    <definedName function="false" hidden="false" name="eqaC_28" vbProcedure="false">In!$E$97</definedName>
    <definedName function="false" hidden="false" name="eqaC_29" vbProcedure="false">In!$E$98</definedName>
    <definedName function="false" hidden="false" name="eqtA_25" vbProcedure="false">In!$E$69</definedName>
    <definedName function="false" hidden="false" name="eqtA_26" vbProcedure="false">In!$E$70</definedName>
    <definedName function="false" hidden="false" name="eqtA_27" vbProcedure="false">In!$E$71</definedName>
    <definedName function="false" hidden="false" name="eqtA_28" vbProcedure="false">In!$E$72</definedName>
    <definedName function="false" hidden="false" name="eqtA_29" vbProcedure="false">In!$E$73</definedName>
    <definedName function="false" hidden="false" name="eqtB_25" vbProcedure="false">In!$E$79</definedName>
    <definedName function="false" hidden="false" name="eqtB_26" vbProcedure="false">In!$E$80</definedName>
    <definedName function="false" hidden="false" name="eqtB_27" vbProcedure="false">In!$E$81</definedName>
    <definedName function="false" hidden="false" name="eqtB_28" vbProcedure="false">In!$E$82</definedName>
    <definedName function="false" hidden="false" name="eqtB_29" vbProcedure="false">In!$E$83</definedName>
    <definedName function="false" hidden="false" name="eqtC_25" vbProcedure="false">In!$E$89</definedName>
    <definedName function="false" hidden="false" name="eqtC_26" vbProcedure="false">In!$E$90</definedName>
    <definedName function="false" hidden="false" name="eqtC_27" vbProcedure="false">In!$E$91</definedName>
    <definedName function="false" hidden="false" name="eqtC_28" vbProcedure="false">In!$E$92</definedName>
    <definedName function="false" hidden="false" name="eqtC_29" vbProcedure="false">In!$E$93</definedName>
    <definedName function="false" hidden="false" name="g26_eps" vbProcedure="false">In!$E$124</definedName>
    <definedName function="false" hidden="false" name="g26_las" vbProcedure="false">In!$E$126</definedName>
    <definedName function="false" hidden="false" name="g26_ni" vbProcedure="false">In!$E$123</definedName>
    <definedName function="false" hidden="false" name="g26_oi" vbProcedure="false">In!$E$122</definedName>
    <definedName function="false" hidden="false" name="g26_rev" vbProcedure="false">In!$E$121</definedName>
    <definedName function="false" hidden="false" name="g26_semi" vbProcedure="false">In!$E$125</definedName>
    <definedName function="false" hidden="false" name="g_anc" vbProcedure="false">In!$E$127</definedName>
    <definedName function="false" hidden="false" name="g_anc_hi" vbProcedure="false">In!$F$127</definedName>
    <definedName function="false" hidden="false" name="g_anc_lo" vbProcedure="false">In!$D$127</definedName>
    <definedName function="false" hidden="false" name="g_med" vbProcedure="false">In!$E$102</definedName>
    <definedName function="false" hidden="false" name="g_med_hi" vbProcedure="false">In!$F$102</definedName>
    <definedName function="false" hidden="false" name="g_med_lo" vbProcedure="false">In!$D$102</definedName>
    <definedName function="false" hidden="false" name="g_pk_tail" vbProcedure="false">In!$E$99</definedName>
    <definedName function="false" hidden="false" name="g_pk_tail_hi" vbProcedure="false">In!$F$99</definedName>
    <definedName function="false" hidden="false" name="g_pk_tail_lo" vbProcedure="false">In!$D$99</definedName>
    <definedName function="false" hidden="false" name="g_tail" vbProcedure="false">In!$E$50</definedName>
    <definedName function="false" hidden="false" name="g_tail_hi" vbProcedure="false">In!$F$50</definedName>
    <definedName function="false" hidden="false" name="g_tail_lo" vbProcedure="false">In!$D$50</definedName>
    <definedName function="false" hidden="false" name="g_tss" vbProcedure="false">In!$E$101</definedName>
    <definedName function="false" hidden="false" name="g_tss_hi" vbProcedure="false">In!$F$101</definedName>
    <definedName function="false" hidden="false" name="g_tss_lo" vbProcedure="false">In!$D$101</definedName>
    <definedName function="false" hidden="false" name="h1g_oi" vbProcedure="false">In!$E$120</definedName>
    <definedName function="false" hidden="false" name="h1g_rev" vbProcedure="false">In!$E$119</definedName>
    <definedName function="false" hidden="false" name="hsA_25" vbProcedure="false">In!$E$24</definedName>
    <definedName function="false" hidden="false" name="hsA_26" vbProcedure="false">In!$E$25</definedName>
    <definedName function="false" hidden="false" name="hsA_27" vbProcedure="false">In!$E$26</definedName>
    <definedName function="false" hidden="false" name="hsA_28" vbProcedure="false">In!$E$27</definedName>
    <definedName function="false" hidden="false" name="hsA_29" vbProcedure="false">In!$E$28</definedName>
    <definedName function="false" hidden="false" name="hsB_25" vbProcedure="false">In!$E$29</definedName>
    <definedName function="false" hidden="false" name="hsB_26" vbProcedure="false">In!$E$30</definedName>
    <definedName function="false" hidden="false" name="hsB_27" vbProcedure="false">In!$E$31</definedName>
    <definedName function="false" hidden="false" name="hsB_28" vbProcedure="false">In!$E$32</definedName>
    <definedName function="false" hidden="false" name="hsB_29" vbProcedure="false">In!$E$33</definedName>
    <definedName function="false" hidden="false" name="hsC_25" vbProcedure="false">In!$E$34</definedName>
    <definedName function="false" hidden="false" name="hsC_26" vbProcedure="false">In!$E$35</definedName>
    <definedName function="false" hidden="false" name="hsC_27" vbProcedure="false">In!$E$36</definedName>
    <definedName function="false" hidden="false" name="hsC_28" vbProcedure="false">In!$E$37</definedName>
    <definedName function="false" hidden="false" name="hsC_29" vbProcedure="false">In!$E$38</definedName>
    <definedName function="false" hidden="false" name="im" vbProcedure="false">In!$E$111</definedName>
    <definedName function="false" hidden="false" name="ima_A" vbProcedure="false">In!$E$107</definedName>
    <definedName function="false" hidden="false" name="ima_A_hi" vbProcedure="false">In!$F$107</definedName>
    <definedName function="false" hidden="false" name="ima_A_lo" vbProcedure="false">In!$D$107</definedName>
    <definedName function="false" hidden="false" name="ima_B" vbProcedure="false">In!$E$108</definedName>
    <definedName function="false" hidden="false" name="ima_B_hi" vbProcedure="false">In!$F$108</definedName>
    <definedName function="false" hidden="false" name="ima_B_lo" vbProcedure="false">In!$D$108</definedName>
    <definedName function="false" hidden="false" name="ima_C" vbProcedure="false">In!$E$109</definedName>
    <definedName function="false" hidden="false" name="ima_C_hi" vbProcedure="false">In!$F$109</definedName>
    <definedName function="false" hidden="false" name="ima_C_lo" vbProcedure="false">In!$D$109</definedName>
    <definedName function="false" hidden="false" name="im_hi" vbProcedure="false">In!$F$111</definedName>
    <definedName function="false" hidden="false" name="im_lo" vbProcedure="false">In!$D$111</definedName>
    <definedName function="false" hidden="false" name="nim10" vbProcedure="false">In!$E$145</definedName>
    <definedName function="false" hidden="false" name="nioi" vbProcedure="false">In!$E$112</definedName>
    <definedName function="false" hidden="false" name="nioi_hi" vbProcedure="false">In!$F$112</definedName>
    <definedName function="false" hidden="false" name="nioi_lo" vbProcedure="false">In!$D$112</definedName>
    <definedName function="false" hidden="false" name="ord_25" vbProcedure="false">In!$E$17</definedName>
    <definedName function="false" hidden="false" name="pe_mid" vbProcedure="false">Val!$B$78</definedName>
    <definedName function="false" hidden="false" name="pe_peak" vbProcedure="false">Val!$B$77</definedName>
    <definedName function="false" hidden="false" name="pe_trough" vbProcedure="false">Val!$B$79</definedName>
    <definedName function="false" hidden="false" name="pk_25" vbProcedure="false">In!$E$64</definedName>
    <definedName function="false" hidden="false" name="pk_26" vbProcedure="false">In!$E$65</definedName>
    <definedName function="false" hidden="false" name="pk_27" vbProcedure="false">In!$E$66</definedName>
    <definedName function="false" hidden="false" name="pk_28" vbProcedure="false">In!$E$67</definedName>
    <definedName function="false" hidden="false" name="pk_29" vbProcedure="false">In!$E$68</definedName>
    <definedName function="false" hidden="false" name="pk_A" vbProcedure="false">In!$E$131</definedName>
    <definedName function="false" hidden="false" name="pk_B" vbProcedure="false">In!$E$132</definedName>
    <definedName function="false" hidden="false" name="pk_C" vbProcedure="false">In!$E$133</definedName>
    <definedName function="false" hidden="false" name="px" vbProcedure="false">In!$E$134</definedName>
    <definedName function="false" hidden="false" name="q1_eps" vbProcedure="false">In!$E$118</definedName>
    <definedName function="false" hidden="false" name="q1_ni" vbProcedure="false">In!$E$117</definedName>
    <definedName function="false" hidden="false" name="q1_oi" vbProcedure="false">In!$E$116</definedName>
    <definedName function="false" hidden="false" name="q1_rev" vbProcedure="false">In!$E$115</definedName>
    <definedName function="false" hidden="false" name="rm_factor" vbProcedure="false">Val!$B$144</definedName>
    <definedName function="false" hidden="false" name="sa_fpe" vbProcedure="false">In!$E$135</definedName>
    <definedName function="false" hidden="false" name="sa_ttm" vbProcedure="false">In!$E$136</definedName>
    <definedName function="false" hidden="false" name="sc_A" vbProcedure="false">PL!$D$89</definedName>
    <definedName function="false" hidden="false" name="seg_adj" vbProcedure="false">In!$E$16</definedName>
    <definedName function="false" hidden="false" name="seg_las" vbProcedure="false">In!$E$15</definedName>
    <definedName function="false" hidden="false" name="seg_med" vbProcedure="false">In!$E$14</definedName>
    <definedName function="false" hidden="false" name="seg_mold" vbProcedure="false">In!$E$11</definedName>
    <definedName function="false" hidden="false" name="seg_new" vbProcedure="false">In!$E$13</definedName>
    <definedName function="false" hidden="false" name="seg_osemi" vbProcedure="false">In!$E$12</definedName>
    <definedName function="false" hidden="false" name="seg_semi" vbProcedure="false">In!$E$10</definedName>
    <definedName function="false" hidden="false" name="sh" vbProcedure="false">In!$E$19</definedName>
    <definedName function="false" hidden="false" name="shares" vbProcedure="false">In!$E$113</definedName>
    <definedName function="false" hidden="false" name="shl_A" vbProcedure="false">In!$E$104</definedName>
    <definedName function="false" hidden="false" name="shl_A_hi" vbProcedure="false">In!$F$104</definedName>
    <definedName function="false" hidden="false" name="shl_A_lo" vbProcedure="false">In!$D$104</definedName>
    <definedName function="false" hidden="false" name="shl_B" vbProcedure="false">In!$E$105</definedName>
    <definedName function="false" hidden="false" name="shl_B_hi" vbProcedure="false">In!$F$105</definedName>
    <definedName function="false" hidden="false" name="shl_B_lo" vbProcedure="false">In!$D$105</definedName>
    <definedName function="false" hidden="false" name="shl_C" vbProcedure="false">In!$E$106</definedName>
    <definedName function="false" hidden="false" name="shl_C_hi" vbProcedure="false">In!$F$106</definedName>
    <definedName function="false" hidden="false" name="shl_C_lo" vbProcedure="false">In!$D$106</definedName>
    <definedName function="false" hidden="false" name="sh_hi" vbProcedure="false">In!$F$19</definedName>
    <definedName function="false" hidden="false" name="sh_lo" vbProcedure="false">In!$D$19</definedName>
    <definedName function="false" hidden="false" name="stk_25" vbProcedure="false">In!$E$44</definedName>
    <definedName function="false" hidden="false" name="stk_25_hi" vbProcedure="false">In!$F$44</definedName>
    <definedName function="false" hidden="false" name="stk_25_lo" vbProcedure="false">In!$D$44</definedName>
    <definedName function="false" hidden="false" name="stk_26" vbProcedure="false">In!$E$45</definedName>
    <definedName function="false" hidden="false" name="stk_26_hi" vbProcedure="false">In!$F$45</definedName>
    <definedName function="false" hidden="false" name="stk_26_lo" vbProcedure="false">In!$D$45</definedName>
    <definedName function="false" hidden="false" name="stk_27" vbProcedure="false">In!$E$46</definedName>
    <definedName function="false" hidden="false" name="stk_27_hi" vbProcedure="false">In!$F$46</definedName>
    <definedName function="false" hidden="false" name="stk_27_lo" vbProcedure="false">In!$D$46</definedName>
    <definedName function="false" hidden="false" name="stk_28" vbProcedure="false">In!$E$47</definedName>
    <definedName function="false" hidden="false" name="stk_28_hi" vbProcedure="false">In!$F$47</definedName>
    <definedName function="false" hidden="false" name="stk_28_lo" vbProcedure="false">In!$D$47</definedName>
    <definedName function="false" hidden="false" name="stk_29" vbProcedure="false">In!$E$48</definedName>
    <definedName function="false" hidden="false" name="stk_29_hi" vbProcedure="false">In!$F$48</definedName>
    <definedName function="false" hidden="false" name="stk_29_lo" vbProcedure="false">In!$D$48</definedName>
    <definedName function="false" hidden="false" name="tp_comp_adj" vbProcedure="false">Val!$B$145</definedName>
    <definedName function="false" hidden="false" name="tp_g" vbProcedure="false">In!$E$142</definedName>
    <definedName function="false" hidden="false" name="tp_r" vbProcedure="false">In!$E$141</definedName>
    <definedName function="false" hidden="false" name="tp_roe" vbProcedure="false">In!$E$143</definedName>
    <definedName function="false" hidden="false" name="tp_wA" vbProcedure="false">In!$E$138</definedName>
    <definedName function="false" hidden="false" name="tp_wB" vbProcedure="false">In!$E$139</definedName>
    <definedName function="false" hidden="false" name="tp_wC" vbProcedure="false">In!$E$140</definedName>
    <definedName function="false" hidden="false" name="tp_w_dcf" vbProcedure="false">In!$E$144</definedName>
    <definedName function="false" hidden="false" name="um28_A" vbProcedure="false">In!$E$57</definedName>
    <definedName function="false" hidden="false" name="um28_B" vbProcedure="false">In!$E$59</definedName>
    <definedName function="false" hidden="false" name="um28_C" vbProcedure="false">In!$E$61</definedName>
    <definedName function="false" hidden="false" name="um29_A" vbProcedure="false">In!$E$58</definedName>
    <definedName function="false" hidden="false" name="um29_B" vbProcedure="false">In!$E$60</definedName>
    <definedName function="false" hidden="false" name="um29_C" vbProcedure="false">In!$E$62</definedName>
    <definedName function="false" hidden="false" name="w_hbm" vbProcedure="false">In!$E$22</definedName>
    <definedName function="false" hidden="false" name="w_hbm_hi" vbProcedure="false">In!$F$22</definedName>
    <definedName function="false" hidden="false" name="w_hbm_lo" vbProcedure="false">In!$D$22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<sst xmlns="http://schemas.openxmlformats.org/spreadsheetml/2006/main" count="5149" uniqueCount="1100">
  <si>
    <r>
      <rPr>
        <b val="true"/>
        <sz val="11"/>
        <rFont val="Cambria"/>
        <family val="0"/>
        <charset val="1"/>
      </rPr>
      <t xml:space="preserve">TOWA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6315.T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</si>
  <si>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TOWA </t>
    </r>
    <r>
      <rPr>
        <sz val="11"/>
        <rFont val="Noto Sans CJK SC"/>
        <family val="2"/>
      </rPr>
      <t xml:space="preserve">握有封膠設備約 </t>
    </r>
    <r>
      <rPr>
        <sz val="11"/>
        <rFont val="Cambria"/>
        <family val="0"/>
        <charset val="1"/>
      </rPr>
      <t xml:space="preserve">2/3 </t>
    </r>
    <r>
      <rPr>
        <sz val="11"/>
        <rFont val="Noto Sans CJK SC"/>
        <family val="2"/>
      </rPr>
      <t xml:space="preserve">市占，但營收只有約兩成來自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封膠），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營益率僅 </t>
    </r>
    <r>
      <rPr>
        <sz val="11"/>
        <rFont val="Cambria"/>
        <family val="0"/>
        <charset val="1"/>
      </rPr>
      <t xml:space="preserve">12.7%</t>
    </r>
    <r>
      <rPr>
        <sz val="11"/>
        <rFont val="Noto Sans CJK SC"/>
        <family val="2"/>
      </rPr>
      <t xml:space="preserve">；問題是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堆疊與 </t>
    </r>
    <r>
      <rPr>
        <sz val="11"/>
        <rFont val="Cambria"/>
        <family val="0"/>
        <charset val="1"/>
      </rPr>
      <t xml:space="preserve">2.5D </t>
    </r>
    <r>
      <rPr>
        <sz val="11"/>
        <rFont val="Noto Sans CJK SC"/>
        <family val="2"/>
      </rPr>
      <t xml:space="preserve">封裝的封膠增量，能否在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以後延續並把營益率拉回 </t>
    </r>
    <r>
      <rPr>
        <sz val="11"/>
        <rFont val="Cambria"/>
        <family val="0"/>
        <charset val="1"/>
      </rPr>
      <t xml:space="preserve">16% </t>
    </r>
    <r>
      <rPr>
        <sz val="11"/>
        <rFont val="Noto Sans CJK SC"/>
        <family val="2"/>
      </rPr>
      <t xml:space="preserve">以上，撐住約 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倍的指引本益比？</t>
    </r>
  </si>
  <si>
    <r>
      <rPr>
        <sz val="11"/>
        <rFont val="Noto Sans CJK SC"/>
        <family val="2"/>
      </rPr>
      <t xml:space="preserve">註：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¥1,968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EPS ¥93.30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÷ FY2025 EPS ¥61.22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32.1 </t>
    </r>
    <r>
      <rPr>
        <sz val="11"/>
        <rFont val="Noto Sans CJK SC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節）。</t>
    </r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</si>
  <si>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</si>
  <si>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skhynix </t>
    </r>
    <r>
      <rPr>
        <sz val="11"/>
        <rFont val="Noto Sans CJK SC"/>
        <family val="2"/>
      </rPr>
      <t xml:space="preserve">成品，同字母情境）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（晶粒容量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堆疊數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Noto Sans CJK SC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Noto Sans CJK SC"/>
        <family val="2"/>
      </rPr>
      <t xml:space="preserve">錨點校準）→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封膠營收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</si>
  <si>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片數（台積電成品；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× </t>
    </r>
    <r>
      <rPr>
        <sz val="11"/>
        <rFont val="Noto Sans CJK SC"/>
        <family val="2"/>
      </rPr>
      <t xml:space="preserve">同字母顆數係數）→ 下一年增量＋汰換 → 新機需求 </t>
    </r>
    <r>
      <rPr>
        <sz val="11"/>
        <rFont val="Cambria"/>
        <family val="0"/>
        <charset val="1"/>
      </rPr>
      <t xml:space="preserve">× kL → 2.5D </t>
    </r>
    <r>
      <rPr>
        <sz val="11"/>
        <rFont val="Noto Sans CJK SC"/>
        <family val="2"/>
      </rPr>
      <t xml:space="preserve">封膠營收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</si>
  <si>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組裝與封裝設備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（情境 </t>
    </r>
    <r>
      <rPr>
        <sz val="11"/>
        <rFont val="Cambria"/>
        <family val="0"/>
        <charset val="1"/>
      </rPr>
      <t xml:space="preserve">s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設備）（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封膠設備與模具；設備總額 → 切割與雷射；新事業、醫療以自身歷史年增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</si>
  <si>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Noto Sans CJK SC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錨點＝公司全年指引（營收 </t>
    </r>
    <r>
      <rPr>
        <sz val="11"/>
        <rFont val="Cambria"/>
        <family val="0"/>
        <charset val="1"/>
      </rPr>
      <t xml:space="preserve">640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102.4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70.0 </t>
    </r>
    <r>
      <rPr>
        <sz val="11"/>
        <rFont val="Noto Sans CJK SC"/>
        <family val="2"/>
      </rPr>
      <t xml:space="preserve">億）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g_anc</t>
    </r>
    <r>
      <rPr>
        <sz val="11"/>
        <rFont val="Noto Sans CJK SC"/>
        <family val="2"/>
      </rPr>
      <t xml:space="preserve">）；各組成同比例縮放，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以錨定水準（情境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）為基期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</si>
  <si>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 </t>
    </r>
    <r>
      <rPr>
        <sz val="11"/>
        <rFont val="Noto Sans CJK SC"/>
        <family val="2"/>
      </rPr>
      <t xml:space="preserve">節）｜營業利益＝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錨點＋（</t>
    </r>
    <r>
      <rPr>
        <sz val="11"/>
        <rFont val="Cambria"/>
        <family val="0"/>
        <charset val="1"/>
      </rPr>
      <t xml:space="preserve">Hist </t>
    </r>
    <r>
      <rPr>
        <sz val="11"/>
        <rFont val="Noto Sans CJK SC"/>
        <family val="2"/>
      </rPr>
      <t xml:space="preserve">迴歸增量營益率＋情境調整）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（營收 −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營收）；淨利＝營業利益 </t>
    </r>
    <r>
      <rPr>
        <sz val="11"/>
        <rFont val="Cambria"/>
        <family val="0"/>
        <charset val="1"/>
      </rPr>
      <t xml:space="preserve">× 0.684</t>
    </r>
    <r>
      <rPr>
        <sz val="11"/>
        <rFont val="Noto Sans CJK SC"/>
        <family val="2"/>
      </rPr>
      <t xml:space="preserve">（公司指引比例）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</si>
  <si>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各半）；第 </t>
    </r>
    <r>
      <rPr>
        <sz val="11"/>
        <rFont val="Cambria"/>
        <family val="0"/>
        <charset val="1"/>
      </rPr>
      <t xml:space="preserve">1–6 </t>
    </r>
    <r>
      <rPr>
        <sz val="11"/>
        <rFont val="Noto Sans CJK SC"/>
        <family val="2"/>
      </rPr>
      <t xml:space="preserve">節十年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、循環位置（設備股共用規則：見頂年度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見頂）、規則值與目前倍數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</si>
  <si>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Noto Sans CJK SC"/>
        <family val="2"/>
      </rPr>
      <t xml:space="preserve">。金額為日圓，未建匯率。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</si>
  <si>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＝不如預期，各讀同字母的上游情境（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位元、顆數係數、設備市場）；公司特有變數（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封膠市占流失、增量營益率調整）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</si>
  <si>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可識別性：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FY2025 ¥10.0B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（公司不揭露），</t>
    </r>
    <r>
      <rPr>
        <sz val="11"/>
        <rFont val="Cambria"/>
        <family val="0"/>
        <charset val="1"/>
      </rPr>
      <t xml:space="preserve">kH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Noto Sans CJK SC"/>
        <family val="2"/>
      </rPr>
      <t xml:space="preserve">各由一點校準，只識別乘積；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比重、汰換比例、晶粒容量與層數只改變路徑形狀。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</si>
  <si>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towa/README.md</t>
    </r>
    <r>
      <rPr>
        <sz val="11"/>
        <rFont val="Noto Sans CJK SC"/>
        <family val="2"/>
      </rPr>
      <t xml:space="preserve">「待辦與限制」。本版未做先驗，無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</si>
  <si>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待複核：說明資料圓餅（移轉 </t>
    </r>
    <r>
      <rPr>
        <sz val="11"/>
        <rFont val="Cambria"/>
        <family val="0"/>
        <charset val="1"/>
      </rPr>
      <t xml:space="preserve">59%</t>
    </r>
    <r>
      <rPr>
        <sz val="11"/>
        <rFont val="Noto Sans CJK SC"/>
        <family val="2"/>
      </rPr>
      <t xml:space="preserve">／壓縮 </t>
    </r>
    <r>
      <rPr>
        <sz val="11"/>
        <rFont val="Cambria"/>
        <family val="0"/>
        <charset val="1"/>
      </rPr>
      <t xml:space="preserve">41%</t>
    </r>
    <r>
      <rPr>
        <sz val="11"/>
        <rFont val="Noto Sans CJK SC"/>
        <family val="2"/>
      </rPr>
      <t xml:space="preserve">、地區別）擷取錯位，未採用為點估計；市占 </t>
    </r>
    <r>
      <rPr>
        <sz val="11"/>
        <rFont val="Cambria"/>
        <family val="0"/>
        <charset val="1"/>
      </rPr>
      <t xml:space="preserve">64.8% </t>
    </r>
    <r>
      <rPr>
        <sz val="11"/>
        <rFont val="Noto Sans CJK SC"/>
        <family val="2"/>
      </rPr>
      <t xml:space="preserve">的圓餅標籤未明示公司；</t>
    </r>
    <r>
      <rPr>
        <sz val="11"/>
        <rFont val="Cambria"/>
        <family val="0"/>
        <charset val="1"/>
      </rPr>
      <t xml:space="preserve">FY2020 </t>
    </r>
    <r>
      <rPr>
        <sz val="11"/>
        <rFont val="Noto Sans CJK SC"/>
        <family val="2"/>
      </rPr>
      <t xml:space="preserve">營業利益單一來源。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</si>
  <si>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</si>
  <si>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94.4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116.0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；共識目標價 </t>
    </r>
    <r>
      <rPr>
        <sz val="11"/>
        <color theme="1"/>
        <rFont val="Calibri"/>
        <family val="2"/>
        <charset val="1"/>
      </rPr>
      <t xml:space="preserve">3,300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28.5 </t>
    </r>
    <r>
      <rPr>
        <sz val="11"/>
        <color theme="1"/>
        <rFont val="Noto Sans CJK SC"/>
        <family val="2"/>
      </rPr>
      <t xml:space="preserve">倍，同業中位數 </t>
    </r>
    <r>
      <rPr>
        <sz val="11"/>
        <color theme="1"/>
        <rFont val="Calibri"/>
        <family val="2"/>
        <charset val="1"/>
      </rPr>
      <t xml:space="preserve">25.8 </t>
    </r>
    <r>
      <rPr>
        <sz val="11"/>
        <color theme="1"/>
        <rFont val="Noto Sans CJK SC"/>
        <family val="2"/>
      </rPr>
      <t xml:space="preserve">倍（倍數因素 </t>
    </r>
    <r>
      <rPr>
        <sz val="11"/>
        <color theme="1"/>
        <rFont val="Calibri"/>
        <family val="2"/>
        <charset val="1"/>
      </rPr>
      <t xml:space="preserve">+10.2%</t>
    </r>
    <r>
      <rPr>
        <sz val="11"/>
        <color theme="1"/>
        <rFont val="Noto Sans CJK SC"/>
        <family val="2"/>
      </rPr>
      <t xml:space="preserve">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3pt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8pt </t>
    </r>
    <r>
      <rPr>
        <sz val="11"/>
        <color theme="1"/>
        <rFont val="Noto Sans CJK SC"/>
        <family val="2"/>
      </rPr>
      <t xml:space="preserve">與上游下修）。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</si>
  <si>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對堆疊層數（低值 → </t>
    </r>
    <r>
      <rPr>
        <sz val="11"/>
        <color theme="1"/>
        <rFont val="Calibri"/>
        <family val="2"/>
        <charset val="1"/>
      </rPr>
      <t xml:space="preserve">+8.9%</t>
    </r>
    <r>
      <rPr>
        <sz val="11"/>
        <color theme="1"/>
        <rFont val="Noto Sans CJK SC"/>
        <family val="2"/>
      </rPr>
      <t xml:space="preserve">）、淨利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0.72 → −4.9%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+5.3%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+8% → −3.5%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+5.7%</t>
    </r>
    <r>
      <rPr>
        <sz val="11"/>
        <color theme="1"/>
        <rFont val="Noto Sans CJK SC"/>
        <family val="2"/>
      </rPr>
      <t xml:space="preserve">）最敏感。下一個檢驗事件是第二季財報（預計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上旬，日期未確認），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錨點將改為上半年實績加下半年指引。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</si>
  <si>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</si>
  <si>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</si>
  <si>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：千片；設備市場：十億美元。每個輸入附標記與來源；找不到者寫「未找到」，公司未揭露者寫「公司不揭露」。【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</si>
  <si>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iXBRL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towajapan.co.jp </t>
    </r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）以網頁擷取工具讀取；圖表數字擷取錯位處未採用，待人工複核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</si>
  <si>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</si>
  <si>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</si>
  <si>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</si>
  <si>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</si>
  <si>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</si>
  <si>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</si>
  <si>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</si>
  <si>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</si>
  <si>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</si>
  <si>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）與事業別營收（校準錨）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</si>
  <si>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</si>
  <si>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</si>
  <si>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</si>
  <si>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</si>
  <si>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54,365 </t>
    </r>
    <r>
      <rPr>
        <sz val="11"/>
        <color theme="1"/>
        <rFont val="Noto Sans CJK SC"/>
        <family val="2"/>
      </rPr>
      <t xml:space="preserve">百萬日圓（</t>
    </r>
    <r>
      <rPr>
        <sz val="11"/>
        <color theme="1"/>
        <rFont val="Calibri"/>
        <family val="2"/>
        <charset val="1"/>
      </rPr>
      <t xml:space="preserve">+1.7%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</si>
  <si>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54,365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</si>
  <si>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</si>
  <si>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</si>
  <si>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kabutore </t>
    </r>
    <r>
      <rPr>
        <sz val="11"/>
        <color theme="1"/>
        <rFont val="Noto Sans CJK SC"/>
        <family val="2"/>
      </rPr>
      <t xml:space="preserve">財務分析（轉載公司損益表）：売上総利益 </t>
    </r>
    <r>
      <rPr>
        <sz val="11"/>
        <color theme="1"/>
        <rFont val="Calibri"/>
        <family val="2"/>
        <charset val="1"/>
      </rPr>
      <t xml:space="preserve">18,371,561 </t>
    </r>
    <r>
      <rPr>
        <sz val="11"/>
        <color theme="1"/>
        <rFont val="Noto Sans CJK SC"/>
        <family val="2"/>
      </rPr>
      <t xml:space="preserve">千日圓（毛利率 </t>
    </r>
    <r>
      <rPr>
        <sz val="11"/>
        <color theme="1"/>
        <rFont val="Calibri"/>
        <family val="2"/>
        <charset val="1"/>
      </rPr>
      <t xml:space="preserve">33.8%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</si>
  <si>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edinetdb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讀取）：毛利率 </t>
    </r>
    <r>
      <rPr>
        <sz val="11"/>
        <color theme="1"/>
        <rFont val="Calibri"/>
        <family val="2"/>
        <charset val="1"/>
      </rPr>
      <t xml:space="preserve">33.8%</t>
    </r>
    <r>
      <rPr>
        <sz val="11"/>
        <color theme="1"/>
        <rFont val="Noto Sans CJK SC"/>
        <family val="2"/>
      </rPr>
      <t xml:space="preserve">。決算短信摘要頁未列毛利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</si>
  <si>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</si>
  <si>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</si>
  <si>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6,917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22.1%</t>
    </r>
    <r>
      <rPr>
        <sz val="11"/>
        <color theme="1"/>
        <rFont val="Noto Sans CJK SC"/>
        <family val="2"/>
      </rPr>
      <t xml:space="preserve">；營益率 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</si>
  <si>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6,917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</si>
  <si>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</si>
  <si>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</si>
  <si>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4,593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43.4%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</si>
  <si>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4,593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</si>
  <si>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</si>
  <si>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</si>
  <si>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</si>
  <si>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61.22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</si>
  <si>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61.22</t>
    </r>
  </si>
  <si>
    <t xml:space="preserve">seg_semi</t>
  </si>
  <si>
    <r>
      <rPr>
        <sz val="11"/>
        <color theme="1"/>
        <rFont val="Noto Sans CJK SC"/>
        <family val="2"/>
      </rPr>
      <t xml:space="preserve">半導體事業營收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</si>
  <si>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403.9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+2.2%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</si>
  <si>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403.9</t>
    </r>
  </si>
  <si>
    <t xml:space="preserve">seg_mold</t>
  </si>
  <si>
    <t xml:space="preserve">　其中：封膠設備與模具（モールディング装置・金型）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</si>
  <si>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364.6 </t>
    </r>
    <r>
      <rPr>
        <sz val="11"/>
        <color theme="1"/>
        <rFont val="Noto Sans CJK SC"/>
        <family val="2"/>
      </rPr>
      <t xml:space="preserve">億日圓（擷取文字；版面待複核）</t>
    </r>
  </si>
  <si>
    <t xml:space="preserve">第二來源：未找到。設備與模具未分開揭露（公司不揭露）</t>
  </si>
  <si>
    <t xml:space="preserve">seg_osemi</t>
  </si>
  <si>
    <r>
      <rPr>
        <sz val="11"/>
        <color theme="1"/>
        <rFont val="Noto Sans CJK SC"/>
        <family val="2"/>
      </rPr>
      <t xml:space="preserve">　其中：其他半導體（切割 </t>
    </r>
    <r>
      <rPr>
        <sz val="11"/>
        <color theme="1"/>
        <rFont val="Calibri"/>
        <family val="2"/>
        <charset val="1"/>
      </rPr>
      <t xml:space="preserve">singulation </t>
    </r>
    <r>
      <rPr>
        <sz val="11"/>
        <color theme="1"/>
        <rFont val="Noto Sans CJK SC"/>
        <family val="2"/>
      </rPr>
      <t xml:space="preserve">等）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</si>
  <si>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</si>
  <si>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403.9 − 364.6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39.3</t>
    </r>
  </si>
  <si>
    <r>
      <rPr>
        <sz val="11"/>
        <color theme="1"/>
        <rFont val="Noto Sans CJK SC"/>
        <family val="2"/>
      </rPr>
      <t xml:space="preserve">公司：記憶體投資使切割設備大增（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Noto Sans CJK SC"/>
        <family val="2"/>
      </rPr>
      <t xml:space="preserve">摘要，無金額）</t>
    </r>
  </si>
  <si>
    <t xml:space="preserve">seg_new</t>
  </si>
  <si>
    <r>
      <rPr>
        <sz val="11"/>
        <color theme="1"/>
        <rFont val="Noto Sans CJK SC"/>
        <family val="2"/>
      </rPr>
      <t xml:space="preserve">新事業營收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TSS</t>
    </r>
    <r>
      <rPr>
        <sz val="11"/>
        <color theme="1"/>
        <rFont val="Noto Sans CJK SC"/>
        <family val="2"/>
      </rPr>
      <t xml:space="preserve">：售後、翻新、二手機、零件）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</si>
  <si>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94.7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+0.6%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</si>
  <si>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94.7</t>
    </r>
  </si>
  <si>
    <t xml:space="preserve">seg_med</t>
  </si>
  <si>
    <r>
      <rPr>
        <sz val="11"/>
        <color theme="1"/>
        <rFont val="Noto Sans CJK SC"/>
        <family val="2"/>
      </rPr>
      <t xml:space="preserve">醫療器材事業營收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BANDIC</t>
    </r>
    <r>
      <rPr>
        <sz val="11"/>
        <color theme="1"/>
        <rFont val="Noto Sans CJK SC"/>
        <family val="2"/>
      </rPr>
      <t xml:space="preserve">，精密塑膠成形品）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</si>
  <si>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24.8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+9.9%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</si>
  <si>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24.8</t>
    </r>
  </si>
  <si>
    <t xml:space="preserve">seg_las</t>
  </si>
  <si>
    <r>
      <rPr>
        <sz val="11"/>
        <color theme="1"/>
        <rFont val="Noto Sans CJK SC"/>
        <family val="2"/>
      </rPr>
      <t xml:space="preserve">雷射事業營收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</si>
  <si>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20.0 </t>
    </r>
    <r>
      <rPr>
        <sz val="11"/>
        <color theme="1"/>
        <rFont val="Noto Sans CJK SC"/>
        <family val="2"/>
      </rPr>
      <t xml:space="preserve">億日圓（−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</si>
  <si>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20.0</t>
    </r>
  </si>
  <si>
    <t xml:space="preserve">seg_adj</t>
  </si>
  <si>
    <t xml:space="preserve">事業合計與營收的差額（取整與調整）</t>
  </si>
  <si>
    <t xml:space="preserve">營收 − 四事業合計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</si>
  <si>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以後設為 </t>
    </r>
    <r>
      <rPr>
        <sz val="11"/>
        <color theme="1"/>
        <rFont val="Calibri"/>
        <family val="2"/>
        <charset val="1"/>
      </rPr>
      <t xml:space="preserve">0</t>
    </r>
  </si>
  <si>
    <t xml:space="preserve">ord_25</t>
  </si>
  <si>
    <r>
      <rPr>
        <sz val="11"/>
        <color theme="1"/>
        <rFont val="Noto Sans CJK SC"/>
        <family val="2"/>
      </rPr>
      <t xml:space="preserve">受注高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</si>
  <si>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595.6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+25.6%</t>
    </r>
    <r>
      <rPr>
        <sz val="11"/>
        <color theme="1"/>
        <rFont val="Noto Sans CJK SC"/>
        <family val="2"/>
      </rPr>
      <t xml:space="preserve">，史上第二高）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</si>
  <si>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595.6</t>
    </r>
  </si>
  <si>
    <t xml:space="preserve">bl_25</t>
  </si>
  <si>
    <r>
      <rPr>
        <sz val="11"/>
        <color theme="1"/>
        <rFont val="Noto Sans CJK SC"/>
        <family val="2"/>
      </rPr>
      <t xml:space="preserve">受注殘高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末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</si>
  <si>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301.4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</si>
  <si>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267.4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））</t>
    </r>
  </si>
  <si>
    <t xml:space="preserve">sh</t>
  </si>
  <si>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封膠設備全球市占（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</si>
  <si>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</si>
  <si>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</si>
  <si>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頁、公司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TechInsights </t>
    </r>
    <r>
      <rPr>
        <sz val="11"/>
        <color theme="1"/>
        <rFont val="Noto Sans CJK SC"/>
        <family val="2"/>
      </rPr>
      <t xml:space="preserve">數據，世界市占 </t>
    </r>
    <r>
      <rPr>
        <sz val="11"/>
        <color theme="1"/>
        <rFont val="Calibri"/>
        <family val="2"/>
        <charset val="1"/>
      </rPr>
      <t xml:space="preserve">No.1</t>
    </r>
    <r>
      <rPr>
        <sz val="11"/>
        <color theme="1"/>
        <rFont val="Noto Sans CJK SC"/>
        <family val="2"/>
      </rPr>
      <t xml:space="preserve">；圓餅最大塊 </t>
    </r>
    <r>
      <rPr>
        <sz val="11"/>
        <color theme="1"/>
        <rFont val="Calibri"/>
        <family val="2"/>
        <charset val="1"/>
      </rPr>
      <t xml:space="preserve">64.8%</t>
    </r>
    <r>
      <rPr>
        <sz val="11"/>
        <color theme="1"/>
        <rFont val="Noto Sans CJK SC"/>
        <family val="2"/>
      </rPr>
      <t xml:space="preserve">（標籤 </t>
    </r>
    <r>
      <rPr>
        <sz val="11"/>
        <color theme="1"/>
        <rFont val="Calibri"/>
        <family val="2"/>
        <charset val="1"/>
      </rPr>
      <t xml:space="preserve">A–D </t>
    </r>
    <r>
      <rPr>
        <sz val="11"/>
        <color theme="1"/>
        <rFont val="Noto Sans CJK SC"/>
        <family val="2"/>
      </rPr>
      <t xml:space="preserve">未明示哪塊是公司）</t>
    </r>
  </si>
  <si>
    <r>
      <rPr>
        <sz val="11"/>
        <color theme="1"/>
        <rFont val="Noto Sans CJK SC"/>
        <family val="2"/>
      </rPr>
      <t xml:space="preserve">本專案候選表：市占約 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 universe</t>
    </r>
    <r>
      <rPr>
        <sz val="11"/>
        <color theme="1"/>
        <rFont val="Noto Sans CJK SC"/>
        <family val="2"/>
      </rPr>
      <t xml:space="preserve">，非獨立來源）。只透過「市占流失」進入模型；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水準已含在校準中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</si>
  <si>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錨點（校準用；公司不揭露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或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金額）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</si>
  <si>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</si>
  <si>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相關封膠設備與模具營收（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／晶圓級）</t>
    </r>
  </si>
  <si>
    <t xml:space="preserve">Assumed</t>
  </si>
  <si>
    <r>
      <rPr>
        <sz val="11"/>
        <color theme="1"/>
        <rFont val="Noto Sans CJK SC"/>
        <family val="2"/>
      </rPr>
      <t xml:space="preserve">公司不揭露。推估：說明資料圓餅「移轉成形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／壓縮成形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」（標籤對應未確認）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封膠 </t>
    </r>
    <r>
      <rPr>
        <sz val="11"/>
        <color theme="1"/>
        <rFont val="Calibri"/>
        <family val="2"/>
        <charset val="1"/>
      </rPr>
      <t xml:space="preserve">36.5 ≈ </t>
    </r>
    <r>
      <rPr>
        <sz val="11"/>
        <color theme="1"/>
        <rFont val="Noto Sans CJK SC"/>
        <family val="2"/>
      </rPr>
      <t xml:space="preserve">壓縮成形 </t>
    </r>
    <r>
      <rPr>
        <sz val="11"/>
        <color theme="1"/>
        <rFont val="Calibri"/>
        <family val="2"/>
        <charset val="1"/>
      </rPr>
      <t xml:space="preserve">15.0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加速器、先進封裝）約占壓縮成形三分之二 → 約 </t>
    </r>
    <r>
      <rPr>
        <sz val="11"/>
        <color theme="1"/>
        <rFont val="Calibri"/>
        <family val="2"/>
        <charset val="1"/>
      </rPr>
      <t xml:space="preserve">10.0</t>
    </r>
    <r>
      <rPr>
        <sz val="11"/>
        <color theme="1"/>
        <rFont val="Noto Sans CJK SC"/>
        <family val="2"/>
      </rPr>
      <t xml:space="preserve">（約占營收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</si>
  <si>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第二來源：未找到。公司說法（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）：壓縮成形占比上升改善組合；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／資料中心帶動第二季後的接單。低／高 </t>
    </r>
    <r>
      <rPr>
        <sz val="11"/>
        <color theme="1"/>
        <rFont val="Calibri"/>
        <family val="2"/>
        <charset val="1"/>
      </rPr>
      <t xml:space="preserve">±30%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</si>
  <si>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</si>
  <si>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（其餘為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／晶圓級封膠）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</si>
  <si>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封膠設備（含同業）累計約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台，數年內需再增 </t>
    </r>
    <r>
      <rPr>
        <sz val="11"/>
        <color theme="1"/>
        <rFont val="Calibri"/>
        <family val="2"/>
        <charset val="1"/>
      </rPr>
      <t xml:space="preserve">30–45 </t>
    </r>
    <r>
      <rPr>
        <sz val="11"/>
        <color theme="1"/>
        <rFont val="Noto Sans CJK SC"/>
        <family val="2"/>
      </rPr>
      <t xml:space="preserve">台；已取得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客戶認證</t>
    </r>
  </si>
  <si>
    <r>
      <rPr>
        <sz val="11"/>
        <color theme="1"/>
        <rFont val="Noto Sans CJK SC"/>
        <family val="2"/>
      </rPr>
      <t xml:space="preserve">比重未找到；取一半。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的成長形狀不同，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65%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</si>
  <si>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封膠需求（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</si>
  <si>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</si>
  <si>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</si>
  <si>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</si>
  <si>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</si>
  <si>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隨同字母情境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</si>
  <si>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</si>
  <si>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</si>
  <si>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</si>
  <si>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</si>
  <si>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</si>
  <si>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</si>
  <si>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</si>
  <si>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</si>
  <si>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</si>
  <si>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</si>
  <si>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</si>
  <si>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</si>
  <si>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</si>
  <si>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</si>
  <si>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</si>
  <si>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</si>
  <si>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</si>
  <si>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</si>
  <si>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</si>
  <si>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</si>
  <si>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</si>
  <si>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</si>
  <si>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</si>
  <si>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</si>
  <si>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</si>
  <si>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</si>
  <si>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</si>
  <si>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</si>
  <si>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</si>
  <si>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</si>
  <si>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</si>
  <si>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</si>
  <si>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</si>
  <si>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</si>
  <si>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的假設（</t>
    </r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晶粒，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</t>
    </r>
  </si>
  <si>
    <t xml:space="preserve">組合比例未找到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</si>
  <si>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</si>
  <si>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</si>
  <si>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</si>
  <si>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</si>
  <si>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</si>
  <si>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</si>
  <si>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</si>
  <si>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</si>
  <si>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</si>
  <si>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</si>
  <si>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</si>
  <si>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的假設（</t>
    </r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</si>
  <si>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Noto Sans CJK SC"/>
        <family val="2"/>
      </rPr>
      <t xml:space="preserve">封膠以「堆疊」為單位：每個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堆疊封一次；層數愈高、同位元的堆疊數愈少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</si>
  <si>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</si>
  <si>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</si>
  <si>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</si>
  <si>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</si>
  <si>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</si>
  <si>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</si>
  <si>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</si>
  <si>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</si>
  <si>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dlt</t>
  </si>
  <si>
    <t xml:space="preserve">已裝機封膠產能每年汰換／升級比例（新機需求＝下一年產能增量＋汰換）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</si>
  <si>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</si>
  <si>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公司：高性能化的汰換需求（公司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），無數字）</t>
    </r>
  </si>
  <si>
    <r>
      <rPr>
        <sz val="11"/>
        <color theme="1"/>
        <rFont val="Noto Sans CJK SC"/>
        <family val="2"/>
      </rPr>
      <t xml:space="preserve">與校準係數一起只能識別乘積的形狀；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</si>
  <si>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</si>
  <si>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HBM </t>
    </r>
    <r>
      <rPr>
        <sz val="11"/>
        <color theme="1"/>
        <rFont val="Noto Sans CJK SC"/>
        <family val="2"/>
      </rPr>
      <t xml:space="preserve">堆疊數與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片數年增（上游只到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；三情境同值）</t>
    </r>
  </si>
  <si>
    <r>
      <rPr>
        <sz val="11"/>
        <color theme="1"/>
        <rFont val="Noto Sans CJK SC"/>
        <family val="2"/>
      </rPr>
      <t xml:space="preserve">無：上游只到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；設備比產能早一年買，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</si>
  <si>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t xml:space="preserve">三情境同值，不自訂行業路徑</t>
  </si>
  <si>
    <r>
      <rPr>
        <b val="true"/>
        <sz val="11"/>
        <rFont val="Cambria"/>
        <family val="0"/>
        <charset val="1"/>
      </rPr>
      <t xml:space="preserve">D. CoWoS </t>
    </r>
    <r>
      <rPr>
        <b val="true"/>
        <sz val="11"/>
        <rFont val="Noto Sans CJK SC"/>
        <family val="2"/>
      </rPr>
      <t xml:space="preserve">等 </t>
    </r>
    <r>
      <rPr>
        <b val="true"/>
        <sz val="11"/>
        <rFont val="Cambria"/>
        <family val="0"/>
        <charset val="1"/>
      </rPr>
      <t xml:space="preserve">2.5D </t>
    </r>
    <r>
      <rPr>
        <b val="true"/>
        <sz val="11"/>
        <rFont val="Noto Sans CJK SC"/>
        <family val="2"/>
      </rPr>
      <t xml:space="preserve">封膠需求：台積電模型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</si>
  <si>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</si>
  <si>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</si>
  <si>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</si>
  <si>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</si>
  <si>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萬）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</si>
  <si>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</si>
  <si>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</si>
  <si>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</si>
  <si>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乘以同字母情境顆數係數（下列 </t>
    </r>
    <r>
      <rPr>
        <sz val="11"/>
        <color theme="1"/>
        <rFont val="Calibri"/>
        <family val="2"/>
        <charset val="1"/>
      </rPr>
      <t xml:space="preserve">um</t>
    </r>
    <r>
      <rPr>
        <sz val="11"/>
        <color theme="1"/>
        <rFont val="Noto Sans CJK SC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</si>
  <si>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</si>
  <si>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</si>
  <si>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</si>
  <si>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</si>
  <si>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</si>
  <si>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</si>
  <si>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</si>
  <si>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</si>
  <si>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</si>
  <si>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</si>
  <si>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（單一來源；建置時檢查與台積電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</si>
  <si>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</si>
  <si>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</si>
  <si>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</si>
  <si>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</si>
  <si>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</si>
  <si>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</si>
  <si>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</si>
  <si>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</si>
  <si>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</si>
  <si>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</si>
  <si>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</si>
  <si>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</si>
  <si>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</si>
  <si>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</si>
  <si>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</si>
  <si>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後段需求：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組裝與封裝設備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同字母情境的非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設備比例（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，唯讀）</t>
    </r>
  </si>
  <si>
    <t xml:space="preserve">pk_25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</si>
  <si>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</si>
  <si>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</si>
  <si>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Mkt!C46:G46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</si>
  <si>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</t>
    </r>
  </si>
  <si>
    <t xml:space="preserve">pk_26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</si>
  <si>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</si>
  <si>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</si>
  <si>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</si>
  <si>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</si>
  <si>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</si>
  <si>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pk_29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</si>
  <si>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</si>
  <si>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eqtA_25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</si>
  <si>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</si>
  <si>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Mkt!C6:G6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</si>
  <si>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頁「設備總額」</t>
    </r>
  </si>
  <si>
    <t xml:space="preserve">eqtA_26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</si>
  <si>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</si>
  <si>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</si>
  <si>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</si>
  <si>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</si>
  <si>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</si>
  <si>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</si>
  <si>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</si>
  <si>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</si>
  <si>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</si>
  <si>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Mkt!C9:G9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</si>
  <si>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設備＝設備總額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相關設備；情境 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的封裝設備＝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封裝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s 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</si>
  <si>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</si>
  <si>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</si>
  <si>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</si>
  <si>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</si>
  <si>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</si>
  <si>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</si>
  <si>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</si>
  <si>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</si>
  <si>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eqtB_25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</si>
  <si>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</si>
  <si>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Mkt!C14:G14</t>
    </r>
  </si>
  <si>
    <t xml:space="preserve">eqtB_26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</si>
  <si>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</si>
  <si>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</si>
  <si>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</si>
  <si>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</si>
  <si>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</si>
  <si>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</si>
  <si>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</si>
  <si>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</si>
  <si>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</si>
  <si>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Mkt!C17:G17</t>
    </r>
  </si>
  <si>
    <t xml:space="preserve">eqaB_26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</si>
  <si>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</si>
  <si>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</si>
  <si>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</si>
  <si>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</si>
  <si>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</si>
  <si>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</si>
  <si>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</si>
  <si>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eqtC_25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</si>
  <si>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</si>
  <si>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Mkt!C22:G22</t>
    </r>
  </si>
  <si>
    <t xml:space="preserve">eqtC_26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</si>
  <si>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</si>
  <si>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</si>
  <si>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</si>
  <si>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</si>
  <si>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</si>
  <si>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</si>
  <si>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</si>
  <si>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</si>
  <si>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</si>
  <si>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</si>
  <si>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eqaC_26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</si>
  <si>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</si>
  <si>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</si>
  <si>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</si>
  <si>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</si>
  <si>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</si>
  <si>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</si>
  <si>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</si>
  <si>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g_pk_tail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</si>
  <si>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封裝設備與設備總額年增（上游只到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；三情境同值）</t>
    </r>
  </si>
  <si>
    <r>
      <rPr>
        <sz val="11"/>
        <color theme="1"/>
        <rFont val="Noto Sans CJK SC"/>
        <family val="2"/>
      </rPr>
      <t xml:space="preserve">無：上游只到 </t>
    </r>
    <r>
      <rPr>
        <sz val="11"/>
        <color theme="1"/>
        <rFont val="Calibri"/>
        <family val="2"/>
        <charset val="1"/>
      </rPr>
      <t xml:space="preserve">2029</t>
    </r>
  </si>
  <si>
    <t xml:space="preserve">三情境同值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</si>
  <si>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其他事業（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：公司自己的歷史與計畫）</t>
    </r>
  </si>
  <si>
    <t xml:space="preserve">g_tss</t>
  </si>
  <si>
    <r>
      <rPr>
        <sz val="11"/>
        <color theme="1"/>
        <rFont val="Noto Sans CJK SC"/>
        <family val="2"/>
      </rPr>
      <t xml:space="preserve">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售後等）年增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</si>
  <si>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</si>
  <si>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FY2025 +0.6%</t>
    </r>
    <r>
      <rPr>
        <sz val="11"/>
        <color theme="1"/>
        <rFont val="Noto Sans CJK SC"/>
        <family val="2"/>
      </rPr>
      <t xml:space="preserve">、公司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+3.1%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））</t>
    </r>
  </si>
  <si>
    <t xml:space="preserve">售後隨裝機量，但含二手機與翻新（波動大）</t>
  </si>
  <si>
    <t xml:space="preserve">g_med</t>
  </si>
  <si>
    <t xml:space="preserve">醫療器材事業年增</t>
  </si>
  <si>
    <r>
      <rPr>
        <sz val="11"/>
        <color theme="1"/>
        <rFont val="Calibri"/>
        <family val="2"/>
        <charset val="1"/>
      </rPr>
      <t xml:space="preserve">FY2025 +9.9%</t>
    </r>
    <r>
      <rPr>
        <sz val="11"/>
        <color theme="1"/>
        <rFont val="Noto Sans CJK SC"/>
        <family val="2"/>
      </rPr>
      <t xml:space="preserve">、公司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+2.5%</t>
    </r>
  </si>
  <si>
    <t xml:space="preserve">與半導體循環無關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</si>
  <si>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公司特有變數（隨情境；方向：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</si>
  <si>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shl_A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</si>
  <si>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</si>
  <si>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</si>
  <si>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Yamada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Apic Yamada</t>
    </r>
    <r>
      <rPr>
        <sz val="11"/>
        <color theme="1"/>
        <rFont val="Noto Sans CJK SC"/>
        <family val="2"/>
      </rPr>
      <t xml:space="preserve">）、韓國與中國本土廠的壓縮成形機；公司稱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客戶基礎擴大（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</si>
  <si>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只作用在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封膠（校準已含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水準）</t>
    </r>
  </si>
  <si>
    <t xml:space="preserve">shl_B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</si>
  <si>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</si>
  <si>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：小幅流失</t>
    </r>
  </si>
  <si>
    <t xml:space="preserve">shl_C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</si>
  <si>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</si>
  <si>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降速時價格競爭加劇</t>
    </r>
  </si>
  <si>
    <t xml:space="preserve">ima_A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</si>
  <si>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</si>
  <si>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：壓縮成形占比上升、首台成本不再（公司說法）</t>
    </r>
  </si>
  <si>
    <r>
      <rPr>
        <sz val="11"/>
        <color theme="1"/>
        <rFont val="Noto Sans CJK SC"/>
        <family val="2"/>
      </rPr>
      <t xml:space="preserve">增量營益率＝營業利益變動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營收變動</t>
    </r>
  </si>
  <si>
    <t xml:space="preserve">ima_B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</si>
  <si>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</si>
  <si>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：迴歸斜率</t>
    </r>
  </si>
  <si>
    <t xml:space="preserve">ima_C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</si>
  <si>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</si>
  <si>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：低毛利案件與首台成本延續（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12.7% </t>
    </r>
    <r>
      <rPr>
        <sz val="11"/>
        <color theme="1"/>
        <rFont val="Noto Sans CJK SC"/>
        <family val="2"/>
      </rPr>
      <t xml:space="preserve">的原因）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</si>
  <si>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FY2016–FY2025 </t>
    </r>
    <r>
      <rPr>
        <b val="true"/>
        <sz val="11"/>
        <rFont val="Noto Sans CJK SC"/>
        <family val="2"/>
      </rPr>
      <t xml:space="preserve">推得，不寫死）</t>
    </r>
  </si>
  <si>
    <t xml:space="preserve">im</t>
  </si>
  <si>
    <r>
      <rPr>
        <sz val="11"/>
        <color theme="1"/>
        <rFont val="Noto Sans CJK SC"/>
        <family val="2"/>
      </rPr>
      <t xml:space="preserve">增量營益率（營業利益 ＝ 截距 ＋ 斜率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的斜率）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</si>
  <si>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）最小平方法；低／高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</si>
  <si>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起：營業利益＝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錨點營業利益＋（斜率＋情境調整）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</si>
  <si>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</si>
  <si>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</si>
  <si>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基準＝公司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7,000 ÷ 10,240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0.684</t>
    </r>
  </si>
  <si>
    <r>
      <rPr>
        <sz val="11"/>
        <color theme="1"/>
        <rFont val="Calibri"/>
        <family val="2"/>
        <charset val="1"/>
      </rPr>
      <t xml:space="preserve">FY2025 0.664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4,593 ÷ 6,917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0.915</t>
    </r>
    <r>
      <rPr>
        <sz val="11"/>
        <color theme="1"/>
        <rFont val="Noto Sans CJK SC"/>
        <family val="2"/>
      </rPr>
      <t xml:space="preserve">（含特別利益）；低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</si>
  <si>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</si>
  <si>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</si>
  <si>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</si>
  <si>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）：第一季期中平均 </t>
    </r>
    <r>
      <rPr>
        <sz val="11"/>
        <color theme="1"/>
        <rFont val="Calibri"/>
        <family val="2"/>
        <charset val="1"/>
      </rPr>
      <t xml:space="preserve">75,029,892 </t>
    </r>
    <r>
      <rPr>
        <sz val="11"/>
        <color theme="1"/>
        <rFont val="Noto Sans CJK SC"/>
        <family val="2"/>
      </rPr>
      <t xml:space="preserve">股（不含 </t>
    </r>
    <r>
      <rPr>
        <sz val="11"/>
        <color theme="1"/>
        <rFont val="Calibri"/>
        <family val="2"/>
        <charset val="1"/>
      </rPr>
      <t xml:space="preserve">J-ESOP </t>
    </r>
    <r>
      <rPr>
        <sz val="11"/>
        <color theme="1"/>
        <rFont val="Noto Sans CJK SC"/>
        <family val="2"/>
      </rPr>
      <t xml:space="preserve">信託持股）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</si>
  <si>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75,020,506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</si>
  <si>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Noto Sans CJK SC"/>
        <family val="2"/>
      </rPr>
      <t xml:space="preserve">實績、公司指引與對帳參考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</si>
  <si>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</si>
  <si>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</si>
  <si>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16,183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+100.3%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</si>
  <si>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16,183</t>
    </r>
  </si>
  <si>
    <t xml:space="preserve">q1_oi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</si>
  <si>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</si>
  <si>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2,212</t>
    </r>
    <r>
      <rPr>
        <sz val="11"/>
        <color theme="1"/>
        <rFont val="Noto Sans CJK SC"/>
        <family val="2"/>
      </rPr>
      <t xml:space="preserve">（前年同期 −</t>
    </r>
    <r>
      <rPr>
        <sz val="11"/>
        <color theme="1"/>
        <rFont val="Calibri"/>
        <family val="2"/>
        <charset val="1"/>
      </rPr>
      <t xml:space="preserve">581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</si>
  <si>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</si>
  <si>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</si>
  <si>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</si>
  <si>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1,657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</si>
  <si>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</si>
  <si>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</si>
  <si>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22.09</t>
    </r>
  </si>
  <si>
    <t xml:space="preserve">h1g_rev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</si>
  <si>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</si>
  <si>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32,000</t>
    </r>
    <r>
      <rPr>
        <sz val="11"/>
        <color theme="1"/>
        <rFont val="Noto Sans CJK SC"/>
        <family val="2"/>
      </rPr>
      <t xml:space="preserve">（未修正）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</si>
  <si>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 同值</t>
    </r>
  </si>
  <si>
    <t xml:space="preserve">h1g_oi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</si>
  <si>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</si>
  <si>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5,120</t>
    </r>
  </si>
  <si>
    <t xml:space="preserve">g26_rev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</si>
  <si>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</si>
  <si>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2026-08-06 </t>
    </r>
    <r>
      <rPr>
        <sz val="11"/>
        <color theme="1"/>
        <rFont val="Noto Sans CJK SC"/>
        <family val="2"/>
      </rPr>
      <t xml:space="preserve">未修正）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</si>
  <si>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640.0 </t>
    </r>
    <r>
      <rPr>
        <sz val="11"/>
        <color theme="1"/>
        <rFont val="Noto Sans CJK SC"/>
        <family val="2"/>
      </rPr>
      <t xml:space="preserve">億日圓</t>
    </r>
  </si>
  <si>
    <t xml:space="preserve">g26_oi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</si>
  <si>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</si>
  <si>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10,240</t>
    </r>
    <r>
      <rPr>
        <sz val="11"/>
        <color theme="1"/>
        <rFont val="Noto Sans CJK SC"/>
        <family val="2"/>
      </rPr>
      <t xml:space="preserve">（營益率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</si>
  <si>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</t>
    </r>
  </si>
  <si>
    <t xml:space="preserve">g26_ni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</si>
  <si>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</si>
  <si>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7,000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93.30</t>
    </r>
  </si>
  <si>
    <t xml:space="preserve">g26_eps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</si>
  <si>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</si>
  <si>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93.30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</si>
  <si>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同值</t>
    </r>
  </si>
  <si>
    <t xml:space="preserve">g26_semi</t>
  </si>
  <si>
    <r>
      <rPr>
        <sz val="11"/>
        <color theme="1"/>
        <rFont val="Noto Sans CJK SC"/>
        <family val="2"/>
      </rPr>
      <t xml:space="preserve">公司計畫：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半導體事業營收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</si>
  <si>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484.3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+19.9%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</si>
  <si>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醫療 </t>
    </r>
    <r>
      <rPr>
        <sz val="11"/>
        <color theme="1"/>
        <rFont val="Calibri"/>
        <family val="2"/>
        <charset val="1"/>
      </rPr>
      <t xml:space="preserve">25.5</t>
    </r>
    <r>
      <rPr>
        <sz val="11"/>
        <color theme="1"/>
        <rFont val="Noto Sans CJK SC"/>
        <family val="2"/>
      </rPr>
      <t xml:space="preserve">、新事業 </t>
    </r>
    <r>
      <rPr>
        <sz val="11"/>
        <color theme="1"/>
        <rFont val="Calibri"/>
        <family val="2"/>
        <charset val="1"/>
      </rPr>
      <t xml:space="preserve">97.7</t>
    </r>
    <r>
      <rPr>
        <sz val="11"/>
        <color theme="1"/>
        <rFont val="Noto Sans CJK SC"/>
        <family val="2"/>
      </rPr>
      <t xml:space="preserve">、雷射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+61.9%</t>
    </r>
    <r>
      <rPr>
        <sz val="11"/>
        <color theme="1"/>
        <rFont val="Noto Sans CJK SC"/>
        <family val="2"/>
      </rPr>
      <t xml:space="preserve">）</t>
    </r>
  </si>
  <si>
    <t xml:space="preserve">g26_las</t>
  </si>
  <si>
    <r>
      <rPr>
        <sz val="11"/>
        <color theme="1"/>
        <rFont val="Noto Sans CJK SC"/>
        <family val="2"/>
      </rPr>
      <t xml:space="preserve">公司計畫：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雷射事業營收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</si>
  <si>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32.5</t>
    </r>
  </si>
  <si>
    <t xml:space="preserve">g_anc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</si>
  <si>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錨點相對公司全年指引的調整</t>
    </r>
  </si>
  <si>
    <r>
      <rPr>
        <sz val="11"/>
        <color theme="1"/>
        <rFont val="Noto Sans CJK SC"/>
        <family val="2"/>
      </rPr>
      <t xml:space="preserve">基準＝公司指引（未修正）；第一季營收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已達全年指引 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進度）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</si>
  <si>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：接近共識 </t>
    </r>
    <r>
      <rPr>
        <sz val="11"/>
        <color theme="1"/>
        <rFont val="Calibri"/>
        <family val="2"/>
        <charset val="1"/>
      </rPr>
      <t xml:space="preserve">69.3 </t>
    </r>
    <r>
      <rPr>
        <sz val="11"/>
        <color theme="1"/>
        <rFont val="Noto Sans CJK SC"/>
        <family val="2"/>
      </rPr>
      <t xml:space="preserve">的一半距離；低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：第三季記憶體投資延後的前例（</t>
    </r>
    <r>
      <rPr>
        <sz val="11"/>
        <color theme="1"/>
        <rFont val="Calibri"/>
        <family val="2"/>
        <charset val="1"/>
      </rPr>
      <t xml:space="preserve">FY2025 Q3 </t>
    </r>
    <r>
      <rPr>
        <sz val="11"/>
        <color theme="1"/>
        <rFont val="Noto Sans CJK SC"/>
        <family val="2"/>
      </rPr>
      <t xml:space="preserve">下修）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</si>
  <si>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</si>
  <si>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</si>
  <si>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2026-09-17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69.3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65.3–74.3</t>
    </r>
  </si>
  <si>
    <t xml:space="preserve">第二來源：未找到</t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</si>
  <si>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</si>
  <si>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</si>
  <si>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（同上）：</t>
    </r>
    <r>
      <rPr>
        <sz val="11"/>
        <color theme="1"/>
        <rFont val="Calibri"/>
        <family val="2"/>
        <charset val="1"/>
      </rPr>
      <t xml:space="preserve">12.25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</si>
  <si>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</si>
  <si>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</si>
  <si>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（同上）：</t>
    </r>
    <r>
      <rPr>
        <sz val="11"/>
        <color theme="1"/>
        <rFont val="Calibri"/>
        <family val="2"/>
        <charset val="1"/>
      </rPr>
      <t xml:space="preserve">8.70 →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75.03 </t>
    </r>
    <r>
      <rPr>
        <sz val="11"/>
        <color theme="1"/>
        <rFont val="Noto Sans CJK SC"/>
        <family val="2"/>
      </rPr>
      <t xml:space="preserve">百萬股，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</si>
  <si>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未顯示（付費）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</si>
  <si>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</si>
  <si>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</si>
  <si>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</si>
  <si>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</si>
  <si>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</si>
  <si>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</si>
  <si>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</si>
  <si>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</si>
  <si>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</si>
  <si>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</si>
  <si>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</si>
  <si>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</si>
  <si>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</si>
  <si>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 日足（</t>
    </r>
    <r>
      <rPr>
        <sz val="11"/>
        <color theme="1"/>
        <rFont val="Calibri"/>
        <family val="2"/>
        <charset val="1"/>
      </rPr>
      <t xml:space="preserve">s.kabutan.jp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1,968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</si>
  <si>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（同值）。</t>
    </r>
    <r>
      <rPr>
        <sz val="11"/>
        <color theme="1"/>
        <rFont val="Calibri"/>
        <family val="2"/>
        <charset val="1"/>
      </rPr>
      <t xml:space="preserve">2026-10-09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，兩週內 −</t>
    </r>
    <r>
      <rPr>
        <sz val="11"/>
        <color theme="1"/>
        <rFont val="Calibri"/>
        <family val="2"/>
        <charset val="1"/>
      </rPr>
      <t xml:space="preserve">26%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</si>
  <si>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</si>
  <si>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</si>
  <si>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2,193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</si>
  <si>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</si>
  <si>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</si>
  <si>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90.36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</si>
  <si>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</si>
  <si>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</si>
  <si>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</si>
  <si>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</si>
  <si>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</si>
  <si>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</si>
  <si>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</si>
  <si>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</si>
  <si>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</si>
  <si>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</si>
  <si>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</si>
  <si>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</si>
  <si>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市值約 </t>
    </r>
    <r>
      <rPr>
        <sz val="11"/>
        <color theme="1"/>
        <rFont val="Calibri"/>
        <family val="2"/>
        <charset val="1"/>
      </rPr>
      <t xml:space="preserve">1,500 </t>
    </r>
    <r>
      <rPr>
        <sz val="11"/>
        <color theme="1"/>
        <rFont val="Noto Sans CJK SC"/>
        <family val="2"/>
      </rPr>
      <t xml:space="preserve">億日圓、營收波動大，風險可能高於大型設備股；依工作單不改值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</si>
  <si>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</si>
  <si>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</si>
  <si>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</si>
  <si>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</si>
  <si>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</si>
  <si>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</si>
  <si>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12.15%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13.55%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6.96%</t>
    </r>
  </si>
  <si>
    <r>
      <rPr>
        <sz val="11"/>
        <color theme="1"/>
        <rFont val="Noto Sans CJK SC"/>
        <family val="2"/>
      </rPr>
      <t xml:space="preserve">決算短信：</t>
    </r>
    <r>
      <rPr>
        <sz val="11"/>
        <color theme="1"/>
        <rFont val="Calibri"/>
        <family val="2"/>
        <charset val="1"/>
      </rPr>
      <t xml:space="preserve">FY2025 7.0%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13.6%</t>
    </r>
    <r>
      <rPr>
        <sz val="11"/>
        <color theme="1"/>
        <rFont val="Noto Sans CJK SC"/>
        <family val="2"/>
      </rPr>
      <t xml:space="preserve">（兩來源一致）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</si>
  <si>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</si>
  <si>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</si>
  <si>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</si>
  <si>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—</t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</si>
  <si>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</si>
  <si>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</si>
  <si>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頁（公司決算短信、四半期報告書、</t>
    </r>
    <r>
      <rPr>
        <sz val="11"/>
        <color theme="1"/>
        <rFont val="Calibri"/>
        <family val="2"/>
        <charset val="1"/>
      </rPr>
      <t xml:space="preserve">the-shashi </t>
    </r>
    <r>
      <rPr>
        <sz val="11"/>
        <color theme="1"/>
        <rFont val="Noto Sans CJK SC"/>
        <family val="2"/>
      </rPr>
      <t xml:space="preserve">轉載有價證券報告書）</t>
    </r>
  </si>
  <si>
    <r>
      <rPr>
        <sz val="11"/>
        <color theme="1"/>
        <rFont val="Noto Sans CJK SC"/>
        <family val="2"/>
      </rPr>
      <t xml:space="preserve">收斂法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情境的淨利率目標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</si>
  <si>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</si>
  <si>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</si>
  <si>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¥3,300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3,300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2,600–4,000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2026-09-17 </t>
    </r>
    <r>
      <rPr>
        <sz val="11"/>
        <color theme="1"/>
        <rFont val="Noto Sans CJK SC"/>
        <family val="2"/>
      </rPr>
      <t xml:space="preserve">更新</t>
    </r>
  </si>
  <si>
    <r>
      <rPr>
        <sz val="11"/>
        <color theme="1"/>
        <rFont val="Noto Sans CJK SC"/>
        <family val="2"/>
      </rPr>
      <t xml:space="preserve">近期：</t>
    </r>
    <r>
      <rPr>
        <sz val="11"/>
        <color theme="1"/>
        <rFont val="Calibri"/>
        <family val="2"/>
        <charset val="1"/>
      </rPr>
      <t xml:space="preserve">SBI 4,150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9-17</t>
    </r>
    <r>
      <rPr>
        <sz val="11"/>
        <color theme="1"/>
        <rFont val="Noto Sans CJK SC"/>
        <family val="2"/>
      </rPr>
      <t xml:space="preserve">）、岡三 </t>
    </r>
    <r>
      <rPr>
        <sz val="11"/>
        <color theme="1"/>
        <rFont val="Calibri"/>
        <family val="2"/>
        <charset val="1"/>
      </rPr>
      <t xml:space="preserve">2,600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Morgan Stanley 3,200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6-11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Jefferies 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5-12</t>
    </r>
    <r>
      <rPr>
        <sz val="11"/>
        <color theme="1"/>
        <rFont val="Noto Sans CJK SC"/>
        <family val="2"/>
      </rPr>
      <t xml:space="preserve">）；早於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</si>
  <si>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</si>
  <si>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</si>
  <si>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期）共識淨利 </t>
    </r>
    <r>
      <rPr>
        <sz val="11"/>
        <color theme="1"/>
        <rFont val="Calibri"/>
        <family val="2"/>
        <charset val="1"/>
      </rPr>
      <t xml:space="preserve">8.70 ÷ </t>
    </r>
    <r>
      <rPr>
        <sz val="11"/>
        <color theme="1"/>
        <rFont val="Noto Sans CJK SC"/>
        <family val="2"/>
      </rPr>
      <t xml:space="preserve">股數（約 </t>
    </r>
    <r>
      <rPr>
        <sz val="11"/>
        <color theme="1"/>
        <rFont val="Calibri"/>
        <family val="2"/>
        <charset val="1"/>
      </rPr>
      <t xml:space="preserve">¥116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</si>
  <si>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</si>
  <si>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</si>
  <si>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</si>
  <si>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</si>
  <si>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</si>
  <si>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scn_hs_25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</si>
  <si>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</si>
  <si>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</si>
  <si>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</si>
  <si>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</si>
  <si>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</si>
  <si>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</si>
  <si>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</si>
  <si>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</si>
  <si>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</si>
  <si>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</si>
  <si>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</si>
  <si>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</si>
  <si>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</si>
  <si>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</si>
  <si>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</si>
  <si>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</si>
  <si>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</si>
  <si>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</si>
  <si>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</si>
  <si>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</si>
  <si>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scn_eqt_25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</si>
  <si>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</si>
  <si>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eqtA_25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</si>
  <si>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scn_eqt_26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</si>
  <si>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</si>
  <si>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eqtA_26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</si>
  <si>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scn_eqt_27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</si>
  <si>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</si>
  <si>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eqtA_27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</si>
  <si>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scn_eqt_28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</si>
  <si>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</si>
  <si>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eqtA_28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</si>
  <si>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scn_eqt_29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</si>
  <si>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</si>
  <si>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eqtA_29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</si>
  <si>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scn_eqa_25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</si>
  <si>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</si>
  <si>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eqaA_25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</si>
  <si>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scn_eqa_26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</si>
  <si>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</si>
  <si>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eqaA_26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</si>
  <si>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scn_eqa_27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</si>
  <si>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</si>
  <si>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eqaA_27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</si>
  <si>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scn_eqa_28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</si>
  <si>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</si>
  <si>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eqaA_28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</si>
  <si>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scn_eqa_29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</si>
  <si>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</si>
  <si>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eqaA_29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</si>
  <si>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scn_shl</t>
  </si>
  <si>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</si>
  <si>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</si>
  <si>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scn_ima</t>
  </si>
  <si>
    <r>
      <rPr>
        <sz val="11"/>
        <color theme="1"/>
        <rFont val="Noto Sans CJK SC"/>
        <family val="2"/>
      </rPr>
      <t xml:space="preserve">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</si>
  <si>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ima_A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ima_B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ima_C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</si>
  <si>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</si>
  <si>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</si>
  <si>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</si>
  <si>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</si>
  <si>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</si>
  <si>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</si>
  <si>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：松井證券季度表（百萬日圓）；來源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：公司決算短信與說明資料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</si>
  <si>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</si>
  <si>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</si>
  <si>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</si>
  <si>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</si>
  <si>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</si>
  <si>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</si>
  <si>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上半（公司指引）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</si>
  <si>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</si>
  <si>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</si>
  <si>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</si>
  <si>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8,080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15,369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13,481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17,435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16,183</t>
    </r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</si>
  <si>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234.4 </t>
    </r>
    <r>
      <rPr>
        <sz val="11"/>
        <color theme="1"/>
        <rFont val="Noto Sans CJK SC"/>
        <family val="2"/>
      </rPr>
      <t xml:space="preserve">億（說明資料 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8.08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15.37</t>
    </r>
  </si>
  <si>
    <t xml:space="preserve">營業利益</t>
  </si>
  <si>
    <r>
      <rPr>
        <sz val="11"/>
        <color theme="1"/>
        <rFont val="Noto Sans CJK SC"/>
        <family val="2"/>
      </rPr>
      <t xml:space="preserve">松井：−</t>
    </r>
    <r>
      <rPr>
        <sz val="11"/>
        <color theme="1"/>
        <rFont val="Calibri"/>
        <family val="2"/>
        <charset val="1"/>
      </rPr>
      <t xml:space="preserve">581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3,074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1,192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3,232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2,212</t>
    </r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</si>
  <si>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24.9 </t>
    </r>
    <r>
      <rPr>
        <sz val="11"/>
        <color theme="1"/>
        <rFont val="Noto Sans CJK SC"/>
        <family val="2"/>
      </rPr>
      <t xml:space="preserve">億</t>
    </r>
  </si>
  <si>
    <t xml:space="preserve">淨利</t>
  </si>
  <si>
    <r>
      <rPr>
        <sz val="11"/>
        <color theme="1"/>
        <rFont val="Noto Sans CJK SC"/>
        <family val="2"/>
      </rPr>
      <t xml:space="preserve">松井：−</t>
    </r>
    <r>
      <rPr>
        <sz val="11"/>
        <color theme="1"/>
        <rFont val="Calibri"/>
        <family val="2"/>
        <charset val="1"/>
      </rPr>
      <t xml:space="preserve">528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2,377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778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1,966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1,657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</si>
  <si>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3,500</t>
    </r>
    <r>
      <rPr>
        <sz val="11"/>
        <color theme="1"/>
        <rFont val="Noto Sans CJK SC"/>
        <family val="2"/>
      </rPr>
      <t xml:space="preserve">（決算短信）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</si>
  <si>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</si>
  <si>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t xml:space="preserve">松井</t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</si>
  <si>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46.65</t>
    </r>
  </si>
  <si>
    <t xml:space="preserve">受注高</t>
  </si>
  <si>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：上半 </t>
    </r>
    <r>
      <rPr>
        <sz val="11"/>
        <color theme="1"/>
        <rFont val="Calibri"/>
        <family val="2"/>
        <charset val="1"/>
      </rPr>
      <t xml:space="preserve">250.3</t>
    </r>
    <r>
      <rPr>
        <sz val="11"/>
        <color theme="1"/>
        <rFont val="Noto Sans CJK SC"/>
        <family val="2"/>
      </rPr>
      <t xml:space="preserve">、第二季 </t>
    </r>
    <r>
      <rPr>
        <sz val="11"/>
        <color theme="1"/>
        <rFont val="Calibri"/>
        <family val="2"/>
        <charset val="1"/>
      </rPr>
      <t xml:space="preserve">146.1</t>
    </r>
    <r>
      <rPr>
        <sz val="11"/>
        <color theme="1"/>
        <rFont val="Noto Sans CJK SC"/>
        <family val="2"/>
      </rPr>
      <t xml:space="preserve">（第一季＝差額 </t>
    </r>
    <r>
      <rPr>
        <sz val="11"/>
        <color theme="1"/>
        <rFont val="Calibri"/>
        <family val="2"/>
        <charset val="1"/>
      </rPr>
      <t xml:space="preserve">104.3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</si>
  <si>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595.6 → </t>
    </r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345.3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計畫每季 </t>
    </r>
    <r>
      <rPr>
        <sz val="11"/>
        <color theme="1"/>
        <rFont val="Calibri"/>
        <family val="2"/>
        <charset val="1"/>
      </rPr>
      <t xml:space="preserve">150–170</t>
    </r>
  </si>
  <si>
    <t xml:space="preserve">營業利益率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</si>
  <si>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年度（營收、營業利益、淨利；應約為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</si>
  <si>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第一季占全年指引（營收／營業利益）</t>
    </r>
  </si>
  <si>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）財報尚未公布（去年為 </t>
    </r>
    <r>
      <rPr>
        <sz val="11"/>
        <color theme="1"/>
        <rFont val="Calibri"/>
        <family val="2"/>
        <charset val="1"/>
      </rPr>
      <t xml:space="preserve">11-07 </t>
    </r>
    <r>
      <rPr>
        <sz val="11"/>
        <color theme="1"/>
        <rFont val="Noto Sans CJK SC"/>
        <family val="2"/>
      </rPr>
      <t xml:space="preserve">公布）；本版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錨定公司全年指引。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第一季虧損、第三季因記憶體量產投資延後而下修（公司第三季說明資料）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</si>
  <si>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為日圓）。來源：公司決算短信（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）、四半期報告書（</t>
    </r>
    <r>
      <rPr>
        <sz val="11"/>
        <color theme="1"/>
        <rFont val="Calibri"/>
        <family val="2"/>
        <charset val="1"/>
      </rPr>
      <t xml:space="preserve">EDINET</t>
    </r>
    <r>
      <rPr>
        <sz val="11"/>
        <color theme="1"/>
        <rFont val="Noto Sans CJK SC"/>
        <family val="2"/>
      </rPr>
      <t xml:space="preserve">）、松井證券（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（轉載有價證券報告書）。用途：增量營益率迴歸、十年平均淨利率、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</si>
  <si>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2024-10-01 </t>
    </r>
    <r>
      <rPr>
        <sz val="11"/>
        <color theme="1"/>
        <rFont val="Noto Sans CJK SC"/>
        <family val="2"/>
      </rPr>
      <t xml:space="preserve">一股分三股（基準日 </t>
    </r>
    <r>
      <rPr>
        <sz val="11"/>
        <color theme="1"/>
        <rFont val="Calibri"/>
        <family val="2"/>
        <charset val="1"/>
      </rPr>
      <t xml:space="preserve">2024-09-30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轉載公司公告；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分割紀錄 </t>
    </r>
    <r>
      <rPr>
        <sz val="11"/>
        <color theme="1"/>
        <rFont val="Calibri"/>
        <family val="2"/>
        <charset val="1"/>
      </rPr>
      <t xml:space="preserve">2024-09-27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月期）以前公司公布的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除以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FY2021–FY2023 </t>
    </r>
    <r>
      <rPr>
        <sz val="11"/>
        <color theme="1"/>
        <rFont val="Noto Sans CJK SC"/>
        <family val="2"/>
      </rPr>
      <t xml:space="preserve">的松井、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數字已調整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</si>
  <si>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</si>
  <si>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</si>
  <si>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</si>
  <si>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（公司公布）</t>
    </r>
  </si>
  <si>
    <t xml:space="preserve">淨利率</t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</si>
  <si>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</si>
  <si>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（分割調整後）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</si>
  <si>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</si>
  <si>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</si>
  <si>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（前期欄）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</si>
  <si>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38.7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</si>
  <si>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</si>
  <si>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140120180422416748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</si>
  <si>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（前期欄）同值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</si>
  <si>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</si>
  <si>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140120190511422405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</si>
  <si>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（前期欄，毛利 </t>
    </r>
    <r>
      <rPr>
        <sz val="11"/>
        <color theme="1"/>
        <rFont val="Calibri"/>
        <family val="2"/>
        <charset val="1"/>
      </rPr>
      <t xml:space="preserve">6,986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</si>
  <si>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</si>
  <si>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140120200507404921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</si>
  <si>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3.7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</si>
  <si>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</si>
  <si>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四半期報告書 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期第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四半期（</t>
    </r>
    <r>
      <rPr>
        <sz val="11"/>
        <color theme="1"/>
        <rFont val="Calibri"/>
        <family val="2"/>
        <charset val="1"/>
      </rPr>
      <t xml:space="preserve">EDINET S100NDD0</t>
    </r>
    <r>
      <rPr>
        <sz val="11"/>
        <color theme="1"/>
        <rFont val="Noto Sans CJK SC"/>
        <family val="2"/>
      </rPr>
      <t xml:space="preserve">，前期通期欄：營收 </t>
    </r>
    <r>
      <rPr>
        <sz val="11"/>
        <color theme="1"/>
        <rFont val="Calibri"/>
        <family val="2"/>
        <charset val="1"/>
      </rPr>
      <t xml:space="preserve">29,707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2,663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106.49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</si>
  <si>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營業利益：</t>
    </r>
    <r>
      <rPr>
        <sz val="11"/>
        <color theme="1"/>
        <rFont val="Calibri"/>
        <family val="2"/>
        <charset val="1"/>
      </rPr>
      <t xml:space="preserve">the-shashi 36.2 </t>
    </r>
    <r>
      <rPr>
        <sz val="11"/>
        <color theme="1"/>
        <rFont val="Noto Sans CJK SC"/>
        <family val="2"/>
      </rPr>
      <t xml:space="preserve">億（單一來源；營收以外未見第二來源）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</si>
  <si>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</si>
  <si>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）（分割調整後）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</si>
  <si>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81.3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</si>
  <si>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</si>
  <si>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：同值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</si>
  <si>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</si>
  <si>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</si>
  <si>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）（前期欄）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</si>
  <si>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</si>
  <si>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</si>
  <si>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</si>
  <si>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迴歸與統計</t>
  </si>
  <si>
    <r>
      <rPr>
        <sz val="11"/>
        <color theme="1"/>
        <rFont val="Noto Sans CJK SC"/>
        <family val="2"/>
      </rPr>
      <t xml:space="preserve">營業利益 ＝ 截距 ＋ 斜率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營收：斜率（增量營益率）</t>
    </r>
  </si>
  <si>
    <r>
      <rPr>
        <sz val="11"/>
        <color theme="1"/>
        <rFont val="Noto Sans CJK SC"/>
        <family val="2"/>
      </rPr>
      <t xml:space="preserve">截距 </t>
    </r>
    <r>
      <rPr>
        <sz val="11"/>
        <color theme="1"/>
        <rFont val="Calibri"/>
        <family val="2"/>
        <charset val="1"/>
      </rPr>
      <t xml:space="preserve">¥B</t>
    </r>
  </si>
  <si>
    <t xml:space="preserve">R²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</si>
  <si>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</si>
  <si>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t xml:space="preserve">十年平均淨利率</t>
  </si>
  <si>
    <t xml:space="preserve">十年平均營業利益率</t>
  </si>
  <si>
    <r>
      <rPr>
        <sz val="11"/>
        <color theme="1"/>
        <rFont val="Calibri"/>
        <family val="2"/>
        <charset val="1"/>
      </rPr>
      <t xml:space="preserve">FY2021–FY2025 </t>
    </r>
    <r>
      <rPr>
        <sz val="11"/>
        <color theme="1"/>
        <rFont val="Noto Sans CJK SC"/>
        <family val="2"/>
      </rPr>
      <t xml:space="preserve">平均營業利益率（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前後的高營收期）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</si>
  <si>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（其餘年度未找到）</t>
    </r>
  </si>
  <si>
    <r>
      <rPr>
        <sz val="11"/>
        <color theme="1"/>
        <rFont val="Calibri"/>
        <family val="2"/>
        <charset val="1"/>
      </rPr>
      <t xml:space="preserve">PL — TOWA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錨定公司全年指引；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</si>
  <si>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</si>
  <si>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</si>
  <si>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</si>
  <si>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</si>
  <si>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</si>
  <si>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</si>
  <si>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</si>
  <si>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  半導體製造裝置事業</t>
  </si>
  <si>
    <r>
      <rPr>
        <sz val="11"/>
        <color theme="1"/>
        <rFont val="Calibri"/>
        <family val="2"/>
        <charset val="1"/>
      </rPr>
      <t xml:space="preserve">    AI </t>
    </r>
    <r>
      <rPr>
        <sz val="11"/>
        <color theme="1"/>
        <rFont val="Noto Sans CJK SC"/>
        <family val="2"/>
      </rPr>
      <t xml:space="preserve">封膠（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</si>
  <si>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</t>
    </r>
  </si>
  <si>
    <t xml:space="preserve">    其他半導體（切割等）</t>
  </si>
  <si>
    <r>
      <rPr>
        <sz val="11"/>
        <color theme="1"/>
        <rFont val="Noto Sans CJK SC"/>
        <family val="2"/>
      </rPr>
      <t xml:space="preserve">  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等）</t>
    </r>
  </si>
  <si>
    <t xml:space="preserve">  醫療器材</t>
  </si>
  <si>
    <t xml:space="preserve">  雷射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</si>
  <si>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封膠占營收</t>
    </r>
  </si>
  <si>
    <t xml:space="preserve">EPS</t>
  </si>
  <si>
    <t xml:space="preserve">對照：營收（只用驅動，無錨點）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</si>
  <si>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</si>
  <si>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</si>
  <si>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</si>
  <si>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（順利）：上游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位元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、設備市場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封膠市占不流失；增量營益率 </t>
    </r>
    <r>
      <rPr>
        <b val="true"/>
        <sz val="11"/>
        <rFont val="Cambria"/>
        <family val="0"/>
        <charset val="1"/>
      </rPr>
      <t xml:space="preserve">+3pt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</si>
  <si>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</si>
  <si>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</si>
  <si>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</si>
  <si>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</si>
  <si>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</si>
  <si>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</si>
  <si>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</si>
  <si>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</si>
  <si>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出貨位元（同字母情境）</t>
    </r>
  </si>
  <si>
    <r>
      <rPr>
        <sz val="11"/>
        <color theme="1"/>
        <rFont val="Calibri"/>
        <family val="2"/>
        <charset val="1"/>
      </rPr>
      <t xml:space="preserve">skhynix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</si>
  <si>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</si>
  <si>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</si>
  <si>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</si>
  <si>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堆疊數（每個堆疊封膠一次）</t>
    </r>
  </si>
  <si>
    <t xml:space="preserve">十億個</t>
  </si>
  <si>
    <r>
      <rPr>
        <sz val="11"/>
        <color theme="1"/>
        <rFont val="Calibri"/>
        <family val="2"/>
        <charset val="1"/>
      </rPr>
      <t xml:space="preserve">EB × 8 ÷</t>
    </r>
    <r>
      <rPr>
        <sz val="11"/>
        <color theme="1"/>
        <rFont val="Noto Sans CJK SC"/>
        <family val="2"/>
      </rPr>
      <t xml:space="preserve">（晶粒容量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層數）；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</si>
  <si>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封膠新機需求（下一年堆疊增量＋汰換）</t>
    </r>
  </si>
  <si>
    <t xml:space="preserve">設備比產能早一年買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</si>
  <si>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片數需求（同字母情境顆數係數）</t>
    </r>
  </si>
  <si>
    <r>
      <rPr>
        <sz val="11"/>
        <color theme="1"/>
        <rFont val="Noto Sans CJK SC"/>
        <family val="2"/>
      </rPr>
      <t xml:space="preserve">台積電成品；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</si>
  <si>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封膠新機需求（下一年片數增量＋汰換）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</si>
  <si>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封裝設備指數（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封裝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s 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</si>
  <si>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外推</t>
    </r>
  </si>
  <si>
    <t xml:space="preserve">設備總額（同字母情境）</t>
  </si>
  <si>
    <t xml:space="preserve">切割與雷射用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</si>
  <si>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</si>
  <si>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：每單位新機需求的封膠營收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</si>
  <si>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／十億個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</si>
  <si>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新機需求</t>
    </r>
  </si>
  <si>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：每千片新機需求的封膠營收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</si>
  <si>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</si>
  <si>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會計年度驅動推導（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</si>
  <si>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</si>
  <si>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</si>
  <si>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封膠（驅動推導）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</si>
  <si>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封膠（驅動推導）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</si>
  <si>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封膠設備與模具（驅動推導）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</si>
  <si>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基期＝封膠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</t>
    </r>
  </si>
  <si>
    <t xml:space="preserve">其他半導體：切割等（驅動推導）</t>
  </si>
  <si>
    <t xml:space="preserve">隨設備總額</t>
  </si>
  <si>
    <r>
      <rPr>
        <sz val="11"/>
        <color theme="1"/>
        <rFont val="Noto Sans CJK SC"/>
        <family val="2"/>
      </rPr>
      <t xml:space="preserve">新事業：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售後等（驅動推導）</t>
    </r>
  </si>
  <si>
    <t xml:space="preserve">醫療器材（驅動推導）</t>
  </si>
  <si>
    <t xml:space="preserve">雷射（驅動推導）</t>
  </si>
  <si>
    <t xml:space="preserve">營收（驅動推導，無錨點）</t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</si>
  <si>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錨點（公司全年指引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g_anc</t>
    </r>
    <r>
      <rPr>
        <b val="true"/>
        <sz val="11"/>
        <rFont val="Noto Sans CJK SC"/>
        <family val="2"/>
      </rPr>
      <t xml:space="preserve">）；三情境相同）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</si>
  <si>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</si>
  <si>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錨點營業利益（指引營益率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</si>
  <si>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</si>
  <si>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</si>
  <si>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各組成同比例縮放成錨點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</si>
  <si>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</si>
  <si>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起回到驅動推導；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 </t>
    </r>
    <r>
      <rPr>
        <sz val="11"/>
        <color theme="1"/>
        <rFont val="Noto Sans CJK SC"/>
        <family val="2"/>
      </rPr>
      <t xml:space="preserve">差額來自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驅動較低，不算非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</si>
  <si>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</si>
  <si>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</si>
  <si>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</si>
  <si>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</t>
    </r>
  </si>
  <si>
    <t xml:space="preserve">其他半導體（切割等）</t>
  </si>
  <si>
    <r>
      <rPr>
        <sz val="11"/>
        <color theme="1"/>
        <rFont val="Noto Sans CJK SC"/>
        <family val="2"/>
      </rPr>
      <t xml:space="preserve">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等）</t>
    </r>
  </si>
  <si>
    <t xml:space="preserve">醫療器材</t>
  </si>
  <si>
    <t xml:space="preserve">雷射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</si>
  <si>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封膠合計</t>
    </r>
  </si>
  <si>
    <r>
      <rPr>
        <sz val="11"/>
        <color theme="1"/>
        <rFont val="Noto Sans CJK SC"/>
        <family val="2"/>
      </rPr>
      <t xml:space="preserve">半導體製造裝置事業營收（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封膠＋其他半導體）</t>
    </r>
  </si>
  <si>
    <t xml:space="preserve">官方分部 半導体製造装置事業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</si>
  <si>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</si>
  <si>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實績；差額為公司數字四捨五入）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</si>
  <si>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營業利益＋增量營益率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</si>
  <si>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營業利益率（結果）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</si>
  <si>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</si>
  <si>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（平平）：上游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；設備市場 </t>
    </r>
    <r>
      <rPr>
        <b val="true"/>
        <sz val="11"/>
        <rFont val="Cambria"/>
        <family val="0"/>
        <charset val="1"/>
      </rPr>
      <t xml:space="preserve">B 2028 </t>
    </r>
    <r>
      <rPr>
        <b val="true"/>
        <sz val="11"/>
        <rFont val="Noto Sans CJK SC"/>
        <family val="2"/>
      </rPr>
      <t xml:space="preserve">見頂）；市占流失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；增量營益率＝迴歸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</si>
  <si>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（不如預期）：上游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；設備市場 </t>
    </r>
    <r>
      <rPr>
        <b val="true"/>
        <sz val="11"/>
        <rFont val="Cambria"/>
        <family val="0"/>
        <charset val="1"/>
      </rPr>
      <t xml:space="preserve">C 2027 </t>
    </r>
    <r>
      <rPr>
        <b val="true"/>
        <sz val="11"/>
        <rFont val="Noto Sans CJK SC"/>
        <family val="2"/>
      </rPr>
      <t xml:space="preserve">見頂）；市占流失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；增量營益率 −</t>
    </r>
    <r>
      <rPr>
        <b val="true"/>
        <sz val="11"/>
        <rFont val="Cambria"/>
        <family val="0"/>
        <charset val="1"/>
      </rPr>
      <t xml:space="preserve">5pt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</si>
  <si>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</si>
  <si>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</si>
  <si>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</si>
  <si>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</si>
  <si>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</si>
  <si>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</si>
  <si>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</si>
  <si>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</si>
  <si>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</si>
  <si>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</si>
  <si>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</si>
  <si>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加權）；第 </t>
    </r>
    <r>
      <rPr>
        <sz val="11"/>
        <color theme="1"/>
        <rFont val="Calibri"/>
        <family val="2"/>
        <charset val="1"/>
      </rPr>
      <t xml:space="preserve">1–6 </t>
    </r>
    <r>
      <rPr>
        <sz val="11"/>
        <color theme="1"/>
        <rFont val="Noto Sans CJK SC"/>
        <family val="2"/>
      </rPr>
      <t xml:space="preserve">節為十年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、循環位置規則值（設備股共用規則：見頂年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分位）與目前倍數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</si>
  <si>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2024-10-01 </t>
    </r>
    <r>
      <rPr>
        <sz val="11"/>
        <color theme="1"/>
        <rFont val="Noto Sans CJK SC"/>
        <family val="2"/>
      </rPr>
      <t xml:space="preserve">一股分三股調整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</si>
  <si>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</si>
  <si>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</si>
  <si>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</si>
  <si>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</si>
  <si>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</si>
  <si>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</si>
  <si>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</si>
  <si>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</si>
  <si>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</si>
  <si>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</si>
  <si>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</si>
  <si>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</si>
  <si>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</si>
  <si>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</si>
  <si>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</t>
    </r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FY2025 41.9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55.0 </t>
    </r>
    <r>
      <rPr>
        <sz val="11"/>
        <color theme="1"/>
        <rFont val="Noto Sans CJK SC"/>
        <family val="2"/>
      </rPr>
      <t xml:space="preserve">億（約營收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、指引淨利的約八成），高於再投資率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，此式可能高估現金流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</si>
  <si>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</si>
  <si>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</si>
  <si>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</si>
  <si>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</si>
  <si>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</si>
  <si>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</si>
  <si>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</si>
  <si>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</si>
  <si>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</si>
  <si>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</si>
  <si>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</si>
  <si>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</si>
  <si>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</si>
  <si>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Disco</t>
  </si>
  <si>
    <t xml:space="preserve">6146.T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</si>
  <si>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</si>
  <si>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（分析師共識；價格日期如左；本 </t>
    </r>
    <r>
      <rPr>
        <sz val="11"/>
        <color theme="1"/>
        <rFont val="Calibri"/>
        <family val="2"/>
        <charset val="1"/>
      </rPr>
      <t xml:space="preserve">repo hanmi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</si>
  <si>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Noto Sans CJK SC"/>
        <family val="2"/>
      </rPr>
      <t xml:space="preserve">東京精密（</t>
    </r>
    <r>
      <rPr>
        <sz val="11"/>
        <color theme="1"/>
        <rFont val="Calibri"/>
        <family val="2"/>
        <charset val="1"/>
      </rPr>
      <t xml:space="preserve">Accretech</t>
    </r>
    <r>
      <rPr>
        <sz val="11"/>
        <color theme="1"/>
        <rFont val="Noto Sans CJK SC"/>
        <family val="2"/>
      </rPr>
      <t xml:space="preserve">）</t>
    </r>
  </si>
  <si>
    <t xml:space="preserve">7729.T</t>
  </si>
  <si>
    <t xml:space="preserve">2026-09-29</t>
  </si>
  <si>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（封膠與鍵合競爭者）</t>
    </r>
  </si>
  <si>
    <t xml:space="preserve">0522.HK</t>
  </si>
  <si>
    <t xml:space="preserve">2026-09-23</t>
  </si>
  <si>
    <r>
      <rPr>
        <sz val="11"/>
        <color theme="1"/>
        <rFont val="Calibri"/>
        <family val="2"/>
        <charset val="1"/>
      </rPr>
      <t xml:space="preserve">BE Semiconductor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）</t>
    </r>
  </si>
  <si>
    <t xml:space="preserve">BESI.AS</t>
  </si>
  <si>
    <t xml:space="preserve">Kulicke &amp; Soffa</t>
  </si>
  <si>
    <t xml:space="preserve">KLIC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</si>
  <si>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</si>
  <si>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後段設備同業：日本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、東京精密；封裝設備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（封膠直接競爭者）、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。同業名單不含中國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</si>
  <si>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</si>
  <si>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</si>
  <si>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</si>
  <si>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</si>
  <si>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</si>
  <si>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</si>
  <si>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</si>
  <si>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</si>
  <si>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</si>
  <si>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</si>
  <si>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</si>
  <si>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</si>
  <si>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</si>
  <si>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</si>
  <si>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</si>
  <si>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8.70 ÷ </t>
    </r>
    <r>
      <rPr>
        <sz val="11"/>
        <color theme="1"/>
        <rFont val="Noto Sans CJK SC"/>
        <family val="2"/>
      </rPr>
      <t xml:space="preserve">股數，早約一年半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</si>
  <si>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</si>
  <si>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</si>
  <si>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</si>
  <si>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</si>
  <si>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</si>
  <si>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</si>
  <si>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起收斂法）＋永續；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、東京精密、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。偏誤：再投資率低估 </t>
    </r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的資本支出（偏高估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）；同業中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的利潤率與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曝險高於 </t>
    </r>
    <r>
      <rPr>
        <sz val="11"/>
        <color theme="1"/>
        <rFont val="Calibri"/>
        <family val="2"/>
        <charset val="1"/>
      </rPr>
      <t xml:space="preserve">TOWA</t>
    </r>
    <r>
      <rPr>
        <sz val="11"/>
        <color theme="1"/>
        <rFont val="Noto Sans CJK SC"/>
        <family val="2"/>
      </rPr>
      <t xml:space="preserve">（偏高估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）；十年倍數多來自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前的小型股時期。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</si>
  <si>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</si>
  <si>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</si>
  <si>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收盤價（分割調整後）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</si>
  <si>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：株探 年足終值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</si>
  <si>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</si>
  <si>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</si>
  <si>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</si>
  <si>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t xml:space="preserve">2016-12</t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</si>
  <si>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Close</t>
    </r>
    <r>
      <rPr>
        <sz val="11"/>
        <color theme="1"/>
        <rFont val="Noto Sans CJK SC"/>
        <family val="2"/>
      </rPr>
      <t xml:space="preserve">（已依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年分割調整）；來源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：株探 年足（取整）；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</t>
    </r>
  </si>
  <si>
    <t xml:space="preserve">2017-12</t>
  </si>
  <si>
    <t xml:space="preserve">2018-12</t>
  </si>
  <si>
    <t xml:space="preserve">2019-12</t>
  </si>
  <si>
    <r>
      <rPr>
        <sz val="11"/>
        <color theme="1"/>
        <rFont val="Calibri"/>
        <family val="2"/>
        <charset val="1"/>
      </rPr>
      <t xml:space="preserve">FY2019 EPS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4.92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3.7 </t>
    </r>
    <r>
      <rPr>
        <sz val="11"/>
        <color theme="1"/>
        <rFont val="Noto Sans CJK SC"/>
        <family val="2"/>
      </rPr>
      <t xml:space="preserve">億），</t>
    </r>
    <r>
      <rPr>
        <sz val="11"/>
        <color theme="1"/>
        <rFont val="Calibri"/>
        <family val="2"/>
        <charset val="1"/>
      </rPr>
      <t xml:space="preserve">P/E 80 </t>
    </r>
    <r>
      <rPr>
        <sz val="11"/>
        <color theme="1"/>
        <rFont val="Noto Sans CJK SC"/>
        <family val="2"/>
      </rPr>
      <t xml:space="preserve">倍為極端值</t>
    </r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</si>
  <si>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</si>
  <si>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</si>
  <si>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</si>
  <si>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</si>
  <si>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</si>
  <si>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</si>
  <si>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</si>
  <si>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</si>
  <si>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</si>
  <si>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</si>
  <si>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</si>
  <si>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</si>
  <si>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</si>
  <si>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</si>
  <si>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</si>
  <si>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</si>
  <si>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</si>
  <si>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</si>
  <si>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</si>
  <si>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</si>
  <si>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</si>
  <si>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</si>
  <si>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</si>
  <si>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</si>
  <si>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</si>
  <si>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</si>
  <si>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</si>
  <si>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</si>
  <si>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</si>
  <si>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</si>
  <si>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</si>
  <si>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</si>
  <si>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</si>
  <si>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</si>
  <si>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</si>
  <si>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</si>
  <si>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</si>
  <si>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</si>
  <si>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</si>
  <si>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</si>
  <si>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</si>
  <si>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株探、</t>
    </r>
    <r>
      <rPr>
        <sz val="11"/>
        <color theme="1"/>
        <rFont val="Calibri"/>
        <family val="2"/>
        <charset val="1"/>
      </rPr>
      <t xml:space="preserve">kabutore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</si>
  <si>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61.22</t>
    </r>
  </si>
  <si>
    <r>
      <rPr>
        <sz val="11"/>
        <color theme="1"/>
        <rFont val="Noto Sans CJK SC"/>
        <family val="2"/>
      </rPr>
      <t xml:space="preserve">上一個會計年度（營益率 </t>
    </r>
    <r>
      <rPr>
        <sz val="11"/>
        <color theme="1"/>
        <rFont val="Calibri"/>
        <family val="2"/>
        <charset val="1"/>
      </rPr>
      <t xml:space="preserve">12.7% </t>
    </r>
    <r>
      <rPr>
        <sz val="11"/>
        <color theme="1"/>
        <rFont val="Noto Sans CJK SC"/>
        <family val="2"/>
      </rPr>
      <t xml:space="preserve">的低點年）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</si>
  <si>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Q2–Q4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</si>
  <si>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31.70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10.37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26.20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22.09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90.36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stockanalysis TTM </t>
    </r>
    <r>
      <rPr>
        <sz val="11"/>
        <color theme="1"/>
        <rFont val="Noto Sans CJK SC"/>
        <family val="2"/>
      </rPr>
      <t xml:space="preserve">相同）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</si>
  <si>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93.30</t>
    </r>
  </si>
  <si>
    <r>
      <rPr>
        <sz val="11"/>
        <color theme="1"/>
        <rFont val="Noto Sans CJK SC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倍」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</si>
  <si>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</si>
  <si>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參考，不用於估值；當時股價 </t>
    </r>
    <r>
      <rPr>
        <sz val="11"/>
        <color theme="1"/>
        <rFont val="Calibri"/>
        <family val="2"/>
        <charset val="1"/>
      </rPr>
      <t xml:space="preserve">2,193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</si>
  <si>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</si>
  <si>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</si>
  <si>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</si>
  <si>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舊法：規則值情境加權（參考，不是目標價）</t>
    </r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</si>
  <si>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</si>
  <si>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各情境規則值（第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</si>
  <si>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</si>
  <si>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規則值方法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</si>
  <si>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依循環位置取分位（設備股共用規則）。十年倍數多數來自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前（營收 </t>
    </r>
    <r>
      <rPr>
        <sz val="11"/>
        <color theme="1"/>
        <rFont val="Calibri"/>
        <family val="2"/>
        <charset val="1"/>
      </rPr>
      <t xml:space="preserve">250–310 </t>
    </r>
    <r>
      <rPr>
        <sz val="11"/>
        <color theme="1"/>
        <rFont val="Noto Sans CJK SC"/>
        <family val="2"/>
      </rPr>
      <t xml:space="preserve">億日圓、營益率 </t>
    </r>
    <r>
      <rPr>
        <sz val="11"/>
        <color theme="1"/>
        <rFont val="Calibri"/>
        <family val="2"/>
        <charset val="1"/>
      </rPr>
      <t xml:space="preserve">3–14%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倍為極端值；隱含價約為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</si>
  <si>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</si>
  <si>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</si>
  <si>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</si>
  <si>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</si>
  <si>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</si>
  <si>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</si>
  <si>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</si>
  <si>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</si>
  <si>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</si>
  <si>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</si>
  <si>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</si>
  <si>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</si>
  <si>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</si>
  <si>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</si>
  <si>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</si>
  <si>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</si>
  <si>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</si>
  <si>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</si>
  <si>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</si>
  <si>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</si>
  <si>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</si>
  <si>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TOWA</t>
  </si>
  <si>
    <t xml:space="preserve">6315.T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</si>
  <si>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</si>
  <si>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6315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</si>
  <si>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</si>
  <si>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</si>
  <si>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7729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</si>
  <si>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0522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</si>
  <si>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BESI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</si>
  <si>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KLIC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</si>
  <si>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</si>
  <si>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</si>
  <si>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</si>
  <si>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</si>
  <si>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</si>
  <si>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</si>
  <si>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</si>
  <si>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</si>
  <si>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</si>
  <si>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</si>
  <si>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</si>
  <si>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</si>
  <si>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</si>
  <si>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</si>
  <si>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錨定公司全年指引（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節為恆等式）；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節列只用驅動推導的結果；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</si>
  <si>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</si>
  <si>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</si>
  <si>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</si>
  <si>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</si>
  <si>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</si>
  <si>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</si>
  <si>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</si>
  <si>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</si>
  <si>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錨點（公司指引）：差距為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</si>
  <si>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</si>
  <si>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640.0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</si>
  <si>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</si>
  <si>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</si>
  <si>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102.4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</si>
  <si>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</si>
  <si>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93.30</t>
    </r>
    <r>
      <rPr>
        <sz val="11"/>
        <color theme="1"/>
        <rFont val="Noto Sans CJK SC"/>
        <family val="2"/>
      </rPr>
      <t xml:space="preserve">）</t>
    </r>
  </si>
  <si>
    <t xml:space="preserve">股數差異造成的小差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</si>
  <si>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× 4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</si>
  <si>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16.2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</si>
  <si>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第一季占全年指引 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；第二季起計畫每季接單 </t>
    </r>
    <r>
      <rPr>
        <sz val="11"/>
        <color theme="1"/>
        <rFont val="Calibri"/>
        <family val="2"/>
        <charset val="1"/>
      </rPr>
      <t xml:space="preserve">150–170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</si>
  <si>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第一季（百分點）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</si>
  <si>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13.7%</t>
    </r>
  </si>
  <si>
    <r>
      <rPr>
        <sz val="11"/>
        <color theme="1"/>
        <rFont val="Noto Sans CJK SC"/>
        <family val="2"/>
      </rPr>
      <t xml:space="preserve">指引隱含第二至四季營益率約 </t>
    </r>
    <r>
      <rPr>
        <sz val="11"/>
        <color theme="1"/>
        <rFont val="Calibri"/>
        <family val="2"/>
        <charset val="1"/>
      </rPr>
      <t xml:space="preserve">16.8%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</si>
  <si>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半導體＋雷射營收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公司事業計畫（</t>
    </r>
    <r>
      <rPr>
        <sz val="11"/>
        <color theme="1"/>
        <rFont val="Calibri"/>
        <family val="2"/>
        <charset val="1"/>
      </rPr>
      <t xml:space="preserve">484.3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</si>
  <si>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決算說明資料 </t>
    </r>
    <r>
      <rPr>
        <sz val="11"/>
        <color theme="1"/>
        <rFont val="Calibri"/>
        <family val="2"/>
        <charset val="1"/>
      </rPr>
      <t xml:space="preserve">2026-05</t>
    </r>
  </si>
  <si>
    <r>
      <rPr>
        <sz val="11"/>
        <color theme="1"/>
        <rFont val="Noto Sans CJK SC"/>
        <family val="2"/>
      </rPr>
      <t xml:space="preserve">事業組成經錨點同比例縮放（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），組成比例來自驅動推導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</si>
  <si>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只用驅動推導時的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（對照；說明錨點改變了多少）</t>
    </r>
  </si>
  <si>
    <r>
      <rPr>
        <sz val="11"/>
        <color theme="1"/>
        <rFont val="Noto Sans CJK SC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</si>
  <si>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</si>
  <si>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t xml:space="preserve">負＝驅動推導低於公司指引</t>
  </si>
  <si>
    <r>
      <rPr>
        <sz val="11"/>
        <color theme="1"/>
        <rFont val="Noto Sans CJK SC"/>
        <family val="2"/>
      </rPr>
      <t xml:space="preserve">驅動推導 雷射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公司計畫 </t>
    </r>
    <r>
      <rPr>
        <sz val="11"/>
        <color theme="1"/>
        <rFont val="Calibri"/>
        <family val="2"/>
        <charset val="1"/>
      </rPr>
      <t xml:space="preserve">32.5</t>
    </r>
  </si>
  <si>
    <r>
      <rPr>
        <sz val="11"/>
        <color theme="1"/>
        <rFont val="Noto Sans CJK SC"/>
        <family val="2"/>
      </rPr>
      <t xml:space="preserve">公司計畫 </t>
    </r>
    <r>
      <rPr>
        <sz val="11"/>
        <color theme="1"/>
        <rFont val="Calibri"/>
        <family val="2"/>
        <charset val="1"/>
      </rPr>
      <t xml:space="preserve">+61.9%</t>
    </r>
    <r>
      <rPr>
        <sz val="11"/>
        <color theme="1"/>
        <rFont val="Noto Sans CJK SC"/>
        <family val="2"/>
      </rPr>
      <t xml:space="preserve">（雷射新機）</t>
    </r>
  </si>
  <si>
    <t xml:space="preserve">本模型雷射隨設備總額，低估公司計畫</t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</si>
  <si>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</si>
  <si>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2026-09-17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</si>
  <si>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69.3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65.3–74.3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</si>
  <si>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共識高於公司指引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</si>
  <si>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</si>
  <si>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</si>
  <si>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</si>
  <si>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8.70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</si>
  <si>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</si>
  <si>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</si>
  <si>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差距約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，未超過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採公司指引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</si>
  <si>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</si>
  <si>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封膠占營收（校準結果；命題的「約兩成」）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</si>
  <si>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封膠占營收（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</si>
  <si>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受注高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book-to-bill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</si>
  <si>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：接單領先營收，支持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</si>
  <si>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（期初受注殘高＋計畫接單下限 </t>
    </r>
    <r>
      <rPr>
        <sz val="11"/>
        <color theme="1"/>
        <rFont val="Calibri"/>
        <family val="2"/>
        <charset val="1"/>
      </rPr>
      <t xml:space="preserve">4 × 150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</si>
  <si>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營收不超過可出貨量（＜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表示指引可由殘高與接單支撐）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</si>
  <si>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</si>
  <si>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</si>
  <si>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</si>
  <si>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</si>
  <si>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</si>
  <si>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</si>
  <si>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</si>
  <si>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</si>
  <si>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占營收</t>
    </r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</si>
  <si>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</si>
  <si>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</si>
  <si>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</si>
  <si>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7.0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</si>
  <si>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</si>
  <si>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13.0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</si>
  <si>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</si>
  <si>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</si>
  <si>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</si>
  <si>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65%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</si>
  <si>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</si>
  <si>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</si>
  <si>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</si>
  <si>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</si>
  <si>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高</t>
    </r>
  </si>
  <si>
    <t xml:space="preserve">晶粒容量 低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</si>
  <si>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</si>
  <si>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</si>
  <si>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高欄</t>
    </r>
  </si>
  <si>
    <t xml:space="preserve">堆疊層數 低（同位元更多堆疊）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</si>
  <si>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</si>
  <si>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</si>
  <si>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</si>
  <si>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</si>
  <si>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</si>
  <si>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</si>
  <si>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</si>
  <si>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Noto Sans CJK SC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</si>
  <si>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</si>
  <si>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封裝設備年增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</si>
  <si>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</si>
  <si>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封裝設備年增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</si>
  <si>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</si>
  <si>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新事業年增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</si>
  <si>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g_tss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</si>
  <si>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新事業年增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</si>
  <si>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g_tss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</si>
  <si>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8pt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</si>
  <si>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</si>
  <si>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Calibri"/>
        <family val="2"/>
        <charset val="1"/>
      </rPr>
      <t xml:space="preserve">shl_C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</si>
  <si>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增量營益率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</si>
  <si>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</si>
  <si>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增量營益率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</si>
  <si>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</si>
  <si>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增量營益率調整取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</si>
  <si>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</si>
  <si>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</si>
  <si>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</si>
  <si>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</si>
  <si>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</si>
  <si>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</si>
  <si>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</si>
  <si>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</si>
  <si>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</si>
  <si>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基期回到驅動推導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</si>
  <si>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</si>
  <si>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；市占流失 </t>
    </r>
    <r>
      <rPr>
        <sz val="11"/>
        <color theme="1"/>
        <rFont val="Calibri"/>
        <family val="2"/>
        <charset val="1"/>
      </rPr>
      <t xml:space="preserve">3pt</t>
    </r>
    <r>
      <rPr>
        <sz val="11"/>
        <color theme="1"/>
        <rFont val="Noto Sans CJK SC"/>
        <family val="2"/>
      </rPr>
      <t xml:space="preserve">；增量營益率＝迴歸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</si>
  <si>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</si>
  <si>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；市占流失 </t>
    </r>
    <r>
      <rPr>
        <sz val="11"/>
        <color theme="1"/>
        <rFont val="Calibri"/>
        <family val="2"/>
        <charset val="1"/>
      </rPr>
      <t xml:space="preserve">8pt</t>
    </r>
    <r>
      <rPr>
        <sz val="11"/>
        <color theme="1"/>
        <rFont val="Noto Sans CJK SC"/>
        <family val="2"/>
      </rPr>
      <t xml:space="preserve">；增量營益率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</si>
  <si>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仍等於實績，只改變之後的路徑形狀；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錨定公司指引，只受 </t>
    </r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影響。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</si>
  <si>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7.0</t>
    </r>
    <r>
      <rPr>
        <b val="true"/>
        <sz val="11"/>
        <rFont val="Noto Sans CJK SC"/>
        <family val="2"/>
      </rPr>
      <t xml:space="preserve">（−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</si>
  <si>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13.0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</si>
  <si>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</si>
  <si>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65%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</si>
  <si>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</si>
  <si>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</si>
  <si>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</si>
  <si>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</si>
  <si>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低（同位元更多堆疊）（情境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</si>
  <si>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</si>
  <si>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</si>
  <si>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</si>
  <si>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Noto Sans CJK SC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</si>
  <si>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封裝設備年增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</si>
  <si>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封裝設備年增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</si>
  <si>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案例區塊：新事業年增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</si>
  <si>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案例區塊：新事業年增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</si>
  <si>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封膠市占流失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</si>
  <si>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封膠市占流失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</si>
  <si>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</si>
  <si>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</si>
  <si>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案例區塊：增量營益率調整取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</si>
  <si>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</si>
  <si>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</si>
  <si>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</si>
  <si>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</si>
  <si>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</si>
  <si>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</si>
  <si>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</si>
  <si>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</si>
  <si>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</si>
  <si>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</si>
  <si>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</si>
  <si>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</si>
  <si>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</si>
  <si>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</si>
  <si>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</si>
  <si>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</si>
  <si>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</si>
  <si>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</si>
  <si>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</si>
  <si>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</si>
  <si>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</si>
  <si>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t xml:space="preserve">來源（公司原文以網頁擷取工具讀取；說明資料圖表擷取錯位處未採用；版面與頁碼待人工複核）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</si>
  <si>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iXBRL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登錄）</t>
    </r>
  </si>
  <si>
    <t xml:space="preserve">https://www2.jpx.co.jp/disc/63150/081220260422508001_tse-acedjpsm-63150-20260422508001-ixbrl.htm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</si>
  <si>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</si>
  <si>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https://www2.jpx.co.jp/disc/63150/081220260702586673_tse-qcedjpsm-63150-20260702586673-ixbrl.htm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</si>
  <si>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</si>
  <si>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https://www.towajapan.co.jp/jp/wp-content/uploads/sites/2/2026/05/2025FY_end_presentation.pdf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</si>
  <si>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台數、</t>
    </r>
    <r>
      <rPr>
        <sz val="11"/>
        <color theme="1"/>
        <rFont val="Calibri"/>
        <family val="2"/>
        <charset val="1"/>
      </rPr>
      <t xml:space="preserve">TechInsights </t>
    </r>
    <r>
      <rPr>
        <sz val="11"/>
        <color theme="1"/>
        <rFont val="Noto Sans CJK SC"/>
        <family val="2"/>
      </rPr>
      <t xml:space="preserve">市占）</t>
    </r>
  </si>
  <si>
    <t xml:space="preserve">https://www.towajapan.co.jp/jp/wp-content/uploads/sites/2/2025/11/2026_secondquarter_presentation.pdf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</si>
  <si>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 決算說明資料（記憶體量產投資延後）</t>
    </r>
  </si>
  <si>
    <t xml:space="preserve">https://www.towajapan.co.jp/jp/wp-content/uploads/sites/2/2026/02/2026_thirdquarter_presentation.pdf</t>
  </si>
  <si>
    <r>
      <rPr>
        <sz val="11"/>
        <color theme="1"/>
        <rFont val="Noto Sans CJK SC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</si>
  <si>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https://www2.jpx.co.jp/disc/63150/140120200507404921.pdf</t>
  </si>
  <si>
    <r>
      <rPr>
        <sz val="11"/>
        <color theme="1"/>
        <rFont val="Calibri"/>
        <family val="2"/>
        <charset val="1"/>
      </rPr>
      <t xml:space="preserve">EDINET</t>
    </r>
    <r>
      <rPr>
        <sz val="11"/>
        <color theme="1"/>
        <rFont val="Noto Sans CJK SC"/>
        <family val="2"/>
      </rPr>
      <t xml:space="preserve">：四半期報告書 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期第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四半期（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通期數字）</t>
    </r>
  </si>
  <si>
    <t xml:space="preserve">https://disclosure2dl.edinet-fsa.go.jp/searchdocument/pdf/S100NDD0.pdf</t>
  </si>
  <si>
    <t xml:space="preserve">松井證券：決算情報（年度、季度）</t>
  </si>
  <si>
    <t xml:space="preserve">https://finance.matsui.co.jp/stock/6315/settlement/index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</si>
  <si>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：業績（分割調整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）、日足、年足</t>
    </r>
  </si>
  <si>
    <t xml:space="preserve">https://s.kabutan.jp/stocks/6315/historical_prices/daily/</t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</si>
  <si>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：現在株價、財務分析（毛利）</t>
    </r>
  </si>
  <si>
    <t xml:space="preserve">https://www.kabutore.biz/genzaikabuka/6315.html</t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</si>
  <si>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：配當與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、營業利益歷史、股票分割</t>
    </r>
  </si>
  <si>
    <t xml:space="preserve">https://the-shashi.com/tse/6315/financials/profit/</t>
  </si>
  <si>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：股票分割公告（三分割，</t>
    </r>
    <r>
      <rPr>
        <sz val="11"/>
        <color theme="1"/>
        <rFont val="Calibri"/>
        <family val="2"/>
        <charset val="1"/>
      </rPr>
      <t xml:space="preserve">2024-10-01</t>
    </r>
    <r>
      <rPr>
        <sz val="11"/>
        <color theme="1"/>
        <rFont val="Noto Sans CJK SC"/>
        <family val="2"/>
      </rPr>
      <t xml:space="preserve">）</t>
    </r>
  </si>
  <si>
    <t xml:space="preserve">https://www.tipranks.com/news/company-announcements/towa-corporation-announces-stock-split-and-dividend-revision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</si>
  <si>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決算摘要（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）</t>
    </r>
  </si>
  <si>
    <t xml:space="preserve">https://www.tousaiblog.org/?p=3389</t>
  </si>
  <si>
    <r>
      <rPr>
        <sz val="11"/>
        <color theme="1"/>
        <rFont val="Calibri"/>
        <family val="2"/>
        <charset val="1"/>
      </rPr>
      <t xml:space="preserve">edinetdb</t>
    </r>
    <r>
      <rPr>
        <sz val="11"/>
        <color theme="1"/>
        <rFont val="Noto Sans CJK SC"/>
        <family val="2"/>
      </rPr>
      <t xml:space="preserve">：說明資料彙整、</t>
    </r>
    <r>
      <rPr>
        <sz val="11"/>
        <color theme="1"/>
        <rFont val="Calibri"/>
        <family val="2"/>
        <charset val="1"/>
      </rPr>
      <t xml:space="preserve">FY2027 Q1</t>
    </r>
  </si>
  <si>
    <t xml:space="preserve">https://edinetdb.jp/company/E01708/presentations/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</si>
  <si>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：月線歷史價格（分割調整）</t>
    </r>
  </si>
  <si>
    <t xml:space="preserve">https://finance.yahoo.com/quote/6315.T/history/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</si>
  <si>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：共識、目標價、統計、比率</t>
    </r>
  </si>
  <si>
    <t xml:space="preserve">https://stockanalysis.com/quote/tyo/6315/forecast/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</si>
  <si>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：進度率</t>
    </r>
  </si>
  <si>
    <t xml:space="preserve">https://kabuyoho.jp/sp/report?bcode=6315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</si>
  <si>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</si>
  <si>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</si>
  <si>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Noto Sans CJK SC"/>
        <family val="2"/>
      </rPr>
      <t xml:space="preserve">市場層與其他模型：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</si>
  <si>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無法開啟：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（權限逾時）、</t>
    </r>
    <r>
      <rPr>
        <sz val="11"/>
        <color theme="1"/>
        <rFont val="Calibri"/>
        <family val="2"/>
        <charset val="1"/>
      </rPr>
      <t xml:space="preserve">limo.media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股價頁（桌面版）；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分析師頁（速率限制）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</si>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</sst>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%"/>
    <numFmt numFmtId="166" formatCode="0%"/>
    <numFmt numFmtId="167" formatCode="#,##0"/>
    <numFmt numFmtId="168" formatCode="#,##0.000"/>
    <numFmt numFmtId="169" formatCode="#,##0.00"/>
    <numFmt numFmtId="170" formatCode="0.000"/>
    <numFmt numFmtId="171" formatCode="0.00"/>
    <numFmt numFmtId="172" formatCode="#,##0.0"/>
    <numFmt numFmtId="173" formatCode="0.0000"/>
    <numFmt numFmtId="174" formatCode="0.0"/>
    <numFmt numFmtId="175" formatCode="0.00000"/>
    <numFmt numFmtId="176" formatCode="@"/>
    <numFmt numFmtId="177" formatCode="0.00%"/>
    <numFmt numFmtId="17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7.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2" t="s">
        <v>14</v>
      </c>
    </row>
    <row r="18" customFormat="false" ht="17.15" hidden="false" customHeight="false" outlineLevel="0" collapsed="false">
      <c r="A18" s="0" t="s">
        <v>15</v>
      </c>
    </row>
    <row r="19" customFormat="false" ht="15" hidden="false" customHeight="false" outlineLevel="0" collapsed="false">
      <c r="A19" s="0" t="str">
        <f aca="false">"投資建議："&amp;Val!B125&amp;"（依上檔空間固定規則）"</f>
        <v>投資建議：放空（依上檔空間固定規則）</v>
      </c>
    </row>
    <row r="20" customFormat="false" ht="17.15" hidden="false" customHeight="false" outlineLevel="0" collapsed="false">
      <c r="A20" s="0" t="str">
        <f aca="false">"重點觀察 1：目標價 ¥"&amp;TEXT(Val!$B$39,"#,##0")&amp;"（DCF "&amp;TEXT(Val!$B$24,"#,##0")&amp;"、Comparable（相對倍數調整後）"&amp;TEXT(tp_comp_adj,"#,##0")&amp;"；DCF 權重 "&amp;TEXT(tp_w_dcf,"0%")&amp;"），比現價 "&amp;TEXT(px,"#,##0")&amp;"（2026-10-23）"&amp;IF(Val!$B$42&gt;=0,"高 "&amp;TEXT(Val!$B$42,"0.0%"),"低 "&amp;TEXT(-Val!$B$42,"0.0%"))&amp;"，級距 "&amp;Val!$B$124&amp;"、投資建議 "&amp;Val!$B$125&amp;"。相對倍數調整係數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相對倍數調整前撰寫的說明，其中數字為調整前：DCF 只有現價的 0.52 倍：ROE 近三年平均 10.9% 只略高於折現率 10%，再投資率 36.7%，股東現金流只有 EPS 的六成多。"</f>
        <v>重點觀察 1：目標價 ¥1,382（DCF 1,015、Comparable（相對倍數調整後）1,748；DCF 權重 50%），比現價 1,968（2026-10-23）低 29.8%，級距 −25%～−50%、投資建議 放空。相對倍數調整係數 0.72（本公司 10 年前瞻倍數中位數 ÷ 同業的中位數，夾在 0.5–2.0；Val 第 0.5 節），調整前加權上檔空間 −12.3%；Comparable 單獨（市場主流同業法、未調整）為 +23.8%。以下為 2026-10-29 相對倍數調整前撰寫的說明，其中數字為調整前：DCF 只有現價的 0.52 倍：ROE 近三年平均 10.9% 只略高於折現率 10%，再投資率 36.7%，股東現金流只有 EPS 的六成多。</v>
      </c>
    </row>
    <row r="21" customFormat="false" ht="17.15" hidden="false" customHeight="false" outlineLevel="0" collapsed="false">
      <c r="A21" s="5" t="s">
        <v>16</v>
      </c>
    </row>
    <row r="22" customFormat="false" ht="17.15" hidden="false" customHeight="false" outlineLevel="0" collapsed="false">
      <c r="A22" s="5" t="s">
        <v>17</v>
      </c>
    </row>
    <row r="24" customFormat="false" ht="17.15" hidden="false" customHeight="false" outlineLevel="0" collapsed="false">
      <c r="A24" s="0" t="s">
        <v>18</v>
      </c>
    </row>
    <row r="26" customFormat="false" ht="17.15" hidden="false" customHeight="false" outlineLevel="0" collapsed="false">
      <c r="A26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5" t="s">
        <v>33</v>
      </c>
      <c r="C5" s="0" t="s">
        <v>34</v>
      </c>
      <c r="E5" s="7" t="n">
        <v>54.365</v>
      </c>
      <c r="G5" s="8" t="s">
        <v>35</v>
      </c>
      <c r="H5" s="5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5" t="s">
        <v>39</v>
      </c>
      <c r="C6" s="0" t="s">
        <v>34</v>
      </c>
      <c r="E6" s="7" t="n">
        <v>18.372</v>
      </c>
      <c r="G6" s="8" t="s">
        <v>35</v>
      </c>
      <c r="H6" s="8" t="s">
        <v>40</v>
      </c>
      <c r="I6" s="8" t="s">
        <v>41</v>
      </c>
    </row>
    <row r="7" customFormat="false" ht="17.15" hidden="false" customHeight="false" outlineLevel="0" collapsed="false">
      <c r="A7" s="0" t="s">
        <v>42</v>
      </c>
      <c r="B7" s="5" t="s">
        <v>43</v>
      </c>
      <c r="C7" s="0" t="s">
        <v>34</v>
      </c>
      <c r="E7" s="7" t="n">
        <v>6.917</v>
      </c>
      <c r="G7" s="8" t="s">
        <v>35</v>
      </c>
      <c r="H7" s="5" t="s">
        <v>44</v>
      </c>
      <c r="I7" s="5" t="s">
        <v>45</v>
      </c>
    </row>
    <row r="8" customFormat="false" ht="17.15" hidden="false" customHeight="false" outlineLevel="0" collapsed="false">
      <c r="A8" s="0" t="s">
        <v>46</v>
      </c>
      <c r="B8" s="5" t="s">
        <v>47</v>
      </c>
      <c r="C8" s="0" t="s">
        <v>34</v>
      </c>
      <c r="E8" s="7" t="n">
        <v>4.593</v>
      </c>
      <c r="G8" s="8" t="s">
        <v>35</v>
      </c>
      <c r="H8" s="5" t="s">
        <v>48</v>
      </c>
      <c r="I8" s="5" t="s">
        <v>49</v>
      </c>
    </row>
    <row r="9" customFormat="false" ht="17.15" hidden="false" customHeight="false" outlineLevel="0" collapsed="false">
      <c r="A9" s="0" t="s">
        <v>50</v>
      </c>
      <c r="B9" s="5" t="s">
        <v>51</v>
      </c>
      <c r="C9" s="0" t="s">
        <v>52</v>
      </c>
      <c r="E9" s="7" t="n">
        <v>61.22</v>
      </c>
      <c r="G9" s="8" t="s">
        <v>35</v>
      </c>
      <c r="H9" s="5" t="s">
        <v>53</v>
      </c>
      <c r="I9" s="5" t="s">
        <v>54</v>
      </c>
    </row>
    <row r="10" customFormat="false" ht="17.15" hidden="false" customHeight="false" outlineLevel="0" collapsed="false">
      <c r="A10" s="0" t="s">
        <v>55</v>
      </c>
      <c r="B10" s="5" t="s">
        <v>56</v>
      </c>
      <c r="C10" s="0" t="s">
        <v>34</v>
      </c>
      <c r="E10" s="7" t="n">
        <v>40.39</v>
      </c>
      <c r="G10" s="8" t="s">
        <v>35</v>
      </c>
      <c r="H10" s="5" t="s">
        <v>57</v>
      </c>
      <c r="I10" s="8" t="s">
        <v>58</v>
      </c>
    </row>
    <row r="11" customFormat="false" ht="17.15" hidden="false" customHeight="false" outlineLevel="0" collapsed="false">
      <c r="A11" s="0" t="s">
        <v>59</v>
      </c>
      <c r="B11" s="5" t="s">
        <v>60</v>
      </c>
      <c r="C11" s="0" t="s">
        <v>34</v>
      </c>
      <c r="E11" s="7" t="n">
        <v>36.46</v>
      </c>
      <c r="G11" s="8" t="s">
        <v>35</v>
      </c>
      <c r="H11" s="5" t="s">
        <v>61</v>
      </c>
      <c r="I11" s="5" t="s">
        <v>62</v>
      </c>
    </row>
    <row r="12" customFormat="false" ht="17.15" hidden="false" customHeight="false" outlineLevel="0" collapsed="false">
      <c r="A12" s="0" t="s">
        <v>63</v>
      </c>
      <c r="B12" s="5" t="s">
        <v>64</v>
      </c>
      <c r="C12" s="0" t="s">
        <v>34</v>
      </c>
      <c r="E12" s="0" t="n">
        <f aca="false">seg_semi-seg_mold</f>
        <v>3.93</v>
      </c>
      <c r="G12" s="0" t="s">
        <v>65</v>
      </c>
      <c r="H12" s="0" t="s">
        <v>66</v>
      </c>
      <c r="I12" s="5" t="s">
        <v>67</v>
      </c>
    </row>
    <row r="13" customFormat="false" ht="17.15" hidden="false" customHeight="false" outlineLevel="0" collapsed="false">
      <c r="A13" s="0" t="s">
        <v>68</v>
      </c>
      <c r="B13" s="5" t="s">
        <v>69</v>
      </c>
      <c r="C13" s="0" t="s">
        <v>34</v>
      </c>
      <c r="E13" s="7" t="n">
        <v>9.47</v>
      </c>
      <c r="G13" s="8" t="s">
        <v>35</v>
      </c>
      <c r="H13" s="5" t="s">
        <v>70</v>
      </c>
      <c r="I13" s="8" t="s">
        <v>71</v>
      </c>
    </row>
    <row r="14" customFormat="false" ht="17.15" hidden="false" customHeight="false" outlineLevel="0" collapsed="false">
      <c r="A14" s="0" t="s">
        <v>72</v>
      </c>
      <c r="B14" s="5" t="s">
        <v>73</v>
      </c>
      <c r="C14" s="0" t="s">
        <v>34</v>
      </c>
      <c r="E14" s="7" t="n">
        <v>2.48</v>
      </c>
      <c r="G14" s="8" t="s">
        <v>35</v>
      </c>
      <c r="H14" s="5" t="s">
        <v>74</v>
      </c>
      <c r="I14" s="8" t="s">
        <v>75</v>
      </c>
    </row>
    <row r="15" customFormat="false" ht="17.15" hidden="false" customHeight="false" outlineLevel="0" collapsed="false">
      <c r="A15" s="0" t="s">
        <v>76</v>
      </c>
      <c r="B15" s="5" t="s">
        <v>77</v>
      </c>
      <c r="C15" s="0" t="s">
        <v>34</v>
      </c>
      <c r="E15" s="7" t="n">
        <v>2</v>
      </c>
      <c r="G15" s="8" t="s">
        <v>35</v>
      </c>
      <c r="H15" s="5" t="s">
        <v>78</v>
      </c>
      <c r="I15" s="8" t="s">
        <v>79</v>
      </c>
    </row>
    <row r="16" customFormat="false" ht="17.15" hidden="false" customHeight="false" outlineLevel="0" collapsed="false">
      <c r="A16" s="0" t="s">
        <v>80</v>
      </c>
      <c r="B16" s="5" t="s">
        <v>81</v>
      </c>
      <c r="C16" s="0" t="s">
        <v>34</v>
      </c>
      <c r="E16" s="0" t="n">
        <f aca="false">a25_rev-seg_semi-seg_new-seg_med-seg_las</f>
        <v>0.0250000000000008</v>
      </c>
      <c r="G16" s="0" t="s">
        <v>65</v>
      </c>
      <c r="H16" s="5" t="s">
        <v>82</v>
      </c>
      <c r="I16" s="0" t="s">
        <v>83</v>
      </c>
    </row>
    <row r="17" customFormat="false" ht="17.15" hidden="false" customHeight="false" outlineLevel="0" collapsed="false">
      <c r="A17" s="0" t="s">
        <v>84</v>
      </c>
      <c r="B17" s="5" t="s">
        <v>85</v>
      </c>
      <c r="C17" s="0" t="s">
        <v>34</v>
      </c>
      <c r="E17" s="7" t="n">
        <v>59.56</v>
      </c>
      <c r="G17" s="8" t="s">
        <v>35</v>
      </c>
      <c r="H17" s="5" t="s">
        <v>86</v>
      </c>
      <c r="I17" s="8" t="s">
        <v>87</v>
      </c>
    </row>
    <row r="18" customFormat="false" ht="17.15" hidden="false" customHeight="false" outlineLevel="0" collapsed="false">
      <c r="A18" s="0" t="s">
        <v>88</v>
      </c>
      <c r="B18" s="5" t="s">
        <v>89</v>
      </c>
      <c r="C18" s="0" t="s">
        <v>34</v>
      </c>
      <c r="E18" s="7" t="n">
        <v>30.14</v>
      </c>
      <c r="G18" s="8" t="s">
        <v>35</v>
      </c>
      <c r="H18" s="5" t="s">
        <v>90</v>
      </c>
      <c r="I18" s="8" t="s">
        <v>91</v>
      </c>
    </row>
    <row r="19" customFormat="false" ht="17.15" hidden="false" customHeight="false" outlineLevel="0" collapsed="false">
      <c r="A19" s="0" t="s">
        <v>92</v>
      </c>
      <c r="B19" s="0" t="s">
        <v>93</v>
      </c>
      <c r="C19" s="0" t="s">
        <v>94</v>
      </c>
      <c r="D19" s="7" t="n">
        <v>0.6</v>
      </c>
      <c r="E19" s="7" t="n">
        <v>0.648</v>
      </c>
      <c r="F19" s="7" t="n">
        <v>0.7</v>
      </c>
      <c r="G19" s="8" t="s">
        <v>95</v>
      </c>
      <c r="H19" s="5" t="s">
        <v>96</v>
      </c>
      <c r="I19" s="5" t="s">
        <v>97</v>
      </c>
    </row>
    <row r="20" customFormat="false" ht="17.15" hidden="false" customHeight="false" outlineLevel="0" collapsed="false">
      <c r="A20" s="1" t="s">
        <v>98</v>
      </c>
    </row>
    <row r="21" customFormat="false" ht="17.15" hidden="false" customHeight="false" outlineLevel="0" collapsed="false">
      <c r="A21" s="0" t="s">
        <v>99</v>
      </c>
      <c r="B21" s="0" t="s">
        <v>100</v>
      </c>
      <c r="C21" s="0" t="s">
        <v>34</v>
      </c>
      <c r="D21" s="7" t="n">
        <v>7</v>
      </c>
      <c r="E21" s="7" t="n">
        <v>10</v>
      </c>
      <c r="F21" s="7" t="n">
        <v>13</v>
      </c>
      <c r="G21" s="8" t="s">
        <v>101</v>
      </c>
      <c r="H21" s="5" t="s">
        <v>102</v>
      </c>
      <c r="I21" s="5" t="s">
        <v>103</v>
      </c>
    </row>
    <row r="22" customFormat="false" ht="17.15" hidden="false" customHeight="false" outlineLevel="0" collapsed="false">
      <c r="A22" s="0" t="s">
        <v>104</v>
      </c>
      <c r="B22" s="0" t="s">
        <v>105</v>
      </c>
      <c r="C22" s="0" t="s">
        <v>94</v>
      </c>
      <c r="D22" s="7" t="n">
        <v>0.35</v>
      </c>
      <c r="E22" s="7" t="n">
        <v>0.5</v>
      </c>
      <c r="F22" s="7" t="n">
        <v>0.65</v>
      </c>
      <c r="G22" s="8" t="s">
        <v>101</v>
      </c>
      <c r="H22" s="5" t="s">
        <v>106</v>
      </c>
      <c r="I22" s="5" t="s">
        <v>107</v>
      </c>
    </row>
    <row r="23" customFormat="false" ht="17.15" hidden="false" customHeight="false" outlineLevel="0" collapsed="false">
      <c r="A23" s="1" t="s">
        <v>108</v>
      </c>
    </row>
    <row r="24" customFormat="false" ht="17.15" hidden="false" customHeight="false" outlineLevel="0" collapsed="false">
      <c r="A24" s="0" t="s">
        <v>109</v>
      </c>
      <c r="B24" s="0" t="s">
        <v>110</v>
      </c>
      <c r="C24" s="0" t="s">
        <v>111</v>
      </c>
      <c r="E24" s="7" t="n">
        <v>2.22511470588235</v>
      </c>
      <c r="G24" s="8" t="s">
        <v>65</v>
      </c>
      <c r="H24" s="8" t="s">
        <v>112</v>
      </c>
      <c r="I24" s="8" t="s">
        <v>113</v>
      </c>
    </row>
    <row r="25" customFormat="false" ht="17.15" hidden="false" customHeight="false" outlineLevel="0" collapsed="false">
      <c r="A25" s="0" t="s">
        <v>114</v>
      </c>
      <c r="B25" s="0" t="s">
        <v>115</v>
      </c>
      <c r="C25" s="0" t="s">
        <v>111</v>
      </c>
      <c r="E25" s="7" t="n">
        <v>3.782695</v>
      </c>
      <c r="G25" s="8" t="s">
        <v>65</v>
      </c>
      <c r="H25" s="8" t="s">
        <v>112</v>
      </c>
      <c r="I25" s="5" t="s">
        <v>116</v>
      </c>
    </row>
    <row r="26" customFormat="false" ht="17.15" hidden="false" customHeight="false" outlineLevel="0" collapsed="false">
      <c r="A26" s="0" t="s">
        <v>117</v>
      </c>
      <c r="B26" s="0" t="s">
        <v>118</v>
      </c>
      <c r="C26" s="0" t="s">
        <v>111</v>
      </c>
      <c r="E26" s="7" t="n">
        <v>5.86317725</v>
      </c>
      <c r="G26" s="8" t="s">
        <v>65</v>
      </c>
      <c r="H26" s="8" t="s">
        <v>112</v>
      </c>
      <c r="I26" s="5" t="s">
        <v>116</v>
      </c>
    </row>
    <row r="27" customFormat="false" ht="17.15" hidden="false" customHeight="false" outlineLevel="0" collapsed="false">
      <c r="A27" s="0" t="s">
        <v>119</v>
      </c>
      <c r="B27" s="0" t="s">
        <v>120</v>
      </c>
      <c r="C27" s="0" t="s">
        <v>111</v>
      </c>
      <c r="E27" s="7" t="n">
        <v>8.5016070125</v>
      </c>
      <c r="G27" s="8" t="s">
        <v>65</v>
      </c>
      <c r="H27" s="8" t="s">
        <v>112</v>
      </c>
      <c r="I27" s="5" t="s">
        <v>116</v>
      </c>
    </row>
    <row r="28" customFormat="false" ht="17.15" hidden="false" customHeight="false" outlineLevel="0" collapsed="false">
      <c r="A28" s="0" t="s">
        <v>121</v>
      </c>
      <c r="B28" s="0" t="s">
        <v>122</v>
      </c>
      <c r="C28" s="0" t="s">
        <v>111</v>
      </c>
      <c r="E28" s="7" t="n">
        <v>11.477169466875</v>
      </c>
      <c r="G28" s="8" t="s">
        <v>65</v>
      </c>
      <c r="H28" s="8" t="s">
        <v>112</v>
      </c>
      <c r="I28" s="5" t="s">
        <v>116</v>
      </c>
    </row>
    <row r="29" customFormat="false" ht="17.15" hidden="false" customHeight="false" outlineLevel="0" collapsed="false">
      <c r="A29" s="0" t="s">
        <v>123</v>
      </c>
      <c r="B29" s="0" t="s">
        <v>124</v>
      </c>
      <c r="C29" s="0" t="s">
        <v>111</v>
      </c>
      <c r="E29" s="7" t="n">
        <v>2.22511470588235</v>
      </c>
      <c r="G29" s="8" t="s">
        <v>65</v>
      </c>
      <c r="H29" s="8" t="s">
        <v>125</v>
      </c>
      <c r="I29" s="8" t="s">
        <v>113</v>
      </c>
    </row>
    <row r="30" customFormat="false" ht="17.15" hidden="false" customHeight="false" outlineLevel="0" collapsed="false">
      <c r="A30" s="0" t="s">
        <v>126</v>
      </c>
      <c r="B30" s="0" t="s">
        <v>127</v>
      </c>
      <c r="C30" s="0" t="s">
        <v>111</v>
      </c>
      <c r="E30" s="7" t="n">
        <v>3.782695</v>
      </c>
      <c r="G30" s="8" t="s">
        <v>65</v>
      </c>
      <c r="H30" s="8" t="s">
        <v>125</v>
      </c>
      <c r="I30" s="5" t="s">
        <v>116</v>
      </c>
    </row>
    <row r="31" customFormat="false" ht="17.15" hidden="false" customHeight="false" outlineLevel="0" collapsed="false">
      <c r="A31" s="0" t="s">
        <v>128</v>
      </c>
      <c r="B31" s="0" t="s">
        <v>129</v>
      </c>
      <c r="C31" s="0" t="s">
        <v>111</v>
      </c>
      <c r="E31" s="7" t="n">
        <v>5.86317725</v>
      </c>
      <c r="G31" s="8" t="s">
        <v>65</v>
      </c>
      <c r="H31" s="8" t="s">
        <v>125</v>
      </c>
      <c r="I31" s="5" t="s">
        <v>116</v>
      </c>
    </row>
    <row r="32" customFormat="false" ht="17.15" hidden="false" customHeight="false" outlineLevel="0" collapsed="false">
      <c r="A32" s="0" t="s">
        <v>130</v>
      </c>
      <c r="B32" s="0" t="s">
        <v>131</v>
      </c>
      <c r="C32" s="0" t="s">
        <v>111</v>
      </c>
      <c r="E32" s="7" t="n">
        <v>8.22296</v>
      </c>
      <c r="G32" s="8" t="s">
        <v>65</v>
      </c>
      <c r="H32" s="8" t="s">
        <v>125</v>
      </c>
      <c r="I32" s="5" t="s">
        <v>116</v>
      </c>
    </row>
    <row r="33" customFormat="false" ht="17.15" hidden="false" customHeight="false" outlineLevel="0" collapsed="false">
      <c r="A33" s="0" t="s">
        <v>132</v>
      </c>
      <c r="B33" s="0" t="s">
        <v>133</v>
      </c>
      <c r="C33" s="0" t="s">
        <v>111</v>
      </c>
      <c r="E33" s="7" t="n">
        <v>11.3579635</v>
      </c>
      <c r="G33" s="8" t="s">
        <v>65</v>
      </c>
      <c r="H33" s="8" t="s">
        <v>125</v>
      </c>
      <c r="I33" s="5" t="s">
        <v>116</v>
      </c>
    </row>
    <row r="34" customFormat="false" ht="17.15" hidden="false" customHeight="false" outlineLevel="0" collapsed="false">
      <c r="A34" s="0" t="s">
        <v>134</v>
      </c>
      <c r="B34" s="0" t="s">
        <v>135</v>
      </c>
      <c r="C34" s="0" t="s">
        <v>111</v>
      </c>
      <c r="E34" s="7" t="n">
        <v>2.22511470588235</v>
      </c>
      <c r="G34" s="8" t="s">
        <v>65</v>
      </c>
      <c r="H34" s="8" t="s">
        <v>136</v>
      </c>
      <c r="I34" s="8" t="s">
        <v>113</v>
      </c>
    </row>
    <row r="35" customFormat="false" ht="17.15" hidden="false" customHeight="false" outlineLevel="0" collapsed="false">
      <c r="A35" s="0" t="s">
        <v>137</v>
      </c>
      <c r="B35" s="0" t="s">
        <v>138</v>
      </c>
      <c r="C35" s="0" t="s">
        <v>111</v>
      </c>
      <c r="E35" s="7" t="n">
        <v>3.782695</v>
      </c>
      <c r="G35" s="8" t="s">
        <v>65</v>
      </c>
      <c r="H35" s="8" t="s">
        <v>136</v>
      </c>
      <c r="I35" s="5" t="s">
        <v>116</v>
      </c>
    </row>
    <row r="36" customFormat="false" ht="17.15" hidden="false" customHeight="false" outlineLevel="0" collapsed="false">
      <c r="A36" s="0" t="s">
        <v>139</v>
      </c>
      <c r="B36" s="0" t="s">
        <v>140</v>
      </c>
      <c r="C36" s="0" t="s">
        <v>111</v>
      </c>
      <c r="E36" s="7" t="n">
        <v>5.86317725</v>
      </c>
      <c r="G36" s="8" t="s">
        <v>65</v>
      </c>
      <c r="H36" s="8" t="s">
        <v>136</v>
      </c>
      <c r="I36" s="5" t="s">
        <v>116</v>
      </c>
    </row>
    <row r="37" customFormat="false" ht="17.15" hidden="false" customHeight="false" outlineLevel="0" collapsed="false">
      <c r="A37" s="0" t="s">
        <v>141</v>
      </c>
      <c r="B37" s="0" t="s">
        <v>142</v>
      </c>
      <c r="C37" s="0" t="s">
        <v>111</v>
      </c>
      <c r="E37" s="7" t="n">
        <v>6.16722</v>
      </c>
      <c r="G37" s="8" t="s">
        <v>65</v>
      </c>
      <c r="H37" s="8" t="s">
        <v>136</v>
      </c>
      <c r="I37" s="5" t="s">
        <v>116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111</v>
      </c>
      <c r="E38" s="7" t="n">
        <v>8.017386</v>
      </c>
      <c r="G38" s="8" t="s">
        <v>65</v>
      </c>
      <c r="H38" s="8" t="s">
        <v>136</v>
      </c>
      <c r="I38" s="5" t="s">
        <v>116</v>
      </c>
    </row>
    <row r="39" customFormat="false" ht="17.15" hidden="false" customHeight="false" outlineLevel="0" collapsed="false">
      <c r="A39" s="0" t="s">
        <v>145</v>
      </c>
      <c r="B39" s="0" t="s">
        <v>146</v>
      </c>
      <c r="C39" s="0" t="s">
        <v>147</v>
      </c>
      <c r="D39" s="7" t="n">
        <v>22</v>
      </c>
      <c r="E39" s="7" t="n">
        <v>24</v>
      </c>
      <c r="F39" s="7" t="n">
        <v>24</v>
      </c>
      <c r="G39" s="8" t="s">
        <v>101</v>
      </c>
      <c r="H39" s="5" t="s">
        <v>148</v>
      </c>
      <c r="I39" s="5" t="s">
        <v>149</v>
      </c>
    </row>
    <row r="40" customFormat="false" ht="17.15" hidden="false" customHeight="false" outlineLevel="0" collapsed="false">
      <c r="A40" s="0" t="s">
        <v>150</v>
      </c>
      <c r="B40" s="0" t="s">
        <v>151</v>
      </c>
      <c r="C40" s="0" t="s">
        <v>147</v>
      </c>
      <c r="D40" s="7" t="n">
        <v>24</v>
      </c>
      <c r="E40" s="7" t="n">
        <v>24</v>
      </c>
      <c r="F40" s="7" t="n">
        <v>26</v>
      </c>
      <c r="G40" s="8" t="s">
        <v>101</v>
      </c>
      <c r="H40" s="5" t="s">
        <v>148</v>
      </c>
      <c r="I40" s="5" t="s">
        <v>116</v>
      </c>
    </row>
    <row r="41" customFormat="false" ht="17.15" hidden="false" customHeight="false" outlineLevel="0" collapsed="false">
      <c r="A41" s="0" t="s">
        <v>152</v>
      </c>
      <c r="B41" s="0" t="s">
        <v>153</v>
      </c>
      <c r="C41" s="0" t="s">
        <v>147</v>
      </c>
      <c r="D41" s="7" t="n">
        <v>24</v>
      </c>
      <c r="E41" s="7" t="n">
        <v>26</v>
      </c>
      <c r="F41" s="7" t="n">
        <v>28</v>
      </c>
      <c r="G41" s="8" t="s">
        <v>101</v>
      </c>
      <c r="H41" s="5" t="s">
        <v>148</v>
      </c>
      <c r="I41" s="5" t="s">
        <v>116</v>
      </c>
    </row>
    <row r="42" customFormat="false" ht="17.15" hidden="false" customHeight="false" outlineLevel="0" collapsed="false">
      <c r="A42" s="0" t="s">
        <v>154</v>
      </c>
      <c r="B42" s="0" t="s">
        <v>155</v>
      </c>
      <c r="C42" s="0" t="s">
        <v>147</v>
      </c>
      <c r="D42" s="7" t="n">
        <v>24</v>
      </c>
      <c r="E42" s="7" t="n">
        <v>28</v>
      </c>
      <c r="F42" s="7" t="n">
        <v>32</v>
      </c>
      <c r="G42" s="8" t="s">
        <v>101</v>
      </c>
      <c r="H42" s="5" t="s">
        <v>148</v>
      </c>
      <c r="I42" s="5" t="s">
        <v>116</v>
      </c>
    </row>
    <row r="43" customFormat="false" ht="17.15" hidden="false" customHeight="false" outlineLevel="0" collapsed="false">
      <c r="A43" s="0" t="s">
        <v>156</v>
      </c>
      <c r="B43" s="0" t="s">
        <v>157</v>
      </c>
      <c r="C43" s="0" t="s">
        <v>147</v>
      </c>
      <c r="D43" s="7" t="n">
        <v>26</v>
      </c>
      <c r="E43" s="7" t="n">
        <v>30</v>
      </c>
      <c r="F43" s="7" t="n">
        <v>32</v>
      </c>
      <c r="G43" s="8" t="s">
        <v>101</v>
      </c>
      <c r="H43" s="5" t="s">
        <v>148</v>
      </c>
      <c r="I43" s="5" t="s">
        <v>116</v>
      </c>
    </row>
    <row r="44" customFormat="false" ht="17.15" hidden="false" customHeight="false" outlineLevel="0" collapsed="false">
      <c r="A44" s="0" t="s">
        <v>158</v>
      </c>
      <c r="B44" s="0" t="s">
        <v>159</v>
      </c>
      <c r="C44" s="5" t="s">
        <v>160</v>
      </c>
      <c r="D44" s="7" t="n">
        <v>8</v>
      </c>
      <c r="E44" s="7" t="n">
        <v>10</v>
      </c>
      <c r="F44" s="7" t="n">
        <v>12</v>
      </c>
      <c r="G44" s="8" t="s">
        <v>101</v>
      </c>
      <c r="H44" s="5" t="s">
        <v>161</v>
      </c>
      <c r="I44" s="5" t="s">
        <v>162</v>
      </c>
    </row>
    <row r="45" customFormat="false" ht="17.15" hidden="false" customHeight="false" outlineLevel="0" collapsed="false">
      <c r="A45" s="0" t="s">
        <v>163</v>
      </c>
      <c r="B45" s="0" t="s">
        <v>164</v>
      </c>
      <c r="C45" s="5" t="s">
        <v>160</v>
      </c>
      <c r="D45" s="7" t="n">
        <v>10</v>
      </c>
      <c r="E45" s="7" t="n">
        <v>12</v>
      </c>
      <c r="F45" s="7" t="n">
        <v>12</v>
      </c>
      <c r="G45" s="8" t="s">
        <v>101</v>
      </c>
      <c r="H45" s="5" t="s">
        <v>161</v>
      </c>
      <c r="I45" s="5" t="s">
        <v>116</v>
      </c>
    </row>
    <row r="46" customFormat="false" ht="17.15" hidden="false" customHeight="false" outlineLevel="0" collapsed="false">
      <c r="A46" s="0" t="s">
        <v>165</v>
      </c>
      <c r="B46" s="0" t="s">
        <v>166</v>
      </c>
      <c r="C46" s="5" t="s">
        <v>160</v>
      </c>
      <c r="D46" s="7" t="n">
        <v>12</v>
      </c>
      <c r="E46" s="7" t="n">
        <v>12.5</v>
      </c>
      <c r="F46" s="7" t="n">
        <v>14</v>
      </c>
      <c r="G46" s="8" t="s">
        <v>101</v>
      </c>
      <c r="H46" s="5" t="s">
        <v>161</v>
      </c>
      <c r="I46" s="5" t="s">
        <v>116</v>
      </c>
    </row>
    <row r="47" customFormat="false" ht="17.15" hidden="false" customHeight="false" outlineLevel="0" collapsed="false">
      <c r="A47" s="0" t="s">
        <v>167</v>
      </c>
      <c r="B47" s="0" t="s">
        <v>168</v>
      </c>
      <c r="C47" s="5" t="s">
        <v>160</v>
      </c>
      <c r="D47" s="7" t="n">
        <v>12</v>
      </c>
      <c r="E47" s="7" t="n">
        <v>14</v>
      </c>
      <c r="F47" s="7" t="n">
        <v>16</v>
      </c>
      <c r="G47" s="8" t="s">
        <v>101</v>
      </c>
      <c r="H47" s="5" t="s">
        <v>161</v>
      </c>
      <c r="I47" s="5" t="s">
        <v>116</v>
      </c>
    </row>
    <row r="48" customFormat="false" ht="17.15" hidden="false" customHeight="false" outlineLevel="0" collapsed="false">
      <c r="A48" s="0" t="s">
        <v>169</v>
      </c>
      <c r="B48" s="0" t="s">
        <v>170</v>
      </c>
      <c r="C48" s="5" t="s">
        <v>160</v>
      </c>
      <c r="D48" s="7" t="n">
        <v>12</v>
      </c>
      <c r="E48" s="7" t="n">
        <v>15</v>
      </c>
      <c r="F48" s="7" t="n">
        <v>16</v>
      </c>
      <c r="G48" s="8" t="s">
        <v>101</v>
      </c>
      <c r="H48" s="5" t="s">
        <v>161</v>
      </c>
      <c r="I48" s="5" t="s">
        <v>116</v>
      </c>
    </row>
    <row r="49" customFormat="false" ht="17.15" hidden="false" customHeight="false" outlineLevel="0" collapsed="false">
      <c r="A49" s="0" t="s">
        <v>171</v>
      </c>
      <c r="B49" s="5" t="s">
        <v>172</v>
      </c>
      <c r="C49" s="0" t="s">
        <v>173</v>
      </c>
      <c r="D49" s="7" t="n">
        <v>0.05</v>
      </c>
      <c r="E49" s="7" t="n">
        <v>0.1</v>
      </c>
      <c r="F49" s="7" t="n">
        <v>0.15</v>
      </c>
      <c r="G49" s="8" t="s">
        <v>101</v>
      </c>
      <c r="H49" s="5" t="s">
        <v>174</v>
      </c>
      <c r="I49" s="5" t="s">
        <v>175</v>
      </c>
    </row>
    <row r="50" customFormat="false" ht="17.15" hidden="false" customHeight="false" outlineLevel="0" collapsed="false">
      <c r="A50" s="0" t="s">
        <v>176</v>
      </c>
      <c r="B50" s="0" t="s">
        <v>177</v>
      </c>
      <c r="C50" s="0" t="s">
        <v>94</v>
      </c>
      <c r="D50" s="7" t="n">
        <v>0</v>
      </c>
      <c r="E50" s="7" t="n">
        <v>0.1</v>
      </c>
      <c r="F50" s="7" t="n">
        <v>0.2</v>
      </c>
      <c r="G50" s="8" t="s">
        <v>101</v>
      </c>
      <c r="H50" s="5" t="s">
        <v>178</v>
      </c>
      <c r="I50" s="5" t="s">
        <v>179</v>
      </c>
    </row>
    <row r="51" customFormat="false" ht="17.15" hidden="false" customHeight="false" outlineLevel="0" collapsed="false">
      <c r="A51" s="1" t="s">
        <v>180</v>
      </c>
    </row>
    <row r="52" customFormat="false" ht="17.15" hidden="false" customHeight="false" outlineLevel="0" collapsed="false">
      <c r="A52" s="0" t="s">
        <v>181</v>
      </c>
      <c r="B52" s="0" t="s">
        <v>182</v>
      </c>
      <c r="C52" s="5" t="s">
        <v>183</v>
      </c>
      <c r="D52" s="7" t="n">
        <v>600</v>
      </c>
      <c r="E52" s="7" t="n">
        <v>670</v>
      </c>
      <c r="F52" s="7" t="n">
        <v>700</v>
      </c>
      <c r="G52" s="8" t="s">
        <v>95</v>
      </c>
      <c r="H52" s="8" t="s">
        <v>184</v>
      </c>
      <c r="I52" s="8" t="s">
        <v>185</v>
      </c>
    </row>
    <row r="53" customFormat="false" ht="17.15" hidden="false" customHeight="false" outlineLevel="0" collapsed="false">
      <c r="A53" s="0" t="s">
        <v>186</v>
      </c>
      <c r="B53" s="0" t="s">
        <v>187</v>
      </c>
      <c r="C53" s="5" t="s">
        <v>183</v>
      </c>
      <c r="E53" s="7" t="n">
        <v>1107.85762580894</v>
      </c>
      <c r="G53" s="8" t="s">
        <v>65</v>
      </c>
      <c r="H53" s="8" t="s">
        <v>188</v>
      </c>
      <c r="I53" s="8" t="s">
        <v>189</v>
      </c>
    </row>
    <row r="54" customFormat="false" ht="17.15" hidden="false" customHeight="false" outlineLevel="0" collapsed="false">
      <c r="A54" s="0" t="s">
        <v>190</v>
      </c>
      <c r="B54" s="0" t="s">
        <v>191</v>
      </c>
      <c r="C54" s="5" t="s">
        <v>183</v>
      </c>
      <c r="E54" s="7" t="n">
        <v>2096.42857142857</v>
      </c>
      <c r="G54" s="8" t="s">
        <v>65</v>
      </c>
      <c r="H54" s="8" t="s">
        <v>188</v>
      </c>
      <c r="I54" s="5" t="s">
        <v>116</v>
      </c>
    </row>
    <row r="55" customFormat="false" ht="17.15" hidden="false" customHeight="false" outlineLevel="0" collapsed="false">
      <c r="A55" s="0" t="s">
        <v>192</v>
      </c>
      <c r="B55" s="0" t="s">
        <v>193</v>
      </c>
      <c r="C55" s="5" t="s">
        <v>183</v>
      </c>
      <c r="E55" s="7" t="n">
        <v>2620.08928571429</v>
      </c>
      <c r="G55" s="8" t="s">
        <v>65</v>
      </c>
      <c r="H55" s="8" t="s">
        <v>188</v>
      </c>
      <c r="I55" s="5" t="s">
        <v>116</v>
      </c>
    </row>
    <row r="56" customFormat="false" ht="17.15" hidden="false" customHeight="false" outlineLevel="0" collapsed="false">
      <c r="A56" s="0" t="s">
        <v>194</v>
      </c>
      <c r="B56" s="0" t="s">
        <v>195</v>
      </c>
      <c r="C56" s="5" t="s">
        <v>183</v>
      </c>
      <c r="E56" s="7" t="n">
        <v>3013.32589285714</v>
      </c>
      <c r="G56" s="8" t="s">
        <v>65</v>
      </c>
      <c r="H56" s="8" t="s">
        <v>188</v>
      </c>
      <c r="I56" s="5" t="s">
        <v>116</v>
      </c>
    </row>
    <row r="57" customFormat="false" ht="17.15" hidden="false" customHeight="false" outlineLevel="0" collapsed="false">
      <c r="A57" s="0" t="s">
        <v>196</v>
      </c>
      <c r="B57" s="5" t="s">
        <v>197</v>
      </c>
      <c r="C57" s="0" t="s">
        <v>198</v>
      </c>
      <c r="E57" s="7" t="n">
        <v>1</v>
      </c>
      <c r="G57" s="8" t="s">
        <v>65</v>
      </c>
      <c r="H57" s="8" t="s">
        <v>199</v>
      </c>
      <c r="I57" s="8" t="s">
        <v>200</v>
      </c>
    </row>
    <row r="58" customFormat="false" ht="17.15" hidden="false" customHeight="false" outlineLevel="0" collapsed="false">
      <c r="A58" s="0" t="s">
        <v>201</v>
      </c>
      <c r="B58" s="5" t="s">
        <v>202</v>
      </c>
      <c r="C58" s="0" t="s">
        <v>198</v>
      </c>
      <c r="E58" s="7" t="n">
        <v>1</v>
      </c>
      <c r="G58" s="8" t="s">
        <v>65</v>
      </c>
      <c r="H58" s="8" t="s">
        <v>203</v>
      </c>
      <c r="I58" s="5" t="s">
        <v>116</v>
      </c>
    </row>
    <row r="59" customFormat="false" ht="17.15" hidden="false" customHeight="false" outlineLevel="0" collapsed="false">
      <c r="A59" s="0" t="s">
        <v>204</v>
      </c>
      <c r="B59" s="5" t="s">
        <v>205</v>
      </c>
      <c r="C59" s="0" t="s">
        <v>198</v>
      </c>
      <c r="E59" s="7" t="n">
        <v>0.8</v>
      </c>
      <c r="G59" s="8" t="s">
        <v>65</v>
      </c>
      <c r="H59" s="8" t="s">
        <v>206</v>
      </c>
      <c r="I59" s="5" t="s">
        <v>116</v>
      </c>
    </row>
    <row r="60" customFormat="false" ht="17.15" hidden="false" customHeight="false" outlineLevel="0" collapsed="false">
      <c r="A60" s="0" t="s">
        <v>207</v>
      </c>
      <c r="B60" s="5" t="s">
        <v>208</v>
      </c>
      <c r="C60" s="0" t="s">
        <v>198</v>
      </c>
      <c r="E60" s="7" t="n">
        <v>0.85</v>
      </c>
      <c r="G60" s="8" t="s">
        <v>65</v>
      </c>
      <c r="H60" s="8" t="s">
        <v>209</v>
      </c>
      <c r="I60" s="5" t="s">
        <v>116</v>
      </c>
    </row>
    <row r="61" customFormat="false" ht="17.15" hidden="false" customHeight="false" outlineLevel="0" collapsed="false">
      <c r="A61" s="0" t="s">
        <v>210</v>
      </c>
      <c r="B61" s="5" t="s">
        <v>211</v>
      </c>
      <c r="C61" s="0" t="s">
        <v>198</v>
      </c>
      <c r="E61" s="7" t="n">
        <v>0.6</v>
      </c>
      <c r="G61" s="8" t="s">
        <v>65</v>
      </c>
      <c r="H61" s="8" t="s">
        <v>212</v>
      </c>
      <c r="I61" s="5" t="s">
        <v>116</v>
      </c>
    </row>
    <row r="62" customFormat="false" ht="17.15" hidden="false" customHeight="false" outlineLevel="0" collapsed="false">
      <c r="A62" s="0" t="s">
        <v>213</v>
      </c>
      <c r="B62" s="5" t="s">
        <v>214</v>
      </c>
      <c r="C62" s="0" t="s">
        <v>198</v>
      </c>
      <c r="E62" s="7" t="n">
        <v>0.6</v>
      </c>
      <c r="G62" s="8" t="s">
        <v>65</v>
      </c>
      <c r="H62" s="8" t="s">
        <v>215</v>
      </c>
      <c r="I62" s="5" t="s">
        <v>116</v>
      </c>
    </row>
    <row r="63" customFormat="false" ht="17.15" hidden="false" customHeight="false" outlineLevel="0" collapsed="false">
      <c r="A63" s="1" t="s">
        <v>216</v>
      </c>
    </row>
    <row r="64" customFormat="false" ht="17.15" hidden="false" customHeight="false" outlineLevel="0" collapsed="false">
      <c r="A64" s="0" t="s">
        <v>217</v>
      </c>
      <c r="B64" s="0" t="s">
        <v>218</v>
      </c>
      <c r="C64" s="0" t="s">
        <v>219</v>
      </c>
      <c r="E64" s="7" t="n">
        <v>6.11313868613139</v>
      </c>
      <c r="G64" s="8" t="s">
        <v>65</v>
      </c>
      <c r="H64" s="8" t="s">
        <v>220</v>
      </c>
      <c r="I64" s="8" t="s">
        <v>221</v>
      </c>
    </row>
    <row r="65" customFormat="false" ht="17.15" hidden="false" customHeight="false" outlineLevel="0" collapsed="false">
      <c r="A65" s="0" t="s">
        <v>222</v>
      </c>
      <c r="B65" s="0" t="s">
        <v>223</v>
      </c>
      <c r="C65" s="0" t="s">
        <v>219</v>
      </c>
      <c r="E65" s="7" t="n">
        <v>6.7</v>
      </c>
      <c r="G65" s="8" t="s">
        <v>65</v>
      </c>
      <c r="H65" s="8" t="s">
        <v>220</v>
      </c>
      <c r="I65" s="5" t="s">
        <v>116</v>
      </c>
    </row>
    <row r="66" customFormat="false" ht="17.15" hidden="false" customHeight="false" outlineLevel="0" collapsed="false">
      <c r="A66" s="0" t="s">
        <v>224</v>
      </c>
      <c r="B66" s="0" t="s">
        <v>225</v>
      </c>
      <c r="C66" s="0" t="s">
        <v>219</v>
      </c>
      <c r="E66" s="7" t="n">
        <v>7.59078388573934</v>
      </c>
      <c r="G66" s="8" t="s">
        <v>65</v>
      </c>
      <c r="H66" s="8" t="s">
        <v>220</v>
      </c>
      <c r="I66" s="5" t="s">
        <v>116</v>
      </c>
    </row>
    <row r="67" customFormat="false" ht="17.15" hidden="false" customHeight="false" outlineLevel="0" collapsed="false">
      <c r="A67" s="0" t="s">
        <v>226</v>
      </c>
      <c r="B67" s="0" t="s">
        <v>227</v>
      </c>
      <c r="C67" s="0" t="s">
        <v>219</v>
      </c>
      <c r="E67" s="7" t="n">
        <v>8.6</v>
      </c>
      <c r="G67" s="8" t="s">
        <v>65</v>
      </c>
      <c r="H67" s="8" t="s">
        <v>220</v>
      </c>
      <c r="I67" s="5" t="s">
        <v>116</v>
      </c>
    </row>
    <row r="68" customFormat="false" ht="17.15" hidden="false" customHeight="false" outlineLevel="0" collapsed="false">
      <c r="A68" s="0" t="s">
        <v>228</v>
      </c>
      <c r="B68" s="0" t="s">
        <v>229</v>
      </c>
      <c r="C68" s="0" t="s">
        <v>219</v>
      </c>
      <c r="E68" s="7" t="n">
        <v>9.288</v>
      </c>
      <c r="G68" s="8" t="s">
        <v>65</v>
      </c>
      <c r="H68" s="8" t="s">
        <v>220</v>
      </c>
      <c r="I68" s="5" t="s">
        <v>116</v>
      </c>
    </row>
    <row r="69" customFormat="false" ht="17.15" hidden="false" customHeight="false" outlineLevel="0" collapsed="false">
      <c r="A69" s="0" t="s">
        <v>230</v>
      </c>
      <c r="B69" s="5" t="s">
        <v>231</v>
      </c>
      <c r="C69" s="0" t="s">
        <v>219</v>
      </c>
      <c r="E69" s="7" t="n">
        <v>134.689359843138</v>
      </c>
      <c r="G69" s="8" t="s">
        <v>65</v>
      </c>
      <c r="H69" s="8" t="s">
        <v>232</v>
      </c>
      <c r="I69" s="8" t="s">
        <v>233</v>
      </c>
    </row>
    <row r="70" customFormat="false" ht="17.15" hidden="false" customHeight="false" outlineLevel="0" collapsed="false">
      <c r="A70" s="0" t="s">
        <v>234</v>
      </c>
      <c r="B70" s="5" t="s">
        <v>235</v>
      </c>
      <c r="C70" s="0" t="s">
        <v>219</v>
      </c>
      <c r="E70" s="7" t="n">
        <v>178.157050570127</v>
      </c>
      <c r="G70" s="8" t="s">
        <v>65</v>
      </c>
      <c r="H70" s="8" t="s">
        <v>232</v>
      </c>
      <c r="I70" s="5" t="s">
        <v>116</v>
      </c>
    </row>
    <row r="71" customFormat="false" ht="17.15" hidden="false" customHeight="false" outlineLevel="0" collapsed="false">
      <c r="A71" s="0" t="s">
        <v>236</v>
      </c>
      <c r="B71" s="5" t="s">
        <v>237</v>
      </c>
      <c r="C71" s="0" t="s">
        <v>219</v>
      </c>
      <c r="E71" s="7" t="n">
        <v>218.225535760082</v>
      </c>
      <c r="G71" s="8" t="s">
        <v>65</v>
      </c>
      <c r="H71" s="8" t="s">
        <v>232</v>
      </c>
      <c r="I71" s="5" t="s">
        <v>116</v>
      </c>
    </row>
    <row r="72" customFormat="false" ht="17.15" hidden="false" customHeight="false" outlineLevel="0" collapsed="false">
      <c r="A72" s="0" t="s">
        <v>238</v>
      </c>
      <c r="B72" s="5" t="s">
        <v>239</v>
      </c>
      <c r="C72" s="0" t="s">
        <v>219</v>
      </c>
      <c r="E72" s="7" t="n">
        <v>246.028626308958</v>
      </c>
      <c r="G72" s="8" t="s">
        <v>65</v>
      </c>
      <c r="H72" s="8" t="s">
        <v>232</v>
      </c>
      <c r="I72" s="5" t="s">
        <v>116</v>
      </c>
    </row>
    <row r="73" customFormat="false" ht="17.15" hidden="false" customHeight="false" outlineLevel="0" collapsed="false">
      <c r="A73" s="0" t="s">
        <v>240</v>
      </c>
      <c r="B73" s="5" t="s">
        <v>241</v>
      </c>
      <c r="C73" s="0" t="s">
        <v>219</v>
      </c>
      <c r="E73" s="7" t="n">
        <v>260.655685855226</v>
      </c>
      <c r="G73" s="8" t="s">
        <v>65</v>
      </c>
      <c r="H73" s="8" t="s">
        <v>232</v>
      </c>
      <c r="I73" s="5" t="s">
        <v>116</v>
      </c>
    </row>
    <row r="74" customFormat="false" ht="17.15" hidden="false" customHeight="false" outlineLevel="0" collapsed="false">
      <c r="A74" s="0" t="s">
        <v>242</v>
      </c>
      <c r="B74" s="0" t="s">
        <v>243</v>
      </c>
      <c r="C74" s="0" t="s">
        <v>219</v>
      </c>
      <c r="E74" s="7" t="n">
        <v>65.4650149260473</v>
      </c>
      <c r="G74" s="8" t="s">
        <v>65</v>
      </c>
      <c r="H74" s="8" t="s">
        <v>244</v>
      </c>
      <c r="I74" s="5" t="s">
        <v>245</v>
      </c>
    </row>
    <row r="75" customFormat="false" ht="17.15" hidden="false" customHeight="false" outlineLevel="0" collapsed="false">
      <c r="A75" s="0" t="s">
        <v>246</v>
      </c>
      <c r="B75" s="0" t="s">
        <v>247</v>
      </c>
      <c r="C75" s="0" t="s">
        <v>219</v>
      </c>
      <c r="E75" s="7" t="n">
        <v>93.0407901320055</v>
      </c>
      <c r="G75" s="8" t="s">
        <v>65</v>
      </c>
      <c r="H75" s="8" t="s">
        <v>244</v>
      </c>
      <c r="I75" s="5" t="s">
        <v>116</v>
      </c>
    </row>
    <row r="76" customFormat="false" ht="17.15" hidden="false" customHeight="false" outlineLevel="0" collapsed="false">
      <c r="A76" s="0" t="s">
        <v>248</v>
      </c>
      <c r="B76" s="0" t="s">
        <v>249</v>
      </c>
      <c r="C76" s="0" t="s">
        <v>219</v>
      </c>
      <c r="E76" s="7" t="n">
        <v>117.830555555179</v>
      </c>
      <c r="G76" s="8" t="s">
        <v>65</v>
      </c>
      <c r="H76" s="8" t="s">
        <v>244</v>
      </c>
      <c r="I76" s="5" t="s">
        <v>116</v>
      </c>
    </row>
    <row r="77" customFormat="false" ht="17.15" hidden="false" customHeight="false" outlineLevel="0" collapsed="false">
      <c r="A77" s="0" t="s">
        <v>250</v>
      </c>
      <c r="B77" s="0" t="s">
        <v>251</v>
      </c>
      <c r="C77" s="0" t="s">
        <v>219</v>
      </c>
      <c r="E77" s="7" t="n">
        <v>133.877045097969</v>
      </c>
      <c r="G77" s="8" t="s">
        <v>65</v>
      </c>
      <c r="H77" s="8" t="s">
        <v>244</v>
      </c>
      <c r="I77" s="5" t="s">
        <v>116</v>
      </c>
    </row>
    <row r="78" customFormat="false" ht="17.15" hidden="false" customHeight="false" outlineLevel="0" collapsed="false">
      <c r="A78" s="0" t="s">
        <v>252</v>
      </c>
      <c r="B78" s="0" t="s">
        <v>253</v>
      </c>
      <c r="C78" s="0" t="s">
        <v>219</v>
      </c>
      <c r="E78" s="7" t="n">
        <v>140.684729972807</v>
      </c>
      <c r="G78" s="8" t="s">
        <v>65</v>
      </c>
      <c r="H78" s="8" t="s">
        <v>244</v>
      </c>
      <c r="I78" s="5" t="s">
        <v>116</v>
      </c>
    </row>
    <row r="79" customFormat="false" ht="17.15" hidden="false" customHeight="false" outlineLevel="0" collapsed="false">
      <c r="A79" s="0" t="s">
        <v>254</v>
      </c>
      <c r="B79" s="5" t="s">
        <v>255</v>
      </c>
      <c r="C79" s="0" t="s">
        <v>219</v>
      </c>
      <c r="E79" s="7" t="n">
        <v>134.689359843138</v>
      </c>
      <c r="G79" s="8" t="s">
        <v>65</v>
      </c>
      <c r="H79" s="8" t="s">
        <v>256</v>
      </c>
      <c r="I79" s="8" t="s">
        <v>233</v>
      </c>
    </row>
    <row r="80" customFormat="false" ht="17.15" hidden="false" customHeight="false" outlineLevel="0" collapsed="false">
      <c r="A80" s="0" t="s">
        <v>257</v>
      </c>
      <c r="B80" s="5" t="s">
        <v>258</v>
      </c>
      <c r="C80" s="0" t="s">
        <v>219</v>
      </c>
      <c r="E80" s="7" t="n">
        <v>178.157050570127</v>
      </c>
      <c r="G80" s="8" t="s">
        <v>65</v>
      </c>
      <c r="H80" s="8" t="s">
        <v>256</v>
      </c>
      <c r="I80" s="5" t="s">
        <v>116</v>
      </c>
    </row>
    <row r="81" customFormat="false" ht="17.15" hidden="false" customHeight="false" outlineLevel="0" collapsed="false">
      <c r="A81" s="0" t="s">
        <v>259</v>
      </c>
      <c r="B81" s="5" t="s">
        <v>260</v>
      </c>
      <c r="C81" s="0" t="s">
        <v>219</v>
      </c>
      <c r="E81" s="7" t="n">
        <v>218.225535760082</v>
      </c>
      <c r="G81" s="8" t="s">
        <v>65</v>
      </c>
      <c r="H81" s="8" t="s">
        <v>256</v>
      </c>
      <c r="I81" s="5" t="s">
        <v>116</v>
      </c>
    </row>
    <row r="82" customFormat="false" ht="17.15" hidden="false" customHeight="false" outlineLevel="0" collapsed="false">
      <c r="A82" s="0" t="s">
        <v>261</v>
      </c>
      <c r="B82" s="5" t="s">
        <v>262</v>
      </c>
      <c r="C82" s="0" t="s">
        <v>219</v>
      </c>
      <c r="E82" s="7" t="n">
        <v>218.225535760082</v>
      </c>
      <c r="G82" s="8" t="s">
        <v>65</v>
      </c>
      <c r="H82" s="8" t="s">
        <v>256</v>
      </c>
      <c r="I82" s="5" t="s">
        <v>116</v>
      </c>
    </row>
    <row r="83" customFormat="false" ht="17.15" hidden="false" customHeight="false" outlineLevel="0" collapsed="false">
      <c r="A83" s="0" t="s">
        <v>263</v>
      </c>
      <c r="B83" s="5" t="s">
        <v>264</v>
      </c>
      <c r="C83" s="0" t="s">
        <v>219</v>
      </c>
      <c r="E83" s="7" t="n">
        <v>207.314258972078</v>
      </c>
      <c r="G83" s="8" t="s">
        <v>65</v>
      </c>
      <c r="H83" s="8" t="s">
        <v>256</v>
      </c>
      <c r="I83" s="5" t="s">
        <v>116</v>
      </c>
    </row>
    <row r="84" customFormat="false" ht="17.15" hidden="false" customHeight="false" outlineLevel="0" collapsed="false">
      <c r="A84" s="0" t="s">
        <v>265</v>
      </c>
      <c r="B84" s="0" t="s">
        <v>266</v>
      </c>
      <c r="C84" s="0" t="s">
        <v>219</v>
      </c>
      <c r="E84" s="7" t="n">
        <v>65.4650149260473</v>
      </c>
      <c r="G84" s="8" t="s">
        <v>65</v>
      </c>
      <c r="H84" s="8" t="s">
        <v>267</v>
      </c>
      <c r="I84" s="5" t="s">
        <v>245</v>
      </c>
    </row>
    <row r="85" customFormat="false" ht="17.15" hidden="false" customHeight="false" outlineLevel="0" collapsed="false">
      <c r="A85" s="0" t="s">
        <v>268</v>
      </c>
      <c r="B85" s="0" t="s">
        <v>269</v>
      </c>
      <c r="C85" s="0" t="s">
        <v>219</v>
      </c>
      <c r="E85" s="7" t="n">
        <v>93.0407901320055</v>
      </c>
      <c r="G85" s="8" t="s">
        <v>65</v>
      </c>
      <c r="H85" s="8" t="s">
        <v>267</v>
      </c>
      <c r="I85" s="5" t="s">
        <v>116</v>
      </c>
    </row>
    <row r="86" customFormat="false" ht="17.15" hidden="false" customHeight="false" outlineLevel="0" collapsed="false">
      <c r="A86" s="0" t="s">
        <v>270</v>
      </c>
      <c r="B86" s="0" t="s">
        <v>271</v>
      </c>
      <c r="C86" s="0" t="s">
        <v>219</v>
      </c>
      <c r="E86" s="7" t="n">
        <v>117.830555555179</v>
      </c>
      <c r="G86" s="8" t="s">
        <v>65</v>
      </c>
      <c r="H86" s="8" t="s">
        <v>267</v>
      </c>
      <c r="I86" s="5" t="s">
        <v>116</v>
      </c>
    </row>
    <row r="87" customFormat="false" ht="17.15" hidden="false" customHeight="false" outlineLevel="0" collapsed="false">
      <c r="A87" s="0" t="s">
        <v>272</v>
      </c>
      <c r="B87" s="0" t="s">
        <v>273</v>
      </c>
      <c r="C87" s="0" t="s">
        <v>219</v>
      </c>
      <c r="E87" s="7" t="n">
        <v>117.830555555179</v>
      </c>
      <c r="G87" s="8" t="s">
        <v>65</v>
      </c>
      <c r="H87" s="8" t="s">
        <v>267</v>
      </c>
      <c r="I87" s="5" t="s">
        <v>116</v>
      </c>
    </row>
    <row r="88" customFormat="false" ht="17.15" hidden="false" customHeight="false" outlineLevel="0" collapsed="false">
      <c r="A88" s="0" t="s">
        <v>274</v>
      </c>
      <c r="B88" s="0" t="s">
        <v>275</v>
      </c>
      <c r="C88" s="0" t="s">
        <v>219</v>
      </c>
      <c r="E88" s="7" t="n">
        <v>111.93902777742</v>
      </c>
      <c r="G88" s="8" t="s">
        <v>65</v>
      </c>
      <c r="H88" s="8" t="s">
        <v>267</v>
      </c>
      <c r="I88" s="5" t="s">
        <v>116</v>
      </c>
    </row>
    <row r="89" customFormat="false" ht="17.15" hidden="false" customHeight="false" outlineLevel="0" collapsed="false">
      <c r="A89" s="0" t="s">
        <v>276</v>
      </c>
      <c r="B89" s="5" t="s">
        <v>277</v>
      </c>
      <c r="C89" s="0" t="s">
        <v>219</v>
      </c>
      <c r="E89" s="7" t="n">
        <v>134.689359843138</v>
      </c>
      <c r="G89" s="8" t="s">
        <v>65</v>
      </c>
      <c r="H89" s="8" t="s">
        <v>278</v>
      </c>
      <c r="I89" s="8" t="s">
        <v>233</v>
      </c>
    </row>
    <row r="90" customFormat="false" ht="17.15" hidden="false" customHeight="false" outlineLevel="0" collapsed="false">
      <c r="A90" s="0" t="s">
        <v>279</v>
      </c>
      <c r="B90" s="5" t="s">
        <v>280</v>
      </c>
      <c r="C90" s="0" t="s">
        <v>219</v>
      </c>
      <c r="E90" s="7" t="n">
        <v>178.157050570127</v>
      </c>
      <c r="G90" s="8" t="s">
        <v>65</v>
      </c>
      <c r="H90" s="8" t="s">
        <v>278</v>
      </c>
      <c r="I90" s="5" t="s">
        <v>116</v>
      </c>
    </row>
    <row r="91" customFormat="false" ht="17.15" hidden="false" customHeight="false" outlineLevel="0" collapsed="false">
      <c r="A91" s="0" t="s">
        <v>281</v>
      </c>
      <c r="B91" s="5" t="s">
        <v>282</v>
      </c>
      <c r="C91" s="0" t="s">
        <v>219</v>
      </c>
      <c r="E91" s="7" t="n">
        <v>218.225535760082</v>
      </c>
      <c r="G91" s="8" t="s">
        <v>65</v>
      </c>
      <c r="H91" s="8" t="s">
        <v>278</v>
      </c>
      <c r="I91" s="5" t="s">
        <v>116</v>
      </c>
    </row>
    <row r="92" customFormat="false" ht="17.15" hidden="false" customHeight="false" outlineLevel="0" collapsed="false">
      <c r="A92" s="0" t="s">
        <v>283</v>
      </c>
      <c r="B92" s="5" t="s">
        <v>284</v>
      </c>
      <c r="C92" s="0" t="s">
        <v>219</v>
      </c>
      <c r="E92" s="7" t="n">
        <v>174.580428608066</v>
      </c>
      <c r="G92" s="8" t="s">
        <v>65</v>
      </c>
      <c r="H92" s="8" t="s">
        <v>278</v>
      </c>
      <c r="I92" s="5" t="s">
        <v>116</v>
      </c>
    </row>
    <row r="93" customFormat="false" ht="17.15" hidden="false" customHeight="false" outlineLevel="0" collapsed="false">
      <c r="A93" s="0" t="s">
        <v>285</v>
      </c>
      <c r="B93" s="5" t="s">
        <v>286</v>
      </c>
      <c r="C93" s="0" t="s">
        <v>219</v>
      </c>
      <c r="E93" s="7" t="n">
        <v>174.580428608066</v>
      </c>
      <c r="G93" s="8" t="s">
        <v>65</v>
      </c>
      <c r="H93" s="8" t="s">
        <v>278</v>
      </c>
      <c r="I93" s="5" t="s">
        <v>116</v>
      </c>
    </row>
    <row r="94" customFormat="false" ht="17.15" hidden="false" customHeight="false" outlineLevel="0" collapsed="false">
      <c r="A94" s="0" t="s">
        <v>287</v>
      </c>
      <c r="B94" s="0" t="s">
        <v>288</v>
      </c>
      <c r="C94" s="0" t="s">
        <v>219</v>
      </c>
      <c r="E94" s="7" t="n">
        <v>65.4650149260473</v>
      </c>
      <c r="G94" s="8" t="s">
        <v>65</v>
      </c>
      <c r="H94" s="8" t="s">
        <v>289</v>
      </c>
      <c r="I94" s="5" t="s">
        <v>245</v>
      </c>
    </row>
    <row r="95" customFormat="false" ht="17.15" hidden="false" customHeight="false" outlineLevel="0" collapsed="false">
      <c r="A95" s="0" t="s">
        <v>290</v>
      </c>
      <c r="B95" s="0" t="s">
        <v>291</v>
      </c>
      <c r="C95" s="0" t="s">
        <v>219</v>
      </c>
      <c r="E95" s="7" t="n">
        <v>93.0407901320055</v>
      </c>
      <c r="G95" s="8" t="s">
        <v>65</v>
      </c>
      <c r="H95" s="8" t="s">
        <v>289</v>
      </c>
      <c r="I95" s="5" t="s">
        <v>116</v>
      </c>
    </row>
    <row r="96" customFormat="false" ht="17.15" hidden="false" customHeight="false" outlineLevel="0" collapsed="false">
      <c r="A96" s="0" t="s">
        <v>292</v>
      </c>
      <c r="B96" s="0" t="s">
        <v>293</v>
      </c>
      <c r="C96" s="0" t="s">
        <v>219</v>
      </c>
      <c r="E96" s="7" t="n">
        <v>117.830555555179</v>
      </c>
      <c r="G96" s="8" t="s">
        <v>65</v>
      </c>
      <c r="H96" s="8" t="s">
        <v>289</v>
      </c>
      <c r="I96" s="5" t="s">
        <v>116</v>
      </c>
    </row>
    <row r="97" customFormat="false" ht="17.15" hidden="false" customHeight="false" outlineLevel="0" collapsed="false">
      <c r="A97" s="0" t="s">
        <v>294</v>
      </c>
      <c r="B97" s="0" t="s">
        <v>295</v>
      </c>
      <c r="C97" s="0" t="s">
        <v>219</v>
      </c>
      <c r="E97" s="7" t="n">
        <v>94.2644444441436</v>
      </c>
      <c r="G97" s="8" t="s">
        <v>65</v>
      </c>
      <c r="H97" s="8" t="s">
        <v>289</v>
      </c>
      <c r="I97" s="5" t="s">
        <v>116</v>
      </c>
    </row>
    <row r="98" customFormat="false" ht="17.15" hidden="false" customHeight="false" outlineLevel="0" collapsed="false">
      <c r="A98" s="0" t="s">
        <v>296</v>
      </c>
      <c r="B98" s="0" t="s">
        <v>297</v>
      </c>
      <c r="C98" s="0" t="s">
        <v>219</v>
      </c>
      <c r="E98" s="7" t="n">
        <v>94.2644444441436</v>
      </c>
      <c r="G98" s="8" t="s">
        <v>65</v>
      </c>
      <c r="H98" s="8" t="s">
        <v>289</v>
      </c>
      <c r="I98" s="5" t="s">
        <v>116</v>
      </c>
    </row>
    <row r="99" customFormat="false" ht="17.15" hidden="false" customHeight="false" outlineLevel="0" collapsed="false">
      <c r="A99" s="0" t="s">
        <v>298</v>
      </c>
      <c r="B99" s="0" t="s">
        <v>299</v>
      </c>
      <c r="C99" s="0" t="s">
        <v>94</v>
      </c>
      <c r="D99" s="7" t="n">
        <v>0</v>
      </c>
      <c r="E99" s="7" t="n">
        <v>0.05</v>
      </c>
      <c r="F99" s="7" t="n">
        <v>0.1</v>
      </c>
      <c r="G99" s="8" t="s">
        <v>101</v>
      </c>
      <c r="H99" s="5" t="s">
        <v>300</v>
      </c>
      <c r="I99" s="5" t="s">
        <v>301</v>
      </c>
    </row>
    <row r="100" customFormat="false" ht="17.15" hidden="false" customHeight="false" outlineLevel="0" collapsed="false">
      <c r="A100" s="1" t="s">
        <v>302</v>
      </c>
    </row>
    <row r="101" customFormat="false" ht="17.15" hidden="false" customHeight="false" outlineLevel="0" collapsed="false">
      <c r="A101" s="0" t="s">
        <v>303</v>
      </c>
      <c r="B101" s="5" t="s">
        <v>304</v>
      </c>
      <c r="C101" s="0" t="s">
        <v>94</v>
      </c>
      <c r="D101" s="7" t="n">
        <v>0</v>
      </c>
      <c r="E101" s="7" t="n">
        <v>0.03</v>
      </c>
      <c r="F101" s="7" t="n">
        <v>0.06</v>
      </c>
      <c r="G101" s="8" t="s">
        <v>305</v>
      </c>
      <c r="H101" s="8" t="s">
        <v>306</v>
      </c>
      <c r="I101" s="5" t="s">
        <v>307</v>
      </c>
    </row>
    <row r="102" customFormat="false" ht="17.15" hidden="false" customHeight="false" outlineLevel="0" collapsed="false">
      <c r="A102" s="0" t="s">
        <v>308</v>
      </c>
      <c r="B102" s="5" t="s">
        <v>309</v>
      </c>
      <c r="C102" s="0" t="s">
        <v>94</v>
      </c>
      <c r="D102" s="7" t="n">
        <v>0</v>
      </c>
      <c r="E102" s="7" t="n">
        <v>0.03</v>
      </c>
      <c r="F102" s="7" t="n">
        <v>0.06</v>
      </c>
      <c r="G102" s="8" t="s">
        <v>305</v>
      </c>
      <c r="H102" s="8" t="s">
        <v>310</v>
      </c>
      <c r="I102" s="5" t="s">
        <v>311</v>
      </c>
    </row>
    <row r="103" customFormat="false" ht="17.15" hidden="false" customHeight="false" outlineLevel="0" collapsed="false">
      <c r="A103" s="1" t="s">
        <v>312</v>
      </c>
    </row>
    <row r="104" customFormat="false" ht="17.15" hidden="false" customHeight="false" outlineLevel="0" collapsed="false">
      <c r="A104" s="0" t="s">
        <v>313</v>
      </c>
      <c r="B104" s="5" t="s">
        <v>314</v>
      </c>
      <c r="C104" s="0" t="s">
        <v>315</v>
      </c>
      <c r="D104" s="7" t="n">
        <v>0</v>
      </c>
      <c r="E104" s="7" t="n">
        <v>0</v>
      </c>
      <c r="F104" s="7" t="n">
        <v>0.03</v>
      </c>
      <c r="G104" s="8" t="s">
        <v>101</v>
      </c>
      <c r="H104" s="5" t="s">
        <v>316</v>
      </c>
      <c r="I104" s="5" t="s">
        <v>317</v>
      </c>
    </row>
    <row r="105" customFormat="false" ht="17.15" hidden="false" customHeight="false" outlineLevel="0" collapsed="false">
      <c r="A105" s="0" t="s">
        <v>318</v>
      </c>
      <c r="B105" s="5" t="s">
        <v>319</v>
      </c>
      <c r="C105" s="0" t="s">
        <v>315</v>
      </c>
      <c r="D105" s="7" t="n">
        <v>0</v>
      </c>
      <c r="E105" s="7" t="n">
        <v>0.03</v>
      </c>
      <c r="F105" s="7" t="n">
        <v>0.06</v>
      </c>
      <c r="G105" s="8" t="s">
        <v>101</v>
      </c>
      <c r="H105" s="8" t="s">
        <v>320</v>
      </c>
      <c r="I105" s="5" t="s">
        <v>317</v>
      </c>
    </row>
    <row r="106" customFormat="false" ht="17.15" hidden="false" customHeight="false" outlineLevel="0" collapsed="false">
      <c r="A106" s="0" t="s">
        <v>321</v>
      </c>
      <c r="B106" s="5" t="s">
        <v>322</v>
      </c>
      <c r="C106" s="0" t="s">
        <v>315</v>
      </c>
      <c r="D106" s="7" t="n">
        <v>0.04</v>
      </c>
      <c r="E106" s="7" t="n">
        <v>0.08</v>
      </c>
      <c r="F106" s="7" t="n">
        <v>0.12</v>
      </c>
      <c r="G106" s="8" t="s">
        <v>101</v>
      </c>
      <c r="H106" s="8" t="s">
        <v>323</v>
      </c>
      <c r="I106" s="5" t="s">
        <v>317</v>
      </c>
    </row>
    <row r="107" customFormat="false" ht="17.15" hidden="false" customHeight="false" outlineLevel="0" collapsed="false">
      <c r="A107" s="0" t="s">
        <v>324</v>
      </c>
      <c r="B107" s="5" t="s">
        <v>325</v>
      </c>
      <c r="C107" s="0" t="s">
        <v>315</v>
      </c>
      <c r="D107" s="7" t="n">
        <v>0.01</v>
      </c>
      <c r="E107" s="7" t="n">
        <v>0.03</v>
      </c>
      <c r="F107" s="7" t="n">
        <v>0.05</v>
      </c>
      <c r="G107" s="8" t="s">
        <v>101</v>
      </c>
      <c r="H107" s="8" t="s">
        <v>326</v>
      </c>
      <c r="I107" s="5" t="s">
        <v>327</v>
      </c>
    </row>
    <row r="108" customFormat="false" ht="17.15" hidden="false" customHeight="false" outlineLevel="0" collapsed="false">
      <c r="A108" s="0" t="s">
        <v>328</v>
      </c>
      <c r="B108" s="5" t="s">
        <v>329</v>
      </c>
      <c r="C108" s="0" t="s">
        <v>315</v>
      </c>
      <c r="D108" s="7" t="n">
        <v>-0.02</v>
      </c>
      <c r="E108" s="7" t="n">
        <v>0</v>
      </c>
      <c r="F108" s="7" t="n">
        <v>0.02</v>
      </c>
      <c r="G108" s="8" t="s">
        <v>101</v>
      </c>
      <c r="H108" s="8" t="s">
        <v>330</v>
      </c>
      <c r="I108" s="5" t="s">
        <v>327</v>
      </c>
    </row>
    <row r="109" customFormat="false" ht="17.15" hidden="false" customHeight="false" outlineLevel="0" collapsed="false">
      <c r="A109" s="0" t="s">
        <v>331</v>
      </c>
      <c r="B109" s="5" t="s">
        <v>332</v>
      </c>
      <c r="C109" s="0" t="s">
        <v>315</v>
      </c>
      <c r="D109" s="7" t="n">
        <v>-0.08</v>
      </c>
      <c r="E109" s="7" t="n">
        <v>-0.05</v>
      </c>
      <c r="F109" s="7" t="n">
        <v>-0.02</v>
      </c>
      <c r="G109" s="8" t="s">
        <v>101</v>
      </c>
      <c r="H109" s="8" t="s">
        <v>333</v>
      </c>
      <c r="I109" s="5" t="s">
        <v>327</v>
      </c>
    </row>
    <row r="110" customFormat="false" ht="17.15" hidden="false" customHeight="false" outlineLevel="0" collapsed="false">
      <c r="A110" s="1" t="s">
        <v>334</v>
      </c>
    </row>
    <row r="111" customFormat="false" ht="17.15" hidden="false" customHeight="false" outlineLevel="0" collapsed="false">
      <c r="A111" s="0" t="s">
        <v>335</v>
      </c>
      <c r="B111" s="5" t="s">
        <v>336</v>
      </c>
      <c r="C111" s="0" t="s">
        <v>198</v>
      </c>
      <c r="D111" s="0" t="n">
        <f aca="false">SLOPE(Hist!E6:E15,Hist!B6:B15)-0.05</f>
        <v>0.219521125751691</v>
      </c>
      <c r="E111" s="0" t="n">
        <f aca="false">SLOPE(Hist!E6:E15,Hist!B6:B15)</f>
        <v>0.269521125751691</v>
      </c>
      <c r="F111" s="0" t="n">
        <f aca="false">SLOPE(Hist!E6:E15,Hist!B6:B15)+0.05</f>
        <v>0.319521125751691</v>
      </c>
      <c r="G111" s="0" t="s">
        <v>65</v>
      </c>
      <c r="H111" s="0" t="s">
        <v>337</v>
      </c>
      <c r="I111" s="0" t="s">
        <v>338</v>
      </c>
    </row>
    <row r="112" customFormat="false" ht="17.15" hidden="false" customHeight="false" outlineLevel="0" collapsed="false">
      <c r="A112" s="0" t="s">
        <v>339</v>
      </c>
      <c r="B112" s="5" t="s">
        <v>340</v>
      </c>
      <c r="C112" s="0" t="s">
        <v>198</v>
      </c>
      <c r="D112" s="7" t="n">
        <v>0.65</v>
      </c>
      <c r="E112" s="8" t="n">
        <f aca="false">g26_ni/g26_oi</f>
        <v>0.68359375</v>
      </c>
      <c r="F112" s="7" t="n">
        <v>0.72</v>
      </c>
      <c r="G112" s="8" t="s">
        <v>65</v>
      </c>
      <c r="H112" s="5" t="s">
        <v>341</v>
      </c>
      <c r="I112" s="8" t="s">
        <v>342</v>
      </c>
    </row>
    <row r="113" customFormat="false" ht="17.15" hidden="false" customHeight="false" outlineLevel="0" collapsed="false">
      <c r="A113" s="0" t="s">
        <v>343</v>
      </c>
      <c r="B113" s="5" t="s">
        <v>344</v>
      </c>
      <c r="C113" s="5" t="s">
        <v>345</v>
      </c>
      <c r="E113" s="7" t="n">
        <v>75.029892</v>
      </c>
      <c r="G113" s="8" t="s">
        <v>35</v>
      </c>
      <c r="H113" s="5" t="s">
        <v>346</v>
      </c>
      <c r="I113" s="8" t="s">
        <v>347</v>
      </c>
    </row>
    <row r="114" customFormat="false" ht="17.15" hidden="false" customHeight="false" outlineLevel="0" collapsed="false">
      <c r="A114" s="1" t="s">
        <v>348</v>
      </c>
    </row>
    <row r="115" customFormat="false" ht="17.15" hidden="false" customHeight="false" outlineLevel="0" collapsed="false">
      <c r="A115" s="0" t="s">
        <v>349</v>
      </c>
      <c r="B115" s="0" t="s">
        <v>350</v>
      </c>
      <c r="C115" s="0" t="s">
        <v>34</v>
      </c>
      <c r="E115" s="7" t="n">
        <v>16.183</v>
      </c>
      <c r="G115" s="8" t="s">
        <v>35</v>
      </c>
      <c r="H115" s="5" t="s">
        <v>351</v>
      </c>
      <c r="I115" s="5" t="s">
        <v>352</v>
      </c>
    </row>
    <row r="116" customFormat="false" ht="17.15" hidden="false" customHeight="false" outlineLevel="0" collapsed="false">
      <c r="A116" s="0" t="s">
        <v>353</v>
      </c>
      <c r="B116" s="0" t="s">
        <v>354</v>
      </c>
      <c r="C116" s="0" t="s">
        <v>34</v>
      </c>
      <c r="E116" s="7" t="n">
        <v>2.212</v>
      </c>
      <c r="G116" s="8" t="s">
        <v>35</v>
      </c>
      <c r="H116" s="5" t="s">
        <v>355</v>
      </c>
      <c r="I116" s="5" t="s">
        <v>356</v>
      </c>
    </row>
    <row r="117" customFormat="false" ht="17.15" hidden="false" customHeight="false" outlineLevel="0" collapsed="false">
      <c r="A117" s="0" t="s">
        <v>357</v>
      </c>
      <c r="B117" s="0" t="s">
        <v>358</v>
      </c>
      <c r="C117" s="0" t="s">
        <v>34</v>
      </c>
      <c r="E117" s="7" t="n">
        <v>1.657</v>
      </c>
      <c r="G117" s="8" t="s">
        <v>35</v>
      </c>
      <c r="H117" s="5" t="s">
        <v>359</v>
      </c>
      <c r="I117" s="5" t="s">
        <v>356</v>
      </c>
    </row>
    <row r="118" customFormat="false" ht="17.15" hidden="false" customHeight="false" outlineLevel="0" collapsed="false">
      <c r="A118" s="0" t="s">
        <v>360</v>
      </c>
      <c r="B118" s="0" t="s">
        <v>361</v>
      </c>
      <c r="C118" s="0" t="s">
        <v>52</v>
      </c>
      <c r="E118" s="7" t="n">
        <v>22.09</v>
      </c>
      <c r="G118" s="8" t="s">
        <v>35</v>
      </c>
      <c r="H118" s="5" t="s">
        <v>362</v>
      </c>
      <c r="I118" s="5" t="s">
        <v>356</v>
      </c>
    </row>
    <row r="119" customFormat="false" ht="17.15" hidden="false" customHeight="false" outlineLevel="0" collapsed="false">
      <c r="A119" s="0" t="s">
        <v>363</v>
      </c>
      <c r="B119" s="5" t="s">
        <v>364</v>
      </c>
      <c r="C119" s="0" t="s">
        <v>34</v>
      </c>
      <c r="E119" s="7" t="n">
        <v>32</v>
      </c>
      <c r="G119" s="8" t="s">
        <v>95</v>
      </c>
      <c r="H119" s="5" t="s">
        <v>365</v>
      </c>
      <c r="I119" s="5" t="s">
        <v>366</v>
      </c>
    </row>
    <row r="120" customFormat="false" ht="17.15" hidden="false" customHeight="false" outlineLevel="0" collapsed="false">
      <c r="A120" s="0" t="s">
        <v>367</v>
      </c>
      <c r="B120" s="5" t="s">
        <v>368</v>
      </c>
      <c r="C120" s="0" t="s">
        <v>34</v>
      </c>
      <c r="E120" s="7" t="n">
        <v>5.12</v>
      </c>
      <c r="G120" s="8" t="s">
        <v>95</v>
      </c>
      <c r="H120" s="5" t="s">
        <v>369</v>
      </c>
      <c r="I120" s="5" t="s">
        <v>116</v>
      </c>
    </row>
    <row r="121" customFormat="false" ht="17.15" hidden="false" customHeight="false" outlineLevel="0" collapsed="false">
      <c r="A121" s="0" t="s">
        <v>370</v>
      </c>
      <c r="B121" s="5" t="s">
        <v>371</v>
      </c>
      <c r="C121" s="0" t="s">
        <v>34</v>
      </c>
      <c r="E121" s="7" t="n">
        <v>64</v>
      </c>
      <c r="G121" s="8" t="s">
        <v>95</v>
      </c>
      <c r="H121" s="5" t="s">
        <v>372</v>
      </c>
      <c r="I121" s="5" t="s">
        <v>373</v>
      </c>
    </row>
    <row r="122" customFormat="false" ht="17.15" hidden="false" customHeight="false" outlineLevel="0" collapsed="false">
      <c r="A122" s="0" t="s">
        <v>374</v>
      </c>
      <c r="B122" s="5" t="s">
        <v>375</v>
      </c>
      <c r="C122" s="0" t="s">
        <v>34</v>
      </c>
      <c r="E122" s="7" t="n">
        <v>10.24</v>
      </c>
      <c r="G122" s="8" t="s">
        <v>95</v>
      </c>
      <c r="H122" s="5" t="s">
        <v>376</v>
      </c>
      <c r="I122" s="5" t="s">
        <v>377</v>
      </c>
    </row>
    <row r="123" customFormat="false" ht="17.15" hidden="false" customHeight="false" outlineLevel="0" collapsed="false">
      <c r="A123" s="0" t="s">
        <v>378</v>
      </c>
      <c r="B123" s="5" t="s">
        <v>379</v>
      </c>
      <c r="C123" s="0" t="s">
        <v>34</v>
      </c>
      <c r="E123" s="7" t="n">
        <v>7</v>
      </c>
      <c r="G123" s="8" t="s">
        <v>95</v>
      </c>
      <c r="H123" s="5" t="s">
        <v>380</v>
      </c>
      <c r="I123" s="5" t="s">
        <v>377</v>
      </c>
    </row>
    <row r="124" customFormat="false" ht="17.15" hidden="false" customHeight="false" outlineLevel="0" collapsed="false">
      <c r="A124" s="0" t="s">
        <v>381</v>
      </c>
      <c r="B124" s="5" t="s">
        <v>382</v>
      </c>
      <c r="C124" s="0" t="s">
        <v>52</v>
      </c>
      <c r="E124" s="7" t="n">
        <v>93.3</v>
      </c>
      <c r="G124" s="8" t="s">
        <v>95</v>
      </c>
      <c r="H124" s="5" t="s">
        <v>383</v>
      </c>
      <c r="I124" s="8" t="s">
        <v>384</v>
      </c>
    </row>
    <row r="125" customFormat="false" ht="17.15" hidden="false" customHeight="false" outlineLevel="0" collapsed="false">
      <c r="A125" s="0" t="s">
        <v>385</v>
      </c>
      <c r="B125" s="5" t="s">
        <v>386</v>
      </c>
      <c r="C125" s="0" t="s">
        <v>34</v>
      </c>
      <c r="E125" s="7" t="n">
        <v>48.43</v>
      </c>
      <c r="G125" s="8" t="s">
        <v>95</v>
      </c>
      <c r="H125" s="5" t="s">
        <v>387</v>
      </c>
      <c r="I125" s="5" t="s">
        <v>388</v>
      </c>
    </row>
    <row r="126" customFormat="false" ht="17.15" hidden="false" customHeight="false" outlineLevel="0" collapsed="false">
      <c r="A126" s="0" t="s">
        <v>389</v>
      </c>
      <c r="B126" s="5" t="s">
        <v>390</v>
      </c>
      <c r="C126" s="0" t="s">
        <v>34</v>
      </c>
      <c r="E126" s="7" t="n">
        <v>3.25</v>
      </c>
      <c r="G126" s="8" t="s">
        <v>95</v>
      </c>
      <c r="H126" s="5" t="s">
        <v>391</v>
      </c>
    </row>
    <row r="127" customFormat="false" ht="17.15" hidden="false" customHeight="false" outlineLevel="0" collapsed="false">
      <c r="A127" s="0" t="s">
        <v>392</v>
      </c>
      <c r="B127" s="0" t="s">
        <v>393</v>
      </c>
      <c r="C127" s="0" t="s">
        <v>94</v>
      </c>
      <c r="D127" s="7" t="n">
        <v>-0.05</v>
      </c>
      <c r="E127" s="7" t="n">
        <v>0</v>
      </c>
      <c r="F127" s="7" t="n">
        <v>0.08</v>
      </c>
      <c r="G127" s="8" t="s">
        <v>101</v>
      </c>
      <c r="H127" s="5" t="s">
        <v>394</v>
      </c>
      <c r="I127" s="5" t="s">
        <v>395</v>
      </c>
    </row>
    <row r="128" customFormat="false" ht="17.15" hidden="false" customHeight="false" outlineLevel="0" collapsed="false">
      <c r="A128" s="0" t="s">
        <v>396</v>
      </c>
      <c r="B128" s="5" t="s">
        <v>397</v>
      </c>
      <c r="C128" s="0" t="s">
        <v>34</v>
      </c>
      <c r="D128" s="7" t="n">
        <v>65.3</v>
      </c>
      <c r="E128" s="7" t="n">
        <v>69.3</v>
      </c>
      <c r="F128" s="7" t="n">
        <v>74.3</v>
      </c>
      <c r="G128" s="8" t="s">
        <v>95</v>
      </c>
      <c r="H128" s="8" t="s">
        <v>398</v>
      </c>
      <c r="I128" s="5" t="s">
        <v>399</v>
      </c>
    </row>
    <row r="129" customFormat="false" ht="17.15" hidden="false" customHeight="false" outlineLevel="0" collapsed="false">
      <c r="A129" s="0" t="s">
        <v>400</v>
      </c>
      <c r="B129" s="5" t="s">
        <v>401</v>
      </c>
      <c r="C129" s="0" t="s">
        <v>34</v>
      </c>
      <c r="E129" s="7" t="n">
        <v>12.25</v>
      </c>
      <c r="G129" s="8" t="s">
        <v>95</v>
      </c>
      <c r="H129" s="8" t="s">
        <v>402</v>
      </c>
    </row>
    <row r="130" customFormat="false" ht="17.15" hidden="false" customHeight="false" outlineLevel="0" collapsed="false">
      <c r="A130" s="0" t="s">
        <v>403</v>
      </c>
      <c r="B130" s="5" t="s">
        <v>404</v>
      </c>
      <c r="C130" s="0" t="s">
        <v>34</v>
      </c>
      <c r="E130" s="7" t="n">
        <v>8.7</v>
      </c>
      <c r="G130" s="8" t="s">
        <v>95</v>
      </c>
      <c r="H130" s="8" t="s">
        <v>405</v>
      </c>
      <c r="I130" s="5" t="s">
        <v>406</v>
      </c>
    </row>
    <row r="131" customFormat="false" ht="17.15" hidden="false" customHeight="false" outlineLevel="0" collapsed="false">
      <c r="A131" s="0" t="s">
        <v>407</v>
      </c>
      <c r="B131" s="5" t="s">
        <v>408</v>
      </c>
      <c r="C131" s="5" t="s">
        <v>409</v>
      </c>
      <c r="E131" s="7" t="n">
        <v>2029</v>
      </c>
      <c r="G131" s="8" t="s">
        <v>65</v>
      </c>
      <c r="H131" s="8" t="s">
        <v>410</v>
      </c>
      <c r="I131" s="5" t="s">
        <v>411</v>
      </c>
    </row>
    <row r="132" customFormat="false" ht="17.15" hidden="false" customHeight="false" outlineLevel="0" collapsed="false">
      <c r="A132" s="0" t="s">
        <v>412</v>
      </c>
      <c r="B132" s="5" t="s">
        <v>413</v>
      </c>
      <c r="C132" s="5" t="s">
        <v>409</v>
      </c>
      <c r="E132" s="7" t="n">
        <v>2028</v>
      </c>
      <c r="G132" s="8" t="s">
        <v>65</v>
      </c>
      <c r="H132" s="8" t="s">
        <v>414</v>
      </c>
      <c r="I132" s="5" t="s">
        <v>116</v>
      </c>
    </row>
    <row r="133" customFormat="false" ht="17.15" hidden="false" customHeight="false" outlineLevel="0" collapsed="false">
      <c r="A133" s="0" t="s">
        <v>415</v>
      </c>
      <c r="B133" s="5" t="s">
        <v>416</v>
      </c>
      <c r="C133" s="5" t="s">
        <v>409</v>
      </c>
      <c r="E133" s="7" t="n">
        <v>2027</v>
      </c>
      <c r="G133" s="8" t="s">
        <v>65</v>
      </c>
      <c r="H133" s="8" t="s">
        <v>417</v>
      </c>
      <c r="I133" s="5" t="s">
        <v>116</v>
      </c>
    </row>
    <row r="134" customFormat="false" ht="17.15" hidden="false" customHeight="false" outlineLevel="0" collapsed="false">
      <c r="A134" s="0" t="s">
        <v>418</v>
      </c>
      <c r="B134" s="5" t="s">
        <v>419</v>
      </c>
      <c r="C134" s="0" t="s">
        <v>52</v>
      </c>
      <c r="E134" s="7" t="n">
        <v>1968</v>
      </c>
      <c r="G134" s="8" t="s">
        <v>35</v>
      </c>
      <c r="H134" s="5" t="s">
        <v>420</v>
      </c>
      <c r="I134" s="8" t="s">
        <v>421</v>
      </c>
    </row>
    <row r="135" customFormat="false" ht="17.15" hidden="false" customHeight="false" outlineLevel="0" collapsed="false">
      <c r="A135" s="0" t="s">
        <v>422</v>
      </c>
      <c r="B135" s="5" t="s">
        <v>423</v>
      </c>
      <c r="C135" s="0" t="s">
        <v>198</v>
      </c>
      <c r="E135" s="7" t="n">
        <v>17.54</v>
      </c>
      <c r="G135" s="8" t="s">
        <v>95</v>
      </c>
      <c r="H135" s="8" t="s">
        <v>424</v>
      </c>
    </row>
    <row r="136" customFormat="false" ht="17.15" hidden="false" customHeight="false" outlineLevel="0" collapsed="false">
      <c r="A136" s="0" t="s">
        <v>425</v>
      </c>
      <c r="B136" s="0" t="s">
        <v>426</v>
      </c>
      <c r="C136" s="0" t="s">
        <v>198</v>
      </c>
      <c r="E136" s="7" t="n">
        <v>24.07</v>
      </c>
      <c r="G136" s="8" t="s">
        <v>95</v>
      </c>
      <c r="H136" s="8" t="s">
        <v>427</v>
      </c>
    </row>
    <row r="137" customFormat="false" ht="17.15" hidden="false" customHeight="false" outlineLevel="0" collapsed="false">
      <c r="A137" s="1" t="s">
        <v>428</v>
      </c>
    </row>
    <row r="138" customFormat="false" ht="17.15" hidden="false" customHeight="false" outlineLevel="0" collapsed="false">
      <c r="A138" s="0" t="s">
        <v>429</v>
      </c>
      <c r="B138" s="5" t="s">
        <v>430</v>
      </c>
      <c r="C138" s="0" t="s">
        <v>94</v>
      </c>
      <c r="E138" s="9" t="n">
        <v>0.3</v>
      </c>
      <c r="G138" s="8" t="s">
        <v>101</v>
      </c>
      <c r="H138" s="8" t="s">
        <v>431</v>
      </c>
      <c r="I138" s="5" t="s">
        <v>432</v>
      </c>
    </row>
    <row r="139" customFormat="false" ht="17.15" hidden="false" customHeight="false" outlineLevel="0" collapsed="false">
      <c r="A139" s="0" t="s">
        <v>433</v>
      </c>
      <c r="B139" s="5" t="s">
        <v>434</v>
      </c>
      <c r="C139" s="0" t="s">
        <v>94</v>
      </c>
      <c r="E139" s="9" t="n">
        <v>0.5</v>
      </c>
      <c r="G139" s="8" t="s">
        <v>101</v>
      </c>
      <c r="H139" s="8" t="s">
        <v>431</v>
      </c>
      <c r="I139" s="5" t="s">
        <v>432</v>
      </c>
    </row>
    <row r="140" customFormat="false" ht="17.15" hidden="false" customHeight="false" outlineLevel="0" collapsed="false">
      <c r="A140" s="0" t="s">
        <v>435</v>
      </c>
      <c r="B140" s="5" t="s">
        <v>436</v>
      </c>
      <c r="C140" s="0" t="s">
        <v>94</v>
      </c>
      <c r="E140" s="9" t="n">
        <v>0.2</v>
      </c>
      <c r="G140" s="8" t="s">
        <v>101</v>
      </c>
      <c r="H140" s="8" t="s">
        <v>431</v>
      </c>
      <c r="I140" s="5" t="s">
        <v>432</v>
      </c>
    </row>
    <row r="141" customFormat="false" ht="17.15" hidden="false" customHeight="false" outlineLevel="0" collapsed="false">
      <c r="A141" s="0" t="s">
        <v>437</v>
      </c>
      <c r="B141" s="5" t="s">
        <v>438</v>
      </c>
      <c r="C141" s="0" t="s">
        <v>94</v>
      </c>
      <c r="E141" s="10" t="n">
        <v>0.1</v>
      </c>
      <c r="G141" s="8" t="s">
        <v>101</v>
      </c>
      <c r="H141" s="8" t="s">
        <v>439</v>
      </c>
      <c r="I141" s="8" t="s">
        <v>440</v>
      </c>
    </row>
    <row r="142" customFormat="false" ht="17.15" hidden="false" customHeight="false" outlineLevel="0" collapsed="false">
      <c r="A142" s="0" t="s">
        <v>441</v>
      </c>
      <c r="B142" s="5" t="s">
        <v>442</v>
      </c>
      <c r="C142" s="0" t="s">
        <v>94</v>
      </c>
      <c r="E142" s="10" t="n">
        <v>0.04</v>
      </c>
      <c r="G142" s="8" t="s">
        <v>101</v>
      </c>
      <c r="H142" s="8" t="s">
        <v>443</v>
      </c>
      <c r="I142" s="5" t="s">
        <v>444</v>
      </c>
    </row>
    <row r="143" customFormat="false" ht="17.15" hidden="false" customHeight="false" outlineLevel="0" collapsed="false">
      <c r="A143" s="0" t="s">
        <v>445</v>
      </c>
      <c r="B143" s="0" t="s">
        <v>446</v>
      </c>
      <c r="C143" s="0" t="s">
        <v>94</v>
      </c>
      <c r="E143" s="11" t="n">
        <f aca="false">AVERAGE(0.1215,0.1355,0.0696)</f>
        <v>0.108866666666667</v>
      </c>
      <c r="G143" s="8" t="s">
        <v>65</v>
      </c>
      <c r="H143" s="8" t="s">
        <v>447</v>
      </c>
      <c r="I143" s="5" t="s">
        <v>448</v>
      </c>
    </row>
    <row r="144" customFormat="false" ht="17.15" hidden="false" customHeight="false" outlineLevel="0" collapsed="false">
      <c r="A144" s="0" t="s">
        <v>449</v>
      </c>
      <c r="B144" s="5" t="s">
        <v>450</v>
      </c>
      <c r="C144" s="0" t="s">
        <v>94</v>
      </c>
      <c r="E144" s="12" t="n">
        <v>0.5</v>
      </c>
      <c r="G144" s="8" t="s">
        <v>101</v>
      </c>
      <c r="H144" s="8" t="s">
        <v>451</v>
      </c>
      <c r="I144" s="8" t="s">
        <v>452</v>
      </c>
    </row>
    <row r="145" customFormat="false" ht="17.15" hidden="false" customHeight="false" outlineLevel="0" collapsed="false">
      <c r="A145" s="0" t="s">
        <v>453</v>
      </c>
      <c r="B145" s="5" t="s">
        <v>454</v>
      </c>
      <c r="C145" s="0" t="s">
        <v>94</v>
      </c>
      <c r="E145" s="11" t="n">
        <f aca="false">AVERAGE(Hist!H6:H15)</f>
        <v>0.103370711936754</v>
      </c>
      <c r="G145" s="8" t="s">
        <v>65</v>
      </c>
      <c r="H145" s="8" t="s">
        <v>455</v>
      </c>
      <c r="I145" s="5" t="s">
        <v>456</v>
      </c>
    </row>
    <row r="146" customFormat="false" ht="17.15" hidden="false" customHeight="false" outlineLevel="0" collapsed="false">
      <c r="A146" s="0" t="s">
        <v>457</v>
      </c>
      <c r="B146" s="5" t="s">
        <v>458</v>
      </c>
      <c r="C146" s="0" t="s">
        <v>52</v>
      </c>
      <c r="E146" s="13" t="n">
        <v>3300</v>
      </c>
      <c r="G146" s="8" t="s">
        <v>95</v>
      </c>
      <c r="H146" s="8" t="s">
        <v>459</v>
      </c>
      <c r="I146" s="5" t="s">
        <v>460</v>
      </c>
    </row>
    <row r="147" customFormat="false" ht="17.15" hidden="false" customHeight="false" outlineLevel="0" collapsed="false">
      <c r="A147" s="0" t="s">
        <v>461</v>
      </c>
      <c r="B147" s="5" t="s">
        <v>462</v>
      </c>
      <c r="C147" s="0" t="s">
        <v>52</v>
      </c>
      <c r="E147" s="14" t="n">
        <f aca="false">cons_ni26*1000/shares</f>
        <v>115.953785459267</v>
      </c>
      <c r="G147" s="8" t="s">
        <v>95</v>
      </c>
      <c r="H147" s="5" t="s">
        <v>463</v>
      </c>
      <c r="I147" s="5" t="s">
        <v>399</v>
      </c>
    </row>
    <row r="149" customFormat="false" ht="17.15" hidden="false" customHeight="false" outlineLevel="0" collapsed="false">
      <c r="A149" s="3" t="s">
        <v>464</v>
      </c>
    </row>
    <row r="150" customFormat="false" ht="17.15" hidden="false" customHeight="false" outlineLevel="0" collapsed="false">
      <c r="A150" s="3" t="s">
        <v>22</v>
      </c>
      <c r="B150" s="3" t="s">
        <v>23</v>
      </c>
      <c r="C150" s="3" t="s">
        <v>24</v>
      </c>
      <c r="D150" s="3" t="s">
        <v>465</v>
      </c>
      <c r="E150" s="3" t="s">
        <v>466</v>
      </c>
      <c r="F150" s="3" t="s">
        <v>467</v>
      </c>
      <c r="G150" s="3" t="s">
        <v>28</v>
      </c>
      <c r="H150" s="3" t="s">
        <v>468</v>
      </c>
    </row>
    <row r="151" customFormat="false" ht="17.15" hidden="false" customHeight="false" outlineLevel="0" collapsed="false">
      <c r="A151" s="0" t="s">
        <v>469</v>
      </c>
      <c r="B151" s="0" t="s">
        <v>470</v>
      </c>
      <c r="C151" s="0" t="s">
        <v>111</v>
      </c>
      <c r="D151" s="0" t="n">
        <f aca="false">E24</f>
        <v>2.22511470588235</v>
      </c>
      <c r="E151" s="0" t="n">
        <f aca="false">E29</f>
        <v>2.22511470588235</v>
      </c>
      <c r="F151" s="0" t="n">
        <f aca="false">E34</f>
        <v>2.22511470588235</v>
      </c>
      <c r="G151" s="0" t="s">
        <v>65</v>
      </c>
      <c r="H151" s="5" t="s">
        <v>471</v>
      </c>
    </row>
    <row r="152" customFormat="false" ht="17.15" hidden="false" customHeight="false" outlineLevel="0" collapsed="false">
      <c r="A152" s="0" t="s">
        <v>472</v>
      </c>
      <c r="B152" s="0" t="s">
        <v>473</v>
      </c>
      <c r="C152" s="0" t="s">
        <v>111</v>
      </c>
      <c r="D152" s="0" t="n">
        <f aca="false">E25</f>
        <v>3.782695</v>
      </c>
      <c r="E152" s="0" t="n">
        <f aca="false">E30</f>
        <v>3.782695</v>
      </c>
      <c r="F152" s="0" t="n">
        <f aca="false">E35</f>
        <v>3.782695</v>
      </c>
      <c r="G152" s="0" t="s">
        <v>65</v>
      </c>
      <c r="H152" s="5" t="s">
        <v>474</v>
      </c>
    </row>
    <row r="153" customFormat="false" ht="17.15" hidden="false" customHeight="false" outlineLevel="0" collapsed="false">
      <c r="A153" s="0" t="s">
        <v>475</v>
      </c>
      <c r="B153" s="0" t="s">
        <v>476</v>
      </c>
      <c r="C153" s="0" t="s">
        <v>111</v>
      </c>
      <c r="D153" s="0" t="n">
        <f aca="false">E26</f>
        <v>5.86317725</v>
      </c>
      <c r="E153" s="0" t="n">
        <f aca="false">E31</f>
        <v>5.86317725</v>
      </c>
      <c r="F153" s="0" t="n">
        <f aca="false">E36</f>
        <v>5.86317725</v>
      </c>
      <c r="G153" s="0" t="s">
        <v>65</v>
      </c>
      <c r="H153" s="5" t="s">
        <v>477</v>
      </c>
    </row>
    <row r="154" customFormat="false" ht="17.15" hidden="false" customHeight="false" outlineLevel="0" collapsed="false">
      <c r="A154" s="0" t="s">
        <v>478</v>
      </c>
      <c r="B154" s="0" t="s">
        <v>479</v>
      </c>
      <c r="C154" s="0" t="s">
        <v>111</v>
      </c>
      <c r="D154" s="0" t="n">
        <f aca="false">E27</f>
        <v>8.5016070125</v>
      </c>
      <c r="E154" s="0" t="n">
        <f aca="false">E32</f>
        <v>8.22296</v>
      </c>
      <c r="F154" s="0" t="n">
        <f aca="false">E37</f>
        <v>6.16722</v>
      </c>
      <c r="G154" s="0" t="s">
        <v>65</v>
      </c>
      <c r="H154" s="5" t="s">
        <v>480</v>
      </c>
    </row>
    <row r="155" customFormat="false" ht="17.15" hidden="false" customHeight="false" outlineLevel="0" collapsed="false">
      <c r="A155" s="0" t="s">
        <v>481</v>
      </c>
      <c r="B155" s="0" t="s">
        <v>482</v>
      </c>
      <c r="C155" s="0" t="s">
        <v>111</v>
      </c>
      <c r="D155" s="0" t="n">
        <f aca="false">E28</f>
        <v>11.477169466875</v>
      </c>
      <c r="E155" s="0" t="n">
        <f aca="false">E33</f>
        <v>11.3579635</v>
      </c>
      <c r="F155" s="0" t="n">
        <f aca="false">E38</f>
        <v>8.017386</v>
      </c>
      <c r="G155" s="0" t="s">
        <v>65</v>
      </c>
      <c r="H155" s="5" t="s">
        <v>483</v>
      </c>
    </row>
    <row r="156" customFormat="false" ht="17.15" hidden="false" customHeight="false" outlineLevel="0" collapsed="false">
      <c r="A156" s="0" t="s">
        <v>484</v>
      </c>
      <c r="B156" s="0" t="s">
        <v>485</v>
      </c>
      <c r="C156" s="0" t="s">
        <v>198</v>
      </c>
      <c r="D156" s="0" t="n">
        <f aca="false">E57</f>
        <v>1</v>
      </c>
      <c r="E156" s="0" t="n">
        <f aca="false">E59</f>
        <v>0.8</v>
      </c>
      <c r="F156" s="0" t="n">
        <f aca="false">E61</f>
        <v>0.6</v>
      </c>
      <c r="G156" s="0" t="s">
        <v>65</v>
      </c>
      <c r="H156" s="5" t="s">
        <v>486</v>
      </c>
    </row>
    <row r="157" customFormat="false" ht="17.15" hidden="false" customHeight="false" outlineLevel="0" collapsed="false">
      <c r="A157" s="0" t="s">
        <v>487</v>
      </c>
      <c r="B157" s="0" t="s">
        <v>488</v>
      </c>
      <c r="C157" s="0" t="s">
        <v>198</v>
      </c>
      <c r="D157" s="0" t="n">
        <f aca="false">E58</f>
        <v>1</v>
      </c>
      <c r="E157" s="0" t="n">
        <f aca="false">E60</f>
        <v>0.85</v>
      </c>
      <c r="F157" s="0" t="n">
        <f aca="false">E62</f>
        <v>0.6</v>
      </c>
      <c r="G157" s="0" t="s">
        <v>65</v>
      </c>
      <c r="H157" s="5" t="s">
        <v>489</v>
      </c>
    </row>
    <row r="158" customFormat="false" ht="17.15" hidden="false" customHeight="false" outlineLevel="0" collapsed="false">
      <c r="A158" s="0" t="s">
        <v>490</v>
      </c>
      <c r="B158" s="5" t="s">
        <v>491</v>
      </c>
      <c r="C158" s="0" t="s">
        <v>219</v>
      </c>
      <c r="D158" s="0" t="n">
        <f aca="false">E69</f>
        <v>134.689359843138</v>
      </c>
      <c r="E158" s="0" t="n">
        <f aca="false">E79</f>
        <v>134.689359843138</v>
      </c>
      <c r="F158" s="0" t="n">
        <f aca="false">E89</f>
        <v>134.689359843138</v>
      </c>
      <c r="G158" s="0" t="s">
        <v>65</v>
      </c>
      <c r="H158" s="5" t="s">
        <v>492</v>
      </c>
    </row>
    <row r="159" customFormat="false" ht="17.15" hidden="false" customHeight="false" outlineLevel="0" collapsed="false">
      <c r="A159" s="0" t="s">
        <v>493</v>
      </c>
      <c r="B159" s="5" t="s">
        <v>494</v>
      </c>
      <c r="C159" s="0" t="s">
        <v>219</v>
      </c>
      <c r="D159" s="0" t="n">
        <f aca="false">E70</f>
        <v>178.157050570127</v>
      </c>
      <c r="E159" s="0" t="n">
        <f aca="false">E80</f>
        <v>178.157050570127</v>
      </c>
      <c r="F159" s="0" t="n">
        <f aca="false">E90</f>
        <v>178.157050570127</v>
      </c>
      <c r="G159" s="0" t="s">
        <v>65</v>
      </c>
      <c r="H159" s="5" t="s">
        <v>495</v>
      </c>
    </row>
    <row r="160" customFormat="false" ht="17.15" hidden="false" customHeight="false" outlineLevel="0" collapsed="false">
      <c r="A160" s="0" t="s">
        <v>496</v>
      </c>
      <c r="B160" s="5" t="s">
        <v>497</v>
      </c>
      <c r="C160" s="0" t="s">
        <v>219</v>
      </c>
      <c r="D160" s="0" t="n">
        <f aca="false">E71</f>
        <v>218.225535760082</v>
      </c>
      <c r="E160" s="0" t="n">
        <f aca="false">E81</f>
        <v>218.225535760082</v>
      </c>
      <c r="F160" s="0" t="n">
        <f aca="false">E91</f>
        <v>218.225535760082</v>
      </c>
      <c r="G160" s="0" t="s">
        <v>65</v>
      </c>
      <c r="H160" s="5" t="s">
        <v>498</v>
      </c>
    </row>
    <row r="161" customFormat="false" ht="17.15" hidden="false" customHeight="false" outlineLevel="0" collapsed="false">
      <c r="A161" s="0" t="s">
        <v>499</v>
      </c>
      <c r="B161" s="5" t="s">
        <v>500</v>
      </c>
      <c r="C161" s="0" t="s">
        <v>219</v>
      </c>
      <c r="D161" s="0" t="n">
        <f aca="false">E72</f>
        <v>246.028626308958</v>
      </c>
      <c r="E161" s="0" t="n">
        <f aca="false">E82</f>
        <v>218.225535760082</v>
      </c>
      <c r="F161" s="0" t="n">
        <f aca="false">E92</f>
        <v>174.580428608066</v>
      </c>
      <c r="G161" s="0" t="s">
        <v>65</v>
      </c>
      <c r="H161" s="5" t="s">
        <v>501</v>
      </c>
    </row>
    <row r="162" customFormat="false" ht="17.15" hidden="false" customHeight="false" outlineLevel="0" collapsed="false">
      <c r="A162" s="0" t="s">
        <v>502</v>
      </c>
      <c r="B162" s="5" t="s">
        <v>503</v>
      </c>
      <c r="C162" s="0" t="s">
        <v>219</v>
      </c>
      <c r="D162" s="0" t="n">
        <f aca="false">E73</f>
        <v>260.655685855226</v>
      </c>
      <c r="E162" s="0" t="n">
        <f aca="false">E83</f>
        <v>207.314258972078</v>
      </c>
      <c r="F162" s="0" t="n">
        <f aca="false">E93</f>
        <v>174.580428608066</v>
      </c>
      <c r="G162" s="0" t="s">
        <v>65</v>
      </c>
      <c r="H162" s="5" t="s">
        <v>504</v>
      </c>
    </row>
    <row r="163" customFormat="false" ht="17.15" hidden="false" customHeight="false" outlineLevel="0" collapsed="false">
      <c r="A163" s="0" t="s">
        <v>505</v>
      </c>
      <c r="B163" s="0" t="s">
        <v>506</v>
      </c>
      <c r="C163" s="0" t="s">
        <v>219</v>
      </c>
      <c r="D163" s="0" t="n">
        <f aca="false">E74</f>
        <v>65.4650149260473</v>
      </c>
      <c r="E163" s="0" t="n">
        <f aca="false">E84</f>
        <v>65.4650149260473</v>
      </c>
      <c r="F163" s="0" t="n">
        <f aca="false">E94</f>
        <v>65.4650149260473</v>
      </c>
      <c r="G163" s="0" t="s">
        <v>65</v>
      </c>
      <c r="H163" s="5" t="s">
        <v>507</v>
      </c>
    </row>
    <row r="164" customFormat="false" ht="17.15" hidden="false" customHeight="false" outlineLevel="0" collapsed="false">
      <c r="A164" s="0" t="s">
        <v>508</v>
      </c>
      <c r="B164" s="0" t="s">
        <v>509</v>
      </c>
      <c r="C164" s="0" t="s">
        <v>219</v>
      </c>
      <c r="D164" s="0" t="n">
        <f aca="false">E75</f>
        <v>93.0407901320055</v>
      </c>
      <c r="E164" s="0" t="n">
        <f aca="false">E85</f>
        <v>93.0407901320055</v>
      </c>
      <c r="F164" s="0" t="n">
        <f aca="false">E95</f>
        <v>93.0407901320055</v>
      </c>
      <c r="G164" s="0" t="s">
        <v>65</v>
      </c>
      <c r="H164" s="5" t="s">
        <v>510</v>
      </c>
    </row>
    <row r="165" customFormat="false" ht="17.15" hidden="false" customHeight="false" outlineLevel="0" collapsed="false">
      <c r="A165" s="0" t="s">
        <v>511</v>
      </c>
      <c r="B165" s="0" t="s">
        <v>512</v>
      </c>
      <c r="C165" s="0" t="s">
        <v>219</v>
      </c>
      <c r="D165" s="0" t="n">
        <f aca="false">E76</f>
        <v>117.830555555179</v>
      </c>
      <c r="E165" s="0" t="n">
        <f aca="false">E86</f>
        <v>117.830555555179</v>
      </c>
      <c r="F165" s="0" t="n">
        <f aca="false">E96</f>
        <v>117.830555555179</v>
      </c>
      <c r="G165" s="0" t="s">
        <v>65</v>
      </c>
      <c r="H165" s="5" t="s">
        <v>513</v>
      </c>
    </row>
    <row r="166" customFormat="false" ht="17.15" hidden="false" customHeight="false" outlineLevel="0" collapsed="false">
      <c r="A166" s="0" t="s">
        <v>514</v>
      </c>
      <c r="B166" s="0" t="s">
        <v>515</v>
      </c>
      <c r="C166" s="0" t="s">
        <v>219</v>
      </c>
      <c r="D166" s="0" t="n">
        <f aca="false">E77</f>
        <v>133.877045097969</v>
      </c>
      <c r="E166" s="0" t="n">
        <f aca="false">E87</f>
        <v>117.830555555179</v>
      </c>
      <c r="F166" s="0" t="n">
        <f aca="false">E97</f>
        <v>94.2644444441436</v>
      </c>
      <c r="G166" s="0" t="s">
        <v>65</v>
      </c>
      <c r="H166" s="5" t="s">
        <v>516</v>
      </c>
    </row>
    <row r="167" customFormat="false" ht="17.15" hidden="false" customHeight="false" outlineLevel="0" collapsed="false">
      <c r="A167" s="0" t="s">
        <v>517</v>
      </c>
      <c r="B167" s="0" t="s">
        <v>518</v>
      </c>
      <c r="C167" s="0" t="s">
        <v>219</v>
      </c>
      <c r="D167" s="0" t="n">
        <f aca="false">E78</f>
        <v>140.684729972807</v>
      </c>
      <c r="E167" s="0" t="n">
        <f aca="false">E88</f>
        <v>111.93902777742</v>
      </c>
      <c r="F167" s="0" t="n">
        <f aca="false">E98</f>
        <v>94.2644444441436</v>
      </c>
      <c r="G167" s="0" t="s">
        <v>65</v>
      </c>
      <c r="H167" s="5" t="s">
        <v>519</v>
      </c>
    </row>
    <row r="168" customFormat="false" ht="17.15" hidden="false" customHeight="false" outlineLevel="0" collapsed="false">
      <c r="A168" s="0" t="s">
        <v>520</v>
      </c>
      <c r="B168" s="0" t="s">
        <v>521</v>
      </c>
      <c r="C168" s="0" t="s">
        <v>315</v>
      </c>
      <c r="D168" s="0" t="n">
        <f aca="false">E104</f>
        <v>0</v>
      </c>
      <c r="E168" s="0" t="n">
        <f aca="false">E105</f>
        <v>0.03</v>
      </c>
      <c r="F168" s="0" t="n">
        <f aca="false">E106</f>
        <v>0.08</v>
      </c>
      <c r="G168" s="0" t="s">
        <v>65</v>
      </c>
      <c r="H168" s="5" t="s">
        <v>522</v>
      </c>
    </row>
    <row r="169" customFormat="false" ht="17.15" hidden="false" customHeight="false" outlineLevel="0" collapsed="false">
      <c r="A169" s="0" t="s">
        <v>523</v>
      </c>
      <c r="B169" s="5" t="s">
        <v>524</v>
      </c>
      <c r="C169" s="0" t="s">
        <v>315</v>
      </c>
      <c r="D169" s="0" t="n">
        <f aca="false">E107</f>
        <v>0.03</v>
      </c>
      <c r="E169" s="0" t="n">
        <f aca="false">E108</f>
        <v>0</v>
      </c>
      <c r="F169" s="0" t="n">
        <f aca="false">E109</f>
        <v>-0.05</v>
      </c>
      <c r="G169" s="0" t="s">
        <v>65</v>
      </c>
      <c r="H169" s="5" t="s">
        <v>525</v>
      </c>
    </row>
    <row r="170" customFormat="false" ht="17.15" hidden="false" customHeight="false" outlineLevel="0" collapsed="false">
      <c r="A170" s="0" t="s">
        <v>526</v>
      </c>
      <c r="B170" s="5" t="s">
        <v>527</v>
      </c>
      <c r="C170" s="5" t="s">
        <v>409</v>
      </c>
      <c r="D170" s="0" t="n">
        <f aca="false">E131</f>
        <v>2029</v>
      </c>
      <c r="E170" s="0" t="n">
        <f aca="false">E132</f>
        <v>2028</v>
      </c>
      <c r="F170" s="0" t="n">
        <f aca="false">E133</f>
        <v>2027</v>
      </c>
      <c r="G170" s="0" t="s">
        <v>65</v>
      </c>
      <c r="H170" s="5" t="s">
        <v>528</v>
      </c>
    </row>
    <row r="171" customFormat="false" ht="17.15" hidden="false" customHeight="false" outlineLevel="0" collapsed="false">
      <c r="A171" s="0" t="s">
        <v>529</v>
      </c>
      <c r="B171" s="5" t="s">
        <v>530</v>
      </c>
      <c r="C171" s="0" t="s">
        <v>94</v>
      </c>
      <c r="D171" s="0" t="n">
        <f aca="false">E138</f>
        <v>0.3</v>
      </c>
      <c r="E171" s="0" t="n">
        <f aca="false">E139</f>
        <v>0.5</v>
      </c>
      <c r="F171" s="0" t="n">
        <f aca="false">E140</f>
        <v>0.2</v>
      </c>
      <c r="G171" s="0" t="s">
        <v>65</v>
      </c>
      <c r="H171" s="5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3"/>
    <col collapsed="false" customWidth="true" hidden="false" outlineLevel="0" max="10" min="10" style="0" width="20"/>
    <col collapsed="false" customWidth="true" hidden="false" outlineLevel="0" max="12" min="11" style="0" width="60"/>
  </cols>
  <sheetData>
    <row r="1" customFormat="false" ht="17.15" hidden="false" customHeight="false" outlineLevel="0" collapsed="false">
      <c r="A1" s="0" t="s">
        <v>532</v>
      </c>
    </row>
    <row r="3" customFormat="false" ht="17.15" hidden="false" customHeight="false" outlineLevel="0" collapsed="false">
      <c r="A3" s="6" t="s">
        <v>23</v>
      </c>
      <c r="B3" s="15" t="s">
        <v>533</v>
      </c>
      <c r="C3" s="15" t="s">
        <v>534</v>
      </c>
      <c r="D3" s="15" t="s">
        <v>535</v>
      </c>
      <c r="E3" s="15" t="s">
        <v>536</v>
      </c>
      <c r="F3" s="15" t="s">
        <v>537</v>
      </c>
      <c r="G3" s="15" t="s">
        <v>538</v>
      </c>
      <c r="H3" s="15" t="s">
        <v>539</v>
      </c>
      <c r="I3" s="15" t="s">
        <v>540</v>
      </c>
      <c r="J3" s="6" t="s">
        <v>28</v>
      </c>
      <c r="K3" s="6" t="s">
        <v>29</v>
      </c>
      <c r="L3" s="6" t="s">
        <v>30</v>
      </c>
    </row>
    <row r="4" customFormat="false" ht="17.15" hidden="false" customHeight="false" outlineLevel="0" collapsed="false">
      <c r="A4" s="5" t="s">
        <v>541</v>
      </c>
      <c r="B4" s="16" t="n">
        <v>8.08</v>
      </c>
      <c r="C4" s="16" t="n">
        <v>15.369</v>
      </c>
      <c r="D4" s="16" t="n">
        <v>13.481</v>
      </c>
      <c r="E4" s="16" t="n">
        <v>17.435</v>
      </c>
      <c r="F4" s="17" t="n">
        <f aca="false">SUM(B4:E4)</f>
        <v>54.365</v>
      </c>
      <c r="G4" s="16" t="n">
        <v>16.183</v>
      </c>
      <c r="H4" s="17" t="n">
        <f aca="false">h1g_rev</f>
        <v>32</v>
      </c>
      <c r="I4" s="17" t="n">
        <f aca="false">g26_rev</f>
        <v>64</v>
      </c>
      <c r="J4" s="8" t="s">
        <v>542</v>
      </c>
      <c r="K4" s="5" t="s">
        <v>543</v>
      </c>
      <c r="L4" s="5" t="s">
        <v>544</v>
      </c>
    </row>
    <row r="5" customFormat="false" ht="17.15" hidden="false" customHeight="false" outlineLevel="0" collapsed="false">
      <c r="A5" s="5" t="s">
        <v>545</v>
      </c>
      <c r="B5" s="16" t="n">
        <v>-0.581</v>
      </c>
      <c r="C5" s="16" t="n">
        <v>3.074</v>
      </c>
      <c r="D5" s="16" t="n">
        <v>1.192</v>
      </c>
      <c r="E5" s="16" t="n">
        <v>3.232</v>
      </c>
      <c r="F5" s="17" t="n">
        <f aca="false">SUM(B5:E5)</f>
        <v>6.917</v>
      </c>
      <c r="G5" s="16" t="n">
        <v>2.212</v>
      </c>
      <c r="H5" s="17" t="n">
        <f aca="false">h1g_oi</f>
        <v>5.12</v>
      </c>
      <c r="I5" s="17" t="n">
        <f aca="false">g26_oi</f>
        <v>10.24</v>
      </c>
      <c r="J5" s="8" t="s">
        <v>542</v>
      </c>
      <c r="K5" s="5" t="s">
        <v>546</v>
      </c>
      <c r="L5" s="5" t="s">
        <v>547</v>
      </c>
    </row>
    <row r="6" customFormat="false" ht="17.15" hidden="false" customHeight="false" outlineLevel="0" collapsed="false">
      <c r="A6" s="5" t="s">
        <v>548</v>
      </c>
      <c r="B6" s="16" t="n">
        <v>-0.528</v>
      </c>
      <c r="C6" s="16" t="n">
        <v>2.377</v>
      </c>
      <c r="D6" s="16" t="n">
        <v>0.778</v>
      </c>
      <c r="E6" s="16" t="n">
        <v>1.966</v>
      </c>
      <c r="F6" s="17" t="n">
        <f aca="false">SUM(B6:E6)</f>
        <v>4.593</v>
      </c>
      <c r="G6" s="16" t="n">
        <v>1.657</v>
      </c>
      <c r="H6" s="16" t="n">
        <v>3.5</v>
      </c>
      <c r="I6" s="17" t="n">
        <f aca="false">g26_ni</f>
        <v>7</v>
      </c>
      <c r="J6" s="8" t="s">
        <v>542</v>
      </c>
      <c r="K6" s="5" t="s">
        <v>549</v>
      </c>
      <c r="L6" s="5" t="s">
        <v>550</v>
      </c>
    </row>
    <row r="7" customFormat="false" ht="17.15" hidden="false" customHeight="false" outlineLevel="0" collapsed="false">
      <c r="A7" s="0" t="s">
        <v>551</v>
      </c>
      <c r="B7" s="18" t="n">
        <v>-7.05</v>
      </c>
      <c r="C7" s="18" t="n">
        <v>31.7</v>
      </c>
      <c r="D7" s="18" t="n">
        <v>10.37</v>
      </c>
      <c r="E7" s="18" t="n">
        <v>26.2</v>
      </c>
      <c r="F7" s="19" t="n">
        <f aca="false">SUM(B7:E7)</f>
        <v>61.22</v>
      </c>
      <c r="G7" s="18" t="n">
        <v>22.09</v>
      </c>
      <c r="H7" s="18" t="n">
        <v>46.65</v>
      </c>
      <c r="I7" s="19" t="n">
        <f aca="false">g26_eps</f>
        <v>93.3</v>
      </c>
      <c r="J7" s="8" t="s">
        <v>542</v>
      </c>
      <c r="K7" s="5" t="s">
        <v>552</v>
      </c>
      <c r="L7" s="5" t="s">
        <v>553</v>
      </c>
    </row>
    <row r="8" customFormat="false" ht="17.15" hidden="false" customHeight="false" outlineLevel="0" collapsed="false">
      <c r="A8" s="5" t="s">
        <v>554</v>
      </c>
      <c r="B8" s="16" t="n">
        <v>10.43</v>
      </c>
      <c r="C8" s="16" t="n">
        <v>14.61</v>
      </c>
      <c r="F8" s="17" t="n">
        <f aca="false">ord_25</f>
        <v>59.56</v>
      </c>
      <c r="J8" s="8" t="s">
        <v>542</v>
      </c>
      <c r="K8" s="5" t="s">
        <v>555</v>
      </c>
      <c r="L8" s="8" t="s">
        <v>556</v>
      </c>
    </row>
    <row r="9" customFormat="false" ht="15" hidden="false" customHeight="false" outlineLevel="0" collapsed="false">
      <c r="A9" s="5" t="s">
        <v>557</v>
      </c>
      <c r="B9" s="11" t="n">
        <f aca="false">B5/B4</f>
        <v>-0.0719059405940594</v>
      </c>
      <c r="C9" s="11" t="n">
        <f aca="false">C5/C4</f>
        <v>0.200013013208407</v>
      </c>
      <c r="D9" s="11" t="n">
        <f aca="false">D5/D4</f>
        <v>0.0884207403011646</v>
      </c>
      <c r="E9" s="11" t="n">
        <f aca="false">E5/E4</f>
        <v>0.1853742472039</v>
      </c>
      <c r="F9" s="11" t="n">
        <f aca="false">F5/F4</f>
        <v>0.127232594500138</v>
      </c>
      <c r="G9" s="11" t="n">
        <f aca="false">G5/G4</f>
        <v>0.136686646480875</v>
      </c>
      <c r="H9" s="11" t="n">
        <f aca="false">H5/H4</f>
        <v>0.16</v>
      </c>
      <c r="I9" s="11" t="n">
        <f aca="false">I5/I4</f>
        <v>0.16</v>
      </c>
    </row>
    <row r="10" customFormat="false" ht="17.15" hidden="false" customHeight="false" outlineLevel="0" collapsed="false">
      <c r="A10" s="5" t="s">
        <v>558</v>
      </c>
      <c r="B10" s="20" t="n">
        <f aca="false">F4-a25_rev</f>
        <v>0</v>
      </c>
      <c r="C10" s="20" t="n">
        <f aca="false">F5-a25_oi</f>
        <v>0</v>
      </c>
      <c r="D10" s="20" t="n">
        <f aca="false">F6-a25_ni</f>
        <v>0</v>
      </c>
    </row>
    <row r="11" customFormat="false" ht="17.15" hidden="false" customHeight="false" outlineLevel="0" collapsed="false">
      <c r="A11" s="0" t="s">
        <v>559</v>
      </c>
      <c r="B11" s="11" t="n">
        <f aca="false">G4/I4</f>
        <v>0.252859375</v>
      </c>
      <c r="C11" s="11" t="n">
        <f aca="false">G5/I5</f>
        <v>0.216015625</v>
      </c>
    </row>
    <row r="13" customFormat="false" ht="17.15" hidden="false" customHeight="false" outlineLevel="0" collapsed="false">
      <c r="A13" s="5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1" min="2" style="0" width="12"/>
    <col collapsed="false" customWidth="true" hidden="false" outlineLevel="0" max="12" min="12" style="0" width="70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561</v>
      </c>
    </row>
    <row r="2" customFormat="false" ht="17.15" hidden="false" customHeight="false" outlineLevel="0" collapsed="false">
      <c r="A2" s="5" t="s">
        <v>562</v>
      </c>
    </row>
    <row r="5" customFormat="false" ht="17.15" hidden="false" customHeight="false" outlineLevel="0" collapsed="false">
      <c r="A5" s="6" t="s">
        <v>563</v>
      </c>
      <c r="B5" s="6" t="s">
        <v>541</v>
      </c>
      <c r="C5" s="6" t="s">
        <v>564</v>
      </c>
      <c r="D5" s="6" t="s">
        <v>565</v>
      </c>
      <c r="E5" s="6" t="s">
        <v>545</v>
      </c>
      <c r="F5" s="6" t="s">
        <v>548</v>
      </c>
      <c r="G5" s="15" t="s">
        <v>566</v>
      </c>
      <c r="H5" s="6" t="s">
        <v>567</v>
      </c>
      <c r="I5" s="6" t="s">
        <v>568</v>
      </c>
      <c r="J5" s="15" t="s">
        <v>569</v>
      </c>
      <c r="K5" s="6" t="s">
        <v>557</v>
      </c>
      <c r="L5" s="6" t="s">
        <v>29</v>
      </c>
      <c r="M5" s="6" t="s">
        <v>570</v>
      </c>
    </row>
    <row r="6" customFormat="false" ht="17.15" hidden="false" customHeight="false" outlineLevel="0" collapsed="false">
      <c r="A6" s="0" t="s">
        <v>571</v>
      </c>
      <c r="B6" s="16" t="n">
        <v>27.632</v>
      </c>
      <c r="E6" s="16" t="n">
        <v>3.831</v>
      </c>
      <c r="F6" s="16" t="n">
        <v>3.867</v>
      </c>
      <c r="G6" s="18" t="n">
        <v>154.64</v>
      </c>
      <c r="H6" s="11" t="n">
        <f aca="false">F6/B6</f>
        <v>0.139946438911407</v>
      </c>
      <c r="I6" s="7" t="n">
        <v>3</v>
      </c>
      <c r="J6" s="19" t="n">
        <f aca="false">G6/I6</f>
        <v>51.5466666666667</v>
      </c>
      <c r="K6" s="11" t="n">
        <f aca="false">E6/B6</f>
        <v>0.138643601621309</v>
      </c>
      <c r="L6" s="5" t="s">
        <v>572</v>
      </c>
      <c r="M6" s="8" t="s">
        <v>573</v>
      </c>
    </row>
    <row r="7" customFormat="false" ht="17.15" hidden="false" customHeight="false" outlineLevel="0" collapsed="false">
      <c r="A7" s="0" t="s">
        <v>574</v>
      </c>
      <c r="B7" s="16" t="n">
        <v>31.01</v>
      </c>
      <c r="E7" s="16" t="n">
        <v>3.682</v>
      </c>
      <c r="F7" s="16" t="n">
        <v>3.026</v>
      </c>
      <c r="G7" s="18" t="n">
        <v>121.02</v>
      </c>
      <c r="H7" s="11" t="n">
        <f aca="false">F7/B7</f>
        <v>0.0975814253466624</v>
      </c>
      <c r="I7" s="7" t="n">
        <v>3</v>
      </c>
      <c r="J7" s="19" t="n">
        <f aca="false">G7/I7</f>
        <v>40.34</v>
      </c>
      <c r="K7" s="11" t="n">
        <f aca="false">E7/B7</f>
        <v>0.118735891647856</v>
      </c>
      <c r="L7" s="5" t="s">
        <v>575</v>
      </c>
      <c r="M7" s="5" t="s">
        <v>576</v>
      </c>
    </row>
    <row r="8" customFormat="false" ht="17.15" hidden="false" customHeight="false" outlineLevel="0" collapsed="false">
      <c r="A8" s="0" t="s">
        <v>577</v>
      </c>
      <c r="B8" s="16" t="n">
        <v>28.272</v>
      </c>
      <c r="C8" s="16" t="n">
        <v>6.986</v>
      </c>
      <c r="D8" s="17" t="n">
        <f aca="false">C8-E8</f>
        <v>6.049</v>
      </c>
      <c r="E8" s="16" t="n">
        <v>0.937</v>
      </c>
      <c r="F8" s="16" t="n">
        <v>0.877</v>
      </c>
      <c r="G8" s="18" t="n">
        <v>35.09</v>
      </c>
      <c r="H8" s="11" t="n">
        <f aca="false">F8/B8</f>
        <v>0.031020090548953</v>
      </c>
      <c r="I8" s="7" t="n">
        <v>3</v>
      </c>
      <c r="J8" s="19" t="n">
        <f aca="false">G8/I8</f>
        <v>11.6966666666667</v>
      </c>
      <c r="K8" s="11" t="n">
        <f aca="false">E8/B8</f>
        <v>0.0331423316355405</v>
      </c>
      <c r="L8" s="5" t="s">
        <v>578</v>
      </c>
      <c r="M8" s="5" t="s">
        <v>579</v>
      </c>
    </row>
    <row r="9" customFormat="false" ht="17.15" hidden="false" customHeight="false" outlineLevel="0" collapsed="false">
      <c r="A9" s="0" t="s">
        <v>580</v>
      </c>
      <c r="B9" s="16" t="n">
        <v>25.255</v>
      </c>
      <c r="C9" s="16" t="n">
        <v>6.588</v>
      </c>
      <c r="D9" s="17" t="n">
        <f aca="false">C9-E9</f>
        <v>5.776</v>
      </c>
      <c r="E9" s="16" t="n">
        <v>0.812</v>
      </c>
      <c r="F9" s="16" t="n">
        <v>0.368</v>
      </c>
      <c r="G9" s="18" t="n">
        <v>14.75</v>
      </c>
      <c r="H9" s="11" t="n">
        <f aca="false">F9/B9</f>
        <v>0.0145713720055435</v>
      </c>
      <c r="I9" s="7" t="n">
        <v>3</v>
      </c>
      <c r="J9" s="19" t="n">
        <f aca="false">G9/I9</f>
        <v>4.91666666666667</v>
      </c>
      <c r="K9" s="11" t="n">
        <f aca="false">E9/B9</f>
        <v>0.0321520490991883</v>
      </c>
      <c r="L9" s="5" t="s">
        <v>581</v>
      </c>
      <c r="M9" s="8" t="s">
        <v>582</v>
      </c>
    </row>
    <row r="10" customFormat="false" ht="17.15" hidden="false" customHeight="false" outlineLevel="0" collapsed="false">
      <c r="A10" s="0" t="s">
        <v>583</v>
      </c>
      <c r="B10" s="16" t="n">
        <v>29.707</v>
      </c>
      <c r="E10" s="16" t="n">
        <v>3.62</v>
      </c>
      <c r="F10" s="16" t="n">
        <v>2.663</v>
      </c>
      <c r="G10" s="18" t="n">
        <v>106.49</v>
      </c>
      <c r="H10" s="11" t="n">
        <f aca="false">F10/B10</f>
        <v>0.0896421718786818</v>
      </c>
      <c r="I10" s="7" t="n">
        <v>3</v>
      </c>
      <c r="J10" s="19" t="n">
        <f aca="false">G10/I10</f>
        <v>35.4966666666667</v>
      </c>
      <c r="K10" s="11" t="n">
        <f aca="false">E10/B10</f>
        <v>0.121856801427273</v>
      </c>
      <c r="L10" s="5" t="s">
        <v>584</v>
      </c>
      <c r="M10" s="5" t="s">
        <v>585</v>
      </c>
    </row>
    <row r="11" customFormat="false" ht="17.15" hidden="false" customHeight="false" outlineLevel="0" collapsed="false">
      <c r="A11" s="0" t="s">
        <v>586</v>
      </c>
      <c r="B11" s="16" t="n">
        <v>50.666</v>
      </c>
      <c r="E11" s="16" t="n">
        <v>11.505</v>
      </c>
      <c r="F11" s="16" t="n">
        <v>8.129</v>
      </c>
      <c r="G11" s="18" t="n">
        <v>108.36</v>
      </c>
      <c r="H11" s="11" t="n">
        <f aca="false">F11/B11</f>
        <v>0.160442900564481</v>
      </c>
      <c r="I11" s="7" t="n">
        <v>1</v>
      </c>
      <c r="J11" s="19" t="n">
        <f aca="false">G11/I11</f>
        <v>108.36</v>
      </c>
      <c r="K11" s="11" t="n">
        <f aca="false">E11/B11</f>
        <v>0.227075356254688</v>
      </c>
      <c r="L11" s="5" t="s">
        <v>587</v>
      </c>
      <c r="M11" s="8" t="s">
        <v>588</v>
      </c>
    </row>
    <row r="12" customFormat="false" ht="17.15" hidden="false" customHeight="false" outlineLevel="0" collapsed="false">
      <c r="A12" s="0" t="s">
        <v>589</v>
      </c>
      <c r="B12" s="16" t="n">
        <v>53.822</v>
      </c>
      <c r="E12" s="16" t="n">
        <v>10.037</v>
      </c>
      <c r="F12" s="16" t="n">
        <v>7.346</v>
      </c>
      <c r="G12" s="18" t="n">
        <v>97.9</v>
      </c>
      <c r="H12" s="11" t="n">
        <f aca="false">F12/B12</f>
        <v>0.136486938426666</v>
      </c>
      <c r="I12" s="7" t="n">
        <v>1</v>
      </c>
      <c r="J12" s="19" t="n">
        <f aca="false">G12/I12</f>
        <v>97.9</v>
      </c>
      <c r="K12" s="11" t="n">
        <f aca="false">E12/B12</f>
        <v>0.186485080450373</v>
      </c>
      <c r="L12" s="5" t="s">
        <v>356</v>
      </c>
      <c r="M12" s="8" t="s">
        <v>590</v>
      </c>
    </row>
    <row r="13" customFormat="false" ht="17.15" hidden="false" customHeight="false" outlineLevel="0" collapsed="false">
      <c r="A13" s="0" t="s">
        <v>591</v>
      </c>
      <c r="B13" s="16" t="n">
        <v>50.471</v>
      </c>
      <c r="E13" s="16" t="n">
        <v>8.661</v>
      </c>
      <c r="F13" s="16" t="n">
        <v>6.444</v>
      </c>
      <c r="G13" s="18" t="n">
        <v>85.9</v>
      </c>
      <c r="H13" s="11" t="n">
        <f aca="false">F13/B13</f>
        <v>0.127677280022191</v>
      </c>
      <c r="I13" s="7" t="n">
        <v>1</v>
      </c>
      <c r="J13" s="19" t="n">
        <f aca="false">G13/I13</f>
        <v>85.9</v>
      </c>
      <c r="K13" s="11" t="n">
        <f aca="false">E13/B13</f>
        <v>0.171603495076381</v>
      </c>
      <c r="L13" s="5" t="s">
        <v>356</v>
      </c>
      <c r="M13" s="8" t="s">
        <v>590</v>
      </c>
    </row>
    <row r="14" customFormat="false" ht="17.15" hidden="false" customHeight="false" outlineLevel="0" collapsed="false">
      <c r="A14" s="0" t="s">
        <v>592</v>
      </c>
      <c r="B14" s="16" t="n">
        <v>53.479</v>
      </c>
      <c r="E14" s="16" t="n">
        <v>8.88</v>
      </c>
      <c r="F14" s="16" t="n">
        <v>8.121</v>
      </c>
      <c r="G14" s="18" t="n">
        <v>108.28</v>
      </c>
      <c r="H14" s="11" t="n">
        <f aca="false">F14/B14</f>
        <v>0.151853998765871</v>
      </c>
      <c r="I14" s="7" t="n">
        <v>1</v>
      </c>
      <c r="J14" s="19" t="n">
        <f aca="false">G14/I14</f>
        <v>108.28</v>
      </c>
      <c r="K14" s="11" t="n">
        <f aca="false">E14/B14</f>
        <v>0.166046485536379</v>
      </c>
      <c r="L14" s="5" t="s">
        <v>593</v>
      </c>
      <c r="M14" s="5" t="s">
        <v>356</v>
      </c>
    </row>
    <row r="15" customFormat="false" ht="17.15" hidden="false" customHeight="false" outlineLevel="0" collapsed="false">
      <c r="A15" s="0" t="s">
        <v>594</v>
      </c>
      <c r="B15" s="16" t="n">
        <v>54.365</v>
      </c>
      <c r="C15" s="16" t="n">
        <v>18.372</v>
      </c>
      <c r="D15" s="17" t="n">
        <f aca="false">C15-E15</f>
        <v>11.455</v>
      </c>
      <c r="E15" s="16" t="n">
        <v>6.917</v>
      </c>
      <c r="F15" s="16" t="n">
        <v>4.593</v>
      </c>
      <c r="G15" s="18" t="n">
        <v>61.22</v>
      </c>
      <c r="H15" s="11" t="n">
        <f aca="false">F15/B15</f>
        <v>0.0844845028970845</v>
      </c>
      <c r="I15" s="7" t="n">
        <v>1</v>
      </c>
      <c r="J15" s="19" t="n">
        <f aca="false">G15/I15</f>
        <v>61.22</v>
      </c>
      <c r="K15" s="11" t="n">
        <f aca="false">E15/B15</f>
        <v>0.127232594500138</v>
      </c>
      <c r="L15" s="5" t="s">
        <v>595</v>
      </c>
      <c r="M15" s="5" t="s">
        <v>356</v>
      </c>
    </row>
    <row r="17" customFormat="false" ht="17.15" hidden="false" customHeight="false" outlineLevel="0" collapsed="false">
      <c r="A17" s="5" t="s">
        <v>596</v>
      </c>
      <c r="B17" s="20" t="n">
        <f aca="false">ABS(B15-a25_rev)+ABS(C15-a25_gp)+ABS(E15-a25_oi)+ABS(F15-a25_ni)+ABS(G15-a25_eps)</f>
        <v>0</v>
      </c>
    </row>
    <row r="19" customFormat="false" ht="15" hidden="false" customHeight="false" outlineLevel="0" collapsed="false">
      <c r="A19" s="3" t="s">
        <v>597</v>
      </c>
    </row>
    <row r="20" customFormat="false" ht="17.15" hidden="false" customHeight="false" outlineLevel="0" collapsed="false">
      <c r="A20" s="5" t="s">
        <v>598</v>
      </c>
      <c r="B20" s="20" t="n">
        <f aca="false">SLOPE(E6:E15,B6:B15)</f>
        <v>0.269521125751691</v>
      </c>
    </row>
    <row r="21" customFormat="false" ht="17.15" hidden="false" customHeight="false" outlineLevel="0" collapsed="false">
      <c r="A21" s="5" t="s">
        <v>599</v>
      </c>
      <c r="B21" s="21" t="n">
        <f aca="false">INTERCEPT(E6:E15,B6:B15)</f>
        <v>-5.01875396480685</v>
      </c>
    </row>
    <row r="22" customFormat="false" ht="15" hidden="false" customHeight="false" outlineLevel="0" collapsed="false">
      <c r="A22" s="0" t="s">
        <v>600</v>
      </c>
      <c r="B22" s="20" t="n">
        <f aca="false">RSQ(E6:E15,B6:B15)</f>
        <v>0.82909389446515</v>
      </c>
    </row>
    <row r="23" customFormat="false" ht="17.15" hidden="false" customHeight="false" outlineLevel="0" collapsed="false">
      <c r="A23" s="0" t="s">
        <v>601</v>
      </c>
      <c r="B23" s="21" t="n">
        <f aca="false">INTERCEPT(E6:E15,B6:B15)+SLOPE(E6:E15,B6:B15)*B15-E15</f>
        <v>2.71676203668382</v>
      </c>
    </row>
    <row r="24" customFormat="false" ht="15" hidden="false" customHeight="false" outlineLevel="0" collapsed="false">
      <c r="A24" s="5" t="s">
        <v>602</v>
      </c>
      <c r="B24" s="11" t="n">
        <f aca="false">AVERAGE(H6:H15)</f>
        <v>0.103370711936754</v>
      </c>
    </row>
    <row r="25" customFormat="false" ht="15" hidden="false" customHeight="false" outlineLevel="0" collapsed="false">
      <c r="A25" s="5" t="s">
        <v>603</v>
      </c>
      <c r="B25" s="11" t="n">
        <f aca="false">AVERAGE(K6:K15)</f>
        <v>0.132297368724912</v>
      </c>
    </row>
    <row r="26" customFormat="false" ht="17.15" hidden="false" customHeight="false" outlineLevel="0" collapsed="false">
      <c r="A26" s="0" t="s">
        <v>604</v>
      </c>
      <c r="B26" s="11" t="n">
        <f aca="false">AVERAGE(K11:K15)</f>
        <v>0.175688602363592</v>
      </c>
    </row>
    <row r="27" customFormat="false" ht="17.15" hidden="false" customHeight="false" outlineLevel="0" collapsed="false">
      <c r="A27" s="5" t="s">
        <v>605</v>
      </c>
      <c r="B27" s="11" t="n">
        <f aca="false">C8/B8</f>
        <v>0.247099603848331</v>
      </c>
      <c r="C27" s="11" t="n">
        <f aca="false">C9/B9</f>
        <v>0.260859235794892</v>
      </c>
      <c r="D27" s="11" t="n">
        <f aca="false">C15/B15</f>
        <v>0.337938011588338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0" min="10" style="0" width="50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606</v>
      </c>
    </row>
    <row r="3" customFormat="false" ht="15" hidden="false" customHeight="false" outlineLevel="0" collapsed="false">
      <c r="A3" s="6" t="s">
        <v>607</v>
      </c>
      <c r="B3" s="6" t="s">
        <v>24</v>
      </c>
      <c r="C3" s="15" t="s">
        <v>608</v>
      </c>
      <c r="D3" s="15" t="s">
        <v>609</v>
      </c>
      <c r="E3" s="15" t="s">
        <v>610</v>
      </c>
      <c r="F3" s="15" t="s">
        <v>611</v>
      </c>
      <c r="G3" s="15" t="s">
        <v>612</v>
      </c>
      <c r="H3" s="6" t="s">
        <v>468</v>
      </c>
    </row>
    <row r="4" customFormat="false" ht="17.15" hidden="false" customHeight="false" outlineLevel="0" collapsed="false">
      <c r="A4" s="3" t="s">
        <v>613</v>
      </c>
    </row>
    <row r="5" customFormat="false" ht="15" hidden="false" customHeight="false" outlineLevel="0" collapsed="false">
      <c r="A5" s="5" t="s">
        <v>541</v>
      </c>
      <c r="B5" s="0" t="s">
        <v>34</v>
      </c>
      <c r="C5" s="22" t="n">
        <f aca="false">C101</f>
        <v>54.365</v>
      </c>
      <c r="D5" s="22" t="n">
        <f aca="false">D101</f>
        <v>64</v>
      </c>
      <c r="E5" s="22" t="n">
        <f aca="false">E101</f>
        <v>66.9386446459761</v>
      </c>
      <c r="F5" s="22" t="n">
        <f aca="false">F101</f>
        <v>71.9711108179241</v>
      </c>
      <c r="G5" s="22" t="n">
        <f aca="false">G101</f>
        <v>74.9766235302129</v>
      </c>
    </row>
    <row r="6" customFormat="false" ht="15" hidden="false" customHeight="false" outlineLevel="0" collapsed="false">
      <c r="A6" s="5" t="s">
        <v>614</v>
      </c>
      <c r="B6" s="0" t="s">
        <v>34</v>
      </c>
      <c r="C6" s="22" t="n">
        <f aca="false">C100</f>
        <v>40.39</v>
      </c>
      <c r="D6" s="22" t="n">
        <f aca="false">D100</f>
        <v>48.8219557751218</v>
      </c>
      <c r="E6" s="22" t="n">
        <f aca="false">E100</f>
        <v>50.8661885891213</v>
      </c>
      <c r="F6" s="22" t="n">
        <f aca="false">F100</f>
        <v>55.1678862158822</v>
      </c>
      <c r="G6" s="22" t="n">
        <f aca="false">G100</f>
        <v>57.5749553377149</v>
      </c>
    </row>
    <row r="7" customFormat="false" ht="17.15" hidden="false" customHeight="false" outlineLevel="0" collapsed="false">
      <c r="A7" s="0" t="s">
        <v>615</v>
      </c>
      <c r="B7" s="0" t="s">
        <v>34</v>
      </c>
      <c r="C7" s="22" t="n">
        <f aca="false">C99</f>
        <v>10</v>
      </c>
      <c r="D7" s="22" t="n">
        <f aca="false">D99</f>
        <v>13.8247442982788</v>
      </c>
      <c r="E7" s="22" t="n">
        <f aca="false">E99</f>
        <v>10.8862681036032</v>
      </c>
      <c r="F7" s="22" t="n">
        <f aca="false">F99</f>
        <v>10.512297655406</v>
      </c>
      <c r="G7" s="22" t="n">
        <f aca="false">G99</f>
        <v>9.80509011186963</v>
      </c>
    </row>
    <row r="8" customFormat="false" ht="17.15" hidden="false" customHeight="false" outlineLevel="0" collapsed="false">
      <c r="A8" s="5" t="s">
        <v>616</v>
      </c>
      <c r="B8" s="0" t="s">
        <v>34</v>
      </c>
      <c r="C8" s="22" t="n">
        <f aca="false">C94</f>
        <v>26.46</v>
      </c>
      <c r="D8" s="22" t="n">
        <f aca="false">D94</f>
        <v>29.8196703923002</v>
      </c>
      <c r="E8" s="22" t="n">
        <f aca="false">E94</f>
        <v>33.7842796256614</v>
      </c>
      <c r="F8" s="22" t="n">
        <f aca="false">F94</f>
        <v>37.7855895680829</v>
      </c>
      <c r="G8" s="22" t="n">
        <f aca="false">G94</f>
        <v>40.5083746987242</v>
      </c>
    </row>
    <row r="9" customFormat="false" ht="15" hidden="false" customHeight="false" outlineLevel="0" collapsed="false">
      <c r="A9" s="5" t="s">
        <v>617</v>
      </c>
      <c r="B9" s="0" t="s">
        <v>34</v>
      </c>
      <c r="C9" s="22" t="n">
        <f aca="false">C95</f>
        <v>3.93</v>
      </c>
      <c r="D9" s="22" t="n">
        <f aca="false">D95</f>
        <v>5.17754108454275</v>
      </c>
      <c r="E9" s="22" t="n">
        <f aca="false">E95</f>
        <v>6.19564085985668</v>
      </c>
      <c r="F9" s="22" t="n">
        <f aca="false">F95</f>
        <v>6.86999899239327</v>
      </c>
      <c r="G9" s="22" t="n">
        <f aca="false">G95</f>
        <v>7.26149052712105</v>
      </c>
    </row>
    <row r="10" customFormat="false" ht="17.15" hidden="false" customHeight="false" outlineLevel="0" collapsed="false">
      <c r="A10" s="5" t="s">
        <v>618</v>
      </c>
      <c r="B10" s="0" t="s">
        <v>34</v>
      </c>
      <c r="C10" s="22" t="n">
        <f aca="false">C96</f>
        <v>9.47</v>
      </c>
      <c r="D10" s="22" t="n">
        <f aca="false">D96</f>
        <v>9.94006327425498</v>
      </c>
      <c r="E10" s="22" t="n">
        <f aca="false">E96</f>
        <v>10.2382651724826</v>
      </c>
      <c r="F10" s="22" t="n">
        <f aca="false">F96</f>
        <v>10.5454131276571</v>
      </c>
      <c r="G10" s="22" t="n">
        <f aca="false">G96</f>
        <v>10.8617755214868</v>
      </c>
    </row>
    <row r="11" customFormat="false" ht="15" hidden="false" customHeight="false" outlineLevel="0" collapsed="false">
      <c r="A11" s="5" t="s">
        <v>619</v>
      </c>
      <c r="B11" s="0" t="s">
        <v>34</v>
      </c>
      <c r="C11" s="22" t="n">
        <f aca="false">C97</f>
        <v>2.48</v>
      </c>
      <c r="D11" s="22" t="n">
        <f aca="false">D97</f>
        <v>2.60309999156836</v>
      </c>
      <c r="E11" s="22" t="n">
        <f aca="false">E97</f>
        <v>2.68119299131541</v>
      </c>
      <c r="F11" s="22" t="n">
        <f aca="false">F97</f>
        <v>2.76162878105487</v>
      </c>
      <c r="G11" s="22" t="n">
        <f aca="false">G97</f>
        <v>2.84447764448652</v>
      </c>
    </row>
    <row r="12" customFormat="false" ht="15" hidden="false" customHeight="false" outlineLevel="0" collapsed="false">
      <c r="A12" s="5" t="s">
        <v>620</v>
      </c>
      <c r="B12" s="0" t="s">
        <v>34</v>
      </c>
      <c r="C12" s="22" t="n">
        <f aca="false">C98</f>
        <v>2</v>
      </c>
      <c r="D12" s="22" t="n">
        <f aca="false">D98</f>
        <v>2.63488095905483</v>
      </c>
      <c r="E12" s="22" t="n">
        <f aca="false">E98</f>
        <v>3.15299789305684</v>
      </c>
      <c r="F12" s="22" t="n">
        <f aca="false">F98</f>
        <v>3.49618269332991</v>
      </c>
      <c r="G12" s="22" t="n">
        <f aca="false">G98</f>
        <v>3.6954150265247</v>
      </c>
    </row>
    <row r="13" customFormat="false" ht="17.15" hidden="false" customHeight="false" outlineLevel="0" collapsed="false">
      <c r="A13" s="0" t="s">
        <v>621</v>
      </c>
      <c r="B13" s="0" t="s">
        <v>94</v>
      </c>
      <c r="C13" s="11" t="n">
        <f aca="false">C103</f>
        <v>0.1839418743677</v>
      </c>
      <c r="D13" s="11" t="n">
        <f aca="false">D103</f>
        <v>0.216011629660607</v>
      </c>
      <c r="E13" s="11" t="n">
        <f aca="false">E103</f>
        <v>0.162630542658554</v>
      </c>
      <c r="F13" s="11" t="n">
        <f aca="false">F103</f>
        <v>0.146062740118053</v>
      </c>
      <c r="G13" s="11" t="n">
        <f aca="false">G103</f>
        <v>0.130775295688242</v>
      </c>
    </row>
    <row r="14" customFormat="false" ht="15" hidden="false" customHeight="false" outlineLevel="0" collapsed="false">
      <c r="A14" s="5" t="s">
        <v>545</v>
      </c>
      <c r="B14" s="0" t="s">
        <v>34</v>
      </c>
      <c r="C14" s="22" t="n">
        <f aca="false">C104</f>
        <v>6.917</v>
      </c>
      <c r="D14" s="22" t="n">
        <f aca="false">D104</f>
        <v>10.24</v>
      </c>
      <c r="E14" s="22" t="n">
        <f aca="false">E104</f>
        <v>11.1201861525469</v>
      </c>
      <c r="F14" s="22" t="n">
        <f aca="false">F104</f>
        <v>12.6275160856761</v>
      </c>
      <c r="G14" s="22" t="n">
        <f aca="false">G104</f>
        <v>13.5277306367219</v>
      </c>
    </row>
    <row r="15" customFormat="false" ht="15" hidden="false" customHeight="false" outlineLevel="0" collapsed="false">
      <c r="A15" s="5" t="s">
        <v>557</v>
      </c>
      <c r="B15" s="0" t="s">
        <v>94</v>
      </c>
      <c r="C15" s="11" t="n">
        <f aca="false">C105</f>
        <v>0.127232594500138</v>
      </c>
      <c r="D15" s="11" t="n">
        <f aca="false">D105</f>
        <v>0.16</v>
      </c>
      <c r="E15" s="11" t="n">
        <f aca="false">E105</f>
        <v>0.166125056928762</v>
      </c>
      <c r="F15" s="11" t="n">
        <f aca="false">F105</f>
        <v>0.175452566205651</v>
      </c>
      <c r="G15" s="11" t="n">
        <f aca="false">G105</f>
        <v>0.180425978121977</v>
      </c>
    </row>
    <row r="16" customFormat="false" ht="15" hidden="false" customHeight="false" outlineLevel="0" collapsed="false">
      <c r="A16" s="5" t="s">
        <v>548</v>
      </c>
      <c r="B16" s="0" t="s">
        <v>34</v>
      </c>
      <c r="C16" s="19" t="n">
        <f aca="false">C106</f>
        <v>4.593</v>
      </c>
      <c r="D16" s="19" t="n">
        <f aca="false">D106</f>
        <v>7</v>
      </c>
      <c r="E16" s="19" t="n">
        <f aca="false">E106</f>
        <v>7.60168975271764</v>
      </c>
      <c r="F16" s="19" t="n">
        <f aca="false">F106</f>
        <v>8.63209107419265</v>
      </c>
      <c r="G16" s="19" t="n">
        <f aca="false">G106</f>
        <v>9.24747211494659</v>
      </c>
    </row>
    <row r="17" customFormat="false" ht="15" hidden="false" customHeight="false" outlineLevel="0" collapsed="false">
      <c r="A17" s="0" t="s">
        <v>622</v>
      </c>
      <c r="B17" s="0" t="s">
        <v>52</v>
      </c>
      <c r="C17" s="22" t="n">
        <f aca="false">C107</f>
        <v>61.22</v>
      </c>
      <c r="D17" s="22" t="n">
        <f aca="false">D107</f>
        <v>93.2961492201002</v>
      </c>
      <c r="E17" s="22" t="n">
        <f aca="false">E107</f>
        <v>101.315483070636</v>
      </c>
      <c r="F17" s="22" t="n">
        <f aca="false">F107</f>
        <v>115.048693848482</v>
      </c>
      <c r="G17" s="22" t="n">
        <f aca="false">G107</f>
        <v>123.250505477825</v>
      </c>
    </row>
    <row r="18" customFormat="false" ht="15" hidden="false" customHeight="false" outlineLevel="0" collapsed="false">
      <c r="A18" s="5" t="s">
        <v>623</v>
      </c>
      <c r="B18" s="0" t="s">
        <v>34</v>
      </c>
      <c r="C18" s="22" t="n">
        <f aca="false">C84</f>
        <v>54.365</v>
      </c>
      <c r="D18" s="22" t="n">
        <f aca="false">D84</f>
        <v>62.8026585722905</v>
      </c>
      <c r="E18" s="22" t="n">
        <f aca="false">E84</f>
        <v>65.8899910122925</v>
      </c>
      <c r="F18" s="22" t="n">
        <f aca="false">F84</f>
        <v>70.8213110820282</v>
      </c>
      <c r="G18" s="22" t="n">
        <f aca="false">G84</f>
        <v>73.7573645166327</v>
      </c>
    </row>
    <row r="20" customFormat="false" ht="17.15" hidden="false" customHeight="false" outlineLevel="0" collapsed="false">
      <c r="A20" s="3" t="s">
        <v>624</v>
      </c>
    </row>
    <row r="21" customFormat="false" ht="15" hidden="false" customHeight="false" outlineLevel="0" collapsed="false">
      <c r="A21" s="5" t="s">
        <v>541</v>
      </c>
      <c r="B21" s="0" t="s">
        <v>34</v>
      </c>
      <c r="C21" s="22" t="n">
        <f aca="false">C152</f>
        <v>54.365</v>
      </c>
      <c r="D21" s="22" t="n">
        <f aca="false">D152</f>
        <v>64</v>
      </c>
      <c r="E21" s="22" t="n">
        <f aca="false">E152</f>
        <v>62.1115017791414</v>
      </c>
      <c r="F21" s="22" t="n">
        <f aca="false">F152</f>
        <v>65.416609923934</v>
      </c>
      <c r="G21" s="22" t="n">
        <f aca="false">G152</f>
        <v>63.249190871206</v>
      </c>
    </row>
    <row r="22" customFormat="false" ht="15" hidden="false" customHeight="false" outlineLevel="0" collapsed="false">
      <c r="A22" s="5" t="s">
        <v>614</v>
      </c>
      <c r="B22" s="0" t="s">
        <v>34</v>
      </c>
      <c r="C22" s="22" t="n">
        <f aca="false">C151</f>
        <v>40.39</v>
      </c>
      <c r="D22" s="22" t="n">
        <f aca="false">D151</f>
        <v>48.4966681198764</v>
      </c>
      <c r="E22" s="22" t="n">
        <f aca="false">E151</f>
        <v>46.1363728862154</v>
      </c>
      <c r="F22" s="22" t="n">
        <f aca="false">F151</f>
        <v>49.0920931702081</v>
      </c>
      <c r="G22" s="22" t="n">
        <f aca="false">G151</f>
        <v>46.6037644226527</v>
      </c>
    </row>
    <row r="23" customFormat="false" ht="17.15" hidden="false" customHeight="false" outlineLevel="0" collapsed="false">
      <c r="A23" s="0" t="s">
        <v>615</v>
      </c>
      <c r="B23" s="0" t="s">
        <v>34</v>
      </c>
      <c r="C23" s="22" t="n">
        <f aca="false">C150</f>
        <v>10</v>
      </c>
      <c r="D23" s="22" t="n">
        <f aca="false">D150</f>
        <v>12.7494152877204</v>
      </c>
      <c r="E23" s="22" t="n">
        <f aca="false">E150</f>
        <v>7.31852855661849</v>
      </c>
      <c r="F23" s="22" t="n">
        <f aca="false">F150</f>
        <v>10.3402142297035</v>
      </c>
      <c r="G23" s="22" t="n">
        <f aca="false">G150</f>
        <v>8.62469786325038</v>
      </c>
    </row>
    <row r="24" customFormat="false" ht="17.15" hidden="false" customHeight="false" outlineLevel="0" collapsed="false">
      <c r="A24" s="5" t="s">
        <v>616</v>
      </c>
      <c r="B24" s="0" t="s">
        <v>34</v>
      </c>
      <c r="C24" s="22" t="n">
        <f aca="false">C145</f>
        <v>26.46</v>
      </c>
      <c r="D24" s="22" t="n">
        <f aca="false">D145</f>
        <v>30.4587494803821</v>
      </c>
      <c r="E24" s="22" t="n">
        <f aca="false">E145</f>
        <v>32.8134513468603</v>
      </c>
      <c r="F24" s="22" t="n">
        <f aca="false">F145</f>
        <v>32.8225408700522</v>
      </c>
      <c r="G24" s="22" t="n">
        <f aca="false">G145</f>
        <v>32.2035910591325</v>
      </c>
    </row>
    <row r="25" customFormat="false" ht="15" hidden="false" customHeight="false" outlineLevel="0" collapsed="false">
      <c r="A25" s="5" t="s">
        <v>617</v>
      </c>
      <c r="B25" s="0" t="s">
        <v>34</v>
      </c>
      <c r="C25" s="22" t="n">
        <f aca="false">C146</f>
        <v>3.93</v>
      </c>
      <c r="D25" s="22" t="n">
        <f aca="false">D146</f>
        <v>5.28850335177392</v>
      </c>
      <c r="E25" s="22" t="n">
        <f aca="false">E146</f>
        <v>6.00439298273657</v>
      </c>
      <c r="F25" s="22" t="n">
        <f aca="false">F146</f>
        <v>5.92933807045236</v>
      </c>
      <c r="G25" s="22" t="n">
        <f aca="false">G146</f>
        <v>5.77547550026974</v>
      </c>
    </row>
    <row r="26" customFormat="false" ht="17.15" hidden="false" customHeight="false" outlineLevel="0" collapsed="false">
      <c r="A26" s="5" t="s">
        <v>618</v>
      </c>
      <c r="B26" s="0" t="s">
        <v>34</v>
      </c>
      <c r="C26" s="22" t="n">
        <f aca="false">C147</f>
        <v>9.47</v>
      </c>
      <c r="D26" s="22" t="n">
        <f aca="false">D147</f>
        <v>10.1530933476668</v>
      </c>
      <c r="E26" s="22" t="n">
        <f aca="false">E147</f>
        <v>10.2382651724826</v>
      </c>
      <c r="F26" s="22" t="n">
        <f aca="false">F147</f>
        <v>10.5454131276571</v>
      </c>
      <c r="G26" s="22" t="n">
        <f aca="false">G147</f>
        <v>10.8617755214868</v>
      </c>
    </row>
    <row r="27" customFormat="false" ht="15" hidden="false" customHeight="false" outlineLevel="0" collapsed="false">
      <c r="A27" s="5" t="s">
        <v>619</v>
      </c>
      <c r="B27" s="0" t="s">
        <v>34</v>
      </c>
      <c r="C27" s="22" t="n">
        <f aca="false">C148</f>
        <v>2.48</v>
      </c>
      <c r="D27" s="22" t="n">
        <f aca="false">D148</f>
        <v>2.65888822621052</v>
      </c>
      <c r="E27" s="22" t="n">
        <f aca="false">E148</f>
        <v>2.68119299131541</v>
      </c>
      <c r="F27" s="22" t="n">
        <f aca="false">F148</f>
        <v>2.76162878105487</v>
      </c>
      <c r="G27" s="22" t="n">
        <f aca="false">G148</f>
        <v>2.84447764448652</v>
      </c>
    </row>
    <row r="28" customFormat="false" ht="15" hidden="false" customHeight="false" outlineLevel="0" collapsed="false">
      <c r="A28" s="5" t="s">
        <v>620</v>
      </c>
      <c r="B28" s="0" t="s">
        <v>34</v>
      </c>
      <c r="C28" s="22" t="n">
        <f aca="false">C149</f>
        <v>2</v>
      </c>
      <c r="D28" s="22" t="n">
        <f aca="false">D149</f>
        <v>2.69135030624627</v>
      </c>
      <c r="E28" s="22" t="n">
        <f aca="false">E149</f>
        <v>3.05567072912802</v>
      </c>
      <c r="F28" s="22" t="n">
        <f aca="false">F149</f>
        <v>3.01747484501392</v>
      </c>
      <c r="G28" s="22" t="n">
        <f aca="false">G149</f>
        <v>2.93917328258002</v>
      </c>
    </row>
    <row r="29" customFormat="false" ht="17.15" hidden="false" customHeight="false" outlineLevel="0" collapsed="false">
      <c r="A29" s="0" t="s">
        <v>621</v>
      </c>
      <c r="B29" s="0" t="s">
        <v>94</v>
      </c>
      <c r="C29" s="11" t="n">
        <f aca="false">C154</f>
        <v>0.1839418743677</v>
      </c>
      <c r="D29" s="11" t="n">
        <f aca="false">D154</f>
        <v>0.199209613870631</v>
      </c>
      <c r="E29" s="11" t="n">
        <f aca="false">E154</f>
        <v>0.117828877856504</v>
      </c>
      <c r="F29" s="11" t="n">
        <f aca="false">F154</f>
        <v>0.158067106224659</v>
      </c>
      <c r="G29" s="11" t="n">
        <f aca="false">G154</f>
        <v>0.136360603897887</v>
      </c>
    </row>
    <row r="30" customFormat="false" ht="15" hidden="false" customHeight="false" outlineLevel="0" collapsed="false">
      <c r="A30" s="5" t="s">
        <v>545</v>
      </c>
      <c r="B30" s="0" t="s">
        <v>34</v>
      </c>
      <c r="C30" s="22" t="n">
        <f aca="false">C155</f>
        <v>6.917</v>
      </c>
      <c r="D30" s="22" t="n">
        <f aca="false">D155</f>
        <v>10.24</v>
      </c>
      <c r="E30" s="22" t="n">
        <f aca="false">E155</f>
        <v>9.73100983353413</v>
      </c>
      <c r="F30" s="22" t="n">
        <f aca="false">F155</f>
        <v>10.6218063014497</v>
      </c>
      <c r="G30" s="22" t="n">
        <f aca="false">G155</f>
        <v>10.0376410783828</v>
      </c>
    </row>
    <row r="31" customFormat="false" ht="15" hidden="false" customHeight="false" outlineLevel="0" collapsed="false">
      <c r="A31" s="5" t="s">
        <v>557</v>
      </c>
      <c r="B31" s="0" t="s">
        <v>94</v>
      </c>
      <c r="C31" s="11" t="n">
        <f aca="false">C156</f>
        <v>0.127232594500138</v>
      </c>
      <c r="D31" s="11" t="n">
        <f aca="false">D156</f>
        <v>0.16</v>
      </c>
      <c r="E31" s="11" t="n">
        <f aca="false">E156</f>
        <v>0.156670013681782</v>
      </c>
      <c r="F31" s="11" t="n">
        <f aca="false">F156</f>
        <v>0.162371702138045</v>
      </c>
      <c r="G31" s="11" t="n">
        <f aca="false">G156</f>
        <v>0.158699912838765</v>
      </c>
    </row>
    <row r="32" customFormat="false" ht="15" hidden="false" customHeight="false" outlineLevel="0" collapsed="false">
      <c r="A32" s="5" t="s">
        <v>548</v>
      </c>
      <c r="B32" s="0" t="s">
        <v>34</v>
      </c>
      <c r="C32" s="19" t="n">
        <f aca="false">C157</f>
        <v>4.593</v>
      </c>
      <c r="D32" s="19" t="n">
        <f aca="false">D157</f>
        <v>7</v>
      </c>
      <c r="E32" s="19" t="n">
        <f aca="false">E157</f>
        <v>6.65205750339247</v>
      </c>
      <c r="F32" s="19" t="n">
        <f aca="false">F157</f>
        <v>7.26100040138163</v>
      </c>
      <c r="G32" s="19" t="n">
        <f aca="false">G157</f>
        <v>6.86166870592574</v>
      </c>
    </row>
    <row r="33" customFormat="false" ht="15" hidden="false" customHeight="false" outlineLevel="0" collapsed="false">
      <c r="A33" s="0" t="s">
        <v>622</v>
      </c>
      <c r="B33" s="0" t="s">
        <v>52</v>
      </c>
      <c r="C33" s="22" t="n">
        <f aca="false">C158</f>
        <v>61.22</v>
      </c>
      <c r="D33" s="22" t="n">
        <f aca="false">D158</f>
        <v>93.2961492201002</v>
      </c>
      <c r="E33" s="22" t="n">
        <f aca="false">E158</f>
        <v>88.6587642081702</v>
      </c>
      <c r="F33" s="22" t="n">
        <f aca="false">F158</f>
        <v>96.7747681335011</v>
      </c>
      <c r="G33" s="22" t="n">
        <f aca="false">G158</f>
        <v>91.4524667838485</v>
      </c>
    </row>
    <row r="34" customFormat="false" ht="15" hidden="false" customHeight="false" outlineLevel="0" collapsed="false">
      <c r="A34" s="5" t="s">
        <v>623</v>
      </c>
      <c r="B34" s="0" t="s">
        <v>34</v>
      </c>
      <c r="C34" s="22" t="n">
        <f aca="false">C135</f>
        <v>54.365</v>
      </c>
      <c r="D34" s="22" t="n">
        <f aca="false">D135</f>
        <v>61.4849463728666</v>
      </c>
      <c r="E34" s="22" t="n">
        <f aca="false">E135</f>
        <v>61.0864096418492</v>
      </c>
      <c r="F34" s="22" t="n">
        <f aca="false">F135</f>
        <v>64.3862153887211</v>
      </c>
      <c r="G34" s="22" t="n">
        <f aca="false">G135</f>
        <v>62.2272507392365</v>
      </c>
    </row>
    <row r="36" customFormat="false" ht="17.15" hidden="false" customHeight="false" outlineLevel="0" collapsed="false">
      <c r="A36" s="3" t="s">
        <v>625</v>
      </c>
    </row>
    <row r="37" customFormat="false" ht="15" hidden="false" customHeight="false" outlineLevel="0" collapsed="false">
      <c r="A37" s="5" t="s">
        <v>541</v>
      </c>
      <c r="B37" s="0" t="s">
        <v>34</v>
      </c>
      <c r="C37" s="22" t="n">
        <f aca="false">C203</f>
        <v>54.365</v>
      </c>
      <c r="D37" s="22" t="n">
        <f aca="false">D203</f>
        <v>64</v>
      </c>
      <c r="E37" s="22" t="n">
        <f aca="false">E203</f>
        <v>56.5826309858162</v>
      </c>
      <c r="F37" s="22" t="n">
        <f aca="false">F203</f>
        <v>53.0253470229173</v>
      </c>
      <c r="G37" s="22" t="n">
        <f aca="false">G203</f>
        <v>53.7591819012335</v>
      </c>
    </row>
    <row r="38" customFormat="false" ht="15" hidden="false" customHeight="false" outlineLevel="0" collapsed="false">
      <c r="A38" s="5" t="s">
        <v>614</v>
      </c>
      <c r="B38" s="0" t="s">
        <v>34</v>
      </c>
      <c r="C38" s="22" t="n">
        <f aca="false">C202</f>
        <v>40.39</v>
      </c>
      <c r="D38" s="22" t="n">
        <f aca="false">D202</f>
        <v>48.2585454683308</v>
      </c>
      <c r="E38" s="22" t="n">
        <f aca="false">E202</f>
        <v>40.7602856293465</v>
      </c>
      <c r="F38" s="22" t="n">
        <f aca="false">F202</f>
        <v>37.2737685309028</v>
      </c>
      <c r="G38" s="22" t="n">
        <f aca="false">G202</f>
        <v>37.5778354446665</v>
      </c>
    </row>
    <row r="39" customFormat="false" ht="17.15" hidden="false" customHeight="false" outlineLevel="0" collapsed="false">
      <c r="A39" s="0" t="s">
        <v>615</v>
      </c>
      <c r="B39" s="0" t="s">
        <v>34</v>
      </c>
      <c r="C39" s="22" t="n">
        <f aca="false">C201</f>
        <v>10</v>
      </c>
      <c r="D39" s="22" t="n">
        <f aca="false">D201</f>
        <v>11.9622344920491</v>
      </c>
      <c r="E39" s="22" t="n">
        <f aca="false">E201</f>
        <v>3.9007300758754</v>
      </c>
      <c r="F39" s="22" t="n">
        <f aca="false">F201</f>
        <v>5.87742128171531</v>
      </c>
      <c r="G39" s="22" t="n">
        <f aca="false">G201</f>
        <v>5.59546360516987</v>
      </c>
    </row>
    <row r="40" customFormat="false" ht="17.15" hidden="false" customHeight="false" outlineLevel="0" collapsed="false">
      <c r="A40" s="5" t="s">
        <v>616</v>
      </c>
      <c r="B40" s="0" t="s">
        <v>34</v>
      </c>
      <c r="C40" s="22" t="n">
        <f aca="false">C196</f>
        <v>26.46</v>
      </c>
      <c r="D40" s="22" t="n">
        <f aca="false">D196</f>
        <v>30.9265791214628</v>
      </c>
      <c r="E40" s="22" t="n">
        <f aca="false">E196</f>
        <v>31.1553822198713</v>
      </c>
      <c r="F40" s="22" t="n">
        <f aca="false">F196</f>
        <v>26.5928328629983</v>
      </c>
      <c r="G40" s="22" t="n">
        <f aca="false">G196</f>
        <v>27.11881352348</v>
      </c>
    </row>
    <row r="41" customFormat="false" ht="15" hidden="false" customHeight="false" outlineLevel="0" collapsed="false">
      <c r="A41" s="5" t="s">
        <v>617</v>
      </c>
      <c r="B41" s="0" t="s">
        <v>34</v>
      </c>
      <c r="C41" s="22" t="n">
        <f aca="false">C197</f>
        <v>3.93</v>
      </c>
      <c r="D41" s="22" t="n">
        <f aca="false">D197</f>
        <v>5.36973185481893</v>
      </c>
      <c r="E41" s="22" t="n">
        <f aca="false">E197</f>
        <v>5.70417333359974</v>
      </c>
      <c r="F41" s="22" t="n">
        <f aca="false">F197</f>
        <v>4.80351438618927</v>
      </c>
      <c r="G41" s="22" t="n">
        <f aca="false">G197</f>
        <v>4.86355831601663</v>
      </c>
    </row>
    <row r="42" customFormat="false" ht="17.15" hidden="false" customHeight="false" outlineLevel="0" collapsed="false">
      <c r="A42" s="5" t="s">
        <v>618</v>
      </c>
      <c r="B42" s="0" t="s">
        <v>34</v>
      </c>
      <c r="C42" s="22" t="n">
        <f aca="false">C198</f>
        <v>9.47</v>
      </c>
      <c r="D42" s="22" t="n">
        <f aca="false">D198</f>
        <v>10.3090392777437</v>
      </c>
      <c r="E42" s="22" t="n">
        <f aca="false">E198</f>
        <v>10.2382651724826</v>
      </c>
      <c r="F42" s="22" t="n">
        <f aca="false">F198</f>
        <v>10.5454131276571</v>
      </c>
      <c r="G42" s="22" t="n">
        <f aca="false">G198</f>
        <v>10.8617755214868</v>
      </c>
    </row>
    <row r="43" customFormat="false" ht="15" hidden="false" customHeight="false" outlineLevel="0" collapsed="false">
      <c r="A43" s="5" t="s">
        <v>619</v>
      </c>
      <c r="B43" s="0" t="s">
        <v>34</v>
      </c>
      <c r="C43" s="22" t="n">
        <f aca="false">C199</f>
        <v>2.48</v>
      </c>
      <c r="D43" s="22" t="n">
        <f aca="false">D199</f>
        <v>2.69972728709655</v>
      </c>
      <c r="E43" s="22" t="n">
        <f aca="false">E199</f>
        <v>2.68119299131541</v>
      </c>
      <c r="F43" s="22" t="n">
        <f aca="false">F199</f>
        <v>2.76162878105487</v>
      </c>
      <c r="G43" s="22" t="n">
        <f aca="false">G199</f>
        <v>2.84447764448652</v>
      </c>
    </row>
    <row r="44" customFormat="false" ht="15" hidden="false" customHeight="false" outlineLevel="0" collapsed="false">
      <c r="A44" s="5" t="s">
        <v>620</v>
      </c>
      <c r="B44" s="0" t="s">
        <v>34</v>
      </c>
      <c r="C44" s="22" t="n">
        <f aca="false">C200</f>
        <v>2</v>
      </c>
      <c r="D44" s="22" t="n">
        <f aca="false">D200</f>
        <v>2.73268796682897</v>
      </c>
      <c r="E44" s="22" t="n">
        <f aca="false">E200</f>
        <v>2.90288719267162</v>
      </c>
      <c r="F44" s="22" t="n">
        <f aca="false">F200</f>
        <v>2.44453658330243</v>
      </c>
      <c r="G44" s="22" t="n">
        <f aca="false">G200</f>
        <v>2.47509329059371</v>
      </c>
    </row>
    <row r="45" customFormat="false" ht="17.15" hidden="false" customHeight="false" outlineLevel="0" collapsed="false">
      <c r="A45" s="0" t="s">
        <v>621</v>
      </c>
      <c r="B45" s="0" t="s">
        <v>94</v>
      </c>
      <c r="C45" s="11" t="n">
        <f aca="false">C205</f>
        <v>0.1839418743677</v>
      </c>
      <c r="D45" s="11" t="n">
        <f aca="false">D205</f>
        <v>0.186909913938267</v>
      </c>
      <c r="E45" s="11" t="n">
        <f aca="false">E205</f>
        <v>0.068938647919239</v>
      </c>
      <c r="F45" s="11" t="n">
        <f aca="false">F205</f>
        <v>0.110841731581221</v>
      </c>
      <c r="G45" s="11" t="n">
        <f aca="false">G205</f>
        <v>0.104083868230173</v>
      </c>
    </row>
    <row r="46" customFormat="false" ht="15" hidden="false" customHeight="false" outlineLevel="0" collapsed="false">
      <c r="A46" s="5" t="s">
        <v>545</v>
      </c>
      <c r="B46" s="0" t="s">
        <v>34</v>
      </c>
      <c r="C46" s="22" t="n">
        <f aca="false">C206</f>
        <v>6.917</v>
      </c>
      <c r="D46" s="22" t="n">
        <f aca="false">D206</f>
        <v>10.24</v>
      </c>
      <c r="E46" s="22" t="n">
        <f aca="false">E206</f>
        <v>8.61173080389065</v>
      </c>
      <c r="F46" s="22" t="n">
        <f aca="false">F206</f>
        <v>7.83083182373665</v>
      </c>
      <c r="G46" s="22" t="n">
        <f aca="false">G206</f>
        <v>7.99192408234049</v>
      </c>
    </row>
    <row r="47" customFormat="false" ht="15" hidden="false" customHeight="false" outlineLevel="0" collapsed="false">
      <c r="A47" s="5" t="s">
        <v>557</v>
      </c>
      <c r="B47" s="0" t="s">
        <v>94</v>
      </c>
      <c r="C47" s="11" t="n">
        <f aca="false">C207</f>
        <v>0.127232594500138</v>
      </c>
      <c r="D47" s="11" t="n">
        <f aca="false">D207</f>
        <v>0.16</v>
      </c>
      <c r="E47" s="11" t="n">
        <f aca="false">E207</f>
        <v>0.152197426203978</v>
      </c>
      <c r="F47" s="11" t="n">
        <f aca="false">F207</f>
        <v>0.147680916078724</v>
      </c>
      <c r="G47" s="11" t="n">
        <f aca="false">G207</f>
        <v>0.148661564400724</v>
      </c>
    </row>
    <row r="48" customFormat="false" ht="15" hidden="false" customHeight="false" outlineLevel="0" collapsed="false">
      <c r="A48" s="5" t="s">
        <v>548</v>
      </c>
      <c r="B48" s="0" t="s">
        <v>34</v>
      </c>
      <c r="C48" s="19" t="n">
        <f aca="false">C208</f>
        <v>4.593</v>
      </c>
      <c r="D48" s="19" t="n">
        <f aca="false">D208</f>
        <v>7</v>
      </c>
      <c r="E48" s="19" t="n">
        <f aca="false">E208</f>
        <v>5.88692535422213</v>
      </c>
      <c r="F48" s="19" t="n">
        <f aca="false">F208</f>
        <v>5.35310769200747</v>
      </c>
      <c r="G48" s="19" t="n">
        <f aca="false">G208</f>
        <v>5.46322935316244</v>
      </c>
    </row>
    <row r="49" customFormat="false" ht="15" hidden="false" customHeight="false" outlineLevel="0" collapsed="false">
      <c r="A49" s="0" t="s">
        <v>622</v>
      </c>
      <c r="B49" s="0" t="s">
        <v>52</v>
      </c>
      <c r="C49" s="22" t="n">
        <f aca="false">C209</f>
        <v>61.22</v>
      </c>
      <c r="D49" s="22" t="n">
        <f aca="false">D209</f>
        <v>93.2961492201002</v>
      </c>
      <c r="E49" s="22" t="n">
        <f aca="false">E209</f>
        <v>78.4610666135855</v>
      </c>
      <c r="F49" s="22" t="n">
        <f aca="false">F209</f>
        <v>71.3463334321136</v>
      </c>
      <c r="G49" s="22" t="n">
        <f aca="false">G209</f>
        <v>72.8140372794678</v>
      </c>
    </row>
    <row r="50" customFormat="false" ht="15" hidden="false" customHeight="false" outlineLevel="0" collapsed="false">
      <c r="A50" s="5" t="s">
        <v>623</v>
      </c>
      <c r="B50" s="0" t="s">
        <v>34</v>
      </c>
      <c r="C50" s="22" t="n">
        <f aca="false">C186</f>
        <v>54.365</v>
      </c>
      <c r="D50" s="22" t="n">
        <f aca="false">D186</f>
        <v>60.5548570707</v>
      </c>
      <c r="E50" s="22" t="n">
        <f aca="false">E186</f>
        <v>55.5970337600356</v>
      </c>
      <c r="F50" s="22" t="n">
        <f aca="false">F186</f>
        <v>52.1432819491593</v>
      </c>
      <c r="G50" s="22" t="n">
        <f aca="false">G186</f>
        <v>52.8581129132897</v>
      </c>
    </row>
    <row r="52" customFormat="false" ht="17.15" hidden="false" customHeight="false" outlineLevel="0" collapsed="false">
      <c r="A52" s="5" t="s">
        <v>626</v>
      </c>
      <c r="C52" s="20" t="n">
        <f aca="false">C108+C159+C210</f>
        <v>0</v>
      </c>
    </row>
    <row r="60" customFormat="false" ht="17.15" hidden="false" customHeight="false" outlineLevel="0" collapsed="false">
      <c r="A60" s="3" t="s">
        <v>627</v>
      </c>
    </row>
    <row r="61" customFormat="false" ht="17.15" hidden="false" customHeight="false" outlineLevel="0" collapsed="false">
      <c r="A61" s="6" t="s">
        <v>23</v>
      </c>
      <c r="B61" s="6" t="s">
        <v>24</v>
      </c>
      <c r="C61" s="15" t="s">
        <v>628</v>
      </c>
      <c r="D61" s="15" t="s">
        <v>629</v>
      </c>
      <c r="E61" s="15" t="s">
        <v>630</v>
      </c>
      <c r="F61" s="15" t="s">
        <v>631</v>
      </c>
      <c r="G61" s="15" t="s">
        <v>632</v>
      </c>
      <c r="H61" s="15" t="s">
        <v>633</v>
      </c>
      <c r="I61" s="15" t="s">
        <v>634</v>
      </c>
      <c r="J61" s="6" t="s">
        <v>468</v>
      </c>
    </row>
    <row r="62" customFormat="false" ht="17.15" hidden="false" customHeight="false" outlineLevel="0" collapsed="false">
      <c r="A62" s="1" t="s">
        <v>635</v>
      </c>
    </row>
    <row r="63" customFormat="false" ht="17.15" hidden="false" customHeight="false" outlineLevel="0" collapsed="false">
      <c r="A63" s="0" t="s">
        <v>636</v>
      </c>
      <c r="B63" s="0" t="s">
        <v>111</v>
      </c>
      <c r="C63" s="21" t="n">
        <f aca="false">hsA_25</f>
        <v>2.22511470588235</v>
      </c>
      <c r="D63" s="21" t="n">
        <f aca="false">hsA_26</f>
        <v>3.782695</v>
      </c>
      <c r="E63" s="21" t="n">
        <f aca="false">hsA_27</f>
        <v>5.86317725</v>
      </c>
      <c r="F63" s="21" t="n">
        <f aca="false">hsA_28</f>
        <v>8.5016070125</v>
      </c>
      <c r="G63" s="21" t="n">
        <f aca="false">hsA_29</f>
        <v>11.477169466875</v>
      </c>
      <c r="J63" s="8" t="s">
        <v>637</v>
      </c>
    </row>
    <row r="64" customFormat="false" ht="17.15" hidden="false" customHeight="false" outlineLevel="0" collapsed="false">
      <c r="A64" s="0" t="s">
        <v>638</v>
      </c>
      <c r="B64" s="0" t="s">
        <v>639</v>
      </c>
      <c r="C64" s="21" t="n">
        <f aca="false">den_25</f>
        <v>24</v>
      </c>
      <c r="D64" s="21" t="n">
        <f aca="false">den_26</f>
        <v>24</v>
      </c>
      <c r="E64" s="21" t="n">
        <f aca="false">den_27</f>
        <v>26</v>
      </c>
      <c r="F64" s="21" t="n">
        <f aca="false">den_28</f>
        <v>28</v>
      </c>
      <c r="G64" s="21" t="n">
        <f aca="false">den_29</f>
        <v>30</v>
      </c>
    </row>
    <row r="65" customFormat="false" ht="15" hidden="false" customHeight="false" outlineLevel="0" collapsed="false">
      <c r="A65" s="5" t="s">
        <v>640</v>
      </c>
      <c r="B65" s="5" t="s">
        <v>160</v>
      </c>
      <c r="C65" s="21" t="n">
        <f aca="false">stk_25</f>
        <v>10</v>
      </c>
      <c r="D65" s="21" t="n">
        <f aca="false">stk_26</f>
        <v>12</v>
      </c>
      <c r="E65" s="21" t="n">
        <f aca="false">stk_27</f>
        <v>12.5</v>
      </c>
      <c r="F65" s="21" t="n">
        <f aca="false">stk_28</f>
        <v>14</v>
      </c>
      <c r="G65" s="21" t="n">
        <f aca="false">stk_29</f>
        <v>15</v>
      </c>
    </row>
    <row r="66" customFormat="false" ht="17.15" hidden="false" customHeight="false" outlineLevel="0" collapsed="false">
      <c r="A66" s="0" t="s">
        <v>641</v>
      </c>
      <c r="B66" s="5" t="s">
        <v>642</v>
      </c>
      <c r="C66" s="23" t="n">
        <f aca="false">C63*8/(C64*C65)</f>
        <v>0.0741704901960783</v>
      </c>
      <c r="D66" s="23" t="n">
        <f aca="false">D63*8/(D64*D65)</f>
        <v>0.105074861111111</v>
      </c>
      <c r="E66" s="23" t="n">
        <f aca="false">E63*8/(E64*E65)</f>
        <v>0.144324363076923</v>
      </c>
      <c r="F66" s="23" t="n">
        <f aca="false">F63*8/(F64*F65)</f>
        <v>0.173502183928571</v>
      </c>
      <c r="G66" s="23" t="n">
        <f aca="false">G63*8/(G64*G65)</f>
        <v>0.2040385683</v>
      </c>
      <c r="H66" s="23" t="n">
        <f aca="false">G66*(1+g_tail)</f>
        <v>0.22444242513</v>
      </c>
      <c r="I66" s="23" t="n">
        <f aca="false">H66*(1+g_tail)</f>
        <v>0.246886667643</v>
      </c>
      <c r="J66" s="8" t="s">
        <v>643</v>
      </c>
    </row>
    <row r="67" customFormat="false" ht="17.15" hidden="false" customHeight="false" outlineLevel="0" collapsed="false">
      <c r="A67" s="0" t="s">
        <v>644</v>
      </c>
      <c r="B67" s="5" t="s">
        <v>642</v>
      </c>
      <c r="C67" s="23" t="n">
        <f aca="false">MAX(0,D66-C66)+dlt*C66</f>
        <v>0.0383214199346406</v>
      </c>
      <c r="D67" s="23" t="n">
        <f aca="false">MAX(0,E66-D66)+dlt*D66</f>
        <v>0.0497569880769231</v>
      </c>
      <c r="E67" s="23" t="n">
        <f aca="false">MAX(0,F66-E66)+dlt*E66</f>
        <v>0.0436102571593407</v>
      </c>
      <c r="F67" s="23" t="n">
        <f aca="false">MAX(0,G66-F66)+dlt*F66</f>
        <v>0.0478866027642858</v>
      </c>
      <c r="G67" s="23" t="n">
        <f aca="false">MAX(0,H66-G66)+dlt*G66</f>
        <v>0.04080771366</v>
      </c>
      <c r="H67" s="23" t="n">
        <f aca="false">MAX(0,I66-H66)+dlt*H66</f>
        <v>0.044888485026</v>
      </c>
      <c r="J67" s="5" t="s">
        <v>645</v>
      </c>
    </row>
    <row r="68" customFormat="false" ht="17.15" hidden="false" customHeight="false" outlineLevel="0" collapsed="false">
      <c r="A68" s="0" t="s">
        <v>646</v>
      </c>
      <c r="B68" s="5" t="s">
        <v>183</v>
      </c>
      <c r="C68" s="14" t="n">
        <f aca="false">cw_25</f>
        <v>670</v>
      </c>
      <c r="D68" s="14" t="n">
        <f aca="false">cw_26</f>
        <v>1107.85762580894</v>
      </c>
      <c r="E68" s="14" t="n">
        <f aca="false">cw_27</f>
        <v>2096.42857142857</v>
      </c>
      <c r="F68" s="14" t="n">
        <f aca="false">cw_28*um28_A</f>
        <v>2620.08928571429</v>
      </c>
      <c r="G68" s="14" t="n">
        <f aca="false">cw_29*um29_A</f>
        <v>3013.32589285714</v>
      </c>
      <c r="H68" s="14" t="n">
        <f aca="false">G68*(1+g_tail)</f>
        <v>3314.65848214285</v>
      </c>
      <c r="I68" s="14" t="n">
        <f aca="false">H68*(1+g_tail)</f>
        <v>3646.12433035714</v>
      </c>
      <c r="J68" s="5" t="s">
        <v>647</v>
      </c>
    </row>
    <row r="69" customFormat="false" ht="17.15" hidden="false" customHeight="false" outlineLevel="0" collapsed="false">
      <c r="A69" s="0" t="s">
        <v>648</v>
      </c>
      <c r="B69" s="5" t="s">
        <v>183</v>
      </c>
      <c r="C69" s="14" t="n">
        <f aca="false">MAX(0,D68-C68)+dlt*C68</f>
        <v>504.85762580894</v>
      </c>
      <c r="D69" s="14" t="n">
        <f aca="false">MAX(0,E68-D68)+dlt*D68</f>
        <v>1099.35670820052</v>
      </c>
      <c r="E69" s="14" t="n">
        <f aca="false">MAX(0,F68-E68)+dlt*E68</f>
        <v>733.303571428577</v>
      </c>
      <c r="F69" s="14" t="n">
        <f aca="false">MAX(0,G68-F68)+dlt*F68</f>
        <v>655.245535714279</v>
      </c>
      <c r="G69" s="14" t="n">
        <f aca="false">MAX(0,H68-G68)+dlt*G68</f>
        <v>602.665178571428</v>
      </c>
      <c r="H69" s="14" t="n">
        <f aca="false">MAX(0,I68-H68)+dlt*H68</f>
        <v>662.931696428571</v>
      </c>
    </row>
    <row r="70" customFormat="false" ht="17.15" hidden="false" customHeight="false" outlineLevel="0" collapsed="false">
      <c r="A70" s="5" t="s">
        <v>649</v>
      </c>
      <c r="B70" s="0" t="s">
        <v>219</v>
      </c>
      <c r="C70" s="21" t="n">
        <f aca="false">pk_25*(eqtA_25-eqaA_25)/(eqtA_25-eqaA_25)</f>
        <v>6.11313868613139</v>
      </c>
      <c r="D70" s="21" t="n">
        <f aca="false">pk_26*(eqtA_26-eqaA_26)/(eqtA_26-eqaA_26)</f>
        <v>6.7</v>
      </c>
      <c r="E70" s="21" t="n">
        <f aca="false">pk_27*(eqtA_27-eqaA_27)/(eqtA_27-eqaA_27)</f>
        <v>7.59078388573934</v>
      </c>
      <c r="F70" s="21" t="n">
        <f aca="false">pk_28*(eqtA_28-eqaA_28)/(eqtA_28-eqaA_28)</f>
        <v>8.6</v>
      </c>
      <c r="G70" s="21" t="n">
        <f aca="false">pk_29*(eqtA_29-eqaA_29)/(eqtA_29-eqaA_29)</f>
        <v>9.288</v>
      </c>
      <c r="H70" s="21" t="n">
        <f aca="false">G70*(1+g_pk_tail)</f>
        <v>9.7524</v>
      </c>
      <c r="J70" s="8" t="s">
        <v>650</v>
      </c>
    </row>
    <row r="71" customFormat="false" ht="15" hidden="false" customHeight="false" outlineLevel="0" collapsed="false">
      <c r="A71" s="5" t="s">
        <v>651</v>
      </c>
      <c r="B71" s="0" t="s">
        <v>219</v>
      </c>
      <c r="C71" s="24" t="n">
        <f aca="false">eqtA_25</f>
        <v>134.689359843138</v>
      </c>
      <c r="D71" s="24" t="n">
        <f aca="false">eqtA_26</f>
        <v>178.157050570127</v>
      </c>
      <c r="E71" s="24" t="n">
        <f aca="false">eqtA_27</f>
        <v>218.225535760082</v>
      </c>
      <c r="F71" s="24" t="n">
        <f aca="false">eqtA_28</f>
        <v>246.028626308958</v>
      </c>
      <c r="G71" s="24" t="n">
        <f aca="false">eqtA_29</f>
        <v>260.655685855226</v>
      </c>
      <c r="H71" s="24" t="n">
        <f aca="false">G71*(1+g_pk_tail)</f>
        <v>273.688470147987</v>
      </c>
      <c r="J71" s="5" t="s">
        <v>652</v>
      </c>
    </row>
    <row r="72" customFormat="false" ht="17.15" hidden="false" customHeight="false" outlineLevel="0" collapsed="false">
      <c r="A72" s="1" t="s">
        <v>653</v>
      </c>
    </row>
    <row r="73" customFormat="false" ht="17.15" hidden="false" customHeight="false" outlineLevel="0" collapsed="false">
      <c r="A73" s="0" t="s">
        <v>654</v>
      </c>
      <c r="B73" s="0" t="s">
        <v>655</v>
      </c>
      <c r="C73" s="24" t="n">
        <f aca="false">ai_25*w_hbm/(0.75*C67+0.25*D67)</f>
        <v>121.417244328233</v>
      </c>
      <c r="J73" s="5" t="s">
        <v>656</v>
      </c>
    </row>
    <row r="74" customFormat="false" ht="17.15" hidden="false" customHeight="false" outlineLevel="0" collapsed="false">
      <c r="A74" s="0" t="s">
        <v>657</v>
      </c>
      <c r="B74" s="0" t="s">
        <v>658</v>
      </c>
      <c r="C74" s="25" t="n">
        <f aca="false">ai_25*(1-w_hbm)/(0.75*C69+0.25*D69)</f>
        <v>0.0076513155174377</v>
      </c>
    </row>
    <row r="75" customFormat="false" ht="17.15" hidden="false" customHeight="false" outlineLevel="0" collapsed="false">
      <c r="A75" s="1" t="s">
        <v>659</v>
      </c>
    </row>
    <row r="76" customFormat="false" ht="17.15" hidden="false" customHeight="false" outlineLevel="0" collapsed="false">
      <c r="A76" s="0" t="s">
        <v>660</v>
      </c>
      <c r="B76" s="0" t="s">
        <v>198</v>
      </c>
      <c r="C76" s="20" t="n">
        <f aca="false">1-shl_A/sh*0</f>
        <v>1</v>
      </c>
      <c r="D76" s="20" t="n">
        <f aca="false">1-shl_A/sh*0.25</f>
        <v>1</v>
      </c>
      <c r="E76" s="20" t="n">
        <f aca="false">1-shl_A/sh*0.5</f>
        <v>1</v>
      </c>
      <c r="F76" s="20" t="n">
        <f aca="false">1-shl_A/sh*0.75</f>
        <v>1</v>
      </c>
      <c r="G76" s="20" t="n">
        <f aca="false">1-shl_A/sh*1</f>
        <v>1</v>
      </c>
      <c r="J76" s="5" t="s">
        <v>661</v>
      </c>
    </row>
    <row r="77" customFormat="false" ht="17.15" hidden="false" customHeight="false" outlineLevel="0" collapsed="false">
      <c r="A77" s="0" t="s">
        <v>662</v>
      </c>
      <c r="B77" s="0" t="s">
        <v>34</v>
      </c>
      <c r="C77" s="19" t="n">
        <f aca="false">$C$73*(0.75*C67+0.25*D67)*C76</f>
        <v>5</v>
      </c>
      <c r="D77" s="19" t="n">
        <f aca="false">$C$73*(0.75*D67+0.25*E67)*D76</f>
        <v>5.85477659596275</v>
      </c>
      <c r="E77" s="19" t="n">
        <f aca="false">$C$73*(0.75*E67+0.25*F67)*E76</f>
        <v>5.42484277351964</v>
      </c>
      <c r="F77" s="19" t="n">
        <f aca="false">$C$73*(0.75*F67+0.25*G67)*F76</f>
        <v>5.59938454589345</v>
      </c>
      <c r="G77" s="19" t="n">
        <f aca="false">$C$73*(0.75*G67+0.25*H67)*G76</f>
        <v>5.07862914343112</v>
      </c>
    </row>
    <row r="78" customFormat="false" ht="17.15" hidden="false" customHeight="false" outlineLevel="0" collapsed="false">
      <c r="A78" s="0" t="s">
        <v>663</v>
      </c>
      <c r="B78" s="0" t="s">
        <v>34</v>
      </c>
      <c r="C78" s="19" t="n">
        <f aca="false">$C$74*(0.75*C69+0.25*D69)*C76</f>
        <v>5</v>
      </c>
      <c r="D78" s="19" t="n">
        <f aca="false">$C$74*(0.75*D69+0.25*E69)*D76</f>
        <v>7.71132802925642</v>
      </c>
      <c r="E78" s="19" t="n">
        <f aca="false">$C$74*(0.75*E69+0.25*F69)*E76</f>
        <v>5.46142533008358</v>
      </c>
      <c r="F78" s="19" t="n">
        <f aca="false">$C$74*(0.75*F69+0.25*G69)*F76</f>
        <v>4.91291310951257</v>
      </c>
      <c r="G78" s="19" t="n">
        <f aca="false">$C$74*(0.75*G69+0.25*H69)*G76</f>
        <v>4.72646096843851</v>
      </c>
    </row>
    <row r="79" customFormat="false" ht="17.15" hidden="false" customHeight="false" outlineLevel="0" collapsed="false">
      <c r="A79" s="5" t="s">
        <v>664</v>
      </c>
      <c r="B79" s="0" t="s">
        <v>34</v>
      </c>
      <c r="C79" s="19" t="n">
        <f aca="false">(seg_mold-ai_25)*(0.75*C70+0.25*D70)/(0.75*C70+0.25*D70)</f>
        <v>26.46</v>
      </c>
      <c r="D79" s="19" t="n">
        <f aca="false">(seg_mold-ai_25)*(0.75*D70+0.25*E70)/(0.75*C70+0.25*D70)</f>
        <v>29.2617902872793</v>
      </c>
      <c r="E79" s="19" t="n">
        <f aca="false">(seg_mold-ai_25)*(0.75*E70+0.25*F70)/(0.75*C70+0.25*D70)</f>
        <v>33.1522277881438</v>
      </c>
      <c r="F79" s="19" t="n">
        <f aca="false">(seg_mold-ai_25)*(0.75*F70+0.25*G70)/(0.75*C70+0.25*D70)</f>
        <v>37.0786793843283</v>
      </c>
      <c r="G79" s="19" t="n">
        <f aca="false">(seg_mold-ai_25)*(0.75*G70+0.25*H70)/(0.75*C70+0.25*D70)</f>
        <v>39.7505253987873</v>
      </c>
      <c r="J79" s="8" t="s">
        <v>665</v>
      </c>
    </row>
    <row r="80" customFormat="false" ht="15" hidden="false" customHeight="false" outlineLevel="0" collapsed="false">
      <c r="A80" s="5" t="s">
        <v>666</v>
      </c>
      <c r="B80" s="0" t="s">
        <v>34</v>
      </c>
      <c r="C80" s="19" t="n">
        <f aca="false">seg_osemi*(0.75*C71+0.25*D71)/(0.75*C71+0.25*D71)</f>
        <v>3.93</v>
      </c>
      <c r="D80" s="19" t="n">
        <f aca="false">seg_osemi*(0.75*D71+0.25*E71)/(0.75*C71+0.25*D71)</f>
        <v>5.08067726525852</v>
      </c>
      <c r="E80" s="19" t="n">
        <f aca="false">seg_osemi*(0.75*E71+0.25*F71)/(0.75*C71+0.25*D71)</f>
        <v>6.0797299618455</v>
      </c>
      <c r="F80" s="19" t="n">
        <f aca="false">seg_osemi*(0.75*F71+0.25*G71)/(0.75*C71+0.25*D71)</f>
        <v>6.74147189236335</v>
      </c>
      <c r="G80" s="19" t="n">
        <f aca="false">seg_osemi*(0.75*G71+0.25*H71)/(0.75*C71+0.25*D71)</f>
        <v>7.12563922344852</v>
      </c>
      <c r="J80" s="5" t="s">
        <v>667</v>
      </c>
    </row>
    <row r="81" customFormat="false" ht="17.15" hidden="false" customHeight="false" outlineLevel="0" collapsed="false">
      <c r="A81" s="5" t="s">
        <v>668</v>
      </c>
      <c r="B81" s="0" t="s">
        <v>34</v>
      </c>
      <c r="C81" s="19" t="n">
        <f aca="false">seg_new</f>
        <v>9.47</v>
      </c>
      <c r="D81" s="19" t="n">
        <f aca="false">C81*(1+g_tss)</f>
        <v>9.7541</v>
      </c>
      <c r="E81" s="19" t="n">
        <f aca="false">D81*(1+g_tss)</f>
        <v>10.046723</v>
      </c>
      <c r="F81" s="19" t="n">
        <f aca="false">E81*(1+g_tss)</f>
        <v>10.34812469</v>
      </c>
      <c r="G81" s="19" t="n">
        <f aca="false">F81*(1+g_tss)</f>
        <v>10.6585684307</v>
      </c>
    </row>
    <row r="82" customFormat="false" ht="15" hidden="false" customHeight="false" outlineLevel="0" collapsed="false">
      <c r="A82" s="5" t="s">
        <v>669</v>
      </c>
      <c r="B82" s="0" t="s">
        <v>34</v>
      </c>
      <c r="C82" s="19" t="n">
        <f aca="false">seg_med</f>
        <v>2.48</v>
      </c>
      <c r="D82" s="19" t="n">
        <f aca="false">C82*(1+g_med)</f>
        <v>2.5544</v>
      </c>
      <c r="E82" s="19" t="n">
        <f aca="false">D82*(1+g_med)</f>
        <v>2.631032</v>
      </c>
      <c r="F82" s="19" t="n">
        <f aca="false">E82*(1+g_med)</f>
        <v>2.70996296</v>
      </c>
      <c r="G82" s="19" t="n">
        <f aca="false">F82*(1+g_med)</f>
        <v>2.7912618488</v>
      </c>
    </row>
    <row r="83" customFormat="false" ht="15" hidden="false" customHeight="false" outlineLevel="0" collapsed="false">
      <c r="A83" s="5" t="s">
        <v>670</v>
      </c>
      <c r="B83" s="0" t="s">
        <v>34</v>
      </c>
      <c r="C83" s="19" t="n">
        <f aca="false">seg_las*(0.75*C71+0.25*D71)/(0.75*C71+0.25*D71)</f>
        <v>2</v>
      </c>
      <c r="D83" s="19" t="n">
        <f aca="false">seg_las*(0.75*D71+0.25*E71)/(0.75*C71+0.25*D71)</f>
        <v>2.5855863945336</v>
      </c>
      <c r="E83" s="19" t="n">
        <f aca="false">seg_las*(0.75*E71+0.25*F71)/(0.75*C71+0.25*D71)</f>
        <v>3.0940101587</v>
      </c>
      <c r="F83" s="19" t="n">
        <f aca="false">seg_las*(0.75*F71+0.25*G71)/(0.75*C71+0.25*D71)</f>
        <v>3.43077449993046</v>
      </c>
      <c r="G83" s="19" t="n">
        <f aca="false">seg_las*(0.75*G71+0.25*H71)/(0.75*C71+0.25*D71)</f>
        <v>3.62627950302724</v>
      </c>
      <c r="J83" s="5" t="s">
        <v>667</v>
      </c>
    </row>
    <row r="84" customFormat="false" ht="15" hidden="false" customHeight="false" outlineLevel="0" collapsed="false">
      <c r="A84" s="5" t="s">
        <v>671</v>
      </c>
      <c r="B84" s="0" t="s">
        <v>34</v>
      </c>
      <c r="C84" s="19" t="n">
        <f aca="false">C77+C78+C79+C80+C81+C82+C83+seg_adj</f>
        <v>54.365</v>
      </c>
      <c r="D84" s="19" t="n">
        <f aca="false">D77+D78+D79+D80+D81+D82+D83</f>
        <v>62.8026585722905</v>
      </c>
      <c r="E84" s="19" t="n">
        <f aca="false">E77+E78+E79+E80+E81+E82+E83</f>
        <v>65.8899910122925</v>
      </c>
      <c r="F84" s="19" t="n">
        <f aca="false">F77+F78+F79+F80+F81+F82+F83</f>
        <v>70.8213110820282</v>
      </c>
      <c r="G84" s="19" t="n">
        <f aca="false">G77+G78+G79+G80+G81+G82+G83</f>
        <v>73.7573645166327</v>
      </c>
    </row>
    <row r="85" customFormat="false" ht="17.15" hidden="false" customHeight="false" outlineLevel="0" collapsed="false">
      <c r="A85" s="1" t="s">
        <v>672</v>
      </c>
    </row>
    <row r="86" customFormat="false" ht="17.15" hidden="false" customHeight="false" outlineLevel="0" collapsed="false">
      <c r="A86" s="0" t="s">
        <v>673</v>
      </c>
      <c r="B86" s="0" t="s">
        <v>34</v>
      </c>
      <c r="D86" s="19" t="n">
        <f aca="false">g26_rev*(1+g_anc)</f>
        <v>64</v>
      </c>
    </row>
    <row r="87" customFormat="false" ht="17.15" hidden="false" customHeight="false" outlineLevel="0" collapsed="false">
      <c r="A87" s="0" t="s">
        <v>674</v>
      </c>
      <c r="B87" s="0" t="s">
        <v>34</v>
      </c>
      <c r="D87" s="19" t="n">
        <f aca="false">D86*g26_oi/g26_rev</f>
        <v>10.24</v>
      </c>
    </row>
    <row r="88" customFormat="false" ht="17.15" hidden="false" customHeight="false" outlineLevel="0" collapsed="false">
      <c r="A88" s="0" t="s">
        <v>675</v>
      </c>
      <c r="B88" s="0" t="s">
        <v>34</v>
      </c>
      <c r="D88" s="19" t="n">
        <f aca="false">D87*g26_ni/g26_oi</f>
        <v>7</v>
      </c>
    </row>
    <row r="89" customFormat="false" ht="17.15" hidden="false" customHeight="false" outlineLevel="0" collapsed="false">
      <c r="A89" s="5" t="s">
        <v>676</v>
      </c>
      <c r="B89" s="0" t="s">
        <v>198</v>
      </c>
      <c r="D89" s="20" t="n">
        <f aca="false">D86/D84</f>
        <v>1.01906513919839</v>
      </c>
      <c r="J89" s="8" t="s">
        <v>677</v>
      </c>
    </row>
    <row r="90" customFormat="false" ht="17.15" hidden="false" customHeight="false" outlineLevel="0" collapsed="false">
      <c r="A90" s="5" t="s">
        <v>678</v>
      </c>
      <c r="B90" s="0" t="s">
        <v>198</v>
      </c>
      <c r="D90" s="20" t="n">
        <f aca="false">1+1*(D89-1)</f>
        <v>1.01906513919839</v>
      </c>
      <c r="J90" s="8" t="s">
        <v>679</v>
      </c>
    </row>
    <row r="91" customFormat="false" ht="17.15" hidden="false" customHeight="false" outlineLevel="0" collapsed="false">
      <c r="A91" s="1" t="s">
        <v>680</v>
      </c>
    </row>
    <row r="92" customFormat="false" ht="17.15" hidden="false" customHeight="false" outlineLevel="0" collapsed="false">
      <c r="A92" s="0" t="s">
        <v>681</v>
      </c>
      <c r="B92" s="0" t="s">
        <v>34</v>
      </c>
      <c r="C92" s="19" t="n">
        <f aca="false">C77*1</f>
        <v>5</v>
      </c>
      <c r="D92" s="19" t="n">
        <f aca="false">D77*$D$89</f>
        <v>5.96639872674023</v>
      </c>
      <c r="E92" s="19" t="n">
        <f aca="false">E77*1</f>
        <v>5.42484277351964</v>
      </c>
      <c r="F92" s="19" t="n">
        <f aca="false">F77*1</f>
        <v>5.59938454589345</v>
      </c>
      <c r="G92" s="19" t="n">
        <f aca="false">G77*1</f>
        <v>5.07862914343112</v>
      </c>
    </row>
    <row r="93" customFormat="false" ht="17.15" hidden="false" customHeight="false" outlineLevel="0" collapsed="false">
      <c r="A93" s="0" t="s">
        <v>682</v>
      </c>
      <c r="B93" s="0" t="s">
        <v>34</v>
      </c>
      <c r="C93" s="19" t="n">
        <f aca="false">C78*1</f>
        <v>5</v>
      </c>
      <c r="D93" s="19" t="n">
        <f aca="false">D78*$D$89</f>
        <v>7.85834557153861</v>
      </c>
      <c r="E93" s="19" t="n">
        <f aca="false">E78*1</f>
        <v>5.46142533008358</v>
      </c>
      <c r="F93" s="19" t="n">
        <f aca="false">F78*1</f>
        <v>4.91291310951257</v>
      </c>
      <c r="G93" s="19" t="n">
        <f aca="false">G78*1</f>
        <v>4.72646096843851</v>
      </c>
    </row>
    <row r="94" customFormat="false" ht="17.15" hidden="false" customHeight="false" outlineLevel="0" collapsed="false">
      <c r="A94" s="5" t="s">
        <v>683</v>
      </c>
      <c r="B94" s="0" t="s">
        <v>34</v>
      </c>
      <c r="C94" s="19" t="n">
        <f aca="false">C79*1</f>
        <v>26.46</v>
      </c>
      <c r="D94" s="19" t="n">
        <f aca="false">D79*$D$89</f>
        <v>29.8196703923002</v>
      </c>
      <c r="E94" s="19" t="n">
        <f aca="false">E79*$D$90</f>
        <v>33.7842796256614</v>
      </c>
      <c r="F94" s="19" t="n">
        <f aca="false">F79*$D$90</f>
        <v>37.7855895680829</v>
      </c>
      <c r="G94" s="19" t="n">
        <f aca="false">G79*$D$90</f>
        <v>40.5083746987242</v>
      </c>
    </row>
    <row r="95" customFormat="false" ht="15" hidden="false" customHeight="false" outlineLevel="0" collapsed="false">
      <c r="A95" s="5" t="s">
        <v>684</v>
      </c>
      <c r="B95" s="0" t="s">
        <v>34</v>
      </c>
      <c r="C95" s="19" t="n">
        <f aca="false">C80*1</f>
        <v>3.93</v>
      </c>
      <c r="D95" s="19" t="n">
        <f aca="false">D80*$D$89</f>
        <v>5.17754108454275</v>
      </c>
      <c r="E95" s="19" t="n">
        <f aca="false">E80*$D$90</f>
        <v>6.19564085985668</v>
      </c>
      <c r="F95" s="19" t="n">
        <f aca="false">F80*$D$90</f>
        <v>6.86999899239327</v>
      </c>
      <c r="G95" s="19" t="n">
        <f aca="false">G80*$D$90</f>
        <v>7.26149052712105</v>
      </c>
    </row>
    <row r="96" customFormat="false" ht="17.15" hidden="false" customHeight="false" outlineLevel="0" collapsed="false">
      <c r="A96" s="5" t="s">
        <v>685</v>
      </c>
      <c r="B96" s="0" t="s">
        <v>34</v>
      </c>
      <c r="C96" s="19" t="n">
        <f aca="false">C81*1</f>
        <v>9.47</v>
      </c>
      <c r="D96" s="19" t="n">
        <f aca="false">D81*$D$89</f>
        <v>9.94006327425498</v>
      </c>
      <c r="E96" s="19" t="n">
        <f aca="false">E81*$D$90</f>
        <v>10.2382651724826</v>
      </c>
      <c r="F96" s="19" t="n">
        <f aca="false">F81*$D$90</f>
        <v>10.5454131276571</v>
      </c>
      <c r="G96" s="19" t="n">
        <f aca="false">G81*$D$90</f>
        <v>10.8617755214868</v>
      </c>
    </row>
    <row r="97" customFormat="false" ht="15" hidden="false" customHeight="false" outlineLevel="0" collapsed="false">
      <c r="A97" s="5" t="s">
        <v>686</v>
      </c>
      <c r="B97" s="0" t="s">
        <v>34</v>
      </c>
      <c r="C97" s="19" t="n">
        <f aca="false">C82*1</f>
        <v>2.48</v>
      </c>
      <c r="D97" s="19" t="n">
        <f aca="false">D82*$D$89</f>
        <v>2.60309999156836</v>
      </c>
      <c r="E97" s="19" t="n">
        <f aca="false">E82*$D$90</f>
        <v>2.68119299131541</v>
      </c>
      <c r="F97" s="19" t="n">
        <f aca="false">F82*$D$90</f>
        <v>2.76162878105487</v>
      </c>
      <c r="G97" s="19" t="n">
        <f aca="false">G82*$D$90</f>
        <v>2.84447764448652</v>
      </c>
    </row>
    <row r="98" customFormat="false" ht="15" hidden="false" customHeight="false" outlineLevel="0" collapsed="false">
      <c r="A98" s="5" t="s">
        <v>687</v>
      </c>
      <c r="B98" s="0" t="s">
        <v>34</v>
      </c>
      <c r="C98" s="19" t="n">
        <f aca="false">C83*1</f>
        <v>2</v>
      </c>
      <c r="D98" s="19" t="n">
        <f aca="false">D83*$D$89</f>
        <v>2.63488095905483</v>
      </c>
      <c r="E98" s="19" t="n">
        <f aca="false">E83*$D$90</f>
        <v>3.15299789305684</v>
      </c>
      <c r="F98" s="19" t="n">
        <f aca="false">F83*$D$90</f>
        <v>3.49618269332991</v>
      </c>
      <c r="G98" s="19" t="n">
        <f aca="false">G83*$D$90</f>
        <v>3.6954150265247</v>
      </c>
    </row>
    <row r="99" customFormat="false" ht="17.15" hidden="false" customHeight="false" outlineLevel="0" collapsed="false">
      <c r="A99" s="0" t="s">
        <v>688</v>
      </c>
      <c r="B99" s="0" t="s">
        <v>34</v>
      </c>
      <c r="C99" s="19" t="n">
        <f aca="false">C92+C93</f>
        <v>10</v>
      </c>
      <c r="D99" s="19" t="n">
        <f aca="false">D92+D93</f>
        <v>13.8247442982788</v>
      </c>
      <c r="E99" s="19" t="n">
        <f aca="false">E92+E93</f>
        <v>10.8862681036032</v>
      </c>
      <c r="F99" s="19" t="n">
        <f aca="false">F92+F93</f>
        <v>10.512297655406</v>
      </c>
      <c r="G99" s="19" t="n">
        <f aca="false">G92+G93</f>
        <v>9.80509011186963</v>
      </c>
    </row>
    <row r="100" customFormat="false" ht="17.15" hidden="false" customHeight="false" outlineLevel="0" collapsed="false">
      <c r="A100" s="5" t="s">
        <v>689</v>
      </c>
      <c r="B100" s="0" t="s">
        <v>34</v>
      </c>
      <c r="C100" s="19" t="n">
        <f aca="false">C99+C94+C95</f>
        <v>40.39</v>
      </c>
      <c r="D100" s="19" t="n">
        <f aca="false">D99+D94+D95</f>
        <v>48.8219557751218</v>
      </c>
      <c r="E100" s="19" t="n">
        <f aca="false">E99+E94+E95</f>
        <v>50.8661885891213</v>
      </c>
      <c r="F100" s="19" t="n">
        <f aca="false">F99+F94+F95</f>
        <v>55.1678862158822</v>
      </c>
      <c r="G100" s="19" t="n">
        <f aca="false">G99+G94+G95</f>
        <v>57.5749553377149</v>
      </c>
      <c r="J100" s="5" t="s">
        <v>690</v>
      </c>
    </row>
    <row r="101" customFormat="false" ht="17.15" hidden="false" customHeight="false" outlineLevel="0" collapsed="false">
      <c r="A101" s="5" t="s">
        <v>541</v>
      </c>
      <c r="B101" s="0" t="s">
        <v>34</v>
      </c>
      <c r="C101" s="19" t="n">
        <f aca="false">C100+C96+C97+C98+seg_adj</f>
        <v>54.365</v>
      </c>
      <c r="D101" s="19" t="n">
        <f aca="false">D100+D96+D97+D98</f>
        <v>64</v>
      </c>
      <c r="E101" s="19" t="n">
        <f aca="false">E100+E96+E97+E98</f>
        <v>66.9386446459761</v>
      </c>
      <c r="F101" s="19" t="n">
        <f aca="false">F100+F96+F97+F98</f>
        <v>71.9711108179241</v>
      </c>
      <c r="G101" s="19" t="n">
        <f aca="false">G100+G96+G97+G98</f>
        <v>74.9766235302129</v>
      </c>
      <c r="J101" s="8" t="s">
        <v>691</v>
      </c>
    </row>
    <row r="102" customFormat="false" ht="17.15" hidden="false" customHeight="false" outlineLevel="0" collapsed="false">
      <c r="A102" s="5" t="s">
        <v>692</v>
      </c>
      <c r="B102" s="0" t="s">
        <v>34</v>
      </c>
      <c r="C102" s="20" t="n">
        <f aca="false">C100+C96+C97+C98-a25_rev</f>
        <v>-0.0249999999999986</v>
      </c>
    </row>
    <row r="103" customFormat="false" ht="17.15" hidden="false" customHeight="false" outlineLevel="0" collapsed="false">
      <c r="A103" s="0" t="s">
        <v>621</v>
      </c>
      <c r="B103" s="0" t="s">
        <v>94</v>
      </c>
      <c r="C103" s="11" t="n">
        <f aca="false">C99/C101</f>
        <v>0.1839418743677</v>
      </c>
      <c r="D103" s="11" t="n">
        <f aca="false">D99/D101</f>
        <v>0.216011629660607</v>
      </c>
      <c r="E103" s="11" t="n">
        <f aca="false">E99/E101</f>
        <v>0.162630542658554</v>
      </c>
      <c r="F103" s="11" t="n">
        <f aca="false">F99/F101</f>
        <v>0.146062740118053</v>
      </c>
      <c r="G103" s="11" t="n">
        <f aca="false">G99/G101</f>
        <v>0.130775295688242</v>
      </c>
    </row>
    <row r="104" customFormat="false" ht="17.15" hidden="false" customHeight="false" outlineLevel="0" collapsed="false">
      <c r="A104" s="5" t="s">
        <v>545</v>
      </c>
      <c r="B104" s="0" t="s">
        <v>34</v>
      </c>
      <c r="C104" s="19" t="n">
        <f aca="false">a25_oi</f>
        <v>6.917</v>
      </c>
      <c r="D104" s="19" t="n">
        <f aca="false">D87</f>
        <v>10.24</v>
      </c>
      <c r="E104" s="19" t="n">
        <f aca="false">$D104+(im+ima_A)*(E101-$D101)</f>
        <v>11.1201861525469</v>
      </c>
      <c r="F104" s="19" t="n">
        <f aca="false">$D104+(im+ima_A)*(F101-$D101)</f>
        <v>12.6275160856761</v>
      </c>
      <c r="G104" s="19" t="n">
        <f aca="false">$D104+(im+ima_A)*(G101-$D101)</f>
        <v>13.5277306367219</v>
      </c>
      <c r="J104" s="8" t="s">
        <v>693</v>
      </c>
    </row>
    <row r="105" customFormat="false" ht="15" hidden="false" customHeight="false" outlineLevel="0" collapsed="false">
      <c r="A105" s="5" t="s">
        <v>694</v>
      </c>
      <c r="B105" s="0" t="s">
        <v>94</v>
      </c>
      <c r="C105" s="11" t="n">
        <f aca="false">C104/C101</f>
        <v>0.127232594500138</v>
      </c>
      <c r="D105" s="11" t="n">
        <f aca="false">D104/D101</f>
        <v>0.16</v>
      </c>
      <c r="E105" s="11" t="n">
        <f aca="false">E104/E101</f>
        <v>0.166125056928762</v>
      </c>
      <c r="F105" s="11" t="n">
        <f aca="false">F104/F101</f>
        <v>0.175452566205651</v>
      </c>
      <c r="G105" s="11" t="n">
        <f aca="false">G104/G101</f>
        <v>0.180425978121977</v>
      </c>
    </row>
    <row r="106" customFormat="false" ht="15" hidden="false" customHeight="false" outlineLevel="0" collapsed="false">
      <c r="A106" s="5" t="s">
        <v>548</v>
      </c>
      <c r="B106" s="0" t="s">
        <v>34</v>
      </c>
      <c r="C106" s="19" t="n">
        <f aca="false">a25_ni</f>
        <v>4.593</v>
      </c>
      <c r="D106" s="19" t="n">
        <f aca="false">D88</f>
        <v>7</v>
      </c>
      <c r="E106" s="19" t="n">
        <f aca="false">E104*nioi</f>
        <v>7.60168975271764</v>
      </c>
      <c r="F106" s="19" t="n">
        <f aca="false">F104*nioi</f>
        <v>8.63209107419265</v>
      </c>
      <c r="G106" s="19" t="n">
        <f aca="false">G104*nioi</f>
        <v>9.24747211494659</v>
      </c>
    </row>
    <row r="107" customFormat="false" ht="15" hidden="false" customHeight="false" outlineLevel="0" collapsed="false">
      <c r="A107" s="0" t="s">
        <v>622</v>
      </c>
      <c r="B107" s="0" t="s">
        <v>52</v>
      </c>
      <c r="C107" s="22" t="n">
        <f aca="false">a25_eps</f>
        <v>61.22</v>
      </c>
      <c r="D107" s="22" t="n">
        <f aca="false">D106*1000/shares</f>
        <v>93.2961492201002</v>
      </c>
      <c r="E107" s="22" t="n">
        <f aca="false">E106*1000/shares</f>
        <v>101.315483070636</v>
      </c>
      <c r="F107" s="22" t="n">
        <f aca="false">F106*1000/shares</f>
        <v>115.048693848482</v>
      </c>
      <c r="G107" s="22" t="n">
        <f aca="false">G106*1000/shares</f>
        <v>123.250505477825</v>
      </c>
    </row>
    <row r="108" customFormat="false" ht="17.15" hidden="false" customHeight="false" outlineLevel="0" collapsed="false">
      <c r="A108" s="5" t="s">
        <v>695</v>
      </c>
      <c r="B108" s="0" t="s">
        <v>34</v>
      </c>
      <c r="C108" s="20" t="n">
        <f aca="false">ABS(C101-a25_rev)+ABS(C104-a25_oi)+ABS(D101-D86)</f>
        <v>0</v>
      </c>
    </row>
    <row r="111" customFormat="false" ht="17.15" hidden="false" customHeight="false" outlineLevel="0" collapsed="false">
      <c r="A111" s="3" t="s">
        <v>696</v>
      </c>
    </row>
    <row r="112" customFormat="false" ht="17.15" hidden="false" customHeight="false" outlineLevel="0" collapsed="false">
      <c r="A112" s="6" t="s">
        <v>23</v>
      </c>
      <c r="B112" s="6" t="s">
        <v>24</v>
      </c>
      <c r="C112" s="15" t="s">
        <v>628</v>
      </c>
      <c r="D112" s="15" t="s">
        <v>629</v>
      </c>
      <c r="E112" s="15" t="s">
        <v>630</v>
      </c>
      <c r="F112" s="15" t="s">
        <v>631</v>
      </c>
      <c r="G112" s="15" t="s">
        <v>632</v>
      </c>
      <c r="H112" s="15" t="s">
        <v>633</v>
      </c>
      <c r="I112" s="15" t="s">
        <v>634</v>
      </c>
      <c r="J112" s="6" t="s">
        <v>468</v>
      </c>
    </row>
    <row r="113" customFormat="false" ht="17.15" hidden="false" customHeight="false" outlineLevel="0" collapsed="false">
      <c r="A113" s="1" t="s">
        <v>635</v>
      </c>
    </row>
    <row r="114" customFormat="false" ht="17.15" hidden="false" customHeight="false" outlineLevel="0" collapsed="false">
      <c r="A114" s="0" t="s">
        <v>636</v>
      </c>
      <c r="B114" s="0" t="s">
        <v>111</v>
      </c>
      <c r="C114" s="21" t="n">
        <f aca="false">hsB_25</f>
        <v>2.22511470588235</v>
      </c>
      <c r="D114" s="21" t="n">
        <f aca="false">hsB_26</f>
        <v>3.782695</v>
      </c>
      <c r="E114" s="21" t="n">
        <f aca="false">hsB_27</f>
        <v>5.86317725</v>
      </c>
      <c r="F114" s="21" t="n">
        <f aca="false">hsB_28</f>
        <v>8.22296</v>
      </c>
      <c r="G114" s="21" t="n">
        <f aca="false">hsB_29</f>
        <v>11.3579635</v>
      </c>
      <c r="J114" s="8" t="s">
        <v>637</v>
      </c>
    </row>
    <row r="115" customFormat="false" ht="17.15" hidden="false" customHeight="false" outlineLevel="0" collapsed="false">
      <c r="A115" s="0" t="s">
        <v>638</v>
      </c>
      <c r="B115" s="0" t="s">
        <v>639</v>
      </c>
      <c r="C115" s="21" t="n">
        <f aca="false">den_25</f>
        <v>24</v>
      </c>
      <c r="D115" s="21" t="n">
        <f aca="false">den_26</f>
        <v>24</v>
      </c>
      <c r="E115" s="21" t="n">
        <f aca="false">den_27</f>
        <v>26</v>
      </c>
      <c r="F115" s="21" t="n">
        <f aca="false">den_28</f>
        <v>28</v>
      </c>
      <c r="G115" s="21" t="n">
        <f aca="false">den_29</f>
        <v>30</v>
      </c>
    </row>
    <row r="116" customFormat="false" ht="15" hidden="false" customHeight="false" outlineLevel="0" collapsed="false">
      <c r="A116" s="5" t="s">
        <v>640</v>
      </c>
      <c r="B116" s="5" t="s">
        <v>160</v>
      </c>
      <c r="C116" s="21" t="n">
        <f aca="false">stk_25</f>
        <v>10</v>
      </c>
      <c r="D116" s="21" t="n">
        <f aca="false">stk_26</f>
        <v>12</v>
      </c>
      <c r="E116" s="21" t="n">
        <f aca="false">stk_27</f>
        <v>12.5</v>
      </c>
      <c r="F116" s="21" t="n">
        <f aca="false">stk_28</f>
        <v>14</v>
      </c>
      <c r="G116" s="21" t="n">
        <f aca="false">stk_29</f>
        <v>15</v>
      </c>
    </row>
    <row r="117" customFormat="false" ht="17.15" hidden="false" customHeight="false" outlineLevel="0" collapsed="false">
      <c r="A117" s="0" t="s">
        <v>641</v>
      </c>
      <c r="B117" s="5" t="s">
        <v>642</v>
      </c>
      <c r="C117" s="23" t="n">
        <f aca="false">C114*8/(C115*C116)</f>
        <v>0.0741704901960783</v>
      </c>
      <c r="D117" s="23" t="n">
        <f aca="false">D114*8/(D115*D116)</f>
        <v>0.105074861111111</v>
      </c>
      <c r="E117" s="23" t="n">
        <f aca="false">E114*8/(E115*E116)</f>
        <v>0.144324363076923</v>
      </c>
      <c r="F117" s="23" t="n">
        <f aca="false">F114*8/(F115*F116)</f>
        <v>0.167815510204082</v>
      </c>
      <c r="G117" s="23" t="n">
        <f aca="false">G114*8/(G115*G116)</f>
        <v>0.201919351111111</v>
      </c>
      <c r="H117" s="23" t="n">
        <f aca="false">G117*(1+g_tail)</f>
        <v>0.222111286222222</v>
      </c>
      <c r="I117" s="23" t="n">
        <f aca="false">H117*(1+g_tail)</f>
        <v>0.244322414844445</v>
      </c>
      <c r="J117" s="8" t="s">
        <v>643</v>
      </c>
    </row>
    <row r="118" customFormat="false" ht="17.15" hidden="false" customHeight="false" outlineLevel="0" collapsed="false">
      <c r="A118" s="0" t="s">
        <v>644</v>
      </c>
      <c r="B118" s="5" t="s">
        <v>642</v>
      </c>
      <c r="C118" s="23" t="n">
        <f aca="false">MAX(0,D117-C117)+dlt*C117</f>
        <v>0.0383214199346406</v>
      </c>
      <c r="D118" s="23" t="n">
        <f aca="false">MAX(0,E117-D117)+dlt*D117</f>
        <v>0.0497569880769231</v>
      </c>
      <c r="E118" s="23" t="n">
        <f aca="false">MAX(0,F117-E117)+dlt*E117</f>
        <v>0.0379235834348509</v>
      </c>
      <c r="F118" s="23" t="n">
        <f aca="false">MAX(0,G117-F117)+dlt*F117</f>
        <v>0.0508853919274376</v>
      </c>
      <c r="G118" s="23" t="n">
        <f aca="false">MAX(0,H117-G117)+dlt*G117</f>
        <v>0.0403838702222223</v>
      </c>
      <c r="H118" s="23" t="n">
        <f aca="false">MAX(0,I117-H117)+dlt*H117</f>
        <v>0.0444222572444445</v>
      </c>
      <c r="J118" s="5" t="s">
        <v>645</v>
      </c>
    </row>
    <row r="119" customFormat="false" ht="17.15" hidden="false" customHeight="false" outlineLevel="0" collapsed="false">
      <c r="A119" s="0" t="s">
        <v>646</v>
      </c>
      <c r="B119" s="5" t="s">
        <v>183</v>
      </c>
      <c r="C119" s="14" t="n">
        <f aca="false">cw_25</f>
        <v>670</v>
      </c>
      <c r="D119" s="14" t="n">
        <f aca="false">cw_26</f>
        <v>1107.85762580894</v>
      </c>
      <c r="E119" s="14" t="n">
        <f aca="false">cw_27</f>
        <v>2096.42857142857</v>
      </c>
      <c r="F119" s="14" t="n">
        <f aca="false">cw_28*um28_B</f>
        <v>2096.07142857143</v>
      </c>
      <c r="G119" s="14" t="n">
        <f aca="false">cw_29*um29_B</f>
        <v>2561.32700892857</v>
      </c>
      <c r="H119" s="14" t="n">
        <f aca="false">G119*(1+g_tail)</f>
        <v>2817.45970982143</v>
      </c>
      <c r="I119" s="14" t="n">
        <f aca="false">H119*(1+g_tail)</f>
        <v>3099.20568080357</v>
      </c>
      <c r="J119" s="5" t="s">
        <v>647</v>
      </c>
    </row>
    <row r="120" customFormat="false" ht="17.15" hidden="false" customHeight="false" outlineLevel="0" collapsed="false">
      <c r="A120" s="0" t="s">
        <v>648</v>
      </c>
      <c r="B120" s="5" t="s">
        <v>183</v>
      </c>
      <c r="C120" s="14" t="n">
        <f aca="false">MAX(0,D119-C119)+dlt*C119</f>
        <v>504.85762580894</v>
      </c>
      <c r="D120" s="14" t="n">
        <f aca="false">MAX(0,E119-D119)+dlt*D119</f>
        <v>1099.35670820052</v>
      </c>
      <c r="E120" s="14" t="n">
        <f aca="false">MAX(0,F119-E119)+dlt*E119</f>
        <v>209.642857142857</v>
      </c>
      <c r="F120" s="14" t="n">
        <f aca="false">MAX(0,G119-F119)+dlt*F119</f>
        <v>674.86272321428</v>
      </c>
      <c r="G120" s="14" t="n">
        <f aca="false">MAX(0,H119-G119)+dlt*G119</f>
        <v>512.265401785714</v>
      </c>
      <c r="H120" s="14" t="n">
        <f aca="false">MAX(0,I119-H119)+dlt*H119</f>
        <v>563.491941964285</v>
      </c>
    </row>
    <row r="121" customFormat="false" ht="17.15" hidden="false" customHeight="false" outlineLevel="0" collapsed="false">
      <c r="A121" s="5" t="s">
        <v>649</v>
      </c>
      <c r="B121" s="0" t="s">
        <v>219</v>
      </c>
      <c r="C121" s="21" t="n">
        <f aca="false">pk_25*(eqtB_25-eqaB_25)/(eqtA_25-eqaA_25)</f>
        <v>6.11313868613139</v>
      </c>
      <c r="D121" s="21" t="n">
        <f aca="false">pk_26*(eqtB_26-eqaB_26)/(eqtA_26-eqaA_26)</f>
        <v>6.7</v>
      </c>
      <c r="E121" s="21" t="n">
        <f aca="false">pk_27*(eqtB_27-eqaB_27)/(eqtA_27-eqaA_27)</f>
        <v>7.59078388573934</v>
      </c>
      <c r="F121" s="21" t="n">
        <f aca="false">pk_28*(eqtB_28-eqaB_28)/(eqtA_28-eqaA_28)</f>
        <v>7.69848111314517</v>
      </c>
      <c r="G121" s="21" t="n">
        <f aca="false">pk_29*(eqtB_29-eqaB_29)/(eqtA_29-eqaA_29)</f>
        <v>7.38383003469758</v>
      </c>
      <c r="H121" s="21" t="n">
        <f aca="false">G121*(1+g_pk_tail)</f>
        <v>7.75302153643246</v>
      </c>
      <c r="J121" s="8" t="s">
        <v>650</v>
      </c>
    </row>
    <row r="122" customFormat="false" ht="15" hidden="false" customHeight="false" outlineLevel="0" collapsed="false">
      <c r="A122" s="5" t="s">
        <v>651</v>
      </c>
      <c r="B122" s="0" t="s">
        <v>219</v>
      </c>
      <c r="C122" s="24" t="n">
        <f aca="false">eqtB_25</f>
        <v>134.689359843138</v>
      </c>
      <c r="D122" s="24" t="n">
        <f aca="false">eqtB_26</f>
        <v>178.157050570127</v>
      </c>
      <c r="E122" s="24" t="n">
        <f aca="false">eqtB_27</f>
        <v>218.225535760082</v>
      </c>
      <c r="F122" s="24" t="n">
        <f aca="false">eqtB_28</f>
        <v>218.225535760082</v>
      </c>
      <c r="G122" s="24" t="n">
        <f aca="false">eqtB_29</f>
        <v>207.314258972078</v>
      </c>
      <c r="H122" s="24" t="n">
        <f aca="false">G122*(1+g_pk_tail)</f>
        <v>217.679971920682</v>
      </c>
      <c r="J122" s="5" t="s">
        <v>652</v>
      </c>
    </row>
    <row r="123" customFormat="false" ht="17.15" hidden="false" customHeight="false" outlineLevel="0" collapsed="false">
      <c r="A123" s="1" t="s">
        <v>653</v>
      </c>
    </row>
    <row r="124" customFormat="false" ht="17.15" hidden="false" customHeight="false" outlineLevel="0" collapsed="false">
      <c r="A124" s="0" t="s">
        <v>654</v>
      </c>
      <c r="B124" s="0" t="s">
        <v>655</v>
      </c>
      <c r="C124" s="24" t="n">
        <f aca="false">ai_25*w_hbm/(0.75*C118+0.25*D118)</f>
        <v>121.417244328233</v>
      </c>
      <c r="J124" s="5" t="s">
        <v>656</v>
      </c>
    </row>
    <row r="125" customFormat="false" ht="17.15" hidden="false" customHeight="false" outlineLevel="0" collapsed="false">
      <c r="A125" s="0" t="s">
        <v>657</v>
      </c>
      <c r="B125" s="0" t="s">
        <v>658</v>
      </c>
      <c r="C125" s="25" t="n">
        <f aca="false">ai_25*(1-w_hbm)/(0.75*C120+0.25*D120)</f>
        <v>0.0076513155174377</v>
      </c>
    </row>
    <row r="126" customFormat="false" ht="17.15" hidden="false" customHeight="false" outlineLevel="0" collapsed="false">
      <c r="A126" s="1" t="s">
        <v>659</v>
      </c>
    </row>
    <row r="127" customFormat="false" ht="17.15" hidden="false" customHeight="false" outlineLevel="0" collapsed="false">
      <c r="A127" s="0" t="s">
        <v>660</v>
      </c>
      <c r="B127" s="0" t="s">
        <v>198</v>
      </c>
      <c r="C127" s="20" t="n">
        <f aca="false">1-shl_B/sh*0</f>
        <v>1</v>
      </c>
      <c r="D127" s="20" t="n">
        <f aca="false">1-shl_B/sh*0.25</f>
        <v>0.988425925925926</v>
      </c>
      <c r="E127" s="20" t="n">
        <f aca="false">1-shl_B/sh*0.5</f>
        <v>0.976851851851852</v>
      </c>
      <c r="F127" s="20" t="n">
        <f aca="false">1-shl_B/sh*0.75</f>
        <v>0.965277777777778</v>
      </c>
      <c r="G127" s="20" t="n">
        <f aca="false">1-shl_B/sh*1</f>
        <v>0.953703703703704</v>
      </c>
      <c r="J127" s="5" t="s">
        <v>661</v>
      </c>
    </row>
    <row r="128" customFormat="false" ht="17.15" hidden="false" customHeight="false" outlineLevel="0" collapsed="false">
      <c r="A128" s="0" t="s">
        <v>662</v>
      </c>
      <c r="B128" s="0" t="s">
        <v>34</v>
      </c>
      <c r="C128" s="19" t="n">
        <f aca="false">$C$124*(0.75*C118+0.25*D118)*C127</f>
        <v>5</v>
      </c>
      <c r="D128" s="19" t="n">
        <f aca="false">$C$124*(0.75*D118+0.25*E118)*D127</f>
        <v>5.61639577422701</v>
      </c>
      <c r="E128" s="19" t="n">
        <f aca="false">$C$124*(0.75*E118+0.25*F118)*E127</f>
        <v>4.88232876837032</v>
      </c>
      <c r="F128" s="19" t="n">
        <f aca="false">$C$124*(0.75*F118+0.25*G118)*F127</f>
        <v>5.65613935744857</v>
      </c>
      <c r="G128" s="19" t="n">
        <f aca="false">$C$124*(0.75*G118+0.25*H118)*G127</f>
        <v>4.79320103189121</v>
      </c>
    </row>
    <row r="129" customFormat="false" ht="17.15" hidden="false" customHeight="false" outlineLevel="0" collapsed="false">
      <c r="A129" s="0" t="s">
        <v>663</v>
      </c>
      <c r="B129" s="0" t="s">
        <v>34</v>
      </c>
      <c r="C129" s="19" t="n">
        <f aca="false">$C$125*(0.75*C120+0.25*D120)*C127</f>
        <v>5</v>
      </c>
      <c r="D129" s="19" t="n">
        <f aca="false">$C$125*(0.75*D120+0.25*E120)*D127</f>
        <v>6.63199665156822</v>
      </c>
      <c r="E129" s="19" t="n">
        <f aca="false">$C$125*(0.75*E120+0.25*F120)*E127</f>
        <v>2.43619978824817</v>
      </c>
      <c r="F129" s="19" t="n">
        <f aca="false">$C$125*(0.75*F120+0.25*G120)*F127</f>
        <v>4.68407487225496</v>
      </c>
      <c r="G129" s="19" t="n">
        <f aca="false">$C$125*(0.75*G120+0.25*H120)*G127</f>
        <v>3.83149683135918</v>
      </c>
    </row>
    <row r="130" customFormat="false" ht="17.15" hidden="false" customHeight="false" outlineLevel="0" collapsed="false">
      <c r="A130" s="5" t="s">
        <v>664</v>
      </c>
      <c r="B130" s="0" t="s">
        <v>34</v>
      </c>
      <c r="C130" s="19" t="n">
        <f aca="false">(seg_mold-ai_25)*(0.75*C121+0.25*D121)/(0.75*C121+0.25*D121)</f>
        <v>26.46</v>
      </c>
      <c r="D130" s="19" t="n">
        <f aca="false">(seg_mold-ai_25)*(0.75*D121+0.25*E121)/(0.75*C121+0.25*D121)</f>
        <v>29.2617902872793</v>
      </c>
      <c r="E130" s="19" t="n">
        <f aca="false">(seg_mold-ai_25)*(0.75*E121+0.25*F121)/(0.75*C121+0.25*D121)</f>
        <v>32.1995622111771</v>
      </c>
      <c r="F130" s="19" t="n">
        <f aca="false">(seg_mold-ai_25)*(0.75*F121+0.25*G121)/(0.75*C121+0.25*D121)</f>
        <v>32.2084816833897</v>
      </c>
      <c r="G130" s="19" t="n">
        <f aca="false">(seg_mold-ai_25)*(0.75*G121+0.25*H121)/(0.75*C121+0.25*D121)</f>
        <v>31.6011114701308</v>
      </c>
      <c r="J130" s="8" t="s">
        <v>665</v>
      </c>
    </row>
    <row r="131" customFormat="false" ht="15" hidden="false" customHeight="false" outlineLevel="0" collapsed="false">
      <c r="A131" s="5" t="s">
        <v>666</v>
      </c>
      <c r="B131" s="0" t="s">
        <v>34</v>
      </c>
      <c r="C131" s="19" t="n">
        <f aca="false">seg_osemi*(0.75*C122+0.25*D122)/(0.75*C122+0.25*D122)</f>
        <v>3.93</v>
      </c>
      <c r="D131" s="19" t="n">
        <f aca="false">seg_osemi*(0.75*D122+0.25*E122)/(0.75*C122+0.25*D122)</f>
        <v>5.08067726525852</v>
      </c>
      <c r="E131" s="19" t="n">
        <f aca="false">seg_osemi*(0.75*E122+0.25*F122)/(0.75*C122+0.25*D122)</f>
        <v>5.89206003794784</v>
      </c>
      <c r="F131" s="19" t="n">
        <f aca="false">seg_osemi*(0.75*F122+0.25*G122)/(0.75*C122+0.25*D122)</f>
        <v>5.81840928747349</v>
      </c>
      <c r="G131" s="19" t="n">
        <f aca="false">seg_osemi*(0.75*G122+0.25*H122)/(0.75*C122+0.25*D122)</f>
        <v>5.66742524900108</v>
      </c>
      <c r="J131" s="5" t="s">
        <v>667</v>
      </c>
    </row>
    <row r="132" customFormat="false" ht="17.15" hidden="false" customHeight="false" outlineLevel="0" collapsed="false">
      <c r="A132" s="5" t="s">
        <v>668</v>
      </c>
      <c r="B132" s="0" t="s">
        <v>34</v>
      </c>
      <c r="C132" s="19" t="n">
        <f aca="false">seg_new</f>
        <v>9.47</v>
      </c>
      <c r="D132" s="19" t="n">
        <f aca="false">C132*(1+g_tss)</f>
        <v>9.7541</v>
      </c>
      <c r="E132" s="19" t="n">
        <f aca="false">D132*(1+g_tss)</f>
        <v>10.046723</v>
      </c>
      <c r="F132" s="19" t="n">
        <f aca="false">E132*(1+g_tss)</f>
        <v>10.34812469</v>
      </c>
      <c r="G132" s="19" t="n">
        <f aca="false">F132*(1+g_tss)</f>
        <v>10.6585684307</v>
      </c>
    </row>
    <row r="133" customFormat="false" ht="15" hidden="false" customHeight="false" outlineLevel="0" collapsed="false">
      <c r="A133" s="5" t="s">
        <v>669</v>
      </c>
      <c r="B133" s="0" t="s">
        <v>34</v>
      </c>
      <c r="C133" s="19" t="n">
        <f aca="false">seg_med</f>
        <v>2.48</v>
      </c>
      <c r="D133" s="19" t="n">
        <f aca="false">C133*(1+g_med)</f>
        <v>2.5544</v>
      </c>
      <c r="E133" s="19" t="n">
        <f aca="false">D133*(1+g_med)</f>
        <v>2.631032</v>
      </c>
      <c r="F133" s="19" t="n">
        <f aca="false">E133*(1+g_med)</f>
        <v>2.70996296</v>
      </c>
      <c r="G133" s="19" t="n">
        <f aca="false">F133*(1+g_med)</f>
        <v>2.7912618488</v>
      </c>
    </row>
    <row r="134" customFormat="false" ht="15" hidden="false" customHeight="false" outlineLevel="0" collapsed="false">
      <c r="A134" s="5" t="s">
        <v>670</v>
      </c>
      <c r="B134" s="0" t="s">
        <v>34</v>
      </c>
      <c r="C134" s="19" t="n">
        <f aca="false">seg_las*(0.75*C122+0.25*D122)/(0.75*C122+0.25*D122)</f>
        <v>2</v>
      </c>
      <c r="D134" s="19" t="n">
        <f aca="false">seg_las*(0.75*D122+0.25*E122)/(0.75*C122+0.25*D122)</f>
        <v>2.5855863945336</v>
      </c>
      <c r="E134" s="19" t="n">
        <f aca="false">seg_las*(0.75*E122+0.25*F122)/(0.75*C122+0.25*D122)</f>
        <v>2.99850383610577</v>
      </c>
      <c r="F134" s="19" t="n">
        <f aca="false">seg_las*(0.75*F122+0.25*G122)/(0.75*C122+0.25*D122)</f>
        <v>2.96102253815445</v>
      </c>
      <c r="G134" s="19" t="n">
        <f aca="false">seg_las*(0.75*G122+0.25*H122)/(0.75*C122+0.25*D122)</f>
        <v>2.88418587735424</v>
      </c>
      <c r="J134" s="5" t="s">
        <v>667</v>
      </c>
    </row>
    <row r="135" customFormat="false" ht="15" hidden="false" customHeight="false" outlineLevel="0" collapsed="false">
      <c r="A135" s="5" t="s">
        <v>671</v>
      </c>
      <c r="B135" s="0" t="s">
        <v>34</v>
      </c>
      <c r="C135" s="19" t="n">
        <f aca="false">C128+C129+C130+C131+C132+C133+C134+seg_adj</f>
        <v>54.365</v>
      </c>
      <c r="D135" s="19" t="n">
        <f aca="false">D128+D129+D130+D131+D132+D133+D134</f>
        <v>61.4849463728666</v>
      </c>
      <c r="E135" s="19" t="n">
        <f aca="false">E128+E129+E130+E131+E132+E133+E134</f>
        <v>61.0864096418492</v>
      </c>
      <c r="F135" s="19" t="n">
        <f aca="false">F128+F129+F130+F131+F132+F133+F134</f>
        <v>64.3862153887211</v>
      </c>
      <c r="G135" s="19" t="n">
        <f aca="false">G128+G129+G130+G131+G132+G133+G134</f>
        <v>62.2272507392365</v>
      </c>
    </row>
    <row r="136" customFormat="false" ht="17.15" hidden="false" customHeight="false" outlineLevel="0" collapsed="false">
      <c r="A136" s="1" t="s">
        <v>672</v>
      </c>
    </row>
    <row r="137" customFormat="false" ht="17.15" hidden="false" customHeight="false" outlineLevel="0" collapsed="false">
      <c r="A137" s="0" t="s">
        <v>673</v>
      </c>
      <c r="B137" s="0" t="s">
        <v>34</v>
      </c>
      <c r="D137" s="19" t="n">
        <f aca="false">g26_rev*(1+g_anc)</f>
        <v>64</v>
      </c>
    </row>
    <row r="138" customFormat="false" ht="17.15" hidden="false" customHeight="false" outlineLevel="0" collapsed="false">
      <c r="A138" s="0" t="s">
        <v>674</v>
      </c>
      <c r="B138" s="0" t="s">
        <v>34</v>
      </c>
      <c r="D138" s="19" t="n">
        <f aca="false">D137*g26_oi/g26_rev</f>
        <v>10.24</v>
      </c>
    </row>
    <row r="139" customFormat="false" ht="17.15" hidden="false" customHeight="false" outlineLevel="0" collapsed="false">
      <c r="A139" s="0" t="s">
        <v>675</v>
      </c>
      <c r="B139" s="0" t="s">
        <v>34</v>
      </c>
      <c r="D139" s="19" t="n">
        <f aca="false">D138*g26_ni/g26_oi</f>
        <v>7</v>
      </c>
    </row>
    <row r="140" customFormat="false" ht="17.15" hidden="false" customHeight="false" outlineLevel="0" collapsed="false">
      <c r="A140" s="5" t="s">
        <v>676</v>
      </c>
      <c r="B140" s="0" t="s">
        <v>198</v>
      </c>
      <c r="D140" s="20" t="n">
        <f aca="false">D137/D135</f>
        <v>1.04090519347421</v>
      </c>
      <c r="J140" s="8" t="s">
        <v>677</v>
      </c>
    </row>
    <row r="141" customFormat="false" ht="17.15" hidden="false" customHeight="false" outlineLevel="0" collapsed="false">
      <c r="A141" s="5" t="s">
        <v>678</v>
      </c>
      <c r="B141" s="0" t="s">
        <v>198</v>
      </c>
      <c r="D141" s="20" t="n">
        <f aca="false">1+1*(sc_A-1)</f>
        <v>1.01906513919839</v>
      </c>
      <c r="J141" s="8" t="s">
        <v>679</v>
      </c>
    </row>
    <row r="142" customFormat="false" ht="17.15" hidden="false" customHeight="false" outlineLevel="0" collapsed="false">
      <c r="A142" s="1" t="s">
        <v>680</v>
      </c>
    </row>
    <row r="143" customFormat="false" ht="17.15" hidden="false" customHeight="false" outlineLevel="0" collapsed="false">
      <c r="A143" s="0" t="s">
        <v>681</v>
      </c>
      <c r="B143" s="0" t="s">
        <v>34</v>
      </c>
      <c r="C143" s="19" t="n">
        <f aca="false">C128*1</f>
        <v>5</v>
      </c>
      <c r="D143" s="19" t="n">
        <f aca="false">D128*$D$140</f>
        <v>5.84613552999949</v>
      </c>
      <c r="E143" s="19" t="n">
        <f aca="false">E128*1</f>
        <v>4.88232876837032</v>
      </c>
      <c r="F143" s="19" t="n">
        <f aca="false">F128*1</f>
        <v>5.65613935744857</v>
      </c>
      <c r="G143" s="19" t="n">
        <f aca="false">G128*1</f>
        <v>4.79320103189121</v>
      </c>
    </row>
    <row r="144" customFormat="false" ht="17.15" hidden="false" customHeight="false" outlineLevel="0" collapsed="false">
      <c r="A144" s="0" t="s">
        <v>682</v>
      </c>
      <c r="B144" s="0" t="s">
        <v>34</v>
      </c>
      <c r="C144" s="19" t="n">
        <f aca="false">C129*1</f>
        <v>5</v>
      </c>
      <c r="D144" s="19" t="n">
        <f aca="false">D129*$D$140</f>
        <v>6.90327975772091</v>
      </c>
      <c r="E144" s="19" t="n">
        <f aca="false">E129*1</f>
        <v>2.43619978824817</v>
      </c>
      <c r="F144" s="19" t="n">
        <f aca="false">F129*1</f>
        <v>4.68407487225496</v>
      </c>
      <c r="G144" s="19" t="n">
        <f aca="false">G129*1</f>
        <v>3.83149683135918</v>
      </c>
    </row>
    <row r="145" customFormat="false" ht="17.15" hidden="false" customHeight="false" outlineLevel="0" collapsed="false">
      <c r="A145" s="5" t="s">
        <v>683</v>
      </c>
      <c r="B145" s="0" t="s">
        <v>34</v>
      </c>
      <c r="C145" s="19" t="n">
        <f aca="false">C130*1</f>
        <v>26.46</v>
      </c>
      <c r="D145" s="19" t="n">
        <f aca="false">D130*$D$140</f>
        <v>30.4587494803821</v>
      </c>
      <c r="E145" s="19" t="n">
        <f aca="false">E130*$D$141</f>
        <v>32.8134513468603</v>
      </c>
      <c r="F145" s="19" t="n">
        <f aca="false">F130*$D$141</f>
        <v>32.8225408700522</v>
      </c>
      <c r="G145" s="19" t="n">
        <f aca="false">G130*$D$141</f>
        <v>32.2035910591325</v>
      </c>
    </row>
    <row r="146" customFormat="false" ht="15" hidden="false" customHeight="false" outlineLevel="0" collapsed="false">
      <c r="A146" s="5" t="s">
        <v>684</v>
      </c>
      <c r="B146" s="0" t="s">
        <v>34</v>
      </c>
      <c r="C146" s="19" t="n">
        <f aca="false">C131*1</f>
        <v>3.93</v>
      </c>
      <c r="D146" s="19" t="n">
        <f aca="false">D131*$D$140</f>
        <v>5.28850335177392</v>
      </c>
      <c r="E146" s="19" t="n">
        <f aca="false">E131*$D$141</f>
        <v>6.00439298273657</v>
      </c>
      <c r="F146" s="19" t="n">
        <f aca="false">F131*$D$141</f>
        <v>5.92933807045236</v>
      </c>
      <c r="G146" s="19" t="n">
        <f aca="false">G131*$D$141</f>
        <v>5.77547550026974</v>
      </c>
    </row>
    <row r="147" customFormat="false" ht="17.15" hidden="false" customHeight="false" outlineLevel="0" collapsed="false">
      <c r="A147" s="5" t="s">
        <v>685</v>
      </c>
      <c r="B147" s="0" t="s">
        <v>34</v>
      </c>
      <c r="C147" s="19" t="n">
        <f aca="false">C132*1</f>
        <v>9.47</v>
      </c>
      <c r="D147" s="19" t="n">
        <f aca="false">D132*$D$140</f>
        <v>10.1530933476668</v>
      </c>
      <c r="E147" s="19" t="n">
        <f aca="false">E132*$D$141</f>
        <v>10.2382651724826</v>
      </c>
      <c r="F147" s="19" t="n">
        <f aca="false">F132*$D$141</f>
        <v>10.5454131276571</v>
      </c>
      <c r="G147" s="19" t="n">
        <f aca="false">G132*$D$141</f>
        <v>10.8617755214868</v>
      </c>
    </row>
    <row r="148" customFormat="false" ht="15" hidden="false" customHeight="false" outlineLevel="0" collapsed="false">
      <c r="A148" s="5" t="s">
        <v>686</v>
      </c>
      <c r="B148" s="0" t="s">
        <v>34</v>
      </c>
      <c r="C148" s="19" t="n">
        <f aca="false">C133*1</f>
        <v>2.48</v>
      </c>
      <c r="D148" s="19" t="n">
        <f aca="false">D133*$D$140</f>
        <v>2.65888822621052</v>
      </c>
      <c r="E148" s="19" t="n">
        <f aca="false">E133*$D$141</f>
        <v>2.68119299131541</v>
      </c>
      <c r="F148" s="19" t="n">
        <f aca="false">F133*$D$141</f>
        <v>2.76162878105487</v>
      </c>
      <c r="G148" s="19" t="n">
        <f aca="false">G133*$D$141</f>
        <v>2.84447764448652</v>
      </c>
    </row>
    <row r="149" customFormat="false" ht="15" hidden="false" customHeight="false" outlineLevel="0" collapsed="false">
      <c r="A149" s="5" t="s">
        <v>687</v>
      </c>
      <c r="B149" s="0" t="s">
        <v>34</v>
      </c>
      <c r="C149" s="19" t="n">
        <f aca="false">C134*1</f>
        <v>2</v>
      </c>
      <c r="D149" s="19" t="n">
        <f aca="false">D134*$D$140</f>
        <v>2.69135030624627</v>
      </c>
      <c r="E149" s="19" t="n">
        <f aca="false">E134*$D$141</f>
        <v>3.05567072912802</v>
      </c>
      <c r="F149" s="19" t="n">
        <f aca="false">F134*$D$141</f>
        <v>3.01747484501392</v>
      </c>
      <c r="G149" s="19" t="n">
        <f aca="false">G134*$D$141</f>
        <v>2.93917328258002</v>
      </c>
    </row>
    <row r="150" customFormat="false" ht="17.15" hidden="false" customHeight="false" outlineLevel="0" collapsed="false">
      <c r="A150" s="0" t="s">
        <v>688</v>
      </c>
      <c r="B150" s="0" t="s">
        <v>34</v>
      </c>
      <c r="C150" s="19" t="n">
        <f aca="false">C143+C144</f>
        <v>10</v>
      </c>
      <c r="D150" s="19" t="n">
        <f aca="false">D143+D144</f>
        <v>12.7494152877204</v>
      </c>
      <c r="E150" s="19" t="n">
        <f aca="false">E143+E144</f>
        <v>7.31852855661849</v>
      </c>
      <c r="F150" s="19" t="n">
        <f aca="false">F143+F144</f>
        <v>10.3402142297035</v>
      </c>
      <c r="G150" s="19" t="n">
        <f aca="false">G143+G144</f>
        <v>8.62469786325038</v>
      </c>
    </row>
    <row r="151" customFormat="false" ht="17.15" hidden="false" customHeight="false" outlineLevel="0" collapsed="false">
      <c r="A151" s="5" t="s">
        <v>689</v>
      </c>
      <c r="B151" s="0" t="s">
        <v>34</v>
      </c>
      <c r="C151" s="19" t="n">
        <f aca="false">C150+C145+C146</f>
        <v>40.39</v>
      </c>
      <c r="D151" s="19" t="n">
        <f aca="false">D150+D145+D146</f>
        <v>48.4966681198764</v>
      </c>
      <c r="E151" s="19" t="n">
        <f aca="false">E150+E145+E146</f>
        <v>46.1363728862154</v>
      </c>
      <c r="F151" s="19" t="n">
        <f aca="false">F150+F145+F146</f>
        <v>49.0920931702081</v>
      </c>
      <c r="G151" s="19" t="n">
        <f aca="false">G150+G145+G146</f>
        <v>46.6037644226527</v>
      </c>
      <c r="J151" s="5" t="s">
        <v>690</v>
      </c>
    </row>
    <row r="152" customFormat="false" ht="17.15" hidden="false" customHeight="false" outlineLevel="0" collapsed="false">
      <c r="A152" s="5" t="s">
        <v>541</v>
      </c>
      <c r="B152" s="0" t="s">
        <v>34</v>
      </c>
      <c r="C152" s="19" t="n">
        <f aca="false">C151+C147+C148+C149+seg_adj</f>
        <v>54.365</v>
      </c>
      <c r="D152" s="19" t="n">
        <f aca="false">D151+D147+D148+D149</f>
        <v>64</v>
      </c>
      <c r="E152" s="19" t="n">
        <f aca="false">E151+E147+E148+E149</f>
        <v>62.1115017791414</v>
      </c>
      <c r="F152" s="19" t="n">
        <f aca="false">F151+F147+F148+F149</f>
        <v>65.416609923934</v>
      </c>
      <c r="G152" s="19" t="n">
        <f aca="false">G151+G147+G148+G149</f>
        <v>63.249190871206</v>
      </c>
      <c r="J152" s="8" t="s">
        <v>691</v>
      </c>
    </row>
    <row r="153" customFormat="false" ht="17.15" hidden="false" customHeight="false" outlineLevel="0" collapsed="false">
      <c r="A153" s="5" t="s">
        <v>692</v>
      </c>
      <c r="B153" s="0" t="s">
        <v>34</v>
      </c>
      <c r="C153" s="20" t="n">
        <f aca="false">C151+C147+C148+C149-a25_rev</f>
        <v>-0.0249999999999986</v>
      </c>
    </row>
    <row r="154" customFormat="false" ht="17.15" hidden="false" customHeight="false" outlineLevel="0" collapsed="false">
      <c r="A154" s="0" t="s">
        <v>621</v>
      </c>
      <c r="B154" s="0" t="s">
        <v>94</v>
      </c>
      <c r="C154" s="11" t="n">
        <f aca="false">C150/C152</f>
        <v>0.1839418743677</v>
      </c>
      <c r="D154" s="11" t="n">
        <f aca="false">D150/D152</f>
        <v>0.199209613870631</v>
      </c>
      <c r="E154" s="11" t="n">
        <f aca="false">E150/E152</f>
        <v>0.117828877856504</v>
      </c>
      <c r="F154" s="11" t="n">
        <f aca="false">F150/F152</f>
        <v>0.158067106224659</v>
      </c>
      <c r="G154" s="11" t="n">
        <f aca="false">G150/G152</f>
        <v>0.136360603897887</v>
      </c>
    </row>
    <row r="155" customFormat="false" ht="17.15" hidden="false" customHeight="false" outlineLevel="0" collapsed="false">
      <c r="A155" s="5" t="s">
        <v>545</v>
      </c>
      <c r="B155" s="0" t="s">
        <v>34</v>
      </c>
      <c r="C155" s="19" t="n">
        <f aca="false">a25_oi</f>
        <v>6.917</v>
      </c>
      <c r="D155" s="19" t="n">
        <f aca="false">D138</f>
        <v>10.24</v>
      </c>
      <c r="E155" s="19" t="n">
        <f aca="false">$D155+(im+ima_B)*(E152-$D152)</f>
        <v>9.73100983353413</v>
      </c>
      <c r="F155" s="19" t="n">
        <f aca="false">$D155+(im+ima_B)*(F152-$D152)</f>
        <v>10.6218063014497</v>
      </c>
      <c r="G155" s="19" t="n">
        <f aca="false">$D155+(im+ima_B)*(G152-$D152)</f>
        <v>10.0376410783828</v>
      </c>
      <c r="J155" s="8" t="s">
        <v>693</v>
      </c>
    </row>
    <row r="156" customFormat="false" ht="15" hidden="false" customHeight="false" outlineLevel="0" collapsed="false">
      <c r="A156" s="5" t="s">
        <v>694</v>
      </c>
      <c r="B156" s="0" t="s">
        <v>94</v>
      </c>
      <c r="C156" s="11" t="n">
        <f aca="false">C155/C152</f>
        <v>0.127232594500138</v>
      </c>
      <c r="D156" s="11" t="n">
        <f aca="false">D155/D152</f>
        <v>0.16</v>
      </c>
      <c r="E156" s="11" t="n">
        <f aca="false">E155/E152</f>
        <v>0.156670013681782</v>
      </c>
      <c r="F156" s="11" t="n">
        <f aca="false">F155/F152</f>
        <v>0.162371702138045</v>
      </c>
      <c r="G156" s="11" t="n">
        <f aca="false">G155/G152</f>
        <v>0.158699912838765</v>
      </c>
    </row>
    <row r="157" customFormat="false" ht="15" hidden="false" customHeight="false" outlineLevel="0" collapsed="false">
      <c r="A157" s="5" t="s">
        <v>548</v>
      </c>
      <c r="B157" s="0" t="s">
        <v>34</v>
      </c>
      <c r="C157" s="19" t="n">
        <f aca="false">a25_ni</f>
        <v>4.593</v>
      </c>
      <c r="D157" s="19" t="n">
        <f aca="false">D139</f>
        <v>7</v>
      </c>
      <c r="E157" s="19" t="n">
        <f aca="false">E155*nioi</f>
        <v>6.65205750339247</v>
      </c>
      <c r="F157" s="19" t="n">
        <f aca="false">F155*nioi</f>
        <v>7.26100040138163</v>
      </c>
      <c r="G157" s="19" t="n">
        <f aca="false">G155*nioi</f>
        <v>6.86166870592574</v>
      </c>
    </row>
    <row r="158" customFormat="false" ht="15" hidden="false" customHeight="false" outlineLevel="0" collapsed="false">
      <c r="A158" s="0" t="s">
        <v>622</v>
      </c>
      <c r="B158" s="0" t="s">
        <v>52</v>
      </c>
      <c r="C158" s="22" t="n">
        <f aca="false">a25_eps</f>
        <v>61.22</v>
      </c>
      <c r="D158" s="22" t="n">
        <f aca="false">D157*1000/shares</f>
        <v>93.2961492201002</v>
      </c>
      <c r="E158" s="22" t="n">
        <f aca="false">E157*1000/shares</f>
        <v>88.6587642081702</v>
      </c>
      <c r="F158" s="22" t="n">
        <f aca="false">F157*1000/shares</f>
        <v>96.7747681335011</v>
      </c>
      <c r="G158" s="22" t="n">
        <f aca="false">G157*1000/shares</f>
        <v>91.4524667838485</v>
      </c>
    </row>
    <row r="159" customFormat="false" ht="17.15" hidden="false" customHeight="false" outlineLevel="0" collapsed="false">
      <c r="A159" s="5" t="s">
        <v>695</v>
      </c>
      <c r="B159" s="0" t="s">
        <v>34</v>
      </c>
      <c r="C159" s="20" t="n">
        <f aca="false">ABS(C152-a25_rev)+ABS(C155-a25_oi)+ABS(D152-D137)</f>
        <v>0</v>
      </c>
    </row>
    <row r="162" customFormat="false" ht="17.15" hidden="false" customHeight="false" outlineLevel="0" collapsed="false">
      <c r="A162" s="3" t="s">
        <v>697</v>
      </c>
    </row>
    <row r="163" customFormat="false" ht="17.15" hidden="false" customHeight="false" outlineLevel="0" collapsed="false">
      <c r="A163" s="6" t="s">
        <v>23</v>
      </c>
      <c r="B163" s="6" t="s">
        <v>24</v>
      </c>
      <c r="C163" s="15" t="s">
        <v>628</v>
      </c>
      <c r="D163" s="15" t="s">
        <v>629</v>
      </c>
      <c r="E163" s="15" t="s">
        <v>630</v>
      </c>
      <c r="F163" s="15" t="s">
        <v>631</v>
      </c>
      <c r="G163" s="15" t="s">
        <v>632</v>
      </c>
      <c r="H163" s="15" t="s">
        <v>633</v>
      </c>
      <c r="I163" s="15" t="s">
        <v>634</v>
      </c>
      <c r="J163" s="6" t="s">
        <v>468</v>
      </c>
    </row>
    <row r="164" customFormat="false" ht="17.15" hidden="false" customHeight="false" outlineLevel="0" collapsed="false">
      <c r="A164" s="1" t="s">
        <v>635</v>
      </c>
    </row>
    <row r="165" customFormat="false" ht="17.15" hidden="false" customHeight="false" outlineLevel="0" collapsed="false">
      <c r="A165" s="0" t="s">
        <v>636</v>
      </c>
      <c r="B165" s="0" t="s">
        <v>111</v>
      </c>
      <c r="C165" s="21" t="n">
        <f aca="false">hsC_25</f>
        <v>2.22511470588235</v>
      </c>
      <c r="D165" s="21" t="n">
        <f aca="false">hsC_26</f>
        <v>3.782695</v>
      </c>
      <c r="E165" s="21" t="n">
        <f aca="false">hsC_27</f>
        <v>5.86317725</v>
      </c>
      <c r="F165" s="21" t="n">
        <f aca="false">hsC_28</f>
        <v>6.16722</v>
      </c>
      <c r="G165" s="21" t="n">
        <f aca="false">hsC_29</f>
        <v>8.017386</v>
      </c>
      <c r="J165" s="8" t="s">
        <v>637</v>
      </c>
    </row>
    <row r="166" customFormat="false" ht="17.15" hidden="false" customHeight="false" outlineLevel="0" collapsed="false">
      <c r="A166" s="0" t="s">
        <v>638</v>
      </c>
      <c r="B166" s="0" t="s">
        <v>639</v>
      </c>
      <c r="C166" s="21" t="n">
        <f aca="false">den_25</f>
        <v>24</v>
      </c>
      <c r="D166" s="21" t="n">
        <f aca="false">den_26</f>
        <v>24</v>
      </c>
      <c r="E166" s="21" t="n">
        <f aca="false">den_27</f>
        <v>26</v>
      </c>
      <c r="F166" s="21" t="n">
        <f aca="false">den_28</f>
        <v>28</v>
      </c>
      <c r="G166" s="21" t="n">
        <f aca="false">den_29</f>
        <v>30</v>
      </c>
    </row>
    <row r="167" customFormat="false" ht="15" hidden="false" customHeight="false" outlineLevel="0" collapsed="false">
      <c r="A167" s="5" t="s">
        <v>640</v>
      </c>
      <c r="B167" s="5" t="s">
        <v>160</v>
      </c>
      <c r="C167" s="21" t="n">
        <f aca="false">stk_25</f>
        <v>10</v>
      </c>
      <c r="D167" s="21" t="n">
        <f aca="false">stk_26</f>
        <v>12</v>
      </c>
      <c r="E167" s="21" t="n">
        <f aca="false">stk_27</f>
        <v>12.5</v>
      </c>
      <c r="F167" s="21" t="n">
        <f aca="false">stk_28</f>
        <v>14</v>
      </c>
      <c r="G167" s="21" t="n">
        <f aca="false">stk_29</f>
        <v>15</v>
      </c>
    </row>
    <row r="168" customFormat="false" ht="17.15" hidden="false" customHeight="false" outlineLevel="0" collapsed="false">
      <c r="A168" s="0" t="s">
        <v>641</v>
      </c>
      <c r="B168" s="5" t="s">
        <v>642</v>
      </c>
      <c r="C168" s="23" t="n">
        <f aca="false">C165*8/(C166*C167)</f>
        <v>0.0741704901960783</v>
      </c>
      <c r="D168" s="23" t="n">
        <f aca="false">D165*8/(D166*D167)</f>
        <v>0.105074861111111</v>
      </c>
      <c r="E168" s="23" t="n">
        <f aca="false">E165*8/(E166*E167)</f>
        <v>0.144324363076923</v>
      </c>
      <c r="F168" s="23" t="n">
        <f aca="false">F165*8/(F166*F167)</f>
        <v>0.125861632653061</v>
      </c>
      <c r="G168" s="23" t="n">
        <f aca="false">G165*8/(G166*G167)</f>
        <v>0.142531306666667</v>
      </c>
      <c r="H168" s="23" t="n">
        <f aca="false">G168*(1+g_tail)</f>
        <v>0.156784437333333</v>
      </c>
      <c r="I168" s="23" t="n">
        <f aca="false">H168*(1+g_tail)</f>
        <v>0.172462881066667</v>
      </c>
      <c r="J168" s="8" t="s">
        <v>643</v>
      </c>
    </row>
    <row r="169" customFormat="false" ht="17.15" hidden="false" customHeight="false" outlineLevel="0" collapsed="false">
      <c r="A169" s="0" t="s">
        <v>644</v>
      </c>
      <c r="B169" s="5" t="s">
        <v>642</v>
      </c>
      <c r="C169" s="23" t="n">
        <f aca="false">MAX(0,D168-C168)+dlt*C168</f>
        <v>0.0383214199346406</v>
      </c>
      <c r="D169" s="23" t="n">
        <f aca="false">MAX(0,E168-D168)+dlt*D168</f>
        <v>0.0497569880769231</v>
      </c>
      <c r="E169" s="23" t="n">
        <f aca="false">MAX(0,F168-E168)+dlt*E168</f>
        <v>0.0144324363076923</v>
      </c>
      <c r="F169" s="23" t="n">
        <f aca="false">MAX(0,G168-F168)+dlt*F168</f>
        <v>0.0292558372789115</v>
      </c>
      <c r="G169" s="23" t="n">
        <f aca="false">MAX(0,H168-G168)+dlt*G168</f>
        <v>0.0285062613333333</v>
      </c>
      <c r="H169" s="23" t="n">
        <f aca="false">MAX(0,I168-H168)+dlt*H168</f>
        <v>0.0313568874666667</v>
      </c>
      <c r="J169" s="5" t="s">
        <v>645</v>
      </c>
    </row>
    <row r="170" customFormat="false" ht="17.15" hidden="false" customHeight="false" outlineLevel="0" collapsed="false">
      <c r="A170" s="0" t="s">
        <v>646</v>
      </c>
      <c r="B170" s="5" t="s">
        <v>183</v>
      </c>
      <c r="C170" s="14" t="n">
        <f aca="false">cw_25</f>
        <v>670</v>
      </c>
      <c r="D170" s="14" t="n">
        <f aca="false">cw_26</f>
        <v>1107.85762580894</v>
      </c>
      <c r="E170" s="14" t="n">
        <f aca="false">cw_27</f>
        <v>2096.42857142857</v>
      </c>
      <c r="F170" s="14" t="n">
        <f aca="false">cw_28*um28_C</f>
        <v>1572.05357142857</v>
      </c>
      <c r="G170" s="14" t="n">
        <f aca="false">cw_29*um29_C</f>
        <v>1807.99553571428</v>
      </c>
      <c r="H170" s="14" t="n">
        <f aca="false">G170*(1+g_tail)</f>
        <v>1988.79508928571</v>
      </c>
      <c r="I170" s="14" t="n">
        <f aca="false">H170*(1+g_tail)</f>
        <v>2187.67459821428</v>
      </c>
      <c r="J170" s="5" t="s">
        <v>647</v>
      </c>
    </row>
    <row r="171" customFormat="false" ht="17.15" hidden="false" customHeight="false" outlineLevel="0" collapsed="false">
      <c r="A171" s="0" t="s">
        <v>648</v>
      </c>
      <c r="B171" s="5" t="s">
        <v>183</v>
      </c>
      <c r="C171" s="14" t="n">
        <f aca="false">MAX(0,D170-C170)+dlt*C170</f>
        <v>504.85762580894</v>
      </c>
      <c r="D171" s="14" t="n">
        <f aca="false">MAX(0,E170-D170)+dlt*D170</f>
        <v>1099.35670820052</v>
      </c>
      <c r="E171" s="14" t="n">
        <f aca="false">MAX(0,F170-E170)+dlt*E170</f>
        <v>209.642857142857</v>
      </c>
      <c r="F171" s="14" t="n">
        <f aca="false">MAX(0,G170-F170)+dlt*F170</f>
        <v>393.147321428568</v>
      </c>
      <c r="G171" s="14" t="n">
        <f aca="false">MAX(0,H170-G170)+dlt*G170</f>
        <v>361.599107142857</v>
      </c>
      <c r="H171" s="14" t="n">
        <f aca="false">MAX(0,I170-H170)+dlt*H170</f>
        <v>397.759017857143</v>
      </c>
    </row>
    <row r="172" customFormat="false" ht="17.15" hidden="false" customHeight="false" outlineLevel="0" collapsed="false">
      <c r="A172" s="5" t="s">
        <v>649</v>
      </c>
      <c r="B172" s="0" t="s">
        <v>219</v>
      </c>
      <c r="C172" s="21" t="n">
        <f aca="false">pk_25*(eqtC_25-eqaC_25)/(eqtA_25-eqaA_25)</f>
        <v>6.11313868613139</v>
      </c>
      <c r="D172" s="21" t="n">
        <f aca="false">pk_26*(eqtC_26-eqaC_26)/(eqtA_26-eqaA_26)</f>
        <v>6.7</v>
      </c>
      <c r="E172" s="21" t="n">
        <f aca="false">pk_27*(eqtC_27-eqaC_27)/(eqtA_27-eqaA_27)</f>
        <v>7.59078388573934</v>
      </c>
      <c r="F172" s="21" t="n">
        <f aca="false">pk_28*(eqtC_28-eqaC_28)/(eqtA_28-eqaA_28)</f>
        <v>6.15878489051614</v>
      </c>
      <c r="G172" s="21" t="n">
        <f aca="false">pk_29*(eqtC_29-eqaC_29)/(eqtA_29-eqaA_29)</f>
        <v>6.21796213448216</v>
      </c>
      <c r="H172" s="21" t="n">
        <f aca="false">G172*(1+g_pk_tail)</f>
        <v>6.52886024120627</v>
      </c>
      <c r="J172" s="8" t="s">
        <v>650</v>
      </c>
    </row>
    <row r="173" customFormat="false" ht="15" hidden="false" customHeight="false" outlineLevel="0" collapsed="false">
      <c r="A173" s="5" t="s">
        <v>651</v>
      </c>
      <c r="B173" s="0" t="s">
        <v>219</v>
      </c>
      <c r="C173" s="24" t="n">
        <f aca="false">eqtC_25</f>
        <v>134.689359843138</v>
      </c>
      <c r="D173" s="24" t="n">
        <f aca="false">eqtC_26</f>
        <v>178.157050570127</v>
      </c>
      <c r="E173" s="24" t="n">
        <f aca="false">eqtC_27</f>
        <v>218.225535760082</v>
      </c>
      <c r="F173" s="24" t="n">
        <f aca="false">eqtC_28</f>
        <v>174.580428608066</v>
      </c>
      <c r="G173" s="24" t="n">
        <f aca="false">eqtC_29</f>
        <v>174.580428608066</v>
      </c>
      <c r="H173" s="24" t="n">
        <f aca="false">G173*(1+g_pk_tail)</f>
        <v>183.309450038469</v>
      </c>
      <c r="J173" s="5" t="s">
        <v>652</v>
      </c>
    </row>
    <row r="174" customFormat="false" ht="17.15" hidden="false" customHeight="false" outlineLevel="0" collapsed="false">
      <c r="A174" s="1" t="s">
        <v>653</v>
      </c>
    </row>
    <row r="175" customFormat="false" ht="17.15" hidden="false" customHeight="false" outlineLevel="0" collapsed="false">
      <c r="A175" s="0" t="s">
        <v>654</v>
      </c>
      <c r="B175" s="0" t="s">
        <v>655</v>
      </c>
      <c r="C175" s="24" t="n">
        <f aca="false">ai_25*w_hbm/(0.75*C169+0.25*D169)</f>
        <v>121.417244328233</v>
      </c>
      <c r="J175" s="5" t="s">
        <v>656</v>
      </c>
    </row>
    <row r="176" customFormat="false" ht="17.15" hidden="false" customHeight="false" outlineLevel="0" collapsed="false">
      <c r="A176" s="0" t="s">
        <v>657</v>
      </c>
      <c r="B176" s="0" t="s">
        <v>658</v>
      </c>
      <c r="C176" s="25" t="n">
        <f aca="false">ai_25*(1-w_hbm)/(0.75*C171+0.25*D171)</f>
        <v>0.0076513155174377</v>
      </c>
    </row>
    <row r="177" customFormat="false" ht="17.15" hidden="false" customHeight="false" outlineLevel="0" collapsed="false">
      <c r="A177" s="1" t="s">
        <v>659</v>
      </c>
    </row>
    <row r="178" customFormat="false" ht="17.15" hidden="false" customHeight="false" outlineLevel="0" collapsed="false">
      <c r="A178" s="0" t="s">
        <v>660</v>
      </c>
      <c r="B178" s="0" t="s">
        <v>198</v>
      </c>
      <c r="C178" s="20" t="n">
        <f aca="false">1-shl_C/sh*0</f>
        <v>1</v>
      </c>
      <c r="D178" s="20" t="n">
        <f aca="false">1-shl_C/sh*0.25</f>
        <v>0.969135802469136</v>
      </c>
      <c r="E178" s="20" t="n">
        <f aca="false">1-shl_C/sh*0.5</f>
        <v>0.938271604938272</v>
      </c>
      <c r="F178" s="20" t="n">
        <f aca="false">1-shl_C/sh*0.75</f>
        <v>0.907407407407407</v>
      </c>
      <c r="G178" s="20" t="n">
        <f aca="false">1-shl_C/sh*1</f>
        <v>0.876543209876543</v>
      </c>
      <c r="J178" s="5" t="s">
        <v>661</v>
      </c>
    </row>
    <row r="179" customFormat="false" ht="17.15" hidden="false" customHeight="false" outlineLevel="0" collapsed="false">
      <c r="A179" s="0" t="s">
        <v>662</v>
      </c>
      <c r="B179" s="0" t="s">
        <v>34</v>
      </c>
      <c r="C179" s="19" t="n">
        <f aca="false">$C$175*(0.75*C169+0.25*D169)*C178</f>
        <v>5</v>
      </c>
      <c r="D179" s="19" t="n">
        <f aca="false">$C$175*(0.75*D169+0.25*E169)*D178</f>
        <v>4.8157365394212</v>
      </c>
      <c r="E179" s="19" t="n">
        <f aca="false">$C$175*(0.75*E169+0.25*F169)*E178</f>
        <v>2.06635627783442</v>
      </c>
      <c r="F179" s="19" t="n">
        <f aca="false">$C$175*(0.75*F169+0.25*G169)*F178</f>
        <v>3.20261303320291</v>
      </c>
      <c r="G179" s="19" t="n">
        <f aca="false">$C$175*(0.75*G169+0.25*H169)*G178</f>
        <v>3.1096952439911</v>
      </c>
    </row>
    <row r="180" customFormat="false" ht="17.15" hidden="false" customHeight="false" outlineLevel="0" collapsed="false">
      <c r="A180" s="0" t="s">
        <v>663</v>
      </c>
      <c r="B180" s="0" t="s">
        <v>34</v>
      </c>
      <c r="C180" s="19" t="n">
        <f aca="false">$C$176*(0.75*C171+0.25*D171)*C178</f>
        <v>5</v>
      </c>
      <c r="D180" s="19" t="n">
        <f aca="false">$C$176*(0.75*D171+0.25*E171)*D178</f>
        <v>6.5025665842074</v>
      </c>
      <c r="E180" s="19" t="n">
        <f aca="false">$C$176*(0.75*E171+0.25*F171)*E178</f>
        <v>1.83437379804098</v>
      </c>
      <c r="F180" s="19" t="n">
        <f aca="false">$C$176*(0.75*F171+0.25*G171)*F178</f>
        <v>2.6748082485124</v>
      </c>
      <c r="G180" s="19" t="n">
        <f aca="false">$C$176*(0.75*G171+0.25*H171)*G178</f>
        <v>2.48576836117877</v>
      </c>
    </row>
    <row r="181" customFormat="false" ht="17.15" hidden="false" customHeight="false" outlineLevel="0" collapsed="false">
      <c r="A181" s="5" t="s">
        <v>664</v>
      </c>
      <c r="B181" s="0" t="s">
        <v>34</v>
      </c>
      <c r="C181" s="19" t="n">
        <f aca="false">(seg_mold-ai_25)*(0.75*C172+0.25*D172)/(0.75*C172+0.25*D172)</f>
        <v>26.46</v>
      </c>
      <c r="D181" s="19" t="n">
        <f aca="false">(seg_mold-ai_25)*(0.75*D172+0.25*E172)/(0.75*C172+0.25*D172)</f>
        <v>29.2617902872793</v>
      </c>
      <c r="E181" s="19" t="n">
        <f aca="false">(seg_mold-ai_25)*(0.75*E172+0.25*F172)/(0.75*C172+0.25*D172)</f>
        <v>30.5725130038092</v>
      </c>
      <c r="F181" s="19" t="n">
        <f aca="false">(seg_mold-ai_25)*(0.75*F172+0.25*G172)/(0.75*C172+0.25*D172)</f>
        <v>26.0953219182011</v>
      </c>
      <c r="G181" s="19" t="n">
        <f aca="false">(seg_mold-ai_25)*(0.75*G172+0.25*H172)/(0.75*C172+0.25*D172)</f>
        <v>26.6114622906364</v>
      </c>
      <c r="J181" s="8" t="s">
        <v>665</v>
      </c>
    </row>
    <row r="182" customFormat="false" ht="15" hidden="false" customHeight="false" outlineLevel="0" collapsed="false">
      <c r="A182" s="5" t="s">
        <v>666</v>
      </c>
      <c r="B182" s="0" t="s">
        <v>34</v>
      </c>
      <c r="C182" s="19" t="n">
        <f aca="false">seg_osemi*(0.75*C173+0.25*D173)/(0.75*C173+0.25*D173)</f>
        <v>3.93</v>
      </c>
      <c r="D182" s="19" t="n">
        <f aca="false">seg_osemi*(0.75*D173+0.25*E173)/(0.75*C173+0.25*D173)</f>
        <v>5.08067726525852</v>
      </c>
      <c r="E182" s="19" t="n">
        <f aca="false">seg_osemi*(0.75*E173+0.25*F173)/(0.75*C173+0.25*D173)</f>
        <v>5.59745703605045</v>
      </c>
      <c r="F182" s="19" t="n">
        <f aca="false">seg_osemi*(0.75*F173+0.25*G173)/(0.75*C173+0.25*D173)</f>
        <v>4.71364803035828</v>
      </c>
      <c r="G182" s="19" t="n">
        <f aca="false">seg_osemi*(0.75*G173+0.25*H173)/(0.75*C173+0.25*D173)</f>
        <v>4.77256863073776</v>
      </c>
      <c r="J182" s="5" t="s">
        <v>667</v>
      </c>
    </row>
    <row r="183" customFormat="false" ht="17.15" hidden="false" customHeight="false" outlineLevel="0" collapsed="false">
      <c r="A183" s="5" t="s">
        <v>668</v>
      </c>
      <c r="B183" s="0" t="s">
        <v>34</v>
      </c>
      <c r="C183" s="19" t="n">
        <f aca="false">seg_new</f>
        <v>9.47</v>
      </c>
      <c r="D183" s="19" t="n">
        <f aca="false">C183*(1+g_tss)</f>
        <v>9.7541</v>
      </c>
      <c r="E183" s="19" t="n">
        <f aca="false">D183*(1+g_tss)</f>
        <v>10.046723</v>
      </c>
      <c r="F183" s="19" t="n">
        <f aca="false">E183*(1+g_tss)</f>
        <v>10.34812469</v>
      </c>
      <c r="G183" s="19" t="n">
        <f aca="false">F183*(1+g_tss)</f>
        <v>10.6585684307</v>
      </c>
    </row>
    <row r="184" customFormat="false" ht="15" hidden="false" customHeight="false" outlineLevel="0" collapsed="false">
      <c r="A184" s="5" t="s">
        <v>669</v>
      </c>
      <c r="B184" s="0" t="s">
        <v>34</v>
      </c>
      <c r="C184" s="19" t="n">
        <f aca="false">seg_med</f>
        <v>2.48</v>
      </c>
      <c r="D184" s="19" t="n">
        <f aca="false">C184*(1+g_med)</f>
        <v>2.5544</v>
      </c>
      <c r="E184" s="19" t="n">
        <f aca="false">D184*(1+g_med)</f>
        <v>2.631032</v>
      </c>
      <c r="F184" s="19" t="n">
        <f aca="false">E184*(1+g_med)</f>
        <v>2.70996296</v>
      </c>
      <c r="G184" s="19" t="n">
        <f aca="false">F184*(1+g_med)</f>
        <v>2.7912618488</v>
      </c>
    </row>
    <row r="185" customFormat="false" ht="15" hidden="false" customHeight="false" outlineLevel="0" collapsed="false">
      <c r="A185" s="5" t="s">
        <v>670</v>
      </c>
      <c r="B185" s="0" t="s">
        <v>34</v>
      </c>
      <c r="C185" s="19" t="n">
        <f aca="false">seg_las*(0.75*C173+0.25*D173)/(0.75*C173+0.25*D173)</f>
        <v>2</v>
      </c>
      <c r="D185" s="19" t="n">
        <f aca="false">seg_las*(0.75*D173+0.25*E173)/(0.75*C173+0.25*D173)</f>
        <v>2.5855863945336</v>
      </c>
      <c r="E185" s="19" t="n">
        <f aca="false">seg_las*(0.75*E173+0.25*F173)/(0.75*C173+0.25*D173)</f>
        <v>2.84857864430049</v>
      </c>
      <c r="F185" s="19" t="n">
        <f aca="false">seg_las*(0.75*F173+0.25*G173)/(0.75*C173+0.25*D173)</f>
        <v>2.39880306888462</v>
      </c>
      <c r="G185" s="19" t="n">
        <f aca="false">seg_las*(0.75*G173+0.25*H173)/(0.75*C173+0.25*D173)</f>
        <v>2.42878810724568</v>
      </c>
      <c r="J185" s="5" t="s">
        <v>667</v>
      </c>
    </row>
    <row r="186" customFormat="false" ht="15" hidden="false" customHeight="false" outlineLevel="0" collapsed="false">
      <c r="A186" s="5" t="s">
        <v>671</v>
      </c>
      <c r="B186" s="0" t="s">
        <v>34</v>
      </c>
      <c r="C186" s="19" t="n">
        <f aca="false">C179+C180+C181+C182+C183+C184+C185+seg_adj</f>
        <v>54.365</v>
      </c>
      <c r="D186" s="19" t="n">
        <f aca="false">D179+D180+D181+D182+D183+D184+D185</f>
        <v>60.5548570707</v>
      </c>
      <c r="E186" s="19" t="n">
        <f aca="false">E179+E180+E181+E182+E183+E184+E185</f>
        <v>55.5970337600356</v>
      </c>
      <c r="F186" s="19" t="n">
        <f aca="false">F179+F180+F181+F182+F183+F184+F185</f>
        <v>52.1432819491593</v>
      </c>
      <c r="G186" s="19" t="n">
        <f aca="false">G179+G180+G181+G182+G183+G184+G185</f>
        <v>52.8581129132897</v>
      </c>
    </row>
    <row r="187" customFormat="false" ht="17.15" hidden="false" customHeight="false" outlineLevel="0" collapsed="false">
      <c r="A187" s="1" t="s">
        <v>672</v>
      </c>
    </row>
    <row r="188" customFormat="false" ht="17.15" hidden="false" customHeight="false" outlineLevel="0" collapsed="false">
      <c r="A188" s="0" t="s">
        <v>673</v>
      </c>
      <c r="B188" s="0" t="s">
        <v>34</v>
      </c>
      <c r="D188" s="19" t="n">
        <f aca="false">g26_rev*(1+g_anc)</f>
        <v>64</v>
      </c>
    </row>
    <row r="189" customFormat="false" ht="17.15" hidden="false" customHeight="false" outlineLevel="0" collapsed="false">
      <c r="A189" s="0" t="s">
        <v>674</v>
      </c>
      <c r="B189" s="0" t="s">
        <v>34</v>
      </c>
      <c r="D189" s="19" t="n">
        <f aca="false">D188*g26_oi/g26_rev</f>
        <v>10.24</v>
      </c>
    </row>
    <row r="190" customFormat="false" ht="17.15" hidden="false" customHeight="false" outlineLevel="0" collapsed="false">
      <c r="A190" s="0" t="s">
        <v>675</v>
      </c>
      <c r="B190" s="0" t="s">
        <v>34</v>
      </c>
      <c r="D190" s="19" t="n">
        <f aca="false">D189*g26_ni/g26_oi</f>
        <v>7</v>
      </c>
    </row>
    <row r="191" customFormat="false" ht="17.15" hidden="false" customHeight="false" outlineLevel="0" collapsed="false">
      <c r="A191" s="5" t="s">
        <v>676</v>
      </c>
      <c r="B191" s="0" t="s">
        <v>198</v>
      </c>
      <c r="D191" s="20" t="n">
        <f aca="false">D188/D186</f>
        <v>1.05689292479508</v>
      </c>
      <c r="J191" s="8" t="s">
        <v>677</v>
      </c>
    </row>
    <row r="192" customFormat="false" ht="17.15" hidden="false" customHeight="false" outlineLevel="0" collapsed="false">
      <c r="A192" s="5" t="s">
        <v>678</v>
      </c>
      <c r="B192" s="0" t="s">
        <v>198</v>
      </c>
      <c r="D192" s="20" t="n">
        <f aca="false">1+1*(sc_A-1)</f>
        <v>1.01906513919839</v>
      </c>
      <c r="J192" s="8" t="s">
        <v>679</v>
      </c>
    </row>
    <row r="193" customFormat="false" ht="17.15" hidden="false" customHeight="false" outlineLevel="0" collapsed="false">
      <c r="A193" s="1" t="s">
        <v>680</v>
      </c>
    </row>
    <row r="194" customFormat="false" ht="17.15" hidden="false" customHeight="false" outlineLevel="0" collapsed="false">
      <c r="A194" s="0" t="s">
        <v>681</v>
      </c>
      <c r="B194" s="0" t="s">
        <v>34</v>
      </c>
      <c r="C194" s="19" t="n">
        <f aca="false">C179*1</f>
        <v>5</v>
      </c>
      <c r="D194" s="19" t="n">
        <f aca="false">D179*$D$191</f>
        <v>5.0897178761914</v>
      </c>
      <c r="E194" s="19" t="n">
        <f aca="false">E179*1</f>
        <v>2.06635627783442</v>
      </c>
      <c r="F194" s="19" t="n">
        <f aca="false">F179*1</f>
        <v>3.20261303320291</v>
      </c>
      <c r="G194" s="19" t="n">
        <f aca="false">G179*1</f>
        <v>3.1096952439911</v>
      </c>
    </row>
    <row r="195" customFormat="false" ht="17.15" hidden="false" customHeight="false" outlineLevel="0" collapsed="false">
      <c r="A195" s="0" t="s">
        <v>682</v>
      </c>
      <c r="B195" s="0" t="s">
        <v>34</v>
      </c>
      <c r="C195" s="19" t="n">
        <f aca="false">C180*1</f>
        <v>5</v>
      </c>
      <c r="D195" s="19" t="n">
        <f aca="false">D180*$D$191</f>
        <v>6.8725166158577</v>
      </c>
      <c r="E195" s="19" t="n">
        <f aca="false">E180*1</f>
        <v>1.83437379804098</v>
      </c>
      <c r="F195" s="19" t="n">
        <f aca="false">F180*1</f>
        <v>2.6748082485124</v>
      </c>
      <c r="G195" s="19" t="n">
        <f aca="false">G180*1</f>
        <v>2.48576836117877</v>
      </c>
    </row>
    <row r="196" customFormat="false" ht="17.15" hidden="false" customHeight="false" outlineLevel="0" collapsed="false">
      <c r="A196" s="5" t="s">
        <v>683</v>
      </c>
      <c r="B196" s="0" t="s">
        <v>34</v>
      </c>
      <c r="C196" s="19" t="n">
        <f aca="false">C181*1</f>
        <v>26.46</v>
      </c>
      <c r="D196" s="19" t="n">
        <f aca="false">D181*$D$191</f>
        <v>30.9265791214628</v>
      </c>
      <c r="E196" s="19" t="n">
        <f aca="false">E181*$D$192</f>
        <v>31.1553822198713</v>
      </c>
      <c r="F196" s="19" t="n">
        <f aca="false">F181*$D$192</f>
        <v>26.5928328629983</v>
      </c>
      <c r="G196" s="19" t="n">
        <f aca="false">G181*$D$192</f>
        <v>27.11881352348</v>
      </c>
    </row>
    <row r="197" customFormat="false" ht="15" hidden="false" customHeight="false" outlineLevel="0" collapsed="false">
      <c r="A197" s="5" t="s">
        <v>684</v>
      </c>
      <c r="B197" s="0" t="s">
        <v>34</v>
      </c>
      <c r="C197" s="19" t="n">
        <f aca="false">C182*1</f>
        <v>3.93</v>
      </c>
      <c r="D197" s="19" t="n">
        <f aca="false">D182*$D$191</f>
        <v>5.36973185481893</v>
      </c>
      <c r="E197" s="19" t="n">
        <f aca="false">E182*$D$192</f>
        <v>5.70417333359974</v>
      </c>
      <c r="F197" s="19" t="n">
        <f aca="false">F182*$D$192</f>
        <v>4.80351438618927</v>
      </c>
      <c r="G197" s="19" t="n">
        <f aca="false">G182*$D$192</f>
        <v>4.86355831601663</v>
      </c>
    </row>
    <row r="198" customFormat="false" ht="17.15" hidden="false" customHeight="false" outlineLevel="0" collapsed="false">
      <c r="A198" s="5" t="s">
        <v>685</v>
      </c>
      <c r="B198" s="0" t="s">
        <v>34</v>
      </c>
      <c r="C198" s="19" t="n">
        <f aca="false">C183*1</f>
        <v>9.47</v>
      </c>
      <c r="D198" s="19" t="n">
        <f aca="false">D183*$D$191</f>
        <v>10.3090392777437</v>
      </c>
      <c r="E198" s="19" t="n">
        <f aca="false">E183*$D$192</f>
        <v>10.2382651724826</v>
      </c>
      <c r="F198" s="19" t="n">
        <f aca="false">F183*$D$192</f>
        <v>10.5454131276571</v>
      </c>
      <c r="G198" s="19" t="n">
        <f aca="false">G183*$D$192</f>
        <v>10.8617755214868</v>
      </c>
    </row>
    <row r="199" customFormat="false" ht="15" hidden="false" customHeight="false" outlineLevel="0" collapsed="false">
      <c r="A199" s="5" t="s">
        <v>686</v>
      </c>
      <c r="B199" s="0" t="s">
        <v>34</v>
      </c>
      <c r="C199" s="19" t="n">
        <f aca="false">C184*1</f>
        <v>2.48</v>
      </c>
      <c r="D199" s="19" t="n">
        <f aca="false">D184*$D$191</f>
        <v>2.69972728709655</v>
      </c>
      <c r="E199" s="19" t="n">
        <f aca="false">E184*$D$192</f>
        <v>2.68119299131541</v>
      </c>
      <c r="F199" s="19" t="n">
        <f aca="false">F184*$D$192</f>
        <v>2.76162878105487</v>
      </c>
      <c r="G199" s="19" t="n">
        <f aca="false">G184*$D$192</f>
        <v>2.84447764448652</v>
      </c>
    </row>
    <row r="200" customFormat="false" ht="15" hidden="false" customHeight="false" outlineLevel="0" collapsed="false">
      <c r="A200" s="5" t="s">
        <v>687</v>
      </c>
      <c r="B200" s="0" t="s">
        <v>34</v>
      </c>
      <c r="C200" s="19" t="n">
        <f aca="false">C185*1</f>
        <v>2</v>
      </c>
      <c r="D200" s="19" t="n">
        <f aca="false">D185*$D$191</f>
        <v>2.73268796682897</v>
      </c>
      <c r="E200" s="19" t="n">
        <f aca="false">E185*$D$192</f>
        <v>2.90288719267162</v>
      </c>
      <c r="F200" s="19" t="n">
        <f aca="false">F185*$D$192</f>
        <v>2.44453658330243</v>
      </c>
      <c r="G200" s="19" t="n">
        <f aca="false">G185*$D$192</f>
        <v>2.47509329059371</v>
      </c>
    </row>
    <row r="201" customFormat="false" ht="17.15" hidden="false" customHeight="false" outlineLevel="0" collapsed="false">
      <c r="A201" s="0" t="s">
        <v>688</v>
      </c>
      <c r="B201" s="0" t="s">
        <v>34</v>
      </c>
      <c r="C201" s="19" t="n">
        <f aca="false">C194+C195</f>
        <v>10</v>
      </c>
      <c r="D201" s="19" t="n">
        <f aca="false">D194+D195</f>
        <v>11.9622344920491</v>
      </c>
      <c r="E201" s="19" t="n">
        <f aca="false">E194+E195</f>
        <v>3.9007300758754</v>
      </c>
      <c r="F201" s="19" t="n">
        <f aca="false">F194+F195</f>
        <v>5.87742128171531</v>
      </c>
      <c r="G201" s="19" t="n">
        <f aca="false">G194+G195</f>
        <v>5.59546360516987</v>
      </c>
    </row>
    <row r="202" customFormat="false" ht="17.15" hidden="false" customHeight="false" outlineLevel="0" collapsed="false">
      <c r="A202" s="5" t="s">
        <v>689</v>
      </c>
      <c r="B202" s="0" t="s">
        <v>34</v>
      </c>
      <c r="C202" s="19" t="n">
        <f aca="false">C201+C196+C197</f>
        <v>40.39</v>
      </c>
      <c r="D202" s="19" t="n">
        <f aca="false">D201+D196+D197</f>
        <v>48.2585454683308</v>
      </c>
      <c r="E202" s="19" t="n">
        <f aca="false">E201+E196+E197</f>
        <v>40.7602856293465</v>
      </c>
      <c r="F202" s="19" t="n">
        <f aca="false">F201+F196+F197</f>
        <v>37.2737685309028</v>
      </c>
      <c r="G202" s="19" t="n">
        <f aca="false">G201+G196+G197</f>
        <v>37.5778354446665</v>
      </c>
      <c r="J202" s="5" t="s">
        <v>690</v>
      </c>
    </row>
    <row r="203" customFormat="false" ht="17.15" hidden="false" customHeight="false" outlineLevel="0" collapsed="false">
      <c r="A203" s="5" t="s">
        <v>541</v>
      </c>
      <c r="B203" s="0" t="s">
        <v>34</v>
      </c>
      <c r="C203" s="19" t="n">
        <f aca="false">C202+C198+C199+C200+seg_adj</f>
        <v>54.365</v>
      </c>
      <c r="D203" s="19" t="n">
        <f aca="false">D202+D198+D199+D200</f>
        <v>64</v>
      </c>
      <c r="E203" s="19" t="n">
        <f aca="false">E202+E198+E199+E200</f>
        <v>56.5826309858162</v>
      </c>
      <c r="F203" s="19" t="n">
        <f aca="false">F202+F198+F199+F200</f>
        <v>53.0253470229173</v>
      </c>
      <c r="G203" s="19" t="n">
        <f aca="false">G202+G198+G199+G200</f>
        <v>53.7591819012335</v>
      </c>
      <c r="J203" s="8" t="s">
        <v>691</v>
      </c>
    </row>
    <row r="204" customFormat="false" ht="17.15" hidden="false" customHeight="false" outlineLevel="0" collapsed="false">
      <c r="A204" s="5" t="s">
        <v>692</v>
      </c>
      <c r="B204" s="0" t="s">
        <v>34</v>
      </c>
      <c r="C204" s="20" t="n">
        <f aca="false">C202+C198+C199+C200-a25_rev</f>
        <v>-0.0249999999999986</v>
      </c>
    </row>
    <row r="205" customFormat="false" ht="17.15" hidden="false" customHeight="false" outlineLevel="0" collapsed="false">
      <c r="A205" s="0" t="s">
        <v>621</v>
      </c>
      <c r="B205" s="0" t="s">
        <v>94</v>
      </c>
      <c r="C205" s="11" t="n">
        <f aca="false">C201/C203</f>
        <v>0.1839418743677</v>
      </c>
      <c r="D205" s="11" t="n">
        <f aca="false">D201/D203</f>
        <v>0.186909913938267</v>
      </c>
      <c r="E205" s="11" t="n">
        <f aca="false">E201/E203</f>
        <v>0.068938647919239</v>
      </c>
      <c r="F205" s="11" t="n">
        <f aca="false">F201/F203</f>
        <v>0.110841731581221</v>
      </c>
      <c r="G205" s="11" t="n">
        <f aca="false">G201/G203</f>
        <v>0.104083868230173</v>
      </c>
    </row>
    <row r="206" customFormat="false" ht="17.15" hidden="false" customHeight="false" outlineLevel="0" collapsed="false">
      <c r="A206" s="5" t="s">
        <v>545</v>
      </c>
      <c r="B206" s="0" t="s">
        <v>34</v>
      </c>
      <c r="C206" s="19" t="n">
        <f aca="false">a25_oi</f>
        <v>6.917</v>
      </c>
      <c r="D206" s="19" t="n">
        <f aca="false">D189</f>
        <v>10.24</v>
      </c>
      <c r="E206" s="19" t="n">
        <f aca="false">$D206+(im+ima_C)*(E203-$D203)</f>
        <v>8.61173080389065</v>
      </c>
      <c r="F206" s="19" t="n">
        <f aca="false">$D206+(im+ima_C)*(F203-$D203)</f>
        <v>7.83083182373665</v>
      </c>
      <c r="G206" s="19" t="n">
        <f aca="false">$D206+(im+ima_C)*(G203-$D203)</f>
        <v>7.99192408234049</v>
      </c>
      <c r="J206" s="8" t="s">
        <v>693</v>
      </c>
    </row>
    <row r="207" customFormat="false" ht="15" hidden="false" customHeight="false" outlineLevel="0" collapsed="false">
      <c r="A207" s="5" t="s">
        <v>694</v>
      </c>
      <c r="B207" s="0" t="s">
        <v>94</v>
      </c>
      <c r="C207" s="11" t="n">
        <f aca="false">C206/C203</f>
        <v>0.127232594500138</v>
      </c>
      <c r="D207" s="11" t="n">
        <f aca="false">D206/D203</f>
        <v>0.16</v>
      </c>
      <c r="E207" s="11" t="n">
        <f aca="false">E206/E203</f>
        <v>0.152197426203978</v>
      </c>
      <c r="F207" s="11" t="n">
        <f aca="false">F206/F203</f>
        <v>0.147680916078724</v>
      </c>
      <c r="G207" s="11" t="n">
        <f aca="false">G206/G203</f>
        <v>0.148661564400724</v>
      </c>
    </row>
    <row r="208" customFormat="false" ht="15" hidden="false" customHeight="false" outlineLevel="0" collapsed="false">
      <c r="A208" s="5" t="s">
        <v>548</v>
      </c>
      <c r="B208" s="0" t="s">
        <v>34</v>
      </c>
      <c r="C208" s="19" t="n">
        <f aca="false">a25_ni</f>
        <v>4.593</v>
      </c>
      <c r="D208" s="19" t="n">
        <f aca="false">D190</f>
        <v>7</v>
      </c>
      <c r="E208" s="19" t="n">
        <f aca="false">E206*nioi</f>
        <v>5.88692535422213</v>
      </c>
      <c r="F208" s="19" t="n">
        <f aca="false">F206*nioi</f>
        <v>5.35310769200747</v>
      </c>
      <c r="G208" s="19" t="n">
        <f aca="false">G206*nioi</f>
        <v>5.46322935316244</v>
      </c>
    </row>
    <row r="209" customFormat="false" ht="15" hidden="false" customHeight="false" outlineLevel="0" collapsed="false">
      <c r="A209" s="0" t="s">
        <v>622</v>
      </c>
      <c r="B209" s="0" t="s">
        <v>52</v>
      </c>
      <c r="C209" s="22" t="n">
        <f aca="false">a25_eps</f>
        <v>61.22</v>
      </c>
      <c r="D209" s="22" t="n">
        <f aca="false">D208*1000/shares</f>
        <v>93.2961492201002</v>
      </c>
      <c r="E209" s="22" t="n">
        <f aca="false">E208*1000/shares</f>
        <v>78.4610666135855</v>
      </c>
      <c r="F209" s="22" t="n">
        <f aca="false">F208*1000/shares</f>
        <v>71.3463334321136</v>
      </c>
      <c r="G209" s="22" t="n">
        <f aca="false">G208*1000/shares</f>
        <v>72.8140372794678</v>
      </c>
    </row>
    <row r="210" customFormat="false" ht="17.15" hidden="false" customHeight="false" outlineLevel="0" collapsed="false">
      <c r="A210" s="5" t="s">
        <v>695</v>
      </c>
      <c r="B210" s="0" t="s">
        <v>34</v>
      </c>
      <c r="C210" s="20" t="n">
        <f aca="false">ABS(C203-a25_rev)+ABS(C206-a25_oi)+ABS(D203-D188)</f>
        <v>0</v>
      </c>
    </row>
    <row r="213" customFormat="false" ht="17.15" hidden="false" customHeight="false" outlineLevel="0" collapsed="false">
      <c r="A213" s="3" t="s">
        <v>698</v>
      </c>
    </row>
    <row r="214" customFormat="false" ht="17.15" hidden="false" customHeight="false" outlineLevel="0" collapsed="false">
      <c r="A214" s="5" t="s">
        <v>699</v>
      </c>
    </row>
    <row r="215" customFormat="false" ht="17.15" hidden="false" customHeight="false" outlineLevel="0" collapsed="false">
      <c r="A215" s="6" t="s">
        <v>700</v>
      </c>
      <c r="B215" s="6" t="s">
        <v>24</v>
      </c>
      <c r="C215" s="15" t="s">
        <v>608</v>
      </c>
      <c r="D215" s="15" t="s">
        <v>609</v>
      </c>
      <c r="E215" s="15" t="s">
        <v>610</v>
      </c>
      <c r="F215" s="15" t="s">
        <v>611</v>
      </c>
      <c r="G215" s="15" t="s">
        <v>612</v>
      </c>
      <c r="H215" s="15" t="s">
        <v>701</v>
      </c>
      <c r="I215" s="15" t="s">
        <v>702</v>
      </c>
      <c r="J215" s="15" t="s">
        <v>703</v>
      </c>
      <c r="K215" s="6" t="s">
        <v>468</v>
      </c>
    </row>
    <row r="216" customFormat="false" ht="17.15" hidden="false" customHeight="false" outlineLevel="0" collapsed="false">
      <c r="A216" s="3" t="s">
        <v>613</v>
      </c>
    </row>
    <row r="217" customFormat="false" ht="17.15" hidden="false" customHeight="false" outlineLevel="0" collapsed="false">
      <c r="A217" s="5" t="s">
        <v>541</v>
      </c>
      <c r="B217" s="0" t="s">
        <v>34</v>
      </c>
      <c r="C217" s="22" t="n">
        <f aca="false">C5</f>
        <v>54.365</v>
      </c>
      <c r="D217" s="22" t="n">
        <f aca="false">D5</f>
        <v>64</v>
      </c>
      <c r="E217" s="22" t="n">
        <f aca="false">E5</f>
        <v>66.9386446459761</v>
      </c>
      <c r="F217" s="22" t="n">
        <f aca="false">F5</f>
        <v>71.9711108179241</v>
      </c>
      <c r="G217" s="22" t="n">
        <f aca="false">G5</f>
        <v>74.9766235302129</v>
      </c>
      <c r="H217" s="26" t="n">
        <f aca="false">G217*(1+H218)</f>
        <v>78.5635045918801</v>
      </c>
      <c r="I217" s="26" t="n">
        <f aca="false">H217*(1+I218)</f>
        <v>82.7996484409214</v>
      </c>
      <c r="J217" s="26" t="n">
        <f aca="false">I217*(1+J218)</f>
        <v>87.7676273473767</v>
      </c>
      <c r="K217" s="8" t="s">
        <v>704</v>
      </c>
    </row>
    <row r="218" customFormat="false" ht="15" hidden="false" customHeight="false" outlineLevel="0" collapsed="false">
      <c r="A218" s="5" t="s">
        <v>705</v>
      </c>
      <c r="B218" s="0" t="s">
        <v>94</v>
      </c>
      <c r="D218" s="11" t="n">
        <f aca="false">D217/C217-1</f>
        <v>0.177227995953279</v>
      </c>
      <c r="E218" s="11" t="n">
        <f aca="false">E217/D217-1</f>
        <v>0.045916322593377</v>
      </c>
      <c r="F218" s="11" t="n">
        <f aca="false">F217/E217-1</f>
        <v>0.075180281862048</v>
      </c>
      <c r="G218" s="11" t="n">
        <f aca="false">G217/F217-1</f>
        <v>0.0417599878358459</v>
      </c>
      <c r="H218" s="27" t="n">
        <f aca="false">$G218+((tp_g+0.02)-$G218)*1/3</f>
        <v>0.0478399918905639</v>
      </c>
      <c r="I218" s="27" t="n">
        <f aca="false">$G218+((tp_g+0.02)-$G218)*2/3</f>
        <v>0.053919995945282</v>
      </c>
      <c r="J218" s="27" t="n">
        <f aca="false">$G218+((tp_g+0.02)-$G218)*3/3</f>
        <v>0.06</v>
      </c>
    </row>
    <row r="219" customFormat="false" ht="17.15" hidden="false" customHeight="false" outlineLevel="0" collapsed="false">
      <c r="A219" s="5" t="s">
        <v>706</v>
      </c>
      <c r="B219" s="0" t="s">
        <v>94</v>
      </c>
      <c r="C219" s="11" t="n">
        <f aca="false">C220/C217</f>
        <v>0.0844845028970845</v>
      </c>
      <c r="D219" s="11" t="n">
        <f aca="false">D220/D217</f>
        <v>0.109375</v>
      </c>
      <c r="E219" s="11" t="n">
        <f aca="false">E220/E217</f>
        <v>0.113562050634896</v>
      </c>
      <c r="F219" s="11" t="n">
        <f aca="false">F220/F217</f>
        <v>0.119938277679645</v>
      </c>
      <c r="G219" s="11" t="n">
        <f aca="false">G220/G217</f>
        <v>0.12333807098182</v>
      </c>
      <c r="H219" s="27" t="n">
        <f aca="false">$G219+($G219-$G219)*1/3</f>
        <v>0.12333807098182</v>
      </c>
      <c r="I219" s="27" t="n">
        <f aca="false">$G219+($G219-$G219)*2/3</f>
        <v>0.12333807098182</v>
      </c>
      <c r="J219" s="27" t="n">
        <f aca="false">$G219+($G219-$G219)*3/3</f>
        <v>0.12333807098182</v>
      </c>
    </row>
    <row r="220" customFormat="false" ht="15" hidden="false" customHeight="false" outlineLevel="0" collapsed="false">
      <c r="A220" s="5" t="s">
        <v>707</v>
      </c>
      <c r="B220" s="0" t="s">
        <v>34</v>
      </c>
      <c r="C220" s="19" t="n">
        <f aca="false">C16</f>
        <v>4.593</v>
      </c>
      <c r="D220" s="19" t="n">
        <f aca="false">D16</f>
        <v>7</v>
      </c>
      <c r="E220" s="19" t="n">
        <f aca="false">E16</f>
        <v>7.60168975271764</v>
      </c>
      <c r="F220" s="19" t="n">
        <f aca="false">F16</f>
        <v>8.63209107419265</v>
      </c>
      <c r="G220" s="19" t="n">
        <f aca="false">G16</f>
        <v>9.24747211494659</v>
      </c>
      <c r="H220" s="28" t="n">
        <f aca="false">H217*H219</f>
        <v>9.68987110593385</v>
      </c>
      <c r="I220" s="28" t="n">
        <f aca="false">I217*I219</f>
        <v>10.2123489166761</v>
      </c>
      <c r="J220" s="28" t="n">
        <f aca="false">J217*J219</f>
        <v>10.8250898516767</v>
      </c>
    </row>
    <row r="221" customFormat="false" ht="17.15" hidden="false" customHeight="false" outlineLevel="0" collapsed="false">
      <c r="A221" s="0" t="s">
        <v>708</v>
      </c>
      <c r="B221" s="0" t="s">
        <v>52</v>
      </c>
      <c r="C221" s="22" t="n">
        <f aca="false">C17</f>
        <v>61.22</v>
      </c>
      <c r="D221" s="22" t="n">
        <f aca="false">D17</f>
        <v>93.2961492201002</v>
      </c>
      <c r="E221" s="22" t="n">
        <f aca="false">E17</f>
        <v>101.315483070636</v>
      </c>
      <c r="F221" s="22" t="n">
        <f aca="false">F17</f>
        <v>115.048693848482</v>
      </c>
      <c r="G221" s="22" t="n">
        <f aca="false">G17</f>
        <v>123.250505477825</v>
      </c>
      <c r="H221" s="26" t="n">
        <f aca="false">$G221*H220/$G220</f>
        <v>129.146808660392</v>
      </c>
      <c r="I221" s="26" t="n">
        <f aca="false">$G221*I220/$G220</f>
        <v>136.110404059706</v>
      </c>
      <c r="J221" s="26" t="n">
        <f aca="false">$G221*J220/$G220</f>
        <v>144.277028303288</v>
      </c>
    </row>
    <row r="223" customFormat="false" ht="17.15" hidden="false" customHeight="false" outlineLevel="0" collapsed="false">
      <c r="A223" s="3" t="s">
        <v>624</v>
      </c>
    </row>
    <row r="224" customFormat="false" ht="17.15" hidden="false" customHeight="false" outlineLevel="0" collapsed="false">
      <c r="A224" s="5" t="s">
        <v>541</v>
      </c>
      <c r="B224" s="0" t="s">
        <v>34</v>
      </c>
      <c r="C224" s="22" t="n">
        <f aca="false">C21</f>
        <v>54.365</v>
      </c>
      <c r="D224" s="22" t="n">
        <f aca="false">D21</f>
        <v>64</v>
      </c>
      <c r="E224" s="22" t="n">
        <f aca="false">E21</f>
        <v>62.1115017791414</v>
      </c>
      <c r="F224" s="22" t="n">
        <f aca="false">F21</f>
        <v>65.416609923934</v>
      </c>
      <c r="G224" s="22" t="n">
        <f aca="false">G21</f>
        <v>63.249190871206</v>
      </c>
      <c r="H224" s="26" t="n">
        <f aca="false">G224*(1+H225)</f>
        <v>62.6954421267354</v>
      </c>
      <c r="I224" s="26" t="n">
        <f aca="false">H224*(1+I225)</f>
        <v>63.6749006412619</v>
      </c>
      <c r="J224" s="26" t="n">
        <f aca="false">I224*(1+J225)</f>
        <v>66.2218966669124</v>
      </c>
      <c r="K224" s="8" t="s">
        <v>704</v>
      </c>
    </row>
    <row r="225" customFormat="false" ht="15" hidden="false" customHeight="false" outlineLevel="0" collapsed="false">
      <c r="A225" s="5" t="s">
        <v>705</v>
      </c>
      <c r="B225" s="0" t="s">
        <v>94</v>
      </c>
      <c r="D225" s="11" t="n">
        <f aca="false">D224/C224-1</f>
        <v>0.177227995953279</v>
      </c>
      <c r="E225" s="11" t="n">
        <f aca="false">E224/D224-1</f>
        <v>-0.0295077847009151</v>
      </c>
      <c r="F225" s="11" t="n">
        <f aca="false">F224/E224-1</f>
        <v>0.0532124976875454</v>
      </c>
      <c r="G225" s="11" t="n">
        <f aca="false">G224/F224-1</f>
        <v>-0.0331325492905886</v>
      </c>
      <c r="H225" s="27" t="n">
        <f aca="false">$G225+((tp_g)-$G225)*1/3</f>
        <v>-0.00875503286039241</v>
      </c>
      <c r="I225" s="27" t="n">
        <f aca="false">$G225+((tp_g)-$G225)*2/3</f>
        <v>0.0156224835698038</v>
      </c>
      <c r="J225" s="27" t="n">
        <f aca="false">$G225+((tp_g)-$G225)*3/3</f>
        <v>0.04</v>
      </c>
    </row>
    <row r="226" customFormat="false" ht="17.15" hidden="false" customHeight="false" outlineLevel="0" collapsed="false">
      <c r="A226" s="5" t="s">
        <v>706</v>
      </c>
      <c r="B226" s="0" t="s">
        <v>94</v>
      </c>
      <c r="C226" s="11" t="n">
        <f aca="false">C227/C224</f>
        <v>0.0844845028970845</v>
      </c>
      <c r="D226" s="11" t="n">
        <f aca="false">D227/D224</f>
        <v>0.109375</v>
      </c>
      <c r="E226" s="11" t="n">
        <f aca="false">E227/E224</f>
        <v>0.107098642165281</v>
      </c>
      <c r="F226" s="11" t="n">
        <f aca="false">F227/F224</f>
        <v>0.110996280758429</v>
      </c>
      <c r="G226" s="11" t="n">
        <f aca="false">G227/G224</f>
        <v>0.108486268542124</v>
      </c>
      <c r="H226" s="27" t="n">
        <f aca="false">$G226+(($G226+nim10)/2-$G226)*1/3</f>
        <v>0.107633675774563</v>
      </c>
      <c r="I226" s="27" t="n">
        <f aca="false">$G226+(($G226+nim10)/2-$G226)*2/3</f>
        <v>0.106781083007001</v>
      </c>
      <c r="J226" s="27" t="n">
        <f aca="false">$G226+(($G226+nim10)/2-$G226)*3/3</f>
        <v>0.105928490239439</v>
      </c>
    </row>
    <row r="227" customFormat="false" ht="15" hidden="false" customHeight="false" outlineLevel="0" collapsed="false">
      <c r="A227" s="5" t="s">
        <v>707</v>
      </c>
      <c r="B227" s="0" t="s">
        <v>34</v>
      </c>
      <c r="C227" s="19" t="n">
        <f aca="false">C32</f>
        <v>4.593</v>
      </c>
      <c r="D227" s="19" t="n">
        <f aca="false">D32</f>
        <v>7</v>
      </c>
      <c r="E227" s="19" t="n">
        <f aca="false">E32</f>
        <v>6.65205750339247</v>
      </c>
      <c r="F227" s="19" t="n">
        <f aca="false">F32</f>
        <v>7.26100040138163</v>
      </c>
      <c r="G227" s="19" t="n">
        <f aca="false">G32</f>
        <v>6.86166870592574</v>
      </c>
      <c r="H227" s="28" t="n">
        <f aca="false">H224*H226</f>
        <v>6.7481408904119</v>
      </c>
      <c r="I227" s="28" t="n">
        <f aca="false">I224*I226</f>
        <v>6.79927485083713</v>
      </c>
      <c r="J227" s="28" t="n">
        <f aca="false">J224*J226</f>
        <v>7.01478553471818</v>
      </c>
    </row>
    <row r="228" customFormat="false" ht="17.15" hidden="false" customHeight="false" outlineLevel="0" collapsed="false">
      <c r="A228" s="0" t="s">
        <v>708</v>
      </c>
      <c r="B228" s="0" t="s">
        <v>52</v>
      </c>
      <c r="C228" s="22" t="n">
        <f aca="false">C33</f>
        <v>61.22</v>
      </c>
      <c r="D228" s="22" t="n">
        <f aca="false">D33</f>
        <v>93.2961492201002</v>
      </c>
      <c r="E228" s="22" t="n">
        <f aca="false">E33</f>
        <v>88.6587642081702</v>
      </c>
      <c r="F228" s="22" t="n">
        <f aca="false">F33</f>
        <v>96.7747681335011</v>
      </c>
      <c r="G228" s="22" t="n">
        <f aca="false">G33</f>
        <v>91.4524667838485</v>
      </c>
      <c r="H228" s="26" t="n">
        <f aca="false">$G228*H227/$G227</f>
        <v>89.9393656385897</v>
      </c>
      <c r="I228" s="26" t="n">
        <f aca="false">$G228*I227/$G227</f>
        <v>90.6208801531679</v>
      </c>
      <c r="J228" s="26" t="n">
        <f aca="false">$G228*J227/$G227</f>
        <v>93.4932111420097</v>
      </c>
    </row>
    <row r="230" customFormat="false" ht="17.15" hidden="false" customHeight="false" outlineLevel="0" collapsed="false">
      <c r="A230" s="3" t="s">
        <v>625</v>
      </c>
    </row>
    <row r="231" customFormat="false" ht="17.15" hidden="false" customHeight="false" outlineLevel="0" collapsed="false">
      <c r="A231" s="5" t="s">
        <v>541</v>
      </c>
      <c r="B231" s="0" t="s">
        <v>34</v>
      </c>
      <c r="C231" s="22" t="n">
        <f aca="false">C37</f>
        <v>54.365</v>
      </c>
      <c r="D231" s="22" t="n">
        <f aca="false">D37</f>
        <v>64</v>
      </c>
      <c r="E231" s="22" t="n">
        <f aca="false">E37</f>
        <v>56.5826309858162</v>
      </c>
      <c r="F231" s="22" t="n">
        <f aca="false">F37</f>
        <v>53.0253470229173</v>
      </c>
      <c r="G231" s="22" t="n">
        <f aca="false">G37</f>
        <v>53.7591819012335</v>
      </c>
      <c r="H231" s="26" t="n">
        <f aca="false">G231*(1+H232)</f>
        <v>54.6135702178162</v>
      </c>
      <c r="I231" s="26" t="n">
        <f aca="false">H231*(1+I232)</f>
        <v>55.5936894244932</v>
      </c>
      <c r="J231" s="26" t="n">
        <f aca="false">I231*(1+J232)</f>
        <v>56.705563212983</v>
      </c>
      <c r="K231" s="8" t="s">
        <v>704</v>
      </c>
    </row>
    <row r="232" customFormat="false" ht="15" hidden="false" customHeight="false" outlineLevel="0" collapsed="false">
      <c r="A232" s="5" t="s">
        <v>705</v>
      </c>
      <c r="B232" s="0" t="s">
        <v>94</v>
      </c>
      <c r="D232" s="11" t="n">
        <f aca="false">D231/C231-1</f>
        <v>0.177227995953279</v>
      </c>
      <c r="E232" s="11" t="n">
        <f aca="false">E231/D231-1</f>
        <v>-0.115896390846623</v>
      </c>
      <c r="F232" s="11" t="n">
        <f aca="false">F231/E231-1</f>
        <v>-0.0628688327305006</v>
      </c>
      <c r="G232" s="11" t="n">
        <f aca="false">G231/F231-1</f>
        <v>0.0138393225036153</v>
      </c>
      <c r="H232" s="27" t="n">
        <f aca="false">$G232+((tp_g-0.02)-$G232)*1/3</f>
        <v>0.0158928816690769</v>
      </c>
      <c r="I232" s="27" t="n">
        <f aca="false">$G232+((tp_g-0.02)-$G232)*2/3</f>
        <v>0.0179464408345384</v>
      </c>
      <c r="J232" s="27" t="n">
        <f aca="false">$G232+((tp_g-0.02)-$G232)*3/3</f>
        <v>0.02</v>
      </c>
    </row>
    <row r="233" customFormat="false" ht="17.15" hidden="false" customHeight="false" outlineLevel="0" collapsed="false">
      <c r="A233" s="5" t="s">
        <v>706</v>
      </c>
      <c r="B233" s="0" t="s">
        <v>94</v>
      </c>
      <c r="C233" s="11" t="n">
        <f aca="false">C234/C231</f>
        <v>0.0844845028970845</v>
      </c>
      <c r="D233" s="11" t="n">
        <f aca="false">D234/D231</f>
        <v>0.109375</v>
      </c>
      <c r="E233" s="11" t="n">
        <f aca="false">E234/E231</f>
        <v>0.104041209319125</v>
      </c>
      <c r="F233" s="11" t="n">
        <f aca="false">F234/F231</f>
        <v>0.10095375122569</v>
      </c>
      <c r="G233" s="11" t="n">
        <f aca="false">G234/G231</f>
        <v>0.101624116289558</v>
      </c>
      <c r="H233" s="27" t="n">
        <f aca="false">$G233+(nim10-$G233)*1/3</f>
        <v>0.102206314838623</v>
      </c>
      <c r="I233" s="27" t="n">
        <f aca="false">$G233+(nim10-$G233)*2/3</f>
        <v>0.102788513387689</v>
      </c>
      <c r="J233" s="27" t="n">
        <f aca="false">$G233+(nim10-$G233)*3/3</f>
        <v>0.103370711936754</v>
      </c>
    </row>
    <row r="234" customFormat="false" ht="15" hidden="false" customHeight="false" outlineLevel="0" collapsed="false">
      <c r="A234" s="5" t="s">
        <v>707</v>
      </c>
      <c r="B234" s="0" t="s">
        <v>34</v>
      </c>
      <c r="C234" s="19" t="n">
        <f aca="false">C48</f>
        <v>4.593</v>
      </c>
      <c r="D234" s="19" t="n">
        <f aca="false">D48</f>
        <v>7</v>
      </c>
      <c r="E234" s="19" t="n">
        <f aca="false">E48</f>
        <v>5.88692535422213</v>
      </c>
      <c r="F234" s="19" t="n">
        <f aca="false">F48</f>
        <v>5.35310769200747</v>
      </c>
      <c r="G234" s="19" t="n">
        <f aca="false">G48</f>
        <v>5.46322935316244</v>
      </c>
      <c r="H234" s="28" t="n">
        <f aca="false">H231*H233</f>
        <v>5.58185175214338</v>
      </c>
      <c r="I234" s="28" t="n">
        <f aca="false">I231*I233</f>
        <v>5.71439268968052</v>
      </c>
      <c r="J234" s="28" t="n">
        <f aca="false">J231*J233</f>
        <v>5.86169444010067</v>
      </c>
    </row>
    <row r="235" customFormat="false" ht="17.15" hidden="false" customHeight="false" outlineLevel="0" collapsed="false">
      <c r="A235" s="0" t="s">
        <v>708</v>
      </c>
      <c r="B235" s="0" t="s">
        <v>52</v>
      </c>
      <c r="C235" s="22" t="n">
        <f aca="false">C49</f>
        <v>61.22</v>
      </c>
      <c r="D235" s="22" t="n">
        <f aca="false">D49</f>
        <v>93.2961492201002</v>
      </c>
      <c r="E235" s="22" t="n">
        <f aca="false">E49</f>
        <v>78.4610666135855</v>
      </c>
      <c r="F235" s="22" t="n">
        <f aca="false">F49</f>
        <v>71.3463334321136</v>
      </c>
      <c r="G235" s="22" t="n">
        <f aca="false">G49</f>
        <v>72.8140372794678</v>
      </c>
      <c r="H235" s="26" t="n">
        <f aca="false">$G235*H234/$G234</f>
        <v>74.395039141778</v>
      </c>
      <c r="I235" s="26" t="n">
        <f aca="false">$G235*I234/$G234</f>
        <v>76.161547582669</v>
      </c>
      <c r="J235" s="26" t="n">
        <f aca="false">$G235*J234/$G234</f>
        <v>78.1247884523233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60"/>
    <col collapsed="false" customWidth="true" hidden="false" outlineLevel="0" max="9" min="6" style="0" width="15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709</v>
      </c>
    </row>
    <row r="2" customFormat="false" ht="17.15" hidden="false" customHeight="false" outlineLevel="0" collapsed="false">
      <c r="A2" s="0" t="s">
        <v>710</v>
      </c>
    </row>
    <row r="4" customFormat="false" ht="17.15" hidden="false" customHeight="false" outlineLevel="0" collapsed="false">
      <c r="A4" s="1" t="s">
        <v>711</v>
      </c>
    </row>
    <row r="5" customFormat="false" ht="17.15" hidden="false" customHeight="false" outlineLevel="0" collapsed="false">
      <c r="A5" s="1" t="s">
        <v>712</v>
      </c>
    </row>
    <row r="6" customFormat="false" ht="17.15" hidden="false" customHeight="false" outlineLevel="0" collapsed="false">
      <c r="A6" s="6" t="s">
        <v>23</v>
      </c>
      <c r="B6" s="15" t="s">
        <v>713</v>
      </c>
      <c r="C6" s="15" t="s">
        <v>714</v>
      </c>
      <c r="D6" s="15" t="s">
        <v>715</v>
      </c>
      <c r="E6" s="6" t="s">
        <v>468</v>
      </c>
    </row>
    <row r="7" customFormat="false" ht="17.15" hidden="false" customHeight="false" outlineLevel="0" collapsed="false">
      <c r="A7" s="5" t="s">
        <v>716</v>
      </c>
      <c r="E7" s="0" t="s">
        <v>717</v>
      </c>
    </row>
    <row r="8" customFormat="false" ht="15" hidden="false" customHeight="false" outlineLevel="0" collapsed="false">
      <c r="A8" s="0" t="s">
        <v>718</v>
      </c>
      <c r="B8" s="22" t="n">
        <f aca="false">PL!E221</f>
        <v>101.315483070636</v>
      </c>
      <c r="C8" s="22" t="n">
        <f aca="false">PL!E228</f>
        <v>88.6587642081702</v>
      </c>
      <c r="D8" s="22" t="n">
        <f aca="false">PL!E235</f>
        <v>78.4610666135855</v>
      </c>
    </row>
    <row r="9" customFormat="false" ht="15" hidden="false" customHeight="false" outlineLevel="0" collapsed="false">
      <c r="A9" s="0" t="s">
        <v>719</v>
      </c>
      <c r="B9" s="22" t="n">
        <f aca="false">PL!F221</f>
        <v>115.048693848482</v>
      </c>
      <c r="C9" s="22" t="n">
        <f aca="false">PL!F228</f>
        <v>96.7747681335011</v>
      </c>
      <c r="D9" s="22" t="n">
        <f aca="false">PL!F235</f>
        <v>71.3463334321136</v>
      </c>
    </row>
    <row r="10" customFormat="false" ht="15" hidden="false" customHeight="false" outlineLevel="0" collapsed="false">
      <c r="A10" s="0" t="s">
        <v>720</v>
      </c>
      <c r="B10" s="22" t="n">
        <f aca="false">PL!G221</f>
        <v>123.250505477825</v>
      </c>
      <c r="C10" s="22" t="n">
        <f aca="false">PL!G228</f>
        <v>91.4524667838485</v>
      </c>
      <c r="D10" s="22" t="n">
        <f aca="false">PL!G235</f>
        <v>72.8140372794678</v>
      </c>
    </row>
    <row r="11" customFormat="false" ht="15" hidden="false" customHeight="false" outlineLevel="0" collapsed="false">
      <c r="A11" s="0" t="s">
        <v>721</v>
      </c>
      <c r="B11" s="22" t="n">
        <f aca="false">PL!H221</f>
        <v>129.146808660392</v>
      </c>
      <c r="C11" s="22" t="n">
        <f aca="false">PL!H228</f>
        <v>89.9393656385897</v>
      </c>
      <c r="D11" s="22" t="n">
        <f aca="false">PL!H235</f>
        <v>74.395039141778</v>
      </c>
    </row>
    <row r="12" customFormat="false" ht="15" hidden="false" customHeight="false" outlineLevel="0" collapsed="false">
      <c r="A12" s="0" t="s">
        <v>722</v>
      </c>
      <c r="B12" s="22" t="n">
        <f aca="false">PL!I221</f>
        <v>136.110404059706</v>
      </c>
      <c r="C12" s="22" t="n">
        <f aca="false">PL!I228</f>
        <v>90.6208801531679</v>
      </c>
      <c r="D12" s="22" t="n">
        <f aca="false">PL!I235</f>
        <v>76.161547582669</v>
      </c>
    </row>
    <row r="13" customFormat="false" ht="15" hidden="false" customHeight="false" outlineLevel="0" collapsed="false">
      <c r="A13" s="0" t="s">
        <v>723</v>
      </c>
      <c r="B13" s="22" t="n">
        <f aca="false">PL!J221</f>
        <v>144.277028303288</v>
      </c>
      <c r="C13" s="22" t="n">
        <f aca="false">PL!J228</f>
        <v>93.4932111420097</v>
      </c>
      <c r="D13" s="22" t="n">
        <f aca="false">PL!J235</f>
        <v>78.1247884523233</v>
      </c>
    </row>
    <row r="14" customFormat="false" ht="17.15" hidden="false" customHeight="false" outlineLevel="0" collapsed="false">
      <c r="A14" s="5" t="s">
        <v>724</v>
      </c>
      <c r="E14" s="5" t="s">
        <v>725</v>
      </c>
    </row>
    <row r="15" customFormat="false" ht="17.15" hidden="false" customHeight="false" outlineLevel="0" collapsed="false">
      <c r="A15" s="5" t="s">
        <v>726</v>
      </c>
      <c r="B15" s="11" t="n">
        <f aca="false">MIN(tp_g/tp_roe,0.8)</f>
        <v>0.367421922841396</v>
      </c>
      <c r="E15" s="8" t="s">
        <v>727</v>
      </c>
    </row>
    <row r="16" customFormat="false" ht="15" hidden="false" customHeight="false" outlineLevel="0" collapsed="false">
      <c r="A16" s="0" t="s">
        <v>718</v>
      </c>
      <c r="B16" s="22" t="n">
        <f aca="false">B8*(1-$B$15)</f>
        <v>64.0899534672179</v>
      </c>
      <c r="C16" s="22" t="n">
        <f aca="false">C8*(1-$B$15)</f>
        <v>56.0835905860623</v>
      </c>
      <c r="D16" s="22" t="n">
        <f aca="false">D8*(1-$B$15)</f>
        <v>49.632750650235</v>
      </c>
    </row>
    <row r="17" customFormat="false" ht="15" hidden="false" customHeight="false" outlineLevel="0" collapsed="false">
      <c r="A17" s="0" t="s">
        <v>719</v>
      </c>
      <c r="B17" s="22" t="n">
        <f aca="false">B9*(1-$B$15)</f>
        <v>72.7772815342814</v>
      </c>
      <c r="C17" s="22" t="n">
        <f aca="false">C9*(1-$B$15)</f>
        <v>61.2175967433599</v>
      </c>
      <c r="D17" s="22" t="n">
        <f aca="false">D9*(1-$B$15)</f>
        <v>45.132126414803</v>
      </c>
    </row>
    <row r="18" customFormat="false" ht="15" hidden="false" customHeight="false" outlineLevel="0" collapsed="false">
      <c r="A18" s="0" t="s">
        <v>720</v>
      </c>
      <c r="B18" s="22" t="n">
        <f aca="false">B10*(1-$B$15)</f>
        <v>77.9655677639883</v>
      </c>
      <c r="C18" s="22" t="n">
        <f aca="false">C10*(1-$B$15)</f>
        <v>57.850825589538</v>
      </c>
      <c r="D18" s="22" t="n">
        <f aca="false">D10*(1-$B$15)</f>
        <v>46.0605636924006</v>
      </c>
    </row>
    <row r="19" customFormat="false" ht="15" hidden="false" customHeight="false" outlineLevel="0" collapsed="false">
      <c r="A19" s="0" t="s">
        <v>721</v>
      </c>
      <c r="B19" s="22" t="n">
        <f aca="false">B11*(1-$B$15)</f>
        <v>81.6954398935607</v>
      </c>
      <c r="C19" s="22" t="n">
        <f aca="false">C11*(1-$B$15)</f>
        <v>56.8936709765237</v>
      </c>
      <c r="D19" s="22" t="n">
        <f aca="false">D11*(1-$B$15)</f>
        <v>47.060670810445</v>
      </c>
    </row>
    <row r="20" customFormat="false" ht="15" hidden="false" customHeight="false" outlineLevel="0" collapsed="false">
      <c r="A20" s="0" t="s">
        <v>722</v>
      </c>
      <c r="B20" s="22" t="n">
        <f aca="false">B12*(1-$B$15)</f>
        <v>86.1004576813695</v>
      </c>
      <c r="C20" s="22" t="n">
        <f aca="false">C12*(1-$B$15)</f>
        <v>57.3247821177112</v>
      </c>
      <c r="D20" s="22" t="n">
        <f aca="false">D12*(1-$B$15)</f>
        <v>48.1781253232683</v>
      </c>
    </row>
    <row r="21" customFormat="false" ht="15" hidden="false" customHeight="false" outlineLevel="0" collapsed="false">
      <c r="A21" s="0" t="s">
        <v>723</v>
      </c>
      <c r="B21" s="22" t="n">
        <f aca="false">B13*(1-$B$15)</f>
        <v>91.2664851422516</v>
      </c>
      <c r="C21" s="22" t="n">
        <f aca="false">C13*(1-$B$15)</f>
        <v>59.1417557315958</v>
      </c>
      <c r="D21" s="22" t="n">
        <f aca="false">D13*(1-$B$15)</f>
        <v>49.4200284575934</v>
      </c>
    </row>
    <row r="22" customFormat="false" ht="17.15" hidden="false" customHeight="false" outlineLevel="0" collapsed="false">
      <c r="A22" s="0" t="s">
        <v>728</v>
      </c>
      <c r="B22" s="14" t="n">
        <f aca="false">MAX(0,SUMPRODUCT(B16:B21,1/(1+tp_r)^{1;2;3;4;5;6})+B21*(1+tp_g)/(tp_r-tp_g)/(1+tp_r)^6)</f>
        <v>1230.73593262779</v>
      </c>
      <c r="C22" s="14" t="n">
        <f aca="false">MAX(0,SUMPRODUCT(C16:C21,1/(1+tp_r)^{1;2;3;4;5;6})+C21*(1+tp_g)/(tp_r-tp_g)/(1+tp_r)^6)</f>
        <v>831.535261660979</v>
      </c>
      <c r="D22" s="14" t="n">
        <f aca="false">MAX(0,SUMPRODUCT(D16:D21,1/(1+tp_r)^{1;2;3;4;5;6})+D21*(1+tp_g)/(tp_r-tp_g)/(1+tp_r)^6)</f>
        <v>690.516331303478</v>
      </c>
      <c r="E22" s="8" t="s">
        <v>729</v>
      </c>
    </row>
    <row r="23" customFormat="false" ht="17.15" hidden="false" customHeight="false" outlineLevel="0" collapsed="false">
      <c r="A23" s="0" t="s">
        <v>730</v>
      </c>
      <c r="B23" s="14" t="n">
        <f aca="false">B22*(1+tp_r)</f>
        <v>1353.80952589057</v>
      </c>
      <c r="C23" s="14" t="n">
        <f aca="false">C22*(1+tp_r)</f>
        <v>914.688787827077</v>
      </c>
      <c r="D23" s="14" t="n">
        <f aca="false">D22*(1+tp_r)</f>
        <v>759.567964433826</v>
      </c>
    </row>
    <row r="24" customFormat="false" ht="17.15" hidden="false" customHeight="false" outlineLevel="0" collapsed="false">
      <c r="A24" s="0" t="s">
        <v>731</v>
      </c>
      <c r="B24" s="29" t="n">
        <f aca="false">tp_wA*B23+tp_wB*C23+tp_wC*D23</f>
        <v>1015.40084456748</v>
      </c>
      <c r="E24" s="8" t="s">
        <v>732</v>
      </c>
    </row>
    <row r="26" customFormat="false" ht="17.15" hidden="false" customHeight="false" outlineLevel="0" collapsed="false">
      <c r="A26" s="1" t="s">
        <v>733</v>
      </c>
    </row>
    <row r="27" customFormat="false" ht="17.15" hidden="false" customHeight="false" outlineLevel="0" collapsed="false">
      <c r="A27" s="6" t="s">
        <v>734</v>
      </c>
      <c r="B27" s="6" t="s">
        <v>735</v>
      </c>
      <c r="C27" s="6" t="s">
        <v>736</v>
      </c>
      <c r="D27" s="6" t="s">
        <v>737</v>
      </c>
      <c r="E27" s="6" t="s">
        <v>738</v>
      </c>
      <c r="F27" s="6" t="s">
        <v>28</v>
      </c>
    </row>
    <row r="28" customFormat="false" ht="17.15" hidden="false" customHeight="false" outlineLevel="0" collapsed="false">
      <c r="A28" s="0" t="s">
        <v>739</v>
      </c>
      <c r="B28" s="0" t="s">
        <v>740</v>
      </c>
      <c r="C28" s="30" t="n">
        <v>26.01</v>
      </c>
      <c r="D28" s="8" t="s">
        <v>741</v>
      </c>
      <c r="E28" s="8" t="s">
        <v>742</v>
      </c>
      <c r="F28" s="8" t="s">
        <v>95</v>
      </c>
    </row>
    <row r="29" customFormat="false" ht="17.15" hidden="false" customHeight="false" outlineLevel="0" collapsed="false">
      <c r="A29" s="5" t="s">
        <v>743</v>
      </c>
      <c r="B29" s="0" t="s">
        <v>744</v>
      </c>
      <c r="C29" s="30" t="n">
        <v>21.86</v>
      </c>
      <c r="D29" s="8" t="s">
        <v>745</v>
      </c>
      <c r="E29" s="8" t="s">
        <v>742</v>
      </c>
      <c r="F29" s="8" t="s">
        <v>95</v>
      </c>
    </row>
    <row r="30" customFormat="false" ht="17.15" hidden="false" customHeight="false" outlineLevel="0" collapsed="false">
      <c r="A30" s="0" t="s">
        <v>746</v>
      </c>
      <c r="B30" s="0" t="s">
        <v>747</v>
      </c>
      <c r="C30" s="30" t="n">
        <v>30.26</v>
      </c>
      <c r="D30" s="8" t="s">
        <v>748</v>
      </c>
      <c r="E30" s="8" t="s">
        <v>742</v>
      </c>
      <c r="F30" s="8" t="s">
        <v>95</v>
      </c>
    </row>
    <row r="31" customFormat="false" ht="17.15" hidden="false" customHeight="false" outlineLevel="0" collapsed="false">
      <c r="A31" s="0" t="s">
        <v>749</v>
      </c>
      <c r="B31" s="0" t="s">
        <v>750</v>
      </c>
      <c r="C31" s="30" t="n">
        <v>25.82</v>
      </c>
      <c r="D31" s="8" t="s">
        <v>741</v>
      </c>
      <c r="E31" s="8" t="s">
        <v>742</v>
      </c>
      <c r="F31" s="8" t="s">
        <v>95</v>
      </c>
    </row>
    <row r="32" customFormat="false" ht="17.15" hidden="false" customHeight="false" outlineLevel="0" collapsed="false">
      <c r="A32" s="0" t="s">
        <v>751</v>
      </c>
      <c r="B32" s="0" t="s">
        <v>752</v>
      </c>
      <c r="C32" s="30" t="n">
        <v>12.61</v>
      </c>
      <c r="D32" s="8" t="s">
        <v>741</v>
      </c>
      <c r="E32" s="8" t="s">
        <v>742</v>
      </c>
      <c r="F32" s="8" t="s">
        <v>95</v>
      </c>
    </row>
    <row r="33" customFormat="false" ht="17.15" hidden="false" customHeight="false" outlineLevel="0" collapsed="false">
      <c r="A33" s="5" t="s">
        <v>753</v>
      </c>
      <c r="B33" s="24" t="n">
        <f aca="false">MEDIAN(C28:C32)</f>
        <v>25.82</v>
      </c>
      <c r="E33" s="5" t="s">
        <v>754</v>
      </c>
    </row>
    <row r="34" customFormat="false" ht="17.15" hidden="false" customHeight="false" outlineLevel="0" collapsed="false">
      <c r="A34" s="0" t="s">
        <v>755</v>
      </c>
      <c r="B34" s="22" t="n">
        <f aca="false">tp_wA*(5/12*B8+7/12*B9)+tp_wB*(5/12*C8+7/12*C9)+tp_wC*(5/12*D8+7/12*D9)</f>
        <v>94.3566678411658</v>
      </c>
      <c r="E34" s="5" t="s">
        <v>756</v>
      </c>
    </row>
    <row r="35" customFormat="false" ht="17.15" hidden="false" customHeight="false" outlineLevel="0" collapsed="false">
      <c r="A35" s="0" t="s">
        <v>757</v>
      </c>
      <c r="B35" s="29" t="n">
        <f aca="false">B33*B34</f>
        <v>2436.2891636589</v>
      </c>
      <c r="E35" s="5" t="s">
        <v>758</v>
      </c>
    </row>
    <row r="37" customFormat="false" ht="17.15" hidden="false" customHeight="false" outlineLevel="0" collapsed="false">
      <c r="A37" s="1" t="s">
        <v>759</v>
      </c>
    </row>
    <row r="38" customFormat="false" ht="15" hidden="false" customHeight="false" outlineLevel="0" collapsed="false">
      <c r="A38" s="6" t="s">
        <v>23</v>
      </c>
      <c r="B38" s="6" t="s">
        <v>760</v>
      </c>
      <c r="C38" s="15"/>
      <c r="D38" s="15"/>
      <c r="E38" s="6" t="s">
        <v>468</v>
      </c>
    </row>
    <row r="39" customFormat="false" ht="17.15" hidden="false" customHeight="false" outlineLevel="0" collapsed="false">
      <c r="A39" s="5" t="s">
        <v>761</v>
      </c>
      <c r="B39" s="29" t="n">
        <f aca="false">tp_w_dcf*B24+(1-tp_w_dcf)*tp_comp_adj</f>
        <v>1381.60287044051</v>
      </c>
      <c r="E39" s="8" t="s">
        <v>762</v>
      </c>
    </row>
    <row r="40" customFormat="false" ht="17.15" hidden="false" customHeight="false" outlineLevel="0" collapsed="false">
      <c r="A40" s="0" t="s">
        <v>763</v>
      </c>
      <c r="B40" s="14" t="n">
        <f aca="false">B35</f>
        <v>2436.2891636589</v>
      </c>
      <c r="E40" s="5" t="s">
        <v>764</v>
      </c>
    </row>
    <row r="41" customFormat="false" ht="17.15" hidden="false" customHeight="false" outlineLevel="0" collapsed="false">
      <c r="A41" s="5" t="s">
        <v>765</v>
      </c>
      <c r="B41" s="14" t="n">
        <f aca="false">cons_tp</f>
        <v>3300</v>
      </c>
      <c r="E41" s="8" t="s">
        <v>459</v>
      </c>
    </row>
    <row r="42" customFormat="false" ht="17.15" hidden="false" customHeight="false" outlineLevel="0" collapsed="false">
      <c r="A42" s="5" t="s">
        <v>766</v>
      </c>
      <c r="B42" s="11" t="n">
        <f aca="false">B39/px-1</f>
        <v>-0.297966021117625</v>
      </c>
      <c r="E42" s="5" t="s">
        <v>767</v>
      </c>
    </row>
    <row r="43" customFormat="false" ht="17.15" hidden="false" customHeight="false" outlineLevel="0" collapsed="false">
      <c r="A43" s="5" t="s">
        <v>768</v>
      </c>
      <c r="B43" s="11" t="n">
        <f aca="false">B40/px-1</f>
        <v>0.237951810802287</v>
      </c>
    </row>
    <row r="44" customFormat="false" ht="17.15" hidden="false" customHeight="false" outlineLevel="0" collapsed="false">
      <c r="A44" s="5" t="s">
        <v>769</v>
      </c>
      <c r="B44" s="11" t="n">
        <f aca="false">B34/cons_feps-1</f>
        <v>-0.186256253149133</v>
      </c>
      <c r="E44" s="5" t="s">
        <v>770</v>
      </c>
    </row>
    <row r="45" customFormat="false" ht="17.15" hidden="false" customHeight="false" outlineLevel="0" collapsed="false">
      <c r="A45" s="5" t="s">
        <v>771</v>
      </c>
      <c r="B45" s="11" t="n">
        <f aca="false">(cons_tp/cons_feps)/B33-1</f>
        <v>0.102231379043244</v>
      </c>
      <c r="E45" s="0" t="str">
        <f aca="false">"共識目標價 ÷ 共識前瞻 EPS 隱含 "&amp;TEXT(cons_tp/cons_feps,"0.0")&amp;"x，同業中位數 "&amp;TEXT(B33,"0.0")&amp;"x"</f>
        <v>共識目標價 ÷ 共識前瞻 EPS 隱含 28.5x，同業中位數 25.8x</v>
      </c>
    </row>
    <row r="46" customFormat="false" ht="17.15" hidden="false" customHeight="false" outlineLevel="0" collapsed="false">
      <c r="A46" s="5" t="s">
        <v>772</v>
      </c>
      <c r="B46" s="31" t="str">
        <f aca="false">TEXT(D23,"#,##0")&amp;"～"&amp;TEXT(B23,"#,##0")</f>
        <v>760～1,354</v>
      </c>
      <c r="E46" s="8" t="s">
        <v>773</v>
      </c>
    </row>
    <row r="47" customFormat="false" ht="17.15" hidden="false" customHeight="false" outlineLevel="0" collapsed="false">
      <c r="A47" s="5" t="s">
        <v>774</v>
      </c>
      <c r="B47" s="32" t="n">
        <f aca="false">IF(px/B9&lt;MIN(F62:F71),0,IF(px/B9&gt;MAX(F62:F71),1,PERCENTRANK(F62:F71,px/B9)))</f>
        <v>0.481</v>
      </c>
      <c r="C47" s="32" t="n">
        <f aca="false">IF(px/C9&lt;MIN(F62:F71),0,IF(px/C9&gt;MAX(F62:F71),1,PERCENTRANK(F62:F71,px/C9)))</f>
        <v>0.675</v>
      </c>
      <c r="D47" s="32" t="n">
        <f aca="false">IF(px/D9&lt;MIN(F62:F71),0,IF(px/D9&gt;MAX(F62:F71),1,PERCENTRANK(F62:F71,px/D9)))</f>
        <v>0.777</v>
      </c>
      <c r="E47" s="5" t="s">
        <v>775</v>
      </c>
    </row>
    <row r="48" customFormat="false" ht="17.15" hidden="false" customHeight="false" outlineLevel="0" collapsed="false">
      <c r="A48" s="5" t="s">
        <v>776</v>
      </c>
      <c r="B48" s="0" t="s">
        <v>777</v>
      </c>
    </row>
    <row r="60" customFormat="false" ht="17.15" hidden="false" customHeight="false" outlineLevel="0" collapsed="false">
      <c r="A60" s="1" t="s">
        <v>778</v>
      </c>
    </row>
    <row r="61" customFormat="false" ht="17.15" hidden="false" customHeight="false" outlineLevel="0" collapsed="false">
      <c r="A61" s="6" t="s">
        <v>779</v>
      </c>
      <c r="B61" s="6" t="s">
        <v>780</v>
      </c>
      <c r="C61" s="6" t="s">
        <v>781</v>
      </c>
      <c r="D61" s="6" t="s">
        <v>782</v>
      </c>
      <c r="E61" s="6" t="s">
        <v>783</v>
      </c>
      <c r="F61" s="15" t="s">
        <v>784</v>
      </c>
      <c r="G61" s="15"/>
      <c r="H61" s="15"/>
      <c r="I61" s="6" t="s">
        <v>28</v>
      </c>
      <c r="J61" s="6" t="s">
        <v>468</v>
      </c>
    </row>
    <row r="62" customFormat="false" ht="17.15" hidden="false" customHeight="false" outlineLevel="0" collapsed="false">
      <c r="A62" s="0" t="s">
        <v>785</v>
      </c>
      <c r="B62" s="18" t="n">
        <v>549</v>
      </c>
      <c r="C62" s="13" t="n">
        <v>548</v>
      </c>
      <c r="D62" s="33" t="n">
        <f aca="false">B62/C62-1</f>
        <v>0.00182481751824826</v>
      </c>
      <c r="E62" s="19" t="n">
        <f aca="false">Hist!J6</f>
        <v>51.5466666666667</v>
      </c>
      <c r="F62" s="24" t="n">
        <f aca="false">B62/E62</f>
        <v>10.650543197103</v>
      </c>
      <c r="I62" s="8" t="s">
        <v>35</v>
      </c>
      <c r="J62" s="5" t="s">
        <v>786</v>
      </c>
    </row>
    <row r="63" customFormat="false" ht="15" hidden="false" customHeight="false" outlineLevel="0" collapsed="false">
      <c r="A63" s="0" t="s">
        <v>787</v>
      </c>
      <c r="B63" s="18" t="n">
        <v>730</v>
      </c>
      <c r="C63" s="13" t="n">
        <v>729</v>
      </c>
      <c r="D63" s="33" t="n">
        <f aca="false">B63/C63-1</f>
        <v>0.00137174211248281</v>
      </c>
      <c r="E63" s="19" t="n">
        <f aca="false">Hist!J7</f>
        <v>40.34</v>
      </c>
      <c r="F63" s="24" t="n">
        <f aca="false">B63/E63</f>
        <v>18.096182449182</v>
      </c>
      <c r="I63" s="8" t="s">
        <v>35</v>
      </c>
    </row>
    <row r="64" customFormat="false" ht="15" hidden="false" customHeight="false" outlineLevel="0" collapsed="false">
      <c r="A64" s="0" t="s">
        <v>788</v>
      </c>
      <c r="B64" s="18" t="n">
        <v>194.33</v>
      </c>
      <c r="C64" s="13" t="n">
        <v>194</v>
      </c>
      <c r="D64" s="33" t="n">
        <f aca="false">B64/C64-1</f>
        <v>0.00170103092783513</v>
      </c>
      <c r="E64" s="19" t="n">
        <f aca="false">Hist!J8</f>
        <v>11.6966666666667</v>
      </c>
      <c r="F64" s="24" t="n">
        <f aca="false">B64/E64</f>
        <v>16.6141350812197</v>
      </c>
      <c r="I64" s="8" t="s">
        <v>35</v>
      </c>
    </row>
    <row r="65" customFormat="false" ht="17.15" hidden="false" customHeight="false" outlineLevel="0" collapsed="false">
      <c r="A65" s="0" t="s">
        <v>789</v>
      </c>
      <c r="B65" s="18" t="n">
        <v>394</v>
      </c>
      <c r="C65" s="13" t="n">
        <v>393</v>
      </c>
      <c r="D65" s="33" t="n">
        <f aca="false">B65/C65-1</f>
        <v>0.00254452926208648</v>
      </c>
      <c r="E65" s="19" t="n">
        <f aca="false">Hist!J9</f>
        <v>4.91666666666667</v>
      </c>
      <c r="F65" s="24" t="n">
        <f aca="false">B65/E65</f>
        <v>80.135593220339</v>
      </c>
      <c r="I65" s="8" t="s">
        <v>35</v>
      </c>
      <c r="J65" s="8" t="s">
        <v>790</v>
      </c>
    </row>
    <row r="66" customFormat="false" ht="15" hidden="false" customHeight="false" outlineLevel="0" collapsed="false">
      <c r="A66" s="0" t="s">
        <v>791</v>
      </c>
      <c r="B66" s="18" t="n">
        <v>700.33</v>
      </c>
      <c r="C66" s="13" t="n">
        <v>700</v>
      </c>
      <c r="D66" s="33" t="n">
        <f aca="false">B66/C66-1</f>
        <v>0.000471428571428678</v>
      </c>
      <c r="E66" s="19" t="n">
        <f aca="false">Hist!J10</f>
        <v>35.4966666666667</v>
      </c>
      <c r="F66" s="24" t="n">
        <f aca="false">B66/E66</f>
        <v>19.7294581650859</v>
      </c>
      <c r="I66" s="8" t="s">
        <v>35</v>
      </c>
    </row>
    <row r="67" customFormat="false" ht="15" hidden="false" customHeight="false" outlineLevel="0" collapsed="false">
      <c r="A67" s="0" t="s">
        <v>792</v>
      </c>
      <c r="B67" s="18" t="n">
        <v>1081.67</v>
      </c>
      <c r="C67" s="13" t="n">
        <v>1081</v>
      </c>
      <c r="D67" s="33" t="n">
        <f aca="false">B67/C67-1</f>
        <v>0.000619796484736312</v>
      </c>
      <c r="E67" s="19" t="n">
        <f aca="false">Hist!J11</f>
        <v>108.36</v>
      </c>
      <c r="F67" s="24" t="n">
        <f aca="false">B67/E67</f>
        <v>9.98218899963086</v>
      </c>
      <c r="I67" s="8" t="s">
        <v>35</v>
      </c>
    </row>
    <row r="68" customFormat="false" ht="15" hidden="false" customHeight="false" outlineLevel="0" collapsed="false">
      <c r="A68" s="0" t="s">
        <v>793</v>
      </c>
      <c r="B68" s="18" t="n">
        <v>563.33</v>
      </c>
      <c r="C68" s="13" t="n">
        <v>563</v>
      </c>
      <c r="D68" s="33" t="n">
        <f aca="false">B68/C68-1</f>
        <v>0.000586145648312719</v>
      </c>
      <c r="E68" s="19" t="n">
        <f aca="false">Hist!J12</f>
        <v>97.9</v>
      </c>
      <c r="F68" s="24" t="n">
        <f aca="false">B68/E68</f>
        <v>5.75413687436159</v>
      </c>
      <c r="I68" s="8" t="s">
        <v>35</v>
      </c>
    </row>
    <row r="69" customFormat="false" ht="15" hidden="false" customHeight="false" outlineLevel="0" collapsed="false">
      <c r="A69" s="0" t="s">
        <v>794</v>
      </c>
      <c r="B69" s="18" t="n">
        <v>2376.67</v>
      </c>
      <c r="C69" s="13" t="n">
        <v>2376</v>
      </c>
      <c r="D69" s="33" t="n">
        <f aca="false">B69/C69-1</f>
        <v>0.000281986531986522</v>
      </c>
      <c r="E69" s="19" t="n">
        <f aca="false">Hist!J13</f>
        <v>85.9</v>
      </c>
      <c r="F69" s="24" t="n">
        <f aca="false">B69/E69</f>
        <v>27.6678696158324</v>
      </c>
      <c r="I69" s="8" t="s">
        <v>35</v>
      </c>
    </row>
    <row r="70" customFormat="false" ht="15" hidden="false" customHeight="false" outlineLevel="0" collapsed="false">
      <c r="A70" s="0" t="s">
        <v>795</v>
      </c>
      <c r="B70" s="18" t="n">
        <v>1546</v>
      </c>
      <c r="C70" s="13" t="n">
        <v>1546</v>
      </c>
      <c r="D70" s="33" t="n">
        <f aca="false">B70/C70-1</f>
        <v>0</v>
      </c>
      <c r="E70" s="19" t="n">
        <f aca="false">Hist!J14</f>
        <v>108.28</v>
      </c>
      <c r="F70" s="24" t="n">
        <f aca="false">B70/E70</f>
        <v>14.2777983007019</v>
      </c>
      <c r="I70" s="8" t="s">
        <v>35</v>
      </c>
    </row>
    <row r="71" customFormat="false" ht="15" hidden="false" customHeight="false" outlineLevel="0" collapsed="false">
      <c r="A71" s="0" t="s">
        <v>796</v>
      </c>
      <c r="B71" s="18" t="n">
        <v>2150</v>
      </c>
      <c r="C71" s="13" t="n">
        <v>2150</v>
      </c>
      <c r="D71" s="33" t="n">
        <f aca="false">B71/C71-1</f>
        <v>0</v>
      </c>
      <c r="E71" s="19" t="n">
        <f aca="false">Hist!J15</f>
        <v>61.22</v>
      </c>
      <c r="F71" s="24" t="n">
        <f aca="false">B71/E71</f>
        <v>35.1192420777524</v>
      </c>
      <c r="I71" s="8" t="s">
        <v>35</v>
      </c>
    </row>
    <row r="73" customFormat="false" ht="17.15" hidden="false" customHeight="false" outlineLevel="0" collapsed="false">
      <c r="A73" s="5" t="s">
        <v>797</v>
      </c>
    </row>
    <row r="75" customFormat="false" ht="17.15" hidden="false" customHeight="false" outlineLevel="0" collapsed="false">
      <c r="A75" s="1" t="s">
        <v>798</v>
      </c>
    </row>
    <row r="76" customFormat="false" ht="17.15" hidden="false" customHeight="false" outlineLevel="0" collapsed="false">
      <c r="A76" s="6" t="s">
        <v>799</v>
      </c>
      <c r="B76" s="15" t="s">
        <v>784</v>
      </c>
      <c r="C76" s="6" t="s">
        <v>800</v>
      </c>
    </row>
    <row r="77" customFormat="false" ht="17.15" hidden="false" customHeight="false" outlineLevel="0" collapsed="false">
      <c r="A77" s="0" t="s">
        <v>801</v>
      </c>
      <c r="B77" s="24" t="n">
        <f aca="false">PERCENTILE(F62:F71,0.25)</f>
        <v>11.5573569730027</v>
      </c>
      <c r="C77" s="5" t="s">
        <v>802</v>
      </c>
    </row>
    <row r="78" customFormat="false" ht="15" hidden="false" customHeight="false" outlineLevel="0" collapsed="false">
      <c r="A78" s="5" t="s">
        <v>803</v>
      </c>
      <c r="B78" s="24" t="n">
        <f aca="false">PERCENTILE(F62:F71,0.5)</f>
        <v>17.3551587652008</v>
      </c>
      <c r="C78" s="5" t="s">
        <v>804</v>
      </c>
    </row>
    <row r="79" customFormat="false" ht="17.15" hidden="false" customHeight="false" outlineLevel="0" collapsed="false">
      <c r="A79" s="0" t="s">
        <v>805</v>
      </c>
      <c r="B79" s="24" t="n">
        <f aca="false">PERCENTILE(F62:F71,0.75)</f>
        <v>25.6832667531458</v>
      </c>
      <c r="C79" s="5" t="s">
        <v>806</v>
      </c>
    </row>
    <row r="80" customFormat="false" ht="15" hidden="false" customHeight="false" outlineLevel="0" collapsed="false">
      <c r="A80" s="5" t="s">
        <v>807</v>
      </c>
      <c r="B80" s="0" t="n">
        <f aca="false">COUNT(F62:F71)</f>
        <v>10</v>
      </c>
    </row>
    <row r="81" customFormat="false" ht="17.15" hidden="false" customHeight="false" outlineLevel="0" collapsed="false">
      <c r="A81" s="5" t="s">
        <v>808</v>
      </c>
      <c r="B81" s="24" t="n">
        <f aca="false">PERCENTILE((F62:F64~F66:F71),0.25)</f>
        <v>10.650543197103</v>
      </c>
      <c r="C81" s="24" t="n">
        <f aca="false">PERCENTILE((F62:F64~F66:F71),0.5)</f>
        <v>16.6141350812197</v>
      </c>
      <c r="D81" s="24" t="n">
        <f aca="false">PERCENTILE((F62:F64~F66:F71),0.75)</f>
        <v>19.7294581650859</v>
      </c>
    </row>
    <row r="83" customFormat="false" ht="17.15" hidden="false" customHeight="false" outlineLevel="0" collapsed="false">
      <c r="A83" s="1" t="s">
        <v>809</v>
      </c>
    </row>
    <row r="84" customFormat="false" ht="17.15" hidden="false" customHeight="false" outlineLevel="0" collapsed="false">
      <c r="A84" s="5" t="s">
        <v>810</v>
      </c>
    </row>
    <row r="85" customFormat="false" ht="17.15" hidden="false" customHeight="false" outlineLevel="0" collapsed="false">
      <c r="A85" s="6" t="s">
        <v>811</v>
      </c>
      <c r="B85" s="6" t="s">
        <v>812</v>
      </c>
      <c r="C85" s="15" t="s">
        <v>813</v>
      </c>
      <c r="D85" s="6" t="s">
        <v>814</v>
      </c>
      <c r="E85" s="6" t="s">
        <v>815</v>
      </c>
    </row>
    <row r="86" customFormat="false" ht="15" hidden="false" customHeight="false" outlineLevel="0" collapsed="false">
      <c r="A86" s="0" t="s">
        <v>816</v>
      </c>
      <c r="B86" s="0" t="n">
        <f aca="false">pk_A</f>
        <v>2029</v>
      </c>
      <c r="C86" s="7" t="n">
        <v>2027</v>
      </c>
      <c r="D86" s="0" t="str">
        <f aca="false">IF(C86&lt;pk_A,"中段",IF(C86=pk_A,"見頂","谷底"))</f>
        <v>中段</v>
      </c>
      <c r="E86" s="24" t="n">
        <f aca="false">IF(D86="見頂",pe_peak,IF(D86="谷底",pe_trough,pe_mid))</f>
        <v>17.3551587652008</v>
      </c>
    </row>
    <row r="87" customFormat="false" ht="15" hidden="false" customHeight="false" outlineLevel="0" collapsed="false">
      <c r="A87" s="0" t="s">
        <v>817</v>
      </c>
      <c r="B87" s="0" t="n">
        <f aca="false">pk_B</f>
        <v>2028</v>
      </c>
      <c r="C87" s="7" t="n">
        <v>2027</v>
      </c>
      <c r="D87" s="0" t="str">
        <f aca="false">IF(C87&lt;pk_B,"中段",IF(C87=pk_B,"見頂","谷底"))</f>
        <v>中段</v>
      </c>
      <c r="E87" s="24" t="n">
        <f aca="false">IF(D87="見頂",pe_peak,IF(D87="谷底",pe_trough,pe_mid))</f>
        <v>17.3551587652008</v>
      </c>
    </row>
    <row r="88" customFormat="false" ht="15" hidden="false" customHeight="false" outlineLevel="0" collapsed="false">
      <c r="A88" s="0" t="s">
        <v>818</v>
      </c>
      <c r="B88" s="0" t="n">
        <f aca="false">pk_C</f>
        <v>2027</v>
      </c>
      <c r="C88" s="7" t="n">
        <v>2027</v>
      </c>
      <c r="D88" s="0" t="str">
        <f aca="false">IF(C88&lt;pk_C,"中段",IF(C88=pk_C,"見頂","谷底"))</f>
        <v>見頂</v>
      </c>
      <c r="E88" s="24" t="n">
        <f aca="false">IF(D88="見頂",pe_peak,IF(D88="谷底",pe_trough,pe_mid))</f>
        <v>11.5573569730027</v>
      </c>
    </row>
    <row r="90" customFormat="false" ht="17.15" hidden="false" customHeight="false" outlineLevel="0" collapsed="false">
      <c r="A90" s="1" t="s">
        <v>819</v>
      </c>
    </row>
    <row r="91" customFormat="false" ht="17.15" hidden="false" customHeight="false" outlineLevel="0" collapsed="false">
      <c r="A91" s="6" t="s">
        <v>811</v>
      </c>
      <c r="B91" s="15" t="s">
        <v>820</v>
      </c>
      <c r="C91" s="15" t="s">
        <v>622</v>
      </c>
      <c r="D91" s="6" t="s">
        <v>821</v>
      </c>
      <c r="E91" s="6" t="s">
        <v>815</v>
      </c>
      <c r="F91" s="6" t="s">
        <v>822</v>
      </c>
      <c r="G91" s="6" t="s">
        <v>823</v>
      </c>
      <c r="H91" s="6" t="s">
        <v>824</v>
      </c>
    </row>
    <row r="92" customFormat="false" ht="15" hidden="false" customHeight="false" outlineLevel="0" collapsed="false">
      <c r="A92" s="34" t="s">
        <v>816</v>
      </c>
      <c r="B92" s="34" t="s">
        <v>610</v>
      </c>
      <c r="C92" s="35" t="n">
        <f aca="false">PL!E17</f>
        <v>101.315483070636</v>
      </c>
      <c r="D92" s="34" t="str">
        <f aca="false">"規則值："&amp;D86</f>
        <v>規則值：中段</v>
      </c>
      <c r="E92" s="36" t="n">
        <f aca="false">E86</f>
        <v>17.3551587652008</v>
      </c>
      <c r="F92" s="29" t="n">
        <f aca="false">C92*E92</f>
        <v>1758.3462940639</v>
      </c>
      <c r="G92" s="37" t="n">
        <f aca="false">F92/px-1</f>
        <v>-0.106531354642325</v>
      </c>
      <c r="H92" s="34"/>
    </row>
    <row r="93" customFormat="false" ht="17.15" hidden="false" customHeight="false" outlineLevel="0" collapsed="false">
      <c r="A93" s="0" t="s">
        <v>816</v>
      </c>
      <c r="B93" s="0" t="s">
        <v>610</v>
      </c>
      <c r="C93" s="22" t="n">
        <f aca="false">PL!E17</f>
        <v>101.315483070636</v>
      </c>
      <c r="D93" s="5" t="s">
        <v>825</v>
      </c>
      <c r="E93" s="24" t="n">
        <f aca="false">pe_peak</f>
        <v>11.5573569730027</v>
      </c>
      <c r="F93" s="14" t="n">
        <f aca="false">C93*E93</f>
        <v>1170.93920473955</v>
      </c>
      <c r="G93" s="32" t="n">
        <f aca="false">F93/px-1</f>
        <v>-0.405010566697384</v>
      </c>
    </row>
    <row r="94" customFormat="false" ht="15" hidden="false" customHeight="false" outlineLevel="0" collapsed="false">
      <c r="A94" s="0" t="s">
        <v>816</v>
      </c>
      <c r="B94" s="0" t="s">
        <v>610</v>
      </c>
      <c r="C94" s="22" t="n">
        <f aca="false">PL!E17</f>
        <v>101.315483070636</v>
      </c>
      <c r="D94" s="5" t="s">
        <v>826</v>
      </c>
      <c r="E94" s="24" t="n">
        <f aca="false">pe_mid</f>
        <v>17.3551587652008</v>
      </c>
      <c r="F94" s="14" t="n">
        <f aca="false">C94*E94</f>
        <v>1758.3462940639</v>
      </c>
      <c r="G94" s="32" t="n">
        <f aca="false">F94/px-1</f>
        <v>-0.106531354642325</v>
      </c>
    </row>
    <row r="95" customFormat="false" ht="17.15" hidden="false" customHeight="false" outlineLevel="0" collapsed="false">
      <c r="A95" s="0" t="s">
        <v>816</v>
      </c>
      <c r="B95" s="0" t="s">
        <v>610</v>
      </c>
      <c r="C95" s="22" t="n">
        <f aca="false">PL!E17</f>
        <v>101.315483070636</v>
      </c>
      <c r="D95" s="5" t="s">
        <v>827</v>
      </c>
      <c r="E95" s="24" t="n">
        <f aca="false">pe_trough</f>
        <v>25.6832667531458</v>
      </c>
      <c r="F95" s="14" t="n">
        <f aca="false">C95*E95</f>
        <v>2602.11257792696</v>
      </c>
      <c r="G95" s="32" t="n">
        <f aca="false">F95/px-1</f>
        <v>0.322211675775897</v>
      </c>
    </row>
    <row r="96" customFormat="false" ht="17.15" hidden="false" customHeight="false" outlineLevel="0" collapsed="false">
      <c r="A96" s="0" t="s">
        <v>816</v>
      </c>
      <c r="B96" s="0" t="s">
        <v>611</v>
      </c>
      <c r="C96" s="22" t="n">
        <f aca="false">PL!F17</f>
        <v>115.048693848482</v>
      </c>
      <c r="D96" s="5" t="s">
        <v>828</v>
      </c>
      <c r="E96" s="24" t="n">
        <f aca="false">pe_mid</f>
        <v>17.3551587652008</v>
      </c>
      <c r="F96" s="14" t="n">
        <f aca="false">C96*E96</f>
        <v>1996.68834746938</v>
      </c>
      <c r="G96" s="32" t="n">
        <f aca="false">F96/px-1</f>
        <v>0.0145774123320044</v>
      </c>
    </row>
    <row r="97" customFormat="false" ht="15" hidden="false" customHeight="false" outlineLevel="0" collapsed="false">
      <c r="A97" s="34" t="s">
        <v>817</v>
      </c>
      <c r="B97" s="34" t="s">
        <v>610</v>
      </c>
      <c r="C97" s="35" t="n">
        <f aca="false">PL!E33</f>
        <v>88.6587642081702</v>
      </c>
      <c r="D97" s="34" t="str">
        <f aca="false">"規則值："&amp;D87</f>
        <v>規則值：中段</v>
      </c>
      <c r="E97" s="36" t="n">
        <f aca="false">E87</f>
        <v>17.3551587652008</v>
      </c>
      <c r="F97" s="29" t="n">
        <f aca="false">C97*E97</f>
        <v>1538.6869287593</v>
      </c>
      <c r="G97" s="37" t="n">
        <f aca="false">F97/px-1</f>
        <v>-0.218146885793039</v>
      </c>
      <c r="H97" s="34"/>
    </row>
    <row r="98" customFormat="false" ht="17.15" hidden="false" customHeight="false" outlineLevel="0" collapsed="false">
      <c r="A98" s="0" t="s">
        <v>817</v>
      </c>
      <c r="B98" s="0" t="s">
        <v>610</v>
      </c>
      <c r="C98" s="22" t="n">
        <f aca="false">PL!E33</f>
        <v>88.6587642081702</v>
      </c>
      <c r="D98" s="5" t="s">
        <v>825</v>
      </c>
      <c r="E98" s="24" t="n">
        <f aca="false">pe_peak</f>
        <v>11.5573569730027</v>
      </c>
      <c r="F98" s="14" t="n">
        <f aca="false">C98*E98</f>
        <v>1024.6609867391</v>
      </c>
      <c r="G98" s="32" t="n">
        <f aca="false">F98/px-1</f>
        <v>-0.479338929502492</v>
      </c>
    </row>
    <row r="99" customFormat="false" ht="15" hidden="false" customHeight="false" outlineLevel="0" collapsed="false">
      <c r="A99" s="0" t="s">
        <v>817</v>
      </c>
      <c r="B99" s="0" t="s">
        <v>610</v>
      </c>
      <c r="C99" s="22" t="n">
        <f aca="false">PL!E33</f>
        <v>88.6587642081702</v>
      </c>
      <c r="D99" s="5" t="s">
        <v>826</v>
      </c>
      <c r="E99" s="24" t="n">
        <f aca="false">pe_mid</f>
        <v>17.3551587652008</v>
      </c>
      <c r="F99" s="14" t="n">
        <f aca="false">C99*E99</f>
        <v>1538.6869287593</v>
      </c>
      <c r="G99" s="32" t="n">
        <f aca="false">F99/px-1</f>
        <v>-0.218146885793039</v>
      </c>
    </row>
    <row r="100" customFormat="false" ht="17.15" hidden="false" customHeight="false" outlineLevel="0" collapsed="false">
      <c r="A100" s="0" t="s">
        <v>817</v>
      </c>
      <c r="B100" s="0" t="s">
        <v>610</v>
      </c>
      <c r="C100" s="22" t="n">
        <f aca="false">PL!E33</f>
        <v>88.6587642081702</v>
      </c>
      <c r="D100" s="5" t="s">
        <v>827</v>
      </c>
      <c r="E100" s="24" t="n">
        <f aca="false">pe_trough</f>
        <v>25.6832667531458</v>
      </c>
      <c r="F100" s="14" t="n">
        <f aca="false">C100*E100</f>
        <v>2277.04669116269</v>
      </c>
      <c r="G100" s="32" t="n">
        <f aca="false">F100/px-1</f>
        <v>0.157035920306243</v>
      </c>
    </row>
    <row r="101" customFormat="false" ht="17.15" hidden="false" customHeight="false" outlineLevel="0" collapsed="false">
      <c r="A101" s="0" t="s">
        <v>817</v>
      </c>
      <c r="B101" s="0" t="s">
        <v>611</v>
      </c>
      <c r="C101" s="22" t="n">
        <f aca="false">PL!F33</f>
        <v>96.7747681335011</v>
      </c>
      <c r="D101" s="5" t="s">
        <v>828</v>
      </c>
      <c r="E101" s="24" t="n">
        <f aca="false">pe_mid</f>
        <v>17.3551587652008</v>
      </c>
      <c r="F101" s="14" t="n">
        <f aca="false">C101*E101</f>
        <v>1679.54146542241</v>
      </c>
      <c r="G101" s="32" t="n">
        <f aca="false">F101/px-1</f>
        <v>-0.146574458626824</v>
      </c>
    </row>
    <row r="102" customFormat="false" ht="15" hidden="false" customHeight="false" outlineLevel="0" collapsed="false">
      <c r="A102" s="34" t="s">
        <v>818</v>
      </c>
      <c r="B102" s="34" t="s">
        <v>610</v>
      </c>
      <c r="C102" s="35" t="n">
        <f aca="false">PL!E49</f>
        <v>78.4610666135855</v>
      </c>
      <c r="D102" s="34" t="str">
        <f aca="false">"規則值："&amp;D88</f>
        <v>規則值：見頂</v>
      </c>
      <c r="E102" s="36" t="n">
        <f aca="false">E88</f>
        <v>11.5573569730027</v>
      </c>
      <c r="F102" s="29" t="n">
        <f aca="false">C102*E102</f>
        <v>906.80255533575</v>
      </c>
      <c r="G102" s="37" t="n">
        <f aca="false">F102/px-1</f>
        <v>-0.53922634383346</v>
      </c>
      <c r="H102" s="34"/>
    </row>
    <row r="103" customFormat="false" ht="17.15" hidden="false" customHeight="false" outlineLevel="0" collapsed="false">
      <c r="A103" s="0" t="s">
        <v>818</v>
      </c>
      <c r="B103" s="0" t="s">
        <v>610</v>
      </c>
      <c r="C103" s="22" t="n">
        <f aca="false">PL!E49</f>
        <v>78.4610666135855</v>
      </c>
      <c r="D103" s="5" t="s">
        <v>825</v>
      </c>
      <c r="E103" s="24" t="n">
        <f aca="false">pe_peak</f>
        <v>11.5573569730027</v>
      </c>
      <c r="F103" s="14" t="n">
        <f aca="false">C103*E103</f>
        <v>906.80255533575</v>
      </c>
      <c r="G103" s="32" t="n">
        <f aca="false">F103/px-1</f>
        <v>-0.53922634383346</v>
      </c>
    </row>
    <row r="104" customFormat="false" ht="15" hidden="false" customHeight="false" outlineLevel="0" collapsed="false">
      <c r="A104" s="0" t="s">
        <v>818</v>
      </c>
      <c r="B104" s="0" t="s">
        <v>610</v>
      </c>
      <c r="C104" s="22" t="n">
        <f aca="false">PL!E49</f>
        <v>78.4610666135855</v>
      </c>
      <c r="D104" s="5" t="s">
        <v>826</v>
      </c>
      <c r="E104" s="24" t="n">
        <f aca="false">pe_mid</f>
        <v>17.3551587652008</v>
      </c>
      <c r="F104" s="14" t="n">
        <f aca="false">C104*E104</f>
        <v>1361.70426796578</v>
      </c>
      <c r="G104" s="32" t="n">
        <f aca="false">F104/px-1</f>
        <v>-0.308077099610887</v>
      </c>
    </row>
    <row r="105" customFormat="false" ht="17.15" hidden="false" customHeight="false" outlineLevel="0" collapsed="false">
      <c r="A105" s="0" t="s">
        <v>818</v>
      </c>
      <c r="B105" s="0" t="s">
        <v>610</v>
      </c>
      <c r="C105" s="22" t="n">
        <f aca="false">PL!E49</f>
        <v>78.4610666135855</v>
      </c>
      <c r="D105" s="5" t="s">
        <v>827</v>
      </c>
      <c r="E105" s="24" t="n">
        <f aca="false">pe_trough</f>
        <v>25.6832667531458</v>
      </c>
      <c r="F105" s="14" t="n">
        <f aca="false">C105*E105</f>
        <v>2015.13650357305</v>
      </c>
      <c r="G105" s="32" t="n">
        <f aca="false">F105/px-1</f>
        <v>0.0239514753928123</v>
      </c>
    </row>
    <row r="106" customFormat="false" ht="17.15" hidden="false" customHeight="false" outlineLevel="0" collapsed="false">
      <c r="A106" s="0" t="s">
        <v>818</v>
      </c>
      <c r="B106" s="0" t="s">
        <v>611</v>
      </c>
      <c r="C106" s="22" t="n">
        <f aca="false">PL!F49</f>
        <v>71.3463334321136</v>
      </c>
      <c r="D106" s="5" t="s">
        <v>828</v>
      </c>
      <c r="E106" s="24" t="n">
        <f aca="false">pe_mid</f>
        <v>17.3551587652008</v>
      </c>
      <c r="F106" s="14" t="n">
        <f aca="false">C106*E106</f>
        <v>1238.22694402929</v>
      </c>
      <c r="G106" s="32" t="n">
        <f aca="false">F106/px-1</f>
        <v>-0.370819642261541</v>
      </c>
    </row>
    <row r="108" customFormat="false" ht="17.15" hidden="false" customHeight="false" outlineLevel="0" collapsed="false">
      <c r="A108" s="1" t="s">
        <v>829</v>
      </c>
    </row>
    <row r="109" customFormat="false" ht="17.15" hidden="false" customHeight="false" outlineLevel="0" collapsed="false">
      <c r="A109" s="6" t="s">
        <v>23</v>
      </c>
      <c r="B109" s="15" t="s">
        <v>830</v>
      </c>
      <c r="C109" s="15" t="s">
        <v>817</v>
      </c>
      <c r="D109" s="15" t="s">
        <v>818</v>
      </c>
      <c r="E109" s="6" t="s">
        <v>824</v>
      </c>
    </row>
    <row r="110" customFormat="false" ht="17.15" hidden="false" customHeight="false" outlineLevel="0" collapsed="false">
      <c r="A110" s="5" t="s">
        <v>831</v>
      </c>
      <c r="B110" s="14" t="n">
        <f aca="false">px</f>
        <v>1968</v>
      </c>
      <c r="E110" s="5" t="s">
        <v>832</v>
      </c>
    </row>
    <row r="111" customFormat="false" ht="17.15" hidden="false" customHeight="false" outlineLevel="0" collapsed="false">
      <c r="A111" s="0" t="s">
        <v>833</v>
      </c>
      <c r="B111" s="24" t="n">
        <f aca="false">px/a25_eps</f>
        <v>32.1463573995426</v>
      </c>
      <c r="E111" s="5" t="s">
        <v>834</v>
      </c>
    </row>
    <row r="112" customFormat="false" ht="17.15" hidden="false" customHeight="false" outlineLevel="0" collapsed="false">
      <c r="A112" s="0" t="s">
        <v>835</v>
      </c>
      <c r="B112" s="24" t="n">
        <f aca="false">px/(Q!C7+Q!D7+Q!E7+Q!G7)</f>
        <v>21.7795484727756</v>
      </c>
      <c r="E112" s="5" t="s">
        <v>836</v>
      </c>
    </row>
    <row r="113" customFormat="false" ht="17.15" hidden="false" customHeight="false" outlineLevel="0" collapsed="false">
      <c r="A113" s="0" t="s">
        <v>837</v>
      </c>
      <c r="B113" s="24" t="n">
        <f aca="false">px/g26_eps</f>
        <v>21.0932475884244</v>
      </c>
      <c r="E113" s="5" t="s">
        <v>838</v>
      </c>
    </row>
    <row r="114" customFormat="false" ht="17.15" hidden="false" customHeight="false" outlineLevel="0" collapsed="false">
      <c r="A114" s="5" t="s">
        <v>839</v>
      </c>
      <c r="B114" s="24" t="n">
        <f aca="false">sa_fpe</f>
        <v>17.54</v>
      </c>
      <c r="E114" s="5" t="s">
        <v>840</v>
      </c>
    </row>
    <row r="115" customFormat="false" ht="17.15" hidden="false" customHeight="false" outlineLevel="0" collapsed="false">
      <c r="A115" s="5" t="s">
        <v>841</v>
      </c>
      <c r="B115" s="24" t="n">
        <f aca="false">px/PL!E17</f>
        <v>19.4244743286466</v>
      </c>
      <c r="C115" s="24" t="n">
        <f aca="false">px/PL!E33</f>
        <v>22.1974670815301</v>
      </c>
      <c r="D115" s="24" t="n">
        <f aca="false">px/PL!E49</f>
        <v>25.082503781044</v>
      </c>
      <c r="E115" s="8" t="s">
        <v>842</v>
      </c>
    </row>
    <row r="116" customFormat="false" ht="17.15" hidden="false" customHeight="false" outlineLevel="0" collapsed="false">
      <c r="A116" s="5" t="s">
        <v>843</v>
      </c>
      <c r="B116" s="24" t="n">
        <f aca="false">px/PL!F17</f>
        <v>17.1058004586462</v>
      </c>
      <c r="C116" s="24" t="n">
        <f aca="false">px/PL!F33</f>
        <v>20.3358792581671</v>
      </c>
      <c r="D116" s="24" t="n">
        <f aca="false">px/PL!F49</f>
        <v>27.5837580619691</v>
      </c>
      <c r="E116" s="8" t="s">
        <v>842</v>
      </c>
    </row>
    <row r="118" customFormat="false" ht="17.15" hidden="false" customHeight="false" outlineLevel="0" collapsed="false">
      <c r="A118" s="1" t="s">
        <v>844</v>
      </c>
    </row>
    <row r="119" customFormat="false" ht="15" hidden="false" customHeight="false" outlineLevel="0" collapsed="false">
      <c r="A119" s="6" t="s">
        <v>23</v>
      </c>
      <c r="B119" s="6" t="s">
        <v>760</v>
      </c>
      <c r="C119" s="15"/>
      <c r="D119" s="15"/>
      <c r="E119" s="6" t="s">
        <v>468</v>
      </c>
    </row>
    <row r="120" customFormat="false" ht="17.15" hidden="false" customHeight="false" outlineLevel="0" collapsed="false">
      <c r="A120" s="5" t="s">
        <v>845</v>
      </c>
      <c r="B120" s="14" t="n">
        <f aca="false">tp_wA*F92+tp_wB*F97+tp_wC*F102</f>
        <v>1478.20786366597</v>
      </c>
      <c r="E120" s="5" t="s">
        <v>846</v>
      </c>
    </row>
    <row r="121" customFormat="false" ht="17.15" hidden="false" customHeight="false" outlineLevel="0" collapsed="false">
      <c r="A121" s="5" t="s">
        <v>847</v>
      </c>
      <c r="B121" s="11" t="n">
        <f aca="false">B120/px-1</f>
        <v>-0.248878118055909</v>
      </c>
    </row>
    <row r="122" customFormat="false" ht="17.15" hidden="false" customHeight="false" outlineLevel="0" collapsed="false">
      <c r="A122" s="5" t="s">
        <v>848</v>
      </c>
      <c r="B122" s="5" t="s">
        <v>849</v>
      </c>
    </row>
    <row r="124" customFormat="false" ht="17.15" hidden="false" customHeight="false" outlineLevel="0" collapsed="false">
      <c r="A124" s="5" t="s">
        <v>850</v>
      </c>
      <c r="B124" s="31" t="str">
        <f aca="false">IF(B42&gt;0.5,"大於 50%",IF(B42&gt;0.25,"25%–50%",IF(B42&gt;=0,"0%–25%",IF(B42&gt;=-0.25,"0%～−25%",IF(B42&gt;=-0.5,"−25%～−50%","小於 −50%")))))</f>
        <v>−25%～−50%</v>
      </c>
      <c r="E124" s="5" t="s">
        <v>851</v>
      </c>
    </row>
    <row r="125" customFormat="false" ht="17.15" hidden="false" customHeight="false" outlineLevel="0" collapsed="false">
      <c r="A125" s="5" t="s">
        <v>852</v>
      </c>
      <c r="B125" s="31" t="str">
        <f aca="false">IF(B42&gt;0.5,"強力買進",IF(B42&gt;0.25,"買進",IF(B42&gt;=-0.25,"中立",IF(B42&gt;=-0.5,"放空","強力放空"))))</f>
        <v>放空</v>
      </c>
      <c r="E125" s="5" t="s">
        <v>853</v>
      </c>
    </row>
    <row r="128" customFormat="false" ht="17.15" hidden="false" customHeight="false" outlineLevel="0" collapsed="false">
      <c r="A128" s="1" t="s">
        <v>854</v>
      </c>
    </row>
    <row r="129" customFormat="false" ht="17.15" hidden="false" customHeight="false" outlineLevel="0" collapsed="false">
      <c r="A129" s="5" t="s">
        <v>855</v>
      </c>
    </row>
    <row r="130" customFormat="false" ht="17.15" hidden="false" customHeight="false" outlineLevel="0" collapsed="false">
      <c r="A130" s="6" t="s">
        <v>856</v>
      </c>
      <c r="B130" s="6" t="s">
        <v>735</v>
      </c>
      <c r="C130" s="6" t="s">
        <v>857</v>
      </c>
      <c r="D130" s="15" t="s">
        <v>858</v>
      </c>
      <c r="E130" s="15" t="s">
        <v>859</v>
      </c>
      <c r="F130" s="15" t="s">
        <v>860</v>
      </c>
      <c r="G130" s="15" t="s">
        <v>861</v>
      </c>
      <c r="H130" s="15" t="s">
        <v>862</v>
      </c>
      <c r="I130" s="15" t="s">
        <v>863</v>
      </c>
      <c r="J130" s="15" t="s">
        <v>864</v>
      </c>
      <c r="K130" s="15" t="s">
        <v>865</v>
      </c>
      <c r="L130" s="15" t="s">
        <v>866</v>
      </c>
      <c r="M130" s="15" t="s">
        <v>867</v>
      </c>
      <c r="N130" s="6" t="s">
        <v>868</v>
      </c>
      <c r="O130" s="15" t="s">
        <v>869</v>
      </c>
      <c r="P130" s="6" t="s">
        <v>870</v>
      </c>
      <c r="Q130" s="6" t="s">
        <v>738</v>
      </c>
    </row>
    <row r="131" customFormat="false" ht="17.15" hidden="false" customHeight="false" outlineLevel="0" collapsed="false">
      <c r="A131" s="0" t="s">
        <v>871</v>
      </c>
      <c r="B131" s="0" t="s">
        <v>872</v>
      </c>
      <c r="C131" s="5" t="s">
        <v>873</v>
      </c>
      <c r="D131" s="38" t="n">
        <v>12.8675</v>
      </c>
      <c r="E131" s="38" t="n">
        <v>9.872</v>
      </c>
      <c r="F131" s="38" t="n">
        <v>11.5205</v>
      </c>
      <c r="G131" s="38" t="n">
        <v>14.2425</v>
      </c>
      <c r="H131" s="38" t="n">
        <v>14.544</v>
      </c>
      <c r="I131" s="38" t="n">
        <v>5.462</v>
      </c>
      <c r="J131" s="38" t="n">
        <v>7.932</v>
      </c>
      <c r="K131" s="38" t="n">
        <v>23.1465</v>
      </c>
      <c r="L131" s="38" t="n">
        <v>16.37</v>
      </c>
      <c r="M131" s="38" t="n">
        <v>20.646</v>
      </c>
      <c r="N131" s="8" t="n">
        <f aca="false">COUNT(D131:M131)</f>
        <v>10</v>
      </c>
      <c r="O131" s="21" t="n">
        <f aca="false">IF(N131&gt;0,MEDIAN(D131:M131),"")</f>
        <v>13.555</v>
      </c>
      <c r="P131" s="21" t="n">
        <f aca="false">IF(N131&gt;=7,O131,"")</f>
        <v>13.555</v>
      </c>
      <c r="Q131" s="8" t="s">
        <v>874</v>
      </c>
    </row>
    <row r="132" customFormat="false" ht="17.15" hidden="false" customHeight="false" outlineLevel="0" collapsed="false">
      <c r="A132" s="0" t="s">
        <v>739</v>
      </c>
      <c r="B132" s="0" t="s">
        <v>740</v>
      </c>
      <c r="C132" s="5" t="s">
        <v>875</v>
      </c>
      <c r="D132" s="38" t="n">
        <v>21.227</v>
      </c>
      <c r="E132" s="38" t="n">
        <v>18.311</v>
      </c>
      <c r="F132" s="38" t="n">
        <v>21.2065</v>
      </c>
      <c r="G132" s="38" t="n">
        <v>26.9885</v>
      </c>
      <c r="H132" s="38" t="n">
        <v>26.1895</v>
      </c>
      <c r="I132" s="38" t="n">
        <v>17.8975</v>
      </c>
      <c r="J132" s="38" t="n">
        <v>27.598</v>
      </c>
      <c r="K132" s="38" t="n">
        <v>40.0635</v>
      </c>
      <c r="L132" s="38" t="n">
        <v>33.295</v>
      </c>
      <c r="M132" s="38" t="n">
        <v>37.754</v>
      </c>
      <c r="N132" s="8" t="n">
        <f aca="false">COUNT(D132:M132)</f>
        <v>10</v>
      </c>
      <c r="O132" s="21" t="n">
        <f aca="false">IF(N132&gt;0,MEDIAN(D132:M132),"")</f>
        <v>26.589</v>
      </c>
      <c r="P132" s="21" t="n">
        <f aca="false">IF(N132&gt;=7,O132,"")</f>
        <v>26.589</v>
      </c>
      <c r="Q132" s="8" t="s">
        <v>876</v>
      </c>
    </row>
    <row r="133" customFormat="false" ht="17.15" hidden="false" customHeight="false" outlineLevel="0" collapsed="false">
      <c r="A133" s="5" t="s">
        <v>743</v>
      </c>
      <c r="B133" s="0" t="s">
        <v>744</v>
      </c>
      <c r="C133" s="5" t="s">
        <v>875</v>
      </c>
      <c r="D133" s="38" t="n">
        <v>13.679</v>
      </c>
      <c r="E133" s="38" t="n">
        <v>12.6285</v>
      </c>
      <c r="F133" s="38" t="n">
        <v>10.793</v>
      </c>
      <c r="G133" s="38" t="n">
        <v>13.5615</v>
      </c>
      <c r="H133" s="38" t="n">
        <v>14.4385</v>
      </c>
      <c r="I133" s="38" t="n">
        <v>8.611</v>
      </c>
      <c r="J133" s="38" t="n">
        <v>12.051</v>
      </c>
      <c r="K133" s="38" t="n">
        <v>17.5535</v>
      </c>
      <c r="L133" s="38" t="n">
        <v>13.9195</v>
      </c>
      <c r="M133" s="38" t="n">
        <v>21.042</v>
      </c>
      <c r="N133" s="8" t="n">
        <f aca="false">COUNT(D133:M133)</f>
        <v>10</v>
      </c>
      <c r="O133" s="21" t="n">
        <f aca="false">IF(N133&gt;0,MEDIAN(D133:M133),"")</f>
        <v>13.62025</v>
      </c>
      <c r="P133" s="21" t="n">
        <f aca="false">IF(N133&gt;=7,O133,"")</f>
        <v>13.62025</v>
      </c>
      <c r="Q133" s="8" t="s">
        <v>877</v>
      </c>
    </row>
    <row r="134" customFormat="false" ht="17.15" hidden="false" customHeight="false" outlineLevel="0" collapsed="false">
      <c r="A134" s="0" t="s">
        <v>746</v>
      </c>
      <c r="B134" s="0" t="s">
        <v>747</v>
      </c>
      <c r="C134" s="5" t="s">
        <v>875</v>
      </c>
      <c r="D134" s="38" t="n">
        <v>18.5965</v>
      </c>
      <c r="E134" s="38" t="n">
        <v>14.378</v>
      </c>
      <c r="F134" s="38" t="n">
        <v>16.3415</v>
      </c>
      <c r="G134" s="38" t="n">
        <v>21.023</v>
      </c>
      <c r="H134" s="38" t="n">
        <v>19.1925</v>
      </c>
      <c r="I134" s="38" t="n">
        <v>10.5945</v>
      </c>
      <c r="J134" s="38" t="n">
        <v>14.305</v>
      </c>
      <c r="K134" s="38" t="n">
        <v>23.1025</v>
      </c>
      <c r="L134" s="38" t="n">
        <v>20.718</v>
      </c>
      <c r="M134" s="38" t="n">
        <v>29.0835</v>
      </c>
      <c r="N134" s="8" t="n">
        <f aca="false">COUNT(D134:M134)</f>
        <v>10</v>
      </c>
      <c r="O134" s="21" t="n">
        <f aca="false">IF(N134&gt;0,MEDIAN(D134:M134),"")</f>
        <v>18.8945</v>
      </c>
      <c r="P134" s="21" t="n">
        <f aca="false">IF(N134&gt;=7,O134,"")</f>
        <v>18.8945</v>
      </c>
      <c r="Q134" s="8" t="s">
        <v>878</v>
      </c>
    </row>
    <row r="135" customFormat="false" ht="17.15" hidden="false" customHeight="false" outlineLevel="0" collapsed="false">
      <c r="A135" s="0" t="s">
        <v>749</v>
      </c>
      <c r="B135" s="0" t="s">
        <v>750</v>
      </c>
      <c r="C135" s="5" t="s">
        <v>875</v>
      </c>
      <c r="D135" s="38" t="n">
        <v>16.997</v>
      </c>
      <c r="E135" s="38" t="n">
        <v>12.1645</v>
      </c>
      <c r="F135" s="38" t="n">
        <v>17.0685</v>
      </c>
      <c r="G135" s="38" t="n">
        <v>26.015</v>
      </c>
      <c r="H135" s="38" t="n">
        <v>23.457</v>
      </c>
      <c r="I135" s="38" t="n">
        <v>18.0605</v>
      </c>
      <c r="J135" s="38" t="n">
        <v>29.8845</v>
      </c>
      <c r="K135" s="38" t="n">
        <v>38.1565</v>
      </c>
      <c r="L135" s="38" t="n">
        <v>37.0955</v>
      </c>
      <c r="M135" s="38" t="n">
        <v>44.0715</v>
      </c>
      <c r="N135" s="8" t="n">
        <f aca="false">COUNT(D135:M135)</f>
        <v>10</v>
      </c>
      <c r="O135" s="21" t="n">
        <f aca="false">IF(N135&gt;0,MEDIAN(D135:M135),"")</f>
        <v>24.736</v>
      </c>
      <c r="P135" s="21" t="n">
        <f aca="false">IF(N135&gt;=7,O135,"")</f>
        <v>24.736</v>
      </c>
      <c r="Q135" s="8" t="s">
        <v>879</v>
      </c>
    </row>
    <row r="136" customFormat="false" ht="17.15" hidden="false" customHeight="false" outlineLevel="0" collapsed="false">
      <c r="A136" s="0" t="s">
        <v>751</v>
      </c>
      <c r="B136" s="0" t="s">
        <v>752</v>
      </c>
      <c r="C136" s="5" t="s">
        <v>875</v>
      </c>
      <c r="D136" s="38" t="n">
        <v>14.699</v>
      </c>
      <c r="E136" s="38" t="n">
        <v>10.885</v>
      </c>
      <c r="F136" s="38" t="n">
        <v>18.2685</v>
      </c>
      <c r="G136" s="38" t="n">
        <v>17.7735</v>
      </c>
      <c r="H136" s="38" t="n">
        <v>14.6295</v>
      </c>
      <c r="I136" s="38" t="n">
        <v>9.362</v>
      </c>
      <c r="J136" s="38" t="n">
        <v>22.145</v>
      </c>
      <c r="K136" s="38" t="n">
        <v>23.597</v>
      </c>
      <c r="L136" s="38" t="n">
        <v>25.411</v>
      </c>
      <c r="M136" s="38" t="n">
        <v>25.2495</v>
      </c>
      <c r="N136" s="8" t="n">
        <f aca="false">COUNT(D136:M136)</f>
        <v>10</v>
      </c>
      <c r="O136" s="21" t="n">
        <f aca="false">IF(N136&gt;0,MEDIAN(D136:M136),"")</f>
        <v>18.021</v>
      </c>
      <c r="P136" s="21" t="n">
        <f aca="false">IF(N136&gt;=7,O136,"")</f>
        <v>18.021</v>
      </c>
      <c r="Q136" s="8" t="s">
        <v>880</v>
      </c>
    </row>
    <row r="138" customFormat="false" ht="17.15" hidden="false" customHeight="false" outlineLevel="0" collapsed="false">
      <c r="A138" s="5" t="s">
        <v>881</v>
      </c>
      <c r="B138" s="21" t="n">
        <f aca="false">P131</f>
        <v>13.555</v>
      </c>
      <c r="E138" s="5" t="s">
        <v>882</v>
      </c>
    </row>
    <row r="139" customFormat="false" ht="15" hidden="false" customHeight="false" outlineLevel="0" collapsed="false">
      <c r="A139" s="5" t="s">
        <v>883</v>
      </c>
      <c r="B139" s="39" t="n">
        <f aca="false">COUNT(P132:P136)</f>
        <v>5</v>
      </c>
    </row>
    <row r="140" customFormat="false" ht="17.15" hidden="false" customHeight="false" outlineLevel="0" collapsed="false">
      <c r="A140" s="5" t="s">
        <v>884</v>
      </c>
      <c r="B140" s="21" t="n">
        <f aca="false">IF(B139&gt;0,MEDIAN(P132:P136),"")</f>
        <v>18.8945</v>
      </c>
    </row>
    <row r="141" customFormat="false" ht="17.15" hidden="false" customHeight="false" outlineLevel="0" collapsed="false">
      <c r="A141" s="5" t="s">
        <v>885</v>
      </c>
      <c r="B141" s="21" t="n">
        <f aca="false">IF(AND(ISNUMBER(B138),B139&gt;=2),B138/B140,"")</f>
        <v>0.71740453571145</v>
      </c>
      <c r="E141" s="5" t="s">
        <v>886</v>
      </c>
    </row>
    <row r="142" customFormat="false" ht="17.15" hidden="false" customHeight="false" outlineLevel="0" collapsed="false">
      <c r="A142" s="5" t="s">
        <v>887</v>
      </c>
      <c r="B142" s="38" t="n">
        <v>0.5</v>
      </c>
      <c r="E142" s="8" t="s">
        <v>888</v>
      </c>
    </row>
    <row r="143" customFormat="false" ht="17.15" hidden="false" customHeight="false" outlineLevel="0" collapsed="false">
      <c r="A143" s="5" t="s">
        <v>889</v>
      </c>
      <c r="B143" s="38" t="n">
        <v>2</v>
      </c>
      <c r="E143" s="8" t="s">
        <v>890</v>
      </c>
    </row>
    <row r="144" customFormat="false" ht="17.15" hidden="false" customHeight="false" outlineLevel="0" collapsed="false">
      <c r="A144" s="3" t="s">
        <v>891</v>
      </c>
      <c r="B144" s="40" t="n">
        <f aca="false">IF(ISNUMBER(B141),MIN(MAX(B141,B142),B143),1)</f>
        <v>0.71740453571145</v>
      </c>
      <c r="E144" s="5" t="s">
        <v>892</v>
      </c>
    </row>
    <row r="145" customFormat="false" ht="17.15" hidden="false" customHeight="false" outlineLevel="0" collapsed="false">
      <c r="A145" s="1" t="s">
        <v>893</v>
      </c>
      <c r="B145" s="29" t="n">
        <f aca="false">Val!$B$35*B144</f>
        <v>1747.80489631355</v>
      </c>
      <c r="E145" s="5" t="s">
        <v>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895</v>
      </c>
    </row>
    <row r="3" customFormat="false" ht="17.15" hidden="false" customHeight="false" outlineLevel="0" collapsed="false">
      <c r="A3" s="6" t="s">
        <v>23</v>
      </c>
      <c r="B3" s="6" t="s">
        <v>896</v>
      </c>
      <c r="C3" s="6" t="s">
        <v>897</v>
      </c>
      <c r="D3" s="6" t="s">
        <v>898</v>
      </c>
      <c r="E3" s="6" t="s">
        <v>899</v>
      </c>
      <c r="F3" s="6" t="s">
        <v>900</v>
      </c>
      <c r="G3" s="6" t="s">
        <v>901</v>
      </c>
      <c r="H3" s="6" t="s">
        <v>902</v>
      </c>
      <c r="I3" s="6" t="s">
        <v>903</v>
      </c>
      <c r="J3" s="6" t="s">
        <v>468</v>
      </c>
    </row>
    <row r="4" customFormat="false" ht="17.15" hidden="false" customHeight="false" outlineLevel="0" collapsed="false">
      <c r="A4" s="1" t="s">
        <v>904</v>
      </c>
    </row>
    <row r="5" customFormat="false" ht="17.15" hidden="false" customHeight="false" outlineLevel="0" collapsed="false">
      <c r="A5" s="0" t="s">
        <v>905</v>
      </c>
      <c r="B5" s="19" t="n">
        <f aca="false">g26_rev</f>
        <v>64</v>
      </c>
      <c r="C5" s="19" t="n">
        <f aca="false">PL!D5</f>
        <v>64</v>
      </c>
      <c r="D5" s="11" t="n">
        <f aca="false">C5/B5-1</f>
        <v>0</v>
      </c>
      <c r="E5" s="19" t="n">
        <f aca="false">PL!D21</f>
        <v>64</v>
      </c>
      <c r="F5" s="11" t="n">
        <f aca="false">E5/B5-1</f>
        <v>0</v>
      </c>
      <c r="G5" s="19" t="n">
        <f aca="false">PL!D37</f>
        <v>64</v>
      </c>
      <c r="H5" s="11" t="n">
        <f aca="false">G5/B5-1</f>
        <v>0</v>
      </c>
      <c r="I5" s="5" t="s">
        <v>906</v>
      </c>
      <c r="J5" s="8" t="s">
        <v>907</v>
      </c>
    </row>
    <row r="6" customFormat="false" ht="17.15" hidden="false" customHeight="false" outlineLevel="0" collapsed="false">
      <c r="A6" s="0" t="s">
        <v>908</v>
      </c>
      <c r="B6" s="19" t="n">
        <f aca="false">g26_oi</f>
        <v>10.24</v>
      </c>
      <c r="C6" s="19" t="n">
        <f aca="false">PL!D14</f>
        <v>10.24</v>
      </c>
      <c r="D6" s="11" t="n">
        <f aca="false">C6/B6-1</f>
        <v>0</v>
      </c>
      <c r="E6" s="19" t="n">
        <f aca="false">PL!D30</f>
        <v>10.24</v>
      </c>
      <c r="F6" s="11" t="n">
        <f aca="false">E6/B6-1</f>
        <v>0</v>
      </c>
      <c r="G6" s="19" t="n">
        <f aca="false">PL!D46</f>
        <v>10.24</v>
      </c>
      <c r="H6" s="11" t="n">
        <f aca="false">G6/B6-1</f>
        <v>0</v>
      </c>
      <c r="I6" s="5" t="s">
        <v>909</v>
      </c>
    </row>
    <row r="7" customFormat="false" ht="17.15" hidden="false" customHeight="false" outlineLevel="0" collapsed="false">
      <c r="A7" s="0" t="s">
        <v>910</v>
      </c>
      <c r="B7" s="22" t="n">
        <f aca="false">g26_eps</f>
        <v>93.3</v>
      </c>
      <c r="C7" s="22" t="n">
        <f aca="false">PL!D17</f>
        <v>93.2961492201002</v>
      </c>
      <c r="D7" s="11" t="n">
        <f aca="false">C7/B7-1</f>
        <v>-4.12730964610697E-005</v>
      </c>
      <c r="E7" s="22" t="n">
        <f aca="false">PL!D33</f>
        <v>93.2961492201002</v>
      </c>
      <c r="F7" s="11" t="n">
        <f aca="false">E7/B7-1</f>
        <v>-4.12730964610697E-005</v>
      </c>
      <c r="G7" s="22" t="n">
        <f aca="false">PL!D49</f>
        <v>93.2961492201002</v>
      </c>
      <c r="H7" s="11" t="n">
        <f aca="false">G7/B7-1</f>
        <v>-4.12730964610697E-005</v>
      </c>
      <c r="I7" s="5" t="s">
        <v>911</v>
      </c>
      <c r="J7" s="5" t="s">
        <v>912</v>
      </c>
    </row>
    <row r="8" customFormat="false" ht="17.15" hidden="false" customHeight="false" outlineLevel="0" collapsed="false">
      <c r="A8" s="0" t="s">
        <v>913</v>
      </c>
      <c r="B8" s="19" t="n">
        <f aca="false">q1_rev*4</f>
        <v>64.732</v>
      </c>
      <c r="C8" s="19" t="n">
        <f aca="false">PL!D5</f>
        <v>64</v>
      </c>
      <c r="D8" s="11" t="n">
        <f aca="false">C8/B8-1</f>
        <v>-0.0113081628869801</v>
      </c>
      <c r="E8" s="19" t="n">
        <f aca="false">PL!D21</f>
        <v>64</v>
      </c>
      <c r="F8" s="11" t="n">
        <f aca="false">E8/B8-1</f>
        <v>-0.0113081628869801</v>
      </c>
      <c r="G8" s="19" t="n">
        <f aca="false">PL!D37</f>
        <v>64</v>
      </c>
      <c r="H8" s="11" t="n">
        <f aca="false">G8/B8-1</f>
        <v>-0.0113081628869799</v>
      </c>
      <c r="I8" s="5" t="s">
        <v>914</v>
      </c>
      <c r="J8" s="5" t="s">
        <v>915</v>
      </c>
    </row>
    <row r="9" customFormat="false" ht="17.15" hidden="false" customHeight="false" outlineLevel="0" collapsed="false">
      <c r="A9" s="0" t="s">
        <v>916</v>
      </c>
      <c r="B9" s="11" t="n">
        <f aca="false">q1_oi/q1_rev</f>
        <v>0.136686646480875</v>
      </c>
      <c r="C9" s="11" t="n">
        <f aca="false">PL!D15</f>
        <v>0.16</v>
      </c>
      <c r="D9" s="11" t="n">
        <f aca="false">C9-B9</f>
        <v>0.023313353519125</v>
      </c>
      <c r="E9" s="11" t="n">
        <f aca="false">PL!D31</f>
        <v>0.16</v>
      </c>
      <c r="F9" s="11" t="n">
        <f aca="false">E9-B9</f>
        <v>0.023313353519125</v>
      </c>
      <c r="G9" s="11" t="n">
        <f aca="false">PL!D47</f>
        <v>0.16</v>
      </c>
      <c r="H9" s="11" t="n">
        <f aca="false">G9-B9</f>
        <v>0.023313353519125</v>
      </c>
      <c r="I9" s="5" t="s">
        <v>917</v>
      </c>
      <c r="J9" s="5" t="s">
        <v>918</v>
      </c>
    </row>
    <row r="10" customFormat="false" ht="17.15" hidden="false" customHeight="false" outlineLevel="0" collapsed="false">
      <c r="A10" s="0" t="s">
        <v>919</v>
      </c>
      <c r="B10" s="19" t="n">
        <f aca="false">g26_semi+g26_las</f>
        <v>51.68</v>
      </c>
      <c r="C10" s="19" t="n">
        <f aca="false">PL!D99+PL!D94+PL!D95+PL!D98</f>
        <v>51.4568367341767</v>
      </c>
      <c r="D10" s="11" t="n">
        <f aca="false">C10/B10-1</f>
        <v>-0.00431817464828443</v>
      </c>
      <c r="E10" s="19" t="n">
        <f aca="false">PL!D150+PL!D145+PL!D146+PL!D149</f>
        <v>51.1880184261227</v>
      </c>
      <c r="F10" s="11" t="n">
        <f aca="false">E10/B10-1</f>
        <v>-0.00951976729638704</v>
      </c>
      <c r="G10" s="19" t="n">
        <f aca="false">PL!D201+PL!D196+PL!D197+PL!D200</f>
        <v>50.9912334351598</v>
      </c>
      <c r="H10" s="11" t="n">
        <f aca="false">G10/B10-1</f>
        <v>-0.0133275264094469</v>
      </c>
      <c r="I10" s="5" t="s">
        <v>920</v>
      </c>
      <c r="J10" s="5" t="s">
        <v>921</v>
      </c>
    </row>
    <row r="11" customFormat="false" ht="17.15" hidden="false" customHeight="false" outlineLevel="0" collapsed="false">
      <c r="A11" s="1" t="s">
        <v>922</v>
      </c>
    </row>
    <row r="12" customFormat="false" ht="17.15" hidden="false" customHeight="false" outlineLevel="0" collapsed="false">
      <c r="A12" s="5" t="s">
        <v>923</v>
      </c>
      <c r="B12" s="19" t="n">
        <f aca="false">PL!D86</f>
        <v>64</v>
      </c>
      <c r="C12" s="19" t="n">
        <f aca="false">PL!D84</f>
        <v>62.8026585722905</v>
      </c>
      <c r="D12" s="11" t="n">
        <f aca="false">C12/B12-1</f>
        <v>-0.0187084598079603</v>
      </c>
      <c r="E12" s="19" t="n">
        <f aca="false">PL!D135</f>
        <v>61.4849463728666</v>
      </c>
      <c r="F12" s="11" t="n">
        <f aca="false">E12/B12-1</f>
        <v>-0.0392977129239593</v>
      </c>
      <c r="G12" s="19" t="n">
        <f aca="false">PL!D186</f>
        <v>60.5548570707</v>
      </c>
      <c r="H12" s="11" t="n">
        <f aca="false">G12/B12-1</f>
        <v>-0.0538303582703129</v>
      </c>
      <c r="I12" s="8" t="s">
        <v>924</v>
      </c>
      <c r="J12" s="5" t="s">
        <v>925</v>
      </c>
    </row>
    <row r="13" customFormat="false" ht="17.15" hidden="false" customHeight="false" outlineLevel="0" collapsed="false">
      <c r="A13" s="5" t="s">
        <v>926</v>
      </c>
      <c r="B13" s="19" t="n">
        <f aca="false">g26_las</f>
        <v>3.25</v>
      </c>
      <c r="C13" s="19" t="n">
        <f aca="false">PL!D83</f>
        <v>2.5855863945336</v>
      </c>
      <c r="D13" s="11" t="n">
        <f aca="false">C13/B13-1</f>
        <v>-0.204434955528124</v>
      </c>
      <c r="E13" s="19" t="n">
        <f aca="false">PL!D134</f>
        <v>2.5855863945336</v>
      </c>
      <c r="F13" s="11" t="n">
        <f aca="false">E13/B13-1</f>
        <v>-0.204434955528124</v>
      </c>
      <c r="G13" s="19" t="n">
        <f aca="false">PL!D185</f>
        <v>2.5855863945336</v>
      </c>
      <c r="H13" s="11" t="n">
        <f aca="false">G13/B13-1</f>
        <v>-0.204434955528124</v>
      </c>
      <c r="I13" s="5" t="s">
        <v>927</v>
      </c>
      <c r="J13" s="5" t="s">
        <v>928</v>
      </c>
    </row>
    <row r="14" customFormat="false" ht="17.15" hidden="false" customHeight="false" outlineLevel="0" collapsed="false">
      <c r="A14" s="1" t="s">
        <v>929</v>
      </c>
    </row>
    <row r="15" customFormat="false" ht="17.15" hidden="false" customHeight="false" outlineLevel="0" collapsed="false">
      <c r="A15" s="5" t="s">
        <v>930</v>
      </c>
      <c r="B15" s="19" t="n">
        <f aca="false">cons_rev26</f>
        <v>69.3</v>
      </c>
      <c r="C15" s="19" t="n">
        <f aca="false">PL!D5</f>
        <v>64</v>
      </c>
      <c r="D15" s="11" t="n">
        <f aca="false">C15/B15-1</f>
        <v>-0.0764790764790765</v>
      </c>
      <c r="E15" s="19" t="n">
        <f aca="false">PL!D21</f>
        <v>64</v>
      </c>
      <c r="F15" s="11" t="n">
        <f aca="false">E15/B15-1</f>
        <v>-0.0764790764790765</v>
      </c>
      <c r="G15" s="19" t="n">
        <f aca="false">PL!D37</f>
        <v>64</v>
      </c>
      <c r="H15" s="11" t="n">
        <f aca="false">G15/B15-1</f>
        <v>-0.0764790764790763</v>
      </c>
      <c r="I15" s="8" t="s">
        <v>931</v>
      </c>
      <c r="J15" s="5" t="s">
        <v>932</v>
      </c>
    </row>
    <row r="16" customFormat="false" ht="17.15" hidden="false" customHeight="false" outlineLevel="0" collapsed="false">
      <c r="A16" s="5" t="s">
        <v>933</v>
      </c>
      <c r="B16" s="19" t="n">
        <f aca="false">cons_oi26</f>
        <v>12.25</v>
      </c>
      <c r="C16" s="19" t="n">
        <f aca="false">PL!D14</f>
        <v>10.24</v>
      </c>
      <c r="D16" s="11" t="n">
        <f aca="false">C16/B16-1</f>
        <v>-0.164081632653061</v>
      </c>
      <c r="E16" s="19" t="n">
        <f aca="false">PL!D30</f>
        <v>10.24</v>
      </c>
      <c r="F16" s="11" t="n">
        <f aca="false">E16/B16-1</f>
        <v>-0.164081632653061</v>
      </c>
      <c r="G16" s="19" t="n">
        <f aca="false">PL!D46</f>
        <v>10.24</v>
      </c>
      <c r="H16" s="11" t="n">
        <f aca="false">G16/B16-1</f>
        <v>-0.164081632653061</v>
      </c>
      <c r="I16" s="8" t="s">
        <v>934</v>
      </c>
    </row>
    <row r="17" customFormat="false" ht="17.15" hidden="false" customHeight="false" outlineLevel="0" collapsed="false">
      <c r="A17" s="5" t="s">
        <v>935</v>
      </c>
      <c r="B17" s="19" t="n">
        <f aca="false">cons_ni26</f>
        <v>8.7</v>
      </c>
      <c r="C17" s="19" t="n">
        <f aca="false">PL!D16</f>
        <v>7</v>
      </c>
      <c r="D17" s="11" t="n">
        <f aca="false">C17/B17-1</f>
        <v>-0.195402298850575</v>
      </c>
      <c r="E17" s="19" t="n">
        <f aca="false">PL!D32</f>
        <v>7</v>
      </c>
      <c r="F17" s="11" t="n">
        <f aca="false">E17/B17-1</f>
        <v>-0.195402298850575</v>
      </c>
      <c r="G17" s="19" t="n">
        <f aca="false">PL!D48</f>
        <v>7</v>
      </c>
      <c r="H17" s="11" t="n">
        <f aca="false">G17/B17-1</f>
        <v>-0.195402298850575</v>
      </c>
      <c r="I17" s="8" t="s">
        <v>936</v>
      </c>
    </row>
    <row r="18" customFormat="false" ht="17.15" hidden="false" customHeight="false" outlineLevel="0" collapsed="false">
      <c r="A18" s="0" t="s">
        <v>937</v>
      </c>
      <c r="B18" s="22" t="n">
        <f aca="false">cons_feps</f>
        <v>115.953785459267</v>
      </c>
      <c r="C18" s="22" t="n">
        <f aca="false">PL!D17</f>
        <v>93.2961492201002</v>
      </c>
      <c r="D18" s="11" t="n">
        <f aca="false">C18/B18-1</f>
        <v>-0.195402298850575</v>
      </c>
      <c r="E18" s="22" t="n">
        <f aca="false">PL!D33</f>
        <v>93.2961492201002</v>
      </c>
      <c r="F18" s="11" t="n">
        <f aca="false">E18/B18-1</f>
        <v>-0.195402298850575</v>
      </c>
      <c r="G18" s="22" t="n">
        <f aca="false">PL!D49</f>
        <v>93.2961492201002</v>
      </c>
      <c r="H18" s="11" t="n">
        <f aca="false">G18/B18-1</f>
        <v>-0.195402298850575</v>
      </c>
      <c r="I18" s="8" t="s">
        <v>938</v>
      </c>
      <c r="J18" s="5" t="s">
        <v>939</v>
      </c>
    </row>
    <row r="19" customFormat="false" ht="17.15" hidden="false" customHeight="false" outlineLevel="0" collapsed="false">
      <c r="A19" s="1" t="s">
        <v>940</v>
      </c>
    </row>
    <row r="20" customFormat="false" ht="17.15" hidden="false" customHeight="false" outlineLevel="0" collapsed="false">
      <c r="A20" s="0" t="s">
        <v>941</v>
      </c>
      <c r="C20" s="11" t="n">
        <f aca="false">PL!C13</f>
        <v>0.1839418743677</v>
      </c>
    </row>
    <row r="21" customFormat="false" ht="17.15" hidden="false" customHeight="false" outlineLevel="0" collapsed="false">
      <c r="A21" s="0" t="s">
        <v>942</v>
      </c>
      <c r="C21" s="11" t="n">
        <f aca="false">PL!E13</f>
        <v>0.162630542658554</v>
      </c>
      <c r="E21" s="11" t="n">
        <f aca="false">PL!E29</f>
        <v>0.117828877856504</v>
      </c>
      <c r="G21" s="11" t="n">
        <f aca="false">PL!E45</f>
        <v>0.068938647919239</v>
      </c>
    </row>
    <row r="22" customFormat="false" ht="17.15" hidden="false" customHeight="false" outlineLevel="0" collapsed="false">
      <c r="A22" s="0" t="s">
        <v>943</v>
      </c>
      <c r="C22" s="21" t="n">
        <f aca="false">ord_25/a25_rev</f>
        <v>1.09555780373402</v>
      </c>
      <c r="J22" s="8" t="s">
        <v>944</v>
      </c>
    </row>
    <row r="23" customFormat="false" ht="17.15" hidden="false" customHeight="false" outlineLevel="0" collapsed="false">
      <c r="A23" s="0" t="s">
        <v>945</v>
      </c>
      <c r="C23" s="21" t="n">
        <f aca="false">PL!D5/(bl_25+4*15)</f>
        <v>0.710006656312403</v>
      </c>
      <c r="J23" s="5" t="s">
        <v>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947</v>
      </c>
    </row>
    <row r="3" customFormat="false" ht="17.15" hidden="false" customHeight="false" outlineLevel="0" collapsed="false">
      <c r="A3" s="6" t="s">
        <v>948</v>
      </c>
      <c r="B3" s="6" t="s">
        <v>949</v>
      </c>
      <c r="C3" s="15" t="s">
        <v>950</v>
      </c>
      <c r="D3" s="15" t="s">
        <v>951</v>
      </c>
      <c r="E3" s="6" t="s">
        <v>952</v>
      </c>
      <c r="F3" s="15" t="s">
        <v>953</v>
      </c>
      <c r="G3" s="15" t="s">
        <v>954</v>
      </c>
      <c r="H3" s="6" t="s">
        <v>952</v>
      </c>
      <c r="I3" s="15" t="s">
        <v>955</v>
      </c>
      <c r="J3" s="15" t="s">
        <v>956</v>
      </c>
      <c r="K3" s="6" t="s">
        <v>952</v>
      </c>
    </row>
    <row r="4" customFormat="false" ht="17.15" hidden="false" customHeight="false" outlineLevel="0" collapsed="false">
      <c r="A4" s="5" t="s">
        <v>957</v>
      </c>
      <c r="B4" s="0" t="s">
        <v>958</v>
      </c>
      <c r="C4" s="22" t="n">
        <f aca="false">PL!E101</f>
        <v>66.9386446459761</v>
      </c>
      <c r="D4" s="22" t="n">
        <f aca="false">PL!E107</f>
        <v>101.315483070636</v>
      </c>
      <c r="E4" s="11" t="n">
        <f aca="false">D4/D$4-1</f>
        <v>0</v>
      </c>
      <c r="F4" s="22" t="n">
        <f aca="false">PL!F101</f>
        <v>71.9711108179241</v>
      </c>
      <c r="G4" s="22" t="n">
        <f aca="false">PL!F107</f>
        <v>115.048693848482</v>
      </c>
      <c r="H4" s="11" t="n">
        <f aca="false">G4/G$4-1</f>
        <v>0</v>
      </c>
      <c r="I4" s="11" t="n">
        <f aca="false">PL!E103</f>
        <v>0.162630542658554</v>
      </c>
      <c r="J4" s="22" t="n">
        <f aca="false">PL!D107</f>
        <v>93.2961492201002</v>
      </c>
      <c r="K4" s="11" t="n">
        <f aca="false">J4/J$4-1</f>
        <v>0</v>
      </c>
    </row>
    <row r="5" customFormat="false" ht="17.15" hidden="false" customHeight="false" outlineLevel="0" collapsed="false">
      <c r="A5" s="0" t="s">
        <v>959</v>
      </c>
      <c r="B5" s="0" t="s">
        <v>960</v>
      </c>
      <c r="C5" s="22" t="n">
        <f aca="false">E111</f>
        <v>68.2290729536449</v>
      </c>
      <c r="D5" s="22" t="n">
        <f aca="false">E117</f>
        <v>104.836962070673</v>
      </c>
      <c r="E5" s="11" t="n">
        <f aca="false">D5/D$4-1</f>
        <v>0.0347575601804349</v>
      </c>
      <c r="F5" s="22" t="n">
        <f aca="false">F111</f>
        <v>73.8984288981965</v>
      </c>
      <c r="G5" s="22" t="n">
        <f aca="false">F117</f>
        <v>120.308195756289</v>
      </c>
      <c r="H5" s="11" t="n">
        <f aca="false">G5/G$4-1</f>
        <v>0.045715442147771</v>
      </c>
      <c r="I5" s="11" t="n">
        <f aca="false">E113</f>
        <v>0.111688278070253</v>
      </c>
      <c r="J5" s="22" t="n">
        <f aca="false">D117</f>
        <v>93.2961492201002</v>
      </c>
      <c r="K5" s="11" t="n">
        <f aca="false">J5/J$4-1</f>
        <v>0</v>
      </c>
    </row>
    <row r="6" customFormat="false" ht="17.15" hidden="false" customHeight="false" outlineLevel="0" collapsed="false">
      <c r="A6" s="0" t="s">
        <v>961</v>
      </c>
      <c r="B6" s="0" t="s">
        <v>962</v>
      </c>
      <c r="C6" s="22" t="n">
        <f aca="false">E171</f>
        <v>65.7560636953078</v>
      </c>
      <c r="D6" s="22" t="n">
        <f aca="false">E177</f>
        <v>98.0883111627704</v>
      </c>
      <c r="E6" s="11" t="n">
        <f aca="false">D6/D$4-1</f>
        <v>-0.0318527021740156</v>
      </c>
      <c r="F6" s="22" t="n">
        <f aca="false">F171</f>
        <v>70.1640596571949</v>
      </c>
      <c r="G6" s="22" t="n">
        <f aca="false">F177</f>
        <v>110.117391058017</v>
      </c>
      <c r="H6" s="11" t="n">
        <f aca="false">G6/G$4-1</f>
        <v>-0.0428627446823409</v>
      </c>
      <c r="I6" s="11" t="n">
        <f aca="false">E173</f>
        <v>0.215221954286385</v>
      </c>
      <c r="J6" s="22" t="n">
        <f aca="false">D177</f>
        <v>93.2961492201002</v>
      </c>
      <c r="K6" s="11" t="n">
        <f aca="false">J6/J$4-1</f>
        <v>0</v>
      </c>
    </row>
    <row r="7" customFormat="false" ht="17.15" hidden="false" customHeight="false" outlineLevel="0" collapsed="false">
      <c r="A7" s="0" t="s">
        <v>963</v>
      </c>
      <c r="B7" s="0" t="s">
        <v>964</v>
      </c>
      <c r="C7" s="22" t="n">
        <f aca="false">E231</f>
        <v>66.4568886479765</v>
      </c>
      <c r="D7" s="22" t="n">
        <f aca="false">E237</f>
        <v>100.00080822972</v>
      </c>
      <c r="E7" s="11" t="n">
        <f aca="false">D7/D$4-1</f>
        <v>-0.0129760506594956</v>
      </c>
      <c r="F7" s="22" t="n">
        <f aca="false">F231</f>
        <v>71.2249131143654</v>
      </c>
      <c r="G7" s="22" t="n">
        <f aca="false">F237</f>
        <v>113.012378055235</v>
      </c>
      <c r="H7" s="11" t="n">
        <f aca="false">G7/G$4-1</f>
        <v>-0.0176995994055188</v>
      </c>
      <c r="I7" s="11" t="n">
        <f aca="false">E233</f>
        <v>0.163974617112988</v>
      </c>
      <c r="J7" s="22" t="n">
        <f aca="false">D237</f>
        <v>93.2961492201002</v>
      </c>
      <c r="K7" s="11" t="n">
        <f aca="false">J7/J$4-1</f>
        <v>0</v>
      </c>
    </row>
    <row r="8" customFormat="false" ht="17.15" hidden="false" customHeight="false" outlineLevel="0" collapsed="false">
      <c r="A8" s="0" t="s">
        <v>965</v>
      </c>
      <c r="B8" s="0" t="s">
        <v>966</v>
      </c>
      <c r="C8" s="22" t="n">
        <f aca="false">E291</f>
        <v>67.4292184107489</v>
      </c>
      <c r="D8" s="22" t="n">
        <f aca="false">E297</f>
        <v>102.654220914769</v>
      </c>
      <c r="E8" s="11" t="n">
        <f aca="false">D8/D$4-1</f>
        <v>0.0132135563445868</v>
      </c>
      <c r="F8" s="22" t="n">
        <f aca="false">F291</f>
        <v>72.7269767909487</v>
      </c>
      <c r="G8" s="22" t="n">
        <f aca="false">F297</f>
        <v>117.111393600983</v>
      </c>
      <c r="H8" s="11" t="n">
        <f aca="false">G8/G$4-1</f>
        <v>0.0179289280347494</v>
      </c>
      <c r="I8" s="11" t="n">
        <f aca="false">E293</f>
        <v>0.161284582454843</v>
      </c>
      <c r="J8" s="22" t="n">
        <f aca="false">D297</f>
        <v>93.2961492201002</v>
      </c>
      <c r="K8" s="11" t="n">
        <f aca="false">J8/J$4-1</f>
        <v>0</v>
      </c>
    </row>
    <row r="9" customFormat="false" ht="17.15" hidden="false" customHeight="false" outlineLevel="0" collapsed="false">
      <c r="A9" s="5" t="s">
        <v>967</v>
      </c>
      <c r="B9" s="0" t="s">
        <v>968</v>
      </c>
      <c r="C9" s="22" t="n">
        <f aca="false">E351</f>
        <v>66.1260437193423</v>
      </c>
      <c r="D9" s="22" t="n">
        <f aca="false">E357</f>
        <v>99.0979580198088</v>
      </c>
      <c r="E9" s="11" t="n">
        <f aca="false">D9/D$4-1</f>
        <v>-0.0218873264344119</v>
      </c>
      <c r="F9" s="22" t="n">
        <f aca="false">F351</f>
        <v>70.760660290976</v>
      </c>
      <c r="G9" s="22" t="n">
        <f aca="false">F357</f>
        <v>111.745468023459</v>
      </c>
      <c r="H9" s="11" t="n">
        <f aca="false">G9/G$4-1</f>
        <v>-0.0287115456466904</v>
      </c>
      <c r="I9" s="11" t="n">
        <f aca="false">E353</f>
        <v>0.149765389076082</v>
      </c>
      <c r="J9" s="22" t="n">
        <f aca="false">D357</f>
        <v>93.2961492201002</v>
      </c>
      <c r="K9" s="11" t="n">
        <f aca="false">J9/J$4-1</f>
        <v>0</v>
      </c>
    </row>
    <row r="10" customFormat="false" ht="17.15" hidden="false" customHeight="false" outlineLevel="0" collapsed="false">
      <c r="A10" s="5" t="s">
        <v>969</v>
      </c>
      <c r="B10" s="0" t="s">
        <v>970</v>
      </c>
      <c r="C10" s="22" t="n">
        <f aca="false">E411</f>
        <v>67.6394950028584</v>
      </c>
      <c r="D10" s="22" t="n">
        <f aca="false">E417</f>
        <v>103.228049463718</v>
      </c>
      <c r="E10" s="11" t="n">
        <f aca="false">D10/D$4-1</f>
        <v>0.0188773357745242</v>
      </c>
      <c r="F10" s="22" t="n">
        <f aca="false">F411</f>
        <v>73.0135807941657</v>
      </c>
      <c r="G10" s="22" t="n">
        <f aca="false">F417</f>
        <v>117.893513748733</v>
      </c>
      <c r="H10" s="11" t="n">
        <f aca="false">G10/G$4-1</f>
        <v>0.0247270942858193</v>
      </c>
      <c r="I10" s="11" t="n">
        <f aca="false">E413</f>
        <v>0.173413464618242</v>
      </c>
      <c r="J10" s="22" t="n">
        <f aca="false">D417</f>
        <v>93.2961492201002</v>
      </c>
      <c r="K10" s="11" t="n">
        <f aca="false">J10/J$4-1</f>
        <v>0</v>
      </c>
    </row>
    <row r="11" customFormat="false" ht="17.15" hidden="false" customHeight="false" outlineLevel="0" collapsed="false">
      <c r="A11" s="5" t="s">
        <v>971</v>
      </c>
      <c r="B11" s="0" t="s">
        <v>972</v>
      </c>
      <c r="C11" s="22" t="n">
        <f aca="false">E471</f>
        <v>67.3542506220809</v>
      </c>
      <c r="D11" s="22" t="n">
        <f aca="false">E477</f>
        <v>102.4496396204</v>
      </c>
      <c r="E11" s="11" t="n">
        <f aca="false">D11/D$4-1</f>
        <v>0.0111943062934721</v>
      </c>
      <c r="F11" s="22" t="n">
        <f aca="false">F471</f>
        <v>71.0564086323655</v>
      </c>
      <c r="G11" s="22" t="n">
        <f aca="false">F477</f>
        <v>112.552542362506</v>
      </c>
      <c r="H11" s="11" t="n">
        <f aca="false">G11/G$4-1</f>
        <v>-0.0216964782691358</v>
      </c>
      <c r="I11" s="11" t="n">
        <f aca="false">E473</f>
        <v>0.192692528914909</v>
      </c>
      <c r="J11" s="22" t="n">
        <f aca="false">D477</f>
        <v>93.2961492201002</v>
      </c>
      <c r="K11" s="11" t="n">
        <f aca="false">J11/J$4-1</f>
        <v>0</v>
      </c>
    </row>
    <row r="12" customFormat="false" ht="17.15" hidden="false" customHeight="false" outlineLevel="0" collapsed="false">
      <c r="A12" s="5" t="s">
        <v>973</v>
      </c>
      <c r="B12" s="0" t="s">
        <v>974</v>
      </c>
      <c r="C12" s="22" t="n">
        <f aca="false">E531</f>
        <v>66.5705486238052</v>
      </c>
      <c r="D12" s="22" t="n">
        <f aca="false">E537</f>
        <v>100.310977508902</v>
      </c>
      <c r="E12" s="11" t="n">
        <f aca="false">D12/D$4-1</f>
        <v>-0.00991463033378259</v>
      </c>
      <c r="F12" s="22" t="n">
        <f aca="false">F531</f>
        <v>73.3591294203459</v>
      </c>
      <c r="G12" s="22" t="n">
        <f aca="false">F537</f>
        <v>118.836489211496</v>
      </c>
      <c r="H12" s="11" t="n">
        <f aca="false">G12/G$4-1</f>
        <v>0.0329234103952769</v>
      </c>
      <c r="I12" s="11" t="n">
        <f aca="false">E533</f>
        <v>0.163058680150581</v>
      </c>
      <c r="J12" s="22" t="n">
        <f aca="false">D537</f>
        <v>93.2961492201002</v>
      </c>
      <c r="K12" s="11" t="n">
        <f aca="false">J12/J$4-1</f>
        <v>0</v>
      </c>
    </row>
    <row r="13" customFormat="false" ht="17.15" hidden="false" customHeight="false" outlineLevel="0" collapsed="false">
      <c r="A13" s="5" t="s">
        <v>975</v>
      </c>
      <c r="B13" s="0" t="s">
        <v>976</v>
      </c>
      <c r="C13" s="22" t="n">
        <f aca="false">E591</f>
        <v>70.2504865514312</v>
      </c>
      <c r="D13" s="22" t="n">
        <f aca="false">E597</f>
        <v>110.353243364792</v>
      </c>
      <c r="E13" s="11" t="n">
        <f aca="false">D13/D$4-1</f>
        <v>0.0892041376129593</v>
      </c>
      <c r="F13" s="22" t="n">
        <f aca="false">F591</f>
        <v>75.0092619992335</v>
      </c>
      <c r="G13" s="22" t="n">
        <f aca="false">F597</f>
        <v>123.339573334261</v>
      </c>
      <c r="H13" s="11" t="n">
        <f aca="false">G13/G$4-1</f>
        <v>0.0720640905032686</v>
      </c>
      <c r="I13" s="11" t="n">
        <f aca="false">E593</f>
        <v>0.196169994858188</v>
      </c>
      <c r="J13" s="22" t="n">
        <f aca="false">D597</f>
        <v>93.2961492201002</v>
      </c>
      <c r="K13" s="11" t="n">
        <f aca="false">J13/J$4-1</f>
        <v>0</v>
      </c>
    </row>
    <row r="14" customFormat="false" ht="17.15" hidden="false" customHeight="false" outlineLevel="0" collapsed="false">
      <c r="A14" s="5" t="s">
        <v>977</v>
      </c>
      <c r="B14" s="0" t="s">
        <v>978</v>
      </c>
      <c r="C14" s="22" t="n">
        <f aca="false">E651</f>
        <v>67.8516749751905</v>
      </c>
      <c r="D14" s="22" t="n">
        <f aca="false">E657</f>
        <v>103.807072190015</v>
      </c>
      <c r="E14" s="11" t="n">
        <f aca="false">D14/D$4-1</f>
        <v>0.024592382564484</v>
      </c>
      <c r="F14" s="22" t="n">
        <f aca="false">F651</f>
        <v>73.9889958212342</v>
      </c>
      <c r="G14" s="22" t="n">
        <f aca="false">F657</f>
        <v>120.555345881313</v>
      </c>
      <c r="H14" s="11" t="n">
        <f aca="false">G14/G$4-1</f>
        <v>0.0478636640593548</v>
      </c>
      <c r="I14" s="11" t="n">
        <f aca="false">E653</f>
        <v>0.145924294022505</v>
      </c>
      <c r="J14" s="22" t="n">
        <f aca="false">D657</f>
        <v>93.2961492201002</v>
      </c>
      <c r="K14" s="11" t="n">
        <f aca="false">J14/J$4-1</f>
        <v>0</v>
      </c>
    </row>
    <row r="15" customFormat="false" ht="17.15" hidden="false" customHeight="false" outlineLevel="0" collapsed="false">
      <c r="A15" s="0" t="s">
        <v>979</v>
      </c>
      <c r="B15" s="0" t="s">
        <v>980</v>
      </c>
      <c r="C15" s="22" t="n">
        <f aca="false">E711</f>
        <v>66.9386446459761</v>
      </c>
      <c r="D15" s="22" t="n">
        <f aca="false">E717</f>
        <v>101.315483070636</v>
      </c>
      <c r="E15" s="11" t="n">
        <f aca="false">D15/D$4-1</f>
        <v>0</v>
      </c>
      <c r="F15" s="22" t="n">
        <f aca="false">F711</f>
        <v>70.7753681213546</v>
      </c>
      <c r="G15" s="22" t="n">
        <f aca="false">F717</f>
        <v>111.78560455449</v>
      </c>
      <c r="H15" s="11" t="n">
        <f aca="false">G15/G$4-1</f>
        <v>-0.0283626800517097</v>
      </c>
      <c r="I15" s="11" t="n">
        <f aca="false">E713</f>
        <v>0.162630542658554</v>
      </c>
      <c r="J15" s="22" t="n">
        <f aca="false">D717</f>
        <v>93.2961492201002</v>
      </c>
      <c r="K15" s="11" t="n">
        <f aca="false">J15/J$4-1</f>
        <v>0</v>
      </c>
    </row>
    <row r="16" customFormat="false" ht="17.15" hidden="false" customHeight="false" outlineLevel="0" collapsed="false">
      <c r="A16" s="0" t="s">
        <v>981</v>
      </c>
      <c r="B16" s="0" t="s">
        <v>982</v>
      </c>
      <c r="C16" s="22" t="n">
        <f aca="false">E771</f>
        <v>66.9386446459761</v>
      </c>
      <c r="D16" s="22" t="n">
        <f aca="false">E777</f>
        <v>101.315483070636</v>
      </c>
      <c r="E16" s="11" t="n">
        <f aca="false">D16/D$4-1</f>
        <v>0</v>
      </c>
      <c r="F16" s="22" t="n">
        <f aca="false">F771</f>
        <v>73.1668535144935</v>
      </c>
      <c r="G16" s="22" t="n">
        <f aca="false">F777</f>
        <v>118.311783142473</v>
      </c>
      <c r="H16" s="11" t="n">
        <f aca="false">G16/G$4-1</f>
        <v>0.0283626800517098</v>
      </c>
      <c r="I16" s="11" t="n">
        <f aca="false">E773</f>
        <v>0.162630542658554</v>
      </c>
      <c r="J16" s="22" t="n">
        <f aca="false">D777</f>
        <v>93.2961492201002</v>
      </c>
      <c r="K16" s="11" t="n">
        <f aca="false">J16/J$4-1</f>
        <v>0</v>
      </c>
    </row>
    <row r="17" customFormat="false" ht="17.15" hidden="false" customHeight="false" outlineLevel="0" collapsed="false">
      <c r="A17" s="0" t="s">
        <v>983</v>
      </c>
      <c r="B17" s="0" t="s">
        <v>984</v>
      </c>
      <c r="C17" s="22" t="n">
        <f aca="false">E831</f>
        <v>67.0383402335879</v>
      </c>
      <c r="D17" s="22" t="n">
        <f aca="false">E837</f>
        <v>101.587544614919</v>
      </c>
      <c r="E17" s="11" t="n">
        <f aca="false">D17/D$4-1</f>
        <v>0.00268529089570335</v>
      </c>
      <c r="F17" s="22" t="n">
        <f aca="false">F831</f>
        <v>72.1529282302546</v>
      </c>
      <c r="G17" s="22" t="n">
        <f aca="false">F837</f>
        <v>115.544859497947</v>
      </c>
      <c r="H17" s="11" t="n">
        <f aca="false">G17/G$4-1</f>
        <v>0.00431265782225254</v>
      </c>
      <c r="I17" s="11" t="n">
        <f aca="false">E833</f>
        <v>0.156895399877264</v>
      </c>
      <c r="J17" s="22" t="n">
        <f aca="false">D837</f>
        <v>93.2961492201002</v>
      </c>
      <c r="K17" s="11" t="n">
        <f aca="false">J17/J$4-1</f>
        <v>0</v>
      </c>
    </row>
    <row r="18" customFormat="false" ht="17.15" hidden="false" customHeight="false" outlineLevel="0" collapsed="false">
      <c r="A18" s="0" t="s">
        <v>985</v>
      </c>
      <c r="B18" s="0" t="s">
        <v>986</v>
      </c>
      <c r="C18" s="22" t="n">
        <f aca="false">E891</f>
        <v>66.9386446459761</v>
      </c>
      <c r="D18" s="22" t="n">
        <f aca="false">E897</f>
        <v>101.315483070636</v>
      </c>
      <c r="E18" s="11" t="n">
        <f aca="false">D18/D$4-1</f>
        <v>0</v>
      </c>
      <c r="F18" s="22" t="n">
        <f aca="false">F891</f>
        <v>71.9711108179241</v>
      </c>
      <c r="G18" s="22" t="n">
        <f aca="false">F897</f>
        <v>115.048693848482</v>
      </c>
      <c r="H18" s="11" t="n">
        <f aca="false">G18/G$4-1</f>
        <v>0</v>
      </c>
      <c r="I18" s="11" t="n">
        <f aca="false">E893</f>
        <v>0.162630542658554</v>
      </c>
      <c r="J18" s="22" t="n">
        <f aca="false">D897</f>
        <v>93.2961492201002</v>
      </c>
      <c r="K18" s="11" t="n">
        <f aca="false">J18/J$4-1</f>
        <v>0</v>
      </c>
    </row>
    <row r="19" customFormat="false" ht="17.15" hidden="false" customHeight="false" outlineLevel="0" collapsed="false">
      <c r="A19" s="0" t="s">
        <v>987</v>
      </c>
      <c r="B19" s="0" t="s">
        <v>988</v>
      </c>
      <c r="C19" s="22" t="n">
        <f aca="false">E951</f>
        <v>66.9386446459761</v>
      </c>
      <c r="D19" s="22" t="n">
        <f aca="false">E957</f>
        <v>101.315483070636</v>
      </c>
      <c r="E19" s="11" t="n">
        <f aca="false">D19/D$4-1</f>
        <v>0</v>
      </c>
      <c r="F19" s="22" t="n">
        <f aca="false">F951</f>
        <v>71.9711108179241</v>
      </c>
      <c r="G19" s="22" t="n">
        <f aca="false">F957</f>
        <v>115.048693848482</v>
      </c>
      <c r="H19" s="11" t="n">
        <f aca="false">G19/G$4-1</f>
        <v>0</v>
      </c>
      <c r="I19" s="11" t="n">
        <f aca="false">E953</f>
        <v>0.162630542658554</v>
      </c>
      <c r="J19" s="22" t="n">
        <f aca="false">D957</f>
        <v>93.2961492201002</v>
      </c>
      <c r="K19" s="11" t="n">
        <f aca="false">J19/J$4-1</f>
        <v>0</v>
      </c>
    </row>
    <row r="20" customFormat="false" ht="17.15" hidden="false" customHeight="false" outlineLevel="0" collapsed="false">
      <c r="A20" s="5" t="s">
        <v>989</v>
      </c>
      <c r="B20" s="0" t="s">
        <v>990</v>
      </c>
      <c r="C20" s="22" t="n">
        <f aca="false">E1011</f>
        <v>66.602971650572</v>
      </c>
      <c r="D20" s="22" t="n">
        <f aca="false">E1017</f>
        <v>100.399457440099</v>
      </c>
      <c r="E20" s="11" t="n">
        <f aca="false">D20/D$4-1</f>
        <v>-0.00904131928087149</v>
      </c>
      <c r="F20" s="22" t="n">
        <f aca="false">F1011</f>
        <v>71.3514623131407</v>
      </c>
      <c r="G20" s="22" t="n">
        <f aca="false">F1017</f>
        <v>113.357721026488</v>
      </c>
      <c r="H20" s="11" t="n">
        <f aca="false">G20/G$4-1</f>
        <v>-0.0146978880457408</v>
      </c>
      <c r="I20" s="11" t="n">
        <f aca="false">E1013</f>
        <v>0.163450185987456</v>
      </c>
      <c r="J20" s="22" t="n">
        <f aca="false">D1017</f>
        <v>93.2961492201002</v>
      </c>
      <c r="K20" s="11" t="n">
        <f aca="false">J20/J$4-1</f>
        <v>0</v>
      </c>
    </row>
    <row r="21" customFormat="false" ht="17.15" hidden="false" customHeight="false" outlineLevel="0" collapsed="false">
      <c r="A21" s="5" t="s">
        <v>991</v>
      </c>
      <c r="B21" s="0" t="s">
        <v>992</v>
      </c>
      <c r="C21" s="22" t="n">
        <f aca="false">E1071</f>
        <v>67.2885871113037</v>
      </c>
      <c r="D21" s="22" t="n">
        <f aca="false">E1077</f>
        <v>102.270448980442</v>
      </c>
      <c r="E21" s="11" t="n">
        <f aca="false">D21/D$4-1</f>
        <v>0.00942566605678818</v>
      </c>
      <c r="F21" s="22" t="n">
        <f aca="false">F1071</f>
        <v>72.6386129888</v>
      </c>
      <c r="G21" s="22" t="n">
        <f aca="false">F1077</f>
        <v>116.87025562239</v>
      </c>
      <c r="H21" s="11" t="n">
        <f aca="false">G21/G$4-1</f>
        <v>0.0158329635302734</v>
      </c>
      <c r="I21" s="11" t="n">
        <f aca="false">E1073</f>
        <v>0.161784762779994</v>
      </c>
      <c r="J21" s="22" t="n">
        <f aca="false">D1077</f>
        <v>93.2961492201002</v>
      </c>
      <c r="K21" s="11" t="n">
        <f aca="false">J21/J$4-1</f>
        <v>0</v>
      </c>
    </row>
    <row r="22" customFormat="false" ht="17.15" hidden="false" customHeight="false" outlineLevel="0" collapsed="false">
      <c r="A22" s="0" t="s">
        <v>993</v>
      </c>
      <c r="B22" s="0" t="s">
        <v>321</v>
      </c>
      <c r="C22" s="22" t="n">
        <f aca="false">E1131</f>
        <v>66.6428636247434</v>
      </c>
      <c r="D22" s="22" t="n">
        <f aca="false">E1137</f>
        <v>100.508319550826</v>
      </c>
      <c r="E22" s="11" t="n">
        <f aca="false">D22/D$4-1</f>
        <v>-0.00796683286055455</v>
      </c>
      <c r="F22" s="22" t="n">
        <f aca="false">F1131</f>
        <v>71.410247537174</v>
      </c>
      <c r="G22" s="22" t="n">
        <f aca="false">F1137</f>
        <v>113.518141354154</v>
      </c>
      <c r="H22" s="11" t="n">
        <f aca="false">G22/G$4-1</f>
        <v>-0.0133035190850874</v>
      </c>
      <c r="I22" s="11" t="n">
        <f aca="false">E1133</f>
        <v>0.153268867659578</v>
      </c>
      <c r="J22" s="22" t="n">
        <f aca="false">D1137</f>
        <v>93.2961492201002</v>
      </c>
      <c r="K22" s="11" t="n">
        <f aca="false">J22/J$4-1</f>
        <v>0</v>
      </c>
    </row>
    <row r="23" customFormat="false" ht="17.15" hidden="false" customHeight="false" outlineLevel="0" collapsed="false">
      <c r="A23" s="0" t="s">
        <v>994</v>
      </c>
      <c r="B23" s="0" t="s">
        <v>995</v>
      </c>
      <c r="C23" s="22" t="n">
        <f aca="false">E1191</f>
        <v>66.4968732721938</v>
      </c>
      <c r="D23" s="22" t="n">
        <f aca="false">E1197</f>
        <v>100.109923175253</v>
      </c>
      <c r="E23" s="11" t="n">
        <f aca="false">D23/D$4-1</f>
        <v>-0.0118990687192636</v>
      </c>
      <c r="F23" s="22" t="n">
        <f aca="false">F1191</f>
        <v>71.1318993313793</v>
      </c>
      <c r="G23" s="22" t="n">
        <f aca="false">F1197</f>
        <v>112.758550638747</v>
      </c>
      <c r="H23" s="11" t="n">
        <f aca="false">G23/G$4-1</f>
        <v>-0.0199058601460629</v>
      </c>
      <c r="I23" s="11" t="n">
        <f aca="false">E1193</f>
        <v>0.148552553377923</v>
      </c>
      <c r="J23" s="22" t="n">
        <f aca="false">D1197</f>
        <v>93.2961492201002</v>
      </c>
      <c r="K23" s="11" t="n">
        <f aca="false">J23/J$4-1</f>
        <v>0</v>
      </c>
    </row>
    <row r="24" customFormat="false" ht="17.15" hidden="false" customHeight="false" outlineLevel="0" collapsed="false">
      <c r="A24" s="5" t="s">
        <v>996</v>
      </c>
      <c r="B24" s="0" t="s">
        <v>997</v>
      </c>
      <c r="C24" s="22" t="n">
        <f aca="false">E1251</f>
        <v>66.9386446459761</v>
      </c>
      <c r="D24" s="22" t="n">
        <f aca="false">E1257</f>
        <v>99.9767905442891</v>
      </c>
      <c r="E24" s="11" t="n">
        <f aca="false">D24/D$4-1</f>
        <v>-0.0132131090508006</v>
      </c>
      <c r="F24" s="22" t="n">
        <f aca="false">F1251</f>
        <v>71.9711108179241</v>
      </c>
      <c r="G24" s="22" t="n">
        <f aca="false">F1257</f>
        <v>111.417473417237</v>
      </c>
      <c r="H24" s="11" t="n">
        <f aca="false">G24/G$4-1</f>
        <v>-0.0315624655072345</v>
      </c>
      <c r="I24" s="11" t="n">
        <f aca="false">E1253</f>
        <v>0.162630542658554</v>
      </c>
      <c r="J24" s="22" t="n">
        <f aca="false">D1257</f>
        <v>93.2961492201002</v>
      </c>
      <c r="K24" s="11" t="n">
        <f aca="false">J24/J$4-1</f>
        <v>0</v>
      </c>
    </row>
    <row r="25" customFormat="false" ht="17.15" hidden="false" customHeight="false" outlineLevel="0" collapsed="false">
      <c r="A25" s="5" t="s">
        <v>998</v>
      </c>
      <c r="B25" s="0" t="s">
        <v>999</v>
      </c>
      <c r="C25" s="22" t="n">
        <f aca="false">E1311</f>
        <v>66.9386446459761</v>
      </c>
      <c r="D25" s="22" t="n">
        <f aca="false">E1317</f>
        <v>102.654175596983</v>
      </c>
      <c r="E25" s="11" t="n">
        <f aca="false">D25/D$4-1</f>
        <v>0.0132131090508008</v>
      </c>
      <c r="F25" s="22" t="n">
        <f aca="false">F1311</f>
        <v>71.9711108179241</v>
      </c>
      <c r="G25" s="22" t="n">
        <f aca="false">F1317</f>
        <v>118.679914279727</v>
      </c>
      <c r="H25" s="11" t="n">
        <f aca="false">G25/G$4-1</f>
        <v>0.0315624655072349</v>
      </c>
      <c r="I25" s="11" t="n">
        <f aca="false">E1313</f>
        <v>0.162630542658554</v>
      </c>
      <c r="J25" s="22" t="n">
        <f aca="false">D1317</f>
        <v>93.2961492201002</v>
      </c>
      <c r="K25" s="11" t="n">
        <f aca="false">J25/J$4-1</f>
        <v>0</v>
      </c>
    </row>
    <row r="26" customFormat="false" ht="17.15" hidden="false" customHeight="false" outlineLevel="0" collapsed="false">
      <c r="A26" s="5" t="s">
        <v>1000</v>
      </c>
      <c r="B26" s="0" t="s">
        <v>331</v>
      </c>
      <c r="C26" s="22" t="n">
        <f aca="false">E1371</f>
        <v>66.9386446459761</v>
      </c>
      <c r="D26" s="22" t="n">
        <f aca="false">E1377</f>
        <v>99.1735750284809</v>
      </c>
      <c r="E26" s="11" t="n">
        <f aca="false">D26/D$4-1</f>
        <v>-0.0211409744812811</v>
      </c>
      <c r="F26" s="22" t="n">
        <f aca="false">F1371</f>
        <v>71.9711108179241</v>
      </c>
      <c r="G26" s="22" t="n">
        <f aca="false">F1377</f>
        <v>109.23874115849</v>
      </c>
      <c r="H26" s="11" t="n">
        <f aca="false">G26/G$4-1</f>
        <v>-0.0504999448115755</v>
      </c>
      <c r="I26" s="11" t="n">
        <f aca="false">E1373</f>
        <v>0.162630542658554</v>
      </c>
      <c r="J26" s="22" t="n">
        <f aca="false">D1377</f>
        <v>93.2961492201002</v>
      </c>
      <c r="K26" s="11" t="n">
        <f aca="false">J26/J$4-1</f>
        <v>0</v>
      </c>
    </row>
    <row r="27" customFormat="false" ht="17.15" hidden="false" customHeight="false" outlineLevel="0" collapsed="false">
      <c r="A27" s="5" t="s">
        <v>1001</v>
      </c>
      <c r="B27" s="0" t="s">
        <v>1002</v>
      </c>
      <c r="C27" s="22" t="n">
        <f aca="false">E1431</f>
        <v>66.9386446459761</v>
      </c>
      <c r="D27" s="22" t="n">
        <f aca="false">E1437</f>
        <v>96.3365507597361</v>
      </c>
      <c r="E27" s="11" t="n">
        <f aca="false">D27/D$4-1</f>
        <v>-0.0491428571428573</v>
      </c>
      <c r="F27" s="22" t="n">
        <f aca="false">F1431</f>
        <v>71.9711108179241</v>
      </c>
      <c r="G27" s="22" t="n">
        <f aca="false">F1437</f>
        <v>109.394872322213</v>
      </c>
      <c r="H27" s="11" t="n">
        <f aca="false">G27/G$4-1</f>
        <v>-0.049142857142857</v>
      </c>
      <c r="I27" s="11" t="n">
        <f aca="false">E1433</f>
        <v>0.162630542658554</v>
      </c>
      <c r="J27" s="22" t="n">
        <f aca="false">D1437</f>
        <v>93.2961492201002</v>
      </c>
      <c r="K27" s="11" t="n">
        <f aca="false">J27/J$4-1</f>
        <v>0</v>
      </c>
    </row>
    <row r="28" customFormat="false" ht="17.15" hidden="false" customHeight="false" outlineLevel="0" collapsed="false">
      <c r="A28" s="5" t="s">
        <v>1003</v>
      </c>
      <c r="B28" s="0" t="s">
        <v>1004</v>
      </c>
      <c r="C28" s="22" t="n">
        <f aca="false">E1491</f>
        <v>66.9386446459761</v>
      </c>
      <c r="D28" s="22" t="n">
        <f aca="false">E1497</f>
        <v>106.711256226169</v>
      </c>
      <c r="E28" s="11" t="n">
        <f aca="false">D28/D$4-1</f>
        <v>0.0532571428571427</v>
      </c>
      <c r="F28" s="22" t="n">
        <f aca="false">F1491</f>
        <v>71.9711108179241</v>
      </c>
      <c r="G28" s="22" t="n">
        <f aca="false">F1497</f>
        <v>121.175858572298</v>
      </c>
      <c r="H28" s="11" t="n">
        <f aca="false">G28/G$4-1</f>
        <v>0.0532571428571429</v>
      </c>
      <c r="I28" s="11" t="n">
        <f aca="false">E1493</f>
        <v>0.162630542658554</v>
      </c>
      <c r="J28" s="22" t="n">
        <f aca="false">D1497</f>
        <v>93.2961492201002</v>
      </c>
      <c r="K28" s="11" t="n">
        <f aca="false">J28/J$4-1</f>
        <v>0</v>
      </c>
    </row>
    <row r="29" customFormat="false" ht="17.15" hidden="false" customHeight="false" outlineLevel="0" collapsed="false">
      <c r="A29" s="0" t="s">
        <v>1005</v>
      </c>
      <c r="B29" s="0" t="s">
        <v>1006</v>
      </c>
      <c r="C29" s="22" t="n">
        <f aca="false">E1551</f>
        <v>64.1360258188575</v>
      </c>
      <c r="D29" s="22" t="n">
        <f aca="false">E1557</f>
        <v>97.7350980816085</v>
      </c>
      <c r="E29" s="11" t="n">
        <f aca="false">D29/D$4-1</f>
        <v>-0.0353389717002213</v>
      </c>
      <c r="F29" s="22" t="n">
        <f aca="false">F1551</f>
        <v>68.8981701597982</v>
      </c>
      <c r="G29" s="22" t="n">
        <f aca="false">F1557</f>
        <v>110.730621499772</v>
      </c>
      <c r="H29" s="11" t="n">
        <f aca="false">G29/G$4-1</f>
        <v>-0.0375325629893447</v>
      </c>
      <c r="I29" s="11" t="n">
        <f aca="false">E1553</f>
        <v>0.169737179137819</v>
      </c>
      <c r="J29" s="22" t="n">
        <f aca="false">D1557</f>
        <v>88.6313417590952</v>
      </c>
      <c r="K29" s="11" t="n">
        <f aca="false">J29/J$4-1</f>
        <v>-0.0500000000000002</v>
      </c>
    </row>
    <row r="30" customFormat="false" ht="17.15" hidden="false" customHeight="false" outlineLevel="0" collapsed="false">
      <c r="A30" s="0" t="s">
        <v>1007</v>
      </c>
      <c r="B30" s="0" t="s">
        <v>1008</v>
      </c>
      <c r="C30" s="22" t="n">
        <f aca="false">E1611</f>
        <v>71.422834769366</v>
      </c>
      <c r="D30" s="22" t="n">
        <f aca="false">E1617</f>
        <v>107.04409905308</v>
      </c>
      <c r="E30" s="11" t="n">
        <f aca="false">D30/D$4-1</f>
        <v>0.0565423547203543</v>
      </c>
      <c r="F30" s="22" t="n">
        <f aca="false">F1611</f>
        <v>76.8878158709255</v>
      </c>
      <c r="G30" s="22" t="n">
        <f aca="false">F1617</f>
        <v>121.957609606418</v>
      </c>
      <c r="H30" s="11" t="n">
        <f aca="false">G30/G$4-1</f>
        <v>0.060052100782952</v>
      </c>
      <c r="I30" s="11" t="n">
        <f aca="false">E1613</f>
        <v>0.152419994792372</v>
      </c>
      <c r="J30" s="22" t="n">
        <f aca="false">D1617</f>
        <v>100.759841157708</v>
      </c>
      <c r="K30" s="11" t="n">
        <f aca="false">J30/J$4-1</f>
        <v>0.0799999999999999</v>
      </c>
    </row>
    <row r="31" customFormat="false" ht="17.15" hidden="false" customHeight="false" outlineLevel="0" collapsed="false">
      <c r="A31" s="5" t="s">
        <v>1009</v>
      </c>
      <c r="B31" s="5" t="s">
        <v>1010</v>
      </c>
      <c r="C31" s="22" t="n">
        <f aca="false">E1671</f>
        <v>65.8899910122925</v>
      </c>
      <c r="D31" s="22" t="n">
        <f aca="false">E1677</f>
        <v>98.4537884477077</v>
      </c>
      <c r="E31" s="11" t="n">
        <f aca="false">D31/D$4-1</f>
        <v>-0.0282453829977105</v>
      </c>
      <c r="F31" s="22" t="n">
        <f aca="false">F1671</f>
        <v>70.8213110820282</v>
      </c>
      <c r="G31" s="22" t="n">
        <f aca="false">F1677</f>
        <v>111.910979339164</v>
      </c>
      <c r="H31" s="11" t="n">
        <f aca="false">G31/G$4-1</f>
        <v>-0.0272729259616773</v>
      </c>
      <c r="I31" s="11" t="n">
        <f aca="false">E1673</f>
        <v>0.165218843353193</v>
      </c>
      <c r="J31" s="22" t="n">
        <f aca="false">D1677</f>
        <v>93.2961492201002</v>
      </c>
      <c r="K31" s="11" t="n">
        <f aca="false">J31/J$4-1</f>
        <v>0</v>
      </c>
    </row>
    <row r="32" customFormat="false" ht="17.15" hidden="false" customHeight="false" outlineLevel="0" collapsed="false">
      <c r="A32" s="5" t="s">
        <v>1011</v>
      </c>
      <c r="B32" s="5" t="s">
        <v>1012</v>
      </c>
      <c r="C32" s="22" t="n">
        <f aca="false">PL!E152</f>
        <v>62.1115017791414</v>
      </c>
      <c r="D32" s="22" t="n">
        <f aca="false">PL!E158</f>
        <v>88.6587642081702</v>
      </c>
      <c r="E32" s="11" t="n">
        <f aca="false">D32/D$4-1</f>
        <v>-0.124923836701658</v>
      </c>
      <c r="F32" s="22" t="n">
        <f aca="false">PL!F152</f>
        <v>65.416609923934</v>
      </c>
      <c r="G32" s="22" t="n">
        <f aca="false">PL!F158</f>
        <v>96.7747681335011</v>
      </c>
      <c r="H32" s="11" t="n">
        <f aca="false">G32/G$4-1</f>
        <v>-0.158836446583628</v>
      </c>
      <c r="I32" s="11" t="n">
        <f aca="false">PL!E154</f>
        <v>0.117828877856504</v>
      </c>
      <c r="J32" s="22" t="n">
        <f aca="false">PL!D158</f>
        <v>93.2961492201002</v>
      </c>
      <c r="K32" s="11" t="n">
        <f aca="false">J32/J$4-1</f>
        <v>0</v>
      </c>
    </row>
    <row r="33" customFormat="false" ht="17.15" hidden="false" customHeight="false" outlineLevel="0" collapsed="false">
      <c r="A33" s="5" t="s">
        <v>1013</v>
      </c>
      <c r="B33" s="5" t="s">
        <v>1014</v>
      </c>
      <c r="C33" s="22" t="n">
        <f aca="false">PL!E203</f>
        <v>56.5826309858162</v>
      </c>
      <c r="D33" s="22" t="n">
        <f aca="false">PL!E209</f>
        <v>78.4610666135855</v>
      </c>
      <c r="E33" s="11" t="n">
        <f aca="false">D33/D$4-1</f>
        <v>-0.225576740734845</v>
      </c>
      <c r="F33" s="22" t="n">
        <f aca="false">PL!F203</f>
        <v>53.0253470229173</v>
      </c>
      <c r="G33" s="22" t="n">
        <f aca="false">PL!F209</f>
        <v>71.3463334321136</v>
      </c>
      <c r="H33" s="11" t="n">
        <f aca="false">G33/G$4-1</f>
        <v>-0.379859683360889</v>
      </c>
      <c r="I33" s="11" t="n">
        <f aca="false">PL!E205</f>
        <v>0.068938647919239</v>
      </c>
      <c r="J33" s="22" t="n">
        <f aca="false">PL!D209</f>
        <v>93.2961492201002</v>
      </c>
      <c r="K33" s="11" t="n">
        <f aca="false">J33/J$4-1</f>
        <v>0</v>
      </c>
    </row>
    <row r="35" customFormat="false" ht="17.15" hidden="false" customHeight="false" outlineLevel="0" collapsed="false">
      <c r="A35" s="5" t="s">
        <v>1015</v>
      </c>
    </row>
    <row r="70" customFormat="false" ht="17.15" hidden="false" customHeight="false" outlineLevel="0" collapsed="false">
      <c r="A70" s="3" t="s">
        <v>1016</v>
      </c>
    </row>
    <row r="71" customFormat="false" ht="17.15" hidden="false" customHeight="false" outlineLevel="0" collapsed="false">
      <c r="A71" s="6" t="s">
        <v>23</v>
      </c>
      <c r="B71" s="6" t="s">
        <v>24</v>
      </c>
      <c r="C71" s="15" t="s">
        <v>628</v>
      </c>
      <c r="D71" s="15" t="s">
        <v>629</v>
      </c>
      <c r="E71" s="15" t="s">
        <v>630</v>
      </c>
      <c r="F71" s="15" t="s">
        <v>631</v>
      </c>
      <c r="G71" s="15" t="s">
        <v>632</v>
      </c>
      <c r="H71" s="15" t="s">
        <v>633</v>
      </c>
      <c r="I71" s="15" t="s">
        <v>634</v>
      </c>
      <c r="J71" s="6" t="s">
        <v>468</v>
      </c>
    </row>
    <row r="72" customFormat="false" ht="17.15" hidden="false" customHeight="false" outlineLevel="0" collapsed="false">
      <c r="A72" s="1" t="s">
        <v>635</v>
      </c>
    </row>
    <row r="73" customFormat="false" ht="17.15" hidden="false" customHeight="false" outlineLevel="0" collapsed="false">
      <c r="A73" s="0" t="s">
        <v>636</v>
      </c>
      <c r="B73" s="0" t="s">
        <v>111</v>
      </c>
      <c r="C73" s="21" t="n">
        <f aca="false">hsA_25</f>
        <v>2.22511470588235</v>
      </c>
      <c r="D73" s="21" t="n">
        <f aca="false">hsA_26</f>
        <v>3.782695</v>
      </c>
      <c r="E73" s="21" t="n">
        <f aca="false">hsA_27</f>
        <v>5.86317725</v>
      </c>
      <c r="F73" s="21" t="n">
        <f aca="false">hsA_28</f>
        <v>8.5016070125</v>
      </c>
      <c r="G73" s="21" t="n">
        <f aca="false">hsA_29</f>
        <v>11.477169466875</v>
      </c>
      <c r="J73" s="8" t="s">
        <v>637</v>
      </c>
    </row>
    <row r="74" customFormat="false" ht="17.15" hidden="false" customHeight="false" outlineLevel="0" collapsed="false">
      <c r="A74" s="0" t="s">
        <v>638</v>
      </c>
      <c r="B74" s="0" t="s">
        <v>639</v>
      </c>
      <c r="C74" s="21" t="n">
        <f aca="false">den_25</f>
        <v>24</v>
      </c>
      <c r="D74" s="21" t="n">
        <f aca="false">den_26</f>
        <v>24</v>
      </c>
      <c r="E74" s="21" t="n">
        <f aca="false">den_27</f>
        <v>26</v>
      </c>
      <c r="F74" s="21" t="n">
        <f aca="false">den_28</f>
        <v>28</v>
      </c>
      <c r="G74" s="21" t="n">
        <f aca="false">den_29</f>
        <v>30</v>
      </c>
    </row>
    <row r="75" customFormat="false" ht="15" hidden="false" customHeight="false" outlineLevel="0" collapsed="false">
      <c r="A75" s="5" t="s">
        <v>640</v>
      </c>
      <c r="B75" s="5" t="s">
        <v>160</v>
      </c>
      <c r="C75" s="21" t="n">
        <f aca="false">stk_25</f>
        <v>10</v>
      </c>
      <c r="D75" s="21" t="n">
        <f aca="false">stk_26</f>
        <v>12</v>
      </c>
      <c r="E75" s="21" t="n">
        <f aca="false">stk_27</f>
        <v>12.5</v>
      </c>
      <c r="F75" s="21" t="n">
        <f aca="false">stk_28</f>
        <v>14</v>
      </c>
      <c r="G75" s="21" t="n">
        <f aca="false">stk_29</f>
        <v>15</v>
      </c>
    </row>
    <row r="76" customFormat="false" ht="17.15" hidden="false" customHeight="false" outlineLevel="0" collapsed="false">
      <c r="A76" s="0" t="s">
        <v>641</v>
      </c>
      <c r="B76" s="5" t="s">
        <v>642</v>
      </c>
      <c r="C76" s="23" t="n">
        <f aca="false">C73*8/(C74*C75)</f>
        <v>0.0741704901960783</v>
      </c>
      <c r="D76" s="23" t="n">
        <f aca="false">D73*8/(D74*D75)</f>
        <v>0.105074861111111</v>
      </c>
      <c r="E76" s="23" t="n">
        <f aca="false">E73*8/(E74*E75)</f>
        <v>0.144324363076923</v>
      </c>
      <c r="F76" s="23" t="n">
        <f aca="false">F73*8/(F74*F75)</f>
        <v>0.173502183928571</v>
      </c>
      <c r="G76" s="23" t="n">
        <f aca="false">G73*8/(G74*G75)</f>
        <v>0.2040385683</v>
      </c>
      <c r="H76" s="23" t="n">
        <f aca="false">G76*(1+g_tail)</f>
        <v>0.22444242513</v>
      </c>
      <c r="I76" s="23" t="n">
        <f aca="false">H76*(1+g_tail)</f>
        <v>0.246886667643</v>
      </c>
      <c r="J76" s="8" t="s">
        <v>643</v>
      </c>
    </row>
    <row r="77" customFormat="false" ht="17.15" hidden="false" customHeight="false" outlineLevel="0" collapsed="false">
      <c r="A77" s="0" t="s">
        <v>644</v>
      </c>
      <c r="B77" s="5" t="s">
        <v>642</v>
      </c>
      <c r="C77" s="23" t="n">
        <f aca="false">MAX(0,D76-C76)+dlt*C76</f>
        <v>0.0383214199346406</v>
      </c>
      <c r="D77" s="23" t="n">
        <f aca="false">MAX(0,E76-D76)+dlt*D76</f>
        <v>0.0497569880769231</v>
      </c>
      <c r="E77" s="23" t="n">
        <f aca="false">MAX(0,F76-E76)+dlt*E76</f>
        <v>0.0436102571593407</v>
      </c>
      <c r="F77" s="23" t="n">
        <f aca="false">MAX(0,G76-F76)+dlt*F76</f>
        <v>0.0478866027642858</v>
      </c>
      <c r="G77" s="23" t="n">
        <f aca="false">MAX(0,H76-G76)+dlt*G76</f>
        <v>0.04080771366</v>
      </c>
      <c r="H77" s="23" t="n">
        <f aca="false">MAX(0,I76-H76)+dlt*H76</f>
        <v>0.044888485026</v>
      </c>
      <c r="J77" s="5" t="s">
        <v>645</v>
      </c>
    </row>
    <row r="78" customFormat="false" ht="17.15" hidden="false" customHeight="false" outlineLevel="0" collapsed="false">
      <c r="A78" s="0" t="s">
        <v>646</v>
      </c>
      <c r="B78" s="5" t="s">
        <v>183</v>
      </c>
      <c r="C78" s="14" t="n">
        <f aca="false">cw_25</f>
        <v>670</v>
      </c>
      <c r="D78" s="14" t="n">
        <f aca="false">cw_26</f>
        <v>1107.85762580894</v>
      </c>
      <c r="E78" s="14" t="n">
        <f aca="false">cw_27</f>
        <v>2096.42857142857</v>
      </c>
      <c r="F78" s="14" t="n">
        <f aca="false">cw_28*um28_A</f>
        <v>2620.08928571429</v>
      </c>
      <c r="G78" s="14" t="n">
        <f aca="false">cw_29*um29_A</f>
        <v>3013.32589285714</v>
      </c>
      <c r="H78" s="14" t="n">
        <f aca="false">G78*(1+g_tail)</f>
        <v>3314.65848214285</v>
      </c>
      <c r="I78" s="14" t="n">
        <f aca="false">H78*(1+g_tail)</f>
        <v>3646.12433035714</v>
      </c>
      <c r="J78" s="5" t="s">
        <v>647</v>
      </c>
    </row>
    <row r="79" customFormat="false" ht="17.15" hidden="false" customHeight="false" outlineLevel="0" collapsed="false">
      <c r="A79" s="0" t="s">
        <v>648</v>
      </c>
      <c r="B79" s="5" t="s">
        <v>183</v>
      </c>
      <c r="C79" s="14" t="n">
        <f aca="false">MAX(0,D78-C78)+dlt*C78</f>
        <v>504.85762580894</v>
      </c>
      <c r="D79" s="14" t="n">
        <f aca="false">MAX(0,E78-D78)+dlt*D78</f>
        <v>1099.35670820052</v>
      </c>
      <c r="E79" s="14" t="n">
        <f aca="false">MAX(0,F78-E78)+dlt*E78</f>
        <v>733.303571428577</v>
      </c>
      <c r="F79" s="14" t="n">
        <f aca="false">MAX(0,G78-F78)+dlt*F78</f>
        <v>655.245535714279</v>
      </c>
      <c r="G79" s="14" t="n">
        <f aca="false">MAX(0,H78-G78)+dlt*G78</f>
        <v>602.665178571428</v>
      </c>
      <c r="H79" s="14" t="n">
        <f aca="false">MAX(0,I78-H78)+dlt*H78</f>
        <v>662.931696428571</v>
      </c>
    </row>
    <row r="80" customFormat="false" ht="17.15" hidden="false" customHeight="false" outlineLevel="0" collapsed="false">
      <c r="A80" s="5" t="s">
        <v>649</v>
      </c>
      <c r="B80" s="0" t="s">
        <v>219</v>
      </c>
      <c r="C80" s="21" t="n">
        <f aca="false">pk_25*(eqtA_25-eqaA_25)/(eqtA_25-eqaA_25)</f>
        <v>6.11313868613139</v>
      </c>
      <c r="D80" s="21" t="n">
        <f aca="false">pk_26*(eqtA_26-eqaA_26)/(eqtA_26-eqaA_26)</f>
        <v>6.7</v>
      </c>
      <c r="E80" s="21" t="n">
        <f aca="false">pk_27*(eqtA_27-eqaA_27)/(eqtA_27-eqaA_27)</f>
        <v>7.59078388573934</v>
      </c>
      <c r="F80" s="21" t="n">
        <f aca="false">pk_28*(eqtA_28-eqaA_28)/(eqtA_28-eqaA_28)</f>
        <v>8.6</v>
      </c>
      <c r="G80" s="21" t="n">
        <f aca="false">pk_29*(eqtA_29-eqaA_29)/(eqtA_29-eqaA_29)</f>
        <v>9.288</v>
      </c>
      <c r="H80" s="21" t="n">
        <f aca="false">G80*(1+g_pk_tail)</f>
        <v>9.7524</v>
      </c>
      <c r="J80" s="8" t="s">
        <v>650</v>
      </c>
    </row>
    <row r="81" customFormat="false" ht="15" hidden="false" customHeight="false" outlineLevel="0" collapsed="false">
      <c r="A81" s="5" t="s">
        <v>651</v>
      </c>
      <c r="B81" s="0" t="s">
        <v>219</v>
      </c>
      <c r="C81" s="24" t="n">
        <f aca="false">eqtA_25</f>
        <v>134.689359843138</v>
      </c>
      <c r="D81" s="24" t="n">
        <f aca="false">eqtA_26</f>
        <v>178.157050570127</v>
      </c>
      <c r="E81" s="24" t="n">
        <f aca="false">eqtA_27</f>
        <v>218.225535760082</v>
      </c>
      <c r="F81" s="24" t="n">
        <f aca="false">eqtA_28</f>
        <v>246.028626308958</v>
      </c>
      <c r="G81" s="24" t="n">
        <f aca="false">eqtA_29</f>
        <v>260.655685855226</v>
      </c>
      <c r="H81" s="24" t="n">
        <f aca="false">G81*(1+g_pk_tail)</f>
        <v>273.688470147987</v>
      </c>
      <c r="J81" s="5" t="s">
        <v>652</v>
      </c>
    </row>
    <row r="82" customFormat="false" ht="17.15" hidden="false" customHeight="false" outlineLevel="0" collapsed="false">
      <c r="A82" s="1" t="s">
        <v>653</v>
      </c>
    </row>
    <row r="83" customFormat="false" ht="17.15" hidden="false" customHeight="false" outlineLevel="0" collapsed="false">
      <c r="A83" s="0" t="s">
        <v>654</v>
      </c>
      <c r="B83" s="0" t="s">
        <v>655</v>
      </c>
      <c r="C83" s="24" t="n">
        <f aca="false">ai_25_lo*w_hbm/(0.75*C77+0.25*D77)</f>
        <v>84.9920710297632</v>
      </c>
      <c r="J83" s="5" t="s">
        <v>656</v>
      </c>
    </row>
    <row r="84" customFormat="false" ht="17.15" hidden="false" customHeight="false" outlineLevel="0" collapsed="false">
      <c r="A84" s="0" t="s">
        <v>657</v>
      </c>
      <c r="B84" s="0" t="s">
        <v>658</v>
      </c>
      <c r="C84" s="25" t="n">
        <f aca="false">ai_25_lo*(1-w_hbm)/(0.75*C79+0.25*D79)</f>
        <v>0.00535592086220639</v>
      </c>
    </row>
    <row r="85" customFormat="false" ht="17.15" hidden="false" customHeight="false" outlineLevel="0" collapsed="false">
      <c r="A85" s="1" t="s">
        <v>659</v>
      </c>
    </row>
    <row r="86" customFormat="false" ht="17.15" hidden="false" customHeight="false" outlineLevel="0" collapsed="false">
      <c r="A86" s="0" t="s">
        <v>660</v>
      </c>
      <c r="B86" s="0" t="s">
        <v>198</v>
      </c>
      <c r="C86" s="20" t="n">
        <f aca="false">1-shl_A/sh*0</f>
        <v>1</v>
      </c>
      <c r="D86" s="20" t="n">
        <f aca="false">1-shl_A/sh*0.25</f>
        <v>1</v>
      </c>
      <c r="E86" s="20" t="n">
        <f aca="false">1-shl_A/sh*0.5</f>
        <v>1</v>
      </c>
      <c r="F86" s="20" t="n">
        <f aca="false">1-shl_A/sh*0.75</f>
        <v>1</v>
      </c>
      <c r="G86" s="20" t="n">
        <f aca="false">1-shl_A/sh*1</f>
        <v>1</v>
      </c>
      <c r="J86" s="5" t="s">
        <v>661</v>
      </c>
    </row>
    <row r="87" customFormat="false" ht="17.15" hidden="false" customHeight="false" outlineLevel="0" collapsed="false">
      <c r="A87" s="0" t="s">
        <v>662</v>
      </c>
      <c r="B87" s="0" t="s">
        <v>34</v>
      </c>
      <c r="C87" s="19" t="n">
        <f aca="false">$C$83*(0.75*C77+0.25*D77)*C86</f>
        <v>3.5</v>
      </c>
      <c r="D87" s="19" t="n">
        <f aca="false">$C$83*(0.75*D77+0.25*E77)*D86</f>
        <v>4.09834361717392</v>
      </c>
      <c r="E87" s="19" t="n">
        <f aca="false">$C$83*(0.75*E77+0.25*F77)*E86</f>
        <v>3.79738994146375</v>
      </c>
      <c r="F87" s="19" t="n">
        <f aca="false">$C$83*(0.75*F77+0.25*G77)*F86</f>
        <v>3.91956918212541</v>
      </c>
      <c r="G87" s="19" t="n">
        <f aca="false">$C$83*(0.75*G77+0.25*H77)*G86</f>
        <v>3.55504040040178</v>
      </c>
    </row>
    <row r="88" customFormat="false" ht="17.15" hidden="false" customHeight="false" outlineLevel="0" collapsed="false">
      <c r="A88" s="0" t="s">
        <v>663</v>
      </c>
      <c r="B88" s="0" t="s">
        <v>34</v>
      </c>
      <c r="C88" s="19" t="n">
        <f aca="false">$C$84*(0.75*C79+0.25*D79)*C86</f>
        <v>3.5</v>
      </c>
      <c r="D88" s="19" t="n">
        <f aca="false">$C$84*(0.75*D79+0.25*E79)*D86</f>
        <v>5.39792962047949</v>
      </c>
      <c r="E88" s="19" t="n">
        <f aca="false">$C$84*(0.75*E79+0.25*F79)*E86</f>
        <v>3.8229977310585</v>
      </c>
      <c r="F88" s="19" t="n">
        <f aca="false">$C$84*(0.75*F79+0.25*G79)*F86</f>
        <v>3.4390391766588</v>
      </c>
      <c r="G88" s="19" t="n">
        <f aca="false">$C$84*(0.75*G79+0.25*H79)*G86</f>
        <v>3.30852267790695</v>
      </c>
    </row>
    <row r="89" customFormat="false" ht="17.15" hidden="false" customHeight="false" outlineLevel="0" collapsed="false">
      <c r="A89" s="5" t="s">
        <v>664</v>
      </c>
      <c r="B89" s="0" t="s">
        <v>34</v>
      </c>
      <c r="C89" s="19" t="n">
        <f aca="false">(seg_mold-ai_25_lo)*(0.75*C80+0.25*D80)/(0.75*C80+0.25*D80)</f>
        <v>29.46</v>
      </c>
      <c r="D89" s="19" t="n">
        <f aca="false">(seg_mold-ai_25_lo)*(0.75*D80+0.25*E80)/(0.75*C80+0.25*D80)</f>
        <v>32.5794535851567</v>
      </c>
      <c r="E89" s="19" t="n">
        <f aca="false">(seg_mold-ai_25_lo)*(0.75*E80+0.25*F80)/(0.75*C80+0.25*D80)</f>
        <v>36.9109837731941</v>
      </c>
      <c r="F89" s="19" t="n">
        <f aca="false">(seg_mold-ai_25_lo)*(0.75*F80+0.25*G80)/(0.75*C80+0.25*D80)</f>
        <v>41.2826112873134</v>
      </c>
      <c r="G89" s="19" t="n">
        <f aca="false">(seg_mold-ai_25_lo)*(0.75*G80+0.25*H80)/(0.75*C80+0.25*D80)</f>
        <v>44.2573876888992</v>
      </c>
      <c r="J89" s="8" t="s">
        <v>665</v>
      </c>
    </row>
    <row r="90" customFormat="false" ht="15" hidden="false" customHeight="false" outlineLevel="0" collapsed="false">
      <c r="A90" s="5" t="s">
        <v>666</v>
      </c>
      <c r="B90" s="0" t="s">
        <v>34</v>
      </c>
      <c r="C90" s="19" t="n">
        <f aca="false">seg_osemi*(0.75*C81+0.25*D81)/(0.75*C81+0.25*D81)</f>
        <v>3.93</v>
      </c>
      <c r="D90" s="19" t="n">
        <f aca="false">seg_osemi*(0.75*D81+0.25*E81)/(0.75*C81+0.25*D81)</f>
        <v>5.08067726525852</v>
      </c>
      <c r="E90" s="19" t="n">
        <f aca="false">seg_osemi*(0.75*E81+0.25*F81)/(0.75*C81+0.25*D81)</f>
        <v>6.0797299618455</v>
      </c>
      <c r="F90" s="19" t="n">
        <f aca="false">seg_osemi*(0.75*F81+0.25*G81)/(0.75*C81+0.25*D81)</f>
        <v>6.74147189236335</v>
      </c>
      <c r="G90" s="19" t="n">
        <f aca="false">seg_osemi*(0.75*G81+0.25*H81)/(0.75*C81+0.25*D81)</f>
        <v>7.12563922344852</v>
      </c>
      <c r="J90" s="5" t="s">
        <v>667</v>
      </c>
    </row>
    <row r="91" customFormat="false" ht="17.15" hidden="false" customHeight="false" outlineLevel="0" collapsed="false">
      <c r="A91" s="5" t="s">
        <v>668</v>
      </c>
      <c r="B91" s="0" t="s">
        <v>34</v>
      </c>
      <c r="C91" s="19" t="n">
        <f aca="false">seg_new</f>
        <v>9.47</v>
      </c>
      <c r="D91" s="19" t="n">
        <f aca="false">C91*(1+g_tss)</f>
        <v>9.7541</v>
      </c>
      <c r="E91" s="19" t="n">
        <f aca="false">D91*(1+g_tss)</f>
        <v>10.046723</v>
      </c>
      <c r="F91" s="19" t="n">
        <f aca="false">E91*(1+g_tss)</f>
        <v>10.34812469</v>
      </c>
      <c r="G91" s="19" t="n">
        <f aca="false">F91*(1+g_tss)</f>
        <v>10.6585684307</v>
      </c>
    </row>
    <row r="92" customFormat="false" ht="15" hidden="false" customHeight="false" outlineLevel="0" collapsed="false">
      <c r="A92" s="5" t="s">
        <v>669</v>
      </c>
      <c r="B92" s="0" t="s">
        <v>34</v>
      </c>
      <c r="C92" s="19" t="n">
        <f aca="false">seg_med</f>
        <v>2.48</v>
      </c>
      <c r="D92" s="19" t="n">
        <f aca="false">C92*(1+g_med)</f>
        <v>2.5544</v>
      </c>
      <c r="E92" s="19" t="n">
        <f aca="false">D92*(1+g_med)</f>
        <v>2.631032</v>
      </c>
      <c r="F92" s="19" t="n">
        <f aca="false">E92*(1+g_med)</f>
        <v>2.70996296</v>
      </c>
      <c r="G92" s="19" t="n">
        <f aca="false">F92*(1+g_med)</f>
        <v>2.7912618488</v>
      </c>
    </row>
    <row r="93" customFormat="false" ht="15" hidden="false" customHeight="false" outlineLevel="0" collapsed="false">
      <c r="A93" s="5" t="s">
        <v>670</v>
      </c>
      <c r="B93" s="0" t="s">
        <v>34</v>
      </c>
      <c r="C93" s="19" t="n">
        <f aca="false">seg_las*(0.75*C81+0.25*D81)/(0.75*C81+0.25*D81)</f>
        <v>2</v>
      </c>
      <c r="D93" s="19" t="n">
        <f aca="false">seg_las*(0.75*D81+0.25*E81)/(0.75*C81+0.25*D81)</f>
        <v>2.5855863945336</v>
      </c>
      <c r="E93" s="19" t="n">
        <f aca="false">seg_las*(0.75*E81+0.25*F81)/(0.75*C81+0.25*D81)</f>
        <v>3.0940101587</v>
      </c>
      <c r="F93" s="19" t="n">
        <f aca="false">seg_las*(0.75*F81+0.25*G81)/(0.75*C81+0.25*D81)</f>
        <v>3.43077449993046</v>
      </c>
      <c r="G93" s="19" t="n">
        <f aca="false">seg_las*(0.75*G81+0.25*H81)/(0.75*C81+0.25*D81)</f>
        <v>3.62627950302724</v>
      </c>
      <c r="J93" s="5" t="s">
        <v>667</v>
      </c>
    </row>
    <row r="94" customFormat="false" ht="15" hidden="false" customHeight="false" outlineLevel="0" collapsed="false">
      <c r="A94" s="5" t="s">
        <v>671</v>
      </c>
      <c r="B94" s="0" t="s">
        <v>34</v>
      </c>
      <c r="C94" s="19" t="n">
        <f aca="false">C87+C88+C89+C90+C91+C92+C93+seg_adj</f>
        <v>54.365</v>
      </c>
      <c r="D94" s="19" t="n">
        <f aca="false">D87+D88+D89+D90+D91+D92+D93</f>
        <v>62.0504904826023</v>
      </c>
      <c r="E94" s="19" t="n">
        <f aca="false">E87+E88+E89+E90+E91+E92+E93</f>
        <v>66.3828665662618</v>
      </c>
      <c r="F94" s="19" t="n">
        <f aca="false">F87+F88+F89+F90+F91+F92+F93</f>
        <v>71.8715536883914</v>
      </c>
      <c r="G94" s="19" t="n">
        <f aca="false">G87+G88+G89+G90+G91+G92+G93</f>
        <v>75.3226997731837</v>
      </c>
    </row>
    <row r="95" customFormat="false" ht="17.15" hidden="false" customHeight="false" outlineLevel="0" collapsed="false">
      <c r="A95" s="1" t="s">
        <v>672</v>
      </c>
    </row>
    <row r="96" customFormat="false" ht="17.15" hidden="false" customHeight="false" outlineLevel="0" collapsed="false">
      <c r="A96" s="0" t="s">
        <v>673</v>
      </c>
      <c r="B96" s="0" t="s">
        <v>34</v>
      </c>
      <c r="D96" s="19" t="n">
        <f aca="false">g26_rev*(1+g_anc)</f>
        <v>64</v>
      </c>
    </row>
    <row r="97" customFormat="false" ht="17.15" hidden="false" customHeight="false" outlineLevel="0" collapsed="false">
      <c r="A97" s="0" t="s">
        <v>674</v>
      </c>
      <c r="B97" s="0" t="s">
        <v>34</v>
      </c>
      <c r="D97" s="19" t="n">
        <f aca="false">D96*g26_oi/g26_rev</f>
        <v>10.24</v>
      </c>
    </row>
    <row r="98" customFormat="false" ht="17.15" hidden="false" customHeight="false" outlineLevel="0" collapsed="false">
      <c r="A98" s="0" t="s">
        <v>675</v>
      </c>
      <c r="B98" s="0" t="s">
        <v>34</v>
      </c>
      <c r="D98" s="19" t="n">
        <f aca="false">D97*g26_ni/g26_oi</f>
        <v>7</v>
      </c>
    </row>
    <row r="99" customFormat="false" ht="17.15" hidden="false" customHeight="false" outlineLevel="0" collapsed="false">
      <c r="A99" s="5" t="s">
        <v>676</v>
      </c>
      <c r="B99" s="0" t="s">
        <v>198</v>
      </c>
      <c r="D99" s="20" t="n">
        <f aca="false">D96/D94</f>
        <v>1.03141811615404</v>
      </c>
      <c r="J99" s="8" t="s">
        <v>677</v>
      </c>
    </row>
    <row r="100" customFormat="false" ht="17.15" hidden="false" customHeight="false" outlineLevel="0" collapsed="false">
      <c r="A100" s="5" t="s">
        <v>678</v>
      </c>
      <c r="B100" s="0" t="s">
        <v>198</v>
      </c>
      <c r="D100" s="20" t="n">
        <f aca="false">1+1*(D99-1)</f>
        <v>1.03141811615404</v>
      </c>
      <c r="J100" s="8" t="s">
        <v>679</v>
      </c>
    </row>
    <row r="101" customFormat="false" ht="17.15" hidden="false" customHeight="false" outlineLevel="0" collapsed="false">
      <c r="A101" s="1" t="s">
        <v>680</v>
      </c>
    </row>
    <row r="102" customFormat="false" ht="17.15" hidden="false" customHeight="false" outlineLevel="0" collapsed="false">
      <c r="A102" s="0" t="s">
        <v>681</v>
      </c>
      <c r="B102" s="0" t="s">
        <v>34</v>
      </c>
      <c r="C102" s="19" t="n">
        <f aca="false">C87*1</f>
        <v>3.5</v>
      </c>
      <c r="D102" s="19" t="n">
        <f aca="false">D87*$D$99</f>
        <v>4.22710585297748</v>
      </c>
      <c r="E102" s="19" t="n">
        <f aca="false">E87*1</f>
        <v>3.79738994146375</v>
      </c>
      <c r="F102" s="19" t="n">
        <f aca="false">F87*1</f>
        <v>3.91956918212541</v>
      </c>
      <c r="G102" s="19" t="n">
        <f aca="false">G87*1</f>
        <v>3.55504040040178</v>
      </c>
    </row>
    <row r="103" customFormat="false" ht="17.15" hidden="false" customHeight="false" outlineLevel="0" collapsed="false">
      <c r="A103" s="0" t="s">
        <v>682</v>
      </c>
      <c r="B103" s="0" t="s">
        <v>34</v>
      </c>
      <c r="C103" s="19" t="n">
        <f aca="false">C88*1</f>
        <v>3.5</v>
      </c>
      <c r="D103" s="19" t="n">
        <f aca="false">D88*$D$99</f>
        <v>5.56752240028707</v>
      </c>
      <c r="E103" s="19" t="n">
        <f aca="false">E88*1</f>
        <v>3.8229977310585</v>
      </c>
      <c r="F103" s="19" t="n">
        <f aca="false">F88*1</f>
        <v>3.4390391766588</v>
      </c>
      <c r="G103" s="19" t="n">
        <f aca="false">G88*1</f>
        <v>3.30852267790695</v>
      </c>
    </row>
    <row r="104" customFormat="false" ht="17.15" hidden="false" customHeight="false" outlineLevel="0" collapsed="false">
      <c r="A104" s="5" t="s">
        <v>683</v>
      </c>
      <c r="B104" s="0" t="s">
        <v>34</v>
      </c>
      <c r="C104" s="19" t="n">
        <f aca="false">C89*1</f>
        <v>29.46</v>
      </c>
      <c r="D104" s="19" t="n">
        <f aca="false">D89*$D$99</f>
        <v>33.6030386421304</v>
      </c>
      <c r="E104" s="19" t="n">
        <f aca="false">E89*$D$100</f>
        <v>38.0706573487403</v>
      </c>
      <c r="F104" s="19" t="n">
        <f aca="false">F89*$D$100</f>
        <v>42.5796331638804</v>
      </c>
      <c r="G104" s="19" t="n">
        <f aca="false">G89*$D$100</f>
        <v>45.6478714359836</v>
      </c>
    </row>
    <row r="105" customFormat="false" ht="15" hidden="false" customHeight="false" outlineLevel="0" collapsed="false">
      <c r="A105" s="5" t="s">
        <v>684</v>
      </c>
      <c r="B105" s="0" t="s">
        <v>34</v>
      </c>
      <c r="C105" s="19" t="n">
        <f aca="false">C90*1</f>
        <v>3.93</v>
      </c>
      <c r="D105" s="19" t="n">
        <f aca="false">D90*$D$99</f>
        <v>5.24030257371961</v>
      </c>
      <c r="E105" s="19" t="n">
        <f aca="false">E90*$D$100</f>
        <v>6.27074362397197</v>
      </c>
      <c r="F105" s="19" t="n">
        <f aca="false">F90*$D$100</f>
        <v>6.95327623932684</v>
      </c>
      <c r="G105" s="19" t="n">
        <f aca="false">G90*$D$100</f>
        <v>7.34951338424263</v>
      </c>
    </row>
    <row r="106" customFormat="false" ht="17.15" hidden="false" customHeight="false" outlineLevel="0" collapsed="false">
      <c r="A106" s="5" t="s">
        <v>685</v>
      </c>
      <c r="B106" s="0" t="s">
        <v>34</v>
      </c>
      <c r="C106" s="19" t="n">
        <f aca="false">C91*1</f>
        <v>9.47</v>
      </c>
      <c r="D106" s="19" t="n">
        <f aca="false">D91*$D$99</f>
        <v>10.0605554467782</v>
      </c>
      <c r="E106" s="19" t="n">
        <f aca="false">E91*$D$100</f>
        <v>10.3623721101815</v>
      </c>
      <c r="F106" s="19" t="n">
        <f aca="false">F91*$D$100</f>
        <v>10.6732432734869</v>
      </c>
      <c r="G106" s="19" t="n">
        <f aca="false">G91*$D$100</f>
        <v>10.9934405716916</v>
      </c>
    </row>
    <row r="107" customFormat="false" ht="15" hidden="false" customHeight="false" outlineLevel="0" collapsed="false">
      <c r="A107" s="5" t="s">
        <v>686</v>
      </c>
      <c r="B107" s="0" t="s">
        <v>34</v>
      </c>
      <c r="C107" s="19" t="n">
        <f aca="false">C92*1</f>
        <v>2.48</v>
      </c>
      <c r="D107" s="19" t="n">
        <f aca="false">D92*$D$99</f>
        <v>2.63465443590389</v>
      </c>
      <c r="E107" s="19" t="n">
        <f aca="false">E92*$D$100</f>
        <v>2.713694068981</v>
      </c>
      <c r="F107" s="19" t="n">
        <f aca="false">F92*$D$100</f>
        <v>2.79510489105043</v>
      </c>
      <c r="G107" s="19" t="n">
        <f aca="false">G92*$D$100</f>
        <v>2.87895803778195</v>
      </c>
    </row>
    <row r="108" customFormat="false" ht="15" hidden="false" customHeight="false" outlineLevel="0" collapsed="false">
      <c r="A108" s="5" t="s">
        <v>687</v>
      </c>
      <c r="B108" s="0" t="s">
        <v>34</v>
      </c>
      <c r="C108" s="19" t="n">
        <f aca="false">C93*1</f>
        <v>2</v>
      </c>
      <c r="D108" s="19" t="n">
        <f aca="false">D93*$D$99</f>
        <v>2.66682064820337</v>
      </c>
      <c r="E108" s="19" t="n">
        <f aca="false">E93*$D$100</f>
        <v>3.19121812924782</v>
      </c>
      <c r="F108" s="19" t="n">
        <f aca="false">F93*$D$100</f>
        <v>3.5385629716676</v>
      </c>
      <c r="G108" s="19" t="n">
        <f aca="false">G93*$D$100</f>
        <v>3.74021037366037</v>
      </c>
    </row>
    <row r="109" customFormat="false" ht="17.15" hidden="false" customHeight="false" outlineLevel="0" collapsed="false">
      <c r="A109" s="0" t="s">
        <v>688</v>
      </c>
      <c r="B109" s="0" t="s">
        <v>34</v>
      </c>
      <c r="C109" s="19" t="n">
        <f aca="false">C102+C103</f>
        <v>7</v>
      </c>
      <c r="D109" s="19" t="n">
        <f aca="false">D102+D103</f>
        <v>9.79462825326454</v>
      </c>
      <c r="E109" s="19" t="n">
        <f aca="false">E102+E103</f>
        <v>7.62038767252225</v>
      </c>
      <c r="F109" s="19" t="n">
        <f aca="false">F102+F103</f>
        <v>7.35860835878421</v>
      </c>
      <c r="G109" s="19" t="n">
        <f aca="false">G102+G103</f>
        <v>6.86356307830874</v>
      </c>
    </row>
    <row r="110" customFormat="false" ht="17.15" hidden="false" customHeight="false" outlineLevel="0" collapsed="false">
      <c r="A110" s="5" t="s">
        <v>689</v>
      </c>
      <c r="B110" s="0" t="s">
        <v>34</v>
      </c>
      <c r="C110" s="19" t="n">
        <f aca="false">C109+C104+C105</f>
        <v>40.39</v>
      </c>
      <c r="D110" s="19" t="n">
        <f aca="false">D109+D104+D105</f>
        <v>48.6379694691146</v>
      </c>
      <c r="E110" s="19" t="n">
        <f aca="false">E109+E104+E105</f>
        <v>51.9617886452345</v>
      </c>
      <c r="F110" s="19" t="n">
        <f aca="false">F109+F104+F105</f>
        <v>56.8915177619915</v>
      </c>
      <c r="G110" s="19" t="n">
        <f aca="false">G109+G104+G105</f>
        <v>59.8609478985349</v>
      </c>
      <c r="J110" s="5" t="s">
        <v>690</v>
      </c>
    </row>
    <row r="111" customFormat="false" ht="17.15" hidden="false" customHeight="false" outlineLevel="0" collapsed="false">
      <c r="A111" s="5" t="s">
        <v>541</v>
      </c>
      <c r="B111" s="0" t="s">
        <v>34</v>
      </c>
      <c r="C111" s="19" t="n">
        <f aca="false">C110+C106+C107+C108+seg_adj</f>
        <v>54.365</v>
      </c>
      <c r="D111" s="19" t="n">
        <f aca="false">D110+D106+D107+D108</f>
        <v>64</v>
      </c>
      <c r="E111" s="19" t="n">
        <f aca="false">E110+E106+E107+E108</f>
        <v>68.2290729536449</v>
      </c>
      <c r="F111" s="19" t="n">
        <f aca="false">F110+F106+F107+F108</f>
        <v>73.8984288981965</v>
      </c>
      <c r="G111" s="19" t="n">
        <f aca="false">G110+G106+G107+G108</f>
        <v>77.4735568816688</v>
      </c>
      <c r="J111" s="8" t="s">
        <v>691</v>
      </c>
    </row>
    <row r="112" customFormat="false" ht="17.15" hidden="false" customHeight="false" outlineLevel="0" collapsed="false">
      <c r="A112" s="5" t="s">
        <v>692</v>
      </c>
      <c r="B112" s="0" t="s">
        <v>34</v>
      </c>
      <c r="C112" s="20" t="n">
        <f aca="false">C110+C106+C107+C108-a25_rev</f>
        <v>-0.0250000000000057</v>
      </c>
    </row>
    <row r="113" customFormat="false" ht="17.15" hidden="false" customHeight="false" outlineLevel="0" collapsed="false">
      <c r="A113" s="0" t="s">
        <v>621</v>
      </c>
      <c r="B113" s="0" t="s">
        <v>94</v>
      </c>
      <c r="C113" s="11" t="n">
        <f aca="false">C109/C111</f>
        <v>0.12875931205739</v>
      </c>
      <c r="D113" s="11" t="n">
        <f aca="false">D109/D111</f>
        <v>0.153041066457258</v>
      </c>
      <c r="E113" s="11" t="n">
        <f aca="false">E109/E111</f>
        <v>0.111688278070253</v>
      </c>
      <c r="F113" s="11" t="n">
        <f aca="false">F109/F111</f>
        <v>0.0995773315955273</v>
      </c>
      <c r="G113" s="11" t="n">
        <f aca="false">G109/G111</f>
        <v>0.0885923320752134</v>
      </c>
    </row>
    <row r="114" customFormat="false" ht="17.15" hidden="false" customHeight="false" outlineLevel="0" collapsed="false">
      <c r="A114" s="5" t="s">
        <v>545</v>
      </c>
      <c r="B114" s="0" t="s">
        <v>34</v>
      </c>
      <c r="C114" s="19" t="n">
        <f aca="false">a25_oi</f>
        <v>6.917</v>
      </c>
      <c r="D114" s="19" t="n">
        <f aca="false">D97</f>
        <v>10.24</v>
      </c>
      <c r="E114" s="19" t="n">
        <f aca="false">$D114+(im+ima_A)*(E111-$D111)</f>
        <v>11.5066966919617</v>
      </c>
      <c r="F114" s="19" t="n">
        <f aca="false">$D114+(im+ima_A)*(F111-$D111)</f>
        <v>13.2047885667609</v>
      </c>
      <c r="G114" s="19" t="n">
        <f aca="false">$D114+(im+ima_A)*(G111-$D111)</f>
        <v>14.2756149250769</v>
      </c>
      <c r="J114" s="8" t="s">
        <v>693</v>
      </c>
    </row>
    <row r="115" customFormat="false" ht="15" hidden="false" customHeight="false" outlineLevel="0" collapsed="false">
      <c r="A115" s="5" t="s">
        <v>694</v>
      </c>
      <c r="B115" s="0" t="s">
        <v>94</v>
      </c>
      <c r="C115" s="11" t="n">
        <f aca="false">C114/C111</f>
        <v>0.127232594500138</v>
      </c>
      <c r="D115" s="11" t="n">
        <f aca="false">D114/D111</f>
        <v>0.16</v>
      </c>
      <c r="E115" s="11" t="n">
        <f aca="false">E114/E111</f>
        <v>0.168647999948342</v>
      </c>
      <c r="F115" s="11" t="n">
        <f aca="false">F114/F111</f>
        <v>0.178688353238903</v>
      </c>
      <c r="G115" s="11" t="n">
        <f aca="false">G114/G111</f>
        <v>0.18426435418321</v>
      </c>
    </row>
    <row r="116" customFormat="false" ht="15" hidden="false" customHeight="false" outlineLevel="0" collapsed="false">
      <c r="A116" s="5" t="s">
        <v>548</v>
      </c>
      <c r="B116" s="0" t="s">
        <v>34</v>
      </c>
      <c r="C116" s="19" t="n">
        <f aca="false">a25_ni</f>
        <v>4.593</v>
      </c>
      <c r="D116" s="19" t="n">
        <f aca="false">D98</f>
        <v>7</v>
      </c>
      <c r="E116" s="19" t="n">
        <f aca="false">E114*nioi</f>
        <v>7.86590594177072</v>
      </c>
      <c r="F116" s="19" t="n">
        <f aca="false">F114*nioi</f>
        <v>9.02671093430919</v>
      </c>
      <c r="G116" s="19" t="n">
        <f aca="false">G114*nioi</f>
        <v>9.75872114018928</v>
      </c>
    </row>
    <row r="117" customFormat="false" ht="15" hidden="false" customHeight="false" outlineLevel="0" collapsed="false">
      <c r="A117" s="0" t="s">
        <v>622</v>
      </c>
      <c r="B117" s="0" t="s">
        <v>52</v>
      </c>
      <c r="C117" s="22" t="n">
        <f aca="false">a25_eps</f>
        <v>61.22</v>
      </c>
      <c r="D117" s="22" t="n">
        <f aca="false">D116*1000/shares</f>
        <v>93.2961492201002</v>
      </c>
      <c r="E117" s="22" t="n">
        <f aca="false">E116*1000/shares</f>
        <v>104.836962070673</v>
      </c>
      <c r="F117" s="22" t="n">
        <f aca="false">F116*1000/shares</f>
        <v>120.308195756289</v>
      </c>
      <c r="G117" s="22" t="n">
        <f aca="false">G116*1000/shares</f>
        <v>130.064443384635</v>
      </c>
    </row>
    <row r="118" customFormat="false" ht="17.15" hidden="false" customHeight="false" outlineLevel="0" collapsed="false">
      <c r="A118" s="5" t="s">
        <v>695</v>
      </c>
      <c r="B118" s="0" t="s">
        <v>34</v>
      </c>
      <c r="C118" s="20" t="n">
        <f aca="false">ABS(C111-a25_rev)+ABS(C114-a25_oi)+ABS(D111-D96)</f>
        <v>0</v>
      </c>
    </row>
    <row r="130" customFormat="false" ht="17.15" hidden="false" customHeight="false" outlineLevel="0" collapsed="false">
      <c r="A130" s="3" t="s">
        <v>1017</v>
      </c>
    </row>
    <row r="131" customFormat="false" ht="17.15" hidden="false" customHeight="false" outlineLevel="0" collapsed="false">
      <c r="A131" s="6" t="s">
        <v>23</v>
      </c>
      <c r="B131" s="6" t="s">
        <v>24</v>
      </c>
      <c r="C131" s="15" t="s">
        <v>628</v>
      </c>
      <c r="D131" s="15" t="s">
        <v>629</v>
      </c>
      <c r="E131" s="15" t="s">
        <v>630</v>
      </c>
      <c r="F131" s="15" t="s">
        <v>631</v>
      </c>
      <c r="G131" s="15" t="s">
        <v>632</v>
      </c>
      <c r="H131" s="15" t="s">
        <v>633</v>
      </c>
      <c r="I131" s="15" t="s">
        <v>634</v>
      </c>
      <c r="J131" s="6" t="s">
        <v>468</v>
      </c>
    </row>
    <row r="132" customFormat="false" ht="17.15" hidden="false" customHeight="false" outlineLevel="0" collapsed="false">
      <c r="A132" s="1" t="s">
        <v>635</v>
      </c>
    </row>
    <row r="133" customFormat="false" ht="17.15" hidden="false" customHeight="false" outlineLevel="0" collapsed="false">
      <c r="A133" s="0" t="s">
        <v>636</v>
      </c>
      <c r="B133" s="0" t="s">
        <v>111</v>
      </c>
      <c r="C133" s="21" t="n">
        <f aca="false">hsA_25</f>
        <v>2.22511470588235</v>
      </c>
      <c r="D133" s="21" t="n">
        <f aca="false">hsA_26</f>
        <v>3.782695</v>
      </c>
      <c r="E133" s="21" t="n">
        <f aca="false">hsA_27</f>
        <v>5.86317725</v>
      </c>
      <c r="F133" s="21" t="n">
        <f aca="false">hsA_28</f>
        <v>8.5016070125</v>
      </c>
      <c r="G133" s="21" t="n">
        <f aca="false">hsA_29</f>
        <v>11.477169466875</v>
      </c>
      <c r="J133" s="8" t="s">
        <v>637</v>
      </c>
    </row>
    <row r="134" customFormat="false" ht="17.15" hidden="false" customHeight="false" outlineLevel="0" collapsed="false">
      <c r="A134" s="0" t="s">
        <v>638</v>
      </c>
      <c r="B134" s="0" t="s">
        <v>639</v>
      </c>
      <c r="C134" s="21" t="n">
        <f aca="false">den_25</f>
        <v>24</v>
      </c>
      <c r="D134" s="21" t="n">
        <f aca="false">den_26</f>
        <v>24</v>
      </c>
      <c r="E134" s="21" t="n">
        <f aca="false">den_27</f>
        <v>26</v>
      </c>
      <c r="F134" s="21" t="n">
        <f aca="false">den_28</f>
        <v>28</v>
      </c>
      <c r="G134" s="21" t="n">
        <f aca="false">den_29</f>
        <v>30</v>
      </c>
    </row>
    <row r="135" customFormat="false" ht="15" hidden="false" customHeight="false" outlineLevel="0" collapsed="false">
      <c r="A135" s="5" t="s">
        <v>640</v>
      </c>
      <c r="B135" s="5" t="s">
        <v>160</v>
      </c>
      <c r="C135" s="21" t="n">
        <f aca="false">stk_25</f>
        <v>10</v>
      </c>
      <c r="D135" s="21" t="n">
        <f aca="false">stk_26</f>
        <v>12</v>
      </c>
      <c r="E135" s="21" t="n">
        <f aca="false">stk_27</f>
        <v>12.5</v>
      </c>
      <c r="F135" s="21" t="n">
        <f aca="false">stk_28</f>
        <v>14</v>
      </c>
      <c r="G135" s="21" t="n">
        <f aca="false">stk_29</f>
        <v>15</v>
      </c>
    </row>
    <row r="136" customFormat="false" ht="17.15" hidden="false" customHeight="false" outlineLevel="0" collapsed="false">
      <c r="A136" s="0" t="s">
        <v>641</v>
      </c>
      <c r="B136" s="5" t="s">
        <v>642</v>
      </c>
      <c r="C136" s="23" t="n">
        <f aca="false">C133*8/(C134*C135)</f>
        <v>0.0741704901960783</v>
      </c>
      <c r="D136" s="23" t="n">
        <f aca="false">D133*8/(D134*D135)</f>
        <v>0.105074861111111</v>
      </c>
      <c r="E136" s="23" t="n">
        <f aca="false">E133*8/(E134*E135)</f>
        <v>0.144324363076923</v>
      </c>
      <c r="F136" s="23" t="n">
        <f aca="false">F133*8/(F134*F135)</f>
        <v>0.173502183928571</v>
      </c>
      <c r="G136" s="23" t="n">
        <f aca="false">G133*8/(G134*G135)</f>
        <v>0.2040385683</v>
      </c>
      <c r="H136" s="23" t="n">
        <f aca="false">G136*(1+g_tail)</f>
        <v>0.22444242513</v>
      </c>
      <c r="I136" s="23" t="n">
        <f aca="false">H136*(1+g_tail)</f>
        <v>0.246886667643</v>
      </c>
      <c r="J136" s="8" t="s">
        <v>643</v>
      </c>
    </row>
    <row r="137" customFormat="false" ht="17.15" hidden="false" customHeight="false" outlineLevel="0" collapsed="false">
      <c r="A137" s="0" t="s">
        <v>644</v>
      </c>
      <c r="B137" s="5" t="s">
        <v>642</v>
      </c>
      <c r="C137" s="23" t="n">
        <f aca="false">MAX(0,D136-C136)+dlt*C136</f>
        <v>0.0383214199346406</v>
      </c>
      <c r="D137" s="23" t="n">
        <f aca="false">MAX(0,E136-D136)+dlt*D136</f>
        <v>0.0497569880769231</v>
      </c>
      <c r="E137" s="23" t="n">
        <f aca="false">MAX(0,F136-E136)+dlt*E136</f>
        <v>0.0436102571593407</v>
      </c>
      <c r="F137" s="23" t="n">
        <f aca="false">MAX(0,G136-F136)+dlt*F136</f>
        <v>0.0478866027642858</v>
      </c>
      <c r="G137" s="23" t="n">
        <f aca="false">MAX(0,H136-G136)+dlt*G136</f>
        <v>0.04080771366</v>
      </c>
      <c r="H137" s="23" t="n">
        <f aca="false">MAX(0,I136-H136)+dlt*H136</f>
        <v>0.044888485026</v>
      </c>
      <c r="J137" s="5" t="s">
        <v>645</v>
      </c>
    </row>
    <row r="138" customFormat="false" ht="17.15" hidden="false" customHeight="false" outlineLevel="0" collapsed="false">
      <c r="A138" s="0" t="s">
        <v>646</v>
      </c>
      <c r="B138" s="5" t="s">
        <v>183</v>
      </c>
      <c r="C138" s="14" t="n">
        <f aca="false">cw_25</f>
        <v>670</v>
      </c>
      <c r="D138" s="14" t="n">
        <f aca="false">cw_26</f>
        <v>1107.85762580894</v>
      </c>
      <c r="E138" s="14" t="n">
        <f aca="false">cw_27</f>
        <v>2096.42857142857</v>
      </c>
      <c r="F138" s="14" t="n">
        <f aca="false">cw_28*um28_A</f>
        <v>2620.08928571429</v>
      </c>
      <c r="G138" s="14" t="n">
        <f aca="false">cw_29*um29_A</f>
        <v>3013.32589285714</v>
      </c>
      <c r="H138" s="14" t="n">
        <f aca="false">G138*(1+g_tail)</f>
        <v>3314.65848214285</v>
      </c>
      <c r="I138" s="14" t="n">
        <f aca="false">H138*(1+g_tail)</f>
        <v>3646.12433035714</v>
      </c>
      <c r="J138" s="5" t="s">
        <v>647</v>
      </c>
    </row>
    <row r="139" customFormat="false" ht="17.15" hidden="false" customHeight="false" outlineLevel="0" collapsed="false">
      <c r="A139" s="0" t="s">
        <v>648</v>
      </c>
      <c r="B139" s="5" t="s">
        <v>183</v>
      </c>
      <c r="C139" s="14" t="n">
        <f aca="false">MAX(0,D138-C138)+dlt*C138</f>
        <v>504.85762580894</v>
      </c>
      <c r="D139" s="14" t="n">
        <f aca="false">MAX(0,E138-D138)+dlt*D138</f>
        <v>1099.35670820052</v>
      </c>
      <c r="E139" s="14" t="n">
        <f aca="false">MAX(0,F138-E138)+dlt*E138</f>
        <v>733.303571428577</v>
      </c>
      <c r="F139" s="14" t="n">
        <f aca="false">MAX(0,G138-F138)+dlt*F138</f>
        <v>655.245535714279</v>
      </c>
      <c r="G139" s="14" t="n">
        <f aca="false">MAX(0,H138-G138)+dlt*G138</f>
        <v>602.665178571428</v>
      </c>
      <c r="H139" s="14" t="n">
        <f aca="false">MAX(0,I138-H138)+dlt*H138</f>
        <v>662.931696428571</v>
      </c>
    </row>
    <row r="140" customFormat="false" ht="17.15" hidden="false" customHeight="false" outlineLevel="0" collapsed="false">
      <c r="A140" s="5" t="s">
        <v>649</v>
      </c>
      <c r="B140" s="0" t="s">
        <v>219</v>
      </c>
      <c r="C140" s="21" t="n">
        <f aca="false">pk_25*(eqtA_25-eqaA_25)/(eqtA_25-eqaA_25)</f>
        <v>6.11313868613139</v>
      </c>
      <c r="D140" s="21" t="n">
        <f aca="false">pk_26*(eqtA_26-eqaA_26)/(eqtA_26-eqaA_26)</f>
        <v>6.7</v>
      </c>
      <c r="E140" s="21" t="n">
        <f aca="false">pk_27*(eqtA_27-eqaA_27)/(eqtA_27-eqaA_27)</f>
        <v>7.59078388573934</v>
      </c>
      <c r="F140" s="21" t="n">
        <f aca="false">pk_28*(eqtA_28-eqaA_28)/(eqtA_28-eqaA_28)</f>
        <v>8.6</v>
      </c>
      <c r="G140" s="21" t="n">
        <f aca="false">pk_29*(eqtA_29-eqaA_29)/(eqtA_29-eqaA_29)</f>
        <v>9.288</v>
      </c>
      <c r="H140" s="21" t="n">
        <f aca="false">G140*(1+g_pk_tail)</f>
        <v>9.7524</v>
      </c>
      <c r="J140" s="8" t="s">
        <v>650</v>
      </c>
    </row>
    <row r="141" customFormat="false" ht="15" hidden="false" customHeight="false" outlineLevel="0" collapsed="false">
      <c r="A141" s="5" t="s">
        <v>651</v>
      </c>
      <c r="B141" s="0" t="s">
        <v>219</v>
      </c>
      <c r="C141" s="24" t="n">
        <f aca="false">eqtA_25</f>
        <v>134.689359843138</v>
      </c>
      <c r="D141" s="24" t="n">
        <f aca="false">eqtA_26</f>
        <v>178.157050570127</v>
      </c>
      <c r="E141" s="24" t="n">
        <f aca="false">eqtA_27</f>
        <v>218.225535760082</v>
      </c>
      <c r="F141" s="24" t="n">
        <f aca="false">eqtA_28</f>
        <v>246.028626308958</v>
      </c>
      <c r="G141" s="24" t="n">
        <f aca="false">eqtA_29</f>
        <v>260.655685855226</v>
      </c>
      <c r="H141" s="24" t="n">
        <f aca="false">G141*(1+g_pk_tail)</f>
        <v>273.688470147987</v>
      </c>
      <c r="J141" s="5" t="s">
        <v>652</v>
      </c>
    </row>
    <row r="142" customFormat="false" ht="17.15" hidden="false" customHeight="false" outlineLevel="0" collapsed="false">
      <c r="A142" s="1" t="s">
        <v>653</v>
      </c>
    </row>
    <row r="143" customFormat="false" ht="17.15" hidden="false" customHeight="false" outlineLevel="0" collapsed="false">
      <c r="A143" s="0" t="s">
        <v>654</v>
      </c>
      <c r="B143" s="0" t="s">
        <v>655</v>
      </c>
      <c r="C143" s="24" t="n">
        <f aca="false">ai_25_hi*w_hbm/(0.75*C137+0.25*D137)</f>
        <v>157.842417626703</v>
      </c>
      <c r="J143" s="5" t="s">
        <v>656</v>
      </c>
    </row>
    <row r="144" customFormat="false" ht="17.15" hidden="false" customHeight="false" outlineLevel="0" collapsed="false">
      <c r="A144" s="0" t="s">
        <v>657</v>
      </c>
      <c r="B144" s="0" t="s">
        <v>658</v>
      </c>
      <c r="C144" s="25" t="n">
        <f aca="false">ai_25_hi*(1-w_hbm)/(0.75*C139+0.25*D139)</f>
        <v>0.00994671017266901</v>
      </c>
    </row>
    <row r="145" customFormat="false" ht="17.15" hidden="false" customHeight="false" outlineLevel="0" collapsed="false">
      <c r="A145" s="1" t="s">
        <v>659</v>
      </c>
    </row>
    <row r="146" customFormat="false" ht="17.15" hidden="false" customHeight="false" outlineLevel="0" collapsed="false">
      <c r="A146" s="0" t="s">
        <v>660</v>
      </c>
      <c r="B146" s="0" t="s">
        <v>198</v>
      </c>
      <c r="C146" s="20" t="n">
        <f aca="false">1-shl_A/sh*0</f>
        <v>1</v>
      </c>
      <c r="D146" s="20" t="n">
        <f aca="false">1-shl_A/sh*0.25</f>
        <v>1</v>
      </c>
      <c r="E146" s="20" t="n">
        <f aca="false">1-shl_A/sh*0.5</f>
        <v>1</v>
      </c>
      <c r="F146" s="20" t="n">
        <f aca="false">1-shl_A/sh*0.75</f>
        <v>1</v>
      </c>
      <c r="G146" s="20" t="n">
        <f aca="false">1-shl_A/sh*1</f>
        <v>1</v>
      </c>
      <c r="J146" s="5" t="s">
        <v>661</v>
      </c>
    </row>
    <row r="147" customFormat="false" ht="17.15" hidden="false" customHeight="false" outlineLevel="0" collapsed="false">
      <c r="A147" s="0" t="s">
        <v>662</v>
      </c>
      <c r="B147" s="0" t="s">
        <v>34</v>
      </c>
      <c r="C147" s="19" t="n">
        <f aca="false">$C$143*(0.75*C137+0.25*D137)*C146</f>
        <v>6.5</v>
      </c>
      <c r="D147" s="19" t="n">
        <f aca="false">$C$143*(0.75*D137+0.25*E137)*D146</f>
        <v>7.61120957475157</v>
      </c>
      <c r="E147" s="19" t="n">
        <f aca="false">$C$143*(0.75*E137+0.25*F137)*E146</f>
        <v>7.05229560557553</v>
      </c>
      <c r="F147" s="19" t="n">
        <f aca="false">$C$143*(0.75*F137+0.25*G137)*F146</f>
        <v>7.27919990966148</v>
      </c>
      <c r="G147" s="19" t="n">
        <f aca="false">$C$143*(0.75*G137+0.25*H137)*G146</f>
        <v>6.60221788646045</v>
      </c>
    </row>
    <row r="148" customFormat="false" ht="17.15" hidden="false" customHeight="false" outlineLevel="0" collapsed="false">
      <c r="A148" s="0" t="s">
        <v>663</v>
      </c>
      <c r="B148" s="0" t="s">
        <v>34</v>
      </c>
      <c r="C148" s="19" t="n">
        <f aca="false">$C$144*(0.75*C139+0.25*D139)*C146</f>
        <v>6.5</v>
      </c>
      <c r="D148" s="19" t="n">
        <f aca="false">$C$144*(0.75*D139+0.25*E139)*D146</f>
        <v>10.0247264380333</v>
      </c>
      <c r="E148" s="19" t="n">
        <f aca="false">$C$144*(0.75*E139+0.25*F139)*E146</f>
        <v>7.09985292910865</v>
      </c>
      <c r="F148" s="19" t="n">
        <f aca="false">$C$144*(0.75*F139+0.25*G139)*F146</f>
        <v>6.38678704236634</v>
      </c>
      <c r="G148" s="19" t="n">
        <f aca="false">$C$144*(0.75*G139+0.25*H139)*G146</f>
        <v>6.14439925897006</v>
      </c>
    </row>
    <row r="149" customFormat="false" ht="17.15" hidden="false" customHeight="false" outlineLevel="0" collapsed="false">
      <c r="A149" s="5" t="s">
        <v>664</v>
      </c>
      <c r="B149" s="0" t="s">
        <v>34</v>
      </c>
      <c r="C149" s="19" t="n">
        <f aca="false">(seg_mold-ai_25_hi)*(0.75*C140+0.25*D140)/(0.75*C140+0.25*D140)</f>
        <v>23.46</v>
      </c>
      <c r="D149" s="19" t="n">
        <f aca="false">(seg_mold-ai_25_hi)*(0.75*D140+0.25*E140)/(0.75*C140+0.25*D140)</f>
        <v>25.9441269894018</v>
      </c>
      <c r="E149" s="19" t="n">
        <f aca="false">(seg_mold-ai_25_hi)*(0.75*E140+0.25*F140)/(0.75*C140+0.25*D140)</f>
        <v>29.3934718030935</v>
      </c>
      <c r="F149" s="19" t="n">
        <f aca="false">(seg_mold-ai_25_hi)*(0.75*F140+0.25*G140)/(0.75*C140+0.25*D140)</f>
        <v>32.8747474813433</v>
      </c>
      <c r="G149" s="19" t="n">
        <f aca="false">(seg_mold-ai_25_hi)*(0.75*G140+0.25*H140)/(0.75*C140+0.25*D140)</f>
        <v>35.2436631086754</v>
      </c>
      <c r="J149" s="8" t="s">
        <v>665</v>
      </c>
    </row>
    <row r="150" customFormat="false" ht="15" hidden="false" customHeight="false" outlineLevel="0" collapsed="false">
      <c r="A150" s="5" t="s">
        <v>666</v>
      </c>
      <c r="B150" s="0" t="s">
        <v>34</v>
      </c>
      <c r="C150" s="19" t="n">
        <f aca="false">seg_osemi*(0.75*C141+0.25*D141)/(0.75*C141+0.25*D141)</f>
        <v>3.93</v>
      </c>
      <c r="D150" s="19" t="n">
        <f aca="false">seg_osemi*(0.75*D141+0.25*E141)/(0.75*C141+0.25*D141)</f>
        <v>5.08067726525852</v>
      </c>
      <c r="E150" s="19" t="n">
        <f aca="false">seg_osemi*(0.75*E141+0.25*F141)/(0.75*C141+0.25*D141)</f>
        <v>6.0797299618455</v>
      </c>
      <c r="F150" s="19" t="n">
        <f aca="false">seg_osemi*(0.75*F141+0.25*G141)/(0.75*C141+0.25*D141)</f>
        <v>6.74147189236335</v>
      </c>
      <c r="G150" s="19" t="n">
        <f aca="false">seg_osemi*(0.75*G141+0.25*H141)/(0.75*C141+0.25*D141)</f>
        <v>7.12563922344852</v>
      </c>
      <c r="J150" s="5" t="s">
        <v>667</v>
      </c>
    </row>
    <row r="151" customFormat="false" ht="17.15" hidden="false" customHeight="false" outlineLevel="0" collapsed="false">
      <c r="A151" s="5" t="s">
        <v>668</v>
      </c>
      <c r="B151" s="0" t="s">
        <v>34</v>
      </c>
      <c r="C151" s="19" t="n">
        <f aca="false">seg_new</f>
        <v>9.47</v>
      </c>
      <c r="D151" s="19" t="n">
        <f aca="false">C151*(1+g_tss)</f>
        <v>9.7541</v>
      </c>
      <c r="E151" s="19" t="n">
        <f aca="false">D151*(1+g_tss)</f>
        <v>10.046723</v>
      </c>
      <c r="F151" s="19" t="n">
        <f aca="false">E151*(1+g_tss)</f>
        <v>10.34812469</v>
      </c>
      <c r="G151" s="19" t="n">
        <f aca="false">F151*(1+g_tss)</f>
        <v>10.6585684307</v>
      </c>
    </row>
    <row r="152" customFormat="false" ht="15" hidden="false" customHeight="false" outlineLevel="0" collapsed="false">
      <c r="A152" s="5" t="s">
        <v>669</v>
      </c>
      <c r="B152" s="0" t="s">
        <v>34</v>
      </c>
      <c r="C152" s="19" t="n">
        <f aca="false">seg_med</f>
        <v>2.48</v>
      </c>
      <c r="D152" s="19" t="n">
        <f aca="false">C152*(1+g_med)</f>
        <v>2.5544</v>
      </c>
      <c r="E152" s="19" t="n">
        <f aca="false">D152*(1+g_med)</f>
        <v>2.631032</v>
      </c>
      <c r="F152" s="19" t="n">
        <f aca="false">E152*(1+g_med)</f>
        <v>2.70996296</v>
      </c>
      <c r="G152" s="19" t="n">
        <f aca="false">F152*(1+g_med)</f>
        <v>2.7912618488</v>
      </c>
    </row>
    <row r="153" customFormat="false" ht="15" hidden="false" customHeight="false" outlineLevel="0" collapsed="false">
      <c r="A153" s="5" t="s">
        <v>670</v>
      </c>
      <c r="B153" s="0" t="s">
        <v>34</v>
      </c>
      <c r="C153" s="19" t="n">
        <f aca="false">seg_las*(0.75*C141+0.25*D141)/(0.75*C141+0.25*D141)</f>
        <v>2</v>
      </c>
      <c r="D153" s="19" t="n">
        <f aca="false">seg_las*(0.75*D141+0.25*E141)/(0.75*C141+0.25*D141)</f>
        <v>2.5855863945336</v>
      </c>
      <c r="E153" s="19" t="n">
        <f aca="false">seg_las*(0.75*E141+0.25*F141)/(0.75*C141+0.25*D141)</f>
        <v>3.0940101587</v>
      </c>
      <c r="F153" s="19" t="n">
        <f aca="false">seg_las*(0.75*F141+0.25*G141)/(0.75*C141+0.25*D141)</f>
        <v>3.43077449993046</v>
      </c>
      <c r="G153" s="19" t="n">
        <f aca="false">seg_las*(0.75*G141+0.25*H141)/(0.75*C141+0.25*D141)</f>
        <v>3.62627950302724</v>
      </c>
      <c r="J153" s="5" t="s">
        <v>667</v>
      </c>
    </row>
    <row r="154" customFormat="false" ht="15" hidden="false" customHeight="false" outlineLevel="0" collapsed="false">
      <c r="A154" s="5" t="s">
        <v>671</v>
      </c>
      <c r="B154" s="0" t="s">
        <v>34</v>
      </c>
      <c r="C154" s="19" t="n">
        <f aca="false">C147+C148+C149+C150+C151+C152+C153+seg_adj</f>
        <v>54.365</v>
      </c>
      <c r="D154" s="19" t="n">
        <f aca="false">D147+D148+D149+D150+D151+D152+D153</f>
        <v>63.5548266619788</v>
      </c>
      <c r="E154" s="19" t="n">
        <f aca="false">E147+E148+E149+E150+E151+E152+E153</f>
        <v>65.3971154583231</v>
      </c>
      <c r="F154" s="19" t="n">
        <f aca="false">F147+F148+F149+F150+F151+F152+F153</f>
        <v>69.7710684756649</v>
      </c>
      <c r="G154" s="19" t="n">
        <f aca="false">G147+G148+G149+G150+G151+G152+G153</f>
        <v>72.1920292600816</v>
      </c>
    </row>
    <row r="155" customFormat="false" ht="17.15" hidden="false" customHeight="false" outlineLevel="0" collapsed="false">
      <c r="A155" s="1" t="s">
        <v>672</v>
      </c>
    </row>
    <row r="156" customFormat="false" ht="17.15" hidden="false" customHeight="false" outlineLevel="0" collapsed="false">
      <c r="A156" s="0" t="s">
        <v>673</v>
      </c>
      <c r="B156" s="0" t="s">
        <v>34</v>
      </c>
      <c r="D156" s="19" t="n">
        <f aca="false">g26_rev*(1+g_anc)</f>
        <v>64</v>
      </c>
    </row>
    <row r="157" customFormat="false" ht="17.15" hidden="false" customHeight="false" outlineLevel="0" collapsed="false">
      <c r="A157" s="0" t="s">
        <v>674</v>
      </c>
      <c r="B157" s="0" t="s">
        <v>34</v>
      </c>
      <c r="D157" s="19" t="n">
        <f aca="false">D156*g26_oi/g26_rev</f>
        <v>10.24</v>
      </c>
    </row>
    <row r="158" customFormat="false" ht="17.15" hidden="false" customHeight="false" outlineLevel="0" collapsed="false">
      <c r="A158" s="0" t="s">
        <v>675</v>
      </c>
      <c r="B158" s="0" t="s">
        <v>34</v>
      </c>
      <c r="D158" s="19" t="n">
        <f aca="false">D157*g26_ni/g26_oi</f>
        <v>7</v>
      </c>
    </row>
    <row r="159" customFormat="false" ht="17.15" hidden="false" customHeight="false" outlineLevel="0" collapsed="false">
      <c r="A159" s="5" t="s">
        <v>676</v>
      </c>
      <c r="B159" s="0" t="s">
        <v>198</v>
      </c>
      <c r="D159" s="20" t="n">
        <f aca="false">D156/D154</f>
        <v>1.00700455593072</v>
      </c>
      <c r="J159" s="8" t="s">
        <v>677</v>
      </c>
    </row>
    <row r="160" customFormat="false" ht="17.15" hidden="false" customHeight="false" outlineLevel="0" collapsed="false">
      <c r="A160" s="5" t="s">
        <v>678</v>
      </c>
      <c r="B160" s="0" t="s">
        <v>198</v>
      </c>
      <c r="D160" s="20" t="n">
        <f aca="false">1+1*(D159-1)</f>
        <v>1.00700455593072</v>
      </c>
      <c r="J160" s="8" t="s">
        <v>679</v>
      </c>
    </row>
    <row r="161" customFormat="false" ht="17.15" hidden="false" customHeight="false" outlineLevel="0" collapsed="false">
      <c r="A161" s="1" t="s">
        <v>680</v>
      </c>
    </row>
    <row r="162" customFormat="false" ht="17.15" hidden="false" customHeight="false" outlineLevel="0" collapsed="false">
      <c r="A162" s="0" t="s">
        <v>681</v>
      </c>
      <c r="B162" s="0" t="s">
        <v>34</v>
      </c>
      <c r="C162" s="19" t="n">
        <f aca="false">C147*1</f>
        <v>6.5</v>
      </c>
      <c r="D162" s="19" t="n">
        <f aca="false">D147*$D$159</f>
        <v>7.66452271791837</v>
      </c>
      <c r="E162" s="19" t="n">
        <f aca="false">E147*1</f>
        <v>7.05229560557553</v>
      </c>
      <c r="F162" s="19" t="n">
        <f aca="false">F147*1</f>
        <v>7.27919990966148</v>
      </c>
      <c r="G162" s="19" t="n">
        <f aca="false">G147*1</f>
        <v>6.60221788646045</v>
      </c>
    </row>
    <row r="163" customFormat="false" ht="17.15" hidden="false" customHeight="false" outlineLevel="0" collapsed="false">
      <c r="A163" s="0" t="s">
        <v>682</v>
      </c>
      <c r="B163" s="0" t="s">
        <v>34</v>
      </c>
      <c r="C163" s="19" t="n">
        <f aca="false">C148*1</f>
        <v>6.5</v>
      </c>
      <c r="D163" s="19" t="n">
        <f aca="false">D148*$D$159</f>
        <v>10.0949451950587</v>
      </c>
      <c r="E163" s="19" t="n">
        <f aca="false">E148*1</f>
        <v>7.09985292910865</v>
      </c>
      <c r="F163" s="19" t="n">
        <f aca="false">F148*1</f>
        <v>6.38678704236634</v>
      </c>
      <c r="G163" s="19" t="n">
        <f aca="false">G148*1</f>
        <v>6.14439925897006</v>
      </c>
    </row>
    <row r="164" customFormat="false" ht="17.15" hidden="false" customHeight="false" outlineLevel="0" collapsed="false">
      <c r="A164" s="5" t="s">
        <v>683</v>
      </c>
      <c r="B164" s="0" t="s">
        <v>34</v>
      </c>
      <c r="C164" s="19" t="n">
        <f aca="false">C149*1</f>
        <v>23.46</v>
      </c>
      <c r="D164" s="19" t="n">
        <f aca="false">D149*$D$159</f>
        <v>26.1258540779728</v>
      </c>
      <c r="E164" s="19" t="n">
        <f aca="false">E149*$D$160</f>
        <v>29.5993600203363</v>
      </c>
      <c r="F164" s="19" t="n">
        <f aca="false">F149*$D$160</f>
        <v>33.1050204887847</v>
      </c>
      <c r="G164" s="19" t="n">
        <f aca="false">G149*$D$160</f>
        <v>35.4905293181236</v>
      </c>
    </row>
    <row r="165" customFormat="false" ht="15" hidden="false" customHeight="false" outlineLevel="0" collapsed="false">
      <c r="A165" s="5" t="s">
        <v>684</v>
      </c>
      <c r="B165" s="0" t="s">
        <v>34</v>
      </c>
      <c r="C165" s="19" t="n">
        <f aca="false">C150*1</f>
        <v>3.93</v>
      </c>
      <c r="D165" s="19" t="n">
        <f aca="false">D150*$D$159</f>
        <v>5.11626515332897</v>
      </c>
      <c r="E165" s="19" t="n">
        <f aca="false">E150*$D$160</f>
        <v>6.12231577040693</v>
      </c>
      <c r="F165" s="19" t="n">
        <f aca="false">F150*$D$160</f>
        <v>6.7886929092888</v>
      </c>
      <c r="G165" s="19" t="n">
        <f aca="false">G150*$D$160</f>
        <v>7.17555116193131</v>
      </c>
    </row>
    <row r="166" customFormat="false" ht="17.15" hidden="false" customHeight="false" outlineLevel="0" collapsed="false">
      <c r="A166" s="5" t="s">
        <v>685</v>
      </c>
      <c r="B166" s="0" t="s">
        <v>34</v>
      </c>
      <c r="C166" s="19" t="n">
        <f aca="false">C151*1</f>
        <v>9.47</v>
      </c>
      <c r="D166" s="19" t="n">
        <f aca="false">D151*$D$159</f>
        <v>9.82242313900386</v>
      </c>
      <c r="E166" s="19" t="n">
        <f aca="false">E151*$D$160</f>
        <v>10.117095833174</v>
      </c>
      <c r="F166" s="19" t="n">
        <f aca="false">F151*$D$160</f>
        <v>10.4206087081692</v>
      </c>
      <c r="G166" s="19" t="n">
        <f aca="false">G151*$D$160</f>
        <v>10.7332269694143</v>
      </c>
    </row>
    <row r="167" customFormat="false" ht="15" hidden="false" customHeight="false" outlineLevel="0" collapsed="false">
      <c r="A167" s="5" t="s">
        <v>686</v>
      </c>
      <c r="B167" s="0" t="s">
        <v>34</v>
      </c>
      <c r="C167" s="19" t="n">
        <f aca="false">C152*1</f>
        <v>2.48</v>
      </c>
      <c r="D167" s="19" t="n">
        <f aca="false">D152*$D$159</f>
        <v>2.57229243766944</v>
      </c>
      <c r="E167" s="19" t="n">
        <f aca="false">E152*$D$160</f>
        <v>2.64946121079952</v>
      </c>
      <c r="F167" s="19" t="n">
        <f aca="false">F152*$D$160</f>
        <v>2.72894504712351</v>
      </c>
      <c r="G167" s="19" t="n">
        <f aca="false">G152*$D$160</f>
        <v>2.81081339853721</v>
      </c>
    </row>
    <row r="168" customFormat="false" ht="15" hidden="false" customHeight="false" outlineLevel="0" collapsed="false">
      <c r="A168" s="5" t="s">
        <v>687</v>
      </c>
      <c r="B168" s="0" t="s">
        <v>34</v>
      </c>
      <c r="C168" s="19" t="n">
        <f aca="false">C153*1</f>
        <v>2</v>
      </c>
      <c r="D168" s="19" t="n">
        <f aca="false">D153*$D$159</f>
        <v>2.60369727904782</v>
      </c>
      <c r="E168" s="19" t="n">
        <f aca="false">E153*$D$160</f>
        <v>3.11568232590683</v>
      </c>
      <c r="F168" s="19" t="n">
        <f aca="false">F153*$D$160</f>
        <v>3.45480555180092</v>
      </c>
      <c r="G168" s="19" t="n">
        <f aca="false">G153*$D$160</f>
        <v>3.65167998062662</v>
      </c>
    </row>
    <row r="169" customFormat="false" ht="17.15" hidden="false" customHeight="false" outlineLevel="0" collapsed="false">
      <c r="A169" s="0" t="s">
        <v>688</v>
      </c>
      <c r="B169" s="0" t="s">
        <v>34</v>
      </c>
      <c r="C169" s="19" t="n">
        <f aca="false">C162+C163</f>
        <v>13</v>
      </c>
      <c r="D169" s="19" t="n">
        <f aca="false">D162+D163</f>
        <v>17.7594679129771</v>
      </c>
      <c r="E169" s="19" t="n">
        <f aca="false">E162+E163</f>
        <v>14.1521485346842</v>
      </c>
      <c r="F169" s="19" t="n">
        <f aca="false">F162+F163</f>
        <v>13.6659869520278</v>
      </c>
      <c r="G169" s="19" t="n">
        <f aca="false">G162+G163</f>
        <v>12.7466171454305</v>
      </c>
    </row>
    <row r="170" customFormat="false" ht="17.15" hidden="false" customHeight="false" outlineLevel="0" collapsed="false">
      <c r="A170" s="5" t="s">
        <v>689</v>
      </c>
      <c r="B170" s="0" t="s">
        <v>34</v>
      </c>
      <c r="C170" s="19" t="n">
        <f aca="false">C169+C164+C165</f>
        <v>40.39</v>
      </c>
      <c r="D170" s="19" t="n">
        <f aca="false">D169+D164+D165</f>
        <v>49.0015871442789</v>
      </c>
      <c r="E170" s="19" t="n">
        <f aca="false">E169+E164+E165</f>
        <v>49.8738243254274</v>
      </c>
      <c r="F170" s="19" t="n">
        <f aca="false">F169+F164+F165</f>
        <v>53.5597003501013</v>
      </c>
      <c r="G170" s="19" t="n">
        <f aca="false">G169+G164+G165</f>
        <v>55.4126976254854</v>
      </c>
      <c r="J170" s="5" t="s">
        <v>690</v>
      </c>
    </row>
    <row r="171" customFormat="false" ht="17.15" hidden="false" customHeight="false" outlineLevel="0" collapsed="false">
      <c r="A171" s="5" t="s">
        <v>541</v>
      </c>
      <c r="B171" s="0" t="s">
        <v>34</v>
      </c>
      <c r="C171" s="19" t="n">
        <f aca="false">C170+C166+C167+C168+seg_adj</f>
        <v>54.365</v>
      </c>
      <c r="D171" s="19" t="n">
        <f aca="false">D170+D166+D167+D168</f>
        <v>64</v>
      </c>
      <c r="E171" s="19" t="n">
        <f aca="false">E170+E166+E167+E168</f>
        <v>65.7560636953078</v>
      </c>
      <c r="F171" s="19" t="n">
        <f aca="false">F170+F166+F167+F168</f>
        <v>70.1640596571949</v>
      </c>
      <c r="G171" s="19" t="n">
        <f aca="false">G170+G166+G167+G168</f>
        <v>72.6084179740635</v>
      </c>
      <c r="J171" s="8" t="s">
        <v>691</v>
      </c>
    </row>
    <row r="172" customFormat="false" ht="17.15" hidden="false" customHeight="false" outlineLevel="0" collapsed="false">
      <c r="A172" s="5" t="s">
        <v>692</v>
      </c>
      <c r="B172" s="0" t="s">
        <v>34</v>
      </c>
      <c r="C172" s="20" t="n">
        <f aca="false">C170+C166+C167+C168-a25_rev</f>
        <v>-0.0250000000000057</v>
      </c>
    </row>
    <row r="173" customFormat="false" ht="17.15" hidden="false" customHeight="false" outlineLevel="0" collapsed="false">
      <c r="A173" s="0" t="s">
        <v>621</v>
      </c>
      <c r="B173" s="0" t="s">
        <v>94</v>
      </c>
      <c r="C173" s="11" t="n">
        <f aca="false">C169/C171</f>
        <v>0.23912443667801</v>
      </c>
      <c r="D173" s="11" t="n">
        <f aca="false">D169/D171</f>
        <v>0.277491686140267</v>
      </c>
      <c r="E173" s="11" t="n">
        <f aca="false">E169/E171</f>
        <v>0.215221954286385</v>
      </c>
      <c r="F173" s="11" t="n">
        <f aca="false">F169/F171</f>
        <v>0.194771896306978</v>
      </c>
      <c r="G173" s="11" t="n">
        <f aca="false">G169/G171</f>
        <v>0.175552883551102</v>
      </c>
    </row>
    <row r="174" customFormat="false" ht="17.15" hidden="false" customHeight="false" outlineLevel="0" collapsed="false">
      <c r="A174" s="5" t="s">
        <v>545</v>
      </c>
      <c r="B174" s="0" t="s">
        <v>34</v>
      </c>
      <c r="C174" s="19" t="n">
        <f aca="false">a25_oi</f>
        <v>6.917</v>
      </c>
      <c r="D174" s="19" t="n">
        <f aca="false">D157</f>
        <v>10.24</v>
      </c>
      <c r="E174" s="19" t="n">
        <f aca="false">$D174+(im+ima_A)*(E171-$D171)</f>
        <v>10.7659781749103</v>
      </c>
      <c r="F174" s="19" t="n">
        <f aca="false">$D174+(im+ima_A)*(F171-$D171)</f>
        <v>12.0862660877236</v>
      </c>
      <c r="G174" s="19" t="n">
        <f aca="false">$D174+(im+ima_A)*(G171-$D171)</f>
        <v>12.8184030425326</v>
      </c>
      <c r="J174" s="8" t="s">
        <v>693</v>
      </c>
    </row>
    <row r="175" customFormat="false" ht="15" hidden="false" customHeight="false" outlineLevel="0" collapsed="false">
      <c r="A175" s="5" t="s">
        <v>694</v>
      </c>
      <c r="B175" s="0" t="s">
        <v>94</v>
      </c>
      <c r="C175" s="11" t="n">
        <f aca="false">C174/C171</f>
        <v>0.127232594500138</v>
      </c>
      <c r="D175" s="11" t="n">
        <f aca="false">D174/D171</f>
        <v>0.16</v>
      </c>
      <c r="E175" s="11" t="n">
        <f aca="false">E174/E171</f>
        <v>0.163726013539927</v>
      </c>
      <c r="F175" s="11" t="n">
        <f aca="false">F174/F171</f>
        <v>0.172257223238995</v>
      </c>
      <c r="G175" s="11" t="n">
        <f aca="false">G174/G171</f>
        <v>0.17654155537601</v>
      </c>
    </row>
    <row r="176" customFormat="false" ht="15" hidden="false" customHeight="false" outlineLevel="0" collapsed="false">
      <c r="A176" s="5" t="s">
        <v>548</v>
      </c>
      <c r="B176" s="0" t="s">
        <v>34</v>
      </c>
      <c r="C176" s="19" t="n">
        <f aca="false">a25_ni</f>
        <v>4.593</v>
      </c>
      <c r="D176" s="19" t="n">
        <f aca="false">D158</f>
        <v>7</v>
      </c>
      <c r="E176" s="19" t="n">
        <f aca="false">E174*nioi</f>
        <v>7.35955539300506</v>
      </c>
      <c r="F176" s="19" t="n">
        <f aca="false">F174*nioi</f>
        <v>8.26209595840481</v>
      </c>
      <c r="G176" s="19" t="n">
        <f aca="false">G174*nioi</f>
        <v>8.76258020485627</v>
      </c>
    </row>
    <row r="177" customFormat="false" ht="15" hidden="false" customHeight="false" outlineLevel="0" collapsed="false">
      <c r="A177" s="0" t="s">
        <v>622</v>
      </c>
      <c r="B177" s="0" t="s">
        <v>52</v>
      </c>
      <c r="C177" s="22" t="n">
        <f aca="false">a25_eps</f>
        <v>61.22</v>
      </c>
      <c r="D177" s="22" t="n">
        <f aca="false">D176*1000/shares</f>
        <v>93.2961492201002</v>
      </c>
      <c r="E177" s="22" t="n">
        <f aca="false">E176*1000/shares</f>
        <v>98.0883111627704</v>
      </c>
      <c r="F177" s="22" t="n">
        <f aca="false">F176*1000/shares</f>
        <v>110.117391058017</v>
      </c>
      <c r="G177" s="22" t="n">
        <f aca="false">G176*1000/shares</f>
        <v>116.787855763624</v>
      </c>
    </row>
    <row r="178" customFormat="false" ht="17.15" hidden="false" customHeight="false" outlineLevel="0" collapsed="false">
      <c r="A178" s="5" t="s">
        <v>695</v>
      </c>
      <c r="B178" s="0" t="s">
        <v>34</v>
      </c>
      <c r="C178" s="20" t="n">
        <f aca="false">ABS(C171-a25_rev)+ABS(C174-a25_oi)+ABS(D171-D156)</f>
        <v>0</v>
      </c>
    </row>
    <row r="190" customFormat="false" ht="17.15" hidden="false" customHeight="false" outlineLevel="0" collapsed="false">
      <c r="A190" s="3" t="s">
        <v>1018</v>
      </c>
    </row>
    <row r="191" customFormat="false" ht="17.15" hidden="false" customHeight="false" outlineLevel="0" collapsed="false">
      <c r="A191" s="6" t="s">
        <v>23</v>
      </c>
      <c r="B191" s="6" t="s">
        <v>24</v>
      </c>
      <c r="C191" s="15" t="s">
        <v>628</v>
      </c>
      <c r="D191" s="15" t="s">
        <v>629</v>
      </c>
      <c r="E191" s="15" t="s">
        <v>630</v>
      </c>
      <c r="F191" s="15" t="s">
        <v>631</v>
      </c>
      <c r="G191" s="15" t="s">
        <v>632</v>
      </c>
      <c r="H191" s="15" t="s">
        <v>633</v>
      </c>
      <c r="I191" s="15" t="s">
        <v>634</v>
      </c>
      <c r="J191" s="6" t="s">
        <v>468</v>
      </c>
    </row>
    <row r="192" customFormat="false" ht="17.15" hidden="false" customHeight="false" outlineLevel="0" collapsed="false">
      <c r="A192" s="1" t="s">
        <v>635</v>
      </c>
    </row>
    <row r="193" customFormat="false" ht="17.15" hidden="false" customHeight="false" outlineLevel="0" collapsed="false">
      <c r="A193" s="0" t="s">
        <v>636</v>
      </c>
      <c r="B193" s="0" t="s">
        <v>111</v>
      </c>
      <c r="C193" s="21" t="n">
        <f aca="false">hsA_25</f>
        <v>2.22511470588235</v>
      </c>
      <c r="D193" s="21" t="n">
        <f aca="false">hsA_26</f>
        <v>3.782695</v>
      </c>
      <c r="E193" s="21" t="n">
        <f aca="false">hsA_27</f>
        <v>5.86317725</v>
      </c>
      <c r="F193" s="21" t="n">
        <f aca="false">hsA_28</f>
        <v>8.5016070125</v>
      </c>
      <c r="G193" s="21" t="n">
        <f aca="false">hsA_29</f>
        <v>11.477169466875</v>
      </c>
      <c r="J193" s="8" t="s">
        <v>637</v>
      </c>
    </row>
    <row r="194" customFormat="false" ht="17.15" hidden="false" customHeight="false" outlineLevel="0" collapsed="false">
      <c r="A194" s="0" t="s">
        <v>638</v>
      </c>
      <c r="B194" s="0" t="s">
        <v>639</v>
      </c>
      <c r="C194" s="21" t="n">
        <f aca="false">den_25</f>
        <v>24</v>
      </c>
      <c r="D194" s="21" t="n">
        <f aca="false">den_26</f>
        <v>24</v>
      </c>
      <c r="E194" s="21" t="n">
        <f aca="false">den_27</f>
        <v>26</v>
      </c>
      <c r="F194" s="21" t="n">
        <f aca="false">den_28</f>
        <v>28</v>
      </c>
      <c r="G194" s="21" t="n">
        <f aca="false">den_29</f>
        <v>30</v>
      </c>
    </row>
    <row r="195" customFormat="false" ht="15" hidden="false" customHeight="false" outlineLevel="0" collapsed="false">
      <c r="A195" s="5" t="s">
        <v>640</v>
      </c>
      <c r="B195" s="5" t="s">
        <v>160</v>
      </c>
      <c r="C195" s="21" t="n">
        <f aca="false">stk_25</f>
        <v>10</v>
      </c>
      <c r="D195" s="21" t="n">
        <f aca="false">stk_26</f>
        <v>12</v>
      </c>
      <c r="E195" s="21" t="n">
        <f aca="false">stk_27</f>
        <v>12.5</v>
      </c>
      <c r="F195" s="21" t="n">
        <f aca="false">stk_28</f>
        <v>14</v>
      </c>
      <c r="G195" s="21" t="n">
        <f aca="false">stk_29</f>
        <v>15</v>
      </c>
    </row>
    <row r="196" customFormat="false" ht="17.15" hidden="false" customHeight="false" outlineLevel="0" collapsed="false">
      <c r="A196" s="0" t="s">
        <v>641</v>
      </c>
      <c r="B196" s="5" t="s">
        <v>642</v>
      </c>
      <c r="C196" s="23" t="n">
        <f aca="false">C193*8/(C194*C195)</f>
        <v>0.0741704901960783</v>
      </c>
      <c r="D196" s="23" t="n">
        <f aca="false">D193*8/(D194*D195)</f>
        <v>0.105074861111111</v>
      </c>
      <c r="E196" s="23" t="n">
        <f aca="false">E193*8/(E194*E195)</f>
        <v>0.144324363076923</v>
      </c>
      <c r="F196" s="23" t="n">
        <f aca="false">F193*8/(F194*F195)</f>
        <v>0.173502183928571</v>
      </c>
      <c r="G196" s="23" t="n">
        <f aca="false">G193*8/(G194*G195)</f>
        <v>0.2040385683</v>
      </c>
      <c r="H196" s="23" t="n">
        <f aca="false">G196*(1+g_tail)</f>
        <v>0.22444242513</v>
      </c>
      <c r="I196" s="23" t="n">
        <f aca="false">H196*(1+g_tail)</f>
        <v>0.246886667643</v>
      </c>
      <c r="J196" s="8" t="s">
        <v>643</v>
      </c>
    </row>
    <row r="197" customFormat="false" ht="17.15" hidden="false" customHeight="false" outlineLevel="0" collapsed="false">
      <c r="A197" s="0" t="s">
        <v>644</v>
      </c>
      <c r="B197" s="5" t="s">
        <v>642</v>
      </c>
      <c r="C197" s="23" t="n">
        <f aca="false">MAX(0,D196-C196)+dlt*C196</f>
        <v>0.0383214199346406</v>
      </c>
      <c r="D197" s="23" t="n">
        <f aca="false">MAX(0,E196-D196)+dlt*D196</f>
        <v>0.0497569880769231</v>
      </c>
      <c r="E197" s="23" t="n">
        <f aca="false">MAX(0,F196-E196)+dlt*E196</f>
        <v>0.0436102571593407</v>
      </c>
      <c r="F197" s="23" t="n">
        <f aca="false">MAX(0,G196-F196)+dlt*F196</f>
        <v>0.0478866027642858</v>
      </c>
      <c r="G197" s="23" t="n">
        <f aca="false">MAX(0,H196-G196)+dlt*G196</f>
        <v>0.04080771366</v>
      </c>
      <c r="H197" s="23" t="n">
        <f aca="false">MAX(0,I196-H196)+dlt*H196</f>
        <v>0.044888485026</v>
      </c>
      <c r="J197" s="5" t="s">
        <v>645</v>
      </c>
    </row>
    <row r="198" customFormat="false" ht="17.15" hidden="false" customHeight="false" outlineLevel="0" collapsed="false">
      <c r="A198" s="0" t="s">
        <v>646</v>
      </c>
      <c r="B198" s="5" t="s">
        <v>183</v>
      </c>
      <c r="C198" s="14" t="n">
        <f aca="false">cw_25</f>
        <v>670</v>
      </c>
      <c r="D198" s="14" t="n">
        <f aca="false">cw_26</f>
        <v>1107.85762580894</v>
      </c>
      <c r="E198" s="14" t="n">
        <f aca="false">cw_27</f>
        <v>2096.42857142857</v>
      </c>
      <c r="F198" s="14" t="n">
        <f aca="false">cw_28*um28_A</f>
        <v>2620.08928571429</v>
      </c>
      <c r="G198" s="14" t="n">
        <f aca="false">cw_29*um29_A</f>
        <v>3013.32589285714</v>
      </c>
      <c r="H198" s="14" t="n">
        <f aca="false">G198*(1+g_tail)</f>
        <v>3314.65848214285</v>
      </c>
      <c r="I198" s="14" t="n">
        <f aca="false">H198*(1+g_tail)</f>
        <v>3646.12433035714</v>
      </c>
      <c r="J198" s="5" t="s">
        <v>647</v>
      </c>
    </row>
    <row r="199" customFormat="false" ht="17.15" hidden="false" customHeight="false" outlineLevel="0" collapsed="false">
      <c r="A199" s="0" t="s">
        <v>648</v>
      </c>
      <c r="B199" s="5" t="s">
        <v>183</v>
      </c>
      <c r="C199" s="14" t="n">
        <f aca="false">MAX(0,D198-C198)+dlt*C198</f>
        <v>504.85762580894</v>
      </c>
      <c r="D199" s="14" t="n">
        <f aca="false">MAX(0,E198-D198)+dlt*D198</f>
        <v>1099.35670820052</v>
      </c>
      <c r="E199" s="14" t="n">
        <f aca="false">MAX(0,F198-E198)+dlt*E198</f>
        <v>733.303571428577</v>
      </c>
      <c r="F199" s="14" t="n">
        <f aca="false">MAX(0,G198-F198)+dlt*F198</f>
        <v>655.245535714279</v>
      </c>
      <c r="G199" s="14" t="n">
        <f aca="false">MAX(0,H198-G198)+dlt*G198</f>
        <v>602.665178571428</v>
      </c>
      <c r="H199" s="14" t="n">
        <f aca="false">MAX(0,I198-H198)+dlt*H198</f>
        <v>662.931696428571</v>
      </c>
    </row>
    <row r="200" customFormat="false" ht="17.15" hidden="false" customHeight="false" outlineLevel="0" collapsed="false">
      <c r="A200" s="5" t="s">
        <v>649</v>
      </c>
      <c r="B200" s="0" t="s">
        <v>219</v>
      </c>
      <c r="C200" s="21" t="n">
        <f aca="false">pk_25*(eqtA_25-eqaA_25)/(eqtA_25-eqaA_25)</f>
        <v>6.11313868613139</v>
      </c>
      <c r="D200" s="21" t="n">
        <f aca="false">pk_26*(eqtA_26-eqaA_26)/(eqtA_26-eqaA_26)</f>
        <v>6.7</v>
      </c>
      <c r="E200" s="21" t="n">
        <f aca="false">pk_27*(eqtA_27-eqaA_27)/(eqtA_27-eqaA_27)</f>
        <v>7.59078388573934</v>
      </c>
      <c r="F200" s="21" t="n">
        <f aca="false">pk_28*(eqtA_28-eqaA_28)/(eqtA_28-eqaA_28)</f>
        <v>8.6</v>
      </c>
      <c r="G200" s="21" t="n">
        <f aca="false">pk_29*(eqtA_29-eqaA_29)/(eqtA_29-eqaA_29)</f>
        <v>9.288</v>
      </c>
      <c r="H200" s="21" t="n">
        <f aca="false">G200*(1+g_pk_tail)</f>
        <v>9.7524</v>
      </c>
      <c r="J200" s="8" t="s">
        <v>650</v>
      </c>
    </row>
    <row r="201" customFormat="false" ht="15" hidden="false" customHeight="false" outlineLevel="0" collapsed="false">
      <c r="A201" s="5" t="s">
        <v>651</v>
      </c>
      <c r="B201" s="0" t="s">
        <v>219</v>
      </c>
      <c r="C201" s="24" t="n">
        <f aca="false">eqtA_25</f>
        <v>134.689359843138</v>
      </c>
      <c r="D201" s="24" t="n">
        <f aca="false">eqtA_26</f>
        <v>178.157050570127</v>
      </c>
      <c r="E201" s="24" t="n">
        <f aca="false">eqtA_27</f>
        <v>218.225535760082</v>
      </c>
      <c r="F201" s="24" t="n">
        <f aca="false">eqtA_28</f>
        <v>246.028626308958</v>
      </c>
      <c r="G201" s="24" t="n">
        <f aca="false">eqtA_29</f>
        <v>260.655685855226</v>
      </c>
      <c r="H201" s="24" t="n">
        <f aca="false">G201*(1+g_pk_tail)</f>
        <v>273.688470147987</v>
      </c>
      <c r="J201" s="5" t="s">
        <v>652</v>
      </c>
    </row>
    <row r="202" customFormat="false" ht="17.15" hidden="false" customHeight="false" outlineLevel="0" collapsed="false">
      <c r="A202" s="1" t="s">
        <v>653</v>
      </c>
    </row>
    <row r="203" customFormat="false" ht="17.15" hidden="false" customHeight="false" outlineLevel="0" collapsed="false">
      <c r="A203" s="0" t="s">
        <v>654</v>
      </c>
      <c r="B203" s="0" t="s">
        <v>655</v>
      </c>
      <c r="C203" s="24" t="n">
        <f aca="false">ai_25*w_hbm_lo/(0.75*C197+0.25*D197)</f>
        <v>84.9920710297632</v>
      </c>
      <c r="J203" s="5" t="s">
        <v>656</v>
      </c>
    </row>
    <row r="204" customFormat="false" ht="17.15" hidden="false" customHeight="false" outlineLevel="0" collapsed="false">
      <c r="A204" s="0" t="s">
        <v>657</v>
      </c>
      <c r="B204" s="0" t="s">
        <v>658</v>
      </c>
      <c r="C204" s="25" t="n">
        <f aca="false">ai_25*(1-w_hbm_lo)/(0.75*C199+0.25*D199)</f>
        <v>0.00994671017266901</v>
      </c>
    </row>
    <row r="205" customFormat="false" ht="17.15" hidden="false" customHeight="false" outlineLevel="0" collapsed="false">
      <c r="A205" s="1" t="s">
        <v>659</v>
      </c>
    </row>
    <row r="206" customFormat="false" ht="17.15" hidden="false" customHeight="false" outlineLevel="0" collapsed="false">
      <c r="A206" s="0" t="s">
        <v>660</v>
      </c>
      <c r="B206" s="0" t="s">
        <v>198</v>
      </c>
      <c r="C206" s="20" t="n">
        <f aca="false">1-shl_A/sh*0</f>
        <v>1</v>
      </c>
      <c r="D206" s="20" t="n">
        <f aca="false">1-shl_A/sh*0.25</f>
        <v>1</v>
      </c>
      <c r="E206" s="20" t="n">
        <f aca="false">1-shl_A/sh*0.5</f>
        <v>1</v>
      </c>
      <c r="F206" s="20" t="n">
        <f aca="false">1-shl_A/sh*0.75</f>
        <v>1</v>
      </c>
      <c r="G206" s="20" t="n">
        <f aca="false">1-shl_A/sh*1</f>
        <v>1</v>
      </c>
      <c r="J206" s="5" t="s">
        <v>661</v>
      </c>
    </row>
    <row r="207" customFormat="false" ht="17.15" hidden="false" customHeight="false" outlineLevel="0" collapsed="false">
      <c r="A207" s="0" t="s">
        <v>662</v>
      </c>
      <c r="B207" s="0" t="s">
        <v>34</v>
      </c>
      <c r="C207" s="19" t="n">
        <f aca="false">$C$203*(0.75*C197+0.25*D197)*C206</f>
        <v>3.5</v>
      </c>
      <c r="D207" s="19" t="n">
        <f aca="false">$C$203*(0.75*D197+0.25*E197)*D206</f>
        <v>4.09834361717392</v>
      </c>
      <c r="E207" s="19" t="n">
        <f aca="false">$C$203*(0.75*E197+0.25*F197)*E206</f>
        <v>3.79738994146375</v>
      </c>
      <c r="F207" s="19" t="n">
        <f aca="false">$C$203*(0.75*F197+0.25*G197)*F206</f>
        <v>3.91956918212541</v>
      </c>
      <c r="G207" s="19" t="n">
        <f aca="false">$C$203*(0.75*G197+0.25*H197)*G206</f>
        <v>3.55504040040178</v>
      </c>
    </row>
    <row r="208" customFormat="false" ht="17.15" hidden="false" customHeight="false" outlineLevel="0" collapsed="false">
      <c r="A208" s="0" t="s">
        <v>663</v>
      </c>
      <c r="B208" s="0" t="s">
        <v>34</v>
      </c>
      <c r="C208" s="19" t="n">
        <f aca="false">$C$204*(0.75*C199+0.25*D199)*C206</f>
        <v>6.5</v>
      </c>
      <c r="D208" s="19" t="n">
        <f aca="false">$C$204*(0.75*D199+0.25*E199)*D206</f>
        <v>10.0247264380333</v>
      </c>
      <c r="E208" s="19" t="n">
        <f aca="false">$C$204*(0.75*E199+0.25*F199)*E206</f>
        <v>7.09985292910865</v>
      </c>
      <c r="F208" s="19" t="n">
        <f aca="false">$C$204*(0.75*F199+0.25*G199)*F206</f>
        <v>6.38678704236634</v>
      </c>
      <c r="G208" s="19" t="n">
        <f aca="false">$C$204*(0.75*G199+0.25*H199)*G206</f>
        <v>6.14439925897006</v>
      </c>
    </row>
    <row r="209" customFormat="false" ht="17.15" hidden="false" customHeight="false" outlineLevel="0" collapsed="false">
      <c r="A209" s="5" t="s">
        <v>664</v>
      </c>
      <c r="B209" s="0" t="s">
        <v>34</v>
      </c>
      <c r="C209" s="19" t="n">
        <f aca="false">(seg_mold-ai_25)*(0.75*C200+0.25*D200)/(0.75*C200+0.25*D200)</f>
        <v>26.46</v>
      </c>
      <c r="D209" s="19" t="n">
        <f aca="false">(seg_mold-ai_25)*(0.75*D200+0.25*E200)/(0.75*C200+0.25*D200)</f>
        <v>29.2617902872793</v>
      </c>
      <c r="E209" s="19" t="n">
        <f aca="false">(seg_mold-ai_25)*(0.75*E200+0.25*F200)/(0.75*C200+0.25*D200)</f>
        <v>33.1522277881438</v>
      </c>
      <c r="F209" s="19" t="n">
        <f aca="false">(seg_mold-ai_25)*(0.75*F200+0.25*G200)/(0.75*C200+0.25*D200)</f>
        <v>37.0786793843283</v>
      </c>
      <c r="G209" s="19" t="n">
        <f aca="false">(seg_mold-ai_25)*(0.75*G200+0.25*H200)/(0.75*C200+0.25*D200)</f>
        <v>39.7505253987873</v>
      </c>
      <c r="J209" s="8" t="s">
        <v>665</v>
      </c>
    </row>
    <row r="210" customFormat="false" ht="15" hidden="false" customHeight="false" outlineLevel="0" collapsed="false">
      <c r="A210" s="5" t="s">
        <v>666</v>
      </c>
      <c r="B210" s="0" t="s">
        <v>34</v>
      </c>
      <c r="C210" s="19" t="n">
        <f aca="false">seg_osemi*(0.75*C201+0.25*D201)/(0.75*C201+0.25*D201)</f>
        <v>3.93</v>
      </c>
      <c r="D210" s="19" t="n">
        <f aca="false">seg_osemi*(0.75*D201+0.25*E201)/(0.75*C201+0.25*D201)</f>
        <v>5.08067726525852</v>
      </c>
      <c r="E210" s="19" t="n">
        <f aca="false">seg_osemi*(0.75*E201+0.25*F201)/(0.75*C201+0.25*D201)</f>
        <v>6.0797299618455</v>
      </c>
      <c r="F210" s="19" t="n">
        <f aca="false">seg_osemi*(0.75*F201+0.25*G201)/(0.75*C201+0.25*D201)</f>
        <v>6.74147189236335</v>
      </c>
      <c r="G210" s="19" t="n">
        <f aca="false">seg_osemi*(0.75*G201+0.25*H201)/(0.75*C201+0.25*D201)</f>
        <v>7.12563922344852</v>
      </c>
      <c r="J210" s="5" t="s">
        <v>667</v>
      </c>
    </row>
    <row r="211" customFormat="false" ht="17.15" hidden="false" customHeight="false" outlineLevel="0" collapsed="false">
      <c r="A211" s="5" t="s">
        <v>668</v>
      </c>
      <c r="B211" s="0" t="s">
        <v>34</v>
      </c>
      <c r="C211" s="19" t="n">
        <f aca="false">seg_new</f>
        <v>9.47</v>
      </c>
      <c r="D211" s="19" t="n">
        <f aca="false">C211*(1+g_tss)</f>
        <v>9.7541</v>
      </c>
      <c r="E211" s="19" t="n">
        <f aca="false">D211*(1+g_tss)</f>
        <v>10.046723</v>
      </c>
      <c r="F211" s="19" t="n">
        <f aca="false">E211*(1+g_tss)</f>
        <v>10.34812469</v>
      </c>
      <c r="G211" s="19" t="n">
        <f aca="false">F211*(1+g_tss)</f>
        <v>10.6585684307</v>
      </c>
    </row>
    <row r="212" customFormat="false" ht="15" hidden="false" customHeight="false" outlineLevel="0" collapsed="false">
      <c r="A212" s="5" t="s">
        <v>669</v>
      </c>
      <c r="B212" s="0" t="s">
        <v>34</v>
      </c>
      <c r="C212" s="19" t="n">
        <f aca="false">seg_med</f>
        <v>2.48</v>
      </c>
      <c r="D212" s="19" t="n">
        <f aca="false">C212*(1+g_med)</f>
        <v>2.5544</v>
      </c>
      <c r="E212" s="19" t="n">
        <f aca="false">D212*(1+g_med)</f>
        <v>2.631032</v>
      </c>
      <c r="F212" s="19" t="n">
        <f aca="false">E212*(1+g_med)</f>
        <v>2.70996296</v>
      </c>
      <c r="G212" s="19" t="n">
        <f aca="false">F212*(1+g_med)</f>
        <v>2.7912618488</v>
      </c>
    </row>
    <row r="213" customFormat="false" ht="15" hidden="false" customHeight="false" outlineLevel="0" collapsed="false">
      <c r="A213" s="5" t="s">
        <v>670</v>
      </c>
      <c r="B213" s="0" t="s">
        <v>34</v>
      </c>
      <c r="C213" s="19" t="n">
        <f aca="false">seg_las*(0.75*C201+0.25*D201)/(0.75*C201+0.25*D201)</f>
        <v>2</v>
      </c>
      <c r="D213" s="19" t="n">
        <f aca="false">seg_las*(0.75*D201+0.25*E201)/(0.75*C201+0.25*D201)</f>
        <v>2.5855863945336</v>
      </c>
      <c r="E213" s="19" t="n">
        <f aca="false">seg_las*(0.75*E201+0.25*F201)/(0.75*C201+0.25*D201)</f>
        <v>3.0940101587</v>
      </c>
      <c r="F213" s="19" t="n">
        <f aca="false">seg_las*(0.75*F201+0.25*G201)/(0.75*C201+0.25*D201)</f>
        <v>3.43077449993046</v>
      </c>
      <c r="G213" s="19" t="n">
        <f aca="false">seg_las*(0.75*G201+0.25*H201)/(0.75*C201+0.25*D201)</f>
        <v>3.62627950302724</v>
      </c>
      <c r="J213" s="5" t="s">
        <v>667</v>
      </c>
    </row>
    <row r="214" customFormat="false" ht="15" hidden="false" customHeight="false" outlineLevel="0" collapsed="false">
      <c r="A214" s="5" t="s">
        <v>671</v>
      </c>
      <c r="B214" s="0" t="s">
        <v>34</v>
      </c>
      <c r="C214" s="19" t="n">
        <f aca="false">C207+C208+C209+C210+C211+C212+C213+seg_adj</f>
        <v>54.365</v>
      </c>
      <c r="D214" s="19" t="n">
        <f aca="false">D207+D208+D209+D210+D211+D212+D213</f>
        <v>63.3596240022786</v>
      </c>
      <c r="E214" s="19" t="n">
        <f aca="false">E207+E208+E209+E210+E211+E212+E213</f>
        <v>65.9009657792617</v>
      </c>
      <c r="F214" s="19" t="n">
        <f aca="false">F207+F208+F209+F210+F211+F212+F213</f>
        <v>70.6153696511139</v>
      </c>
      <c r="G214" s="19" t="n">
        <f aca="false">G207+G208+G209+G210+G211+G212+G213</f>
        <v>73.6517140641349</v>
      </c>
    </row>
    <row r="215" customFormat="false" ht="17.15" hidden="false" customHeight="false" outlineLevel="0" collapsed="false">
      <c r="A215" s="1" t="s">
        <v>672</v>
      </c>
    </row>
    <row r="216" customFormat="false" ht="17.15" hidden="false" customHeight="false" outlineLevel="0" collapsed="false">
      <c r="A216" s="0" t="s">
        <v>673</v>
      </c>
      <c r="B216" s="0" t="s">
        <v>34</v>
      </c>
      <c r="D216" s="19" t="n">
        <f aca="false">g26_rev*(1+g_anc)</f>
        <v>64</v>
      </c>
    </row>
    <row r="217" customFormat="false" ht="17.15" hidden="false" customHeight="false" outlineLevel="0" collapsed="false">
      <c r="A217" s="0" t="s">
        <v>674</v>
      </c>
      <c r="B217" s="0" t="s">
        <v>34</v>
      </c>
      <c r="D217" s="19" t="n">
        <f aca="false">D216*g26_oi/g26_rev</f>
        <v>10.24</v>
      </c>
    </row>
    <row r="218" customFormat="false" ht="17.15" hidden="false" customHeight="false" outlineLevel="0" collapsed="false">
      <c r="A218" s="0" t="s">
        <v>675</v>
      </c>
      <c r="B218" s="0" t="s">
        <v>34</v>
      </c>
      <c r="D218" s="19" t="n">
        <f aca="false">D217*g26_ni/g26_oi</f>
        <v>7</v>
      </c>
    </row>
    <row r="219" customFormat="false" ht="17.15" hidden="false" customHeight="false" outlineLevel="0" collapsed="false">
      <c r="A219" s="5" t="s">
        <v>676</v>
      </c>
      <c r="B219" s="0" t="s">
        <v>198</v>
      </c>
      <c r="D219" s="20" t="n">
        <f aca="false">D216/D214</f>
        <v>1.01010700438655</v>
      </c>
      <c r="J219" s="8" t="s">
        <v>677</v>
      </c>
    </row>
    <row r="220" customFormat="false" ht="17.15" hidden="false" customHeight="false" outlineLevel="0" collapsed="false">
      <c r="A220" s="5" t="s">
        <v>678</v>
      </c>
      <c r="B220" s="0" t="s">
        <v>198</v>
      </c>
      <c r="D220" s="20" t="n">
        <f aca="false">1+1*(D219-1)</f>
        <v>1.01010700438655</v>
      </c>
      <c r="J220" s="8" t="s">
        <v>679</v>
      </c>
    </row>
    <row r="221" customFormat="false" ht="17.15" hidden="false" customHeight="false" outlineLevel="0" collapsed="false">
      <c r="A221" s="1" t="s">
        <v>680</v>
      </c>
    </row>
    <row r="222" customFormat="false" ht="17.15" hidden="false" customHeight="false" outlineLevel="0" collapsed="false">
      <c r="A222" s="0" t="s">
        <v>681</v>
      </c>
      <c r="B222" s="0" t="s">
        <v>34</v>
      </c>
      <c r="C222" s="19" t="n">
        <f aca="false">C207*1</f>
        <v>3.5</v>
      </c>
      <c r="D222" s="19" t="n">
        <f aca="false">D207*$D$219</f>
        <v>4.1397655940903</v>
      </c>
      <c r="E222" s="19" t="n">
        <f aca="false">E207*1</f>
        <v>3.79738994146375</v>
      </c>
      <c r="F222" s="19" t="n">
        <f aca="false">F207*1</f>
        <v>3.91956918212541</v>
      </c>
      <c r="G222" s="19" t="n">
        <f aca="false">G207*1</f>
        <v>3.55504040040178</v>
      </c>
    </row>
    <row r="223" customFormat="false" ht="17.15" hidden="false" customHeight="false" outlineLevel="0" collapsed="false">
      <c r="A223" s="0" t="s">
        <v>682</v>
      </c>
      <c r="B223" s="0" t="s">
        <v>34</v>
      </c>
      <c r="C223" s="19" t="n">
        <f aca="false">C208*1</f>
        <v>6.5</v>
      </c>
      <c r="D223" s="19" t="n">
        <f aca="false">D208*$D$219</f>
        <v>10.1260463921165</v>
      </c>
      <c r="E223" s="19" t="n">
        <f aca="false">E208*1</f>
        <v>7.09985292910865</v>
      </c>
      <c r="F223" s="19" t="n">
        <f aca="false">F208*1</f>
        <v>6.38678704236634</v>
      </c>
      <c r="G223" s="19" t="n">
        <f aca="false">G208*1</f>
        <v>6.14439925897006</v>
      </c>
    </row>
    <row r="224" customFormat="false" ht="17.15" hidden="false" customHeight="false" outlineLevel="0" collapsed="false">
      <c r="A224" s="5" t="s">
        <v>683</v>
      </c>
      <c r="B224" s="0" t="s">
        <v>34</v>
      </c>
      <c r="C224" s="19" t="n">
        <f aca="false">C209*1</f>
        <v>26.46</v>
      </c>
      <c r="D224" s="19" t="n">
        <f aca="false">D209*$D$219</f>
        <v>29.5575393300712</v>
      </c>
      <c r="E224" s="19" t="n">
        <f aca="false">E209*$D$220</f>
        <v>33.4872974998225</v>
      </c>
      <c r="F224" s="19" t="n">
        <f aca="false">F209*$D$220</f>
        <v>37.4534337595133</v>
      </c>
      <c r="G224" s="19" t="n">
        <f aca="false">G209*$D$220</f>
        <v>40.1522841333606</v>
      </c>
    </row>
    <row r="225" customFormat="false" ht="15" hidden="false" customHeight="false" outlineLevel="0" collapsed="false">
      <c r="A225" s="5" t="s">
        <v>684</v>
      </c>
      <c r="B225" s="0" t="s">
        <v>34</v>
      </c>
      <c r="C225" s="19" t="n">
        <f aca="false">C210*1</f>
        <v>3.93</v>
      </c>
      <c r="D225" s="19" t="n">
        <f aca="false">D210*$D$219</f>
        <v>5.13202769266514</v>
      </c>
      <c r="E225" s="19" t="n">
        <f aca="false">E210*$D$220</f>
        <v>6.14117781923892</v>
      </c>
      <c r="F225" s="19" t="n">
        <f aca="false">F210*$D$220</f>
        <v>6.80960797835129</v>
      </c>
      <c r="G225" s="19" t="n">
        <f aca="false">G210*$D$220</f>
        <v>7.1976580903369</v>
      </c>
    </row>
    <row r="226" customFormat="false" ht="17.15" hidden="false" customHeight="false" outlineLevel="0" collapsed="false">
      <c r="A226" s="5" t="s">
        <v>685</v>
      </c>
      <c r="B226" s="0" t="s">
        <v>34</v>
      </c>
      <c r="C226" s="19" t="n">
        <f aca="false">C211*1</f>
        <v>9.47</v>
      </c>
      <c r="D226" s="19" t="n">
        <f aca="false">D211*$D$219</f>
        <v>9.85268473148687</v>
      </c>
      <c r="E226" s="19" t="n">
        <f aca="false">E211*$D$220</f>
        <v>10.1482652734315</v>
      </c>
      <c r="F226" s="19" t="n">
        <f aca="false">F211*$D$220</f>
        <v>10.4527132316344</v>
      </c>
      <c r="G226" s="19" t="n">
        <f aca="false">G211*$D$220</f>
        <v>10.7662946285835</v>
      </c>
    </row>
    <row r="227" customFormat="false" ht="15" hidden="false" customHeight="false" outlineLevel="0" collapsed="false">
      <c r="A227" s="5" t="s">
        <v>686</v>
      </c>
      <c r="B227" s="0" t="s">
        <v>34</v>
      </c>
      <c r="C227" s="19" t="n">
        <f aca="false">C212*1</f>
        <v>2.48</v>
      </c>
      <c r="D227" s="19" t="n">
        <f aca="false">D212*$D$219</f>
        <v>2.58021733200501</v>
      </c>
      <c r="E227" s="19" t="n">
        <f aca="false">E212*$D$220</f>
        <v>2.65762385196516</v>
      </c>
      <c r="F227" s="19" t="n">
        <f aca="false">F212*$D$220</f>
        <v>2.73735256752412</v>
      </c>
      <c r="G227" s="19" t="n">
        <f aca="false">G212*$D$220</f>
        <v>2.81947314454984</v>
      </c>
    </row>
    <row r="228" customFormat="false" ht="15" hidden="false" customHeight="false" outlineLevel="0" collapsed="false">
      <c r="A228" s="5" t="s">
        <v>687</v>
      </c>
      <c r="B228" s="0" t="s">
        <v>34</v>
      </c>
      <c r="C228" s="19" t="n">
        <f aca="false">C213*1</f>
        <v>2</v>
      </c>
      <c r="D228" s="19" t="n">
        <f aca="false">D213*$D$219</f>
        <v>2.61171892756496</v>
      </c>
      <c r="E228" s="19" t="n">
        <f aca="false">E213*$D$220</f>
        <v>3.12528133294602</v>
      </c>
      <c r="F228" s="19" t="n">
        <f aca="false">F213*$D$220</f>
        <v>3.46544935285053</v>
      </c>
      <c r="G228" s="19" t="n">
        <f aca="false">G213*$D$220</f>
        <v>3.6629303258712</v>
      </c>
    </row>
    <row r="229" customFormat="false" ht="17.15" hidden="false" customHeight="false" outlineLevel="0" collapsed="false">
      <c r="A229" s="0" t="s">
        <v>688</v>
      </c>
      <c r="B229" s="0" t="s">
        <v>34</v>
      </c>
      <c r="C229" s="19" t="n">
        <f aca="false">C222+C223</f>
        <v>10</v>
      </c>
      <c r="D229" s="19" t="n">
        <f aca="false">D222+D223</f>
        <v>14.2658119862068</v>
      </c>
      <c r="E229" s="19" t="n">
        <f aca="false">E222+E223</f>
        <v>10.8972428705724</v>
      </c>
      <c r="F229" s="19" t="n">
        <f aca="false">F222+F223</f>
        <v>10.3063562244917</v>
      </c>
      <c r="G229" s="19" t="n">
        <f aca="false">G222+G223</f>
        <v>9.69943965937184</v>
      </c>
    </row>
    <row r="230" customFormat="false" ht="17.15" hidden="false" customHeight="false" outlineLevel="0" collapsed="false">
      <c r="A230" s="5" t="s">
        <v>689</v>
      </c>
      <c r="B230" s="0" t="s">
        <v>34</v>
      </c>
      <c r="C230" s="19" t="n">
        <f aca="false">C229+C224+C225</f>
        <v>40.39</v>
      </c>
      <c r="D230" s="19" t="n">
        <f aca="false">D229+D224+D225</f>
        <v>48.9553790089432</v>
      </c>
      <c r="E230" s="19" t="n">
        <f aca="false">E229+E224+E225</f>
        <v>50.5257181896339</v>
      </c>
      <c r="F230" s="19" t="n">
        <f aca="false">F229+F224+F225</f>
        <v>54.5693979623564</v>
      </c>
      <c r="G230" s="19" t="n">
        <f aca="false">G229+G224+G225</f>
        <v>57.0493818830694</v>
      </c>
      <c r="J230" s="5" t="s">
        <v>690</v>
      </c>
    </row>
    <row r="231" customFormat="false" ht="17.15" hidden="false" customHeight="false" outlineLevel="0" collapsed="false">
      <c r="A231" s="5" t="s">
        <v>541</v>
      </c>
      <c r="B231" s="0" t="s">
        <v>34</v>
      </c>
      <c r="C231" s="19" t="n">
        <f aca="false">C230+C226+C227+C228+seg_adj</f>
        <v>54.365</v>
      </c>
      <c r="D231" s="19" t="n">
        <f aca="false">D230+D226+D227+D228</f>
        <v>64</v>
      </c>
      <c r="E231" s="19" t="n">
        <f aca="false">E230+E226+E227+E228</f>
        <v>66.4568886479765</v>
      </c>
      <c r="F231" s="19" t="n">
        <f aca="false">F230+F226+F227+F228</f>
        <v>71.2249131143654</v>
      </c>
      <c r="G231" s="19" t="n">
        <f aca="false">G230+G226+G227+G228</f>
        <v>74.2980799820738</v>
      </c>
      <c r="J231" s="8" t="s">
        <v>691</v>
      </c>
    </row>
    <row r="232" customFormat="false" ht="17.15" hidden="false" customHeight="false" outlineLevel="0" collapsed="false">
      <c r="A232" s="5" t="s">
        <v>692</v>
      </c>
      <c r="B232" s="0" t="s">
        <v>34</v>
      </c>
      <c r="C232" s="20" t="n">
        <f aca="false">C230+C226+C227+C228-a25_rev</f>
        <v>-0.0249999999999986</v>
      </c>
    </row>
    <row r="233" customFormat="false" ht="17.15" hidden="false" customHeight="false" outlineLevel="0" collapsed="false">
      <c r="A233" s="0" t="s">
        <v>621</v>
      </c>
      <c r="B233" s="0" t="s">
        <v>94</v>
      </c>
      <c r="C233" s="11" t="n">
        <f aca="false">C229/C231</f>
        <v>0.1839418743677</v>
      </c>
      <c r="D233" s="11" t="n">
        <f aca="false">D229/D231</f>
        <v>0.222903312284482</v>
      </c>
      <c r="E233" s="11" t="n">
        <f aca="false">E229/E231</f>
        <v>0.163974617112988</v>
      </c>
      <c r="F233" s="11" t="n">
        <f aca="false">F229/F231</f>
        <v>0.144701562611146</v>
      </c>
      <c r="G233" s="11" t="n">
        <f aca="false">G229/G231</f>
        <v>0.13054764889903</v>
      </c>
    </row>
    <row r="234" customFormat="false" ht="17.15" hidden="false" customHeight="false" outlineLevel="0" collapsed="false">
      <c r="A234" s="5" t="s">
        <v>545</v>
      </c>
      <c r="B234" s="0" t="s">
        <v>34</v>
      </c>
      <c r="C234" s="19" t="n">
        <f aca="false">a25_oi</f>
        <v>6.917</v>
      </c>
      <c r="D234" s="19" t="n">
        <f aca="false">D217</f>
        <v>10.24</v>
      </c>
      <c r="E234" s="19" t="n">
        <f aca="false">$D234+(im+ima_A)*(E231-$D231)</f>
        <v>10.9758900536885</v>
      </c>
      <c r="F234" s="19" t="n">
        <f aca="false">$D234+(im+ima_A)*(F231-$D231)</f>
        <v>12.4040141094729</v>
      </c>
      <c r="G234" s="19" t="n">
        <f aca="false">$D234+(im+ima_A)*(G231-$D231)</f>
        <v>13.3244925093117</v>
      </c>
      <c r="J234" s="8" t="s">
        <v>693</v>
      </c>
    </row>
    <row r="235" customFormat="false" ht="15" hidden="false" customHeight="false" outlineLevel="0" collapsed="false">
      <c r="A235" s="5" t="s">
        <v>694</v>
      </c>
      <c r="B235" s="0" t="s">
        <v>94</v>
      </c>
      <c r="C235" s="11" t="n">
        <f aca="false">C234/C231</f>
        <v>0.127232594500138</v>
      </c>
      <c r="D235" s="11" t="n">
        <f aca="false">D234/D231</f>
        <v>0.16</v>
      </c>
      <c r="E235" s="11" t="n">
        <f aca="false">E234/E231</f>
        <v>0.165158048728823</v>
      </c>
      <c r="F235" s="11" t="n">
        <f aca="false">F234/F231</f>
        <v>0.174152744694203</v>
      </c>
      <c r="G235" s="11" t="n">
        <f aca="false">G234/G231</f>
        <v>0.179338315505953</v>
      </c>
    </row>
    <row r="236" customFormat="false" ht="15" hidden="false" customHeight="false" outlineLevel="0" collapsed="false">
      <c r="A236" s="5" t="s">
        <v>548</v>
      </c>
      <c r="B236" s="0" t="s">
        <v>34</v>
      </c>
      <c r="C236" s="19" t="n">
        <f aca="false">a25_ni</f>
        <v>4.593</v>
      </c>
      <c r="D236" s="19" t="n">
        <f aca="false">D218</f>
        <v>7</v>
      </c>
      <c r="E236" s="19" t="n">
        <f aca="false">E234*nioi</f>
        <v>7.50304984138861</v>
      </c>
      <c r="F236" s="19" t="n">
        <f aca="false">F234*nioi</f>
        <v>8.47930652014748</v>
      </c>
      <c r="G236" s="19" t="n">
        <f aca="false">G234*nioi</f>
        <v>9.1085398012873</v>
      </c>
    </row>
    <row r="237" customFormat="false" ht="15" hidden="false" customHeight="false" outlineLevel="0" collapsed="false">
      <c r="A237" s="0" t="s">
        <v>622</v>
      </c>
      <c r="B237" s="0" t="s">
        <v>52</v>
      </c>
      <c r="C237" s="22" t="n">
        <f aca="false">a25_eps</f>
        <v>61.22</v>
      </c>
      <c r="D237" s="22" t="n">
        <f aca="false">D236*1000/shares</f>
        <v>93.2961492201002</v>
      </c>
      <c r="E237" s="22" t="n">
        <f aca="false">E236*1000/shares</f>
        <v>100.00080822972</v>
      </c>
      <c r="F237" s="22" t="n">
        <f aca="false">F236*1000/shares</f>
        <v>113.012378055235</v>
      </c>
      <c r="G237" s="22" t="n">
        <f aca="false">G236*1000/shares</f>
        <v>121.398812639732</v>
      </c>
    </row>
    <row r="238" customFormat="false" ht="17.15" hidden="false" customHeight="false" outlineLevel="0" collapsed="false">
      <c r="A238" s="5" t="s">
        <v>695</v>
      </c>
      <c r="B238" s="0" t="s">
        <v>34</v>
      </c>
      <c r="C238" s="20" t="n">
        <f aca="false">ABS(C231-a25_rev)+ABS(C234-a25_oi)+ABS(D231-D216)</f>
        <v>0</v>
      </c>
    </row>
    <row r="250" customFormat="false" ht="17.15" hidden="false" customHeight="false" outlineLevel="0" collapsed="false">
      <c r="A250" s="3" t="s">
        <v>1019</v>
      </c>
    </row>
    <row r="251" customFormat="false" ht="17.15" hidden="false" customHeight="false" outlineLevel="0" collapsed="false">
      <c r="A251" s="6" t="s">
        <v>23</v>
      </c>
      <c r="B251" s="6" t="s">
        <v>24</v>
      </c>
      <c r="C251" s="15" t="s">
        <v>628</v>
      </c>
      <c r="D251" s="15" t="s">
        <v>629</v>
      </c>
      <c r="E251" s="15" t="s">
        <v>630</v>
      </c>
      <c r="F251" s="15" t="s">
        <v>631</v>
      </c>
      <c r="G251" s="15" t="s">
        <v>632</v>
      </c>
      <c r="H251" s="15" t="s">
        <v>633</v>
      </c>
      <c r="I251" s="15" t="s">
        <v>634</v>
      </c>
      <c r="J251" s="6" t="s">
        <v>468</v>
      </c>
    </row>
    <row r="252" customFormat="false" ht="17.15" hidden="false" customHeight="false" outlineLevel="0" collapsed="false">
      <c r="A252" s="1" t="s">
        <v>635</v>
      </c>
    </row>
    <row r="253" customFormat="false" ht="17.15" hidden="false" customHeight="false" outlineLevel="0" collapsed="false">
      <c r="A253" s="0" t="s">
        <v>636</v>
      </c>
      <c r="B253" s="0" t="s">
        <v>111</v>
      </c>
      <c r="C253" s="21" t="n">
        <f aca="false">hsA_25</f>
        <v>2.22511470588235</v>
      </c>
      <c r="D253" s="21" t="n">
        <f aca="false">hsA_26</f>
        <v>3.782695</v>
      </c>
      <c r="E253" s="21" t="n">
        <f aca="false">hsA_27</f>
        <v>5.86317725</v>
      </c>
      <c r="F253" s="21" t="n">
        <f aca="false">hsA_28</f>
        <v>8.5016070125</v>
      </c>
      <c r="G253" s="21" t="n">
        <f aca="false">hsA_29</f>
        <v>11.477169466875</v>
      </c>
      <c r="J253" s="8" t="s">
        <v>637</v>
      </c>
    </row>
    <row r="254" customFormat="false" ht="17.15" hidden="false" customHeight="false" outlineLevel="0" collapsed="false">
      <c r="A254" s="0" t="s">
        <v>638</v>
      </c>
      <c r="B254" s="0" t="s">
        <v>639</v>
      </c>
      <c r="C254" s="21" t="n">
        <f aca="false">den_25</f>
        <v>24</v>
      </c>
      <c r="D254" s="21" t="n">
        <f aca="false">den_26</f>
        <v>24</v>
      </c>
      <c r="E254" s="21" t="n">
        <f aca="false">den_27</f>
        <v>26</v>
      </c>
      <c r="F254" s="21" t="n">
        <f aca="false">den_28</f>
        <v>28</v>
      </c>
      <c r="G254" s="21" t="n">
        <f aca="false">den_29</f>
        <v>30</v>
      </c>
    </row>
    <row r="255" customFormat="false" ht="15" hidden="false" customHeight="false" outlineLevel="0" collapsed="false">
      <c r="A255" s="5" t="s">
        <v>640</v>
      </c>
      <c r="B255" s="5" t="s">
        <v>160</v>
      </c>
      <c r="C255" s="21" t="n">
        <f aca="false">stk_25</f>
        <v>10</v>
      </c>
      <c r="D255" s="21" t="n">
        <f aca="false">stk_26</f>
        <v>12</v>
      </c>
      <c r="E255" s="21" t="n">
        <f aca="false">stk_27</f>
        <v>12.5</v>
      </c>
      <c r="F255" s="21" t="n">
        <f aca="false">stk_28</f>
        <v>14</v>
      </c>
      <c r="G255" s="21" t="n">
        <f aca="false">stk_29</f>
        <v>15</v>
      </c>
    </row>
    <row r="256" customFormat="false" ht="17.15" hidden="false" customHeight="false" outlineLevel="0" collapsed="false">
      <c r="A256" s="0" t="s">
        <v>641</v>
      </c>
      <c r="B256" s="5" t="s">
        <v>642</v>
      </c>
      <c r="C256" s="23" t="n">
        <f aca="false">C253*8/(C254*C255)</f>
        <v>0.0741704901960783</v>
      </c>
      <c r="D256" s="23" t="n">
        <f aca="false">D253*8/(D254*D255)</f>
        <v>0.105074861111111</v>
      </c>
      <c r="E256" s="23" t="n">
        <f aca="false">E253*8/(E254*E255)</f>
        <v>0.144324363076923</v>
      </c>
      <c r="F256" s="23" t="n">
        <f aca="false">F253*8/(F254*F255)</f>
        <v>0.173502183928571</v>
      </c>
      <c r="G256" s="23" t="n">
        <f aca="false">G253*8/(G254*G255)</f>
        <v>0.2040385683</v>
      </c>
      <c r="H256" s="23" t="n">
        <f aca="false">G256*(1+g_tail)</f>
        <v>0.22444242513</v>
      </c>
      <c r="I256" s="23" t="n">
        <f aca="false">H256*(1+g_tail)</f>
        <v>0.246886667643</v>
      </c>
      <c r="J256" s="8" t="s">
        <v>643</v>
      </c>
    </row>
    <row r="257" customFormat="false" ht="17.15" hidden="false" customHeight="false" outlineLevel="0" collapsed="false">
      <c r="A257" s="0" t="s">
        <v>644</v>
      </c>
      <c r="B257" s="5" t="s">
        <v>642</v>
      </c>
      <c r="C257" s="23" t="n">
        <f aca="false">MAX(0,D256-C256)+dlt*C256</f>
        <v>0.0383214199346406</v>
      </c>
      <c r="D257" s="23" t="n">
        <f aca="false">MAX(0,E256-D256)+dlt*D256</f>
        <v>0.0497569880769231</v>
      </c>
      <c r="E257" s="23" t="n">
        <f aca="false">MAX(0,F256-E256)+dlt*E256</f>
        <v>0.0436102571593407</v>
      </c>
      <c r="F257" s="23" t="n">
        <f aca="false">MAX(0,G256-F256)+dlt*F256</f>
        <v>0.0478866027642858</v>
      </c>
      <c r="G257" s="23" t="n">
        <f aca="false">MAX(0,H256-G256)+dlt*G256</f>
        <v>0.04080771366</v>
      </c>
      <c r="H257" s="23" t="n">
        <f aca="false">MAX(0,I256-H256)+dlt*H256</f>
        <v>0.044888485026</v>
      </c>
      <c r="J257" s="5" t="s">
        <v>645</v>
      </c>
    </row>
    <row r="258" customFormat="false" ht="17.15" hidden="false" customHeight="false" outlineLevel="0" collapsed="false">
      <c r="A258" s="0" t="s">
        <v>646</v>
      </c>
      <c r="B258" s="5" t="s">
        <v>183</v>
      </c>
      <c r="C258" s="14" t="n">
        <f aca="false">cw_25</f>
        <v>670</v>
      </c>
      <c r="D258" s="14" t="n">
        <f aca="false">cw_26</f>
        <v>1107.85762580894</v>
      </c>
      <c r="E258" s="14" t="n">
        <f aca="false">cw_27</f>
        <v>2096.42857142857</v>
      </c>
      <c r="F258" s="14" t="n">
        <f aca="false">cw_28*um28_A</f>
        <v>2620.08928571429</v>
      </c>
      <c r="G258" s="14" t="n">
        <f aca="false">cw_29*um29_A</f>
        <v>3013.32589285714</v>
      </c>
      <c r="H258" s="14" t="n">
        <f aca="false">G258*(1+g_tail)</f>
        <v>3314.65848214285</v>
      </c>
      <c r="I258" s="14" t="n">
        <f aca="false">H258*(1+g_tail)</f>
        <v>3646.12433035714</v>
      </c>
      <c r="J258" s="5" t="s">
        <v>647</v>
      </c>
    </row>
    <row r="259" customFormat="false" ht="17.15" hidden="false" customHeight="false" outlineLevel="0" collapsed="false">
      <c r="A259" s="0" t="s">
        <v>648</v>
      </c>
      <c r="B259" s="5" t="s">
        <v>183</v>
      </c>
      <c r="C259" s="14" t="n">
        <f aca="false">MAX(0,D258-C258)+dlt*C258</f>
        <v>504.85762580894</v>
      </c>
      <c r="D259" s="14" t="n">
        <f aca="false">MAX(0,E258-D258)+dlt*D258</f>
        <v>1099.35670820052</v>
      </c>
      <c r="E259" s="14" t="n">
        <f aca="false">MAX(0,F258-E258)+dlt*E258</f>
        <v>733.303571428577</v>
      </c>
      <c r="F259" s="14" t="n">
        <f aca="false">MAX(0,G258-F258)+dlt*F258</f>
        <v>655.245535714279</v>
      </c>
      <c r="G259" s="14" t="n">
        <f aca="false">MAX(0,H258-G258)+dlt*G258</f>
        <v>602.665178571428</v>
      </c>
      <c r="H259" s="14" t="n">
        <f aca="false">MAX(0,I258-H258)+dlt*H258</f>
        <v>662.931696428571</v>
      </c>
    </row>
    <row r="260" customFormat="false" ht="17.15" hidden="false" customHeight="false" outlineLevel="0" collapsed="false">
      <c r="A260" s="5" t="s">
        <v>649</v>
      </c>
      <c r="B260" s="0" t="s">
        <v>219</v>
      </c>
      <c r="C260" s="21" t="n">
        <f aca="false">pk_25*(eqtA_25-eqaA_25)/(eqtA_25-eqaA_25)</f>
        <v>6.11313868613139</v>
      </c>
      <c r="D260" s="21" t="n">
        <f aca="false">pk_26*(eqtA_26-eqaA_26)/(eqtA_26-eqaA_26)</f>
        <v>6.7</v>
      </c>
      <c r="E260" s="21" t="n">
        <f aca="false">pk_27*(eqtA_27-eqaA_27)/(eqtA_27-eqaA_27)</f>
        <v>7.59078388573934</v>
      </c>
      <c r="F260" s="21" t="n">
        <f aca="false">pk_28*(eqtA_28-eqaA_28)/(eqtA_28-eqaA_28)</f>
        <v>8.6</v>
      </c>
      <c r="G260" s="21" t="n">
        <f aca="false">pk_29*(eqtA_29-eqaA_29)/(eqtA_29-eqaA_29)</f>
        <v>9.288</v>
      </c>
      <c r="H260" s="21" t="n">
        <f aca="false">G260*(1+g_pk_tail)</f>
        <v>9.7524</v>
      </c>
      <c r="J260" s="8" t="s">
        <v>650</v>
      </c>
    </row>
    <row r="261" customFormat="false" ht="15" hidden="false" customHeight="false" outlineLevel="0" collapsed="false">
      <c r="A261" s="5" t="s">
        <v>651</v>
      </c>
      <c r="B261" s="0" t="s">
        <v>219</v>
      </c>
      <c r="C261" s="24" t="n">
        <f aca="false">eqtA_25</f>
        <v>134.689359843138</v>
      </c>
      <c r="D261" s="24" t="n">
        <f aca="false">eqtA_26</f>
        <v>178.157050570127</v>
      </c>
      <c r="E261" s="24" t="n">
        <f aca="false">eqtA_27</f>
        <v>218.225535760082</v>
      </c>
      <c r="F261" s="24" t="n">
        <f aca="false">eqtA_28</f>
        <v>246.028626308958</v>
      </c>
      <c r="G261" s="24" t="n">
        <f aca="false">eqtA_29</f>
        <v>260.655685855226</v>
      </c>
      <c r="H261" s="24" t="n">
        <f aca="false">G261*(1+g_pk_tail)</f>
        <v>273.688470147987</v>
      </c>
      <c r="J261" s="5" t="s">
        <v>652</v>
      </c>
    </row>
    <row r="262" customFormat="false" ht="17.15" hidden="false" customHeight="false" outlineLevel="0" collapsed="false">
      <c r="A262" s="1" t="s">
        <v>653</v>
      </c>
    </row>
    <row r="263" customFormat="false" ht="17.15" hidden="false" customHeight="false" outlineLevel="0" collapsed="false">
      <c r="A263" s="0" t="s">
        <v>654</v>
      </c>
      <c r="B263" s="0" t="s">
        <v>655</v>
      </c>
      <c r="C263" s="24" t="n">
        <f aca="false">ai_25*w_hbm_hi/(0.75*C257+0.25*D257)</f>
        <v>157.842417626703</v>
      </c>
      <c r="J263" s="5" t="s">
        <v>656</v>
      </c>
    </row>
    <row r="264" customFormat="false" ht="17.15" hidden="false" customHeight="false" outlineLevel="0" collapsed="false">
      <c r="A264" s="0" t="s">
        <v>657</v>
      </c>
      <c r="B264" s="0" t="s">
        <v>658</v>
      </c>
      <c r="C264" s="25" t="n">
        <f aca="false">ai_25*(1-w_hbm_hi)/(0.75*C259+0.25*D259)</f>
        <v>0.00535592086220639</v>
      </c>
    </row>
    <row r="265" customFormat="false" ht="17.15" hidden="false" customHeight="false" outlineLevel="0" collapsed="false">
      <c r="A265" s="1" t="s">
        <v>659</v>
      </c>
    </row>
    <row r="266" customFormat="false" ht="17.15" hidden="false" customHeight="false" outlineLevel="0" collapsed="false">
      <c r="A266" s="0" t="s">
        <v>660</v>
      </c>
      <c r="B266" s="0" t="s">
        <v>198</v>
      </c>
      <c r="C266" s="20" t="n">
        <f aca="false">1-shl_A/sh*0</f>
        <v>1</v>
      </c>
      <c r="D266" s="20" t="n">
        <f aca="false">1-shl_A/sh*0.25</f>
        <v>1</v>
      </c>
      <c r="E266" s="20" t="n">
        <f aca="false">1-shl_A/sh*0.5</f>
        <v>1</v>
      </c>
      <c r="F266" s="20" t="n">
        <f aca="false">1-shl_A/sh*0.75</f>
        <v>1</v>
      </c>
      <c r="G266" s="20" t="n">
        <f aca="false">1-shl_A/sh*1</f>
        <v>1</v>
      </c>
      <c r="J266" s="5" t="s">
        <v>661</v>
      </c>
    </row>
    <row r="267" customFormat="false" ht="17.15" hidden="false" customHeight="false" outlineLevel="0" collapsed="false">
      <c r="A267" s="0" t="s">
        <v>662</v>
      </c>
      <c r="B267" s="0" t="s">
        <v>34</v>
      </c>
      <c r="C267" s="19" t="n">
        <f aca="false">$C$263*(0.75*C257+0.25*D257)*C266</f>
        <v>6.5</v>
      </c>
      <c r="D267" s="19" t="n">
        <f aca="false">$C$263*(0.75*D257+0.25*E257)*D266</f>
        <v>7.61120957475157</v>
      </c>
      <c r="E267" s="19" t="n">
        <f aca="false">$C$263*(0.75*E257+0.25*F257)*E266</f>
        <v>7.05229560557553</v>
      </c>
      <c r="F267" s="19" t="n">
        <f aca="false">$C$263*(0.75*F257+0.25*G257)*F266</f>
        <v>7.27919990966148</v>
      </c>
      <c r="G267" s="19" t="n">
        <f aca="false">$C$263*(0.75*G257+0.25*H257)*G266</f>
        <v>6.60221788646045</v>
      </c>
    </row>
    <row r="268" customFormat="false" ht="17.15" hidden="false" customHeight="false" outlineLevel="0" collapsed="false">
      <c r="A268" s="0" t="s">
        <v>663</v>
      </c>
      <c r="B268" s="0" t="s">
        <v>34</v>
      </c>
      <c r="C268" s="19" t="n">
        <f aca="false">$C$264*(0.75*C259+0.25*D259)*C266</f>
        <v>3.5</v>
      </c>
      <c r="D268" s="19" t="n">
        <f aca="false">$C$264*(0.75*D259+0.25*E259)*D266</f>
        <v>5.39792962047949</v>
      </c>
      <c r="E268" s="19" t="n">
        <f aca="false">$C$264*(0.75*E259+0.25*F259)*E266</f>
        <v>3.8229977310585</v>
      </c>
      <c r="F268" s="19" t="n">
        <f aca="false">$C$264*(0.75*F259+0.25*G259)*F266</f>
        <v>3.4390391766588</v>
      </c>
      <c r="G268" s="19" t="n">
        <f aca="false">$C$264*(0.75*G259+0.25*H259)*G266</f>
        <v>3.30852267790695</v>
      </c>
    </row>
    <row r="269" customFormat="false" ht="17.15" hidden="false" customHeight="false" outlineLevel="0" collapsed="false">
      <c r="A269" s="5" t="s">
        <v>664</v>
      </c>
      <c r="B269" s="0" t="s">
        <v>34</v>
      </c>
      <c r="C269" s="19" t="n">
        <f aca="false">(seg_mold-ai_25)*(0.75*C260+0.25*D260)/(0.75*C260+0.25*D260)</f>
        <v>26.46</v>
      </c>
      <c r="D269" s="19" t="n">
        <f aca="false">(seg_mold-ai_25)*(0.75*D260+0.25*E260)/(0.75*C260+0.25*D260)</f>
        <v>29.2617902872793</v>
      </c>
      <c r="E269" s="19" t="n">
        <f aca="false">(seg_mold-ai_25)*(0.75*E260+0.25*F260)/(0.75*C260+0.25*D260)</f>
        <v>33.1522277881438</v>
      </c>
      <c r="F269" s="19" t="n">
        <f aca="false">(seg_mold-ai_25)*(0.75*F260+0.25*G260)/(0.75*C260+0.25*D260)</f>
        <v>37.0786793843283</v>
      </c>
      <c r="G269" s="19" t="n">
        <f aca="false">(seg_mold-ai_25)*(0.75*G260+0.25*H260)/(0.75*C260+0.25*D260)</f>
        <v>39.7505253987873</v>
      </c>
      <c r="J269" s="8" t="s">
        <v>665</v>
      </c>
    </row>
    <row r="270" customFormat="false" ht="15" hidden="false" customHeight="false" outlineLevel="0" collapsed="false">
      <c r="A270" s="5" t="s">
        <v>666</v>
      </c>
      <c r="B270" s="0" t="s">
        <v>34</v>
      </c>
      <c r="C270" s="19" t="n">
        <f aca="false">seg_osemi*(0.75*C261+0.25*D261)/(0.75*C261+0.25*D261)</f>
        <v>3.93</v>
      </c>
      <c r="D270" s="19" t="n">
        <f aca="false">seg_osemi*(0.75*D261+0.25*E261)/(0.75*C261+0.25*D261)</f>
        <v>5.08067726525852</v>
      </c>
      <c r="E270" s="19" t="n">
        <f aca="false">seg_osemi*(0.75*E261+0.25*F261)/(0.75*C261+0.25*D261)</f>
        <v>6.0797299618455</v>
      </c>
      <c r="F270" s="19" t="n">
        <f aca="false">seg_osemi*(0.75*F261+0.25*G261)/(0.75*C261+0.25*D261)</f>
        <v>6.74147189236335</v>
      </c>
      <c r="G270" s="19" t="n">
        <f aca="false">seg_osemi*(0.75*G261+0.25*H261)/(0.75*C261+0.25*D261)</f>
        <v>7.12563922344852</v>
      </c>
      <c r="J270" s="5" t="s">
        <v>667</v>
      </c>
    </row>
    <row r="271" customFormat="false" ht="17.15" hidden="false" customHeight="false" outlineLevel="0" collapsed="false">
      <c r="A271" s="5" t="s">
        <v>668</v>
      </c>
      <c r="B271" s="0" t="s">
        <v>34</v>
      </c>
      <c r="C271" s="19" t="n">
        <f aca="false">seg_new</f>
        <v>9.47</v>
      </c>
      <c r="D271" s="19" t="n">
        <f aca="false">C271*(1+g_tss)</f>
        <v>9.7541</v>
      </c>
      <c r="E271" s="19" t="n">
        <f aca="false">D271*(1+g_tss)</f>
        <v>10.046723</v>
      </c>
      <c r="F271" s="19" t="n">
        <f aca="false">E271*(1+g_tss)</f>
        <v>10.34812469</v>
      </c>
      <c r="G271" s="19" t="n">
        <f aca="false">F271*(1+g_tss)</f>
        <v>10.6585684307</v>
      </c>
    </row>
    <row r="272" customFormat="false" ht="15" hidden="false" customHeight="false" outlineLevel="0" collapsed="false">
      <c r="A272" s="5" t="s">
        <v>669</v>
      </c>
      <c r="B272" s="0" t="s">
        <v>34</v>
      </c>
      <c r="C272" s="19" t="n">
        <f aca="false">seg_med</f>
        <v>2.48</v>
      </c>
      <c r="D272" s="19" t="n">
        <f aca="false">C272*(1+g_med)</f>
        <v>2.5544</v>
      </c>
      <c r="E272" s="19" t="n">
        <f aca="false">D272*(1+g_med)</f>
        <v>2.631032</v>
      </c>
      <c r="F272" s="19" t="n">
        <f aca="false">E272*(1+g_med)</f>
        <v>2.70996296</v>
      </c>
      <c r="G272" s="19" t="n">
        <f aca="false">F272*(1+g_med)</f>
        <v>2.7912618488</v>
      </c>
    </row>
    <row r="273" customFormat="false" ht="15" hidden="false" customHeight="false" outlineLevel="0" collapsed="false">
      <c r="A273" s="5" t="s">
        <v>670</v>
      </c>
      <c r="B273" s="0" t="s">
        <v>34</v>
      </c>
      <c r="C273" s="19" t="n">
        <f aca="false">seg_las*(0.75*C261+0.25*D261)/(0.75*C261+0.25*D261)</f>
        <v>2</v>
      </c>
      <c r="D273" s="19" t="n">
        <f aca="false">seg_las*(0.75*D261+0.25*E261)/(0.75*C261+0.25*D261)</f>
        <v>2.5855863945336</v>
      </c>
      <c r="E273" s="19" t="n">
        <f aca="false">seg_las*(0.75*E261+0.25*F261)/(0.75*C261+0.25*D261)</f>
        <v>3.0940101587</v>
      </c>
      <c r="F273" s="19" t="n">
        <f aca="false">seg_las*(0.75*F261+0.25*G261)/(0.75*C261+0.25*D261)</f>
        <v>3.43077449993046</v>
      </c>
      <c r="G273" s="19" t="n">
        <f aca="false">seg_las*(0.75*G261+0.25*H261)/(0.75*C261+0.25*D261)</f>
        <v>3.62627950302724</v>
      </c>
      <c r="J273" s="5" t="s">
        <v>667</v>
      </c>
    </row>
    <row r="274" customFormat="false" ht="15" hidden="false" customHeight="false" outlineLevel="0" collapsed="false">
      <c r="A274" s="5" t="s">
        <v>671</v>
      </c>
      <c r="B274" s="0" t="s">
        <v>34</v>
      </c>
      <c r="C274" s="19" t="n">
        <f aca="false">C267+C268+C269+C270+C271+C272+C273+seg_adj</f>
        <v>54.365</v>
      </c>
      <c r="D274" s="19" t="n">
        <f aca="false">D267+D268+D269+D270+D271+D272+D273</f>
        <v>62.2456931423024</v>
      </c>
      <c r="E274" s="19" t="n">
        <f aca="false">E267+E268+E269+E270+E271+E272+E273</f>
        <v>65.8790162453233</v>
      </c>
      <c r="F274" s="19" t="n">
        <f aca="false">F267+F268+F269+F270+F271+F272+F273</f>
        <v>71.0272525129424</v>
      </c>
      <c r="G274" s="19" t="n">
        <f aca="false">G267+G268+G269+G270+G271+G272+G273</f>
        <v>73.8630149691305</v>
      </c>
    </row>
    <row r="275" customFormat="false" ht="17.15" hidden="false" customHeight="false" outlineLevel="0" collapsed="false">
      <c r="A275" s="1" t="s">
        <v>672</v>
      </c>
    </row>
    <row r="276" customFormat="false" ht="17.15" hidden="false" customHeight="false" outlineLevel="0" collapsed="false">
      <c r="A276" s="0" t="s">
        <v>673</v>
      </c>
      <c r="B276" s="0" t="s">
        <v>34</v>
      </c>
      <c r="D276" s="19" t="n">
        <f aca="false">g26_rev*(1+g_anc)</f>
        <v>64</v>
      </c>
    </row>
    <row r="277" customFormat="false" ht="17.15" hidden="false" customHeight="false" outlineLevel="0" collapsed="false">
      <c r="A277" s="0" t="s">
        <v>674</v>
      </c>
      <c r="B277" s="0" t="s">
        <v>34</v>
      </c>
      <c r="D277" s="19" t="n">
        <f aca="false">D276*g26_oi/g26_rev</f>
        <v>10.24</v>
      </c>
    </row>
    <row r="278" customFormat="false" ht="17.15" hidden="false" customHeight="false" outlineLevel="0" collapsed="false">
      <c r="A278" s="0" t="s">
        <v>675</v>
      </c>
      <c r="B278" s="0" t="s">
        <v>34</v>
      </c>
      <c r="D278" s="19" t="n">
        <f aca="false">D277*g26_ni/g26_oi</f>
        <v>7</v>
      </c>
    </row>
    <row r="279" customFormat="false" ht="17.15" hidden="false" customHeight="false" outlineLevel="0" collapsed="false">
      <c r="A279" s="5" t="s">
        <v>676</v>
      </c>
      <c r="B279" s="0" t="s">
        <v>198</v>
      </c>
      <c r="D279" s="20" t="n">
        <f aca="false">D276/D274</f>
        <v>1.02818358619105</v>
      </c>
      <c r="J279" s="8" t="s">
        <v>677</v>
      </c>
    </row>
    <row r="280" customFormat="false" ht="17.15" hidden="false" customHeight="false" outlineLevel="0" collapsed="false">
      <c r="A280" s="5" t="s">
        <v>678</v>
      </c>
      <c r="B280" s="0" t="s">
        <v>198</v>
      </c>
      <c r="D280" s="20" t="n">
        <f aca="false">1+1*(D279-1)</f>
        <v>1.02818358619105</v>
      </c>
      <c r="J280" s="8" t="s">
        <v>679</v>
      </c>
    </row>
    <row r="281" customFormat="false" ht="17.15" hidden="false" customHeight="false" outlineLevel="0" collapsed="false">
      <c r="A281" s="1" t="s">
        <v>680</v>
      </c>
    </row>
    <row r="282" customFormat="false" ht="17.15" hidden="false" customHeight="false" outlineLevel="0" collapsed="false">
      <c r="A282" s="0" t="s">
        <v>681</v>
      </c>
      <c r="B282" s="0" t="s">
        <v>34</v>
      </c>
      <c r="C282" s="19" t="n">
        <f aca="false">C267*1</f>
        <v>6.5</v>
      </c>
      <c r="D282" s="19" t="n">
        <f aca="false">D267*$D$279</f>
        <v>7.82572075581971</v>
      </c>
      <c r="E282" s="19" t="n">
        <f aca="false">E267*1</f>
        <v>7.05229560557553</v>
      </c>
      <c r="F282" s="19" t="n">
        <f aca="false">F267*1</f>
        <v>7.27919990966148</v>
      </c>
      <c r="G282" s="19" t="n">
        <f aca="false">G267*1</f>
        <v>6.60221788646045</v>
      </c>
    </row>
    <row r="283" customFormat="false" ht="17.15" hidden="false" customHeight="false" outlineLevel="0" collapsed="false">
      <c r="A283" s="0" t="s">
        <v>682</v>
      </c>
      <c r="B283" s="0" t="s">
        <v>34</v>
      </c>
      <c r="C283" s="19" t="n">
        <f aca="false">C268*1</f>
        <v>3.5</v>
      </c>
      <c r="D283" s="19" t="n">
        <f aca="false">D268*$D$279</f>
        <v>5.55006263519148</v>
      </c>
      <c r="E283" s="19" t="n">
        <f aca="false">E268*1</f>
        <v>3.8229977310585</v>
      </c>
      <c r="F283" s="19" t="n">
        <f aca="false">F268*1</f>
        <v>3.4390391766588</v>
      </c>
      <c r="G283" s="19" t="n">
        <f aca="false">G268*1</f>
        <v>3.30852267790695</v>
      </c>
    </row>
    <row r="284" customFormat="false" ht="17.15" hidden="false" customHeight="false" outlineLevel="0" collapsed="false">
      <c r="A284" s="5" t="s">
        <v>683</v>
      </c>
      <c r="B284" s="0" t="s">
        <v>34</v>
      </c>
      <c r="C284" s="19" t="n">
        <f aca="false">C269*1</f>
        <v>26.46</v>
      </c>
      <c r="D284" s="19" t="n">
        <f aca="false">D269*$D$279</f>
        <v>30.0864924759452</v>
      </c>
      <c r="E284" s="19" t="n">
        <f aca="false">E269*$D$280</f>
        <v>34.0865764574362</v>
      </c>
      <c r="F284" s="19" t="n">
        <f aca="false">F269*$D$280</f>
        <v>38.1236895406068</v>
      </c>
      <c r="G284" s="19" t="n">
        <f aca="false">G269*$D$280</f>
        <v>40.8708377575034</v>
      </c>
    </row>
    <row r="285" customFormat="false" ht="15" hidden="false" customHeight="false" outlineLevel="0" collapsed="false">
      <c r="A285" s="5" t="s">
        <v>684</v>
      </c>
      <c r="B285" s="0" t="s">
        <v>34</v>
      </c>
      <c r="C285" s="19" t="n">
        <f aca="false">C270*1</f>
        <v>3.93</v>
      </c>
      <c r="D285" s="19" t="n">
        <f aca="false">D270*$D$279</f>
        <v>5.22386897087282</v>
      </c>
      <c r="E285" s="19" t="n">
        <f aca="false">E270*$D$280</f>
        <v>6.25107855524346</v>
      </c>
      <c r="F285" s="19" t="n">
        <f aca="false">F270*$D$280</f>
        <v>6.9314707464963</v>
      </c>
      <c r="G285" s="19" t="n">
        <f aca="false">G270*$D$280</f>
        <v>7.32646529066889</v>
      </c>
    </row>
    <row r="286" customFormat="false" ht="17.15" hidden="false" customHeight="false" outlineLevel="0" collapsed="false">
      <c r="A286" s="5" t="s">
        <v>685</v>
      </c>
      <c r="B286" s="0" t="s">
        <v>34</v>
      </c>
      <c r="C286" s="19" t="n">
        <f aca="false">C271*1</f>
        <v>9.47</v>
      </c>
      <c r="D286" s="19" t="n">
        <f aca="false">D271*$D$279</f>
        <v>10.0290055180661</v>
      </c>
      <c r="E286" s="19" t="n">
        <f aca="false">E271*$D$280</f>
        <v>10.3298756836081</v>
      </c>
      <c r="F286" s="19" t="n">
        <f aca="false">F271*$D$280</f>
        <v>10.6397719541163</v>
      </c>
      <c r="G286" s="19" t="n">
        <f aca="false">G271*$D$280</f>
        <v>10.9589651127398</v>
      </c>
    </row>
    <row r="287" customFormat="false" ht="15" hidden="false" customHeight="false" outlineLevel="0" collapsed="false">
      <c r="A287" s="5" t="s">
        <v>686</v>
      </c>
      <c r="B287" s="0" t="s">
        <v>34</v>
      </c>
      <c r="C287" s="19" t="n">
        <f aca="false">C272*1</f>
        <v>2.48</v>
      </c>
      <c r="D287" s="19" t="n">
        <f aca="false">D272*$D$279</f>
        <v>2.62639215256641</v>
      </c>
      <c r="E287" s="19" t="n">
        <f aca="false">E272*$D$280</f>
        <v>2.7051839171434</v>
      </c>
      <c r="F287" s="19" t="n">
        <f aca="false">F272*$D$280</f>
        <v>2.78633943465771</v>
      </c>
      <c r="G287" s="19" t="n">
        <f aca="false">G272*$D$280</f>
        <v>2.86992961769744</v>
      </c>
    </row>
    <row r="288" customFormat="false" ht="15" hidden="false" customHeight="false" outlineLevel="0" collapsed="false">
      <c r="A288" s="5" t="s">
        <v>687</v>
      </c>
      <c r="B288" s="0" t="s">
        <v>34</v>
      </c>
      <c r="C288" s="19" t="n">
        <f aca="false">C273*1</f>
        <v>2</v>
      </c>
      <c r="D288" s="19" t="n">
        <f aca="false">D273*$D$279</f>
        <v>2.65845749153833</v>
      </c>
      <c r="E288" s="19" t="n">
        <f aca="false">E273*$D$280</f>
        <v>3.1812104606837</v>
      </c>
      <c r="F288" s="19" t="n">
        <f aca="false">F273*$D$280</f>
        <v>3.5274660287513</v>
      </c>
      <c r="G288" s="19" t="n">
        <f aca="false">G273*$D$280</f>
        <v>3.72848106395363</v>
      </c>
    </row>
    <row r="289" customFormat="false" ht="17.15" hidden="false" customHeight="false" outlineLevel="0" collapsed="false">
      <c r="A289" s="0" t="s">
        <v>688</v>
      </c>
      <c r="B289" s="0" t="s">
        <v>34</v>
      </c>
      <c r="C289" s="19" t="n">
        <f aca="false">C282+C283</f>
        <v>10</v>
      </c>
      <c r="D289" s="19" t="n">
        <f aca="false">D282+D283</f>
        <v>13.3757833910112</v>
      </c>
      <c r="E289" s="19" t="n">
        <f aca="false">E282+E283</f>
        <v>10.875293336634</v>
      </c>
      <c r="F289" s="19" t="n">
        <f aca="false">F282+F283</f>
        <v>10.7182390863203</v>
      </c>
      <c r="G289" s="19" t="n">
        <f aca="false">G282+G283</f>
        <v>9.91074056436741</v>
      </c>
    </row>
    <row r="290" customFormat="false" ht="17.15" hidden="false" customHeight="false" outlineLevel="0" collapsed="false">
      <c r="A290" s="5" t="s">
        <v>689</v>
      </c>
      <c r="B290" s="0" t="s">
        <v>34</v>
      </c>
      <c r="C290" s="19" t="n">
        <f aca="false">C289+C284+C285</f>
        <v>40.39</v>
      </c>
      <c r="D290" s="19" t="n">
        <f aca="false">D289+D284+D285</f>
        <v>48.6861448378292</v>
      </c>
      <c r="E290" s="19" t="n">
        <f aca="false">E289+E284+E285</f>
        <v>51.2129483493137</v>
      </c>
      <c r="F290" s="19" t="n">
        <f aca="false">F289+F284+F285</f>
        <v>55.7733993734233</v>
      </c>
      <c r="G290" s="19" t="n">
        <f aca="false">G289+G284+G285</f>
        <v>58.1080436125397</v>
      </c>
      <c r="J290" s="5" t="s">
        <v>690</v>
      </c>
    </row>
    <row r="291" customFormat="false" ht="17.15" hidden="false" customHeight="false" outlineLevel="0" collapsed="false">
      <c r="A291" s="5" t="s">
        <v>541</v>
      </c>
      <c r="B291" s="0" t="s">
        <v>34</v>
      </c>
      <c r="C291" s="19" t="n">
        <f aca="false">C290+C286+C287+C288+seg_adj</f>
        <v>54.365</v>
      </c>
      <c r="D291" s="19" t="n">
        <f aca="false">D290+D286+D287+D288</f>
        <v>64</v>
      </c>
      <c r="E291" s="19" t="n">
        <f aca="false">E290+E286+E287+E288</f>
        <v>67.4292184107489</v>
      </c>
      <c r="F291" s="19" t="n">
        <f aca="false">F290+F286+F287+F288</f>
        <v>72.7269767909487</v>
      </c>
      <c r="G291" s="19" t="n">
        <f aca="false">G290+G286+G287+G288</f>
        <v>75.6654194069306</v>
      </c>
      <c r="J291" s="8" t="s">
        <v>691</v>
      </c>
    </row>
    <row r="292" customFormat="false" ht="17.15" hidden="false" customHeight="false" outlineLevel="0" collapsed="false">
      <c r="A292" s="5" t="s">
        <v>692</v>
      </c>
      <c r="B292" s="0" t="s">
        <v>34</v>
      </c>
      <c r="C292" s="20" t="n">
        <f aca="false">C290+C286+C287+C288-a25_rev</f>
        <v>-0.0250000000000057</v>
      </c>
    </row>
    <row r="293" customFormat="false" ht="17.15" hidden="false" customHeight="false" outlineLevel="0" collapsed="false">
      <c r="A293" s="0" t="s">
        <v>621</v>
      </c>
      <c r="B293" s="0" t="s">
        <v>94</v>
      </c>
      <c r="C293" s="11" t="n">
        <f aca="false">C289/C291</f>
        <v>0.1839418743677</v>
      </c>
      <c r="D293" s="11" t="n">
        <f aca="false">D289/D291</f>
        <v>0.20899661548455</v>
      </c>
      <c r="E293" s="11" t="n">
        <f aca="false">E289/E291</f>
        <v>0.161284582454843</v>
      </c>
      <c r="F293" s="11" t="n">
        <f aca="false">F289/F291</f>
        <v>0.147376387129765</v>
      </c>
      <c r="G293" s="11" t="n">
        <f aca="false">G289/G291</f>
        <v>0.130981109231249</v>
      </c>
    </row>
    <row r="294" customFormat="false" ht="17.15" hidden="false" customHeight="false" outlineLevel="0" collapsed="false">
      <c r="A294" s="5" t="s">
        <v>545</v>
      </c>
      <c r="B294" s="0" t="s">
        <v>34</v>
      </c>
      <c r="C294" s="19" t="n">
        <f aca="false">a25_oi</f>
        <v>6.917</v>
      </c>
      <c r="D294" s="19" t="n">
        <f aca="false">D277</f>
        <v>10.24</v>
      </c>
      <c r="E294" s="19" t="n">
        <f aca="false">$D294+(im+ima_A)*(E291-$D291)</f>
        <v>11.2671233588359</v>
      </c>
      <c r="F294" s="19" t="n">
        <f aca="false">$D294+(im+ima_A)*(F291-$D291)</f>
        <v>12.8539139128338</v>
      </c>
      <c r="G294" s="19" t="n">
        <f aca="false">$D294+(im+ima_A)*(G291-$D291)</f>
        <v>13.7340395531295</v>
      </c>
      <c r="J294" s="8" t="s">
        <v>693</v>
      </c>
    </row>
    <row r="295" customFormat="false" ht="15" hidden="false" customHeight="false" outlineLevel="0" collapsed="false">
      <c r="A295" s="5" t="s">
        <v>694</v>
      </c>
      <c r="B295" s="0" t="s">
        <v>94</v>
      </c>
      <c r="C295" s="11" t="n">
        <f aca="false">C294/C291</f>
        <v>0.127232594500138</v>
      </c>
      <c r="D295" s="11" t="n">
        <f aca="false">D294/D291</f>
        <v>0.16</v>
      </c>
      <c r="E295" s="11" t="n">
        <f aca="false">E294/E291</f>
        <v>0.167095565162888</v>
      </c>
      <c r="F295" s="11" t="n">
        <f aca="false">F294/F291</f>
        <v>0.176742035486804</v>
      </c>
      <c r="G295" s="11" t="n">
        <f aca="false">G294/G291</f>
        <v>0.181510122599961</v>
      </c>
    </row>
    <row r="296" customFormat="false" ht="15" hidden="false" customHeight="false" outlineLevel="0" collapsed="false">
      <c r="A296" s="5" t="s">
        <v>548</v>
      </c>
      <c r="B296" s="0" t="s">
        <v>34</v>
      </c>
      <c r="C296" s="19" t="n">
        <f aca="false">a25_ni</f>
        <v>4.593</v>
      </c>
      <c r="D296" s="19" t="n">
        <f aca="false">D278</f>
        <v>7</v>
      </c>
      <c r="E296" s="19" t="n">
        <f aca="false">E294*nioi</f>
        <v>7.70213510857924</v>
      </c>
      <c r="F296" s="19" t="n">
        <f aca="false">F294*nioi</f>
        <v>8.78685521385125</v>
      </c>
      <c r="G296" s="19" t="n">
        <f aca="false">G294*nioi</f>
        <v>9.3885036007721</v>
      </c>
    </row>
    <row r="297" customFormat="false" ht="15" hidden="false" customHeight="false" outlineLevel="0" collapsed="false">
      <c r="A297" s="0" t="s">
        <v>622</v>
      </c>
      <c r="B297" s="0" t="s">
        <v>52</v>
      </c>
      <c r="C297" s="22" t="n">
        <f aca="false">a25_eps</f>
        <v>61.22</v>
      </c>
      <c r="D297" s="22" t="n">
        <f aca="false">D296*1000/shares</f>
        <v>93.2961492201002</v>
      </c>
      <c r="E297" s="22" t="n">
        <f aca="false">E296*1000/shares</f>
        <v>102.654220914769</v>
      </c>
      <c r="F297" s="22" t="n">
        <f aca="false">F296*1000/shares</f>
        <v>117.111393600983</v>
      </c>
      <c r="G297" s="22" t="n">
        <f aca="false">G296*1000/shares</f>
        <v>125.130176127297</v>
      </c>
    </row>
    <row r="298" customFormat="false" ht="17.15" hidden="false" customHeight="false" outlineLevel="0" collapsed="false">
      <c r="A298" s="5" t="s">
        <v>695</v>
      </c>
      <c r="B298" s="0" t="s">
        <v>34</v>
      </c>
      <c r="C298" s="20" t="n">
        <f aca="false">ABS(C291-a25_rev)+ABS(C294-a25_oi)+ABS(D291-D276)</f>
        <v>0</v>
      </c>
    </row>
    <row r="310" customFormat="false" ht="17.15" hidden="false" customHeight="false" outlineLevel="0" collapsed="false">
      <c r="A310" s="3" t="s">
        <v>1020</v>
      </c>
    </row>
    <row r="311" customFormat="false" ht="17.15" hidden="false" customHeight="false" outlineLevel="0" collapsed="false">
      <c r="A311" s="6" t="s">
        <v>23</v>
      </c>
      <c r="B311" s="6" t="s">
        <v>24</v>
      </c>
      <c r="C311" s="15" t="s">
        <v>628</v>
      </c>
      <c r="D311" s="15" t="s">
        <v>629</v>
      </c>
      <c r="E311" s="15" t="s">
        <v>630</v>
      </c>
      <c r="F311" s="15" t="s">
        <v>631</v>
      </c>
      <c r="G311" s="15" t="s">
        <v>632</v>
      </c>
      <c r="H311" s="15" t="s">
        <v>633</v>
      </c>
      <c r="I311" s="15" t="s">
        <v>634</v>
      </c>
      <c r="J311" s="6" t="s">
        <v>468</v>
      </c>
    </row>
    <row r="312" customFormat="false" ht="17.15" hidden="false" customHeight="false" outlineLevel="0" collapsed="false">
      <c r="A312" s="1" t="s">
        <v>635</v>
      </c>
    </row>
    <row r="313" customFormat="false" ht="17.15" hidden="false" customHeight="false" outlineLevel="0" collapsed="false">
      <c r="A313" s="0" t="s">
        <v>636</v>
      </c>
      <c r="B313" s="0" t="s">
        <v>111</v>
      </c>
      <c r="C313" s="21" t="n">
        <f aca="false">hsA_25</f>
        <v>2.22511470588235</v>
      </c>
      <c r="D313" s="21" t="n">
        <f aca="false">hsA_26</f>
        <v>3.782695</v>
      </c>
      <c r="E313" s="21" t="n">
        <f aca="false">hsA_27</f>
        <v>5.86317725</v>
      </c>
      <c r="F313" s="21" t="n">
        <f aca="false">hsA_28</f>
        <v>8.5016070125</v>
      </c>
      <c r="G313" s="21" t="n">
        <f aca="false">hsA_29</f>
        <v>11.477169466875</v>
      </c>
      <c r="J313" s="8" t="s">
        <v>637</v>
      </c>
    </row>
    <row r="314" customFormat="false" ht="17.15" hidden="false" customHeight="false" outlineLevel="0" collapsed="false">
      <c r="A314" s="0" t="s">
        <v>638</v>
      </c>
      <c r="B314" s="0" t="s">
        <v>639</v>
      </c>
      <c r="C314" s="21" t="n">
        <f aca="false">den_25</f>
        <v>24</v>
      </c>
      <c r="D314" s="21" t="n">
        <f aca="false">den_26</f>
        <v>24</v>
      </c>
      <c r="E314" s="21" t="n">
        <f aca="false">den_27</f>
        <v>26</v>
      </c>
      <c r="F314" s="21" t="n">
        <f aca="false">den_28</f>
        <v>28</v>
      </c>
      <c r="G314" s="21" t="n">
        <f aca="false">den_29</f>
        <v>30</v>
      </c>
    </row>
    <row r="315" customFormat="false" ht="15" hidden="false" customHeight="false" outlineLevel="0" collapsed="false">
      <c r="A315" s="5" t="s">
        <v>640</v>
      </c>
      <c r="B315" s="5" t="s">
        <v>160</v>
      </c>
      <c r="C315" s="21" t="n">
        <f aca="false">stk_25</f>
        <v>10</v>
      </c>
      <c r="D315" s="21" t="n">
        <f aca="false">stk_26</f>
        <v>12</v>
      </c>
      <c r="E315" s="21" t="n">
        <f aca="false">stk_27</f>
        <v>12.5</v>
      </c>
      <c r="F315" s="21" t="n">
        <f aca="false">stk_28</f>
        <v>14</v>
      </c>
      <c r="G315" s="21" t="n">
        <f aca="false">stk_29</f>
        <v>15</v>
      </c>
    </row>
    <row r="316" customFormat="false" ht="17.15" hidden="false" customHeight="false" outlineLevel="0" collapsed="false">
      <c r="A316" s="0" t="s">
        <v>641</v>
      </c>
      <c r="B316" s="5" t="s">
        <v>642</v>
      </c>
      <c r="C316" s="23" t="n">
        <f aca="false">C313*8/(C314*C315)</f>
        <v>0.0741704901960783</v>
      </c>
      <c r="D316" s="23" t="n">
        <f aca="false">D313*8/(D314*D315)</f>
        <v>0.105074861111111</v>
      </c>
      <c r="E316" s="23" t="n">
        <f aca="false">E313*8/(E314*E315)</f>
        <v>0.144324363076923</v>
      </c>
      <c r="F316" s="23" t="n">
        <f aca="false">F313*8/(F314*F315)</f>
        <v>0.173502183928571</v>
      </c>
      <c r="G316" s="23" t="n">
        <f aca="false">G313*8/(G314*G315)</f>
        <v>0.2040385683</v>
      </c>
      <c r="H316" s="23" t="n">
        <f aca="false">G316*(1+g_tail)</f>
        <v>0.22444242513</v>
      </c>
      <c r="I316" s="23" t="n">
        <f aca="false">H316*(1+g_tail)</f>
        <v>0.246886667643</v>
      </c>
      <c r="J316" s="8" t="s">
        <v>643</v>
      </c>
    </row>
    <row r="317" customFormat="false" ht="17.15" hidden="false" customHeight="false" outlineLevel="0" collapsed="false">
      <c r="A317" s="0" t="s">
        <v>644</v>
      </c>
      <c r="B317" s="5" t="s">
        <v>642</v>
      </c>
      <c r="C317" s="23" t="n">
        <f aca="false">MAX(0,D316-C316)+dlt_lo*C316</f>
        <v>0.0346128954248367</v>
      </c>
      <c r="D317" s="23" t="n">
        <f aca="false">MAX(0,E316-D316)+dlt_lo*D316</f>
        <v>0.0445032450213675</v>
      </c>
      <c r="E317" s="23" t="n">
        <f aca="false">MAX(0,F316-E316)+dlt_lo*E316</f>
        <v>0.0363940390054945</v>
      </c>
      <c r="F317" s="23" t="n">
        <f aca="false">MAX(0,G316-F316)+dlt_lo*F316</f>
        <v>0.0392114935678572</v>
      </c>
      <c r="G317" s="23" t="n">
        <f aca="false">MAX(0,H316-G316)+dlt_lo*G316</f>
        <v>0.030605785245</v>
      </c>
      <c r="H317" s="23" t="n">
        <f aca="false">MAX(0,I316-H316)+dlt_lo*H316</f>
        <v>0.0336663637695</v>
      </c>
      <c r="J317" s="5" t="s">
        <v>645</v>
      </c>
    </row>
    <row r="318" customFormat="false" ht="17.15" hidden="false" customHeight="false" outlineLevel="0" collapsed="false">
      <c r="A318" s="0" t="s">
        <v>646</v>
      </c>
      <c r="B318" s="5" t="s">
        <v>183</v>
      </c>
      <c r="C318" s="14" t="n">
        <f aca="false">cw_25</f>
        <v>670</v>
      </c>
      <c r="D318" s="14" t="n">
        <f aca="false">cw_26</f>
        <v>1107.85762580894</v>
      </c>
      <c r="E318" s="14" t="n">
        <f aca="false">cw_27</f>
        <v>2096.42857142857</v>
      </c>
      <c r="F318" s="14" t="n">
        <f aca="false">cw_28*um28_A</f>
        <v>2620.08928571429</v>
      </c>
      <c r="G318" s="14" t="n">
        <f aca="false">cw_29*um29_A</f>
        <v>3013.32589285714</v>
      </c>
      <c r="H318" s="14" t="n">
        <f aca="false">G318*(1+g_tail)</f>
        <v>3314.65848214285</v>
      </c>
      <c r="I318" s="14" t="n">
        <f aca="false">H318*(1+g_tail)</f>
        <v>3646.12433035714</v>
      </c>
      <c r="J318" s="5" t="s">
        <v>647</v>
      </c>
    </row>
    <row r="319" customFormat="false" ht="17.15" hidden="false" customHeight="false" outlineLevel="0" collapsed="false">
      <c r="A319" s="0" t="s">
        <v>648</v>
      </c>
      <c r="B319" s="5" t="s">
        <v>183</v>
      </c>
      <c r="C319" s="14" t="n">
        <f aca="false">MAX(0,D318-C318)+dlt_lo*C318</f>
        <v>471.35762580894</v>
      </c>
      <c r="D319" s="14" t="n">
        <f aca="false">MAX(0,E318-D318)+dlt_lo*D318</f>
        <v>1043.96382691008</v>
      </c>
      <c r="E319" s="14" t="n">
        <f aca="false">MAX(0,F318-E318)+dlt_lo*E318</f>
        <v>628.482142857148</v>
      </c>
      <c r="F319" s="14" t="n">
        <f aca="false">MAX(0,G318-F318)+dlt_lo*F318</f>
        <v>524.241071428565</v>
      </c>
      <c r="G319" s="14" t="n">
        <f aca="false">MAX(0,H318-G318)+dlt_lo*G318</f>
        <v>451.998883928571</v>
      </c>
      <c r="H319" s="14" t="n">
        <f aca="false">MAX(0,I318-H318)+dlt_lo*H318</f>
        <v>497.198772321429</v>
      </c>
    </row>
    <row r="320" customFormat="false" ht="17.15" hidden="false" customHeight="false" outlineLevel="0" collapsed="false">
      <c r="A320" s="5" t="s">
        <v>649</v>
      </c>
      <c r="B320" s="0" t="s">
        <v>219</v>
      </c>
      <c r="C320" s="21" t="n">
        <f aca="false">pk_25*(eqtA_25-eqaA_25)/(eqtA_25-eqaA_25)</f>
        <v>6.11313868613139</v>
      </c>
      <c r="D320" s="21" t="n">
        <f aca="false">pk_26*(eqtA_26-eqaA_26)/(eqtA_26-eqaA_26)</f>
        <v>6.7</v>
      </c>
      <c r="E320" s="21" t="n">
        <f aca="false">pk_27*(eqtA_27-eqaA_27)/(eqtA_27-eqaA_27)</f>
        <v>7.59078388573934</v>
      </c>
      <c r="F320" s="21" t="n">
        <f aca="false">pk_28*(eqtA_28-eqaA_28)/(eqtA_28-eqaA_28)</f>
        <v>8.6</v>
      </c>
      <c r="G320" s="21" t="n">
        <f aca="false">pk_29*(eqtA_29-eqaA_29)/(eqtA_29-eqaA_29)</f>
        <v>9.288</v>
      </c>
      <c r="H320" s="21" t="n">
        <f aca="false">G320*(1+g_pk_tail)</f>
        <v>9.7524</v>
      </c>
      <c r="J320" s="8" t="s">
        <v>650</v>
      </c>
    </row>
    <row r="321" customFormat="false" ht="15" hidden="false" customHeight="false" outlineLevel="0" collapsed="false">
      <c r="A321" s="5" t="s">
        <v>651</v>
      </c>
      <c r="B321" s="0" t="s">
        <v>219</v>
      </c>
      <c r="C321" s="24" t="n">
        <f aca="false">eqtA_25</f>
        <v>134.689359843138</v>
      </c>
      <c r="D321" s="24" t="n">
        <f aca="false">eqtA_26</f>
        <v>178.157050570127</v>
      </c>
      <c r="E321" s="24" t="n">
        <f aca="false">eqtA_27</f>
        <v>218.225535760082</v>
      </c>
      <c r="F321" s="24" t="n">
        <f aca="false">eqtA_28</f>
        <v>246.028626308958</v>
      </c>
      <c r="G321" s="24" t="n">
        <f aca="false">eqtA_29</f>
        <v>260.655685855226</v>
      </c>
      <c r="H321" s="24" t="n">
        <f aca="false">G321*(1+g_pk_tail)</f>
        <v>273.688470147987</v>
      </c>
      <c r="J321" s="5" t="s">
        <v>652</v>
      </c>
    </row>
    <row r="322" customFormat="false" ht="17.15" hidden="false" customHeight="false" outlineLevel="0" collapsed="false">
      <c r="A322" s="1" t="s">
        <v>653</v>
      </c>
    </row>
    <row r="323" customFormat="false" ht="17.15" hidden="false" customHeight="false" outlineLevel="0" collapsed="false">
      <c r="A323" s="0" t="s">
        <v>654</v>
      </c>
      <c r="B323" s="0" t="s">
        <v>655</v>
      </c>
      <c r="C323" s="24" t="n">
        <f aca="false">ai_25*w_hbm/(0.75*C317+0.25*D317)</f>
        <v>134.823645784338</v>
      </c>
      <c r="J323" s="5" t="s">
        <v>656</v>
      </c>
    </row>
    <row r="324" customFormat="false" ht="17.15" hidden="false" customHeight="false" outlineLevel="0" collapsed="false">
      <c r="A324" s="0" t="s">
        <v>657</v>
      </c>
      <c r="B324" s="0" t="s">
        <v>658</v>
      </c>
      <c r="C324" s="25" t="n">
        <f aca="false">ai_25*(1-w_hbm)/(0.75*C319+0.25*D319)</f>
        <v>0.00813657500098046</v>
      </c>
    </row>
    <row r="325" customFormat="false" ht="17.15" hidden="false" customHeight="false" outlineLevel="0" collapsed="false">
      <c r="A325" s="1" t="s">
        <v>659</v>
      </c>
    </row>
    <row r="326" customFormat="false" ht="17.15" hidden="false" customHeight="false" outlineLevel="0" collapsed="false">
      <c r="A326" s="0" t="s">
        <v>660</v>
      </c>
      <c r="B326" s="0" t="s">
        <v>198</v>
      </c>
      <c r="C326" s="20" t="n">
        <f aca="false">1-shl_A/sh*0</f>
        <v>1</v>
      </c>
      <c r="D326" s="20" t="n">
        <f aca="false">1-shl_A/sh*0.25</f>
        <v>1</v>
      </c>
      <c r="E326" s="20" t="n">
        <f aca="false">1-shl_A/sh*0.5</f>
        <v>1</v>
      </c>
      <c r="F326" s="20" t="n">
        <f aca="false">1-shl_A/sh*0.75</f>
        <v>1</v>
      </c>
      <c r="G326" s="20" t="n">
        <f aca="false">1-shl_A/sh*1</f>
        <v>1</v>
      </c>
      <c r="J326" s="5" t="s">
        <v>661</v>
      </c>
    </row>
    <row r="327" customFormat="false" ht="17.15" hidden="false" customHeight="false" outlineLevel="0" collapsed="false">
      <c r="A327" s="0" t="s">
        <v>662</v>
      </c>
      <c r="B327" s="0" t="s">
        <v>34</v>
      </c>
      <c r="C327" s="19" t="n">
        <f aca="false">$C$323*(0.75*C317+0.25*D317)*C326</f>
        <v>5</v>
      </c>
      <c r="D327" s="19" t="n">
        <f aca="false">$C$323*(0.75*D317+0.25*E317)*D326</f>
        <v>5.72676156314538</v>
      </c>
      <c r="E327" s="19" t="n">
        <f aca="false">$C$323*(0.75*E317+0.25*F317)*E326</f>
        <v>5.00174189752053</v>
      </c>
      <c r="F327" s="19" t="n">
        <f aca="false">$C$323*(0.75*F317+0.25*G317)*F326</f>
        <v>4.99657327680657</v>
      </c>
      <c r="G327" s="19" t="n">
        <f aca="false">$C$323*(0.75*G317+0.25*H317)*G326</f>
        <v>4.22954313754398</v>
      </c>
    </row>
    <row r="328" customFormat="false" ht="17.15" hidden="false" customHeight="false" outlineLevel="0" collapsed="false">
      <c r="A328" s="0" t="s">
        <v>663</v>
      </c>
      <c r="B328" s="0" t="s">
        <v>34</v>
      </c>
      <c r="C328" s="19" t="n">
        <f aca="false">$C$324*(0.75*C319+0.25*D319)*C326</f>
        <v>5</v>
      </c>
      <c r="D328" s="19" t="n">
        <f aca="false">$C$324*(0.75*D319+0.25*E319)*D326</f>
        <v>7.64914050500685</v>
      </c>
      <c r="E328" s="19" t="n">
        <f aca="false">$C$324*(0.75*E319+0.25*F319)*E326</f>
        <v>4.9016507681688</v>
      </c>
      <c r="F328" s="19" t="n">
        <f aca="false">$C$324*(0.75*F319+0.25*G319)*F326</f>
        <v>4.11857580206572</v>
      </c>
      <c r="G328" s="19" t="n">
        <f aca="false">$C$324*(0.75*G319+0.25*H319)*G326</f>
        <v>3.76966588993039</v>
      </c>
    </row>
    <row r="329" customFormat="false" ht="17.15" hidden="false" customHeight="false" outlineLevel="0" collapsed="false">
      <c r="A329" s="5" t="s">
        <v>664</v>
      </c>
      <c r="B329" s="0" t="s">
        <v>34</v>
      </c>
      <c r="C329" s="19" t="n">
        <f aca="false">(seg_mold-ai_25)*(0.75*C320+0.25*D320)/(0.75*C320+0.25*D320)</f>
        <v>26.46</v>
      </c>
      <c r="D329" s="19" t="n">
        <f aca="false">(seg_mold-ai_25)*(0.75*D320+0.25*E320)/(0.75*C320+0.25*D320)</f>
        <v>29.2617902872793</v>
      </c>
      <c r="E329" s="19" t="n">
        <f aca="false">(seg_mold-ai_25)*(0.75*E320+0.25*F320)/(0.75*C320+0.25*D320)</f>
        <v>33.1522277881438</v>
      </c>
      <c r="F329" s="19" t="n">
        <f aca="false">(seg_mold-ai_25)*(0.75*F320+0.25*G320)/(0.75*C320+0.25*D320)</f>
        <v>37.0786793843283</v>
      </c>
      <c r="G329" s="19" t="n">
        <f aca="false">(seg_mold-ai_25)*(0.75*G320+0.25*H320)/(0.75*C320+0.25*D320)</f>
        <v>39.7505253987873</v>
      </c>
      <c r="J329" s="8" t="s">
        <v>665</v>
      </c>
    </row>
    <row r="330" customFormat="false" ht="15" hidden="false" customHeight="false" outlineLevel="0" collapsed="false">
      <c r="A330" s="5" t="s">
        <v>666</v>
      </c>
      <c r="B330" s="0" t="s">
        <v>34</v>
      </c>
      <c r="C330" s="19" t="n">
        <f aca="false">seg_osemi*(0.75*C321+0.25*D321)/(0.75*C321+0.25*D321)</f>
        <v>3.93</v>
      </c>
      <c r="D330" s="19" t="n">
        <f aca="false">seg_osemi*(0.75*D321+0.25*E321)/(0.75*C321+0.25*D321)</f>
        <v>5.08067726525852</v>
      </c>
      <c r="E330" s="19" t="n">
        <f aca="false">seg_osemi*(0.75*E321+0.25*F321)/(0.75*C321+0.25*D321)</f>
        <v>6.0797299618455</v>
      </c>
      <c r="F330" s="19" t="n">
        <f aca="false">seg_osemi*(0.75*F321+0.25*G321)/(0.75*C321+0.25*D321)</f>
        <v>6.74147189236335</v>
      </c>
      <c r="G330" s="19" t="n">
        <f aca="false">seg_osemi*(0.75*G321+0.25*H321)/(0.75*C321+0.25*D321)</f>
        <v>7.12563922344852</v>
      </c>
      <c r="J330" s="5" t="s">
        <v>667</v>
      </c>
    </row>
    <row r="331" customFormat="false" ht="17.15" hidden="false" customHeight="false" outlineLevel="0" collapsed="false">
      <c r="A331" s="5" t="s">
        <v>668</v>
      </c>
      <c r="B331" s="0" t="s">
        <v>34</v>
      </c>
      <c r="C331" s="19" t="n">
        <f aca="false">seg_new</f>
        <v>9.47</v>
      </c>
      <c r="D331" s="19" t="n">
        <f aca="false">C331*(1+g_tss)</f>
        <v>9.7541</v>
      </c>
      <c r="E331" s="19" t="n">
        <f aca="false">D331*(1+g_tss)</f>
        <v>10.046723</v>
      </c>
      <c r="F331" s="19" t="n">
        <f aca="false">E331*(1+g_tss)</f>
        <v>10.34812469</v>
      </c>
      <c r="G331" s="19" t="n">
        <f aca="false">F331*(1+g_tss)</f>
        <v>10.6585684307</v>
      </c>
    </row>
    <row r="332" customFormat="false" ht="15" hidden="false" customHeight="false" outlineLevel="0" collapsed="false">
      <c r="A332" s="5" t="s">
        <v>669</v>
      </c>
      <c r="B332" s="0" t="s">
        <v>34</v>
      </c>
      <c r="C332" s="19" t="n">
        <f aca="false">seg_med</f>
        <v>2.48</v>
      </c>
      <c r="D332" s="19" t="n">
        <f aca="false">C332*(1+g_med)</f>
        <v>2.5544</v>
      </c>
      <c r="E332" s="19" t="n">
        <f aca="false">D332*(1+g_med)</f>
        <v>2.631032</v>
      </c>
      <c r="F332" s="19" t="n">
        <f aca="false">E332*(1+g_med)</f>
        <v>2.70996296</v>
      </c>
      <c r="G332" s="19" t="n">
        <f aca="false">F332*(1+g_med)</f>
        <v>2.7912618488</v>
      </c>
    </row>
    <row r="333" customFormat="false" ht="15" hidden="false" customHeight="false" outlineLevel="0" collapsed="false">
      <c r="A333" s="5" t="s">
        <v>670</v>
      </c>
      <c r="B333" s="0" t="s">
        <v>34</v>
      </c>
      <c r="C333" s="19" t="n">
        <f aca="false">seg_las*(0.75*C321+0.25*D321)/(0.75*C321+0.25*D321)</f>
        <v>2</v>
      </c>
      <c r="D333" s="19" t="n">
        <f aca="false">seg_las*(0.75*D321+0.25*E321)/(0.75*C321+0.25*D321)</f>
        <v>2.5855863945336</v>
      </c>
      <c r="E333" s="19" t="n">
        <f aca="false">seg_las*(0.75*E321+0.25*F321)/(0.75*C321+0.25*D321)</f>
        <v>3.0940101587</v>
      </c>
      <c r="F333" s="19" t="n">
        <f aca="false">seg_las*(0.75*F321+0.25*G321)/(0.75*C321+0.25*D321)</f>
        <v>3.43077449993046</v>
      </c>
      <c r="G333" s="19" t="n">
        <f aca="false">seg_las*(0.75*G321+0.25*H321)/(0.75*C321+0.25*D321)</f>
        <v>3.62627950302724</v>
      </c>
      <c r="J333" s="5" t="s">
        <v>667</v>
      </c>
    </row>
    <row r="334" customFormat="false" ht="15" hidden="false" customHeight="false" outlineLevel="0" collapsed="false">
      <c r="A334" s="5" t="s">
        <v>671</v>
      </c>
      <c r="B334" s="0" t="s">
        <v>34</v>
      </c>
      <c r="C334" s="19" t="n">
        <f aca="false">C327+C328+C329+C330+C331+C332+C333+seg_adj</f>
        <v>54.365</v>
      </c>
      <c r="D334" s="19" t="n">
        <f aca="false">D327+D328+D329+D330+D331+D332+D333</f>
        <v>62.6124560152236</v>
      </c>
      <c r="E334" s="19" t="n">
        <f aca="false">E327+E328+E329+E330+E331+E332+E333</f>
        <v>64.9071155743786</v>
      </c>
      <c r="F334" s="19" t="n">
        <f aca="false">F327+F328+F329+F330+F331+F332+F333</f>
        <v>69.4241625054945</v>
      </c>
      <c r="G334" s="19" t="n">
        <f aca="false">G327+G328+G329+G330+G331+G332+G333</f>
        <v>71.9514834322374</v>
      </c>
    </row>
    <row r="335" customFormat="false" ht="17.15" hidden="false" customHeight="false" outlineLevel="0" collapsed="false">
      <c r="A335" s="1" t="s">
        <v>672</v>
      </c>
    </row>
    <row r="336" customFormat="false" ht="17.15" hidden="false" customHeight="false" outlineLevel="0" collapsed="false">
      <c r="A336" s="0" t="s">
        <v>673</v>
      </c>
      <c r="B336" s="0" t="s">
        <v>34</v>
      </c>
      <c r="D336" s="19" t="n">
        <f aca="false">g26_rev*(1+g_anc)</f>
        <v>64</v>
      </c>
    </row>
    <row r="337" customFormat="false" ht="17.15" hidden="false" customHeight="false" outlineLevel="0" collapsed="false">
      <c r="A337" s="0" t="s">
        <v>674</v>
      </c>
      <c r="B337" s="0" t="s">
        <v>34</v>
      </c>
      <c r="D337" s="19" t="n">
        <f aca="false">D336*g26_oi/g26_rev</f>
        <v>10.24</v>
      </c>
    </row>
    <row r="338" customFormat="false" ht="17.15" hidden="false" customHeight="false" outlineLevel="0" collapsed="false">
      <c r="A338" s="0" t="s">
        <v>675</v>
      </c>
      <c r="B338" s="0" t="s">
        <v>34</v>
      </c>
      <c r="D338" s="19" t="n">
        <f aca="false">D337*g26_ni/g26_oi</f>
        <v>7</v>
      </c>
    </row>
    <row r="339" customFormat="false" ht="17.15" hidden="false" customHeight="false" outlineLevel="0" collapsed="false">
      <c r="A339" s="5" t="s">
        <v>676</v>
      </c>
      <c r="B339" s="0" t="s">
        <v>198</v>
      </c>
      <c r="D339" s="20" t="n">
        <f aca="false">D336/D334</f>
        <v>1.0221608298585</v>
      </c>
      <c r="J339" s="8" t="s">
        <v>677</v>
      </c>
    </row>
    <row r="340" customFormat="false" ht="17.15" hidden="false" customHeight="false" outlineLevel="0" collapsed="false">
      <c r="A340" s="5" t="s">
        <v>678</v>
      </c>
      <c r="B340" s="0" t="s">
        <v>198</v>
      </c>
      <c r="D340" s="20" t="n">
        <f aca="false">1+1*(D339-1)</f>
        <v>1.0221608298585</v>
      </c>
      <c r="J340" s="8" t="s">
        <v>679</v>
      </c>
    </row>
    <row r="341" customFormat="false" ht="17.15" hidden="false" customHeight="false" outlineLevel="0" collapsed="false">
      <c r="A341" s="1" t="s">
        <v>680</v>
      </c>
    </row>
    <row r="342" customFormat="false" ht="17.15" hidden="false" customHeight="false" outlineLevel="0" collapsed="false">
      <c r="A342" s="0" t="s">
        <v>681</v>
      </c>
      <c r="B342" s="0" t="s">
        <v>34</v>
      </c>
      <c r="C342" s="19" t="n">
        <f aca="false">C327*1</f>
        <v>5</v>
      </c>
      <c r="D342" s="19" t="n">
        <f aca="false">D327*$D$339</f>
        <v>5.85367135178646</v>
      </c>
      <c r="E342" s="19" t="n">
        <f aca="false">E327*1</f>
        <v>5.00174189752053</v>
      </c>
      <c r="F342" s="19" t="n">
        <f aca="false">F327*1</f>
        <v>4.99657327680657</v>
      </c>
      <c r="G342" s="19" t="n">
        <f aca="false">G327*1</f>
        <v>4.22954313754398</v>
      </c>
    </row>
    <row r="343" customFormat="false" ht="17.15" hidden="false" customHeight="false" outlineLevel="0" collapsed="false">
      <c r="A343" s="0" t="s">
        <v>682</v>
      </c>
      <c r="B343" s="0" t="s">
        <v>34</v>
      </c>
      <c r="C343" s="19" t="n">
        <f aca="false">C328*1</f>
        <v>5</v>
      </c>
      <c r="D343" s="19" t="n">
        <f aca="false">D328*$D$339</f>
        <v>7.81865180630209</v>
      </c>
      <c r="E343" s="19" t="n">
        <f aca="false">E328*1</f>
        <v>4.9016507681688</v>
      </c>
      <c r="F343" s="19" t="n">
        <f aca="false">F328*1</f>
        <v>4.11857580206572</v>
      </c>
      <c r="G343" s="19" t="n">
        <f aca="false">G328*1</f>
        <v>3.76966588993039</v>
      </c>
    </row>
    <row r="344" customFormat="false" ht="17.15" hidden="false" customHeight="false" outlineLevel="0" collapsed="false">
      <c r="A344" s="5" t="s">
        <v>683</v>
      </c>
      <c r="B344" s="0" t="s">
        <v>34</v>
      </c>
      <c r="C344" s="19" t="n">
        <f aca="false">C329*1</f>
        <v>26.46</v>
      </c>
      <c r="D344" s="19" t="n">
        <f aca="false">D329*$D$339</f>
        <v>29.9102558431909</v>
      </c>
      <c r="E344" s="19" t="n">
        <f aca="false">E329*$D$340</f>
        <v>33.8869086675872</v>
      </c>
      <c r="F344" s="19" t="n">
        <f aca="false">F329*$D$340</f>
        <v>37.9003736895424</v>
      </c>
      <c r="G344" s="19" t="n">
        <f aca="false">G329*$D$340</f>
        <v>40.6314300289359</v>
      </c>
    </row>
    <row r="345" customFormat="false" ht="15" hidden="false" customHeight="false" outlineLevel="0" collapsed="false">
      <c r="A345" s="5" t="s">
        <v>684</v>
      </c>
      <c r="B345" s="0" t="s">
        <v>34</v>
      </c>
      <c r="C345" s="19" t="n">
        <f aca="false">C330*1</f>
        <v>3.93</v>
      </c>
      <c r="D345" s="19" t="n">
        <f aca="false">D330*$D$339</f>
        <v>5.19326928969988</v>
      </c>
      <c r="E345" s="19" t="n">
        <f aca="false">E330*$D$340</f>
        <v>6.2144618231156</v>
      </c>
      <c r="F345" s="19" t="n">
        <f aca="false">F330*$D$340</f>
        <v>6.8908685039659</v>
      </c>
      <c r="G345" s="19" t="n">
        <f aca="false">G330*$D$340</f>
        <v>7.28354930191244</v>
      </c>
    </row>
    <row r="346" customFormat="false" ht="17.15" hidden="false" customHeight="false" outlineLevel="0" collapsed="false">
      <c r="A346" s="5" t="s">
        <v>685</v>
      </c>
      <c r="B346" s="0" t="s">
        <v>34</v>
      </c>
      <c r="C346" s="19" t="n">
        <f aca="false">C331*1</f>
        <v>9.47</v>
      </c>
      <c r="D346" s="19" t="n">
        <f aca="false">D331*$D$339</f>
        <v>9.97025895052283</v>
      </c>
      <c r="E346" s="19" t="n">
        <f aca="false">E331*$D$340</f>
        <v>10.2693667190385</v>
      </c>
      <c r="F346" s="19" t="n">
        <f aca="false">F331*$D$340</f>
        <v>10.5774477206097</v>
      </c>
      <c r="G346" s="19" t="n">
        <f aca="false">G331*$D$340</f>
        <v>10.894771152228</v>
      </c>
    </row>
    <row r="347" customFormat="false" ht="15" hidden="false" customHeight="false" outlineLevel="0" collapsed="false">
      <c r="A347" s="5" t="s">
        <v>686</v>
      </c>
      <c r="B347" s="0" t="s">
        <v>34</v>
      </c>
      <c r="C347" s="19" t="n">
        <f aca="false">C332*1</f>
        <v>2.48</v>
      </c>
      <c r="D347" s="19" t="n">
        <f aca="false">D332*$D$339</f>
        <v>2.61100762379056</v>
      </c>
      <c r="E347" s="19" t="n">
        <f aca="false">E332*$D$340</f>
        <v>2.68933785250428</v>
      </c>
      <c r="F347" s="19" t="n">
        <f aca="false">F332*$D$340</f>
        <v>2.77001798807941</v>
      </c>
      <c r="G347" s="19" t="n">
        <f aca="false">G332*$D$340</f>
        <v>2.85311852772179</v>
      </c>
    </row>
    <row r="348" customFormat="false" ht="15" hidden="false" customHeight="false" outlineLevel="0" collapsed="false">
      <c r="A348" s="5" t="s">
        <v>687</v>
      </c>
      <c r="B348" s="0" t="s">
        <v>34</v>
      </c>
      <c r="C348" s="19" t="n">
        <f aca="false">C333*1</f>
        <v>2</v>
      </c>
      <c r="D348" s="19" t="n">
        <f aca="false">D333*$D$339</f>
        <v>2.64288513470732</v>
      </c>
      <c r="E348" s="19" t="n">
        <f aca="false">E333*$D$340</f>
        <v>3.16257599140743</v>
      </c>
      <c r="F348" s="19" t="n">
        <f aca="false">F333*$D$340</f>
        <v>3.50680330990631</v>
      </c>
      <c r="G348" s="19" t="n">
        <f aca="false">G333*$D$340</f>
        <v>3.7066408661132</v>
      </c>
    </row>
    <row r="349" customFormat="false" ht="17.15" hidden="false" customHeight="false" outlineLevel="0" collapsed="false">
      <c r="A349" s="0" t="s">
        <v>688</v>
      </c>
      <c r="B349" s="0" t="s">
        <v>34</v>
      </c>
      <c r="C349" s="19" t="n">
        <f aca="false">C342+C343</f>
        <v>10</v>
      </c>
      <c r="D349" s="19" t="n">
        <f aca="false">D342+D343</f>
        <v>13.6723231580886</v>
      </c>
      <c r="E349" s="19" t="n">
        <f aca="false">E342+E343</f>
        <v>9.90339266568933</v>
      </c>
      <c r="F349" s="19" t="n">
        <f aca="false">F342+F343</f>
        <v>9.11514907887229</v>
      </c>
      <c r="G349" s="19" t="n">
        <f aca="false">G342+G343</f>
        <v>7.99920902747437</v>
      </c>
    </row>
    <row r="350" customFormat="false" ht="17.15" hidden="false" customHeight="false" outlineLevel="0" collapsed="false">
      <c r="A350" s="5" t="s">
        <v>689</v>
      </c>
      <c r="B350" s="0" t="s">
        <v>34</v>
      </c>
      <c r="C350" s="19" t="n">
        <f aca="false">C349+C344+C345</f>
        <v>40.39</v>
      </c>
      <c r="D350" s="19" t="n">
        <f aca="false">D349+D344+D345</f>
        <v>48.7758482909793</v>
      </c>
      <c r="E350" s="19" t="n">
        <f aca="false">E349+E344+E345</f>
        <v>50.0047631563921</v>
      </c>
      <c r="F350" s="19" t="n">
        <f aca="false">F349+F344+F345</f>
        <v>53.9063912723806</v>
      </c>
      <c r="G350" s="19" t="n">
        <f aca="false">G349+G344+G345</f>
        <v>55.9141883583227</v>
      </c>
      <c r="J350" s="5" t="s">
        <v>690</v>
      </c>
    </row>
    <row r="351" customFormat="false" ht="17.15" hidden="false" customHeight="false" outlineLevel="0" collapsed="false">
      <c r="A351" s="5" t="s">
        <v>541</v>
      </c>
      <c r="B351" s="0" t="s">
        <v>34</v>
      </c>
      <c r="C351" s="19" t="n">
        <f aca="false">C350+C346+C347+C348+seg_adj</f>
        <v>54.365</v>
      </c>
      <c r="D351" s="19" t="n">
        <f aca="false">D350+D346+D347+D348</f>
        <v>64</v>
      </c>
      <c r="E351" s="19" t="n">
        <f aca="false">E350+E346+E347+E348</f>
        <v>66.1260437193423</v>
      </c>
      <c r="F351" s="19" t="n">
        <f aca="false">F350+F346+F347+F348</f>
        <v>70.760660290976</v>
      </c>
      <c r="G351" s="19" t="n">
        <f aca="false">G350+G346+G347+G348</f>
        <v>73.3687189043857</v>
      </c>
      <c r="J351" s="8" t="s">
        <v>691</v>
      </c>
    </row>
    <row r="352" customFormat="false" ht="17.15" hidden="false" customHeight="false" outlineLevel="0" collapsed="false">
      <c r="A352" s="5" t="s">
        <v>692</v>
      </c>
      <c r="B352" s="0" t="s">
        <v>34</v>
      </c>
      <c r="C352" s="20" t="n">
        <f aca="false">C350+C346+C347+C348-a25_rev</f>
        <v>-0.0249999999999986</v>
      </c>
    </row>
    <row r="353" customFormat="false" ht="17.15" hidden="false" customHeight="false" outlineLevel="0" collapsed="false">
      <c r="A353" s="0" t="s">
        <v>621</v>
      </c>
      <c r="B353" s="0" t="s">
        <v>94</v>
      </c>
      <c r="C353" s="11" t="n">
        <f aca="false">C349/C351</f>
        <v>0.1839418743677</v>
      </c>
      <c r="D353" s="11" t="n">
        <f aca="false">D349/D351</f>
        <v>0.213630049345134</v>
      </c>
      <c r="E353" s="11" t="n">
        <f aca="false">E349/E351</f>
        <v>0.149765389076082</v>
      </c>
      <c r="F353" s="11" t="n">
        <f aca="false">F349/F351</f>
        <v>0.128816619875927</v>
      </c>
      <c r="G353" s="11" t="n">
        <f aca="false">G349/G351</f>
        <v>0.109027513999515</v>
      </c>
    </row>
    <row r="354" customFormat="false" ht="17.15" hidden="false" customHeight="false" outlineLevel="0" collapsed="false">
      <c r="A354" s="5" t="s">
        <v>545</v>
      </c>
      <c r="B354" s="0" t="s">
        <v>34</v>
      </c>
      <c r="C354" s="19" t="n">
        <f aca="false">a25_oi</f>
        <v>6.917</v>
      </c>
      <c r="D354" s="19" t="n">
        <f aca="false">D337</f>
        <v>10.24</v>
      </c>
      <c r="E354" s="19" t="n">
        <f aca="false">$D354+(im+ima_A)*(E351-$D351)</f>
        <v>10.8767950082147</v>
      </c>
      <c r="F354" s="19" t="n">
        <f aca="false">$D354+(im+ima_A)*(F351-$D351)</f>
        <v>12.2649605811779</v>
      </c>
      <c r="G354" s="19" t="n">
        <f aca="false">$D354+(im+ima_A)*(G351-$D351)</f>
        <v>13.0461292330928</v>
      </c>
      <c r="J354" s="8" t="s">
        <v>693</v>
      </c>
    </row>
    <row r="355" customFormat="false" ht="15" hidden="false" customHeight="false" outlineLevel="0" collapsed="false">
      <c r="A355" s="5" t="s">
        <v>694</v>
      </c>
      <c r="B355" s="0" t="s">
        <v>94</v>
      </c>
      <c r="C355" s="11" t="n">
        <f aca="false">C354/C351</f>
        <v>0.127232594500138</v>
      </c>
      <c r="D355" s="11" t="n">
        <f aca="false">D354/D351</f>
        <v>0.16</v>
      </c>
      <c r="E355" s="11" t="n">
        <f aca="false">E354/E351</f>
        <v>0.16448579706929</v>
      </c>
      <c r="F355" s="11" t="n">
        <f aca="false">F354/F351</f>
        <v>0.173330216687393</v>
      </c>
      <c r="G355" s="11" t="n">
        <f aca="false">G354/G351</f>
        <v>0.177815960642498</v>
      </c>
    </row>
    <row r="356" customFormat="false" ht="15" hidden="false" customHeight="false" outlineLevel="0" collapsed="false">
      <c r="A356" s="5" t="s">
        <v>548</v>
      </c>
      <c r="B356" s="0" t="s">
        <v>34</v>
      </c>
      <c r="C356" s="19" t="n">
        <f aca="false">a25_ni</f>
        <v>4.593</v>
      </c>
      <c r="D356" s="19" t="n">
        <f aca="false">D338</f>
        <v>7</v>
      </c>
      <c r="E356" s="19" t="n">
        <f aca="false">E354*nioi</f>
        <v>7.43530908764679</v>
      </c>
      <c r="F356" s="19" t="n">
        <f aca="false">F354*nioi</f>
        <v>8.38425039728957</v>
      </c>
      <c r="G356" s="19" t="n">
        <f aca="false">G354*nioi</f>
        <v>8.9182524054345</v>
      </c>
    </row>
    <row r="357" customFormat="false" ht="15" hidden="false" customHeight="false" outlineLevel="0" collapsed="false">
      <c r="A357" s="0" t="s">
        <v>622</v>
      </c>
      <c r="B357" s="0" t="s">
        <v>52</v>
      </c>
      <c r="C357" s="22" t="n">
        <f aca="false">a25_eps</f>
        <v>61.22</v>
      </c>
      <c r="D357" s="22" t="n">
        <f aca="false">D356*1000/shares</f>
        <v>93.2961492201002</v>
      </c>
      <c r="E357" s="22" t="n">
        <f aca="false">E356*1000/shares</f>
        <v>99.0979580198088</v>
      </c>
      <c r="F357" s="22" t="n">
        <f aca="false">F356*1000/shares</f>
        <v>111.745468023459</v>
      </c>
      <c r="G357" s="22" t="n">
        <f aca="false">G356*1000/shares</f>
        <v>118.862658171419</v>
      </c>
    </row>
    <row r="358" customFormat="false" ht="17.15" hidden="false" customHeight="false" outlineLevel="0" collapsed="false">
      <c r="A358" s="5" t="s">
        <v>695</v>
      </c>
      <c r="B358" s="0" t="s">
        <v>34</v>
      </c>
      <c r="C358" s="20" t="n">
        <f aca="false">ABS(C351-a25_rev)+ABS(C354-a25_oi)+ABS(D351-D336)</f>
        <v>0</v>
      </c>
    </row>
    <row r="370" customFormat="false" ht="17.15" hidden="false" customHeight="false" outlineLevel="0" collapsed="false">
      <c r="A370" s="3" t="s">
        <v>1021</v>
      </c>
    </row>
    <row r="371" customFormat="false" ht="17.15" hidden="false" customHeight="false" outlineLevel="0" collapsed="false">
      <c r="A371" s="6" t="s">
        <v>23</v>
      </c>
      <c r="B371" s="6" t="s">
        <v>24</v>
      </c>
      <c r="C371" s="15" t="s">
        <v>628</v>
      </c>
      <c r="D371" s="15" t="s">
        <v>629</v>
      </c>
      <c r="E371" s="15" t="s">
        <v>630</v>
      </c>
      <c r="F371" s="15" t="s">
        <v>631</v>
      </c>
      <c r="G371" s="15" t="s">
        <v>632</v>
      </c>
      <c r="H371" s="15" t="s">
        <v>633</v>
      </c>
      <c r="I371" s="15" t="s">
        <v>634</v>
      </c>
      <c r="J371" s="6" t="s">
        <v>468</v>
      </c>
    </row>
    <row r="372" customFormat="false" ht="17.15" hidden="false" customHeight="false" outlineLevel="0" collapsed="false">
      <c r="A372" s="1" t="s">
        <v>635</v>
      </c>
    </row>
    <row r="373" customFormat="false" ht="17.15" hidden="false" customHeight="false" outlineLevel="0" collapsed="false">
      <c r="A373" s="0" t="s">
        <v>636</v>
      </c>
      <c r="B373" s="0" t="s">
        <v>111</v>
      </c>
      <c r="C373" s="21" t="n">
        <f aca="false">hsA_25</f>
        <v>2.22511470588235</v>
      </c>
      <c r="D373" s="21" t="n">
        <f aca="false">hsA_26</f>
        <v>3.782695</v>
      </c>
      <c r="E373" s="21" t="n">
        <f aca="false">hsA_27</f>
        <v>5.86317725</v>
      </c>
      <c r="F373" s="21" t="n">
        <f aca="false">hsA_28</f>
        <v>8.5016070125</v>
      </c>
      <c r="G373" s="21" t="n">
        <f aca="false">hsA_29</f>
        <v>11.477169466875</v>
      </c>
      <c r="J373" s="8" t="s">
        <v>637</v>
      </c>
    </row>
    <row r="374" customFormat="false" ht="17.15" hidden="false" customHeight="false" outlineLevel="0" collapsed="false">
      <c r="A374" s="0" t="s">
        <v>638</v>
      </c>
      <c r="B374" s="0" t="s">
        <v>639</v>
      </c>
      <c r="C374" s="21" t="n">
        <f aca="false">den_25</f>
        <v>24</v>
      </c>
      <c r="D374" s="21" t="n">
        <f aca="false">den_26</f>
        <v>24</v>
      </c>
      <c r="E374" s="21" t="n">
        <f aca="false">den_27</f>
        <v>26</v>
      </c>
      <c r="F374" s="21" t="n">
        <f aca="false">den_28</f>
        <v>28</v>
      </c>
      <c r="G374" s="21" t="n">
        <f aca="false">den_29</f>
        <v>30</v>
      </c>
    </row>
    <row r="375" customFormat="false" ht="15" hidden="false" customHeight="false" outlineLevel="0" collapsed="false">
      <c r="A375" s="5" t="s">
        <v>640</v>
      </c>
      <c r="B375" s="5" t="s">
        <v>160</v>
      </c>
      <c r="C375" s="21" t="n">
        <f aca="false">stk_25</f>
        <v>10</v>
      </c>
      <c r="D375" s="21" t="n">
        <f aca="false">stk_26</f>
        <v>12</v>
      </c>
      <c r="E375" s="21" t="n">
        <f aca="false">stk_27</f>
        <v>12.5</v>
      </c>
      <c r="F375" s="21" t="n">
        <f aca="false">stk_28</f>
        <v>14</v>
      </c>
      <c r="G375" s="21" t="n">
        <f aca="false">stk_29</f>
        <v>15</v>
      </c>
    </row>
    <row r="376" customFormat="false" ht="17.15" hidden="false" customHeight="false" outlineLevel="0" collapsed="false">
      <c r="A376" s="0" t="s">
        <v>641</v>
      </c>
      <c r="B376" s="5" t="s">
        <v>642</v>
      </c>
      <c r="C376" s="23" t="n">
        <f aca="false">C373*8/(C374*C375)</f>
        <v>0.0741704901960783</v>
      </c>
      <c r="D376" s="23" t="n">
        <f aca="false">D373*8/(D374*D375)</f>
        <v>0.105074861111111</v>
      </c>
      <c r="E376" s="23" t="n">
        <f aca="false">E373*8/(E374*E375)</f>
        <v>0.144324363076923</v>
      </c>
      <c r="F376" s="23" t="n">
        <f aca="false">F373*8/(F374*F375)</f>
        <v>0.173502183928571</v>
      </c>
      <c r="G376" s="23" t="n">
        <f aca="false">G373*8/(G374*G375)</f>
        <v>0.2040385683</v>
      </c>
      <c r="H376" s="23" t="n">
        <f aca="false">G376*(1+g_tail)</f>
        <v>0.22444242513</v>
      </c>
      <c r="I376" s="23" t="n">
        <f aca="false">H376*(1+g_tail)</f>
        <v>0.246886667643</v>
      </c>
      <c r="J376" s="8" t="s">
        <v>643</v>
      </c>
    </row>
    <row r="377" customFormat="false" ht="17.15" hidden="false" customHeight="false" outlineLevel="0" collapsed="false">
      <c r="A377" s="0" t="s">
        <v>644</v>
      </c>
      <c r="B377" s="5" t="s">
        <v>642</v>
      </c>
      <c r="C377" s="23" t="n">
        <f aca="false">MAX(0,D376-C376)+dlt_hi*C376</f>
        <v>0.0420299444444445</v>
      </c>
      <c r="D377" s="23" t="n">
        <f aca="false">MAX(0,E376-D376)+dlt_hi*D376</f>
        <v>0.0550107311324786</v>
      </c>
      <c r="E377" s="23" t="n">
        <f aca="false">MAX(0,F376-E376)+dlt_hi*E376</f>
        <v>0.0508264753131868</v>
      </c>
      <c r="F377" s="23" t="n">
        <f aca="false">MAX(0,G376-F376)+dlt_hi*F376</f>
        <v>0.0565617119607143</v>
      </c>
      <c r="G377" s="23" t="n">
        <f aca="false">MAX(0,H376-G376)+dlt_hi*G376</f>
        <v>0.051009642075</v>
      </c>
      <c r="H377" s="23" t="n">
        <f aca="false">MAX(0,I376-H376)+dlt_hi*H376</f>
        <v>0.0561106062825</v>
      </c>
      <c r="J377" s="5" t="s">
        <v>645</v>
      </c>
    </row>
    <row r="378" customFormat="false" ht="17.15" hidden="false" customHeight="false" outlineLevel="0" collapsed="false">
      <c r="A378" s="0" t="s">
        <v>646</v>
      </c>
      <c r="B378" s="5" t="s">
        <v>183</v>
      </c>
      <c r="C378" s="14" t="n">
        <f aca="false">cw_25</f>
        <v>670</v>
      </c>
      <c r="D378" s="14" t="n">
        <f aca="false">cw_26</f>
        <v>1107.85762580894</v>
      </c>
      <c r="E378" s="14" t="n">
        <f aca="false">cw_27</f>
        <v>2096.42857142857</v>
      </c>
      <c r="F378" s="14" t="n">
        <f aca="false">cw_28*um28_A</f>
        <v>2620.08928571429</v>
      </c>
      <c r="G378" s="14" t="n">
        <f aca="false">cw_29*um29_A</f>
        <v>3013.32589285714</v>
      </c>
      <c r="H378" s="14" t="n">
        <f aca="false">G378*(1+g_tail)</f>
        <v>3314.65848214285</v>
      </c>
      <c r="I378" s="14" t="n">
        <f aca="false">H378*(1+g_tail)</f>
        <v>3646.12433035714</v>
      </c>
      <c r="J378" s="5" t="s">
        <v>647</v>
      </c>
    </row>
    <row r="379" customFormat="false" ht="17.15" hidden="false" customHeight="false" outlineLevel="0" collapsed="false">
      <c r="A379" s="0" t="s">
        <v>648</v>
      </c>
      <c r="B379" s="5" t="s">
        <v>183</v>
      </c>
      <c r="C379" s="14" t="n">
        <f aca="false">MAX(0,D378-C378)+dlt_hi*C378</f>
        <v>538.35762580894</v>
      </c>
      <c r="D379" s="14" t="n">
        <f aca="false">MAX(0,E378-D378)+dlt_hi*D378</f>
        <v>1154.74958949097</v>
      </c>
      <c r="E379" s="14" t="n">
        <f aca="false">MAX(0,F378-E378)+dlt_hi*E378</f>
        <v>838.125000000005</v>
      </c>
      <c r="F379" s="14" t="n">
        <f aca="false">MAX(0,G378-F378)+dlt_hi*F378</f>
        <v>786.249999999994</v>
      </c>
      <c r="G379" s="14" t="n">
        <f aca="false">MAX(0,H378-G378)+dlt_hi*G378</f>
        <v>753.331473214285</v>
      </c>
      <c r="H379" s="14" t="n">
        <f aca="false">MAX(0,I378-H378)+dlt_hi*H378</f>
        <v>828.664620535714</v>
      </c>
    </row>
    <row r="380" customFormat="false" ht="17.15" hidden="false" customHeight="false" outlineLevel="0" collapsed="false">
      <c r="A380" s="5" t="s">
        <v>649</v>
      </c>
      <c r="B380" s="0" t="s">
        <v>219</v>
      </c>
      <c r="C380" s="21" t="n">
        <f aca="false">pk_25*(eqtA_25-eqaA_25)/(eqtA_25-eqaA_25)</f>
        <v>6.11313868613139</v>
      </c>
      <c r="D380" s="21" t="n">
        <f aca="false">pk_26*(eqtA_26-eqaA_26)/(eqtA_26-eqaA_26)</f>
        <v>6.7</v>
      </c>
      <c r="E380" s="21" t="n">
        <f aca="false">pk_27*(eqtA_27-eqaA_27)/(eqtA_27-eqaA_27)</f>
        <v>7.59078388573934</v>
      </c>
      <c r="F380" s="21" t="n">
        <f aca="false">pk_28*(eqtA_28-eqaA_28)/(eqtA_28-eqaA_28)</f>
        <v>8.6</v>
      </c>
      <c r="G380" s="21" t="n">
        <f aca="false">pk_29*(eqtA_29-eqaA_29)/(eqtA_29-eqaA_29)</f>
        <v>9.288</v>
      </c>
      <c r="H380" s="21" t="n">
        <f aca="false">G380*(1+g_pk_tail)</f>
        <v>9.7524</v>
      </c>
      <c r="J380" s="8" t="s">
        <v>650</v>
      </c>
    </row>
    <row r="381" customFormat="false" ht="15" hidden="false" customHeight="false" outlineLevel="0" collapsed="false">
      <c r="A381" s="5" t="s">
        <v>651</v>
      </c>
      <c r="B381" s="0" t="s">
        <v>219</v>
      </c>
      <c r="C381" s="24" t="n">
        <f aca="false">eqtA_25</f>
        <v>134.689359843138</v>
      </c>
      <c r="D381" s="24" t="n">
        <f aca="false">eqtA_26</f>
        <v>178.157050570127</v>
      </c>
      <c r="E381" s="24" t="n">
        <f aca="false">eqtA_27</f>
        <v>218.225535760082</v>
      </c>
      <c r="F381" s="24" t="n">
        <f aca="false">eqtA_28</f>
        <v>246.028626308958</v>
      </c>
      <c r="G381" s="24" t="n">
        <f aca="false">eqtA_29</f>
        <v>260.655685855226</v>
      </c>
      <c r="H381" s="24" t="n">
        <f aca="false">G381*(1+g_pk_tail)</f>
        <v>273.688470147987</v>
      </c>
      <c r="J381" s="5" t="s">
        <v>652</v>
      </c>
    </row>
    <row r="382" customFormat="false" ht="17.15" hidden="false" customHeight="false" outlineLevel="0" collapsed="false">
      <c r="A382" s="1" t="s">
        <v>653</v>
      </c>
    </row>
    <row r="383" customFormat="false" ht="17.15" hidden="false" customHeight="false" outlineLevel="0" collapsed="false">
      <c r="A383" s="0" t="s">
        <v>654</v>
      </c>
      <c r="B383" s="0" t="s">
        <v>655</v>
      </c>
      <c r="C383" s="24" t="n">
        <f aca="false">ai_25*w_hbm/(0.75*C377+0.25*D377)</f>
        <v>110.435878866493</v>
      </c>
      <c r="J383" s="5" t="s">
        <v>656</v>
      </c>
    </row>
    <row r="384" customFormat="false" ht="17.15" hidden="false" customHeight="false" outlineLevel="0" collapsed="false">
      <c r="A384" s="0" t="s">
        <v>657</v>
      </c>
      <c r="B384" s="0" t="s">
        <v>658</v>
      </c>
      <c r="C384" s="25" t="n">
        <f aca="false">ai_25*(1-w_hbm)/(0.75*C379+0.25*D379)</f>
        <v>0.00722067938969953</v>
      </c>
    </row>
    <row r="385" customFormat="false" ht="17.15" hidden="false" customHeight="false" outlineLevel="0" collapsed="false">
      <c r="A385" s="1" t="s">
        <v>659</v>
      </c>
    </row>
    <row r="386" customFormat="false" ht="17.15" hidden="false" customHeight="false" outlineLevel="0" collapsed="false">
      <c r="A386" s="0" t="s">
        <v>660</v>
      </c>
      <c r="B386" s="0" t="s">
        <v>198</v>
      </c>
      <c r="C386" s="20" t="n">
        <f aca="false">1-shl_A/sh*0</f>
        <v>1</v>
      </c>
      <c r="D386" s="20" t="n">
        <f aca="false">1-shl_A/sh*0.25</f>
        <v>1</v>
      </c>
      <c r="E386" s="20" t="n">
        <f aca="false">1-shl_A/sh*0.5</f>
        <v>1</v>
      </c>
      <c r="F386" s="20" t="n">
        <f aca="false">1-shl_A/sh*0.75</f>
        <v>1</v>
      </c>
      <c r="G386" s="20" t="n">
        <f aca="false">1-shl_A/sh*1</f>
        <v>1</v>
      </c>
      <c r="J386" s="5" t="s">
        <v>661</v>
      </c>
    </row>
    <row r="387" customFormat="false" ht="17.15" hidden="false" customHeight="false" outlineLevel="0" collapsed="false">
      <c r="A387" s="0" t="s">
        <v>662</v>
      </c>
      <c r="B387" s="0" t="s">
        <v>34</v>
      </c>
      <c r="C387" s="19" t="n">
        <f aca="false">$C$383*(0.75*C377+0.25*D377)*C386</f>
        <v>5</v>
      </c>
      <c r="D387" s="19" t="n">
        <f aca="false">$C$383*(0.75*D377+0.25*E377)*D386</f>
        <v>5.95963544750221</v>
      </c>
      <c r="E387" s="19" t="n">
        <f aca="false">$C$383*(0.75*E377+0.25*F377)*E386</f>
        <v>5.77141044581717</v>
      </c>
      <c r="F387" s="19" t="n">
        <f aca="false">$C$383*(0.75*F377+0.25*G377)*F386</f>
        <v>6.09315544123567</v>
      </c>
      <c r="G387" s="19" t="n">
        <f aca="false">$C$383*(0.75*G377+0.25*H377)*G386</f>
        <v>5.77412701954833</v>
      </c>
    </row>
    <row r="388" customFormat="false" ht="17.15" hidden="false" customHeight="false" outlineLevel="0" collapsed="false">
      <c r="A388" s="0" t="s">
        <v>663</v>
      </c>
      <c r="B388" s="0" t="s">
        <v>34</v>
      </c>
      <c r="C388" s="19" t="n">
        <f aca="false">$C$384*(0.75*C379+0.25*D379)*C386</f>
        <v>5</v>
      </c>
      <c r="D388" s="19" t="n">
        <f aca="false">$C$384*(0.75*D379+0.25*E379)*D386</f>
        <v>7.76651539919908</v>
      </c>
      <c r="E388" s="19" t="n">
        <f aca="false">$C$384*(0.75*E379+0.25*F379)*E386</f>
        <v>5.95818872765677</v>
      </c>
      <c r="F388" s="19" t="n">
        <f aca="false">$C$384*(0.75*F379+0.25*G379)*F386</f>
        <v>5.617835638176</v>
      </c>
      <c r="G388" s="19" t="n">
        <f aca="false">$C$384*(0.75*G379+0.25*H379)*G386</f>
        <v>5.57555416830663</v>
      </c>
    </row>
    <row r="389" customFormat="false" ht="17.15" hidden="false" customHeight="false" outlineLevel="0" collapsed="false">
      <c r="A389" s="5" t="s">
        <v>664</v>
      </c>
      <c r="B389" s="0" t="s">
        <v>34</v>
      </c>
      <c r="C389" s="19" t="n">
        <f aca="false">(seg_mold-ai_25)*(0.75*C380+0.25*D380)/(0.75*C380+0.25*D380)</f>
        <v>26.46</v>
      </c>
      <c r="D389" s="19" t="n">
        <f aca="false">(seg_mold-ai_25)*(0.75*D380+0.25*E380)/(0.75*C380+0.25*D380)</f>
        <v>29.2617902872793</v>
      </c>
      <c r="E389" s="19" t="n">
        <f aca="false">(seg_mold-ai_25)*(0.75*E380+0.25*F380)/(0.75*C380+0.25*D380)</f>
        <v>33.1522277881438</v>
      </c>
      <c r="F389" s="19" t="n">
        <f aca="false">(seg_mold-ai_25)*(0.75*F380+0.25*G380)/(0.75*C380+0.25*D380)</f>
        <v>37.0786793843283</v>
      </c>
      <c r="G389" s="19" t="n">
        <f aca="false">(seg_mold-ai_25)*(0.75*G380+0.25*H380)/(0.75*C380+0.25*D380)</f>
        <v>39.7505253987873</v>
      </c>
      <c r="J389" s="8" t="s">
        <v>665</v>
      </c>
    </row>
    <row r="390" customFormat="false" ht="15" hidden="false" customHeight="false" outlineLevel="0" collapsed="false">
      <c r="A390" s="5" t="s">
        <v>666</v>
      </c>
      <c r="B390" s="0" t="s">
        <v>34</v>
      </c>
      <c r="C390" s="19" t="n">
        <f aca="false">seg_osemi*(0.75*C381+0.25*D381)/(0.75*C381+0.25*D381)</f>
        <v>3.93</v>
      </c>
      <c r="D390" s="19" t="n">
        <f aca="false">seg_osemi*(0.75*D381+0.25*E381)/(0.75*C381+0.25*D381)</f>
        <v>5.08067726525852</v>
      </c>
      <c r="E390" s="19" t="n">
        <f aca="false">seg_osemi*(0.75*E381+0.25*F381)/(0.75*C381+0.25*D381)</f>
        <v>6.0797299618455</v>
      </c>
      <c r="F390" s="19" t="n">
        <f aca="false">seg_osemi*(0.75*F381+0.25*G381)/(0.75*C381+0.25*D381)</f>
        <v>6.74147189236335</v>
      </c>
      <c r="G390" s="19" t="n">
        <f aca="false">seg_osemi*(0.75*G381+0.25*H381)/(0.75*C381+0.25*D381)</f>
        <v>7.12563922344852</v>
      </c>
      <c r="J390" s="5" t="s">
        <v>667</v>
      </c>
    </row>
    <row r="391" customFormat="false" ht="17.15" hidden="false" customHeight="false" outlineLevel="0" collapsed="false">
      <c r="A391" s="5" t="s">
        <v>668</v>
      </c>
      <c r="B391" s="0" t="s">
        <v>34</v>
      </c>
      <c r="C391" s="19" t="n">
        <f aca="false">seg_new</f>
        <v>9.47</v>
      </c>
      <c r="D391" s="19" t="n">
        <f aca="false">C391*(1+g_tss)</f>
        <v>9.7541</v>
      </c>
      <c r="E391" s="19" t="n">
        <f aca="false">D391*(1+g_tss)</f>
        <v>10.046723</v>
      </c>
      <c r="F391" s="19" t="n">
        <f aca="false">E391*(1+g_tss)</f>
        <v>10.34812469</v>
      </c>
      <c r="G391" s="19" t="n">
        <f aca="false">F391*(1+g_tss)</f>
        <v>10.6585684307</v>
      </c>
    </row>
    <row r="392" customFormat="false" ht="15" hidden="false" customHeight="false" outlineLevel="0" collapsed="false">
      <c r="A392" s="5" t="s">
        <v>669</v>
      </c>
      <c r="B392" s="0" t="s">
        <v>34</v>
      </c>
      <c r="C392" s="19" t="n">
        <f aca="false">seg_med</f>
        <v>2.48</v>
      </c>
      <c r="D392" s="19" t="n">
        <f aca="false">C392*(1+g_med)</f>
        <v>2.5544</v>
      </c>
      <c r="E392" s="19" t="n">
        <f aca="false">D392*(1+g_med)</f>
        <v>2.631032</v>
      </c>
      <c r="F392" s="19" t="n">
        <f aca="false">E392*(1+g_med)</f>
        <v>2.70996296</v>
      </c>
      <c r="G392" s="19" t="n">
        <f aca="false">F392*(1+g_med)</f>
        <v>2.7912618488</v>
      </c>
    </row>
    <row r="393" customFormat="false" ht="15" hidden="false" customHeight="false" outlineLevel="0" collapsed="false">
      <c r="A393" s="5" t="s">
        <v>670</v>
      </c>
      <c r="B393" s="0" t="s">
        <v>34</v>
      </c>
      <c r="C393" s="19" t="n">
        <f aca="false">seg_las*(0.75*C381+0.25*D381)/(0.75*C381+0.25*D381)</f>
        <v>2</v>
      </c>
      <c r="D393" s="19" t="n">
        <f aca="false">seg_las*(0.75*D381+0.25*E381)/(0.75*C381+0.25*D381)</f>
        <v>2.5855863945336</v>
      </c>
      <c r="E393" s="19" t="n">
        <f aca="false">seg_las*(0.75*E381+0.25*F381)/(0.75*C381+0.25*D381)</f>
        <v>3.0940101587</v>
      </c>
      <c r="F393" s="19" t="n">
        <f aca="false">seg_las*(0.75*F381+0.25*G381)/(0.75*C381+0.25*D381)</f>
        <v>3.43077449993046</v>
      </c>
      <c r="G393" s="19" t="n">
        <f aca="false">seg_las*(0.75*G381+0.25*H381)/(0.75*C381+0.25*D381)</f>
        <v>3.62627950302724</v>
      </c>
      <c r="J393" s="5" t="s">
        <v>667</v>
      </c>
    </row>
    <row r="394" customFormat="false" ht="15" hidden="false" customHeight="false" outlineLevel="0" collapsed="false">
      <c r="A394" s="5" t="s">
        <v>671</v>
      </c>
      <c r="B394" s="0" t="s">
        <v>34</v>
      </c>
      <c r="C394" s="19" t="n">
        <f aca="false">C387+C388+C389+C390+C391+C392+C393+seg_adj</f>
        <v>54.365</v>
      </c>
      <c r="D394" s="19" t="n">
        <f aca="false">D387+D388+D389+D390+D391+D392+D393</f>
        <v>62.9627047937727</v>
      </c>
      <c r="E394" s="19" t="n">
        <f aca="false">E387+E388+E389+E390+E391+E392+E393</f>
        <v>66.7333220821632</v>
      </c>
      <c r="F394" s="19" t="n">
        <f aca="false">F387+F388+F389+F390+F391+F392+F393</f>
        <v>72.0200045060338</v>
      </c>
      <c r="G394" s="19" t="n">
        <f aca="false">G387+G388+G389+G390+G391+G392+G393</f>
        <v>75.301955592618</v>
      </c>
    </row>
    <row r="395" customFormat="false" ht="17.15" hidden="false" customHeight="false" outlineLevel="0" collapsed="false">
      <c r="A395" s="1" t="s">
        <v>672</v>
      </c>
    </row>
    <row r="396" customFormat="false" ht="17.15" hidden="false" customHeight="false" outlineLevel="0" collapsed="false">
      <c r="A396" s="0" t="s">
        <v>673</v>
      </c>
      <c r="B396" s="0" t="s">
        <v>34</v>
      </c>
      <c r="D396" s="19" t="n">
        <f aca="false">g26_rev*(1+g_anc)</f>
        <v>64</v>
      </c>
    </row>
    <row r="397" customFormat="false" ht="17.15" hidden="false" customHeight="false" outlineLevel="0" collapsed="false">
      <c r="A397" s="0" t="s">
        <v>674</v>
      </c>
      <c r="B397" s="0" t="s">
        <v>34</v>
      </c>
      <c r="D397" s="19" t="n">
        <f aca="false">D396*g26_oi/g26_rev</f>
        <v>10.24</v>
      </c>
    </row>
    <row r="398" customFormat="false" ht="17.15" hidden="false" customHeight="false" outlineLevel="0" collapsed="false">
      <c r="A398" s="0" t="s">
        <v>675</v>
      </c>
      <c r="B398" s="0" t="s">
        <v>34</v>
      </c>
      <c r="D398" s="19" t="n">
        <f aca="false">D397*g26_ni/g26_oi</f>
        <v>7</v>
      </c>
    </row>
    <row r="399" customFormat="false" ht="17.15" hidden="false" customHeight="false" outlineLevel="0" collapsed="false">
      <c r="A399" s="5" t="s">
        <v>676</v>
      </c>
      <c r="B399" s="0" t="s">
        <v>198</v>
      </c>
      <c r="D399" s="20" t="n">
        <f aca="false">D396/D394</f>
        <v>1.0164747561215</v>
      </c>
      <c r="J399" s="8" t="s">
        <v>677</v>
      </c>
    </row>
    <row r="400" customFormat="false" ht="17.15" hidden="false" customHeight="false" outlineLevel="0" collapsed="false">
      <c r="A400" s="5" t="s">
        <v>678</v>
      </c>
      <c r="B400" s="0" t="s">
        <v>198</v>
      </c>
      <c r="D400" s="20" t="n">
        <f aca="false">1+1*(D399-1)</f>
        <v>1.0164747561215</v>
      </c>
      <c r="J400" s="8" t="s">
        <v>679</v>
      </c>
    </row>
    <row r="401" customFormat="false" ht="17.15" hidden="false" customHeight="false" outlineLevel="0" collapsed="false">
      <c r="A401" s="1" t="s">
        <v>680</v>
      </c>
    </row>
    <row r="402" customFormat="false" ht="17.15" hidden="false" customHeight="false" outlineLevel="0" collapsed="false">
      <c r="A402" s="0" t="s">
        <v>681</v>
      </c>
      <c r="B402" s="0" t="s">
        <v>34</v>
      </c>
      <c r="C402" s="19" t="n">
        <f aca="false">C387*1</f>
        <v>5</v>
      </c>
      <c r="D402" s="19" t="n">
        <f aca="false">D387*$D$399</f>
        <v>6.05781898807285</v>
      </c>
      <c r="E402" s="19" t="n">
        <f aca="false">E387*1</f>
        <v>5.77141044581717</v>
      </c>
      <c r="F402" s="19" t="n">
        <f aca="false">F387*1</f>
        <v>6.09315544123567</v>
      </c>
      <c r="G402" s="19" t="n">
        <f aca="false">G387*1</f>
        <v>5.77412701954833</v>
      </c>
    </row>
    <row r="403" customFormat="false" ht="17.15" hidden="false" customHeight="false" outlineLevel="0" collapsed="false">
      <c r="A403" s="0" t="s">
        <v>682</v>
      </c>
      <c r="B403" s="0" t="s">
        <v>34</v>
      </c>
      <c r="C403" s="19" t="n">
        <f aca="false">C388*1</f>
        <v>5</v>
      </c>
      <c r="D403" s="19" t="n">
        <f aca="false">D388*$D$399</f>
        <v>7.89446684631475</v>
      </c>
      <c r="E403" s="19" t="n">
        <f aca="false">E388*1</f>
        <v>5.95818872765677</v>
      </c>
      <c r="F403" s="19" t="n">
        <f aca="false">F388*1</f>
        <v>5.617835638176</v>
      </c>
      <c r="G403" s="19" t="n">
        <f aca="false">G388*1</f>
        <v>5.57555416830663</v>
      </c>
    </row>
    <row r="404" customFormat="false" ht="17.15" hidden="false" customHeight="false" outlineLevel="0" collapsed="false">
      <c r="A404" s="5" t="s">
        <v>683</v>
      </c>
      <c r="B404" s="0" t="s">
        <v>34</v>
      </c>
      <c r="C404" s="19" t="n">
        <f aca="false">C389*1</f>
        <v>26.46</v>
      </c>
      <c r="D404" s="19" t="n">
        <f aca="false">D389*$D$399</f>
        <v>29.7438711459406</v>
      </c>
      <c r="E404" s="19" t="n">
        <f aca="false">E389*$D$400</f>
        <v>33.6984026558378</v>
      </c>
      <c r="F404" s="19" t="n">
        <f aca="false">F389*$D$400</f>
        <v>37.6895415844924</v>
      </c>
      <c r="G404" s="19" t="n">
        <f aca="false">G389*$D$400</f>
        <v>40.4054056104338</v>
      </c>
    </row>
    <row r="405" customFormat="false" ht="15" hidden="false" customHeight="false" outlineLevel="0" collapsed="false">
      <c r="A405" s="5" t="s">
        <v>684</v>
      </c>
      <c r="B405" s="0" t="s">
        <v>34</v>
      </c>
      <c r="C405" s="19" t="n">
        <f aca="false">C390*1</f>
        <v>3.93</v>
      </c>
      <c r="D405" s="19" t="n">
        <f aca="false">D390*$D$399</f>
        <v>5.16438018413569</v>
      </c>
      <c r="E405" s="19" t="n">
        <f aca="false">E390*$D$400</f>
        <v>6.17989203025147</v>
      </c>
      <c r="F405" s="19" t="n">
        <f aca="false">F390*$D$400</f>
        <v>6.85253599768998</v>
      </c>
      <c r="G405" s="19" t="n">
        <f aca="false">G390*$D$400</f>
        <v>7.24303239186462</v>
      </c>
    </row>
    <row r="406" customFormat="false" ht="17.15" hidden="false" customHeight="false" outlineLevel="0" collapsed="false">
      <c r="A406" s="5" t="s">
        <v>685</v>
      </c>
      <c r="B406" s="0" t="s">
        <v>34</v>
      </c>
      <c r="C406" s="19" t="n">
        <f aca="false">C391*1</f>
        <v>9.47</v>
      </c>
      <c r="D406" s="19" t="n">
        <f aca="false">D391*$D$399</f>
        <v>9.91479641868471</v>
      </c>
      <c r="E406" s="19" t="n">
        <f aca="false">E391*$D$400</f>
        <v>10.2122403112453</v>
      </c>
      <c r="F406" s="19" t="n">
        <f aca="false">F391*$D$400</f>
        <v>10.5186075205826</v>
      </c>
      <c r="G406" s="19" t="n">
        <f aca="false">G391*$D$400</f>
        <v>10.8341657462001</v>
      </c>
    </row>
    <row r="407" customFormat="false" ht="15" hidden="false" customHeight="false" outlineLevel="0" collapsed="false">
      <c r="A407" s="5" t="s">
        <v>686</v>
      </c>
      <c r="B407" s="0" t="s">
        <v>34</v>
      </c>
      <c r="C407" s="19" t="n">
        <f aca="false">C392*1</f>
        <v>2.48</v>
      </c>
      <c r="D407" s="19" t="n">
        <f aca="false">D392*$D$399</f>
        <v>2.59648311703676</v>
      </c>
      <c r="E407" s="19" t="n">
        <f aca="false">E392*$D$400</f>
        <v>2.67437761054786</v>
      </c>
      <c r="F407" s="19" t="n">
        <f aca="false">F392*$D$400</f>
        <v>2.7546089388643</v>
      </c>
      <c r="G407" s="19" t="n">
        <f aca="false">G392*$D$400</f>
        <v>2.83724720703023</v>
      </c>
    </row>
    <row r="408" customFormat="false" ht="15" hidden="false" customHeight="false" outlineLevel="0" collapsed="false">
      <c r="A408" s="5" t="s">
        <v>687</v>
      </c>
      <c r="B408" s="0" t="s">
        <v>34</v>
      </c>
      <c r="C408" s="19" t="n">
        <f aca="false">C393*1</f>
        <v>2</v>
      </c>
      <c r="D408" s="19" t="n">
        <f aca="false">D393*$D$399</f>
        <v>2.6281832998146</v>
      </c>
      <c r="E408" s="19" t="n">
        <f aca="false">E393*$D$400</f>
        <v>3.14498322150202</v>
      </c>
      <c r="F408" s="19" t="n">
        <f aca="false">F393*$D$400</f>
        <v>3.48729567312467</v>
      </c>
      <c r="G408" s="19" t="n">
        <f aca="false">G393*$D$400</f>
        <v>3.686021573468</v>
      </c>
    </row>
    <row r="409" customFormat="false" ht="17.15" hidden="false" customHeight="false" outlineLevel="0" collapsed="false">
      <c r="A409" s="0" t="s">
        <v>688</v>
      </c>
      <c r="B409" s="0" t="s">
        <v>34</v>
      </c>
      <c r="C409" s="19" t="n">
        <f aca="false">C402+C403</f>
        <v>10</v>
      </c>
      <c r="D409" s="19" t="n">
        <f aca="false">D402+D403</f>
        <v>13.9522858343876</v>
      </c>
      <c r="E409" s="19" t="n">
        <f aca="false">E402+E403</f>
        <v>11.7295991734739</v>
      </c>
      <c r="F409" s="19" t="n">
        <f aca="false">F402+F403</f>
        <v>11.7109910794117</v>
      </c>
      <c r="G409" s="19" t="n">
        <f aca="false">G402+G403</f>
        <v>11.349681187855</v>
      </c>
    </row>
    <row r="410" customFormat="false" ht="17.15" hidden="false" customHeight="false" outlineLevel="0" collapsed="false">
      <c r="A410" s="5" t="s">
        <v>689</v>
      </c>
      <c r="B410" s="0" t="s">
        <v>34</v>
      </c>
      <c r="C410" s="19" t="n">
        <f aca="false">C409+C404+C405</f>
        <v>40.39</v>
      </c>
      <c r="D410" s="19" t="n">
        <f aca="false">D409+D404+D405</f>
        <v>48.8605371644639</v>
      </c>
      <c r="E410" s="19" t="n">
        <f aca="false">E409+E404+E405</f>
        <v>51.6078938595632</v>
      </c>
      <c r="F410" s="19" t="n">
        <f aca="false">F409+F404+F405</f>
        <v>56.2530686615941</v>
      </c>
      <c r="G410" s="19" t="n">
        <f aca="false">G409+G404+G405</f>
        <v>58.9981191901534</v>
      </c>
      <c r="J410" s="5" t="s">
        <v>690</v>
      </c>
    </row>
    <row r="411" customFormat="false" ht="17.15" hidden="false" customHeight="false" outlineLevel="0" collapsed="false">
      <c r="A411" s="5" t="s">
        <v>541</v>
      </c>
      <c r="B411" s="0" t="s">
        <v>34</v>
      </c>
      <c r="C411" s="19" t="n">
        <f aca="false">C410+C406+C407+C408+seg_adj</f>
        <v>54.365</v>
      </c>
      <c r="D411" s="19" t="n">
        <f aca="false">D410+D406+D407+D408</f>
        <v>64</v>
      </c>
      <c r="E411" s="19" t="n">
        <f aca="false">E410+E406+E407+E408</f>
        <v>67.6394950028584</v>
      </c>
      <c r="F411" s="19" t="n">
        <f aca="false">F410+F406+F407+F408</f>
        <v>73.0135807941657</v>
      </c>
      <c r="G411" s="19" t="n">
        <f aca="false">G410+G406+G407+G408</f>
        <v>76.3555537168517</v>
      </c>
      <c r="J411" s="8" t="s">
        <v>691</v>
      </c>
    </row>
    <row r="412" customFormat="false" ht="17.15" hidden="false" customHeight="false" outlineLevel="0" collapsed="false">
      <c r="A412" s="5" t="s">
        <v>692</v>
      </c>
      <c r="B412" s="0" t="s">
        <v>34</v>
      </c>
      <c r="C412" s="20" t="n">
        <f aca="false">C410+C406+C407+C408-a25_rev</f>
        <v>-0.0249999999999986</v>
      </c>
    </row>
    <row r="413" customFormat="false" ht="17.15" hidden="false" customHeight="false" outlineLevel="0" collapsed="false">
      <c r="A413" s="0" t="s">
        <v>621</v>
      </c>
      <c r="B413" s="0" t="s">
        <v>94</v>
      </c>
      <c r="C413" s="11" t="n">
        <f aca="false">C409/C411</f>
        <v>0.1839418743677</v>
      </c>
      <c r="D413" s="11" t="n">
        <f aca="false">D409/D411</f>
        <v>0.218004466162306</v>
      </c>
      <c r="E413" s="11" t="n">
        <f aca="false">E409/E411</f>
        <v>0.173413464618242</v>
      </c>
      <c r="F413" s="11" t="n">
        <f aca="false">F409/F411</f>
        <v>0.160394695781685</v>
      </c>
      <c r="G413" s="11" t="n">
        <f aca="false">G409/G411</f>
        <v>0.14864251040524</v>
      </c>
    </row>
    <row r="414" customFormat="false" ht="17.15" hidden="false" customHeight="false" outlineLevel="0" collapsed="false">
      <c r="A414" s="5" t="s">
        <v>545</v>
      </c>
      <c r="B414" s="0" t="s">
        <v>34</v>
      </c>
      <c r="C414" s="19" t="n">
        <f aca="false">a25_oi</f>
        <v>6.917</v>
      </c>
      <c r="D414" s="19" t="n">
        <f aca="false">D397</f>
        <v>10.24</v>
      </c>
      <c r="E414" s="19" t="n">
        <f aca="false">$D414+(im+ima_A)*(E411-$D411)</f>
        <v>11.3301056404238</v>
      </c>
      <c r="F414" s="19" t="n">
        <f aca="false">$D414+(im+ima_A)*(F411-$D411)</f>
        <v>12.9397578665223</v>
      </c>
      <c r="G414" s="19" t="n">
        <f aca="false">$D414+(im+ima_A)*(G411-$D411)</f>
        <v>13.9407493585569</v>
      </c>
      <c r="J414" s="8" t="s">
        <v>693</v>
      </c>
    </row>
    <row r="415" customFormat="false" ht="15" hidden="false" customHeight="false" outlineLevel="0" collapsed="false">
      <c r="A415" s="5" t="s">
        <v>694</v>
      </c>
      <c r="B415" s="0" t="s">
        <v>94</v>
      </c>
      <c r="C415" s="11" t="n">
        <f aca="false">C414/C411</f>
        <v>0.127232594500138</v>
      </c>
      <c r="D415" s="11" t="n">
        <f aca="false">D414/D411</f>
        <v>0.16</v>
      </c>
      <c r="E415" s="11" t="n">
        <f aca="false">E414/E411</f>
        <v>0.167507247650873</v>
      </c>
      <c r="F415" s="11" t="n">
        <f aca="false">F414/F411</f>
        <v>0.177223986630667</v>
      </c>
      <c r="G415" s="11" t="n">
        <f aca="false">G414/G411</f>
        <v>0.182576756764193</v>
      </c>
    </row>
    <row r="416" customFormat="false" ht="15" hidden="false" customHeight="false" outlineLevel="0" collapsed="false">
      <c r="A416" s="5" t="s">
        <v>548</v>
      </c>
      <c r="B416" s="0" t="s">
        <v>34</v>
      </c>
      <c r="C416" s="19" t="n">
        <f aca="false">a25_ni</f>
        <v>4.593</v>
      </c>
      <c r="D416" s="19" t="n">
        <f aca="false">D398</f>
        <v>7</v>
      </c>
      <c r="E416" s="19" t="n">
        <f aca="false">E414*nioi</f>
        <v>7.74518940263345</v>
      </c>
      <c r="F416" s="19" t="n">
        <f aca="false">F414*nioi</f>
        <v>8.84553760406799</v>
      </c>
      <c r="G416" s="19" t="n">
        <f aca="false">G414*nioi</f>
        <v>9.52980913182601</v>
      </c>
    </row>
    <row r="417" customFormat="false" ht="15" hidden="false" customHeight="false" outlineLevel="0" collapsed="false">
      <c r="A417" s="0" t="s">
        <v>622</v>
      </c>
      <c r="B417" s="0" t="s">
        <v>52</v>
      </c>
      <c r="C417" s="22" t="n">
        <f aca="false">a25_eps</f>
        <v>61.22</v>
      </c>
      <c r="D417" s="22" t="n">
        <f aca="false">D416*1000/shares</f>
        <v>93.2961492201002</v>
      </c>
      <c r="E417" s="22" t="n">
        <f aca="false">E416*1000/shares</f>
        <v>103.228049463718</v>
      </c>
      <c r="F417" s="22" t="n">
        <f aca="false">F416*1000/shares</f>
        <v>117.893513748733</v>
      </c>
      <c r="G417" s="22" t="n">
        <f aca="false">G416*1000/shares</f>
        <v>127.013499257416</v>
      </c>
    </row>
    <row r="418" customFormat="false" ht="17.15" hidden="false" customHeight="false" outlineLevel="0" collapsed="false">
      <c r="A418" s="5" t="s">
        <v>695</v>
      </c>
      <c r="B418" s="0" t="s">
        <v>34</v>
      </c>
      <c r="C418" s="20" t="n">
        <f aca="false">ABS(C411-a25_rev)+ABS(C414-a25_oi)+ABS(D411-D396)</f>
        <v>0</v>
      </c>
    </row>
    <row r="430" customFormat="false" ht="17.15" hidden="false" customHeight="false" outlineLevel="0" collapsed="false">
      <c r="A430" s="3" t="s">
        <v>1022</v>
      </c>
    </row>
    <row r="431" customFormat="false" ht="17.15" hidden="false" customHeight="false" outlineLevel="0" collapsed="false">
      <c r="A431" s="6" t="s">
        <v>23</v>
      </c>
      <c r="B431" s="6" t="s">
        <v>24</v>
      </c>
      <c r="C431" s="15" t="s">
        <v>628</v>
      </c>
      <c r="D431" s="15" t="s">
        <v>629</v>
      </c>
      <c r="E431" s="15" t="s">
        <v>630</v>
      </c>
      <c r="F431" s="15" t="s">
        <v>631</v>
      </c>
      <c r="G431" s="15" t="s">
        <v>632</v>
      </c>
      <c r="H431" s="15" t="s">
        <v>633</v>
      </c>
      <c r="I431" s="15" t="s">
        <v>634</v>
      </c>
      <c r="J431" s="6" t="s">
        <v>468</v>
      </c>
    </row>
    <row r="432" customFormat="false" ht="17.15" hidden="false" customHeight="false" outlineLevel="0" collapsed="false">
      <c r="A432" s="1" t="s">
        <v>635</v>
      </c>
    </row>
    <row r="433" customFormat="false" ht="17.15" hidden="false" customHeight="false" outlineLevel="0" collapsed="false">
      <c r="A433" s="0" t="s">
        <v>636</v>
      </c>
      <c r="B433" s="0" t="s">
        <v>111</v>
      </c>
      <c r="C433" s="21" t="n">
        <f aca="false">hsA_25</f>
        <v>2.22511470588235</v>
      </c>
      <c r="D433" s="21" t="n">
        <f aca="false">hsA_26</f>
        <v>3.782695</v>
      </c>
      <c r="E433" s="21" t="n">
        <f aca="false">hsA_27</f>
        <v>5.86317725</v>
      </c>
      <c r="F433" s="21" t="n">
        <f aca="false">hsA_28</f>
        <v>8.5016070125</v>
      </c>
      <c r="G433" s="21" t="n">
        <f aca="false">hsA_29</f>
        <v>11.477169466875</v>
      </c>
      <c r="J433" s="8" t="s">
        <v>637</v>
      </c>
    </row>
    <row r="434" customFormat="false" ht="17.15" hidden="false" customHeight="false" outlineLevel="0" collapsed="false">
      <c r="A434" s="0" t="s">
        <v>638</v>
      </c>
      <c r="B434" s="0" t="s">
        <v>639</v>
      </c>
      <c r="C434" s="21" t="n">
        <f aca="false">den_25_lo</f>
        <v>22</v>
      </c>
      <c r="D434" s="21" t="n">
        <f aca="false">den_26_lo</f>
        <v>24</v>
      </c>
      <c r="E434" s="21" t="n">
        <f aca="false">den_27_lo</f>
        <v>24</v>
      </c>
      <c r="F434" s="21" t="n">
        <f aca="false">den_28_lo</f>
        <v>24</v>
      </c>
      <c r="G434" s="21" t="n">
        <f aca="false">den_29_lo</f>
        <v>26</v>
      </c>
    </row>
    <row r="435" customFormat="false" ht="15" hidden="false" customHeight="false" outlineLevel="0" collapsed="false">
      <c r="A435" s="5" t="s">
        <v>640</v>
      </c>
      <c r="B435" s="5" t="s">
        <v>160</v>
      </c>
      <c r="C435" s="21" t="n">
        <f aca="false">stk_25</f>
        <v>10</v>
      </c>
      <c r="D435" s="21" t="n">
        <f aca="false">stk_26</f>
        <v>12</v>
      </c>
      <c r="E435" s="21" t="n">
        <f aca="false">stk_27</f>
        <v>12.5</v>
      </c>
      <c r="F435" s="21" t="n">
        <f aca="false">stk_28</f>
        <v>14</v>
      </c>
      <c r="G435" s="21" t="n">
        <f aca="false">stk_29</f>
        <v>15</v>
      </c>
    </row>
    <row r="436" customFormat="false" ht="17.15" hidden="false" customHeight="false" outlineLevel="0" collapsed="false">
      <c r="A436" s="0" t="s">
        <v>641</v>
      </c>
      <c r="B436" s="5" t="s">
        <v>642</v>
      </c>
      <c r="C436" s="23" t="n">
        <f aca="false">C433*8/(C434*C435)</f>
        <v>0.0809132620320855</v>
      </c>
      <c r="D436" s="23" t="n">
        <f aca="false">D433*8/(D434*D435)</f>
        <v>0.105074861111111</v>
      </c>
      <c r="E436" s="23" t="n">
        <f aca="false">E433*8/(E434*E435)</f>
        <v>0.156351393333333</v>
      </c>
      <c r="F436" s="23" t="n">
        <f aca="false">F433*8/(F434*F435)</f>
        <v>0.202419214583333</v>
      </c>
      <c r="G436" s="23" t="n">
        <f aca="false">G433*8/(G434*G435)</f>
        <v>0.235429117269231</v>
      </c>
      <c r="H436" s="23" t="n">
        <f aca="false">G436*(1+g_tail)</f>
        <v>0.258972028996154</v>
      </c>
      <c r="I436" s="23" t="n">
        <f aca="false">H436*(1+g_tail)</f>
        <v>0.284869231895769</v>
      </c>
      <c r="J436" s="8" t="s">
        <v>643</v>
      </c>
    </row>
    <row r="437" customFormat="false" ht="17.15" hidden="false" customHeight="false" outlineLevel="0" collapsed="false">
      <c r="A437" s="0" t="s">
        <v>644</v>
      </c>
      <c r="B437" s="5" t="s">
        <v>642</v>
      </c>
      <c r="C437" s="23" t="n">
        <f aca="false">MAX(0,D436-C436)+dlt*C436</f>
        <v>0.0322529252822342</v>
      </c>
      <c r="D437" s="23" t="n">
        <f aca="false">MAX(0,E436-D436)+dlt*D436</f>
        <v>0.0617840183333333</v>
      </c>
      <c r="E437" s="23" t="n">
        <f aca="false">MAX(0,F436-E436)+dlt*E436</f>
        <v>0.0617029605833333</v>
      </c>
      <c r="F437" s="23" t="n">
        <f aca="false">MAX(0,G436-F436)+dlt*F436</f>
        <v>0.0532518241442308</v>
      </c>
      <c r="G437" s="23" t="n">
        <f aca="false">MAX(0,H436-G436)+dlt*G436</f>
        <v>0.0470858234538462</v>
      </c>
      <c r="H437" s="23" t="n">
        <f aca="false">MAX(0,I436-H436)+dlt*H436</f>
        <v>0.0517944057992308</v>
      </c>
      <c r="J437" s="5" t="s">
        <v>645</v>
      </c>
    </row>
    <row r="438" customFormat="false" ht="17.15" hidden="false" customHeight="false" outlineLevel="0" collapsed="false">
      <c r="A438" s="0" t="s">
        <v>646</v>
      </c>
      <c r="B438" s="5" t="s">
        <v>183</v>
      </c>
      <c r="C438" s="14" t="n">
        <f aca="false">cw_25</f>
        <v>670</v>
      </c>
      <c r="D438" s="14" t="n">
        <f aca="false">cw_26</f>
        <v>1107.85762580894</v>
      </c>
      <c r="E438" s="14" t="n">
        <f aca="false">cw_27</f>
        <v>2096.42857142857</v>
      </c>
      <c r="F438" s="14" t="n">
        <f aca="false">cw_28*um28_A</f>
        <v>2620.08928571429</v>
      </c>
      <c r="G438" s="14" t="n">
        <f aca="false">cw_29*um29_A</f>
        <v>3013.32589285714</v>
      </c>
      <c r="H438" s="14" t="n">
        <f aca="false">G438*(1+g_tail)</f>
        <v>3314.65848214285</v>
      </c>
      <c r="I438" s="14" t="n">
        <f aca="false">H438*(1+g_tail)</f>
        <v>3646.12433035714</v>
      </c>
      <c r="J438" s="5" t="s">
        <v>647</v>
      </c>
    </row>
    <row r="439" customFormat="false" ht="17.15" hidden="false" customHeight="false" outlineLevel="0" collapsed="false">
      <c r="A439" s="0" t="s">
        <v>648</v>
      </c>
      <c r="B439" s="5" t="s">
        <v>183</v>
      </c>
      <c r="C439" s="14" t="n">
        <f aca="false">MAX(0,D438-C438)+dlt*C438</f>
        <v>504.85762580894</v>
      </c>
      <c r="D439" s="14" t="n">
        <f aca="false">MAX(0,E438-D438)+dlt*D438</f>
        <v>1099.35670820052</v>
      </c>
      <c r="E439" s="14" t="n">
        <f aca="false">MAX(0,F438-E438)+dlt*E438</f>
        <v>733.303571428577</v>
      </c>
      <c r="F439" s="14" t="n">
        <f aca="false">MAX(0,G438-F438)+dlt*F438</f>
        <v>655.245535714279</v>
      </c>
      <c r="G439" s="14" t="n">
        <f aca="false">MAX(0,H438-G438)+dlt*G438</f>
        <v>602.665178571428</v>
      </c>
      <c r="H439" s="14" t="n">
        <f aca="false">MAX(0,I438-H438)+dlt*H438</f>
        <v>662.931696428571</v>
      </c>
    </row>
    <row r="440" customFormat="false" ht="17.15" hidden="false" customHeight="false" outlineLevel="0" collapsed="false">
      <c r="A440" s="5" t="s">
        <v>649</v>
      </c>
      <c r="B440" s="0" t="s">
        <v>219</v>
      </c>
      <c r="C440" s="21" t="n">
        <f aca="false">pk_25*(eqtA_25-eqaA_25)/(eqtA_25-eqaA_25)</f>
        <v>6.11313868613139</v>
      </c>
      <c r="D440" s="21" t="n">
        <f aca="false">pk_26*(eqtA_26-eqaA_26)/(eqtA_26-eqaA_26)</f>
        <v>6.7</v>
      </c>
      <c r="E440" s="21" t="n">
        <f aca="false">pk_27*(eqtA_27-eqaA_27)/(eqtA_27-eqaA_27)</f>
        <v>7.59078388573934</v>
      </c>
      <c r="F440" s="21" t="n">
        <f aca="false">pk_28*(eqtA_28-eqaA_28)/(eqtA_28-eqaA_28)</f>
        <v>8.6</v>
      </c>
      <c r="G440" s="21" t="n">
        <f aca="false">pk_29*(eqtA_29-eqaA_29)/(eqtA_29-eqaA_29)</f>
        <v>9.288</v>
      </c>
      <c r="H440" s="21" t="n">
        <f aca="false">G440*(1+g_pk_tail)</f>
        <v>9.7524</v>
      </c>
      <c r="J440" s="8" t="s">
        <v>650</v>
      </c>
    </row>
    <row r="441" customFormat="false" ht="15" hidden="false" customHeight="false" outlineLevel="0" collapsed="false">
      <c r="A441" s="5" t="s">
        <v>651</v>
      </c>
      <c r="B441" s="0" t="s">
        <v>219</v>
      </c>
      <c r="C441" s="24" t="n">
        <f aca="false">eqtA_25</f>
        <v>134.689359843138</v>
      </c>
      <c r="D441" s="24" t="n">
        <f aca="false">eqtA_26</f>
        <v>178.157050570127</v>
      </c>
      <c r="E441" s="24" t="n">
        <f aca="false">eqtA_27</f>
        <v>218.225535760082</v>
      </c>
      <c r="F441" s="24" t="n">
        <f aca="false">eqtA_28</f>
        <v>246.028626308958</v>
      </c>
      <c r="G441" s="24" t="n">
        <f aca="false">eqtA_29</f>
        <v>260.655685855226</v>
      </c>
      <c r="H441" s="24" t="n">
        <f aca="false">G441*(1+g_pk_tail)</f>
        <v>273.688470147987</v>
      </c>
      <c r="J441" s="5" t="s">
        <v>652</v>
      </c>
    </row>
    <row r="442" customFormat="false" ht="17.15" hidden="false" customHeight="false" outlineLevel="0" collapsed="false">
      <c r="A442" s="1" t="s">
        <v>653</v>
      </c>
    </row>
    <row r="443" customFormat="false" ht="17.15" hidden="false" customHeight="false" outlineLevel="0" collapsed="false">
      <c r="A443" s="0" t="s">
        <v>654</v>
      </c>
      <c r="B443" s="0" t="s">
        <v>655</v>
      </c>
      <c r="C443" s="24" t="n">
        <f aca="false">ai_25*w_hbm/(0.75*C437+0.25*D437)</f>
        <v>126.148905747736</v>
      </c>
      <c r="J443" s="5" t="s">
        <v>656</v>
      </c>
    </row>
    <row r="444" customFormat="false" ht="17.15" hidden="false" customHeight="false" outlineLevel="0" collapsed="false">
      <c r="A444" s="0" t="s">
        <v>657</v>
      </c>
      <c r="B444" s="0" t="s">
        <v>658</v>
      </c>
      <c r="C444" s="25" t="n">
        <f aca="false">ai_25*(1-w_hbm)/(0.75*C439+0.25*D439)</f>
        <v>0.0076513155174377</v>
      </c>
    </row>
    <row r="445" customFormat="false" ht="17.15" hidden="false" customHeight="false" outlineLevel="0" collapsed="false">
      <c r="A445" s="1" t="s">
        <v>659</v>
      </c>
    </row>
    <row r="446" customFormat="false" ht="17.15" hidden="false" customHeight="false" outlineLevel="0" collapsed="false">
      <c r="A446" s="0" t="s">
        <v>660</v>
      </c>
      <c r="B446" s="0" t="s">
        <v>198</v>
      </c>
      <c r="C446" s="20" t="n">
        <f aca="false">1-shl_A/sh*0</f>
        <v>1</v>
      </c>
      <c r="D446" s="20" t="n">
        <f aca="false">1-shl_A/sh*0.25</f>
        <v>1</v>
      </c>
      <c r="E446" s="20" t="n">
        <f aca="false">1-shl_A/sh*0.5</f>
        <v>1</v>
      </c>
      <c r="F446" s="20" t="n">
        <f aca="false">1-shl_A/sh*0.75</f>
        <v>1</v>
      </c>
      <c r="G446" s="20" t="n">
        <f aca="false">1-shl_A/sh*1</f>
        <v>1</v>
      </c>
      <c r="J446" s="5" t="s">
        <v>661</v>
      </c>
    </row>
    <row r="447" customFormat="false" ht="17.15" hidden="false" customHeight="false" outlineLevel="0" collapsed="false">
      <c r="A447" s="0" t="s">
        <v>662</v>
      </c>
      <c r="B447" s="0" t="s">
        <v>34</v>
      </c>
      <c r="C447" s="19" t="n">
        <f aca="false">$C$443*(0.75*C437+0.25*D437)*C446</f>
        <v>5</v>
      </c>
      <c r="D447" s="19" t="n">
        <f aca="false">$C$443*(0.75*D437+0.25*E437)*D446</f>
        <v>7.79142996883182</v>
      </c>
      <c r="E447" s="19" t="n">
        <f aca="false">$C$443*(0.75*E437+0.25*F437)*E446</f>
        <v>7.51723555545376</v>
      </c>
      <c r="F447" s="19" t="n">
        <f aca="false">$C$443*(0.75*F437+0.25*G437)*F446</f>
        <v>6.52320078488261</v>
      </c>
      <c r="G447" s="19" t="n">
        <f aca="false">$C$443*(0.75*G437+0.25*H437)*G446</f>
        <v>6.08832073255711</v>
      </c>
    </row>
    <row r="448" customFormat="false" ht="17.15" hidden="false" customHeight="false" outlineLevel="0" collapsed="false">
      <c r="A448" s="0" t="s">
        <v>663</v>
      </c>
      <c r="B448" s="0" t="s">
        <v>34</v>
      </c>
      <c r="C448" s="19" t="n">
        <f aca="false">$C$444*(0.75*C439+0.25*D439)*C446</f>
        <v>5</v>
      </c>
      <c r="D448" s="19" t="n">
        <f aca="false">$C$444*(0.75*D439+0.25*E439)*D446</f>
        <v>7.71132802925642</v>
      </c>
      <c r="E448" s="19" t="n">
        <f aca="false">$C$444*(0.75*E439+0.25*F439)*E446</f>
        <v>5.46142533008358</v>
      </c>
      <c r="F448" s="19" t="n">
        <f aca="false">$C$444*(0.75*F439+0.25*G439)*F446</f>
        <v>4.91291310951257</v>
      </c>
      <c r="G448" s="19" t="n">
        <f aca="false">$C$444*(0.75*G439+0.25*H439)*G446</f>
        <v>4.72646096843851</v>
      </c>
    </row>
    <row r="449" customFormat="false" ht="17.15" hidden="false" customHeight="false" outlineLevel="0" collapsed="false">
      <c r="A449" s="5" t="s">
        <v>664</v>
      </c>
      <c r="B449" s="0" t="s">
        <v>34</v>
      </c>
      <c r="C449" s="19" t="n">
        <f aca="false">(seg_mold-ai_25)*(0.75*C440+0.25*D440)/(0.75*C440+0.25*D440)</f>
        <v>26.46</v>
      </c>
      <c r="D449" s="19" t="n">
        <f aca="false">(seg_mold-ai_25)*(0.75*D440+0.25*E440)/(0.75*C440+0.25*D440)</f>
        <v>29.2617902872793</v>
      </c>
      <c r="E449" s="19" t="n">
        <f aca="false">(seg_mold-ai_25)*(0.75*E440+0.25*F440)/(0.75*C440+0.25*D440)</f>
        <v>33.1522277881438</v>
      </c>
      <c r="F449" s="19" t="n">
        <f aca="false">(seg_mold-ai_25)*(0.75*F440+0.25*G440)/(0.75*C440+0.25*D440)</f>
        <v>37.0786793843283</v>
      </c>
      <c r="G449" s="19" t="n">
        <f aca="false">(seg_mold-ai_25)*(0.75*G440+0.25*H440)/(0.75*C440+0.25*D440)</f>
        <v>39.7505253987873</v>
      </c>
      <c r="J449" s="8" t="s">
        <v>665</v>
      </c>
    </row>
    <row r="450" customFormat="false" ht="15" hidden="false" customHeight="false" outlineLevel="0" collapsed="false">
      <c r="A450" s="5" t="s">
        <v>666</v>
      </c>
      <c r="B450" s="0" t="s">
        <v>34</v>
      </c>
      <c r="C450" s="19" t="n">
        <f aca="false">seg_osemi*(0.75*C441+0.25*D441)/(0.75*C441+0.25*D441)</f>
        <v>3.93</v>
      </c>
      <c r="D450" s="19" t="n">
        <f aca="false">seg_osemi*(0.75*D441+0.25*E441)/(0.75*C441+0.25*D441)</f>
        <v>5.08067726525852</v>
      </c>
      <c r="E450" s="19" t="n">
        <f aca="false">seg_osemi*(0.75*E441+0.25*F441)/(0.75*C441+0.25*D441)</f>
        <v>6.0797299618455</v>
      </c>
      <c r="F450" s="19" t="n">
        <f aca="false">seg_osemi*(0.75*F441+0.25*G441)/(0.75*C441+0.25*D441)</f>
        <v>6.74147189236335</v>
      </c>
      <c r="G450" s="19" t="n">
        <f aca="false">seg_osemi*(0.75*G441+0.25*H441)/(0.75*C441+0.25*D441)</f>
        <v>7.12563922344852</v>
      </c>
      <c r="J450" s="5" t="s">
        <v>667</v>
      </c>
    </row>
    <row r="451" customFormat="false" ht="17.15" hidden="false" customHeight="false" outlineLevel="0" collapsed="false">
      <c r="A451" s="5" t="s">
        <v>668</v>
      </c>
      <c r="B451" s="0" t="s">
        <v>34</v>
      </c>
      <c r="C451" s="19" t="n">
        <f aca="false">seg_new</f>
        <v>9.47</v>
      </c>
      <c r="D451" s="19" t="n">
        <f aca="false">C451*(1+g_tss)</f>
        <v>9.7541</v>
      </c>
      <c r="E451" s="19" t="n">
        <f aca="false">D451*(1+g_tss)</f>
        <v>10.046723</v>
      </c>
      <c r="F451" s="19" t="n">
        <f aca="false">E451*(1+g_tss)</f>
        <v>10.34812469</v>
      </c>
      <c r="G451" s="19" t="n">
        <f aca="false">F451*(1+g_tss)</f>
        <v>10.6585684307</v>
      </c>
    </row>
    <row r="452" customFormat="false" ht="15" hidden="false" customHeight="false" outlineLevel="0" collapsed="false">
      <c r="A452" s="5" t="s">
        <v>669</v>
      </c>
      <c r="B452" s="0" t="s">
        <v>34</v>
      </c>
      <c r="C452" s="19" t="n">
        <f aca="false">seg_med</f>
        <v>2.48</v>
      </c>
      <c r="D452" s="19" t="n">
        <f aca="false">C452*(1+g_med)</f>
        <v>2.5544</v>
      </c>
      <c r="E452" s="19" t="n">
        <f aca="false">D452*(1+g_med)</f>
        <v>2.631032</v>
      </c>
      <c r="F452" s="19" t="n">
        <f aca="false">E452*(1+g_med)</f>
        <v>2.70996296</v>
      </c>
      <c r="G452" s="19" t="n">
        <f aca="false">F452*(1+g_med)</f>
        <v>2.7912618488</v>
      </c>
    </row>
    <row r="453" customFormat="false" ht="15" hidden="false" customHeight="false" outlineLevel="0" collapsed="false">
      <c r="A453" s="5" t="s">
        <v>670</v>
      </c>
      <c r="B453" s="0" t="s">
        <v>34</v>
      </c>
      <c r="C453" s="19" t="n">
        <f aca="false">seg_las*(0.75*C441+0.25*D441)/(0.75*C441+0.25*D441)</f>
        <v>2</v>
      </c>
      <c r="D453" s="19" t="n">
        <f aca="false">seg_las*(0.75*D441+0.25*E441)/(0.75*C441+0.25*D441)</f>
        <v>2.5855863945336</v>
      </c>
      <c r="E453" s="19" t="n">
        <f aca="false">seg_las*(0.75*E441+0.25*F441)/(0.75*C441+0.25*D441)</f>
        <v>3.0940101587</v>
      </c>
      <c r="F453" s="19" t="n">
        <f aca="false">seg_las*(0.75*F441+0.25*G441)/(0.75*C441+0.25*D441)</f>
        <v>3.43077449993046</v>
      </c>
      <c r="G453" s="19" t="n">
        <f aca="false">seg_las*(0.75*G441+0.25*H441)/(0.75*C441+0.25*D441)</f>
        <v>3.62627950302724</v>
      </c>
      <c r="J453" s="5" t="s">
        <v>667</v>
      </c>
    </row>
    <row r="454" customFormat="false" ht="15" hidden="false" customHeight="false" outlineLevel="0" collapsed="false">
      <c r="A454" s="5" t="s">
        <v>671</v>
      </c>
      <c r="B454" s="0" t="s">
        <v>34</v>
      </c>
      <c r="C454" s="19" t="n">
        <f aca="false">C447+C448+C449+C450+C451+C452+C453+seg_adj</f>
        <v>54.365</v>
      </c>
      <c r="D454" s="19" t="n">
        <f aca="false">D447+D448+D449+D450+D451+D452+D453</f>
        <v>64.7393119451596</v>
      </c>
      <c r="E454" s="19" t="n">
        <f aca="false">E447+E448+E449+E450+E451+E452+E453</f>
        <v>67.9823837942266</v>
      </c>
      <c r="F454" s="19" t="n">
        <f aca="false">F447+F448+F449+F450+F451+F452+F453</f>
        <v>71.7451273210173</v>
      </c>
      <c r="G454" s="19" t="n">
        <f aca="false">G447+G448+G449+G450+G451+G452+G453</f>
        <v>74.7670561057587</v>
      </c>
    </row>
    <row r="455" customFormat="false" ht="17.15" hidden="false" customHeight="false" outlineLevel="0" collapsed="false">
      <c r="A455" s="1" t="s">
        <v>672</v>
      </c>
    </row>
    <row r="456" customFormat="false" ht="17.15" hidden="false" customHeight="false" outlineLevel="0" collapsed="false">
      <c r="A456" s="0" t="s">
        <v>673</v>
      </c>
      <c r="B456" s="0" t="s">
        <v>34</v>
      </c>
      <c r="D456" s="19" t="n">
        <f aca="false">g26_rev*(1+g_anc)</f>
        <v>64</v>
      </c>
    </row>
    <row r="457" customFormat="false" ht="17.15" hidden="false" customHeight="false" outlineLevel="0" collapsed="false">
      <c r="A457" s="0" t="s">
        <v>674</v>
      </c>
      <c r="B457" s="0" t="s">
        <v>34</v>
      </c>
      <c r="D457" s="19" t="n">
        <f aca="false">D456*g26_oi/g26_rev</f>
        <v>10.24</v>
      </c>
    </row>
    <row r="458" customFormat="false" ht="17.15" hidden="false" customHeight="false" outlineLevel="0" collapsed="false">
      <c r="A458" s="0" t="s">
        <v>675</v>
      </c>
      <c r="B458" s="0" t="s">
        <v>34</v>
      </c>
      <c r="D458" s="19" t="n">
        <f aca="false">D457*g26_ni/g26_oi</f>
        <v>7</v>
      </c>
    </row>
    <row r="459" customFormat="false" ht="17.15" hidden="false" customHeight="false" outlineLevel="0" collapsed="false">
      <c r="A459" s="5" t="s">
        <v>676</v>
      </c>
      <c r="B459" s="0" t="s">
        <v>198</v>
      </c>
      <c r="D459" s="20" t="n">
        <f aca="false">D456/D454</f>
        <v>0.988580169869802</v>
      </c>
      <c r="J459" s="8" t="s">
        <v>677</v>
      </c>
    </row>
    <row r="460" customFormat="false" ht="17.15" hidden="false" customHeight="false" outlineLevel="0" collapsed="false">
      <c r="A460" s="5" t="s">
        <v>678</v>
      </c>
      <c r="B460" s="0" t="s">
        <v>198</v>
      </c>
      <c r="D460" s="20" t="n">
        <f aca="false">1+1*(D459-1)</f>
        <v>0.988580169869802</v>
      </c>
      <c r="J460" s="8" t="s">
        <v>679</v>
      </c>
    </row>
    <row r="461" customFormat="false" ht="17.15" hidden="false" customHeight="false" outlineLevel="0" collapsed="false">
      <c r="A461" s="1" t="s">
        <v>680</v>
      </c>
    </row>
    <row r="462" customFormat="false" ht="17.15" hidden="false" customHeight="false" outlineLevel="0" collapsed="false">
      <c r="A462" s="0" t="s">
        <v>681</v>
      </c>
      <c r="B462" s="0" t="s">
        <v>34</v>
      </c>
      <c r="C462" s="19" t="n">
        <f aca="false">C447*1</f>
        <v>5</v>
      </c>
      <c r="D462" s="19" t="n">
        <f aca="false">D447*$D$459</f>
        <v>7.70245316211643</v>
      </c>
      <c r="E462" s="19" t="n">
        <f aca="false">E447*1</f>
        <v>7.51723555545376</v>
      </c>
      <c r="F462" s="19" t="n">
        <f aca="false">F447*1</f>
        <v>6.52320078488261</v>
      </c>
      <c r="G462" s="19" t="n">
        <f aca="false">G447*1</f>
        <v>6.08832073255711</v>
      </c>
    </row>
    <row r="463" customFormat="false" ht="17.15" hidden="false" customHeight="false" outlineLevel="0" collapsed="false">
      <c r="A463" s="0" t="s">
        <v>682</v>
      </c>
      <c r="B463" s="0" t="s">
        <v>34</v>
      </c>
      <c r="C463" s="19" t="n">
        <f aca="false">C448*1</f>
        <v>5</v>
      </c>
      <c r="D463" s="19" t="n">
        <f aca="false">D448*$D$459</f>
        <v>7.62326597308408</v>
      </c>
      <c r="E463" s="19" t="n">
        <f aca="false">E448*1</f>
        <v>5.46142533008358</v>
      </c>
      <c r="F463" s="19" t="n">
        <f aca="false">F448*1</f>
        <v>4.91291310951257</v>
      </c>
      <c r="G463" s="19" t="n">
        <f aca="false">G448*1</f>
        <v>4.72646096843851</v>
      </c>
    </row>
    <row r="464" customFormat="false" ht="17.15" hidden="false" customHeight="false" outlineLevel="0" collapsed="false">
      <c r="A464" s="5" t="s">
        <v>683</v>
      </c>
      <c r="B464" s="0" t="s">
        <v>34</v>
      </c>
      <c r="C464" s="19" t="n">
        <f aca="false">C449*1</f>
        <v>26.46</v>
      </c>
      <c r="D464" s="19" t="n">
        <f aca="false">D449*$D$459</f>
        <v>28.9276256128931</v>
      </c>
      <c r="E464" s="19" t="n">
        <f aca="false">E449*$D$460</f>
        <v>32.7736349783656</v>
      </c>
      <c r="F464" s="19" t="n">
        <f aca="false">F449*$D$460</f>
        <v>36.6552471643072</v>
      </c>
      <c r="G464" s="19" t="n">
        <f aca="false">G449*$D$460</f>
        <v>39.296581151147</v>
      </c>
    </row>
    <row r="465" customFormat="false" ht="15" hidden="false" customHeight="false" outlineLevel="0" collapsed="false">
      <c r="A465" s="5" t="s">
        <v>684</v>
      </c>
      <c r="B465" s="0" t="s">
        <v>34</v>
      </c>
      <c r="C465" s="19" t="n">
        <f aca="false">C450*1</f>
        <v>3.93</v>
      </c>
      <c r="D465" s="19" t="n">
        <f aca="false">D450*$D$459</f>
        <v>5.02265679394291</v>
      </c>
      <c r="E465" s="19" t="n">
        <f aca="false">E450*$D$460</f>
        <v>6.01030047844375</v>
      </c>
      <c r="F465" s="19" t="n">
        <f aca="false">F450*$D$460</f>
        <v>6.66448542852506</v>
      </c>
      <c r="G465" s="19" t="n">
        <f aca="false">G450*$D$460</f>
        <v>7.04426563394766</v>
      </c>
    </row>
    <row r="466" customFormat="false" ht="17.15" hidden="false" customHeight="false" outlineLevel="0" collapsed="false">
      <c r="A466" s="5" t="s">
        <v>685</v>
      </c>
      <c r="B466" s="0" t="s">
        <v>34</v>
      </c>
      <c r="C466" s="19" t="n">
        <f aca="false">C451*1</f>
        <v>9.47</v>
      </c>
      <c r="D466" s="19" t="n">
        <f aca="false">D451*$D$459</f>
        <v>9.64270983492704</v>
      </c>
      <c r="E466" s="19" t="n">
        <f aca="false">E451*$D$460</f>
        <v>9.93199112997485</v>
      </c>
      <c r="F466" s="19" t="n">
        <f aca="false">F451*$D$460</f>
        <v>10.2299508638741</v>
      </c>
      <c r="G466" s="19" t="n">
        <f aca="false">G451*$D$460</f>
        <v>10.5368493897903</v>
      </c>
    </row>
    <row r="467" customFormat="false" ht="15" hidden="false" customHeight="false" outlineLevel="0" collapsed="false">
      <c r="A467" s="5" t="s">
        <v>686</v>
      </c>
      <c r="B467" s="0" t="s">
        <v>34</v>
      </c>
      <c r="C467" s="19" t="n">
        <f aca="false">C452*1</f>
        <v>2.48</v>
      </c>
      <c r="D467" s="19" t="n">
        <f aca="false">D452*$D$459</f>
        <v>2.52522918591542</v>
      </c>
      <c r="E467" s="19" t="n">
        <f aca="false">E452*$D$460</f>
        <v>2.60098606149289</v>
      </c>
      <c r="F467" s="19" t="n">
        <f aca="false">F452*$D$460</f>
        <v>2.67901564333767</v>
      </c>
      <c r="G467" s="19" t="n">
        <f aca="false">G452*$D$460</f>
        <v>2.7593861126378</v>
      </c>
    </row>
    <row r="468" customFormat="false" ht="15" hidden="false" customHeight="false" outlineLevel="0" collapsed="false">
      <c r="A468" s="5" t="s">
        <v>687</v>
      </c>
      <c r="B468" s="0" t="s">
        <v>34</v>
      </c>
      <c r="C468" s="19" t="n">
        <f aca="false">C453*1</f>
        <v>2</v>
      </c>
      <c r="D468" s="19" t="n">
        <f aca="false">D453*$D$459</f>
        <v>2.55605943712107</v>
      </c>
      <c r="E468" s="19" t="n">
        <f aca="false">E453*$D$460</f>
        <v>3.05867708826654</v>
      </c>
      <c r="F468" s="19" t="n">
        <f aca="false">F453*$D$460</f>
        <v>3.39159563792624</v>
      </c>
      <c r="G468" s="19" t="n">
        <f aca="false">G453*$D$460</f>
        <v>3.58486800709805</v>
      </c>
    </row>
    <row r="469" customFormat="false" ht="17.15" hidden="false" customHeight="false" outlineLevel="0" collapsed="false">
      <c r="A469" s="0" t="s">
        <v>688</v>
      </c>
      <c r="B469" s="0" t="s">
        <v>34</v>
      </c>
      <c r="C469" s="19" t="n">
        <f aca="false">C462+C463</f>
        <v>10</v>
      </c>
      <c r="D469" s="19" t="n">
        <f aca="false">D462+D463</f>
        <v>15.3257191352005</v>
      </c>
      <c r="E469" s="19" t="n">
        <f aca="false">E462+E463</f>
        <v>12.9786608855373</v>
      </c>
      <c r="F469" s="19" t="n">
        <f aca="false">F462+F463</f>
        <v>11.4361138943952</v>
      </c>
      <c r="G469" s="19" t="n">
        <f aca="false">G462+G463</f>
        <v>10.8147817009956</v>
      </c>
    </row>
    <row r="470" customFormat="false" ht="17.15" hidden="false" customHeight="false" outlineLevel="0" collapsed="false">
      <c r="A470" s="5" t="s">
        <v>689</v>
      </c>
      <c r="B470" s="0" t="s">
        <v>34</v>
      </c>
      <c r="C470" s="19" t="n">
        <f aca="false">C469+C464+C465</f>
        <v>40.39</v>
      </c>
      <c r="D470" s="19" t="n">
        <f aca="false">D469+D464+D465</f>
        <v>49.2760015420365</v>
      </c>
      <c r="E470" s="19" t="n">
        <f aca="false">E469+E464+E465</f>
        <v>51.7625963423466</v>
      </c>
      <c r="F470" s="19" t="n">
        <f aca="false">F469+F464+F465</f>
        <v>54.7558464872275</v>
      </c>
      <c r="G470" s="19" t="n">
        <f aca="false">G469+G464+G465</f>
        <v>57.1556284860903</v>
      </c>
      <c r="J470" s="5" t="s">
        <v>690</v>
      </c>
    </row>
    <row r="471" customFormat="false" ht="17.15" hidden="false" customHeight="false" outlineLevel="0" collapsed="false">
      <c r="A471" s="5" t="s">
        <v>541</v>
      </c>
      <c r="B471" s="0" t="s">
        <v>34</v>
      </c>
      <c r="C471" s="19" t="n">
        <f aca="false">C470+C466+C467+C468+seg_adj</f>
        <v>54.365</v>
      </c>
      <c r="D471" s="19" t="n">
        <f aca="false">D470+D466+D467+D468</f>
        <v>64</v>
      </c>
      <c r="E471" s="19" t="n">
        <f aca="false">E470+E466+E467+E468</f>
        <v>67.3542506220809</v>
      </c>
      <c r="F471" s="19" t="n">
        <f aca="false">F470+F466+F467+F468</f>
        <v>71.0564086323655</v>
      </c>
      <c r="G471" s="19" t="n">
        <f aca="false">G470+G466+G467+G468</f>
        <v>74.0367319956165</v>
      </c>
      <c r="J471" s="8" t="s">
        <v>691</v>
      </c>
    </row>
    <row r="472" customFormat="false" ht="17.15" hidden="false" customHeight="false" outlineLevel="0" collapsed="false">
      <c r="A472" s="5" t="s">
        <v>692</v>
      </c>
      <c r="B472" s="0" t="s">
        <v>34</v>
      </c>
      <c r="C472" s="20" t="n">
        <f aca="false">C470+C466+C467+C468-a25_rev</f>
        <v>-0.0249999999999986</v>
      </c>
    </row>
    <row r="473" customFormat="false" ht="17.15" hidden="false" customHeight="false" outlineLevel="0" collapsed="false">
      <c r="A473" s="0" t="s">
        <v>621</v>
      </c>
      <c r="B473" s="0" t="s">
        <v>94</v>
      </c>
      <c r="C473" s="11" t="n">
        <f aca="false">C469/C471</f>
        <v>0.1839418743677</v>
      </c>
      <c r="D473" s="11" t="n">
        <f aca="false">D469/D471</f>
        <v>0.239464361487508</v>
      </c>
      <c r="E473" s="11" t="n">
        <f aca="false">E469/E471</f>
        <v>0.192692528914909</v>
      </c>
      <c r="F473" s="11" t="n">
        <f aca="false">F469/F471</f>
        <v>0.160944158514453</v>
      </c>
      <c r="G473" s="11" t="n">
        <f aca="false">G469/G471</f>
        <v>0.146073191097034</v>
      </c>
    </row>
    <row r="474" customFormat="false" ht="17.15" hidden="false" customHeight="false" outlineLevel="0" collapsed="false">
      <c r="A474" s="5" t="s">
        <v>545</v>
      </c>
      <c r="B474" s="0" t="s">
        <v>34</v>
      </c>
      <c r="C474" s="19" t="n">
        <f aca="false">a25_oi</f>
        <v>6.917</v>
      </c>
      <c r="D474" s="19" t="n">
        <f aca="false">D457</f>
        <v>10.24</v>
      </c>
      <c r="E474" s="19" t="n">
        <f aca="false">$D474+(im+ima_A)*(E471-$D471)</f>
        <v>11.244668922379</v>
      </c>
      <c r="F474" s="19" t="n">
        <f aca="false">$D474+(im+ima_A)*(F471-$D471)</f>
        <v>12.3535434573301</v>
      </c>
      <c r="G474" s="19" t="n">
        <f aca="false">$D474+(im+ima_A)*(G471-$D471)</f>
        <v>13.2462132661951</v>
      </c>
      <c r="J474" s="8" t="s">
        <v>693</v>
      </c>
    </row>
    <row r="475" customFormat="false" ht="15" hidden="false" customHeight="false" outlineLevel="0" collapsed="false">
      <c r="A475" s="5" t="s">
        <v>694</v>
      </c>
      <c r="B475" s="0" t="s">
        <v>94</v>
      </c>
      <c r="C475" s="11" t="n">
        <f aca="false">C474/C471</f>
        <v>0.127232594500138</v>
      </c>
      <c r="D475" s="11" t="n">
        <f aca="false">D474/D471</f>
        <v>0.16</v>
      </c>
      <c r="E475" s="11" t="n">
        <f aca="false">E474/E471</f>
        <v>0.1669481705835</v>
      </c>
      <c r="F475" s="11" t="n">
        <f aca="false">F474/F471</f>
        <v>0.173855443796003</v>
      </c>
      <c r="G475" s="11" t="n">
        <f aca="false">G474/G471</f>
        <v>0.178914072908828</v>
      </c>
    </row>
    <row r="476" customFormat="false" ht="15" hidden="false" customHeight="false" outlineLevel="0" collapsed="false">
      <c r="A476" s="5" t="s">
        <v>548</v>
      </c>
      <c r="B476" s="0" t="s">
        <v>34</v>
      </c>
      <c r="C476" s="19" t="n">
        <f aca="false">a25_ni</f>
        <v>4.593</v>
      </c>
      <c r="D476" s="19" t="n">
        <f aca="false">D458</f>
        <v>7</v>
      </c>
      <c r="E476" s="19" t="n">
        <f aca="false">E474*nioi</f>
        <v>7.68678539615751</v>
      </c>
      <c r="F476" s="19" t="n">
        <f aca="false">F474*nioi</f>
        <v>8.44480509778422</v>
      </c>
      <c r="G476" s="19" t="n">
        <f aca="false">G474*nioi</f>
        <v>9.05502859993803</v>
      </c>
    </row>
    <row r="477" customFormat="false" ht="15" hidden="false" customHeight="false" outlineLevel="0" collapsed="false">
      <c r="A477" s="0" t="s">
        <v>622</v>
      </c>
      <c r="B477" s="0" t="s">
        <v>52</v>
      </c>
      <c r="C477" s="22" t="n">
        <f aca="false">a25_eps</f>
        <v>61.22</v>
      </c>
      <c r="D477" s="22" t="n">
        <f aca="false">D476*1000/shares</f>
        <v>93.2961492201002</v>
      </c>
      <c r="E477" s="22" t="n">
        <f aca="false">E476*1000/shares</f>
        <v>102.4496396204</v>
      </c>
      <c r="F477" s="22" t="n">
        <f aca="false">F476*1000/shares</f>
        <v>112.552542362506</v>
      </c>
      <c r="G477" s="22" t="n">
        <f aca="false">G476*1000/shares</f>
        <v>120.685614207442</v>
      </c>
    </row>
    <row r="478" customFormat="false" ht="17.15" hidden="false" customHeight="false" outlineLevel="0" collapsed="false">
      <c r="A478" s="5" t="s">
        <v>695</v>
      </c>
      <c r="B478" s="0" t="s">
        <v>34</v>
      </c>
      <c r="C478" s="20" t="n">
        <f aca="false">ABS(C471-a25_rev)+ABS(C474-a25_oi)+ABS(D471-D456)</f>
        <v>0</v>
      </c>
    </row>
    <row r="490" customFormat="false" ht="17.15" hidden="false" customHeight="false" outlineLevel="0" collapsed="false">
      <c r="A490" s="3" t="s">
        <v>1023</v>
      </c>
    </row>
    <row r="491" customFormat="false" ht="17.15" hidden="false" customHeight="false" outlineLevel="0" collapsed="false">
      <c r="A491" s="6" t="s">
        <v>23</v>
      </c>
      <c r="B491" s="6" t="s">
        <v>24</v>
      </c>
      <c r="C491" s="15" t="s">
        <v>628</v>
      </c>
      <c r="D491" s="15" t="s">
        <v>629</v>
      </c>
      <c r="E491" s="15" t="s">
        <v>630</v>
      </c>
      <c r="F491" s="15" t="s">
        <v>631</v>
      </c>
      <c r="G491" s="15" t="s">
        <v>632</v>
      </c>
      <c r="H491" s="15" t="s">
        <v>633</v>
      </c>
      <c r="I491" s="15" t="s">
        <v>634</v>
      </c>
      <c r="J491" s="6" t="s">
        <v>468</v>
      </c>
    </row>
    <row r="492" customFormat="false" ht="17.15" hidden="false" customHeight="false" outlineLevel="0" collapsed="false">
      <c r="A492" s="1" t="s">
        <v>635</v>
      </c>
    </row>
    <row r="493" customFormat="false" ht="17.15" hidden="false" customHeight="false" outlineLevel="0" collapsed="false">
      <c r="A493" s="0" t="s">
        <v>636</v>
      </c>
      <c r="B493" s="0" t="s">
        <v>111</v>
      </c>
      <c r="C493" s="21" t="n">
        <f aca="false">hsA_25</f>
        <v>2.22511470588235</v>
      </c>
      <c r="D493" s="21" t="n">
        <f aca="false">hsA_26</f>
        <v>3.782695</v>
      </c>
      <c r="E493" s="21" t="n">
        <f aca="false">hsA_27</f>
        <v>5.86317725</v>
      </c>
      <c r="F493" s="21" t="n">
        <f aca="false">hsA_28</f>
        <v>8.5016070125</v>
      </c>
      <c r="G493" s="21" t="n">
        <f aca="false">hsA_29</f>
        <v>11.477169466875</v>
      </c>
      <c r="J493" s="8" t="s">
        <v>637</v>
      </c>
    </row>
    <row r="494" customFormat="false" ht="17.15" hidden="false" customHeight="false" outlineLevel="0" collapsed="false">
      <c r="A494" s="0" t="s">
        <v>638</v>
      </c>
      <c r="B494" s="0" t="s">
        <v>639</v>
      </c>
      <c r="C494" s="21" t="n">
        <f aca="false">den_25_hi</f>
        <v>24</v>
      </c>
      <c r="D494" s="21" t="n">
        <f aca="false">den_26_hi</f>
        <v>26</v>
      </c>
      <c r="E494" s="21" t="n">
        <f aca="false">den_27_hi</f>
        <v>28</v>
      </c>
      <c r="F494" s="21" t="n">
        <f aca="false">den_28_hi</f>
        <v>32</v>
      </c>
      <c r="G494" s="21" t="n">
        <f aca="false">den_29_hi</f>
        <v>32</v>
      </c>
    </row>
    <row r="495" customFormat="false" ht="15" hidden="false" customHeight="false" outlineLevel="0" collapsed="false">
      <c r="A495" s="5" t="s">
        <v>640</v>
      </c>
      <c r="B495" s="5" t="s">
        <v>160</v>
      </c>
      <c r="C495" s="21" t="n">
        <f aca="false">stk_25</f>
        <v>10</v>
      </c>
      <c r="D495" s="21" t="n">
        <f aca="false">stk_26</f>
        <v>12</v>
      </c>
      <c r="E495" s="21" t="n">
        <f aca="false">stk_27</f>
        <v>12.5</v>
      </c>
      <c r="F495" s="21" t="n">
        <f aca="false">stk_28</f>
        <v>14</v>
      </c>
      <c r="G495" s="21" t="n">
        <f aca="false">stk_29</f>
        <v>15</v>
      </c>
    </row>
    <row r="496" customFormat="false" ht="17.15" hidden="false" customHeight="false" outlineLevel="0" collapsed="false">
      <c r="A496" s="0" t="s">
        <v>641</v>
      </c>
      <c r="B496" s="5" t="s">
        <v>642</v>
      </c>
      <c r="C496" s="23" t="n">
        <f aca="false">C493*8/(C494*C495)</f>
        <v>0.0741704901960783</v>
      </c>
      <c r="D496" s="23" t="n">
        <f aca="false">D493*8/(D494*D495)</f>
        <v>0.0969921794871795</v>
      </c>
      <c r="E496" s="23" t="n">
        <f aca="false">E493*8/(E494*E495)</f>
        <v>0.13401548</v>
      </c>
      <c r="F496" s="23" t="n">
        <f aca="false">F493*8/(F494*F495)</f>
        <v>0.1518144109375</v>
      </c>
      <c r="G496" s="23" t="n">
        <f aca="false">G493*8/(G494*G495)</f>
        <v>0.19128615778125</v>
      </c>
      <c r="H496" s="23" t="n">
        <f aca="false">G496*(1+g_tail)</f>
        <v>0.210414773559375</v>
      </c>
      <c r="I496" s="23" t="n">
        <f aca="false">H496*(1+g_tail)</f>
        <v>0.231456250915313</v>
      </c>
      <c r="J496" s="8" t="s">
        <v>643</v>
      </c>
    </row>
    <row r="497" customFormat="false" ht="17.15" hidden="false" customHeight="false" outlineLevel="0" collapsed="false">
      <c r="A497" s="0" t="s">
        <v>644</v>
      </c>
      <c r="B497" s="5" t="s">
        <v>642</v>
      </c>
      <c r="C497" s="23" t="n">
        <f aca="false">MAX(0,D496-C496)+dlt*C496</f>
        <v>0.030238738310709</v>
      </c>
      <c r="D497" s="23" t="n">
        <f aca="false">MAX(0,E496-D496)+dlt*D496</f>
        <v>0.0467225184615385</v>
      </c>
      <c r="E497" s="23" t="n">
        <f aca="false">MAX(0,F496-E496)+dlt*E496</f>
        <v>0.0312004789375</v>
      </c>
      <c r="F497" s="23" t="n">
        <f aca="false">MAX(0,G496-F496)+dlt*F496</f>
        <v>0.0546531879375</v>
      </c>
      <c r="G497" s="23" t="n">
        <f aca="false">MAX(0,H496-G496)+dlt*G496</f>
        <v>0.03825723155625</v>
      </c>
      <c r="H497" s="23" t="n">
        <f aca="false">MAX(0,I496-H496)+dlt*H496</f>
        <v>0.042082954711875</v>
      </c>
      <c r="J497" s="5" t="s">
        <v>645</v>
      </c>
    </row>
    <row r="498" customFormat="false" ht="17.15" hidden="false" customHeight="false" outlineLevel="0" collapsed="false">
      <c r="A498" s="0" t="s">
        <v>646</v>
      </c>
      <c r="B498" s="5" t="s">
        <v>183</v>
      </c>
      <c r="C498" s="14" t="n">
        <f aca="false">cw_25</f>
        <v>670</v>
      </c>
      <c r="D498" s="14" t="n">
        <f aca="false">cw_26</f>
        <v>1107.85762580894</v>
      </c>
      <c r="E498" s="14" t="n">
        <f aca="false">cw_27</f>
        <v>2096.42857142857</v>
      </c>
      <c r="F498" s="14" t="n">
        <f aca="false">cw_28*um28_A</f>
        <v>2620.08928571429</v>
      </c>
      <c r="G498" s="14" t="n">
        <f aca="false">cw_29*um29_A</f>
        <v>3013.32589285714</v>
      </c>
      <c r="H498" s="14" t="n">
        <f aca="false">G498*(1+g_tail)</f>
        <v>3314.65848214285</v>
      </c>
      <c r="I498" s="14" t="n">
        <f aca="false">H498*(1+g_tail)</f>
        <v>3646.12433035714</v>
      </c>
      <c r="J498" s="5" t="s">
        <v>647</v>
      </c>
    </row>
    <row r="499" customFormat="false" ht="17.15" hidden="false" customHeight="false" outlineLevel="0" collapsed="false">
      <c r="A499" s="0" t="s">
        <v>648</v>
      </c>
      <c r="B499" s="5" t="s">
        <v>183</v>
      </c>
      <c r="C499" s="14" t="n">
        <f aca="false">MAX(0,D498-C498)+dlt*C498</f>
        <v>504.85762580894</v>
      </c>
      <c r="D499" s="14" t="n">
        <f aca="false">MAX(0,E498-D498)+dlt*D498</f>
        <v>1099.35670820052</v>
      </c>
      <c r="E499" s="14" t="n">
        <f aca="false">MAX(0,F498-E498)+dlt*E498</f>
        <v>733.303571428577</v>
      </c>
      <c r="F499" s="14" t="n">
        <f aca="false">MAX(0,G498-F498)+dlt*F498</f>
        <v>655.245535714279</v>
      </c>
      <c r="G499" s="14" t="n">
        <f aca="false">MAX(0,H498-G498)+dlt*G498</f>
        <v>602.665178571428</v>
      </c>
      <c r="H499" s="14" t="n">
        <f aca="false">MAX(0,I498-H498)+dlt*H498</f>
        <v>662.931696428571</v>
      </c>
    </row>
    <row r="500" customFormat="false" ht="17.15" hidden="false" customHeight="false" outlineLevel="0" collapsed="false">
      <c r="A500" s="5" t="s">
        <v>649</v>
      </c>
      <c r="B500" s="0" t="s">
        <v>219</v>
      </c>
      <c r="C500" s="21" t="n">
        <f aca="false">pk_25*(eqtA_25-eqaA_25)/(eqtA_25-eqaA_25)</f>
        <v>6.11313868613139</v>
      </c>
      <c r="D500" s="21" t="n">
        <f aca="false">pk_26*(eqtA_26-eqaA_26)/(eqtA_26-eqaA_26)</f>
        <v>6.7</v>
      </c>
      <c r="E500" s="21" t="n">
        <f aca="false">pk_27*(eqtA_27-eqaA_27)/(eqtA_27-eqaA_27)</f>
        <v>7.59078388573934</v>
      </c>
      <c r="F500" s="21" t="n">
        <f aca="false">pk_28*(eqtA_28-eqaA_28)/(eqtA_28-eqaA_28)</f>
        <v>8.6</v>
      </c>
      <c r="G500" s="21" t="n">
        <f aca="false">pk_29*(eqtA_29-eqaA_29)/(eqtA_29-eqaA_29)</f>
        <v>9.288</v>
      </c>
      <c r="H500" s="21" t="n">
        <f aca="false">G500*(1+g_pk_tail)</f>
        <v>9.7524</v>
      </c>
      <c r="J500" s="8" t="s">
        <v>650</v>
      </c>
    </row>
    <row r="501" customFormat="false" ht="15" hidden="false" customHeight="false" outlineLevel="0" collapsed="false">
      <c r="A501" s="5" t="s">
        <v>651</v>
      </c>
      <c r="B501" s="0" t="s">
        <v>219</v>
      </c>
      <c r="C501" s="24" t="n">
        <f aca="false">eqtA_25</f>
        <v>134.689359843138</v>
      </c>
      <c r="D501" s="24" t="n">
        <f aca="false">eqtA_26</f>
        <v>178.157050570127</v>
      </c>
      <c r="E501" s="24" t="n">
        <f aca="false">eqtA_27</f>
        <v>218.225535760082</v>
      </c>
      <c r="F501" s="24" t="n">
        <f aca="false">eqtA_28</f>
        <v>246.028626308958</v>
      </c>
      <c r="G501" s="24" t="n">
        <f aca="false">eqtA_29</f>
        <v>260.655685855226</v>
      </c>
      <c r="H501" s="24" t="n">
        <f aca="false">G501*(1+g_pk_tail)</f>
        <v>273.688470147987</v>
      </c>
      <c r="J501" s="5" t="s">
        <v>652</v>
      </c>
    </row>
    <row r="502" customFormat="false" ht="17.15" hidden="false" customHeight="false" outlineLevel="0" collapsed="false">
      <c r="A502" s="1" t="s">
        <v>653</v>
      </c>
    </row>
    <row r="503" customFormat="false" ht="17.15" hidden="false" customHeight="false" outlineLevel="0" collapsed="false">
      <c r="A503" s="0" t="s">
        <v>654</v>
      </c>
      <c r="B503" s="0" t="s">
        <v>655</v>
      </c>
      <c r="C503" s="24" t="n">
        <f aca="false">ai_25*w_hbm/(0.75*C497+0.25*D497)</f>
        <v>145.519385301042</v>
      </c>
      <c r="J503" s="5" t="s">
        <v>656</v>
      </c>
    </row>
    <row r="504" customFormat="false" ht="17.15" hidden="false" customHeight="false" outlineLevel="0" collapsed="false">
      <c r="A504" s="0" t="s">
        <v>657</v>
      </c>
      <c r="B504" s="0" t="s">
        <v>658</v>
      </c>
      <c r="C504" s="25" t="n">
        <f aca="false">ai_25*(1-w_hbm)/(0.75*C499+0.25*D499)</f>
        <v>0.0076513155174377</v>
      </c>
    </row>
    <row r="505" customFormat="false" ht="17.15" hidden="false" customHeight="false" outlineLevel="0" collapsed="false">
      <c r="A505" s="1" t="s">
        <v>659</v>
      </c>
    </row>
    <row r="506" customFormat="false" ht="17.15" hidden="false" customHeight="false" outlineLevel="0" collapsed="false">
      <c r="A506" s="0" t="s">
        <v>660</v>
      </c>
      <c r="B506" s="0" t="s">
        <v>198</v>
      </c>
      <c r="C506" s="20" t="n">
        <f aca="false">1-shl_A/sh*0</f>
        <v>1</v>
      </c>
      <c r="D506" s="20" t="n">
        <f aca="false">1-shl_A/sh*0.25</f>
        <v>1</v>
      </c>
      <c r="E506" s="20" t="n">
        <f aca="false">1-shl_A/sh*0.5</f>
        <v>1</v>
      </c>
      <c r="F506" s="20" t="n">
        <f aca="false">1-shl_A/sh*0.75</f>
        <v>1</v>
      </c>
      <c r="G506" s="20" t="n">
        <f aca="false">1-shl_A/sh*1</f>
        <v>1</v>
      </c>
      <c r="J506" s="5" t="s">
        <v>661</v>
      </c>
    </row>
    <row r="507" customFormat="false" ht="17.15" hidden="false" customHeight="false" outlineLevel="0" collapsed="false">
      <c r="A507" s="0" t="s">
        <v>662</v>
      </c>
      <c r="B507" s="0" t="s">
        <v>34</v>
      </c>
      <c r="C507" s="19" t="n">
        <f aca="false">$C$503*(0.75*C497+0.25*D497)*C506</f>
        <v>5</v>
      </c>
      <c r="D507" s="19" t="n">
        <f aca="false">$C$503*(0.75*D497+0.25*E497)*D506</f>
        <v>6.23434275370053</v>
      </c>
      <c r="E507" s="19" t="n">
        <f aca="false">$C$503*(0.75*E497+0.25*F497)*E506</f>
        <v>5.39348046541417</v>
      </c>
      <c r="F507" s="19" t="n">
        <f aca="false">$C$503*(0.75*F497+0.25*G497)*F506</f>
        <v>7.35661593990179</v>
      </c>
      <c r="G507" s="19" t="n">
        <f aca="false">$C$503*(0.75*G497+0.25*H497)*G506</f>
        <v>5.70634803986976</v>
      </c>
    </row>
    <row r="508" customFormat="false" ht="17.15" hidden="false" customHeight="false" outlineLevel="0" collapsed="false">
      <c r="A508" s="0" t="s">
        <v>663</v>
      </c>
      <c r="B508" s="0" t="s">
        <v>34</v>
      </c>
      <c r="C508" s="19" t="n">
        <f aca="false">$C$504*(0.75*C499+0.25*D499)*C506</f>
        <v>5</v>
      </c>
      <c r="D508" s="19" t="n">
        <f aca="false">$C$504*(0.75*D499+0.25*E499)*D506</f>
        <v>7.71132802925642</v>
      </c>
      <c r="E508" s="19" t="n">
        <f aca="false">$C$504*(0.75*E499+0.25*F499)*E506</f>
        <v>5.46142533008358</v>
      </c>
      <c r="F508" s="19" t="n">
        <f aca="false">$C$504*(0.75*F499+0.25*G499)*F506</f>
        <v>4.91291310951257</v>
      </c>
      <c r="G508" s="19" t="n">
        <f aca="false">$C$504*(0.75*G499+0.25*H499)*G506</f>
        <v>4.72646096843851</v>
      </c>
    </row>
    <row r="509" customFormat="false" ht="17.15" hidden="false" customHeight="false" outlineLevel="0" collapsed="false">
      <c r="A509" s="5" t="s">
        <v>664</v>
      </c>
      <c r="B509" s="0" t="s">
        <v>34</v>
      </c>
      <c r="C509" s="19" t="n">
        <f aca="false">(seg_mold-ai_25)*(0.75*C500+0.25*D500)/(0.75*C500+0.25*D500)</f>
        <v>26.46</v>
      </c>
      <c r="D509" s="19" t="n">
        <f aca="false">(seg_mold-ai_25)*(0.75*D500+0.25*E500)/(0.75*C500+0.25*D500)</f>
        <v>29.2617902872793</v>
      </c>
      <c r="E509" s="19" t="n">
        <f aca="false">(seg_mold-ai_25)*(0.75*E500+0.25*F500)/(0.75*C500+0.25*D500)</f>
        <v>33.1522277881438</v>
      </c>
      <c r="F509" s="19" t="n">
        <f aca="false">(seg_mold-ai_25)*(0.75*F500+0.25*G500)/(0.75*C500+0.25*D500)</f>
        <v>37.0786793843283</v>
      </c>
      <c r="G509" s="19" t="n">
        <f aca="false">(seg_mold-ai_25)*(0.75*G500+0.25*H500)/(0.75*C500+0.25*D500)</f>
        <v>39.7505253987873</v>
      </c>
      <c r="J509" s="8" t="s">
        <v>665</v>
      </c>
    </row>
    <row r="510" customFormat="false" ht="15" hidden="false" customHeight="false" outlineLevel="0" collapsed="false">
      <c r="A510" s="5" t="s">
        <v>666</v>
      </c>
      <c r="B510" s="0" t="s">
        <v>34</v>
      </c>
      <c r="C510" s="19" t="n">
        <f aca="false">seg_osemi*(0.75*C501+0.25*D501)/(0.75*C501+0.25*D501)</f>
        <v>3.93</v>
      </c>
      <c r="D510" s="19" t="n">
        <f aca="false">seg_osemi*(0.75*D501+0.25*E501)/(0.75*C501+0.25*D501)</f>
        <v>5.08067726525852</v>
      </c>
      <c r="E510" s="19" t="n">
        <f aca="false">seg_osemi*(0.75*E501+0.25*F501)/(0.75*C501+0.25*D501)</f>
        <v>6.0797299618455</v>
      </c>
      <c r="F510" s="19" t="n">
        <f aca="false">seg_osemi*(0.75*F501+0.25*G501)/(0.75*C501+0.25*D501)</f>
        <v>6.74147189236335</v>
      </c>
      <c r="G510" s="19" t="n">
        <f aca="false">seg_osemi*(0.75*G501+0.25*H501)/(0.75*C501+0.25*D501)</f>
        <v>7.12563922344852</v>
      </c>
      <c r="J510" s="5" t="s">
        <v>667</v>
      </c>
    </row>
    <row r="511" customFormat="false" ht="17.15" hidden="false" customHeight="false" outlineLevel="0" collapsed="false">
      <c r="A511" s="5" t="s">
        <v>668</v>
      </c>
      <c r="B511" s="0" t="s">
        <v>34</v>
      </c>
      <c r="C511" s="19" t="n">
        <f aca="false">seg_new</f>
        <v>9.47</v>
      </c>
      <c r="D511" s="19" t="n">
        <f aca="false">C511*(1+g_tss)</f>
        <v>9.7541</v>
      </c>
      <c r="E511" s="19" t="n">
        <f aca="false">D511*(1+g_tss)</f>
        <v>10.046723</v>
      </c>
      <c r="F511" s="19" t="n">
        <f aca="false">E511*(1+g_tss)</f>
        <v>10.34812469</v>
      </c>
      <c r="G511" s="19" t="n">
        <f aca="false">F511*(1+g_tss)</f>
        <v>10.6585684307</v>
      </c>
    </row>
    <row r="512" customFormat="false" ht="15" hidden="false" customHeight="false" outlineLevel="0" collapsed="false">
      <c r="A512" s="5" t="s">
        <v>669</v>
      </c>
      <c r="B512" s="0" t="s">
        <v>34</v>
      </c>
      <c r="C512" s="19" t="n">
        <f aca="false">seg_med</f>
        <v>2.48</v>
      </c>
      <c r="D512" s="19" t="n">
        <f aca="false">C512*(1+g_med)</f>
        <v>2.5544</v>
      </c>
      <c r="E512" s="19" t="n">
        <f aca="false">D512*(1+g_med)</f>
        <v>2.631032</v>
      </c>
      <c r="F512" s="19" t="n">
        <f aca="false">E512*(1+g_med)</f>
        <v>2.70996296</v>
      </c>
      <c r="G512" s="19" t="n">
        <f aca="false">F512*(1+g_med)</f>
        <v>2.7912618488</v>
      </c>
    </row>
    <row r="513" customFormat="false" ht="15" hidden="false" customHeight="false" outlineLevel="0" collapsed="false">
      <c r="A513" s="5" t="s">
        <v>670</v>
      </c>
      <c r="B513" s="0" t="s">
        <v>34</v>
      </c>
      <c r="C513" s="19" t="n">
        <f aca="false">seg_las*(0.75*C501+0.25*D501)/(0.75*C501+0.25*D501)</f>
        <v>2</v>
      </c>
      <c r="D513" s="19" t="n">
        <f aca="false">seg_las*(0.75*D501+0.25*E501)/(0.75*C501+0.25*D501)</f>
        <v>2.5855863945336</v>
      </c>
      <c r="E513" s="19" t="n">
        <f aca="false">seg_las*(0.75*E501+0.25*F501)/(0.75*C501+0.25*D501)</f>
        <v>3.0940101587</v>
      </c>
      <c r="F513" s="19" t="n">
        <f aca="false">seg_las*(0.75*F501+0.25*G501)/(0.75*C501+0.25*D501)</f>
        <v>3.43077449993046</v>
      </c>
      <c r="G513" s="19" t="n">
        <f aca="false">seg_las*(0.75*G501+0.25*H501)/(0.75*C501+0.25*D501)</f>
        <v>3.62627950302724</v>
      </c>
      <c r="J513" s="5" t="s">
        <v>667</v>
      </c>
    </row>
    <row r="514" customFormat="false" ht="15" hidden="false" customHeight="false" outlineLevel="0" collapsed="false">
      <c r="A514" s="5" t="s">
        <v>671</v>
      </c>
      <c r="B514" s="0" t="s">
        <v>34</v>
      </c>
      <c r="C514" s="19" t="n">
        <f aca="false">C507+C508+C509+C510+C511+C512+C513+seg_adj</f>
        <v>54.365</v>
      </c>
      <c r="D514" s="19" t="n">
        <f aca="false">D507+D508+D509+D510+D511+D512+D513</f>
        <v>63.1822247300283</v>
      </c>
      <c r="E514" s="19" t="n">
        <f aca="false">E507+E508+E509+E510+E511+E512+E513</f>
        <v>65.858628704187</v>
      </c>
      <c r="F514" s="19" t="n">
        <f aca="false">F507+F508+F509+F510+F511+F512+F513</f>
        <v>72.5785424760365</v>
      </c>
      <c r="G514" s="19" t="n">
        <f aca="false">G507+G508+G509+G510+G511+G512+G513</f>
        <v>74.3850834130713</v>
      </c>
    </row>
    <row r="515" customFormat="false" ht="17.15" hidden="false" customHeight="false" outlineLevel="0" collapsed="false">
      <c r="A515" s="1" t="s">
        <v>672</v>
      </c>
    </row>
    <row r="516" customFormat="false" ht="17.15" hidden="false" customHeight="false" outlineLevel="0" collapsed="false">
      <c r="A516" s="0" t="s">
        <v>673</v>
      </c>
      <c r="B516" s="0" t="s">
        <v>34</v>
      </c>
      <c r="D516" s="19" t="n">
        <f aca="false">g26_rev*(1+g_anc)</f>
        <v>64</v>
      </c>
    </row>
    <row r="517" customFormat="false" ht="17.15" hidden="false" customHeight="false" outlineLevel="0" collapsed="false">
      <c r="A517" s="0" t="s">
        <v>674</v>
      </c>
      <c r="B517" s="0" t="s">
        <v>34</v>
      </c>
      <c r="D517" s="19" t="n">
        <f aca="false">D516*g26_oi/g26_rev</f>
        <v>10.24</v>
      </c>
    </row>
    <row r="518" customFormat="false" ht="17.15" hidden="false" customHeight="false" outlineLevel="0" collapsed="false">
      <c r="A518" s="0" t="s">
        <v>675</v>
      </c>
      <c r="B518" s="0" t="s">
        <v>34</v>
      </c>
      <c r="D518" s="19" t="n">
        <f aca="false">D517*g26_ni/g26_oi</f>
        <v>7</v>
      </c>
    </row>
    <row r="519" customFormat="false" ht="17.15" hidden="false" customHeight="false" outlineLevel="0" collapsed="false">
      <c r="A519" s="5" t="s">
        <v>676</v>
      </c>
      <c r="B519" s="0" t="s">
        <v>198</v>
      </c>
      <c r="D519" s="20" t="n">
        <f aca="false">D516/D514</f>
        <v>1.01294312242828</v>
      </c>
      <c r="J519" s="8" t="s">
        <v>677</v>
      </c>
    </row>
    <row r="520" customFormat="false" ht="17.15" hidden="false" customHeight="false" outlineLevel="0" collapsed="false">
      <c r="A520" s="5" t="s">
        <v>678</v>
      </c>
      <c r="B520" s="0" t="s">
        <v>198</v>
      </c>
      <c r="D520" s="20" t="n">
        <f aca="false">1+1*(D519-1)</f>
        <v>1.01294312242828</v>
      </c>
      <c r="J520" s="8" t="s">
        <v>679</v>
      </c>
    </row>
    <row r="521" customFormat="false" ht="17.15" hidden="false" customHeight="false" outlineLevel="0" collapsed="false">
      <c r="A521" s="1" t="s">
        <v>680</v>
      </c>
    </row>
    <row r="522" customFormat="false" ht="17.15" hidden="false" customHeight="false" outlineLevel="0" collapsed="false">
      <c r="A522" s="0" t="s">
        <v>681</v>
      </c>
      <c r="B522" s="0" t="s">
        <v>34</v>
      </c>
      <c r="C522" s="19" t="n">
        <f aca="false">C507*1</f>
        <v>5</v>
      </c>
      <c r="D522" s="19" t="n">
        <f aca="false">D507*$D$519</f>
        <v>6.31503461522152</v>
      </c>
      <c r="E522" s="19" t="n">
        <f aca="false">E507*1</f>
        <v>5.39348046541417</v>
      </c>
      <c r="F522" s="19" t="n">
        <f aca="false">F507*1</f>
        <v>7.35661593990179</v>
      </c>
      <c r="G522" s="19" t="n">
        <f aca="false">G507*1</f>
        <v>5.70634803986976</v>
      </c>
    </row>
    <row r="523" customFormat="false" ht="17.15" hidden="false" customHeight="false" outlineLevel="0" collapsed="false">
      <c r="A523" s="0" t="s">
        <v>682</v>
      </c>
      <c r="B523" s="0" t="s">
        <v>34</v>
      </c>
      <c r="C523" s="19" t="n">
        <f aca="false">C508*1</f>
        <v>5</v>
      </c>
      <c r="D523" s="19" t="n">
        <f aca="false">D508*$D$519</f>
        <v>7.81113669202369</v>
      </c>
      <c r="E523" s="19" t="n">
        <f aca="false">E508*1</f>
        <v>5.46142533008358</v>
      </c>
      <c r="F523" s="19" t="n">
        <f aca="false">F508*1</f>
        <v>4.91291310951257</v>
      </c>
      <c r="G523" s="19" t="n">
        <f aca="false">G508*1</f>
        <v>4.72646096843851</v>
      </c>
    </row>
    <row r="524" customFormat="false" ht="17.15" hidden="false" customHeight="false" outlineLevel="0" collapsed="false">
      <c r="A524" s="5" t="s">
        <v>683</v>
      </c>
      <c r="B524" s="0" t="s">
        <v>34</v>
      </c>
      <c r="C524" s="19" t="n">
        <f aca="false">C509*1</f>
        <v>26.46</v>
      </c>
      <c r="D524" s="19" t="n">
        <f aca="false">D509*$D$519</f>
        <v>29.6405292214381</v>
      </c>
      <c r="E524" s="19" t="n">
        <f aca="false">E509*$D$520</f>
        <v>33.5813211311759</v>
      </c>
      <c r="F524" s="19" t="n">
        <f aca="false">F509*$D$520</f>
        <v>37.5585932710785</v>
      </c>
      <c r="G524" s="19" t="n">
        <f aca="false">G509*$D$520</f>
        <v>40.2650213156121</v>
      </c>
    </row>
    <row r="525" customFormat="false" ht="15" hidden="false" customHeight="false" outlineLevel="0" collapsed="false">
      <c r="A525" s="5" t="s">
        <v>684</v>
      </c>
      <c r="B525" s="0" t="s">
        <v>34</v>
      </c>
      <c r="C525" s="19" t="n">
        <f aca="false">C510*1</f>
        <v>3.93</v>
      </c>
      <c r="D525" s="19" t="n">
        <f aca="false">D510*$D$519</f>
        <v>5.14643709312132</v>
      </c>
      <c r="E525" s="19" t="n">
        <f aca="false">E510*$D$520</f>
        <v>6.15842065107253</v>
      </c>
      <c r="F525" s="19" t="n">
        <f aca="false">F510*$D$520</f>
        <v>6.828727588413</v>
      </c>
      <c r="G525" s="19" t="n">
        <f aca="false">G510*$D$520</f>
        <v>7.21786724429734</v>
      </c>
    </row>
    <row r="526" customFormat="false" ht="17.15" hidden="false" customHeight="false" outlineLevel="0" collapsed="false">
      <c r="A526" s="5" t="s">
        <v>685</v>
      </c>
      <c r="B526" s="0" t="s">
        <v>34</v>
      </c>
      <c r="C526" s="19" t="n">
        <f aca="false">C511*1</f>
        <v>9.47</v>
      </c>
      <c r="D526" s="19" t="n">
        <f aca="false">D511*$D$519</f>
        <v>9.88034851047766</v>
      </c>
      <c r="E526" s="19" t="n">
        <f aca="false">E511*$D$520</f>
        <v>10.176758965792</v>
      </c>
      <c r="F526" s="19" t="n">
        <f aca="false">F511*$D$520</f>
        <v>10.4820617347658</v>
      </c>
      <c r="G526" s="19" t="n">
        <f aca="false">G511*$D$520</f>
        <v>10.7965235868087</v>
      </c>
    </row>
    <row r="527" customFormat="false" ht="15" hidden="false" customHeight="false" outlineLevel="0" collapsed="false">
      <c r="A527" s="5" t="s">
        <v>686</v>
      </c>
      <c r="B527" s="0" t="s">
        <v>34</v>
      </c>
      <c r="C527" s="19" t="n">
        <f aca="false">C512*1</f>
        <v>2.48</v>
      </c>
      <c r="D527" s="19" t="n">
        <f aca="false">D512*$D$519</f>
        <v>2.58746191193079</v>
      </c>
      <c r="E527" s="19" t="n">
        <f aca="false">E512*$D$520</f>
        <v>2.66508576928872</v>
      </c>
      <c r="F527" s="19" t="n">
        <f aca="false">F512*$D$520</f>
        <v>2.74503834236738</v>
      </c>
      <c r="G527" s="19" t="n">
        <f aca="false">G512*$D$520</f>
        <v>2.8273894926384</v>
      </c>
    </row>
    <row r="528" customFormat="false" ht="15" hidden="false" customHeight="false" outlineLevel="0" collapsed="false">
      <c r="A528" s="5" t="s">
        <v>687</v>
      </c>
      <c r="B528" s="0" t="s">
        <v>34</v>
      </c>
      <c r="C528" s="19" t="n">
        <f aca="false">C513*1</f>
        <v>2</v>
      </c>
      <c r="D528" s="19" t="n">
        <f aca="false">D513*$D$519</f>
        <v>2.61905195578693</v>
      </c>
      <c r="E528" s="19" t="n">
        <f aca="false">E513*$D$520</f>
        <v>3.13405631097839</v>
      </c>
      <c r="F528" s="19" t="n">
        <f aca="false">F513*$D$520</f>
        <v>3.47517943430687</v>
      </c>
      <c r="G528" s="19" t="n">
        <f aca="false">G513*$D$520</f>
        <v>3.67321488259407</v>
      </c>
    </row>
    <row r="529" customFormat="false" ht="17.15" hidden="false" customHeight="false" outlineLevel="0" collapsed="false">
      <c r="A529" s="0" t="s">
        <v>688</v>
      </c>
      <c r="B529" s="0" t="s">
        <v>34</v>
      </c>
      <c r="C529" s="19" t="n">
        <f aca="false">C522+C523</f>
        <v>10</v>
      </c>
      <c r="D529" s="19" t="n">
        <f aca="false">D522+D523</f>
        <v>14.1261713072452</v>
      </c>
      <c r="E529" s="19" t="n">
        <f aca="false">E522+E523</f>
        <v>10.8549057954977</v>
      </c>
      <c r="F529" s="19" t="n">
        <f aca="false">F522+F523</f>
        <v>12.2695290494144</v>
      </c>
      <c r="G529" s="19" t="n">
        <f aca="false">G522+G523</f>
        <v>10.4328090083083</v>
      </c>
    </row>
    <row r="530" customFormat="false" ht="17.15" hidden="false" customHeight="false" outlineLevel="0" collapsed="false">
      <c r="A530" s="5" t="s">
        <v>689</v>
      </c>
      <c r="B530" s="0" t="s">
        <v>34</v>
      </c>
      <c r="C530" s="19" t="n">
        <f aca="false">C529+C524+C525</f>
        <v>40.39</v>
      </c>
      <c r="D530" s="19" t="n">
        <f aca="false">D529+D524+D525</f>
        <v>48.9131376218046</v>
      </c>
      <c r="E530" s="19" t="n">
        <f aca="false">E529+E524+E525</f>
        <v>50.5946475777461</v>
      </c>
      <c r="F530" s="19" t="n">
        <f aca="false">F529+F524+F525</f>
        <v>56.6568499089059</v>
      </c>
      <c r="G530" s="19" t="n">
        <f aca="false">G529+G524+G525</f>
        <v>57.9156975682178</v>
      </c>
      <c r="J530" s="5" t="s">
        <v>690</v>
      </c>
    </row>
    <row r="531" customFormat="false" ht="17.15" hidden="false" customHeight="false" outlineLevel="0" collapsed="false">
      <c r="A531" s="5" t="s">
        <v>541</v>
      </c>
      <c r="B531" s="0" t="s">
        <v>34</v>
      </c>
      <c r="C531" s="19" t="n">
        <f aca="false">C530+C526+C527+C528+seg_adj</f>
        <v>54.365</v>
      </c>
      <c r="D531" s="19" t="n">
        <f aca="false">D530+D526+D527+D528</f>
        <v>64</v>
      </c>
      <c r="E531" s="19" t="n">
        <f aca="false">E530+E526+E527+E528</f>
        <v>66.5705486238052</v>
      </c>
      <c r="F531" s="19" t="n">
        <f aca="false">F530+F526+F527+F528</f>
        <v>73.3591294203459</v>
      </c>
      <c r="G531" s="19" t="n">
        <f aca="false">G530+G526+G527+G528</f>
        <v>75.212825530259</v>
      </c>
      <c r="J531" s="8" t="s">
        <v>691</v>
      </c>
    </row>
    <row r="532" customFormat="false" ht="17.15" hidden="false" customHeight="false" outlineLevel="0" collapsed="false">
      <c r="A532" s="5" t="s">
        <v>692</v>
      </c>
      <c r="B532" s="0" t="s">
        <v>34</v>
      </c>
      <c r="C532" s="20" t="n">
        <f aca="false">C530+C526+C527+C528-a25_rev</f>
        <v>-0.0249999999999986</v>
      </c>
    </row>
    <row r="533" customFormat="false" ht="17.15" hidden="false" customHeight="false" outlineLevel="0" collapsed="false">
      <c r="A533" s="0" t="s">
        <v>621</v>
      </c>
      <c r="B533" s="0" t="s">
        <v>94</v>
      </c>
      <c r="C533" s="11" t="n">
        <f aca="false">C529/C531</f>
        <v>0.1839418743677</v>
      </c>
      <c r="D533" s="11" t="n">
        <f aca="false">D529/D531</f>
        <v>0.220721426675706</v>
      </c>
      <c r="E533" s="11" t="n">
        <f aca="false">E529/E531</f>
        <v>0.163058680150581</v>
      </c>
      <c r="F533" s="11" t="n">
        <f aca="false">F529/F531</f>
        <v>0.167252926068823</v>
      </c>
      <c r="G533" s="11" t="n">
        <f aca="false">G529/G531</f>
        <v>0.138710504953853</v>
      </c>
    </row>
    <row r="534" customFormat="false" ht="17.15" hidden="false" customHeight="false" outlineLevel="0" collapsed="false">
      <c r="A534" s="5" t="s">
        <v>545</v>
      </c>
      <c r="B534" s="0" t="s">
        <v>34</v>
      </c>
      <c r="C534" s="19" t="n">
        <f aca="false">a25_oi</f>
        <v>6.917</v>
      </c>
      <c r="D534" s="19" t="n">
        <f aca="false">D517</f>
        <v>10.24</v>
      </c>
      <c r="E534" s="19" t="n">
        <f aca="false">$D534+(im+ima_A)*(E531-$D531)</f>
        <v>11.0099336176016</v>
      </c>
      <c r="F534" s="19" t="n">
        <f aca="false">$D534+(im+ima_A)*(F531-$D531)</f>
        <v>13.0432569800378</v>
      </c>
      <c r="G534" s="19" t="n">
        <f aca="false">$D534+(im+ima_A)*(G531-$D531)</f>
        <v>13.5984781256805</v>
      </c>
      <c r="J534" s="8" t="s">
        <v>693</v>
      </c>
    </row>
    <row r="535" customFormat="false" ht="15" hidden="false" customHeight="false" outlineLevel="0" collapsed="false">
      <c r="A535" s="5" t="s">
        <v>694</v>
      </c>
      <c r="B535" s="0" t="s">
        <v>94</v>
      </c>
      <c r="C535" s="11" t="n">
        <f aca="false">C534/C531</f>
        <v>0.127232594500138</v>
      </c>
      <c r="D535" s="11" t="n">
        <f aca="false">D534/D531</f>
        <v>0.16</v>
      </c>
      <c r="E535" s="11" t="n">
        <f aca="false">E534/E531</f>
        <v>0.16538745504141</v>
      </c>
      <c r="F535" s="11" t="n">
        <f aca="false">F534/F531</f>
        <v>0.177800051378749</v>
      </c>
      <c r="G535" s="11" t="n">
        <f aca="false">G534/G531</f>
        <v>0.180799990291678</v>
      </c>
    </row>
    <row r="536" customFormat="false" ht="15" hidden="false" customHeight="false" outlineLevel="0" collapsed="false">
      <c r="A536" s="5" t="s">
        <v>548</v>
      </c>
      <c r="B536" s="0" t="s">
        <v>34</v>
      </c>
      <c r="C536" s="19" t="n">
        <f aca="false">a25_ni</f>
        <v>4.593</v>
      </c>
      <c r="D536" s="19" t="n">
        <f aca="false">D518</f>
        <v>7</v>
      </c>
      <c r="E536" s="19" t="n">
        <f aca="false">E534*nioi</f>
        <v>7.52632180890734</v>
      </c>
      <c r="F536" s="19" t="n">
        <f aca="false">F534*nioi</f>
        <v>8.9162889511977</v>
      </c>
      <c r="G536" s="19" t="n">
        <f aca="false">G534*nioi</f>
        <v>9.29583465622688</v>
      </c>
    </row>
    <row r="537" customFormat="false" ht="15" hidden="false" customHeight="false" outlineLevel="0" collapsed="false">
      <c r="A537" s="0" t="s">
        <v>622</v>
      </c>
      <c r="B537" s="0" t="s">
        <v>52</v>
      </c>
      <c r="C537" s="22" t="n">
        <f aca="false">a25_eps</f>
        <v>61.22</v>
      </c>
      <c r="D537" s="22" t="n">
        <f aca="false">D536*1000/shares</f>
        <v>93.2961492201002</v>
      </c>
      <c r="E537" s="22" t="n">
        <f aca="false">E536*1000/shares</f>
        <v>100.310977508902</v>
      </c>
      <c r="F537" s="22" t="n">
        <f aca="false">F536*1000/shares</f>
        <v>118.836489211496</v>
      </c>
      <c r="G537" s="22" t="n">
        <f aca="false">G536*1000/shares</f>
        <v>123.89508245896</v>
      </c>
    </row>
    <row r="538" customFormat="false" ht="17.15" hidden="false" customHeight="false" outlineLevel="0" collapsed="false">
      <c r="A538" s="5" t="s">
        <v>695</v>
      </c>
      <c r="B538" s="0" t="s">
        <v>34</v>
      </c>
      <c r="C538" s="20" t="n">
        <f aca="false">ABS(C531-a25_rev)+ABS(C534-a25_oi)+ABS(D531-D516)</f>
        <v>0</v>
      </c>
    </row>
    <row r="550" customFormat="false" ht="17.15" hidden="false" customHeight="false" outlineLevel="0" collapsed="false">
      <c r="A550" s="3" t="s">
        <v>1024</v>
      </c>
    </row>
    <row r="551" customFormat="false" ht="17.15" hidden="false" customHeight="false" outlineLevel="0" collapsed="false">
      <c r="A551" s="6" t="s">
        <v>23</v>
      </c>
      <c r="B551" s="6" t="s">
        <v>24</v>
      </c>
      <c r="C551" s="15" t="s">
        <v>628</v>
      </c>
      <c r="D551" s="15" t="s">
        <v>629</v>
      </c>
      <c r="E551" s="15" t="s">
        <v>630</v>
      </c>
      <c r="F551" s="15" t="s">
        <v>631</v>
      </c>
      <c r="G551" s="15" t="s">
        <v>632</v>
      </c>
      <c r="H551" s="15" t="s">
        <v>633</v>
      </c>
      <c r="I551" s="15" t="s">
        <v>634</v>
      </c>
      <c r="J551" s="6" t="s">
        <v>468</v>
      </c>
    </row>
    <row r="552" customFormat="false" ht="17.15" hidden="false" customHeight="false" outlineLevel="0" collapsed="false">
      <c r="A552" s="1" t="s">
        <v>635</v>
      </c>
    </row>
    <row r="553" customFormat="false" ht="17.15" hidden="false" customHeight="false" outlineLevel="0" collapsed="false">
      <c r="A553" s="0" t="s">
        <v>636</v>
      </c>
      <c r="B553" s="0" t="s">
        <v>111</v>
      </c>
      <c r="C553" s="21" t="n">
        <f aca="false">hsA_25</f>
        <v>2.22511470588235</v>
      </c>
      <c r="D553" s="21" t="n">
        <f aca="false">hsA_26</f>
        <v>3.782695</v>
      </c>
      <c r="E553" s="21" t="n">
        <f aca="false">hsA_27</f>
        <v>5.86317725</v>
      </c>
      <c r="F553" s="21" t="n">
        <f aca="false">hsA_28</f>
        <v>8.5016070125</v>
      </c>
      <c r="G553" s="21" t="n">
        <f aca="false">hsA_29</f>
        <v>11.477169466875</v>
      </c>
      <c r="J553" s="8" t="s">
        <v>637</v>
      </c>
    </row>
    <row r="554" customFormat="false" ht="17.15" hidden="false" customHeight="false" outlineLevel="0" collapsed="false">
      <c r="A554" s="0" t="s">
        <v>638</v>
      </c>
      <c r="B554" s="0" t="s">
        <v>639</v>
      </c>
      <c r="C554" s="21" t="n">
        <f aca="false">den_25</f>
        <v>24</v>
      </c>
      <c r="D554" s="21" t="n">
        <f aca="false">den_26</f>
        <v>24</v>
      </c>
      <c r="E554" s="21" t="n">
        <f aca="false">den_27</f>
        <v>26</v>
      </c>
      <c r="F554" s="21" t="n">
        <f aca="false">den_28</f>
        <v>28</v>
      </c>
      <c r="G554" s="21" t="n">
        <f aca="false">den_29</f>
        <v>30</v>
      </c>
    </row>
    <row r="555" customFormat="false" ht="15" hidden="false" customHeight="false" outlineLevel="0" collapsed="false">
      <c r="A555" s="5" t="s">
        <v>640</v>
      </c>
      <c r="B555" s="5" t="s">
        <v>160</v>
      </c>
      <c r="C555" s="21" t="n">
        <f aca="false">stk_25_lo</f>
        <v>8</v>
      </c>
      <c r="D555" s="21" t="n">
        <f aca="false">stk_26_lo</f>
        <v>10</v>
      </c>
      <c r="E555" s="21" t="n">
        <f aca="false">stk_27_lo</f>
        <v>12</v>
      </c>
      <c r="F555" s="21" t="n">
        <f aca="false">stk_28_lo</f>
        <v>12</v>
      </c>
      <c r="G555" s="21" t="n">
        <f aca="false">stk_29_lo</f>
        <v>12</v>
      </c>
    </row>
    <row r="556" customFormat="false" ht="17.15" hidden="false" customHeight="false" outlineLevel="0" collapsed="false">
      <c r="A556" s="0" t="s">
        <v>641</v>
      </c>
      <c r="B556" s="5" t="s">
        <v>642</v>
      </c>
      <c r="C556" s="23" t="n">
        <f aca="false">C553*8/(C554*C555)</f>
        <v>0.0927131127450979</v>
      </c>
      <c r="D556" s="23" t="n">
        <f aca="false">D553*8/(D554*D555)</f>
        <v>0.126089833333333</v>
      </c>
      <c r="E556" s="23" t="n">
        <f aca="false">E553*8/(E554*E555)</f>
        <v>0.150337878205128</v>
      </c>
      <c r="F556" s="23" t="n">
        <f aca="false">F553*8/(F554*F555)</f>
        <v>0.202419214583333</v>
      </c>
      <c r="G556" s="23" t="n">
        <f aca="false">G553*8/(G554*G555)</f>
        <v>0.255048210375</v>
      </c>
      <c r="H556" s="23" t="n">
        <f aca="false">G556*(1+g_tail)</f>
        <v>0.2805530314125</v>
      </c>
      <c r="I556" s="23" t="n">
        <f aca="false">H556*(1+g_tail)</f>
        <v>0.30860833455375</v>
      </c>
      <c r="J556" s="8" t="s">
        <v>643</v>
      </c>
    </row>
    <row r="557" customFormat="false" ht="17.15" hidden="false" customHeight="false" outlineLevel="0" collapsed="false">
      <c r="A557" s="0" t="s">
        <v>644</v>
      </c>
      <c r="B557" s="5" t="s">
        <v>642</v>
      </c>
      <c r="C557" s="23" t="n">
        <f aca="false">MAX(0,D556-C556)+dlt*C556</f>
        <v>0.0426480318627452</v>
      </c>
      <c r="D557" s="23" t="n">
        <f aca="false">MAX(0,E556-D556)+dlt*D556</f>
        <v>0.0368570282051282</v>
      </c>
      <c r="E557" s="23" t="n">
        <f aca="false">MAX(0,F556-E556)+dlt*E556</f>
        <v>0.0671151241987179</v>
      </c>
      <c r="F557" s="23" t="n">
        <f aca="false">MAX(0,G556-F556)+dlt*F556</f>
        <v>0.0728709172500001</v>
      </c>
      <c r="G557" s="23" t="n">
        <f aca="false">MAX(0,H556-G556)+dlt*G556</f>
        <v>0.051009642075</v>
      </c>
      <c r="H557" s="23" t="n">
        <f aca="false">MAX(0,I556-H556)+dlt*H556</f>
        <v>0.0561106062825</v>
      </c>
      <c r="J557" s="5" t="s">
        <v>645</v>
      </c>
    </row>
    <row r="558" customFormat="false" ht="17.15" hidden="false" customHeight="false" outlineLevel="0" collapsed="false">
      <c r="A558" s="0" t="s">
        <v>646</v>
      </c>
      <c r="B558" s="5" t="s">
        <v>183</v>
      </c>
      <c r="C558" s="14" t="n">
        <f aca="false">cw_25</f>
        <v>670</v>
      </c>
      <c r="D558" s="14" t="n">
        <f aca="false">cw_26</f>
        <v>1107.85762580894</v>
      </c>
      <c r="E558" s="14" t="n">
        <f aca="false">cw_27</f>
        <v>2096.42857142857</v>
      </c>
      <c r="F558" s="14" t="n">
        <f aca="false">cw_28*um28_A</f>
        <v>2620.08928571429</v>
      </c>
      <c r="G558" s="14" t="n">
        <f aca="false">cw_29*um29_A</f>
        <v>3013.32589285714</v>
      </c>
      <c r="H558" s="14" t="n">
        <f aca="false">G558*(1+g_tail)</f>
        <v>3314.65848214285</v>
      </c>
      <c r="I558" s="14" t="n">
        <f aca="false">H558*(1+g_tail)</f>
        <v>3646.12433035714</v>
      </c>
      <c r="J558" s="5" t="s">
        <v>647</v>
      </c>
    </row>
    <row r="559" customFormat="false" ht="17.15" hidden="false" customHeight="false" outlineLevel="0" collapsed="false">
      <c r="A559" s="0" t="s">
        <v>648</v>
      </c>
      <c r="B559" s="5" t="s">
        <v>183</v>
      </c>
      <c r="C559" s="14" t="n">
        <f aca="false">MAX(0,D558-C558)+dlt*C558</f>
        <v>504.85762580894</v>
      </c>
      <c r="D559" s="14" t="n">
        <f aca="false">MAX(0,E558-D558)+dlt*D558</f>
        <v>1099.35670820052</v>
      </c>
      <c r="E559" s="14" t="n">
        <f aca="false">MAX(0,F558-E558)+dlt*E558</f>
        <v>733.303571428577</v>
      </c>
      <c r="F559" s="14" t="n">
        <f aca="false">MAX(0,G558-F558)+dlt*F558</f>
        <v>655.245535714279</v>
      </c>
      <c r="G559" s="14" t="n">
        <f aca="false">MAX(0,H558-G558)+dlt*G558</f>
        <v>602.665178571428</v>
      </c>
      <c r="H559" s="14" t="n">
        <f aca="false">MAX(0,I558-H558)+dlt*H558</f>
        <v>662.931696428571</v>
      </c>
    </row>
    <row r="560" customFormat="false" ht="17.15" hidden="false" customHeight="false" outlineLevel="0" collapsed="false">
      <c r="A560" s="5" t="s">
        <v>649</v>
      </c>
      <c r="B560" s="0" t="s">
        <v>219</v>
      </c>
      <c r="C560" s="21" t="n">
        <f aca="false">pk_25*(eqtA_25-eqaA_25)/(eqtA_25-eqaA_25)</f>
        <v>6.11313868613139</v>
      </c>
      <c r="D560" s="21" t="n">
        <f aca="false">pk_26*(eqtA_26-eqaA_26)/(eqtA_26-eqaA_26)</f>
        <v>6.7</v>
      </c>
      <c r="E560" s="21" t="n">
        <f aca="false">pk_27*(eqtA_27-eqaA_27)/(eqtA_27-eqaA_27)</f>
        <v>7.59078388573934</v>
      </c>
      <c r="F560" s="21" t="n">
        <f aca="false">pk_28*(eqtA_28-eqaA_28)/(eqtA_28-eqaA_28)</f>
        <v>8.6</v>
      </c>
      <c r="G560" s="21" t="n">
        <f aca="false">pk_29*(eqtA_29-eqaA_29)/(eqtA_29-eqaA_29)</f>
        <v>9.288</v>
      </c>
      <c r="H560" s="21" t="n">
        <f aca="false">G560*(1+g_pk_tail)</f>
        <v>9.7524</v>
      </c>
      <c r="J560" s="8" t="s">
        <v>650</v>
      </c>
    </row>
    <row r="561" customFormat="false" ht="15" hidden="false" customHeight="false" outlineLevel="0" collapsed="false">
      <c r="A561" s="5" t="s">
        <v>651</v>
      </c>
      <c r="B561" s="0" t="s">
        <v>219</v>
      </c>
      <c r="C561" s="24" t="n">
        <f aca="false">eqtA_25</f>
        <v>134.689359843138</v>
      </c>
      <c r="D561" s="24" t="n">
        <f aca="false">eqtA_26</f>
        <v>178.157050570127</v>
      </c>
      <c r="E561" s="24" t="n">
        <f aca="false">eqtA_27</f>
        <v>218.225535760082</v>
      </c>
      <c r="F561" s="24" t="n">
        <f aca="false">eqtA_28</f>
        <v>246.028626308958</v>
      </c>
      <c r="G561" s="24" t="n">
        <f aca="false">eqtA_29</f>
        <v>260.655685855226</v>
      </c>
      <c r="H561" s="24" t="n">
        <f aca="false">G561*(1+g_pk_tail)</f>
        <v>273.688470147987</v>
      </c>
      <c r="J561" s="5" t="s">
        <v>652</v>
      </c>
    </row>
    <row r="562" customFormat="false" ht="17.15" hidden="false" customHeight="false" outlineLevel="0" collapsed="false">
      <c r="A562" s="1" t="s">
        <v>653</v>
      </c>
    </row>
    <row r="563" customFormat="false" ht="17.15" hidden="false" customHeight="false" outlineLevel="0" collapsed="false">
      <c r="A563" s="0" t="s">
        <v>654</v>
      </c>
      <c r="B563" s="0" t="s">
        <v>655</v>
      </c>
      <c r="C563" s="24" t="n">
        <f aca="false">ai_25*w_hbm/(0.75*C557+0.25*D557)</f>
        <v>121.358395741749</v>
      </c>
      <c r="J563" s="5" t="s">
        <v>656</v>
      </c>
    </row>
    <row r="564" customFormat="false" ht="17.15" hidden="false" customHeight="false" outlineLevel="0" collapsed="false">
      <c r="A564" s="0" t="s">
        <v>657</v>
      </c>
      <c r="B564" s="0" t="s">
        <v>658</v>
      </c>
      <c r="C564" s="25" t="n">
        <f aca="false">ai_25*(1-w_hbm)/(0.75*C559+0.25*D559)</f>
        <v>0.0076513155174377</v>
      </c>
    </row>
    <row r="565" customFormat="false" ht="17.15" hidden="false" customHeight="false" outlineLevel="0" collapsed="false">
      <c r="A565" s="1" t="s">
        <v>659</v>
      </c>
    </row>
    <row r="566" customFormat="false" ht="17.15" hidden="false" customHeight="false" outlineLevel="0" collapsed="false">
      <c r="A566" s="0" t="s">
        <v>660</v>
      </c>
      <c r="B566" s="0" t="s">
        <v>198</v>
      </c>
      <c r="C566" s="20" t="n">
        <f aca="false">1-shl_A/sh*0</f>
        <v>1</v>
      </c>
      <c r="D566" s="20" t="n">
        <f aca="false">1-shl_A/sh*0.25</f>
        <v>1</v>
      </c>
      <c r="E566" s="20" t="n">
        <f aca="false">1-shl_A/sh*0.5</f>
        <v>1</v>
      </c>
      <c r="F566" s="20" t="n">
        <f aca="false">1-shl_A/sh*0.75</f>
        <v>1</v>
      </c>
      <c r="G566" s="20" t="n">
        <f aca="false">1-shl_A/sh*1</f>
        <v>1</v>
      </c>
      <c r="J566" s="5" t="s">
        <v>661</v>
      </c>
    </row>
    <row r="567" customFormat="false" ht="17.15" hidden="false" customHeight="false" outlineLevel="0" collapsed="false">
      <c r="A567" s="0" t="s">
        <v>662</v>
      </c>
      <c r="B567" s="0" t="s">
        <v>34</v>
      </c>
      <c r="C567" s="19" t="n">
        <f aca="false">$C$563*(0.75*C557+0.25*D557)*C566</f>
        <v>5</v>
      </c>
      <c r="D567" s="19" t="n">
        <f aca="false">$C$563*(0.75*D557+0.25*E557)*D566</f>
        <v>5.39092831177822</v>
      </c>
      <c r="E567" s="19" t="n">
        <f aca="false">$C$563*(0.75*E557+0.25*F557)*E566</f>
        <v>8.31961225549592</v>
      </c>
      <c r="F567" s="19" t="n">
        <f aca="false">$C$563*(0.75*F557+0.25*G557)*F566</f>
        <v>8.18023529266301</v>
      </c>
      <c r="G567" s="19" t="n">
        <f aca="false">$C$563*(0.75*G557+0.25*H557)*G566</f>
        <v>6.34520953782239</v>
      </c>
    </row>
    <row r="568" customFormat="false" ht="17.15" hidden="false" customHeight="false" outlineLevel="0" collapsed="false">
      <c r="A568" s="0" t="s">
        <v>663</v>
      </c>
      <c r="B568" s="0" t="s">
        <v>34</v>
      </c>
      <c r="C568" s="19" t="n">
        <f aca="false">$C$564*(0.75*C559+0.25*D559)*C566</f>
        <v>5</v>
      </c>
      <c r="D568" s="19" t="n">
        <f aca="false">$C$564*(0.75*D559+0.25*E559)*D566</f>
        <v>7.71132802925642</v>
      </c>
      <c r="E568" s="19" t="n">
        <f aca="false">$C$564*(0.75*E559+0.25*F559)*E566</f>
        <v>5.46142533008358</v>
      </c>
      <c r="F568" s="19" t="n">
        <f aca="false">$C$564*(0.75*F559+0.25*G559)*F566</f>
        <v>4.91291310951257</v>
      </c>
      <c r="G568" s="19" t="n">
        <f aca="false">$C$564*(0.75*G559+0.25*H559)*G566</f>
        <v>4.72646096843851</v>
      </c>
    </row>
    <row r="569" customFormat="false" ht="17.15" hidden="false" customHeight="false" outlineLevel="0" collapsed="false">
      <c r="A569" s="5" t="s">
        <v>664</v>
      </c>
      <c r="B569" s="0" t="s">
        <v>34</v>
      </c>
      <c r="C569" s="19" t="n">
        <f aca="false">(seg_mold-ai_25)*(0.75*C560+0.25*D560)/(0.75*C560+0.25*D560)</f>
        <v>26.46</v>
      </c>
      <c r="D569" s="19" t="n">
        <f aca="false">(seg_mold-ai_25)*(0.75*D560+0.25*E560)/(0.75*C560+0.25*D560)</f>
        <v>29.2617902872793</v>
      </c>
      <c r="E569" s="19" t="n">
        <f aca="false">(seg_mold-ai_25)*(0.75*E560+0.25*F560)/(0.75*C560+0.25*D560)</f>
        <v>33.1522277881438</v>
      </c>
      <c r="F569" s="19" t="n">
        <f aca="false">(seg_mold-ai_25)*(0.75*F560+0.25*G560)/(0.75*C560+0.25*D560)</f>
        <v>37.0786793843283</v>
      </c>
      <c r="G569" s="19" t="n">
        <f aca="false">(seg_mold-ai_25)*(0.75*G560+0.25*H560)/(0.75*C560+0.25*D560)</f>
        <v>39.7505253987873</v>
      </c>
      <c r="J569" s="8" t="s">
        <v>665</v>
      </c>
    </row>
    <row r="570" customFormat="false" ht="15" hidden="false" customHeight="false" outlineLevel="0" collapsed="false">
      <c r="A570" s="5" t="s">
        <v>666</v>
      </c>
      <c r="B570" s="0" t="s">
        <v>34</v>
      </c>
      <c r="C570" s="19" t="n">
        <f aca="false">seg_osemi*(0.75*C561+0.25*D561)/(0.75*C561+0.25*D561)</f>
        <v>3.93</v>
      </c>
      <c r="D570" s="19" t="n">
        <f aca="false">seg_osemi*(0.75*D561+0.25*E561)/(0.75*C561+0.25*D561)</f>
        <v>5.08067726525852</v>
      </c>
      <c r="E570" s="19" t="n">
        <f aca="false">seg_osemi*(0.75*E561+0.25*F561)/(0.75*C561+0.25*D561)</f>
        <v>6.0797299618455</v>
      </c>
      <c r="F570" s="19" t="n">
        <f aca="false">seg_osemi*(0.75*F561+0.25*G561)/(0.75*C561+0.25*D561)</f>
        <v>6.74147189236335</v>
      </c>
      <c r="G570" s="19" t="n">
        <f aca="false">seg_osemi*(0.75*G561+0.25*H561)/(0.75*C561+0.25*D561)</f>
        <v>7.12563922344852</v>
      </c>
      <c r="J570" s="5" t="s">
        <v>667</v>
      </c>
    </row>
    <row r="571" customFormat="false" ht="17.15" hidden="false" customHeight="false" outlineLevel="0" collapsed="false">
      <c r="A571" s="5" t="s">
        <v>668</v>
      </c>
      <c r="B571" s="0" t="s">
        <v>34</v>
      </c>
      <c r="C571" s="19" t="n">
        <f aca="false">seg_new</f>
        <v>9.47</v>
      </c>
      <c r="D571" s="19" t="n">
        <f aca="false">C571*(1+g_tss)</f>
        <v>9.7541</v>
      </c>
      <c r="E571" s="19" t="n">
        <f aca="false">D571*(1+g_tss)</f>
        <v>10.046723</v>
      </c>
      <c r="F571" s="19" t="n">
        <f aca="false">E571*(1+g_tss)</f>
        <v>10.34812469</v>
      </c>
      <c r="G571" s="19" t="n">
        <f aca="false">F571*(1+g_tss)</f>
        <v>10.6585684307</v>
      </c>
    </row>
    <row r="572" customFormat="false" ht="15" hidden="false" customHeight="false" outlineLevel="0" collapsed="false">
      <c r="A572" s="5" t="s">
        <v>669</v>
      </c>
      <c r="B572" s="0" t="s">
        <v>34</v>
      </c>
      <c r="C572" s="19" t="n">
        <f aca="false">seg_med</f>
        <v>2.48</v>
      </c>
      <c r="D572" s="19" t="n">
        <f aca="false">C572*(1+g_med)</f>
        <v>2.5544</v>
      </c>
      <c r="E572" s="19" t="n">
        <f aca="false">D572*(1+g_med)</f>
        <v>2.631032</v>
      </c>
      <c r="F572" s="19" t="n">
        <f aca="false">E572*(1+g_med)</f>
        <v>2.70996296</v>
      </c>
      <c r="G572" s="19" t="n">
        <f aca="false">F572*(1+g_med)</f>
        <v>2.7912618488</v>
      </c>
    </row>
    <row r="573" customFormat="false" ht="15" hidden="false" customHeight="false" outlineLevel="0" collapsed="false">
      <c r="A573" s="5" t="s">
        <v>670</v>
      </c>
      <c r="B573" s="0" t="s">
        <v>34</v>
      </c>
      <c r="C573" s="19" t="n">
        <f aca="false">seg_las*(0.75*C561+0.25*D561)/(0.75*C561+0.25*D561)</f>
        <v>2</v>
      </c>
      <c r="D573" s="19" t="n">
        <f aca="false">seg_las*(0.75*D561+0.25*E561)/(0.75*C561+0.25*D561)</f>
        <v>2.5855863945336</v>
      </c>
      <c r="E573" s="19" t="n">
        <f aca="false">seg_las*(0.75*E561+0.25*F561)/(0.75*C561+0.25*D561)</f>
        <v>3.0940101587</v>
      </c>
      <c r="F573" s="19" t="n">
        <f aca="false">seg_las*(0.75*F561+0.25*G561)/(0.75*C561+0.25*D561)</f>
        <v>3.43077449993046</v>
      </c>
      <c r="G573" s="19" t="n">
        <f aca="false">seg_las*(0.75*G561+0.25*H561)/(0.75*C561+0.25*D561)</f>
        <v>3.62627950302724</v>
      </c>
      <c r="J573" s="5" t="s">
        <v>667</v>
      </c>
    </row>
    <row r="574" customFormat="false" ht="15" hidden="false" customHeight="false" outlineLevel="0" collapsed="false">
      <c r="A574" s="5" t="s">
        <v>671</v>
      </c>
      <c r="B574" s="0" t="s">
        <v>34</v>
      </c>
      <c r="C574" s="19" t="n">
        <f aca="false">C567+C568+C569+C570+C571+C572+C573+seg_adj</f>
        <v>54.365</v>
      </c>
      <c r="D574" s="19" t="n">
        <f aca="false">D567+D568+D569+D570+D571+D572+D573</f>
        <v>62.338810288106</v>
      </c>
      <c r="E574" s="19" t="n">
        <f aca="false">E567+E568+E569+E570+E571+E572+E573</f>
        <v>68.7847604942688</v>
      </c>
      <c r="F574" s="19" t="n">
        <f aca="false">F567+F568+F569+F570+F571+F572+F573</f>
        <v>73.4021618287977</v>
      </c>
      <c r="G574" s="19" t="n">
        <f aca="false">G567+G568+G569+G570+G571+G572+G573</f>
        <v>75.023944911024</v>
      </c>
    </row>
    <row r="575" customFormat="false" ht="17.15" hidden="false" customHeight="false" outlineLevel="0" collapsed="false">
      <c r="A575" s="1" t="s">
        <v>672</v>
      </c>
    </row>
    <row r="576" customFormat="false" ht="17.15" hidden="false" customHeight="false" outlineLevel="0" collapsed="false">
      <c r="A576" s="0" t="s">
        <v>673</v>
      </c>
      <c r="B576" s="0" t="s">
        <v>34</v>
      </c>
      <c r="D576" s="19" t="n">
        <f aca="false">g26_rev*(1+g_anc)</f>
        <v>64</v>
      </c>
    </row>
    <row r="577" customFormat="false" ht="17.15" hidden="false" customHeight="false" outlineLevel="0" collapsed="false">
      <c r="A577" s="0" t="s">
        <v>674</v>
      </c>
      <c r="B577" s="0" t="s">
        <v>34</v>
      </c>
      <c r="D577" s="19" t="n">
        <f aca="false">D576*g26_oi/g26_rev</f>
        <v>10.24</v>
      </c>
    </row>
    <row r="578" customFormat="false" ht="17.15" hidden="false" customHeight="false" outlineLevel="0" collapsed="false">
      <c r="A578" s="0" t="s">
        <v>675</v>
      </c>
      <c r="B578" s="0" t="s">
        <v>34</v>
      </c>
      <c r="D578" s="19" t="n">
        <f aca="false">D577*g26_ni/g26_oi</f>
        <v>7</v>
      </c>
    </row>
    <row r="579" customFormat="false" ht="17.15" hidden="false" customHeight="false" outlineLevel="0" collapsed="false">
      <c r="A579" s="5" t="s">
        <v>676</v>
      </c>
      <c r="B579" s="0" t="s">
        <v>198</v>
      </c>
      <c r="D579" s="20" t="n">
        <f aca="false">D576/D574</f>
        <v>1.02664776090876</v>
      </c>
      <c r="J579" s="8" t="s">
        <v>677</v>
      </c>
    </row>
    <row r="580" customFormat="false" ht="17.15" hidden="false" customHeight="false" outlineLevel="0" collapsed="false">
      <c r="A580" s="5" t="s">
        <v>678</v>
      </c>
      <c r="B580" s="0" t="s">
        <v>198</v>
      </c>
      <c r="D580" s="20" t="n">
        <f aca="false">1+1*(D579-1)</f>
        <v>1.02664776090876</v>
      </c>
      <c r="J580" s="8" t="s">
        <v>679</v>
      </c>
    </row>
    <row r="581" customFormat="false" ht="17.15" hidden="false" customHeight="false" outlineLevel="0" collapsed="false">
      <c r="A581" s="1" t="s">
        <v>680</v>
      </c>
    </row>
    <row r="582" customFormat="false" ht="17.15" hidden="false" customHeight="false" outlineLevel="0" collapsed="false">
      <c r="A582" s="0" t="s">
        <v>681</v>
      </c>
      <c r="B582" s="0" t="s">
        <v>34</v>
      </c>
      <c r="C582" s="19" t="n">
        <f aca="false">C567*1</f>
        <v>5</v>
      </c>
      <c r="D582" s="19" t="n">
        <f aca="false">D567*$D$579</f>
        <v>5.53458448050676</v>
      </c>
      <c r="E582" s="19" t="n">
        <f aca="false">E567*1</f>
        <v>8.31961225549592</v>
      </c>
      <c r="F582" s="19" t="n">
        <f aca="false">F567*1</f>
        <v>8.18023529266301</v>
      </c>
      <c r="G582" s="19" t="n">
        <f aca="false">G567*1</f>
        <v>6.34520953782239</v>
      </c>
    </row>
    <row r="583" customFormat="false" ht="17.15" hidden="false" customHeight="false" outlineLevel="0" collapsed="false">
      <c r="A583" s="0" t="s">
        <v>682</v>
      </c>
      <c r="B583" s="0" t="s">
        <v>34</v>
      </c>
      <c r="C583" s="19" t="n">
        <f aca="false">C568*1</f>
        <v>5</v>
      </c>
      <c r="D583" s="19" t="n">
        <f aca="false">D568*$D$579</f>
        <v>7.91681765486906</v>
      </c>
      <c r="E583" s="19" t="n">
        <f aca="false">E568*1</f>
        <v>5.46142533008358</v>
      </c>
      <c r="F583" s="19" t="n">
        <f aca="false">F568*1</f>
        <v>4.91291310951257</v>
      </c>
      <c r="G583" s="19" t="n">
        <f aca="false">G568*1</f>
        <v>4.72646096843851</v>
      </c>
    </row>
    <row r="584" customFormat="false" ht="17.15" hidden="false" customHeight="false" outlineLevel="0" collapsed="false">
      <c r="A584" s="5" t="s">
        <v>683</v>
      </c>
      <c r="B584" s="0" t="s">
        <v>34</v>
      </c>
      <c r="C584" s="19" t="n">
        <f aca="false">C569*1</f>
        <v>26.46</v>
      </c>
      <c r="D584" s="19" t="n">
        <f aca="false">D569*$D$579</f>
        <v>30.041551478617</v>
      </c>
      <c r="E584" s="19" t="n">
        <f aca="false">E569*$D$580</f>
        <v>34.035660427835</v>
      </c>
      <c r="F584" s="19" t="n">
        <f aca="false">F569*$D$580</f>
        <v>38.0667431673745</v>
      </c>
      <c r="G584" s="19" t="n">
        <f aca="false">G569*$D$580</f>
        <v>40.8097878956118</v>
      </c>
    </row>
    <row r="585" customFormat="false" ht="15" hidden="false" customHeight="false" outlineLevel="0" collapsed="false">
      <c r="A585" s="5" t="s">
        <v>684</v>
      </c>
      <c r="B585" s="0" t="s">
        <v>34</v>
      </c>
      <c r="C585" s="19" t="n">
        <f aca="false">C570*1</f>
        <v>3.93</v>
      </c>
      <c r="D585" s="19" t="n">
        <f aca="false">D570*$D$579</f>
        <v>5.2160659382777</v>
      </c>
      <c r="E585" s="19" t="n">
        <f aca="false">E570*$D$580</f>
        <v>6.24174115225858</v>
      </c>
      <c r="F585" s="19" t="n">
        <f aca="false">F570*$D$580</f>
        <v>6.92111702352418</v>
      </c>
      <c r="G585" s="19" t="n">
        <f aca="false">G570*$D$580</f>
        <v>7.31552155379705</v>
      </c>
    </row>
    <row r="586" customFormat="false" ht="17.15" hidden="false" customHeight="false" outlineLevel="0" collapsed="false">
      <c r="A586" s="5" t="s">
        <v>685</v>
      </c>
      <c r="B586" s="0" t="s">
        <v>34</v>
      </c>
      <c r="C586" s="19" t="n">
        <f aca="false">C571*1</f>
        <v>9.47</v>
      </c>
      <c r="D586" s="19" t="n">
        <f aca="false">D571*$D$579</f>
        <v>10.0140249246801</v>
      </c>
      <c r="E586" s="19" t="n">
        <f aca="false">E571*$D$580</f>
        <v>10.3144456724205</v>
      </c>
      <c r="F586" s="19" t="n">
        <f aca="false">F571*$D$580</f>
        <v>10.6238790425932</v>
      </c>
      <c r="G586" s="19" t="n">
        <f aca="false">G571*$D$580</f>
        <v>10.942595413871</v>
      </c>
    </row>
    <row r="587" customFormat="false" ht="15" hidden="false" customHeight="false" outlineLevel="0" collapsed="false">
      <c r="A587" s="5" t="s">
        <v>686</v>
      </c>
      <c r="B587" s="0" t="s">
        <v>34</v>
      </c>
      <c r="C587" s="19" t="n">
        <f aca="false">C572*1</f>
        <v>2.48</v>
      </c>
      <c r="D587" s="19" t="n">
        <f aca="false">D572*$D$579</f>
        <v>2.62246904046534</v>
      </c>
      <c r="E587" s="19" t="n">
        <f aca="false">E572*$D$580</f>
        <v>2.7011431116793</v>
      </c>
      <c r="F587" s="19" t="n">
        <f aca="false">F572*$D$580</f>
        <v>2.78217740502968</v>
      </c>
      <c r="G587" s="19" t="n">
        <f aca="false">G572*$D$580</f>
        <v>2.86564272718057</v>
      </c>
    </row>
    <row r="588" customFormat="false" ht="15" hidden="false" customHeight="false" outlineLevel="0" collapsed="false">
      <c r="A588" s="5" t="s">
        <v>687</v>
      </c>
      <c r="B588" s="0" t="s">
        <v>34</v>
      </c>
      <c r="C588" s="19" t="n">
        <f aca="false">C573*1</f>
        <v>2</v>
      </c>
      <c r="D588" s="19" t="n">
        <f aca="false">D573*$D$579</f>
        <v>2.65448648258407</v>
      </c>
      <c r="E588" s="19" t="n">
        <f aca="false">E573*$D$580</f>
        <v>3.17645860165831</v>
      </c>
      <c r="F588" s="19" t="n">
        <f aca="false">F573*$D$580</f>
        <v>3.52219695853648</v>
      </c>
      <c r="G588" s="19" t="n">
        <f aca="false">G573*$D$580</f>
        <v>3.72291173221224</v>
      </c>
    </row>
    <row r="589" customFormat="false" ht="17.15" hidden="false" customHeight="false" outlineLevel="0" collapsed="false">
      <c r="A589" s="0" t="s">
        <v>688</v>
      </c>
      <c r="B589" s="0" t="s">
        <v>34</v>
      </c>
      <c r="C589" s="19" t="n">
        <f aca="false">C582+C583</f>
        <v>10</v>
      </c>
      <c r="D589" s="19" t="n">
        <f aca="false">D582+D583</f>
        <v>13.4514021353758</v>
      </c>
      <c r="E589" s="19" t="n">
        <f aca="false">E582+E583</f>
        <v>13.7810375855795</v>
      </c>
      <c r="F589" s="19" t="n">
        <f aca="false">F582+F583</f>
        <v>13.0931484021756</v>
      </c>
      <c r="G589" s="19" t="n">
        <f aca="false">G582+G583</f>
        <v>11.0716705062609</v>
      </c>
    </row>
    <row r="590" customFormat="false" ht="17.15" hidden="false" customHeight="false" outlineLevel="0" collapsed="false">
      <c r="A590" s="5" t="s">
        <v>689</v>
      </c>
      <c r="B590" s="0" t="s">
        <v>34</v>
      </c>
      <c r="C590" s="19" t="n">
        <f aca="false">C589+C584+C585</f>
        <v>40.39</v>
      </c>
      <c r="D590" s="19" t="n">
        <f aca="false">D589+D584+D585</f>
        <v>48.7090195522705</v>
      </c>
      <c r="E590" s="19" t="n">
        <f aca="false">E589+E584+E585</f>
        <v>54.058439165673</v>
      </c>
      <c r="F590" s="19" t="n">
        <f aca="false">F589+F584+F585</f>
        <v>58.0810085930742</v>
      </c>
      <c r="G590" s="19" t="n">
        <f aca="false">G589+G584+G585</f>
        <v>59.1969799556697</v>
      </c>
      <c r="J590" s="5" t="s">
        <v>690</v>
      </c>
    </row>
    <row r="591" customFormat="false" ht="17.15" hidden="false" customHeight="false" outlineLevel="0" collapsed="false">
      <c r="A591" s="5" t="s">
        <v>541</v>
      </c>
      <c r="B591" s="0" t="s">
        <v>34</v>
      </c>
      <c r="C591" s="19" t="n">
        <f aca="false">C590+C586+C587+C588+seg_adj</f>
        <v>54.365</v>
      </c>
      <c r="D591" s="19" t="n">
        <f aca="false">D590+D586+D587+D588</f>
        <v>64</v>
      </c>
      <c r="E591" s="19" t="n">
        <f aca="false">E590+E586+E587+E588</f>
        <v>70.2504865514312</v>
      </c>
      <c r="F591" s="19" t="n">
        <f aca="false">F590+F586+F587+F588</f>
        <v>75.0092619992335</v>
      </c>
      <c r="G591" s="19" t="n">
        <f aca="false">G590+G586+G587+G588</f>
        <v>76.7281298289335</v>
      </c>
      <c r="J591" s="8" t="s">
        <v>691</v>
      </c>
    </row>
    <row r="592" customFormat="false" ht="17.15" hidden="false" customHeight="false" outlineLevel="0" collapsed="false">
      <c r="A592" s="5" t="s">
        <v>692</v>
      </c>
      <c r="B592" s="0" t="s">
        <v>34</v>
      </c>
      <c r="C592" s="20" t="n">
        <f aca="false">C590+C586+C587+C588-a25_rev</f>
        <v>-0.0249999999999986</v>
      </c>
    </row>
    <row r="593" customFormat="false" ht="17.15" hidden="false" customHeight="false" outlineLevel="0" collapsed="false">
      <c r="A593" s="0" t="s">
        <v>621</v>
      </c>
      <c r="B593" s="0" t="s">
        <v>94</v>
      </c>
      <c r="C593" s="11" t="n">
        <f aca="false">C589/C591</f>
        <v>0.1839418743677</v>
      </c>
      <c r="D593" s="11" t="n">
        <f aca="false">D589/D591</f>
        <v>0.210178158365247</v>
      </c>
      <c r="E593" s="11" t="n">
        <f aca="false">E589/E591</f>
        <v>0.196169994858188</v>
      </c>
      <c r="F593" s="11" t="n">
        <f aca="false">F589/F591</f>
        <v>0.174553755805641</v>
      </c>
      <c r="G593" s="11" t="n">
        <f aca="false">G589/G591</f>
        <v>0.144297411274657</v>
      </c>
    </row>
    <row r="594" customFormat="false" ht="17.15" hidden="false" customHeight="false" outlineLevel="0" collapsed="false">
      <c r="A594" s="5" t="s">
        <v>545</v>
      </c>
      <c r="B594" s="0" t="s">
        <v>34</v>
      </c>
      <c r="C594" s="19" t="n">
        <f aca="false">a25_oi</f>
        <v>6.917</v>
      </c>
      <c r="D594" s="19" t="n">
        <f aca="false">D577</f>
        <v>10.24</v>
      </c>
      <c r="E594" s="19" t="n">
        <f aca="false">$D594+(im+ima_A)*(E591-$D591)</f>
        <v>12.1121527683805</v>
      </c>
      <c r="F594" s="19" t="n">
        <f aca="false">$D594+(im+ima_A)*(F591-$D591)</f>
        <v>13.5375065477057</v>
      </c>
      <c r="G594" s="19" t="n">
        <f aca="false">$D594+(im+ima_A)*(G591-$D591)</f>
        <v>14.0523437750758</v>
      </c>
      <c r="J594" s="8" t="s">
        <v>693</v>
      </c>
    </row>
    <row r="595" customFormat="false" ht="15" hidden="false" customHeight="false" outlineLevel="0" collapsed="false">
      <c r="A595" s="5" t="s">
        <v>694</v>
      </c>
      <c r="B595" s="0" t="s">
        <v>94</v>
      </c>
      <c r="C595" s="11" t="n">
        <f aca="false">C594/C591</f>
        <v>0.127232594500138</v>
      </c>
      <c r="D595" s="11" t="n">
        <f aca="false">D594/D591</f>
        <v>0.16</v>
      </c>
      <c r="E595" s="11" t="n">
        <f aca="false">E594/E591</f>
        <v>0.172413791889015</v>
      </c>
      <c r="F595" s="11" t="n">
        <f aca="false">F594/F591</f>
        <v>0.180477799499535</v>
      </c>
      <c r="G595" s="11" t="n">
        <f aca="false">G594/G591</f>
        <v>0.183144614711785</v>
      </c>
    </row>
    <row r="596" customFormat="false" ht="15" hidden="false" customHeight="false" outlineLevel="0" collapsed="false">
      <c r="A596" s="5" t="s">
        <v>548</v>
      </c>
      <c r="B596" s="0" t="s">
        <v>34</v>
      </c>
      <c r="C596" s="19" t="n">
        <f aca="false">a25_ni</f>
        <v>4.593</v>
      </c>
      <c r="D596" s="19" t="n">
        <f aca="false">D578</f>
        <v>7</v>
      </c>
      <c r="E596" s="19" t="n">
        <f aca="false">E594*nioi</f>
        <v>8.27979193151009</v>
      </c>
      <c r="F596" s="19" t="n">
        <f aca="false">F594*nioi</f>
        <v>9.25415486659572</v>
      </c>
      <c r="G596" s="19" t="n">
        <f aca="false">G594*nioi</f>
        <v>9.60609437749324</v>
      </c>
    </row>
    <row r="597" customFormat="false" ht="15" hidden="false" customHeight="false" outlineLevel="0" collapsed="false">
      <c r="A597" s="0" t="s">
        <v>622</v>
      </c>
      <c r="B597" s="0" t="s">
        <v>52</v>
      </c>
      <c r="C597" s="22" t="n">
        <f aca="false">a25_eps</f>
        <v>61.22</v>
      </c>
      <c r="D597" s="22" t="n">
        <f aca="false">D596*1000/shares</f>
        <v>93.2961492201002</v>
      </c>
      <c r="E597" s="22" t="n">
        <f aca="false">E596*1000/shares</f>
        <v>110.353243364792</v>
      </c>
      <c r="F597" s="22" t="n">
        <f aca="false">F596*1000/shares</f>
        <v>123.339573334261</v>
      </c>
      <c r="G597" s="22" t="n">
        <f aca="false">G596*1000/shares</f>
        <v>128.030230637854</v>
      </c>
    </row>
    <row r="598" customFormat="false" ht="17.15" hidden="false" customHeight="false" outlineLevel="0" collapsed="false">
      <c r="A598" s="5" t="s">
        <v>695</v>
      </c>
      <c r="B598" s="0" t="s">
        <v>34</v>
      </c>
      <c r="C598" s="20" t="n">
        <f aca="false">ABS(C591-a25_rev)+ABS(C594-a25_oi)+ABS(D591-D576)</f>
        <v>0</v>
      </c>
    </row>
    <row r="610" customFormat="false" ht="17.15" hidden="false" customHeight="false" outlineLevel="0" collapsed="false">
      <c r="A610" s="3" t="s">
        <v>1025</v>
      </c>
    </row>
    <row r="611" customFormat="false" ht="17.15" hidden="false" customHeight="false" outlineLevel="0" collapsed="false">
      <c r="A611" s="6" t="s">
        <v>23</v>
      </c>
      <c r="B611" s="6" t="s">
        <v>24</v>
      </c>
      <c r="C611" s="15" t="s">
        <v>628</v>
      </c>
      <c r="D611" s="15" t="s">
        <v>629</v>
      </c>
      <c r="E611" s="15" t="s">
        <v>630</v>
      </c>
      <c r="F611" s="15" t="s">
        <v>631</v>
      </c>
      <c r="G611" s="15" t="s">
        <v>632</v>
      </c>
      <c r="H611" s="15" t="s">
        <v>633</v>
      </c>
      <c r="I611" s="15" t="s">
        <v>634</v>
      </c>
      <c r="J611" s="6" t="s">
        <v>468</v>
      </c>
    </row>
    <row r="612" customFormat="false" ht="17.15" hidden="false" customHeight="false" outlineLevel="0" collapsed="false">
      <c r="A612" s="1" t="s">
        <v>635</v>
      </c>
    </row>
    <row r="613" customFormat="false" ht="17.15" hidden="false" customHeight="false" outlineLevel="0" collapsed="false">
      <c r="A613" s="0" t="s">
        <v>636</v>
      </c>
      <c r="B613" s="0" t="s">
        <v>111</v>
      </c>
      <c r="C613" s="21" t="n">
        <f aca="false">hsA_25</f>
        <v>2.22511470588235</v>
      </c>
      <c r="D613" s="21" t="n">
        <f aca="false">hsA_26</f>
        <v>3.782695</v>
      </c>
      <c r="E613" s="21" t="n">
        <f aca="false">hsA_27</f>
        <v>5.86317725</v>
      </c>
      <c r="F613" s="21" t="n">
        <f aca="false">hsA_28</f>
        <v>8.5016070125</v>
      </c>
      <c r="G613" s="21" t="n">
        <f aca="false">hsA_29</f>
        <v>11.477169466875</v>
      </c>
      <c r="J613" s="8" t="s">
        <v>637</v>
      </c>
    </row>
    <row r="614" customFormat="false" ht="17.15" hidden="false" customHeight="false" outlineLevel="0" collapsed="false">
      <c r="A614" s="0" t="s">
        <v>638</v>
      </c>
      <c r="B614" s="0" t="s">
        <v>639</v>
      </c>
      <c r="C614" s="21" t="n">
        <f aca="false">den_25</f>
        <v>24</v>
      </c>
      <c r="D614" s="21" t="n">
        <f aca="false">den_26</f>
        <v>24</v>
      </c>
      <c r="E614" s="21" t="n">
        <f aca="false">den_27</f>
        <v>26</v>
      </c>
      <c r="F614" s="21" t="n">
        <f aca="false">den_28</f>
        <v>28</v>
      </c>
      <c r="G614" s="21" t="n">
        <f aca="false">den_29</f>
        <v>30</v>
      </c>
    </row>
    <row r="615" customFormat="false" ht="15" hidden="false" customHeight="false" outlineLevel="0" collapsed="false">
      <c r="A615" s="5" t="s">
        <v>640</v>
      </c>
      <c r="B615" s="5" t="s">
        <v>160</v>
      </c>
      <c r="C615" s="21" t="n">
        <f aca="false">stk_25_hi</f>
        <v>12</v>
      </c>
      <c r="D615" s="21" t="n">
        <f aca="false">stk_26_hi</f>
        <v>12</v>
      </c>
      <c r="E615" s="21" t="n">
        <f aca="false">stk_27_hi</f>
        <v>14</v>
      </c>
      <c r="F615" s="21" t="n">
        <f aca="false">stk_28_hi</f>
        <v>16</v>
      </c>
      <c r="G615" s="21" t="n">
        <f aca="false">stk_29_hi</f>
        <v>16</v>
      </c>
    </row>
    <row r="616" customFormat="false" ht="17.15" hidden="false" customHeight="false" outlineLevel="0" collapsed="false">
      <c r="A616" s="0" t="s">
        <v>641</v>
      </c>
      <c r="B616" s="5" t="s">
        <v>642</v>
      </c>
      <c r="C616" s="23" t="n">
        <f aca="false">C613*8/(C614*C615)</f>
        <v>0.0618087418300653</v>
      </c>
      <c r="D616" s="23" t="n">
        <f aca="false">D613*8/(D614*D615)</f>
        <v>0.105074861111111</v>
      </c>
      <c r="E616" s="23" t="n">
        <f aca="false">E613*8/(E614*E615)</f>
        <v>0.128861038461538</v>
      </c>
      <c r="F616" s="23" t="n">
        <f aca="false">F613*8/(F614*F615)</f>
        <v>0.1518144109375</v>
      </c>
      <c r="G616" s="23" t="n">
        <f aca="false">G613*8/(G614*G615)</f>
        <v>0.19128615778125</v>
      </c>
      <c r="H616" s="23" t="n">
        <f aca="false">G616*(1+g_tail)</f>
        <v>0.210414773559375</v>
      </c>
      <c r="I616" s="23" t="n">
        <f aca="false">H616*(1+g_tail)</f>
        <v>0.231456250915313</v>
      </c>
      <c r="J616" s="8" t="s">
        <v>643</v>
      </c>
    </row>
    <row r="617" customFormat="false" ht="17.15" hidden="false" customHeight="false" outlineLevel="0" collapsed="false">
      <c r="A617" s="0" t="s">
        <v>644</v>
      </c>
      <c r="B617" s="5" t="s">
        <v>642</v>
      </c>
      <c r="C617" s="23" t="n">
        <f aca="false">MAX(0,D616-C616)+dlt*C616</f>
        <v>0.0494469934640524</v>
      </c>
      <c r="D617" s="23" t="n">
        <f aca="false">MAX(0,E616-D616)+dlt*D616</f>
        <v>0.0342936634615385</v>
      </c>
      <c r="E617" s="23" t="n">
        <f aca="false">MAX(0,F616-E616)+dlt*E616</f>
        <v>0.0358394763221154</v>
      </c>
      <c r="F617" s="23" t="n">
        <f aca="false">MAX(0,G616-F616)+dlt*F616</f>
        <v>0.0546531879375</v>
      </c>
      <c r="G617" s="23" t="n">
        <f aca="false">MAX(0,H616-G616)+dlt*G616</f>
        <v>0.03825723155625</v>
      </c>
      <c r="H617" s="23" t="n">
        <f aca="false">MAX(0,I616-H616)+dlt*H616</f>
        <v>0.042082954711875</v>
      </c>
      <c r="J617" s="5" t="s">
        <v>645</v>
      </c>
    </row>
    <row r="618" customFormat="false" ht="17.15" hidden="false" customHeight="false" outlineLevel="0" collapsed="false">
      <c r="A618" s="0" t="s">
        <v>646</v>
      </c>
      <c r="B618" s="5" t="s">
        <v>183</v>
      </c>
      <c r="C618" s="14" t="n">
        <f aca="false">cw_25</f>
        <v>670</v>
      </c>
      <c r="D618" s="14" t="n">
        <f aca="false">cw_26</f>
        <v>1107.85762580894</v>
      </c>
      <c r="E618" s="14" t="n">
        <f aca="false">cw_27</f>
        <v>2096.42857142857</v>
      </c>
      <c r="F618" s="14" t="n">
        <f aca="false">cw_28*um28_A</f>
        <v>2620.08928571429</v>
      </c>
      <c r="G618" s="14" t="n">
        <f aca="false">cw_29*um29_A</f>
        <v>3013.32589285714</v>
      </c>
      <c r="H618" s="14" t="n">
        <f aca="false">G618*(1+g_tail)</f>
        <v>3314.65848214285</v>
      </c>
      <c r="I618" s="14" t="n">
        <f aca="false">H618*(1+g_tail)</f>
        <v>3646.12433035714</v>
      </c>
      <c r="J618" s="5" t="s">
        <v>647</v>
      </c>
    </row>
    <row r="619" customFormat="false" ht="17.15" hidden="false" customHeight="false" outlineLevel="0" collapsed="false">
      <c r="A619" s="0" t="s">
        <v>648</v>
      </c>
      <c r="B619" s="5" t="s">
        <v>183</v>
      </c>
      <c r="C619" s="14" t="n">
        <f aca="false">MAX(0,D618-C618)+dlt*C618</f>
        <v>504.85762580894</v>
      </c>
      <c r="D619" s="14" t="n">
        <f aca="false">MAX(0,E618-D618)+dlt*D618</f>
        <v>1099.35670820052</v>
      </c>
      <c r="E619" s="14" t="n">
        <f aca="false">MAX(0,F618-E618)+dlt*E618</f>
        <v>733.303571428577</v>
      </c>
      <c r="F619" s="14" t="n">
        <f aca="false">MAX(0,G618-F618)+dlt*F618</f>
        <v>655.245535714279</v>
      </c>
      <c r="G619" s="14" t="n">
        <f aca="false">MAX(0,H618-G618)+dlt*G618</f>
        <v>602.665178571428</v>
      </c>
      <c r="H619" s="14" t="n">
        <f aca="false">MAX(0,I618-H618)+dlt*H618</f>
        <v>662.931696428571</v>
      </c>
    </row>
    <row r="620" customFormat="false" ht="17.15" hidden="false" customHeight="false" outlineLevel="0" collapsed="false">
      <c r="A620" s="5" t="s">
        <v>649</v>
      </c>
      <c r="B620" s="0" t="s">
        <v>219</v>
      </c>
      <c r="C620" s="21" t="n">
        <f aca="false">pk_25*(eqtA_25-eqaA_25)/(eqtA_25-eqaA_25)</f>
        <v>6.11313868613139</v>
      </c>
      <c r="D620" s="21" t="n">
        <f aca="false">pk_26*(eqtA_26-eqaA_26)/(eqtA_26-eqaA_26)</f>
        <v>6.7</v>
      </c>
      <c r="E620" s="21" t="n">
        <f aca="false">pk_27*(eqtA_27-eqaA_27)/(eqtA_27-eqaA_27)</f>
        <v>7.59078388573934</v>
      </c>
      <c r="F620" s="21" t="n">
        <f aca="false">pk_28*(eqtA_28-eqaA_28)/(eqtA_28-eqaA_28)</f>
        <v>8.6</v>
      </c>
      <c r="G620" s="21" t="n">
        <f aca="false">pk_29*(eqtA_29-eqaA_29)/(eqtA_29-eqaA_29)</f>
        <v>9.288</v>
      </c>
      <c r="H620" s="21" t="n">
        <f aca="false">G620*(1+g_pk_tail)</f>
        <v>9.7524</v>
      </c>
      <c r="J620" s="8" t="s">
        <v>650</v>
      </c>
    </row>
    <row r="621" customFormat="false" ht="15" hidden="false" customHeight="false" outlineLevel="0" collapsed="false">
      <c r="A621" s="5" t="s">
        <v>651</v>
      </c>
      <c r="B621" s="0" t="s">
        <v>219</v>
      </c>
      <c r="C621" s="24" t="n">
        <f aca="false">eqtA_25</f>
        <v>134.689359843138</v>
      </c>
      <c r="D621" s="24" t="n">
        <f aca="false">eqtA_26</f>
        <v>178.157050570127</v>
      </c>
      <c r="E621" s="24" t="n">
        <f aca="false">eqtA_27</f>
        <v>218.225535760082</v>
      </c>
      <c r="F621" s="24" t="n">
        <f aca="false">eqtA_28</f>
        <v>246.028626308958</v>
      </c>
      <c r="G621" s="24" t="n">
        <f aca="false">eqtA_29</f>
        <v>260.655685855226</v>
      </c>
      <c r="H621" s="24" t="n">
        <f aca="false">G621*(1+g_pk_tail)</f>
        <v>273.688470147987</v>
      </c>
      <c r="J621" s="5" t="s">
        <v>652</v>
      </c>
    </row>
    <row r="622" customFormat="false" ht="17.15" hidden="false" customHeight="false" outlineLevel="0" collapsed="false">
      <c r="A622" s="1" t="s">
        <v>653</v>
      </c>
    </row>
    <row r="623" customFormat="false" ht="17.15" hidden="false" customHeight="false" outlineLevel="0" collapsed="false">
      <c r="A623" s="0" t="s">
        <v>654</v>
      </c>
      <c r="B623" s="0" t="s">
        <v>655</v>
      </c>
      <c r="C623" s="24" t="n">
        <f aca="false">ai_25*w_hbm/(0.75*C617+0.25*D617)</f>
        <v>109.508248697994</v>
      </c>
      <c r="J623" s="5" t="s">
        <v>656</v>
      </c>
    </row>
    <row r="624" customFormat="false" ht="17.15" hidden="false" customHeight="false" outlineLevel="0" collapsed="false">
      <c r="A624" s="0" t="s">
        <v>657</v>
      </c>
      <c r="B624" s="0" t="s">
        <v>658</v>
      </c>
      <c r="C624" s="25" t="n">
        <f aca="false">ai_25*(1-w_hbm)/(0.75*C619+0.25*D619)</f>
        <v>0.0076513155174377</v>
      </c>
    </row>
    <row r="625" customFormat="false" ht="17.15" hidden="false" customHeight="false" outlineLevel="0" collapsed="false">
      <c r="A625" s="1" t="s">
        <v>659</v>
      </c>
    </row>
    <row r="626" customFormat="false" ht="17.15" hidden="false" customHeight="false" outlineLevel="0" collapsed="false">
      <c r="A626" s="0" t="s">
        <v>660</v>
      </c>
      <c r="B626" s="0" t="s">
        <v>198</v>
      </c>
      <c r="C626" s="20" t="n">
        <f aca="false">1-shl_A/sh*0</f>
        <v>1</v>
      </c>
      <c r="D626" s="20" t="n">
        <f aca="false">1-shl_A/sh*0.25</f>
        <v>1</v>
      </c>
      <c r="E626" s="20" t="n">
        <f aca="false">1-shl_A/sh*0.5</f>
        <v>1</v>
      </c>
      <c r="F626" s="20" t="n">
        <f aca="false">1-shl_A/sh*0.75</f>
        <v>1</v>
      </c>
      <c r="G626" s="20" t="n">
        <f aca="false">1-shl_A/sh*1</f>
        <v>1</v>
      </c>
      <c r="J626" s="5" t="s">
        <v>661</v>
      </c>
    </row>
    <row r="627" customFormat="false" ht="17.15" hidden="false" customHeight="false" outlineLevel="0" collapsed="false">
      <c r="A627" s="0" t="s">
        <v>662</v>
      </c>
      <c r="B627" s="0" t="s">
        <v>34</v>
      </c>
      <c r="C627" s="19" t="n">
        <f aca="false">$C$623*(0.75*C617+0.25*D617)*C626</f>
        <v>5</v>
      </c>
      <c r="D627" s="19" t="n">
        <f aca="false">$C$623*(0.75*D617+0.25*E617)*D626</f>
        <v>3.79775884190561</v>
      </c>
      <c r="E627" s="19" t="n">
        <f aca="false">$C$623*(0.75*E617+0.25*F617)*E626</f>
        <v>4.43978243891554</v>
      </c>
      <c r="F627" s="19" t="n">
        <f aca="false">$C$623*(0.75*F617+0.25*G617)*F626</f>
        <v>5.5361017795381</v>
      </c>
      <c r="G627" s="19" t="n">
        <f aca="false">$C$623*(0.75*G617+0.25*H617)*G626</f>
        <v>4.29421948845253</v>
      </c>
    </row>
    <row r="628" customFormat="false" ht="17.15" hidden="false" customHeight="false" outlineLevel="0" collapsed="false">
      <c r="A628" s="0" t="s">
        <v>663</v>
      </c>
      <c r="B628" s="0" t="s">
        <v>34</v>
      </c>
      <c r="C628" s="19" t="n">
        <f aca="false">$C$624*(0.75*C619+0.25*D619)*C626</f>
        <v>5</v>
      </c>
      <c r="D628" s="19" t="n">
        <f aca="false">$C$624*(0.75*D619+0.25*E619)*D626</f>
        <v>7.71132802925642</v>
      </c>
      <c r="E628" s="19" t="n">
        <f aca="false">$C$624*(0.75*E619+0.25*F619)*E626</f>
        <v>5.46142533008358</v>
      </c>
      <c r="F628" s="19" t="n">
        <f aca="false">$C$624*(0.75*F619+0.25*G619)*F626</f>
        <v>4.91291310951257</v>
      </c>
      <c r="G628" s="19" t="n">
        <f aca="false">$C$624*(0.75*G619+0.25*H619)*G626</f>
        <v>4.72646096843851</v>
      </c>
    </row>
    <row r="629" customFormat="false" ht="17.15" hidden="false" customHeight="false" outlineLevel="0" collapsed="false">
      <c r="A629" s="5" t="s">
        <v>664</v>
      </c>
      <c r="B629" s="0" t="s">
        <v>34</v>
      </c>
      <c r="C629" s="19" t="n">
        <f aca="false">(seg_mold-ai_25)*(0.75*C620+0.25*D620)/(0.75*C620+0.25*D620)</f>
        <v>26.46</v>
      </c>
      <c r="D629" s="19" t="n">
        <f aca="false">(seg_mold-ai_25)*(0.75*D620+0.25*E620)/(0.75*C620+0.25*D620)</f>
        <v>29.2617902872793</v>
      </c>
      <c r="E629" s="19" t="n">
        <f aca="false">(seg_mold-ai_25)*(0.75*E620+0.25*F620)/(0.75*C620+0.25*D620)</f>
        <v>33.1522277881438</v>
      </c>
      <c r="F629" s="19" t="n">
        <f aca="false">(seg_mold-ai_25)*(0.75*F620+0.25*G620)/(0.75*C620+0.25*D620)</f>
        <v>37.0786793843283</v>
      </c>
      <c r="G629" s="19" t="n">
        <f aca="false">(seg_mold-ai_25)*(0.75*G620+0.25*H620)/(0.75*C620+0.25*D620)</f>
        <v>39.7505253987873</v>
      </c>
      <c r="J629" s="8" t="s">
        <v>665</v>
      </c>
    </row>
    <row r="630" customFormat="false" ht="15" hidden="false" customHeight="false" outlineLevel="0" collapsed="false">
      <c r="A630" s="5" t="s">
        <v>666</v>
      </c>
      <c r="B630" s="0" t="s">
        <v>34</v>
      </c>
      <c r="C630" s="19" t="n">
        <f aca="false">seg_osemi*(0.75*C621+0.25*D621)/(0.75*C621+0.25*D621)</f>
        <v>3.93</v>
      </c>
      <c r="D630" s="19" t="n">
        <f aca="false">seg_osemi*(0.75*D621+0.25*E621)/(0.75*C621+0.25*D621)</f>
        <v>5.08067726525852</v>
      </c>
      <c r="E630" s="19" t="n">
        <f aca="false">seg_osemi*(0.75*E621+0.25*F621)/(0.75*C621+0.25*D621)</f>
        <v>6.0797299618455</v>
      </c>
      <c r="F630" s="19" t="n">
        <f aca="false">seg_osemi*(0.75*F621+0.25*G621)/(0.75*C621+0.25*D621)</f>
        <v>6.74147189236335</v>
      </c>
      <c r="G630" s="19" t="n">
        <f aca="false">seg_osemi*(0.75*G621+0.25*H621)/(0.75*C621+0.25*D621)</f>
        <v>7.12563922344852</v>
      </c>
      <c r="J630" s="5" t="s">
        <v>667</v>
      </c>
    </row>
    <row r="631" customFormat="false" ht="17.15" hidden="false" customHeight="false" outlineLevel="0" collapsed="false">
      <c r="A631" s="5" t="s">
        <v>668</v>
      </c>
      <c r="B631" s="0" t="s">
        <v>34</v>
      </c>
      <c r="C631" s="19" t="n">
        <f aca="false">seg_new</f>
        <v>9.47</v>
      </c>
      <c r="D631" s="19" t="n">
        <f aca="false">C631*(1+g_tss)</f>
        <v>9.7541</v>
      </c>
      <c r="E631" s="19" t="n">
        <f aca="false">D631*(1+g_tss)</f>
        <v>10.046723</v>
      </c>
      <c r="F631" s="19" t="n">
        <f aca="false">E631*(1+g_tss)</f>
        <v>10.34812469</v>
      </c>
      <c r="G631" s="19" t="n">
        <f aca="false">F631*(1+g_tss)</f>
        <v>10.6585684307</v>
      </c>
    </row>
    <row r="632" customFormat="false" ht="15" hidden="false" customHeight="false" outlineLevel="0" collapsed="false">
      <c r="A632" s="5" t="s">
        <v>669</v>
      </c>
      <c r="B632" s="0" t="s">
        <v>34</v>
      </c>
      <c r="C632" s="19" t="n">
        <f aca="false">seg_med</f>
        <v>2.48</v>
      </c>
      <c r="D632" s="19" t="n">
        <f aca="false">C632*(1+g_med)</f>
        <v>2.5544</v>
      </c>
      <c r="E632" s="19" t="n">
        <f aca="false">D632*(1+g_med)</f>
        <v>2.631032</v>
      </c>
      <c r="F632" s="19" t="n">
        <f aca="false">E632*(1+g_med)</f>
        <v>2.70996296</v>
      </c>
      <c r="G632" s="19" t="n">
        <f aca="false">F632*(1+g_med)</f>
        <v>2.7912618488</v>
      </c>
    </row>
    <row r="633" customFormat="false" ht="15" hidden="false" customHeight="false" outlineLevel="0" collapsed="false">
      <c r="A633" s="5" t="s">
        <v>670</v>
      </c>
      <c r="B633" s="0" t="s">
        <v>34</v>
      </c>
      <c r="C633" s="19" t="n">
        <f aca="false">seg_las*(0.75*C621+0.25*D621)/(0.75*C621+0.25*D621)</f>
        <v>2</v>
      </c>
      <c r="D633" s="19" t="n">
        <f aca="false">seg_las*(0.75*D621+0.25*E621)/(0.75*C621+0.25*D621)</f>
        <v>2.5855863945336</v>
      </c>
      <c r="E633" s="19" t="n">
        <f aca="false">seg_las*(0.75*E621+0.25*F621)/(0.75*C621+0.25*D621)</f>
        <v>3.0940101587</v>
      </c>
      <c r="F633" s="19" t="n">
        <f aca="false">seg_las*(0.75*F621+0.25*G621)/(0.75*C621+0.25*D621)</f>
        <v>3.43077449993046</v>
      </c>
      <c r="G633" s="19" t="n">
        <f aca="false">seg_las*(0.75*G621+0.25*H621)/(0.75*C621+0.25*D621)</f>
        <v>3.62627950302724</v>
      </c>
      <c r="J633" s="5" t="s">
        <v>667</v>
      </c>
    </row>
    <row r="634" customFormat="false" ht="15" hidden="false" customHeight="false" outlineLevel="0" collapsed="false">
      <c r="A634" s="5" t="s">
        <v>671</v>
      </c>
      <c r="B634" s="0" t="s">
        <v>34</v>
      </c>
      <c r="C634" s="19" t="n">
        <f aca="false">C627+C628+C629+C630+C631+C632+C633+seg_adj</f>
        <v>54.365</v>
      </c>
      <c r="D634" s="19" t="n">
        <f aca="false">D627+D628+D629+D630+D631+D632+D633</f>
        <v>60.7456408182334</v>
      </c>
      <c r="E634" s="19" t="n">
        <f aca="false">E627+E628+E629+E630+E631+E632+E633</f>
        <v>64.9049306776884</v>
      </c>
      <c r="F634" s="19" t="n">
        <f aca="false">F627+F628+F629+F630+F631+F632+F633</f>
        <v>70.7580283156728</v>
      </c>
      <c r="G634" s="19" t="n">
        <f aca="false">G627+G628+G629+G630+G631+G632+G633</f>
        <v>72.9729548616541</v>
      </c>
    </row>
    <row r="635" customFormat="false" ht="17.15" hidden="false" customHeight="false" outlineLevel="0" collapsed="false">
      <c r="A635" s="1" t="s">
        <v>672</v>
      </c>
    </row>
    <row r="636" customFormat="false" ht="17.15" hidden="false" customHeight="false" outlineLevel="0" collapsed="false">
      <c r="A636" s="0" t="s">
        <v>673</v>
      </c>
      <c r="B636" s="0" t="s">
        <v>34</v>
      </c>
      <c r="D636" s="19" t="n">
        <f aca="false">g26_rev*(1+g_anc)</f>
        <v>64</v>
      </c>
    </row>
    <row r="637" customFormat="false" ht="17.15" hidden="false" customHeight="false" outlineLevel="0" collapsed="false">
      <c r="A637" s="0" t="s">
        <v>674</v>
      </c>
      <c r="B637" s="0" t="s">
        <v>34</v>
      </c>
      <c r="D637" s="19" t="n">
        <f aca="false">D636*g26_oi/g26_rev</f>
        <v>10.24</v>
      </c>
    </row>
    <row r="638" customFormat="false" ht="17.15" hidden="false" customHeight="false" outlineLevel="0" collapsed="false">
      <c r="A638" s="0" t="s">
        <v>675</v>
      </c>
      <c r="B638" s="0" t="s">
        <v>34</v>
      </c>
      <c r="D638" s="19" t="n">
        <f aca="false">D637*g26_ni/g26_oi</f>
        <v>7</v>
      </c>
    </row>
    <row r="639" customFormat="false" ht="17.15" hidden="false" customHeight="false" outlineLevel="0" collapsed="false">
      <c r="A639" s="5" t="s">
        <v>676</v>
      </c>
      <c r="B639" s="0" t="s">
        <v>198</v>
      </c>
      <c r="D639" s="20" t="n">
        <f aca="false">D636/D634</f>
        <v>1.05357354269263</v>
      </c>
      <c r="J639" s="8" t="s">
        <v>677</v>
      </c>
    </row>
    <row r="640" customFormat="false" ht="17.15" hidden="false" customHeight="false" outlineLevel="0" collapsed="false">
      <c r="A640" s="5" t="s">
        <v>678</v>
      </c>
      <c r="B640" s="0" t="s">
        <v>198</v>
      </c>
      <c r="D640" s="20" t="n">
        <f aca="false">1+1*(D639-1)</f>
        <v>1.05357354269263</v>
      </c>
      <c r="J640" s="8" t="s">
        <v>679</v>
      </c>
    </row>
    <row r="641" customFormat="false" ht="17.15" hidden="false" customHeight="false" outlineLevel="0" collapsed="false">
      <c r="A641" s="1" t="s">
        <v>680</v>
      </c>
    </row>
    <row r="642" customFormat="false" ht="17.15" hidden="false" customHeight="false" outlineLevel="0" collapsed="false">
      <c r="A642" s="0" t="s">
        <v>681</v>
      </c>
      <c r="B642" s="0" t="s">
        <v>34</v>
      </c>
      <c r="C642" s="19" t="n">
        <f aca="false">C627*1</f>
        <v>5</v>
      </c>
      <c r="D642" s="19" t="n">
        <f aca="false">D627*$D$639</f>
        <v>4.00121823735874</v>
      </c>
      <c r="E642" s="19" t="n">
        <f aca="false">E627*1</f>
        <v>4.43978243891554</v>
      </c>
      <c r="F642" s="19" t="n">
        <f aca="false">F627*1</f>
        <v>5.5361017795381</v>
      </c>
      <c r="G642" s="19" t="n">
        <f aca="false">G627*1</f>
        <v>4.29421948845253</v>
      </c>
    </row>
    <row r="643" customFormat="false" ht="17.15" hidden="false" customHeight="false" outlineLevel="0" collapsed="false">
      <c r="A643" s="0" t="s">
        <v>682</v>
      </c>
      <c r="B643" s="0" t="s">
        <v>34</v>
      </c>
      <c r="C643" s="19" t="n">
        <f aca="false">C628*1</f>
        <v>5</v>
      </c>
      <c r="D643" s="19" t="n">
        <f aca="false">D628*$D$639</f>
        <v>8.12445119064864</v>
      </c>
      <c r="E643" s="19" t="n">
        <f aca="false">E628*1</f>
        <v>5.46142533008358</v>
      </c>
      <c r="F643" s="19" t="n">
        <f aca="false">F628*1</f>
        <v>4.91291310951257</v>
      </c>
      <c r="G643" s="19" t="n">
        <f aca="false">G628*1</f>
        <v>4.72646096843851</v>
      </c>
    </row>
    <row r="644" customFormat="false" ht="17.15" hidden="false" customHeight="false" outlineLevel="0" collapsed="false">
      <c r="A644" s="5" t="s">
        <v>683</v>
      </c>
      <c r="B644" s="0" t="s">
        <v>34</v>
      </c>
      <c r="C644" s="19" t="n">
        <f aca="false">C629*1</f>
        <v>26.46</v>
      </c>
      <c r="D644" s="19" t="n">
        <f aca="false">D629*$D$639</f>
        <v>30.8294480584975</v>
      </c>
      <c r="E644" s="19" t="n">
        <f aca="false">E629*$D$640</f>
        <v>34.9283100789076</v>
      </c>
      <c r="F644" s="19" t="n">
        <f aca="false">F629*$D$640</f>
        <v>39.0651155973109</v>
      </c>
      <c r="G644" s="19" t="n">
        <f aca="false">G629*$D$640</f>
        <v>41.8801018682936</v>
      </c>
    </row>
    <row r="645" customFormat="false" ht="15" hidden="false" customHeight="false" outlineLevel="0" collapsed="false">
      <c r="A645" s="5" t="s">
        <v>684</v>
      </c>
      <c r="B645" s="0" t="s">
        <v>34</v>
      </c>
      <c r="C645" s="19" t="n">
        <f aca="false">C630*1</f>
        <v>3.93</v>
      </c>
      <c r="D645" s="19" t="n">
        <f aca="false">D630*$D$639</f>
        <v>5.3528671456363</v>
      </c>
      <c r="E645" s="19" t="n">
        <f aca="false">E630*$D$640</f>
        <v>6.40544263451607</v>
      </c>
      <c r="F645" s="19" t="n">
        <f aca="false">F630*$D$640</f>
        <v>7.10263642460003</v>
      </c>
      <c r="G645" s="19" t="n">
        <f aca="false">G630*$D$640</f>
        <v>7.50738496059819</v>
      </c>
    </row>
    <row r="646" customFormat="false" ht="17.15" hidden="false" customHeight="false" outlineLevel="0" collapsed="false">
      <c r="A646" s="5" t="s">
        <v>685</v>
      </c>
      <c r="B646" s="0" t="s">
        <v>34</v>
      </c>
      <c r="C646" s="19" t="n">
        <f aca="false">C631*1</f>
        <v>9.47</v>
      </c>
      <c r="D646" s="19" t="n">
        <f aca="false">D631*$D$639</f>
        <v>10.2766616927782</v>
      </c>
      <c r="E646" s="19" t="n">
        <f aca="false">E631*$D$640</f>
        <v>10.5849615435615</v>
      </c>
      <c r="F646" s="19" t="n">
        <f aca="false">F631*$D$640</f>
        <v>10.9025103898683</v>
      </c>
      <c r="G646" s="19" t="n">
        <f aca="false">G631*$D$640</f>
        <v>11.2295857015644</v>
      </c>
    </row>
    <row r="647" customFormat="false" ht="15" hidden="false" customHeight="false" outlineLevel="0" collapsed="false">
      <c r="A647" s="5" t="s">
        <v>686</v>
      </c>
      <c r="B647" s="0" t="s">
        <v>34</v>
      </c>
      <c r="C647" s="19" t="n">
        <f aca="false">C632*1</f>
        <v>2.48</v>
      </c>
      <c r="D647" s="19" t="n">
        <f aca="false">D632*$D$639</f>
        <v>2.69124825745405</v>
      </c>
      <c r="E647" s="19" t="n">
        <f aca="false">E632*$D$640</f>
        <v>2.77198570517767</v>
      </c>
      <c r="F647" s="19" t="n">
        <f aca="false">F632*$D$640</f>
        <v>2.855145276333</v>
      </c>
      <c r="G647" s="19" t="n">
        <f aca="false">G632*$D$640</f>
        <v>2.94079963462299</v>
      </c>
    </row>
    <row r="648" customFormat="false" ht="15" hidden="false" customHeight="false" outlineLevel="0" collapsed="false">
      <c r="A648" s="5" t="s">
        <v>687</v>
      </c>
      <c r="B648" s="0" t="s">
        <v>34</v>
      </c>
      <c r="C648" s="19" t="n">
        <f aca="false">C633*1</f>
        <v>2</v>
      </c>
      <c r="D648" s="19" t="n">
        <f aca="false">D633*$D$639</f>
        <v>2.72410541762662</v>
      </c>
      <c r="E648" s="19" t="n">
        <f aca="false">E633*$D$640</f>
        <v>3.25976724402853</v>
      </c>
      <c r="F648" s="19" t="n">
        <f aca="false">F633*$D$640</f>
        <v>3.61457324407126</v>
      </c>
      <c r="G648" s="19" t="n">
        <f aca="false">G633*$D$640</f>
        <v>3.82055214279806</v>
      </c>
    </row>
    <row r="649" customFormat="false" ht="17.15" hidden="false" customHeight="false" outlineLevel="0" collapsed="false">
      <c r="A649" s="0" t="s">
        <v>688</v>
      </c>
      <c r="B649" s="0" t="s">
        <v>34</v>
      </c>
      <c r="C649" s="19" t="n">
        <f aca="false">C642+C643</f>
        <v>10</v>
      </c>
      <c r="D649" s="19" t="n">
        <f aca="false">D642+D643</f>
        <v>12.1256694280074</v>
      </c>
      <c r="E649" s="19" t="n">
        <f aca="false">E642+E643</f>
        <v>9.90120776899911</v>
      </c>
      <c r="F649" s="19" t="n">
        <f aca="false">F642+F643</f>
        <v>10.4490148890507</v>
      </c>
      <c r="G649" s="19" t="n">
        <f aca="false">G642+G643</f>
        <v>9.02068045689103</v>
      </c>
    </row>
    <row r="650" customFormat="false" ht="17.15" hidden="false" customHeight="false" outlineLevel="0" collapsed="false">
      <c r="A650" s="5" t="s">
        <v>689</v>
      </c>
      <c r="B650" s="0" t="s">
        <v>34</v>
      </c>
      <c r="C650" s="19" t="n">
        <f aca="false">C649+C644+C645</f>
        <v>40.39</v>
      </c>
      <c r="D650" s="19" t="n">
        <f aca="false">D649+D644+D645</f>
        <v>48.3079846321412</v>
      </c>
      <c r="E650" s="19" t="n">
        <f aca="false">E649+E644+E645</f>
        <v>51.2349604824228</v>
      </c>
      <c r="F650" s="19" t="n">
        <f aca="false">F649+F644+F645</f>
        <v>56.6167669109616</v>
      </c>
      <c r="G650" s="19" t="n">
        <f aca="false">G649+G644+G645</f>
        <v>58.4081672857828</v>
      </c>
      <c r="J650" s="5" t="s">
        <v>690</v>
      </c>
    </row>
    <row r="651" customFormat="false" ht="17.15" hidden="false" customHeight="false" outlineLevel="0" collapsed="false">
      <c r="A651" s="5" t="s">
        <v>541</v>
      </c>
      <c r="B651" s="0" t="s">
        <v>34</v>
      </c>
      <c r="C651" s="19" t="n">
        <f aca="false">C650+C646+C647+C648+seg_adj</f>
        <v>54.365</v>
      </c>
      <c r="D651" s="19" t="n">
        <f aca="false">D650+D646+D647+D648</f>
        <v>64</v>
      </c>
      <c r="E651" s="19" t="n">
        <f aca="false">E650+E646+E647+E648</f>
        <v>67.8516749751905</v>
      </c>
      <c r="F651" s="19" t="n">
        <f aca="false">F650+F646+F647+F648</f>
        <v>73.9889958212342</v>
      </c>
      <c r="G651" s="19" t="n">
        <f aca="false">G650+G646+G647+G648</f>
        <v>76.3991047647683</v>
      </c>
      <c r="J651" s="8" t="s">
        <v>691</v>
      </c>
    </row>
    <row r="652" customFormat="false" ht="17.15" hidden="false" customHeight="false" outlineLevel="0" collapsed="false">
      <c r="A652" s="5" t="s">
        <v>692</v>
      </c>
      <c r="B652" s="0" t="s">
        <v>34</v>
      </c>
      <c r="C652" s="20" t="n">
        <f aca="false">C650+C646+C647+C648-a25_rev</f>
        <v>-0.0249999999999986</v>
      </c>
    </row>
    <row r="653" customFormat="false" ht="17.15" hidden="false" customHeight="false" outlineLevel="0" collapsed="false">
      <c r="A653" s="0" t="s">
        <v>621</v>
      </c>
      <c r="B653" s="0" t="s">
        <v>94</v>
      </c>
      <c r="C653" s="11" t="n">
        <f aca="false">C649/C651</f>
        <v>0.1839418743677</v>
      </c>
      <c r="D653" s="11" t="n">
        <f aca="false">D649/D651</f>
        <v>0.189463584812615</v>
      </c>
      <c r="E653" s="11" t="n">
        <f aca="false">E649/E651</f>
        <v>0.145924294022505</v>
      </c>
      <c r="F653" s="11" t="n">
        <f aca="false">F649/F651</f>
        <v>0.141223904623556</v>
      </c>
      <c r="G653" s="11" t="n">
        <f aca="false">G649/G651</f>
        <v>0.118073117278868</v>
      </c>
    </row>
    <row r="654" customFormat="false" ht="17.15" hidden="false" customHeight="false" outlineLevel="0" collapsed="false">
      <c r="A654" s="5" t="s">
        <v>545</v>
      </c>
      <c r="B654" s="0" t="s">
        <v>34</v>
      </c>
      <c r="C654" s="19" t="n">
        <f aca="false">a25_oi</f>
        <v>6.917</v>
      </c>
      <c r="D654" s="19" t="n">
        <f aca="false">D637</f>
        <v>10.24</v>
      </c>
      <c r="E654" s="19" t="n">
        <f aca="false">$D654+(im+ima_A)*(E651-$D651)</f>
        <v>11.3936580245987</v>
      </c>
      <c r="F654" s="19" t="n">
        <f aca="false">$D654+(im+ima_A)*(F651-$D651)</f>
        <v>13.231915273505</v>
      </c>
      <c r="G654" s="19" t="n">
        <f aca="false">$D654+(im+ima_A)*(G651-$D651)</f>
        <v>13.9537938174565</v>
      </c>
      <c r="J654" s="8" t="s">
        <v>693</v>
      </c>
    </row>
    <row r="655" customFormat="false" ht="15" hidden="false" customHeight="false" outlineLevel="0" collapsed="false">
      <c r="A655" s="5" t="s">
        <v>694</v>
      </c>
      <c r="B655" s="0" t="s">
        <v>94</v>
      </c>
      <c r="C655" s="11" t="n">
        <f aca="false">C654/C651</f>
        <v>0.127232594500138</v>
      </c>
      <c r="D655" s="11" t="n">
        <f aca="false">D654/D651</f>
        <v>0.16</v>
      </c>
      <c r="E655" s="11" t="n">
        <f aca="false">E654/E651</f>
        <v>0.167920070193767</v>
      </c>
      <c r="F655" s="11" t="n">
        <f aca="false">F654/F651</f>
        <v>0.178836259725363</v>
      </c>
      <c r="G655" s="11" t="n">
        <f aca="false">G654/G651</f>
        <v>0.182643420501066</v>
      </c>
    </row>
    <row r="656" customFormat="false" ht="15" hidden="false" customHeight="false" outlineLevel="0" collapsed="false">
      <c r="A656" s="5" t="s">
        <v>548</v>
      </c>
      <c r="B656" s="0" t="s">
        <v>34</v>
      </c>
      <c r="C656" s="19" t="n">
        <f aca="false">a25_ni</f>
        <v>4.593</v>
      </c>
      <c r="D656" s="19" t="n">
        <f aca="false">D638</f>
        <v>7</v>
      </c>
      <c r="E656" s="19" t="n">
        <f aca="false">E654*nioi</f>
        <v>7.78863341525299</v>
      </c>
      <c r="F656" s="19" t="n">
        <f aca="false">F654*nioi</f>
        <v>9.04525458149756</v>
      </c>
      <c r="G656" s="19" t="n">
        <f aca="false">G654*nioi</f>
        <v>9.53872624240193</v>
      </c>
    </row>
    <row r="657" customFormat="false" ht="15" hidden="false" customHeight="false" outlineLevel="0" collapsed="false">
      <c r="A657" s="0" t="s">
        <v>622</v>
      </c>
      <c r="B657" s="0" t="s">
        <v>52</v>
      </c>
      <c r="C657" s="22" t="n">
        <f aca="false">a25_eps</f>
        <v>61.22</v>
      </c>
      <c r="D657" s="22" t="n">
        <f aca="false">D656*1000/shares</f>
        <v>93.2961492201002</v>
      </c>
      <c r="E657" s="22" t="n">
        <f aca="false">E656*1000/shares</f>
        <v>103.807072190015</v>
      </c>
      <c r="F657" s="22" t="n">
        <f aca="false">F656*1000/shares</f>
        <v>120.555345881313</v>
      </c>
      <c r="G657" s="22" t="n">
        <f aca="false">G656*1000/shares</f>
        <v>127.132346697259</v>
      </c>
    </row>
    <row r="658" customFormat="false" ht="17.15" hidden="false" customHeight="false" outlineLevel="0" collapsed="false">
      <c r="A658" s="5" t="s">
        <v>695</v>
      </c>
      <c r="B658" s="0" t="s">
        <v>34</v>
      </c>
      <c r="C658" s="20" t="n">
        <f aca="false">ABS(C651-a25_rev)+ABS(C654-a25_oi)+ABS(D651-D636)</f>
        <v>0</v>
      </c>
    </row>
    <row r="670" customFormat="false" ht="17.15" hidden="false" customHeight="false" outlineLevel="0" collapsed="false">
      <c r="A670" s="3" t="s">
        <v>1026</v>
      </c>
    </row>
    <row r="671" customFormat="false" ht="17.15" hidden="false" customHeight="false" outlineLevel="0" collapsed="false">
      <c r="A671" s="6" t="s">
        <v>23</v>
      </c>
      <c r="B671" s="6" t="s">
        <v>24</v>
      </c>
      <c r="C671" s="15" t="s">
        <v>628</v>
      </c>
      <c r="D671" s="15" t="s">
        <v>629</v>
      </c>
      <c r="E671" s="15" t="s">
        <v>630</v>
      </c>
      <c r="F671" s="15" t="s">
        <v>631</v>
      </c>
      <c r="G671" s="15" t="s">
        <v>632</v>
      </c>
      <c r="H671" s="15" t="s">
        <v>633</v>
      </c>
      <c r="I671" s="15" t="s">
        <v>634</v>
      </c>
      <c r="J671" s="6" t="s">
        <v>468</v>
      </c>
    </row>
    <row r="672" customFormat="false" ht="17.15" hidden="false" customHeight="false" outlineLevel="0" collapsed="false">
      <c r="A672" s="1" t="s">
        <v>635</v>
      </c>
    </row>
    <row r="673" customFormat="false" ht="17.15" hidden="false" customHeight="false" outlineLevel="0" collapsed="false">
      <c r="A673" s="0" t="s">
        <v>636</v>
      </c>
      <c r="B673" s="0" t="s">
        <v>111</v>
      </c>
      <c r="C673" s="21" t="n">
        <f aca="false">hsA_25</f>
        <v>2.22511470588235</v>
      </c>
      <c r="D673" s="21" t="n">
        <f aca="false">hsA_26</f>
        <v>3.782695</v>
      </c>
      <c r="E673" s="21" t="n">
        <f aca="false">hsA_27</f>
        <v>5.86317725</v>
      </c>
      <c r="F673" s="21" t="n">
        <f aca="false">hsA_28</f>
        <v>8.5016070125</v>
      </c>
      <c r="G673" s="21" t="n">
        <f aca="false">hsA_29</f>
        <v>11.477169466875</v>
      </c>
      <c r="J673" s="8" t="s">
        <v>637</v>
      </c>
    </row>
    <row r="674" customFormat="false" ht="17.15" hidden="false" customHeight="false" outlineLevel="0" collapsed="false">
      <c r="A674" s="0" t="s">
        <v>638</v>
      </c>
      <c r="B674" s="0" t="s">
        <v>639</v>
      </c>
      <c r="C674" s="21" t="n">
        <f aca="false">den_25</f>
        <v>24</v>
      </c>
      <c r="D674" s="21" t="n">
        <f aca="false">den_26</f>
        <v>24</v>
      </c>
      <c r="E674" s="21" t="n">
        <f aca="false">den_27</f>
        <v>26</v>
      </c>
      <c r="F674" s="21" t="n">
        <f aca="false">den_28</f>
        <v>28</v>
      </c>
      <c r="G674" s="21" t="n">
        <f aca="false">den_29</f>
        <v>30</v>
      </c>
    </row>
    <row r="675" customFormat="false" ht="15" hidden="false" customHeight="false" outlineLevel="0" collapsed="false">
      <c r="A675" s="5" t="s">
        <v>640</v>
      </c>
      <c r="B675" s="5" t="s">
        <v>160</v>
      </c>
      <c r="C675" s="21" t="n">
        <f aca="false">stk_25</f>
        <v>10</v>
      </c>
      <c r="D675" s="21" t="n">
        <f aca="false">stk_26</f>
        <v>12</v>
      </c>
      <c r="E675" s="21" t="n">
        <f aca="false">stk_27</f>
        <v>12.5</v>
      </c>
      <c r="F675" s="21" t="n">
        <f aca="false">stk_28</f>
        <v>14</v>
      </c>
      <c r="G675" s="21" t="n">
        <f aca="false">stk_29</f>
        <v>15</v>
      </c>
    </row>
    <row r="676" customFormat="false" ht="17.15" hidden="false" customHeight="false" outlineLevel="0" collapsed="false">
      <c r="A676" s="0" t="s">
        <v>641</v>
      </c>
      <c r="B676" s="5" t="s">
        <v>642</v>
      </c>
      <c r="C676" s="23" t="n">
        <f aca="false">C673*8/(C674*C675)</f>
        <v>0.0741704901960783</v>
      </c>
      <c r="D676" s="23" t="n">
        <f aca="false">D673*8/(D674*D675)</f>
        <v>0.105074861111111</v>
      </c>
      <c r="E676" s="23" t="n">
        <f aca="false">E673*8/(E674*E675)</f>
        <v>0.144324363076923</v>
      </c>
      <c r="F676" s="23" t="n">
        <f aca="false">F673*8/(F674*F675)</f>
        <v>0.173502183928571</v>
      </c>
      <c r="G676" s="23" t="n">
        <f aca="false">G673*8/(G674*G675)</f>
        <v>0.2040385683</v>
      </c>
      <c r="H676" s="23" t="n">
        <f aca="false">G676*(1+g_tail_lo)</f>
        <v>0.2040385683</v>
      </c>
      <c r="I676" s="23" t="n">
        <f aca="false">H676*(1+g_tail_lo)</f>
        <v>0.2040385683</v>
      </c>
      <c r="J676" s="8" t="s">
        <v>643</v>
      </c>
    </row>
    <row r="677" customFormat="false" ht="17.15" hidden="false" customHeight="false" outlineLevel="0" collapsed="false">
      <c r="A677" s="0" t="s">
        <v>644</v>
      </c>
      <c r="B677" s="5" t="s">
        <v>642</v>
      </c>
      <c r="C677" s="23" t="n">
        <f aca="false">MAX(0,D676-C676)+dlt*C676</f>
        <v>0.0383214199346406</v>
      </c>
      <c r="D677" s="23" t="n">
        <f aca="false">MAX(0,E676-D676)+dlt*D676</f>
        <v>0.0497569880769231</v>
      </c>
      <c r="E677" s="23" t="n">
        <f aca="false">MAX(0,F676-E676)+dlt*E676</f>
        <v>0.0436102571593407</v>
      </c>
      <c r="F677" s="23" t="n">
        <f aca="false">MAX(0,G676-F676)+dlt*F676</f>
        <v>0.0478866027642858</v>
      </c>
      <c r="G677" s="23" t="n">
        <f aca="false">MAX(0,H676-G676)+dlt*G676</f>
        <v>0.02040385683</v>
      </c>
      <c r="H677" s="23" t="n">
        <f aca="false">MAX(0,I676-H676)+dlt*H676</f>
        <v>0.02040385683</v>
      </c>
      <c r="J677" s="5" t="s">
        <v>645</v>
      </c>
    </row>
    <row r="678" customFormat="false" ht="17.15" hidden="false" customHeight="false" outlineLevel="0" collapsed="false">
      <c r="A678" s="0" t="s">
        <v>646</v>
      </c>
      <c r="B678" s="5" t="s">
        <v>183</v>
      </c>
      <c r="C678" s="14" t="n">
        <f aca="false">cw_25</f>
        <v>670</v>
      </c>
      <c r="D678" s="14" t="n">
        <f aca="false">cw_26</f>
        <v>1107.85762580894</v>
      </c>
      <c r="E678" s="14" t="n">
        <f aca="false">cw_27</f>
        <v>2096.42857142857</v>
      </c>
      <c r="F678" s="14" t="n">
        <f aca="false">cw_28*um28_A</f>
        <v>2620.08928571429</v>
      </c>
      <c r="G678" s="14" t="n">
        <f aca="false">cw_29*um29_A</f>
        <v>3013.32589285714</v>
      </c>
      <c r="H678" s="14" t="n">
        <f aca="false">G678*(1+g_tail_lo)</f>
        <v>3013.32589285714</v>
      </c>
      <c r="I678" s="14" t="n">
        <f aca="false">H678*(1+g_tail_lo)</f>
        <v>3013.32589285714</v>
      </c>
      <c r="J678" s="5" t="s">
        <v>647</v>
      </c>
    </row>
    <row r="679" customFormat="false" ht="17.15" hidden="false" customHeight="false" outlineLevel="0" collapsed="false">
      <c r="A679" s="0" t="s">
        <v>648</v>
      </c>
      <c r="B679" s="5" t="s">
        <v>183</v>
      </c>
      <c r="C679" s="14" t="n">
        <f aca="false">MAX(0,D678-C678)+dlt*C678</f>
        <v>504.85762580894</v>
      </c>
      <c r="D679" s="14" t="n">
        <f aca="false">MAX(0,E678-D678)+dlt*D678</f>
        <v>1099.35670820052</v>
      </c>
      <c r="E679" s="14" t="n">
        <f aca="false">MAX(0,F678-E678)+dlt*E678</f>
        <v>733.303571428577</v>
      </c>
      <c r="F679" s="14" t="n">
        <f aca="false">MAX(0,G678-F678)+dlt*F678</f>
        <v>655.245535714279</v>
      </c>
      <c r="G679" s="14" t="n">
        <f aca="false">MAX(0,H678-G678)+dlt*G678</f>
        <v>301.332589285714</v>
      </c>
      <c r="H679" s="14" t="n">
        <f aca="false">MAX(0,I678-H678)+dlt*H678</f>
        <v>301.332589285714</v>
      </c>
    </row>
    <row r="680" customFormat="false" ht="17.15" hidden="false" customHeight="false" outlineLevel="0" collapsed="false">
      <c r="A680" s="5" t="s">
        <v>649</v>
      </c>
      <c r="B680" s="0" t="s">
        <v>219</v>
      </c>
      <c r="C680" s="21" t="n">
        <f aca="false">pk_25*(eqtA_25-eqaA_25)/(eqtA_25-eqaA_25)</f>
        <v>6.11313868613139</v>
      </c>
      <c r="D680" s="21" t="n">
        <f aca="false">pk_26*(eqtA_26-eqaA_26)/(eqtA_26-eqaA_26)</f>
        <v>6.7</v>
      </c>
      <c r="E680" s="21" t="n">
        <f aca="false">pk_27*(eqtA_27-eqaA_27)/(eqtA_27-eqaA_27)</f>
        <v>7.59078388573934</v>
      </c>
      <c r="F680" s="21" t="n">
        <f aca="false">pk_28*(eqtA_28-eqaA_28)/(eqtA_28-eqaA_28)</f>
        <v>8.6</v>
      </c>
      <c r="G680" s="21" t="n">
        <f aca="false">pk_29*(eqtA_29-eqaA_29)/(eqtA_29-eqaA_29)</f>
        <v>9.288</v>
      </c>
      <c r="H680" s="21" t="n">
        <f aca="false">G680*(1+g_pk_tail)</f>
        <v>9.7524</v>
      </c>
      <c r="J680" s="8" t="s">
        <v>650</v>
      </c>
    </row>
    <row r="681" customFormat="false" ht="15" hidden="false" customHeight="false" outlineLevel="0" collapsed="false">
      <c r="A681" s="5" t="s">
        <v>651</v>
      </c>
      <c r="B681" s="0" t="s">
        <v>219</v>
      </c>
      <c r="C681" s="24" t="n">
        <f aca="false">eqtA_25</f>
        <v>134.689359843138</v>
      </c>
      <c r="D681" s="24" t="n">
        <f aca="false">eqtA_26</f>
        <v>178.157050570127</v>
      </c>
      <c r="E681" s="24" t="n">
        <f aca="false">eqtA_27</f>
        <v>218.225535760082</v>
      </c>
      <c r="F681" s="24" t="n">
        <f aca="false">eqtA_28</f>
        <v>246.028626308958</v>
      </c>
      <c r="G681" s="24" t="n">
        <f aca="false">eqtA_29</f>
        <v>260.655685855226</v>
      </c>
      <c r="H681" s="24" t="n">
        <f aca="false">G681*(1+g_pk_tail)</f>
        <v>273.688470147987</v>
      </c>
      <c r="J681" s="5" t="s">
        <v>652</v>
      </c>
    </row>
    <row r="682" customFormat="false" ht="17.15" hidden="false" customHeight="false" outlineLevel="0" collapsed="false">
      <c r="A682" s="1" t="s">
        <v>653</v>
      </c>
    </row>
    <row r="683" customFormat="false" ht="17.15" hidden="false" customHeight="false" outlineLevel="0" collapsed="false">
      <c r="A683" s="0" t="s">
        <v>654</v>
      </c>
      <c r="B683" s="0" t="s">
        <v>655</v>
      </c>
      <c r="C683" s="24" t="n">
        <f aca="false">ai_25*w_hbm/(0.75*C677+0.25*D677)</f>
        <v>121.417244328233</v>
      </c>
      <c r="J683" s="5" t="s">
        <v>656</v>
      </c>
    </row>
    <row r="684" customFormat="false" ht="17.15" hidden="false" customHeight="false" outlineLevel="0" collapsed="false">
      <c r="A684" s="0" t="s">
        <v>657</v>
      </c>
      <c r="B684" s="0" t="s">
        <v>658</v>
      </c>
      <c r="C684" s="25" t="n">
        <f aca="false">ai_25*(1-w_hbm)/(0.75*C679+0.25*D679)</f>
        <v>0.0076513155174377</v>
      </c>
    </row>
    <row r="685" customFormat="false" ht="17.15" hidden="false" customHeight="false" outlineLevel="0" collapsed="false">
      <c r="A685" s="1" t="s">
        <v>659</v>
      </c>
    </row>
    <row r="686" customFormat="false" ht="17.15" hidden="false" customHeight="false" outlineLevel="0" collapsed="false">
      <c r="A686" s="0" t="s">
        <v>660</v>
      </c>
      <c r="B686" s="0" t="s">
        <v>198</v>
      </c>
      <c r="C686" s="20" t="n">
        <f aca="false">1-shl_A/sh*0</f>
        <v>1</v>
      </c>
      <c r="D686" s="20" t="n">
        <f aca="false">1-shl_A/sh*0.25</f>
        <v>1</v>
      </c>
      <c r="E686" s="20" t="n">
        <f aca="false">1-shl_A/sh*0.5</f>
        <v>1</v>
      </c>
      <c r="F686" s="20" t="n">
        <f aca="false">1-shl_A/sh*0.75</f>
        <v>1</v>
      </c>
      <c r="G686" s="20" t="n">
        <f aca="false">1-shl_A/sh*1</f>
        <v>1</v>
      </c>
      <c r="J686" s="5" t="s">
        <v>661</v>
      </c>
    </row>
    <row r="687" customFormat="false" ht="17.15" hidden="false" customHeight="false" outlineLevel="0" collapsed="false">
      <c r="A687" s="0" t="s">
        <v>662</v>
      </c>
      <c r="B687" s="0" t="s">
        <v>34</v>
      </c>
      <c r="C687" s="19" t="n">
        <f aca="false">$C$683*(0.75*C677+0.25*D677)*C686</f>
        <v>5</v>
      </c>
      <c r="D687" s="19" t="n">
        <f aca="false">$C$683*(0.75*D677+0.25*E677)*D686</f>
        <v>5.85477659596275</v>
      </c>
      <c r="E687" s="19" t="n">
        <f aca="false">$C$683*(0.75*E677+0.25*F677)*E686</f>
        <v>5.42484277351964</v>
      </c>
      <c r="F687" s="19" t="n">
        <f aca="false">$C$683*(0.75*F677+0.25*G677)*F686</f>
        <v>4.98003952840185</v>
      </c>
      <c r="G687" s="19" t="n">
        <f aca="false">$C$683*(0.75*G677+0.25*H677)*G686</f>
        <v>2.4773800699664</v>
      </c>
    </row>
    <row r="688" customFormat="false" ht="17.15" hidden="false" customHeight="false" outlineLevel="0" collapsed="false">
      <c r="A688" s="0" t="s">
        <v>663</v>
      </c>
      <c r="B688" s="0" t="s">
        <v>34</v>
      </c>
      <c r="C688" s="19" t="n">
        <f aca="false">$C$684*(0.75*C679+0.25*D679)*C686</f>
        <v>5</v>
      </c>
      <c r="D688" s="19" t="n">
        <f aca="false">$C$684*(0.75*D679+0.25*E679)*D686</f>
        <v>7.71132802925642</v>
      </c>
      <c r="E688" s="19" t="n">
        <f aca="false">$C$684*(0.75*E679+0.25*F679)*E686</f>
        <v>5.46142533008358</v>
      </c>
      <c r="F688" s="19" t="n">
        <f aca="false">$C$684*(0.75*F679+0.25*G679)*F686</f>
        <v>4.3365154304347</v>
      </c>
      <c r="G688" s="19" t="n">
        <f aca="false">$C$684*(0.75*G679+0.25*H679)*G686</f>
        <v>2.30559071631147</v>
      </c>
    </row>
    <row r="689" customFormat="false" ht="17.15" hidden="false" customHeight="false" outlineLevel="0" collapsed="false">
      <c r="A689" s="5" t="s">
        <v>664</v>
      </c>
      <c r="B689" s="0" t="s">
        <v>34</v>
      </c>
      <c r="C689" s="19" t="n">
        <f aca="false">(seg_mold-ai_25)*(0.75*C680+0.25*D680)/(0.75*C680+0.25*D680)</f>
        <v>26.46</v>
      </c>
      <c r="D689" s="19" t="n">
        <f aca="false">(seg_mold-ai_25)*(0.75*D680+0.25*E680)/(0.75*C680+0.25*D680)</f>
        <v>29.2617902872793</v>
      </c>
      <c r="E689" s="19" t="n">
        <f aca="false">(seg_mold-ai_25)*(0.75*E680+0.25*F680)/(0.75*C680+0.25*D680)</f>
        <v>33.1522277881438</v>
      </c>
      <c r="F689" s="19" t="n">
        <f aca="false">(seg_mold-ai_25)*(0.75*F680+0.25*G680)/(0.75*C680+0.25*D680)</f>
        <v>37.0786793843283</v>
      </c>
      <c r="G689" s="19" t="n">
        <f aca="false">(seg_mold-ai_25)*(0.75*G680+0.25*H680)/(0.75*C680+0.25*D680)</f>
        <v>39.7505253987873</v>
      </c>
      <c r="J689" s="8" t="s">
        <v>665</v>
      </c>
    </row>
    <row r="690" customFormat="false" ht="15" hidden="false" customHeight="false" outlineLevel="0" collapsed="false">
      <c r="A690" s="5" t="s">
        <v>666</v>
      </c>
      <c r="B690" s="0" t="s">
        <v>34</v>
      </c>
      <c r="C690" s="19" t="n">
        <f aca="false">seg_osemi*(0.75*C681+0.25*D681)/(0.75*C681+0.25*D681)</f>
        <v>3.93</v>
      </c>
      <c r="D690" s="19" t="n">
        <f aca="false">seg_osemi*(0.75*D681+0.25*E681)/(0.75*C681+0.25*D681)</f>
        <v>5.08067726525852</v>
      </c>
      <c r="E690" s="19" t="n">
        <f aca="false">seg_osemi*(0.75*E681+0.25*F681)/(0.75*C681+0.25*D681)</f>
        <v>6.0797299618455</v>
      </c>
      <c r="F690" s="19" t="n">
        <f aca="false">seg_osemi*(0.75*F681+0.25*G681)/(0.75*C681+0.25*D681)</f>
        <v>6.74147189236335</v>
      </c>
      <c r="G690" s="19" t="n">
        <f aca="false">seg_osemi*(0.75*G681+0.25*H681)/(0.75*C681+0.25*D681)</f>
        <v>7.12563922344852</v>
      </c>
      <c r="J690" s="5" t="s">
        <v>667</v>
      </c>
    </row>
    <row r="691" customFormat="false" ht="17.15" hidden="false" customHeight="false" outlineLevel="0" collapsed="false">
      <c r="A691" s="5" t="s">
        <v>668</v>
      </c>
      <c r="B691" s="0" t="s">
        <v>34</v>
      </c>
      <c r="C691" s="19" t="n">
        <f aca="false">seg_new</f>
        <v>9.47</v>
      </c>
      <c r="D691" s="19" t="n">
        <f aca="false">C691*(1+g_tss)</f>
        <v>9.7541</v>
      </c>
      <c r="E691" s="19" t="n">
        <f aca="false">D691*(1+g_tss)</f>
        <v>10.046723</v>
      </c>
      <c r="F691" s="19" t="n">
        <f aca="false">E691*(1+g_tss)</f>
        <v>10.34812469</v>
      </c>
      <c r="G691" s="19" t="n">
        <f aca="false">F691*(1+g_tss)</f>
        <v>10.6585684307</v>
      </c>
    </row>
    <row r="692" customFormat="false" ht="15" hidden="false" customHeight="false" outlineLevel="0" collapsed="false">
      <c r="A692" s="5" t="s">
        <v>669</v>
      </c>
      <c r="B692" s="0" t="s">
        <v>34</v>
      </c>
      <c r="C692" s="19" t="n">
        <f aca="false">seg_med</f>
        <v>2.48</v>
      </c>
      <c r="D692" s="19" t="n">
        <f aca="false">C692*(1+g_med)</f>
        <v>2.5544</v>
      </c>
      <c r="E692" s="19" t="n">
        <f aca="false">D692*(1+g_med)</f>
        <v>2.631032</v>
      </c>
      <c r="F692" s="19" t="n">
        <f aca="false">E692*(1+g_med)</f>
        <v>2.70996296</v>
      </c>
      <c r="G692" s="19" t="n">
        <f aca="false">F692*(1+g_med)</f>
        <v>2.7912618488</v>
      </c>
    </row>
    <row r="693" customFormat="false" ht="15" hidden="false" customHeight="false" outlineLevel="0" collapsed="false">
      <c r="A693" s="5" t="s">
        <v>670</v>
      </c>
      <c r="B693" s="0" t="s">
        <v>34</v>
      </c>
      <c r="C693" s="19" t="n">
        <f aca="false">seg_las*(0.75*C681+0.25*D681)/(0.75*C681+0.25*D681)</f>
        <v>2</v>
      </c>
      <c r="D693" s="19" t="n">
        <f aca="false">seg_las*(0.75*D681+0.25*E681)/(0.75*C681+0.25*D681)</f>
        <v>2.5855863945336</v>
      </c>
      <c r="E693" s="19" t="n">
        <f aca="false">seg_las*(0.75*E681+0.25*F681)/(0.75*C681+0.25*D681)</f>
        <v>3.0940101587</v>
      </c>
      <c r="F693" s="19" t="n">
        <f aca="false">seg_las*(0.75*F681+0.25*G681)/(0.75*C681+0.25*D681)</f>
        <v>3.43077449993046</v>
      </c>
      <c r="G693" s="19" t="n">
        <f aca="false">seg_las*(0.75*G681+0.25*H681)/(0.75*C681+0.25*D681)</f>
        <v>3.62627950302724</v>
      </c>
      <c r="J693" s="5" t="s">
        <v>667</v>
      </c>
    </row>
    <row r="694" customFormat="false" ht="15" hidden="false" customHeight="false" outlineLevel="0" collapsed="false">
      <c r="A694" s="5" t="s">
        <v>671</v>
      </c>
      <c r="B694" s="0" t="s">
        <v>34</v>
      </c>
      <c r="C694" s="19" t="n">
        <f aca="false">C687+C688+C689+C690+C691+C692+C693+seg_adj</f>
        <v>54.365</v>
      </c>
      <c r="D694" s="19" t="n">
        <f aca="false">D687+D688+D689+D690+D691+D692+D693</f>
        <v>62.8026585722905</v>
      </c>
      <c r="E694" s="19" t="n">
        <f aca="false">E687+E688+E689+E690+E691+E692+E693</f>
        <v>65.8899910122925</v>
      </c>
      <c r="F694" s="19" t="n">
        <f aca="false">F687+F688+F689+F690+F691+F692+F693</f>
        <v>69.6255683854587</v>
      </c>
      <c r="G694" s="19" t="n">
        <f aca="false">G687+G688+G689+G690+G691+G692+G693</f>
        <v>68.7352451910409</v>
      </c>
    </row>
    <row r="695" customFormat="false" ht="17.15" hidden="false" customHeight="false" outlineLevel="0" collapsed="false">
      <c r="A695" s="1" t="s">
        <v>672</v>
      </c>
    </row>
    <row r="696" customFormat="false" ht="17.15" hidden="false" customHeight="false" outlineLevel="0" collapsed="false">
      <c r="A696" s="0" t="s">
        <v>673</v>
      </c>
      <c r="B696" s="0" t="s">
        <v>34</v>
      </c>
      <c r="D696" s="19" t="n">
        <f aca="false">g26_rev*(1+g_anc)</f>
        <v>64</v>
      </c>
    </row>
    <row r="697" customFormat="false" ht="17.15" hidden="false" customHeight="false" outlineLevel="0" collapsed="false">
      <c r="A697" s="0" t="s">
        <v>674</v>
      </c>
      <c r="B697" s="0" t="s">
        <v>34</v>
      </c>
      <c r="D697" s="19" t="n">
        <f aca="false">D696*g26_oi/g26_rev</f>
        <v>10.24</v>
      </c>
    </row>
    <row r="698" customFormat="false" ht="17.15" hidden="false" customHeight="false" outlineLevel="0" collapsed="false">
      <c r="A698" s="0" t="s">
        <v>675</v>
      </c>
      <c r="B698" s="0" t="s">
        <v>34</v>
      </c>
      <c r="D698" s="19" t="n">
        <f aca="false">D697*g26_ni/g26_oi</f>
        <v>7</v>
      </c>
    </row>
    <row r="699" customFormat="false" ht="17.15" hidden="false" customHeight="false" outlineLevel="0" collapsed="false">
      <c r="A699" s="5" t="s">
        <v>676</v>
      </c>
      <c r="B699" s="0" t="s">
        <v>198</v>
      </c>
      <c r="D699" s="20" t="n">
        <f aca="false">D696/D694</f>
        <v>1.01906513919839</v>
      </c>
      <c r="J699" s="8" t="s">
        <v>677</v>
      </c>
    </row>
    <row r="700" customFormat="false" ht="17.15" hidden="false" customHeight="false" outlineLevel="0" collapsed="false">
      <c r="A700" s="5" t="s">
        <v>678</v>
      </c>
      <c r="B700" s="0" t="s">
        <v>198</v>
      </c>
      <c r="D700" s="20" t="n">
        <f aca="false">1+1*(D699-1)</f>
        <v>1.01906513919839</v>
      </c>
      <c r="J700" s="8" t="s">
        <v>679</v>
      </c>
    </row>
    <row r="701" customFormat="false" ht="17.15" hidden="false" customHeight="false" outlineLevel="0" collapsed="false">
      <c r="A701" s="1" t="s">
        <v>680</v>
      </c>
    </row>
    <row r="702" customFormat="false" ht="17.15" hidden="false" customHeight="false" outlineLevel="0" collapsed="false">
      <c r="A702" s="0" t="s">
        <v>681</v>
      </c>
      <c r="B702" s="0" t="s">
        <v>34</v>
      </c>
      <c r="C702" s="19" t="n">
        <f aca="false">C687*1</f>
        <v>5</v>
      </c>
      <c r="D702" s="19" t="n">
        <f aca="false">D687*$D$699</f>
        <v>5.96639872674023</v>
      </c>
      <c r="E702" s="19" t="n">
        <f aca="false">E687*1</f>
        <v>5.42484277351964</v>
      </c>
      <c r="F702" s="19" t="n">
        <f aca="false">F687*1</f>
        <v>4.98003952840185</v>
      </c>
      <c r="G702" s="19" t="n">
        <f aca="false">G687*1</f>
        <v>2.4773800699664</v>
      </c>
    </row>
    <row r="703" customFormat="false" ht="17.15" hidden="false" customHeight="false" outlineLevel="0" collapsed="false">
      <c r="A703" s="0" t="s">
        <v>682</v>
      </c>
      <c r="B703" s="0" t="s">
        <v>34</v>
      </c>
      <c r="C703" s="19" t="n">
        <f aca="false">C688*1</f>
        <v>5</v>
      </c>
      <c r="D703" s="19" t="n">
        <f aca="false">D688*$D$699</f>
        <v>7.85834557153861</v>
      </c>
      <c r="E703" s="19" t="n">
        <f aca="false">E688*1</f>
        <v>5.46142533008358</v>
      </c>
      <c r="F703" s="19" t="n">
        <f aca="false">F688*1</f>
        <v>4.3365154304347</v>
      </c>
      <c r="G703" s="19" t="n">
        <f aca="false">G688*1</f>
        <v>2.30559071631147</v>
      </c>
    </row>
    <row r="704" customFormat="false" ht="17.15" hidden="false" customHeight="false" outlineLevel="0" collapsed="false">
      <c r="A704" s="5" t="s">
        <v>683</v>
      </c>
      <c r="B704" s="0" t="s">
        <v>34</v>
      </c>
      <c r="C704" s="19" t="n">
        <f aca="false">C689*1</f>
        <v>26.46</v>
      </c>
      <c r="D704" s="19" t="n">
        <f aca="false">D689*$D$699</f>
        <v>29.8196703923002</v>
      </c>
      <c r="E704" s="19" t="n">
        <f aca="false">E689*$D$700</f>
        <v>33.7842796256614</v>
      </c>
      <c r="F704" s="19" t="n">
        <f aca="false">F689*$D$700</f>
        <v>37.7855895680829</v>
      </c>
      <c r="G704" s="19" t="n">
        <f aca="false">G689*$D$700</f>
        <v>40.5083746987242</v>
      </c>
    </row>
    <row r="705" customFormat="false" ht="15" hidden="false" customHeight="false" outlineLevel="0" collapsed="false">
      <c r="A705" s="5" t="s">
        <v>684</v>
      </c>
      <c r="B705" s="0" t="s">
        <v>34</v>
      </c>
      <c r="C705" s="19" t="n">
        <f aca="false">C690*1</f>
        <v>3.93</v>
      </c>
      <c r="D705" s="19" t="n">
        <f aca="false">D690*$D$699</f>
        <v>5.17754108454275</v>
      </c>
      <c r="E705" s="19" t="n">
        <f aca="false">E690*$D$700</f>
        <v>6.19564085985668</v>
      </c>
      <c r="F705" s="19" t="n">
        <f aca="false">F690*$D$700</f>
        <v>6.86999899239327</v>
      </c>
      <c r="G705" s="19" t="n">
        <f aca="false">G690*$D$700</f>
        <v>7.26149052712105</v>
      </c>
    </row>
    <row r="706" customFormat="false" ht="17.15" hidden="false" customHeight="false" outlineLevel="0" collapsed="false">
      <c r="A706" s="5" t="s">
        <v>685</v>
      </c>
      <c r="B706" s="0" t="s">
        <v>34</v>
      </c>
      <c r="C706" s="19" t="n">
        <f aca="false">C691*1</f>
        <v>9.47</v>
      </c>
      <c r="D706" s="19" t="n">
        <f aca="false">D691*$D$699</f>
        <v>9.94006327425498</v>
      </c>
      <c r="E706" s="19" t="n">
        <f aca="false">E691*$D$700</f>
        <v>10.2382651724826</v>
      </c>
      <c r="F706" s="19" t="n">
        <f aca="false">F691*$D$700</f>
        <v>10.5454131276571</v>
      </c>
      <c r="G706" s="19" t="n">
        <f aca="false">G691*$D$700</f>
        <v>10.8617755214868</v>
      </c>
    </row>
    <row r="707" customFormat="false" ht="15" hidden="false" customHeight="false" outlineLevel="0" collapsed="false">
      <c r="A707" s="5" t="s">
        <v>686</v>
      </c>
      <c r="B707" s="0" t="s">
        <v>34</v>
      </c>
      <c r="C707" s="19" t="n">
        <f aca="false">C692*1</f>
        <v>2.48</v>
      </c>
      <c r="D707" s="19" t="n">
        <f aca="false">D692*$D$699</f>
        <v>2.60309999156836</v>
      </c>
      <c r="E707" s="19" t="n">
        <f aca="false">E692*$D$700</f>
        <v>2.68119299131541</v>
      </c>
      <c r="F707" s="19" t="n">
        <f aca="false">F692*$D$700</f>
        <v>2.76162878105487</v>
      </c>
      <c r="G707" s="19" t="n">
        <f aca="false">G692*$D$700</f>
        <v>2.84447764448652</v>
      </c>
    </row>
    <row r="708" customFormat="false" ht="15" hidden="false" customHeight="false" outlineLevel="0" collapsed="false">
      <c r="A708" s="5" t="s">
        <v>687</v>
      </c>
      <c r="B708" s="0" t="s">
        <v>34</v>
      </c>
      <c r="C708" s="19" t="n">
        <f aca="false">C693*1</f>
        <v>2</v>
      </c>
      <c r="D708" s="19" t="n">
        <f aca="false">D693*$D$699</f>
        <v>2.63488095905483</v>
      </c>
      <c r="E708" s="19" t="n">
        <f aca="false">E693*$D$700</f>
        <v>3.15299789305684</v>
      </c>
      <c r="F708" s="19" t="n">
        <f aca="false">F693*$D$700</f>
        <v>3.49618269332991</v>
      </c>
      <c r="G708" s="19" t="n">
        <f aca="false">G693*$D$700</f>
        <v>3.6954150265247</v>
      </c>
    </row>
    <row r="709" customFormat="false" ht="17.15" hidden="false" customHeight="false" outlineLevel="0" collapsed="false">
      <c r="A709" s="0" t="s">
        <v>688</v>
      </c>
      <c r="B709" s="0" t="s">
        <v>34</v>
      </c>
      <c r="C709" s="19" t="n">
        <f aca="false">C702+C703</f>
        <v>10</v>
      </c>
      <c r="D709" s="19" t="n">
        <f aca="false">D702+D703</f>
        <v>13.8247442982788</v>
      </c>
      <c r="E709" s="19" t="n">
        <f aca="false">E702+E703</f>
        <v>10.8862681036032</v>
      </c>
      <c r="F709" s="19" t="n">
        <f aca="false">F702+F703</f>
        <v>9.31655495883654</v>
      </c>
      <c r="G709" s="19" t="n">
        <f aca="false">G702+G703</f>
        <v>4.78297078627786</v>
      </c>
    </row>
    <row r="710" customFormat="false" ht="17.15" hidden="false" customHeight="false" outlineLevel="0" collapsed="false">
      <c r="A710" s="5" t="s">
        <v>689</v>
      </c>
      <c r="B710" s="0" t="s">
        <v>34</v>
      </c>
      <c r="C710" s="19" t="n">
        <f aca="false">C709+C704+C705</f>
        <v>40.39</v>
      </c>
      <c r="D710" s="19" t="n">
        <f aca="false">D709+D704+D705</f>
        <v>48.8219557751218</v>
      </c>
      <c r="E710" s="19" t="n">
        <f aca="false">E709+E704+E705</f>
        <v>50.8661885891213</v>
      </c>
      <c r="F710" s="19" t="n">
        <f aca="false">F709+F704+F705</f>
        <v>53.9721435193127</v>
      </c>
      <c r="G710" s="19" t="n">
        <f aca="false">G709+G704+G705</f>
        <v>52.5528360121231</v>
      </c>
      <c r="J710" s="5" t="s">
        <v>690</v>
      </c>
    </row>
    <row r="711" customFormat="false" ht="17.15" hidden="false" customHeight="false" outlineLevel="0" collapsed="false">
      <c r="A711" s="5" t="s">
        <v>541</v>
      </c>
      <c r="B711" s="0" t="s">
        <v>34</v>
      </c>
      <c r="C711" s="19" t="n">
        <f aca="false">C710+C706+C707+C708+seg_adj</f>
        <v>54.365</v>
      </c>
      <c r="D711" s="19" t="n">
        <f aca="false">D710+D706+D707+D708</f>
        <v>64</v>
      </c>
      <c r="E711" s="19" t="n">
        <f aca="false">E710+E706+E707+E708</f>
        <v>66.9386446459761</v>
      </c>
      <c r="F711" s="19" t="n">
        <f aca="false">F710+F706+F707+F708</f>
        <v>70.7753681213546</v>
      </c>
      <c r="G711" s="19" t="n">
        <f aca="false">G710+G706+G707+G708</f>
        <v>69.9545042046211</v>
      </c>
      <c r="J711" s="8" t="s">
        <v>691</v>
      </c>
    </row>
    <row r="712" customFormat="false" ht="17.15" hidden="false" customHeight="false" outlineLevel="0" collapsed="false">
      <c r="A712" s="5" t="s">
        <v>692</v>
      </c>
      <c r="B712" s="0" t="s">
        <v>34</v>
      </c>
      <c r="C712" s="20" t="n">
        <f aca="false">C710+C706+C707+C708-a25_rev</f>
        <v>-0.0249999999999986</v>
      </c>
    </row>
    <row r="713" customFormat="false" ht="17.15" hidden="false" customHeight="false" outlineLevel="0" collapsed="false">
      <c r="A713" s="0" t="s">
        <v>621</v>
      </c>
      <c r="B713" s="0" t="s">
        <v>94</v>
      </c>
      <c r="C713" s="11" t="n">
        <f aca="false">C709/C711</f>
        <v>0.1839418743677</v>
      </c>
      <c r="D713" s="11" t="n">
        <f aca="false">D709/D711</f>
        <v>0.216011629660607</v>
      </c>
      <c r="E713" s="11" t="n">
        <f aca="false">E709/E711</f>
        <v>0.162630542658554</v>
      </c>
      <c r="F713" s="11" t="n">
        <f aca="false">F709/F711</f>
        <v>0.131635556354323</v>
      </c>
      <c r="G713" s="11" t="n">
        <f aca="false">G709/G711</f>
        <v>0.0683725921677236</v>
      </c>
    </row>
    <row r="714" customFormat="false" ht="17.15" hidden="false" customHeight="false" outlineLevel="0" collapsed="false">
      <c r="A714" s="5" t="s">
        <v>545</v>
      </c>
      <c r="B714" s="0" t="s">
        <v>34</v>
      </c>
      <c r="C714" s="19" t="n">
        <f aca="false">a25_oi</f>
        <v>6.917</v>
      </c>
      <c r="D714" s="19" t="n">
        <f aca="false">D697</f>
        <v>10.24</v>
      </c>
      <c r="E714" s="19" t="n">
        <f aca="false">$D714+(im+ima_A)*(E711-$D711)</f>
        <v>11.1201861525469</v>
      </c>
      <c r="F714" s="19" t="n">
        <f aca="false">$D714+(im+ima_A)*(F711-$D711)</f>
        <v>12.2693658870902</v>
      </c>
      <c r="G714" s="19" t="n">
        <f aca="false">$D714+(im+ima_A)*(G711-$D711)</f>
        <v>12.0234998026613</v>
      </c>
      <c r="J714" s="8" t="s">
        <v>693</v>
      </c>
    </row>
    <row r="715" customFormat="false" ht="15" hidden="false" customHeight="false" outlineLevel="0" collapsed="false">
      <c r="A715" s="5" t="s">
        <v>694</v>
      </c>
      <c r="B715" s="0" t="s">
        <v>94</v>
      </c>
      <c r="C715" s="11" t="n">
        <f aca="false">C714/C711</f>
        <v>0.127232594500138</v>
      </c>
      <c r="D715" s="11" t="n">
        <f aca="false">D714/D711</f>
        <v>0.16</v>
      </c>
      <c r="E715" s="11" t="n">
        <f aca="false">E714/E711</f>
        <v>0.166125056928762</v>
      </c>
      <c r="F715" s="11" t="n">
        <f aca="false">F714/F711</f>
        <v>0.173356440422219</v>
      </c>
      <c r="G715" s="11" t="n">
        <f aca="false">G714/G711</f>
        <v>0.171875991966033</v>
      </c>
    </row>
    <row r="716" customFormat="false" ht="15" hidden="false" customHeight="false" outlineLevel="0" collapsed="false">
      <c r="A716" s="5" t="s">
        <v>548</v>
      </c>
      <c r="B716" s="0" t="s">
        <v>34</v>
      </c>
      <c r="C716" s="19" t="n">
        <f aca="false">a25_ni</f>
        <v>4.593</v>
      </c>
      <c r="D716" s="19" t="n">
        <f aca="false">D698</f>
        <v>7</v>
      </c>
      <c r="E716" s="19" t="n">
        <f aca="false">E714*nioi</f>
        <v>7.60168975271764</v>
      </c>
      <c r="F716" s="19" t="n">
        <f aca="false">F714*nioi</f>
        <v>8.3872618368781</v>
      </c>
      <c r="G716" s="19" t="n">
        <f aca="false">G714*nioi</f>
        <v>8.2191893182255</v>
      </c>
    </row>
    <row r="717" customFormat="false" ht="15" hidden="false" customHeight="false" outlineLevel="0" collapsed="false">
      <c r="A717" s="0" t="s">
        <v>622</v>
      </c>
      <c r="B717" s="0" t="s">
        <v>52</v>
      </c>
      <c r="C717" s="22" t="n">
        <f aca="false">a25_eps</f>
        <v>61.22</v>
      </c>
      <c r="D717" s="22" t="n">
        <f aca="false">D716*1000/shares</f>
        <v>93.2961492201002</v>
      </c>
      <c r="E717" s="22" t="n">
        <f aca="false">E716*1000/shares</f>
        <v>101.315483070636</v>
      </c>
      <c r="F717" s="22" t="n">
        <f aca="false">F716*1000/shares</f>
        <v>111.78560455449</v>
      </c>
      <c r="G717" s="22" t="n">
        <f aca="false">G716*1000/shares</f>
        <v>109.54553044306</v>
      </c>
    </row>
    <row r="718" customFormat="false" ht="17.15" hidden="false" customHeight="false" outlineLevel="0" collapsed="false">
      <c r="A718" s="5" t="s">
        <v>695</v>
      </c>
      <c r="B718" s="0" t="s">
        <v>34</v>
      </c>
      <c r="C718" s="20" t="n">
        <f aca="false">ABS(C711-a25_rev)+ABS(C714-a25_oi)+ABS(D711-D696)</f>
        <v>0</v>
      </c>
    </row>
    <row r="730" customFormat="false" ht="17.15" hidden="false" customHeight="false" outlineLevel="0" collapsed="false">
      <c r="A730" s="3" t="s">
        <v>1027</v>
      </c>
    </row>
    <row r="731" customFormat="false" ht="17.15" hidden="false" customHeight="false" outlineLevel="0" collapsed="false">
      <c r="A731" s="6" t="s">
        <v>23</v>
      </c>
      <c r="B731" s="6" t="s">
        <v>24</v>
      </c>
      <c r="C731" s="15" t="s">
        <v>628</v>
      </c>
      <c r="D731" s="15" t="s">
        <v>629</v>
      </c>
      <c r="E731" s="15" t="s">
        <v>630</v>
      </c>
      <c r="F731" s="15" t="s">
        <v>631</v>
      </c>
      <c r="G731" s="15" t="s">
        <v>632</v>
      </c>
      <c r="H731" s="15" t="s">
        <v>633</v>
      </c>
      <c r="I731" s="15" t="s">
        <v>634</v>
      </c>
      <c r="J731" s="6" t="s">
        <v>468</v>
      </c>
    </row>
    <row r="732" customFormat="false" ht="17.15" hidden="false" customHeight="false" outlineLevel="0" collapsed="false">
      <c r="A732" s="1" t="s">
        <v>635</v>
      </c>
    </row>
    <row r="733" customFormat="false" ht="17.15" hidden="false" customHeight="false" outlineLevel="0" collapsed="false">
      <c r="A733" s="0" t="s">
        <v>636</v>
      </c>
      <c r="B733" s="0" t="s">
        <v>111</v>
      </c>
      <c r="C733" s="21" t="n">
        <f aca="false">hsA_25</f>
        <v>2.22511470588235</v>
      </c>
      <c r="D733" s="21" t="n">
        <f aca="false">hsA_26</f>
        <v>3.782695</v>
      </c>
      <c r="E733" s="21" t="n">
        <f aca="false">hsA_27</f>
        <v>5.86317725</v>
      </c>
      <c r="F733" s="21" t="n">
        <f aca="false">hsA_28</f>
        <v>8.5016070125</v>
      </c>
      <c r="G733" s="21" t="n">
        <f aca="false">hsA_29</f>
        <v>11.477169466875</v>
      </c>
      <c r="J733" s="8" t="s">
        <v>637</v>
      </c>
    </row>
    <row r="734" customFormat="false" ht="17.15" hidden="false" customHeight="false" outlineLevel="0" collapsed="false">
      <c r="A734" s="0" t="s">
        <v>638</v>
      </c>
      <c r="B734" s="0" t="s">
        <v>639</v>
      </c>
      <c r="C734" s="21" t="n">
        <f aca="false">den_25</f>
        <v>24</v>
      </c>
      <c r="D734" s="21" t="n">
        <f aca="false">den_26</f>
        <v>24</v>
      </c>
      <c r="E734" s="21" t="n">
        <f aca="false">den_27</f>
        <v>26</v>
      </c>
      <c r="F734" s="21" t="n">
        <f aca="false">den_28</f>
        <v>28</v>
      </c>
      <c r="G734" s="21" t="n">
        <f aca="false">den_29</f>
        <v>30</v>
      </c>
    </row>
    <row r="735" customFormat="false" ht="15" hidden="false" customHeight="false" outlineLevel="0" collapsed="false">
      <c r="A735" s="5" t="s">
        <v>640</v>
      </c>
      <c r="B735" s="5" t="s">
        <v>160</v>
      </c>
      <c r="C735" s="21" t="n">
        <f aca="false">stk_25</f>
        <v>10</v>
      </c>
      <c r="D735" s="21" t="n">
        <f aca="false">stk_26</f>
        <v>12</v>
      </c>
      <c r="E735" s="21" t="n">
        <f aca="false">stk_27</f>
        <v>12.5</v>
      </c>
      <c r="F735" s="21" t="n">
        <f aca="false">stk_28</f>
        <v>14</v>
      </c>
      <c r="G735" s="21" t="n">
        <f aca="false">stk_29</f>
        <v>15</v>
      </c>
    </row>
    <row r="736" customFormat="false" ht="17.15" hidden="false" customHeight="false" outlineLevel="0" collapsed="false">
      <c r="A736" s="0" t="s">
        <v>641</v>
      </c>
      <c r="B736" s="5" t="s">
        <v>642</v>
      </c>
      <c r="C736" s="23" t="n">
        <f aca="false">C733*8/(C734*C735)</f>
        <v>0.0741704901960783</v>
      </c>
      <c r="D736" s="23" t="n">
        <f aca="false">D733*8/(D734*D735)</f>
        <v>0.105074861111111</v>
      </c>
      <c r="E736" s="23" t="n">
        <f aca="false">E733*8/(E734*E735)</f>
        <v>0.144324363076923</v>
      </c>
      <c r="F736" s="23" t="n">
        <f aca="false">F733*8/(F734*F735)</f>
        <v>0.173502183928571</v>
      </c>
      <c r="G736" s="23" t="n">
        <f aca="false">G733*8/(G734*G735)</f>
        <v>0.2040385683</v>
      </c>
      <c r="H736" s="23" t="n">
        <f aca="false">G736*(1+g_tail_hi)</f>
        <v>0.24484628196</v>
      </c>
      <c r="I736" s="23" t="n">
        <f aca="false">H736*(1+g_tail_hi)</f>
        <v>0.293815538352</v>
      </c>
      <c r="J736" s="8" t="s">
        <v>643</v>
      </c>
    </row>
    <row r="737" customFormat="false" ht="17.15" hidden="false" customHeight="false" outlineLevel="0" collapsed="false">
      <c r="A737" s="0" t="s">
        <v>644</v>
      </c>
      <c r="B737" s="5" t="s">
        <v>642</v>
      </c>
      <c r="C737" s="23" t="n">
        <f aca="false">MAX(0,D736-C736)+dlt*C736</f>
        <v>0.0383214199346406</v>
      </c>
      <c r="D737" s="23" t="n">
        <f aca="false">MAX(0,E736-D736)+dlt*D736</f>
        <v>0.0497569880769231</v>
      </c>
      <c r="E737" s="23" t="n">
        <f aca="false">MAX(0,F736-E736)+dlt*E736</f>
        <v>0.0436102571593407</v>
      </c>
      <c r="F737" s="23" t="n">
        <f aca="false">MAX(0,G736-F736)+dlt*F736</f>
        <v>0.0478866027642858</v>
      </c>
      <c r="G737" s="23" t="n">
        <f aca="false">MAX(0,H736-G736)+dlt*G736</f>
        <v>0.06121157049</v>
      </c>
      <c r="H737" s="23" t="n">
        <f aca="false">MAX(0,I736-H736)+dlt*H736</f>
        <v>0.073453884588</v>
      </c>
      <c r="J737" s="5" t="s">
        <v>645</v>
      </c>
    </row>
    <row r="738" customFormat="false" ht="17.15" hidden="false" customHeight="false" outlineLevel="0" collapsed="false">
      <c r="A738" s="0" t="s">
        <v>646</v>
      </c>
      <c r="B738" s="5" t="s">
        <v>183</v>
      </c>
      <c r="C738" s="14" t="n">
        <f aca="false">cw_25</f>
        <v>670</v>
      </c>
      <c r="D738" s="14" t="n">
        <f aca="false">cw_26</f>
        <v>1107.85762580894</v>
      </c>
      <c r="E738" s="14" t="n">
        <f aca="false">cw_27</f>
        <v>2096.42857142857</v>
      </c>
      <c r="F738" s="14" t="n">
        <f aca="false">cw_28*um28_A</f>
        <v>2620.08928571429</v>
      </c>
      <c r="G738" s="14" t="n">
        <f aca="false">cw_29*um29_A</f>
        <v>3013.32589285714</v>
      </c>
      <c r="H738" s="14" t="n">
        <f aca="false">G738*(1+g_tail_hi)</f>
        <v>3615.99107142857</v>
      </c>
      <c r="I738" s="14" t="n">
        <f aca="false">H738*(1+g_tail_hi)</f>
        <v>4339.18928571428</v>
      </c>
      <c r="J738" s="5" t="s">
        <v>647</v>
      </c>
    </row>
    <row r="739" customFormat="false" ht="17.15" hidden="false" customHeight="false" outlineLevel="0" collapsed="false">
      <c r="A739" s="0" t="s">
        <v>648</v>
      </c>
      <c r="B739" s="5" t="s">
        <v>183</v>
      </c>
      <c r="C739" s="14" t="n">
        <f aca="false">MAX(0,D738-C738)+dlt*C738</f>
        <v>504.85762580894</v>
      </c>
      <c r="D739" s="14" t="n">
        <f aca="false">MAX(0,E738-D738)+dlt*D738</f>
        <v>1099.35670820052</v>
      </c>
      <c r="E739" s="14" t="n">
        <f aca="false">MAX(0,F738-E738)+dlt*E738</f>
        <v>733.303571428577</v>
      </c>
      <c r="F739" s="14" t="n">
        <f aca="false">MAX(0,G738-F738)+dlt*F738</f>
        <v>655.245535714279</v>
      </c>
      <c r="G739" s="14" t="n">
        <f aca="false">MAX(0,H738-G738)+dlt*G738</f>
        <v>903.997767857142</v>
      </c>
      <c r="H739" s="14" t="n">
        <f aca="false">MAX(0,I738-H738)+dlt*H738</f>
        <v>1084.79732142857</v>
      </c>
    </row>
    <row r="740" customFormat="false" ht="17.15" hidden="false" customHeight="false" outlineLevel="0" collapsed="false">
      <c r="A740" s="5" t="s">
        <v>649</v>
      </c>
      <c r="B740" s="0" t="s">
        <v>219</v>
      </c>
      <c r="C740" s="21" t="n">
        <f aca="false">pk_25*(eqtA_25-eqaA_25)/(eqtA_25-eqaA_25)</f>
        <v>6.11313868613139</v>
      </c>
      <c r="D740" s="21" t="n">
        <f aca="false">pk_26*(eqtA_26-eqaA_26)/(eqtA_26-eqaA_26)</f>
        <v>6.7</v>
      </c>
      <c r="E740" s="21" t="n">
        <f aca="false">pk_27*(eqtA_27-eqaA_27)/(eqtA_27-eqaA_27)</f>
        <v>7.59078388573934</v>
      </c>
      <c r="F740" s="21" t="n">
        <f aca="false">pk_28*(eqtA_28-eqaA_28)/(eqtA_28-eqaA_28)</f>
        <v>8.6</v>
      </c>
      <c r="G740" s="21" t="n">
        <f aca="false">pk_29*(eqtA_29-eqaA_29)/(eqtA_29-eqaA_29)</f>
        <v>9.288</v>
      </c>
      <c r="H740" s="21" t="n">
        <f aca="false">G740*(1+g_pk_tail)</f>
        <v>9.7524</v>
      </c>
      <c r="J740" s="8" t="s">
        <v>650</v>
      </c>
    </row>
    <row r="741" customFormat="false" ht="15" hidden="false" customHeight="false" outlineLevel="0" collapsed="false">
      <c r="A741" s="5" t="s">
        <v>651</v>
      </c>
      <c r="B741" s="0" t="s">
        <v>219</v>
      </c>
      <c r="C741" s="24" t="n">
        <f aca="false">eqtA_25</f>
        <v>134.689359843138</v>
      </c>
      <c r="D741" s="24" t="n">
        <f aca="false">eqtA_26</f>
        <v>178.157050570127</v>
      </c>
      <c r="E741" s="24" t="n">
        <f aca="false">eqtA_27</f>
        <v>218.225535760082</v>
      </c>
      <c r="F741" s="24" t="n">
        <f aca="false">eqtA_28</f>
        <v>246.028626308958</v>
      </c>
      <c r="G741" s="24" t="n">
        <f aca="false">eqtA_29</f>
        <v>260.655685855226</v>
      </c>
      <c r="H741" s="24" t="n">
        <f aca="false">G741*(1+g_pk_tail)</f>
        <v>273.688470147987</v>
      </c>
      <c r="J741" s="5" t="s">
        <v>652</v>
      </c>
    </row>
    <row r="742" customFormat="false" ht="17.15" hidden="false" customHeight="false" outlineLevel="0" collapsed="false">
      <c r="A742" s="1" t="s">
        <v>653</v>
      </c>
    </row>
    <row r="743" customFormat="false" ht="17.15" hidden="false" customHeight="false" outlineLevel="0" collapsed="false">
      <c r="A743" s="0" t="s">
        <v>654</v>
      </c>
      <c r="B743" s="0" t="s">
        <v>655</v>
      </c>
      <c r="C743" s="24" t="n">
        <f aca="false">ai_25*w_hbm/(0.75*C737+0.25*D737)</f>
        <v>121.417244328233</v>
      </c>
      <c r="J743" s="5" t="s">
        <v>656</v>
      </c>
    </row>
    <row r="744" customFormat="false" ht="17.15" hidden="false" customHeight="false" outlineLevel="0" collapsed="false">
      <c r="A744" s="0" t="s">
        <v>657</v>
      </c>
      <c r="B744" s="0" t="s">
        <v>658</v>
      </c>
      <c r="C744" s="25" t="n">
        <f aca="false">ai_25*(1-w_hbm)/(0.75*C739+0.25*D739)</f>
        <v>0.0076513155174377</v>
      </c>
    </row>
    <row r="745" customFormat="false" ht="17.15" hidden="false" customHeight="false" outlineLevel="0" collapsed="false">
      <c r="A745" s="1" t="s">
        <v>659</v>
      </c>
    </row>
    <row r="746" customFormat="false" ht="17.15" hidden="false" customHeight="false" outlineLevel="0" collapsed="false">
      <c r="A746" s="0" t="s">
        <v>660</v>
      </c>
      <c r="B746" s="0" t="s">
        <v>198</v>
      </c>
      <c r="C746" s="20" t="n">
        <f aca="false">1-shl_A/sh*0</f>
        <v>1</v>
      </c>
      <c r="D746" s="20" t="n">
        <f aca="false">1-shl_A/sh*0.25</f>
        <v>1</v>
      </c>
      <c r="E746" s="20" t="n">
        <f aca="false">1-shl_A/sh*0.5</f>
        <v>1</v>
      </c>
      <c r="F746" s="20" t="n">
        <f aca="false">1-shl_A/sh*0.75</f>
        <v>1</v>
      </c>
      <c r="G746" s="20" t="n">
        <f aca="false">1-shl_A/sh*1</f>
        <v>1</v>
      </c>
      <c r="J746" s="5" t="s">
        <v>661</v>
      </c>
    </row>
    <row r="747" customFormat="false" ht="17.15" hidden="false" customHeight="false" outlineLevel="0" collapsed="false">
      <c r="A747" s="0" t="s">
        <v>662</v>
      </c>
      <c r="B747" s="0" t="s">
        <v>34</v>
      </c>
      <c r="C747" s="19" t="n">
        <f aca="false">$C$743*(0.75*C737+0.25*D737)*C746</f>
        <v>5</v>
      </c>
      <c r="D747" s="19" t="n">
        <f aca="false">$C$743*(0.75*D737+0.25*E737)*D746</f>
        <v>5.85477659596275</v>
      </c>
      <c r="E747" s="19" t="n">
        <f aca="false">$C$743*(0.75*E737+0.25*F737)*E746</f>
        <v>5.42484277351964</v>
      </c>
      <c r="F747" s="19" t="n">
        <f aca="false">$C$743*(0.75*F737+0.25*G737)*F746</f>
        <v>6.21872956338504</v>
      </c>
      <c r="G747" s="19" t="n">
        <f aca="false">$C$743*(0.75*G737+0.25*H737)*G746</f>
        <v>7.80374722039415</v>
      </c>
    </row>
    <row r="748" customFormat="false" ht="17.15" hidden="false" customHeight="false" outlineLevel="0" collapsed="false">
      <c r="A748" s="0" t="s">
        <v>663</v>
      </c>
      <c r="B748" s="0" t="s">
        <v>34</v>
      </c>
      <c r="C748" s="19" t="n">
        <f aca="false">$C$744*(0.75*C739+0.25*D739)*C746</f>
        <v>5</v>
      </c>
      <c r="D748" s="19" t="n">
        <f aca="false">$C$744*(0.75*D739+0.25*E739)*D746</f>
        <v>7.71132802925642</v>
      </c>
      <c r="E748" s="19" t="n">
        <f aca="false">$C$744*(0.75*E739+0.25*F739)*E746</f>
        <v>5.46142533008358</v>
      </c>
      <c r="F748" s="19" t="n">
        <f aca="false">$C$744*(0.75*F739+0.25*G739)*F746</f>
        <v>5.48931078859043</v>
      </c>
      <c r="G748" s="19" t="n">
        <f aca="false">$C$744*(0.75*G739+0.25*H739)*G746</f>
        <v>7.26261075638112</v>
      </c>
    </row>
    <row r="749" customFormat="false" ht="17.15" hidden="false" customHeight="false" outlineLevel="0" collapsed="false">
      <c r="A749" s="5" t="s">
        <v>664</v>
      </c>
      <c r="B749" s="0" t="s">
        <v>34</v>
      </c>
      <c r="C749" s="19" t="n">
        <f aca="false">(seg_mold-ai_25)*(0.75*C740+0.25*D740)/(0.75*C740+0.25*D740)</f>
        <v>26.46</v>
      </c>
      <c r="D749" s="19" t="n">
        <f aca="false">(seg_mold-ai_25)*(0.75*D740+0.25*E740)/(0.75*C740+0.25*D740)</f>
        <v>29.2617902872793</v>
      </c>
      <c r="E749" s="19" t="n">
        <f aca="false">(seg_mold-ai_25)*(0.75*E740+0.25*F740)/(0.75*C740+0.25*D740)</f>
        <v>33.1522277881438</v>
      </c>
      <c r="F749" s="19" t="n">
        <f aca="false">(seg_mold-ai_25)*(0.75*F740+0.25*G740)/(0.75*C740+0.25*D740)</f>
        <v>37.0786793843283</v>
      </c>
      <c r="G749" s="19" t="n">
        <f aca="false">(seg_mold-ai_25)*(0.75*G740+0.25*H740)/(0.75*C740+0.25*D740)</f>
        <v>39.7505253987873</v>
      </c>
      <c r="J749" s="8" t="s">
        <v>665</v>
      </c>
    </row>
    <row r="750" customFormat="false" ht="15" hidden="false" customHeight="false" outlineLevel="0" collapsed="false">
      <c r="A750" s="5" t="s">
        <v>666</v>
      </c>
      <c r="B750" s="0" t="s">
        <v>34</v>
      </c>
      <c r="C750" s="19" t="n">
        <f aca="false">seg_osemi*(0.75*C741+0.25*D741)/(0.75*C741+0.25*D741)</f>
        <v>3.93</v>
      </c>
      <c r="D750" s="19" t="n">
        <f aca="false">seg_osemi*(0.75*D741+0.25*E741)/(0.75*C741+0.25*D741)</f>
        <v>5.08067726525852</v>
      </c>
      <c r="E750" s="19" t="n">
        <f aca="false">seg_osemi*(0.75*E741+0.25*F741)/(0.75*C741+0.25*D741)</f>
        <v>6.0797299618455</v>
      </c>
      <c r="F750" s="19" t="n">
        <f aca="false">seg_osemi*(0.75*F741+0.25*G741)/(0.75*C741+0.25*D741)</f>
        <v>6.74147189236335</v>
      </c>
      <c r="G750" s="19" t="n">
        <f aca="false">seg_osemi*(0.75*G741+0.25*H741)/(0.75*C741+0.25*D741)</f>
        <v>7.12563922344852</v>
      </c>
      <c r="J750" s="5" t="s">
        <v>667</v>
      </c>
    </row>
    <row r="751" customFormat="false" ht="17.15" hidden="false" customHeight="false" outlineLevel="0" collapsed="false">
      <c r="A751" s="5" t="s">
        <v>668</v>
      </c>
      <c r="B751" s="0" t="s">
        <v>34</v>
      </c>
      <c r="C751" s="19" t="n">
        <f aca="false">seg_new</f>
        <v>9.47</v>
      </c>
      <c r="D751" s="19" t="n">
        <f aca="false">C751*(1+g_tss)</f>
        <v>9.7541</v>
      </c>
      <c r="E751" s="19" t="n">
        <f aca="false">D751*(1+g_tss)</f>
        <v>10.046723</v>
      </c>
      <c r="F751" s="19" t="n">
        <f aca="false">E751*(1+g_tss)</f>
        <v>10.34812469</v>
      </c>
      <c r="G751" s="19" t="n">
        <f aca="false">F751*(1+g_tss)</f>
        <v>10.6585684307</v>
      </c>
    </row>
    <row r="752" customFormat="false" ht="15" hidden="false" customHeight="false" outlineLevel="0" collapsed="false">
      <c r="A752" s="5" t="s">
        <v>669</v>
      </c>
      <c r="B752" s="0" t="s">
        <v>34</v>
      </c>
      <c r="C752" s="19" t="n">
        <f aca="false">seg_med</f>
        <v>2.48</v>
      </c>
      <c r="D752" s="19" t="n">
        <f aca="false">C752*(1+g_med)</f>
        <v>2.5544</v>
      </c>
      <c r="E752" s="19" t="n">
        <f aca="false">D752*(1+g_med)</f>
        <v>2.631032</v>
      </c>
      <c r="F752" s="19" t="n">
        <f aca="false">E752*(1+g_med)</f>
        <v>2.70996296</v>
      </c>
      <c r="G752" s="19" t="n">
        <f aca="false">F752*(1+g_med)</f>
        <v>2.7912618488</v>
      </c>
    </row>
    <row r="753" customFormat="false" ht="15" hidden="false" customHeight="false" outlineLevel="0" collapsed="false">
      <c r="A753" s="5" t="s">
        <v>670</v>
      </c>
      <c r="B753" s="0" t="s">
        <v>34</v>
      </c>
      <c r="C753" s="19" t="n">
        <f aca="false">seg_las*(0.75*C741+0.25*D741)/(0.75*C741+0.25*D741)</f>
        <v>2</v>
      </c>
      <c r="D753" s="19" t="n">
        <f aca="false">seg_las*(0.75*D741+0.25*E741)/(0.75*C741+0.25*D741)</f>
        <v>2.5855863945336</v>
      </c>
      <c r="E753" s="19" t="n">
        <f aca="false">seg_las*(0.75*E741+0.25*F741)/(0.75*C741+0.25*D741)</f>
        <v>3.0940101587</v>
      </c>
      <c r="F753" s="19" t="n">
        <f aca="false">seg_las*(0.75*F741+0.25*G741)/(0.75*C741+0.25*D741)</f>
        <v>3.43077449993046</v>
      </c>
      <c r="G753" s="19" t="n">
        <f aca="false">seg_las*(0.75*G741+0.25*H741)/(0.75*C741+0.25*D741)</f>
        <v>3.62627950302724</v>
      </c>
      <c r="J753" s="5" t="s">
        <v>667</v>
      </c>
    </row>
    <row r="754" customFormat="false" ht="15" hidden="false" customHeight="false" outlineLevel="0" collapsed="false">
      <c r="A754" s="5" t="s">
        <v>671</v>
      </c>
      <c r="B754" s="0" t="s">
        <v>34</v>
      </c>
      <c r="C754" s="19" t="n">
        <f aca="false">C747+C748+C749+C750+C751+C752+C753+seg_adj</f>
        <v>54.365</v>
      </c>
      <c r="D754" s="19" t="n">
        <f aca="false">D747+D748+D749+D750+D751+D752+D753</f>
        <v>62.8026585722905</v>
      </c>
      <c r="E754" s="19" t="n">
        <f aca="false">E747+E748+E749+E750+E751+E752+E753</f>
        <v>65.8899910122925</v>
      </c>
      <c r="F754" s="19" t="n">
        <f aca="false">F747+F748+F749+F750+F751+F752+F753</f>
        <v>72.0170537785976</v>
      </c>
      <c r="G754" s="19" t="n">
        <f aca="false">G747+G748+G749+G750+G751+G752+G753</f>
        <v>79.0186323815383</v>
      </c>
    </row>
    <row r="755" customFormat="false" ht="17.15" hidden="false" customHeight="false" outlineLevel="0" collapsed="false">
      <c r="A755" s="1" t="s">
        <v>672</v>
      </c>
    </row>
    <row r="756" customFormat="false" ht="17.15" hidden="false" customHeight="false" outlineLevel="0" collapsed="false">
      <c r="A756" s="0" t="s">
        <v>673</v>
      </c>
      <c r="B756" s="0" t="s">
        <v>34</v>
      </c>
      <c r="D756" s="19" t="n">
        <f aca="false">g26_rev*(1+g_anc)</f>
        <v>64</v>
      </c>
    </row>
    <row r="757" customFormat="false" ht="17.15" hidden="false" customHeight="false" outlineLevel="0" collapsed="false">
      <c r="A757" s="0" t="s">
        <v>674</v>
      </c>
      <c r="B757" s="0" t="s">
        <v>34</v>
      </c>
      <c r="D757" s="19" t="n">
        <f aca="false">D756*g26_oi/g26_rev</f>
        <v>10.24</v>
      </c>
    </row>
    <row r="758" customFormat="false" ht="17.15" hidden="false" customHeight="false" outlineLevel="0" collapsed="false">
      <c r="A758" s="0" t="s">
        <v>675</v>
      </c>
      <c r="B758" s="0" t="s">
        <v>34</v>
      </c>
      <c r="D758" s="19" t="n">
        <f aca="false">D757*g26_ni/g26_oi</f>
        <v>7</v>
      </c>
    </row>
    <row r="759" customFormat="false" ht="17.15" hidden="false" customHeight="false" outlineLevel="0" collapsed="false">
      <c r="A759" s="5" t="s">
        <v>676</v>
      </c>
      <c r="B759" s="0" t="s">
        <v>198</v>
      </c>
      <c r="D759" s="20" t="n">
        <f aca="false">D756/D754</f>
        <v>1.01906513919839</v>
      </c>
      <c r="J759" s="8" t="s">
        <v>677</v>
      </c>
    </row>
    <row r="760" customFormat="false" ht="17.15" hidden="false" customHeight="false" outlineLevel="0" collapsed="false">
      <c r="A760" s="5" t="s">
        <v>678</v>
      </c>
      <c r="B760" s="0" t="s">
        <v>198</v>
      </c>
      <c r="D760" s="20" t="n">
        <f aca="false">1+1*(D759-1)</f>
        <v>1.01906513919839</v>
      </c>
      <c r="J760" s="8" t="s">
        <v>679</v>
      </c>
    </row>
    <row r="761" customFormat="false" ht="17.15" hidden="false" customHeight="false" outlineLevel="0" collapsed="false">
      <c r="A761" s="1" t="s">
        <v>680</v>
      </c>
    </row>
    <row r="762" customFormat="false" ht="17.15" hidden="false" customHeight="false" outlineLevel="0" collapsed="false">
      <c r="A762" s="0" t="s">
        <v>681</v>
      </c>
      <c r="B762" s="0" t="s">
        <v>34</v>
      </c>
      <c r="C762" s="19" t="n">
        <f aca="false">C747*1</f>
        <v>5</v>
      </c>
      <c r="D762" s="19" t="n">
        <f aca="false">D747*$D$759</f>
        <v>5.96639872674023</v>
      </c>
      <c r="E762" s="19" t="n">
        <f aca="false">E747*1</f>
        <v>5.42484277351964</v>
      </c>
      <c r="F762" s="19" t="n">
        <f aca="false">F747*1</f>
        <v>6.21872956338504</v>
      </c>
      <c r="G762" s="19" t="n">
        <f aca="false">G747*1</f>
        <v>7.80374722039415</v>
      </c>
    </row>
    <row r="763" customFormat="false" ht="17.15" hidden="false" customHeight="false" outlineLevel="0" collapsed="false">
      <c r="A763" s="0" t="s">
        <v>682</v>
      </c>
      <c r="B763" s="0" t="s">
        <v>34</v>
      </c>
      <c r="C763" s="19" t="n">
        <f aca="false">C748*1</f>
        <v>5</v>
      </c>
      <c r="D763" s="19" t="n">
        <f aca="false">D748*$D$759</f>
        <v>7.85834557153861</v>
      </c>
      <c r="E763" s="19" t="n">
        <f aca="false">E748*1</f>
        <v>5.46142533008358</v>
      </c>
      <c r="F763" s="19" t="n">
        <f aca="false">F748*1</f>
        <v>5.48931078859043</v>
      </c>
      <c r="G763" s="19" t="n">
        <f aca="false">G748*1</f>
        <v>7.26261075638112</v>
      </c>
    </row>
    <row r="764" customFormat="false" ht="17.15" hidden="false" customHeight="false" outlineLevel="0" collapsed="false">
      <c r="A764" s="5" t="s">
        <v>683</v>
      </c>
      <c r="B764" s="0" t="s">
        <v>34</v>
      </c>
      <c r="C764" s="19" t="n">
        <f aca="false">C749*1</f>
        <v>26.46</v>
      </c>
      <c r="D764" s="19" t="n">
        <f aca="false">D749*$D$759</f>
        <v>29.8196703923002</v>
      </c>
      <c r="E764" s="19" t="n">
        <f aca="false">E749*$D$760</f>
        <v>33.7842796256614</v>
      </c>
      <c r="F764" s="19" t="n">
        <f aca="false">F749*$D$760</f>
        <v>37.7855895680829</v>
      </c>
      <c r="G764" s="19" t="n">
        <f aca="false">G749*$D$760</f>
        <v>40.5083746987242</v>
      </c>
    </row>
    <row r="765" customFormat="false" ht="15" hidden="false" customHeight="false" outlineLevel="0" collapsed="false">
      <c r="A765" s="5" t="s">
        <v>684</v>
      </c>
      <c r="B765" s="0" t="s">
        <v>34</v>
      </c>
      <c r="C765" s="19" t="n">
        <f aca="false">C750*1</f>
        <v>3.93</v>
      </c>
      <c r="D765" s="19" t="n">
        <f aca="false">D750*$D$759</f>
        <v>5.17754108454275</v>
      </c>
      <c r="E765" s="19" t="n">
        <f aca="false">E750*$D$760</f>
        <v>6.19564085985668</v>
      </c>
      <c r="F765" s="19" t="n">
        <f aca="false">F750*$D$760</f>
        <v>6.86999899239327</v>
      </c>
      <c r="G765" s="19" t="n">
        <f aca="false">G750*$D$760</f>
        <v>7.26149052712105</v>
      </c>
    </row>
    <row r="766" customFormat="false" ht="17.15" hidden="false" customHeight="false" outlineLevel="0" collapsed="false">
      <c r="A766" s="5" t="s">
        <v>685</v>
      </c>
      <c r="B766" s="0" t="s">
        <v>34</v>
      </c>
      <c r="C766" s="19" t="n">
        <f aca="false">C751*1</f>
        <v>9.47</v>
      </c>
      <c r="D766" s="19" t="n">
        <f aca="false">D751*$D$759</f>
        <v>9.94006327425498</v>
      </c>
      <c r="E766" s="19" t="n">
        <f aca="false">E751*$D$760</f>
        <v>10.2382651724826</v>
      </c>
      <c r="F766" s="19" t="n">
        <f aca="false">F751*$D$760</f>
        <v>10.5454131276571</v>
      </c>
      <c r="G766" s="19" t="n">
        <f aca="false">G751*$D$760</f>
        <v>10.8617755214868</v>
      </c>
    </row>
    <row r="767" customFormat="false" ht="15" hidden="false" customHeight="false" outlineLevel="0" collapsed="false">
      <c r="A767" s="5" t="s">
        <v>686</v>
      </c>
      <c r="B767" s="0" t="s">
        <v>34</v>
      </c>
      <c r="C767" s="19" t="n">
        <f aca="false">C752*1</f>
        <v>2.48</v>
      </c>
      <c r="D767" s="19" t="n">
        <f aca="false">D752*$D$759</f>
        <v>2.60309999156836</v>
      </c>
      <c r="E767" s="19" t="n">
        <f aca="false">E752*$D$760</f>
        <v>2.68119299131541</v>
      </c>
      <c r="F767" s="19" t="n">
        <f aca="false">F752*$D$760</f>
        <v>2.76162878105487</v>
      </c>
      <c r="G767" s="19" t="n">
        <f aca="false">G752*$D$760</f>
        <v>2.84447764448652</v>
      </c>
    </row>
    <row r="768" customFormat="false" ht="15" hidden="false" customHeight="false" outlineLevel="0" collapsed="false">
      <c r="A768" s="5" t="s">
        <v>687</v>
      </c>
      <c r="B768" s="0" t="s">
        <v>34</v>
      </c>
      <c r="C768" s="19" t="n">
        <f aca="false">C753*1</f>
        <v>2</v>
      </c>
      <c r="D768" s="19" t="n">
        <f aca="false">D753*$D$759</f>
        <v>2.63488095905483</v>
      </c>
      <c r="E768" s="19" t="n">
        <f aca="false">E753*$D$760</f>
        <v>3.15299789305684</v>
      </c>
      <c r="F768" s="19" t="n">
        <f aca="false">F753*$D$760</f>
        <v>3.49618269332991</v>
      </c>
      <c r="G768" s="19" t="n">
        <f aca="false">G753*$D$760</f>
        <v>3.6954150265247</v>
      </c>
    </row>
    <row r="769" customFormat="false" ht="17.15" hidden="false" customHeight="false" outlineLevel="0" collapsed="false">
      <c r="A769" s="0" t="s">
        <v>688</v>
      </c>
      <c r="B769" s="0" t="s">
        <v>34</v>
      </c>
      <c r="C769" s="19" t="n">
        <f aca="false">C762+C763</f>
        <v>10</v>
      </c>
      <c r="D769" s="19" t="n">
        <f aca="false">D762+D763</f>
        <v>13.8247442982788</v>
      </c>
      <c r="E769" s="19" t="n">
        <f aca="false">E762+E763</f>
        <v>10.8862681036032</v>
      </c>
      <c r="F769" s="19" t="n">
        <f aca="false">F762+F763</f>
        <v>11.7080403519755</v>
      </c>
      <c r="G769" s="19" t="n">
        <f aca="false">G762+G763</f>
        <v>15.0663579767753</v>
      </c>
    </row>
    <row r="770" customFormat="false" ht="17.15" hidden="false" customHeight="false" outlineLevel="0" collapsed="false">
      <c r="A770" s="5" t="s">
        <v>689</v>
      </c>
      <c r="B770" s="0" t="s">
        <v>34</v>
      </c>
      <c r="C770" s="19" t="n">
        <f aca="false">C769+C764+C765</f>
        <v>40.39</v>
      </c>
      <c r="D770" s="19" t="n">
        <f aca="false">D769+D764+D765</f>
        <v>48.8219557751218</v>
      </c>
      <c r="E770" s="19" t="n">
        <f aca="false">E769+E764+E765</f>
        <v>50.8661885891213</v>
      </c>
      <c r="F770" s="19" t="n">
        <f aca="false">F769+F764+F765</f>
        <v>56.3636289124517</v>
      </c>
      <c r="G770" s="19" t="n">
        <f aca="false">G769+G764+G765</f>
        <v>62.8362232026205</v>
      </c>
      <c r="J770" s="5" t="s">
        <v>690</v>
      </c>
    </row>
    <row r="771" customFormat="false" ht="17.15" hidden="false" customHeight="false" outlineLevel="0" collapsed="false">
      <c r="A771" s="5" t="s">
        <v>541</v>
      </c>
      <c r="B771" s="0" t="s">
        <v>34</v>
      </c>
      <c r="C771" s="19" t="n">
        <f aca="false">C770+C766+C767+C768+seg_adj</f>
        <v>54.365</v>
      </c>
      <c r="D771" s="19" t="n">
        <f aca="false">D770+D766+D767+D768</f>
        <v>64</v>
      </c>
      <c r="E771" s="19" t="n">
        <f aca="false">E770+E766+E767+E768</f>
        <v>66.9386446459761</v>
      </c>
      <c r="F771" s="19" t="n">
        <f aca="false">F770+F766+F767+F768</f>
        <v>73.1668535144935</v>
      </c>
      <c r="G771" s="19" t="n">
        <f aca="false">G770+G766+G767+G768</f>
        <v>80.2378913951185</v>
      </c>
      <c r="J771" s="8" t="s">
        <v>691</v>
      </c>
    </row>
    <row r="772" customFormat="false" ht="17.15" hidden="false" customHeight="false" outlineLevel="0" collapsed="false">
      <c r="A772" s="5" t="s">
        <v>692</v>
      </c>
      <c r="B772" s="0" t="s">
        <v>34</v>
      </c>
      <c r="C772" s="20" t="n">
        <f aca="false">C770+C766+C767+C768-a25_rev</f>
        <v>-0.0249999999999986</v>
      </c>
    </row>
    <row r="773" customFormat="false" ht="17.15" hidden="false" customHeight="false" outlineLevel="0" collapsed="false">
      <c r="A773" s="0" t="s">
        <v>621</v>
      </c>
      <c r="B773" s="0" t="s">
        <v>94</v>
      </c>
      <c r="C773" s="11" t="n">
        <f aca="false">C769/C771</f>
        <v>0.1839418743677</v>
      </c>
      <c r="D773" s="11" t="n">
        <f aca="false">D769/D771</f>
        <v>0.216011629660607</v>
      </c>
      <c r="E773" s="11" t="n">
        <f aca="false">E769/E771</f>
        <v>0.162630542658554</v>
      </c>
      <c r="F773" s="11" t="n">
        <f aca="false">F769/F771</f>
        <v>0.160018366098745</v>
      </c>
      <c r="G773" s="11" t="n">
        <f aca="false">G769/G771</f>
        <v>0.187771110566496</v>
      </c>
    </row>
    <row r="774" customFormat="false" ht="17.15" hidden="false" customHeight="false" outlineLevel="0" collapsed="false">
      <c r="A774" s="5" t="s">
        <v>545</v>
      </c>
      <c r="B774" s="0" t="s">
        <v>34</v>
      </c>
      <c r="C774" s="19" t="n">
        <f aca="false">a25_oi</f>
        <v>6.917</v>
      </c>
      <c r="D774" s="19" t="n">
        <f aca="false">D757</f>
        <v>10.24</v>
      </c>
      <c r="E774" s="19" t="n">
        <f aca="false">$D774+(im+ima_A)*(E771-$D771)</f>
        <v>11.1201861525469</v>
      </c>
      <c r="F774" s="19" t="n">
        <f aca="false">$D774+(im+ima_A)*(F771-$D771)</f>
        <v>12.985666284262</v>
      </c>
      <c r="G774" s="19" t="n">
        <f aca="false">$D774+(im+ima_A)*(G771-$D771)</f>
        <v>15.1035915104996</v>
      </c>
      <c r="J774" s="8" t="s">
        <v>693</v>
      </c>
    </row>
    <row r="775" customFormat="false" ht="15" hidden="false" customHeight="false" outlineLevel="0" collapsed="false">
      <c r="A775" s="5" t="s">
        <v>694</v>
      </c>
      <c r="B775" s="0" t="s">
        <v>94</v>
      </c>
      <c r="C775" s="11" t="n">
        <f aca="false">C774/C771</f>
        <v>0.127232594500138</v>
      </c>
      <c r="D775" s="11" t="n">
        <f aca="false">D774/D771</f>
        <v>0.16</v>
      </c>
      <c r="E775" s="11" t="n">
        <f aca="false">E774/E771</f>
        <v>0.166125056928762</v>
      </c>
      <c r="F775" s="11" t="n">
        <f aca="false">F774/F771</f>
        <v>0.177480179350471</v>
      </c>
      <c r="G775" s="11" t="n">
        <f aca="false">G774/G771</f>
        <v>0.18823514985114</v>
      </c>
    </row>
    <row r="776" customFormat="false" ht="15" hidden="false" customHeight="false" outlineLevel="0" collapsed="false">
      <c r="A776" s="5" t="s">
        <v>548</v>
      </c>
      <c r="B776" s="0" t="s">
        <v>34</v>
      </c>
      <c r="C776" s="19" t="n">
        <f aca="false">a25_ni</f>
        <v>4.593</v>
      </c>
      <c r="D776" s="19" t="n">
        <f aca="false">D758</f>
        <v>7</v>
      </c>
      <c r="E776" s="19" t="n">
        <f aca="false">E774*nioi</f>
        <v>7.60168975271764</v>
      </c>
      <c r="F776" s="19" t="n">
        <f aca="false">F774*nioi</f>
        <v>8.87692031150719</v>
      </c>
      <c r="G776" s="19" t="n">
        <f aca="false">G774*nioi</f>
        <v>10.3247207591306</v>
      </c>
    </row>
    <row r="777" customFormat="false" ht="15" hidden="false" customHeight="false" outlineLevel="0" collapsed="false">
      <c r="A777" s="0" t="s">
        <v>622</v>
      </c>
      <c r="B777" s="0" t="s">
        <v>52</v>
      </c>
      <c r="C777" s="22" t="n">
        <f aca="false">a25_eps</f>
        <v>61.22</v>
      </c>
      <c r="D777" s="22" t="n">
        <f aca="false">D776*1000/shares</f>
        <v>93.2961492201002</v>
      </c>
      <c r="E777" s="22" t="n">
        <f aca="false">E776*1000/shares</f>
        <v>101.315483070636</v>
      </c>
      <c r="F777" s="22" t="n">
        <f aca="false">F776*1000/shares</f>
        <v>118.311783142473</v>
      </c>
      <c r="G777" s="22" t="n">
        <f aca="false">G776*1000/shares</f>
        <v>137.608098371388</v>
      </c>
    </row>
    <row r="778" customFormat="false" ht="17.15" hidden="false" customHeight="false" outlineLevel="0" collapsed="false">
      <c r="A778" s="5" t="s">
        <v>695</v>
      </c>
      <c r="B778" s="0" t="s">
        <v>34</v>
      </c>
      <c r="C778" s="20" t="n">
        <f aca="false">ABS(C771-a25_rev)+ABS(C774-a25_oi)+ABS(D771-D756)</f>
        <v>0</v>
      </c>
    </row>
    <row r="790" customFormat="false" ht="17.15" hidden="false" customHeight="false" outlineLevel="0" collapsed="false">
      <c r="A790" s="3" t="s">
        <v>1028</v>
      </c>
    </row>
    <row r="791" customFormat="false" ht="17.15" hidden="false" customHeight="false" outlineLevel="0" collapsed="false">
      <c r="A791" s="6" t="s">
        <v>23</v>
      </c>
      <c r="B791" s="6" t="s">
        <v>24</v>
      </c>
      <c r="C791" s="15" t="s">
        <v>628</v>
      </c>
      <c r="D791" s="15" t="s">
        <v>629</v>
      </c>
      <c r="E791" s="15" t="s">
        <v>630</v>
      </c>
      <c r="F791" s="15" t="s">
        <v>631</v>
      </c>
      <c r="G791" s="15" t="s">
        <v>632</v>
      </c>
      <c r="H791" s="15" t="s">
        <v>633</v>
      </c>
      <c r="I791" s="15" t="s">
        <v>634</v>
      </c>
      <c r="J791" s="6" t="s">
        <v>468</v>
      </c>
    </row>
    <row r="792" customFormat="false" ht="17.15" hidden="false" customHeight="false" outlineLevel="0" collapsed="false">
      <c r="A792" s="1" t="s">
        <v>635</v>
      </c>
    </row>
    <row r="793" customFormat="false" ht="17.15" hidden="false" customHeight="false" outlineLevel="0" collapsed="false">
      <c r="A793" s="0" t="s">
        <v>636</v>
      </c>
      <c r="B793" s="0" t="s">
        <v>111</v>
      </c>
      <c r="C793" s="21" t="n">
        <f aca="false">hsA_25</f>
        <v>2.22511470588235</v>
      </c>
      <c r="D793" s="21" t="n">
        <f aca="false">hsA_26</f>
        <v>3.782695</v>
      </c>
      <c r="E793" s="21" t="n">
        <f aca="false">hsA_27</f>
        <v>5.86317725</v>
      </c>
      <c r="F793" s="21" t="n">
        <f aca="false">hsA_28</f>
        <v>8.5016070125</v>
      </c>
      <c r="G793" s="21" t="n">
        <f aca="false">hsA_29</f>
        <v>11.477169466875</v>
      </c>
      <c r="J793" s="8" t="s">
        <v>637</v>
      </c>
    </row>
    <row r="794" customFormat="false" ht="17.15" hidden="false" customHeight="false" outlineLevel="0" collapsed="false">
      <c r="A794" s="0" t="s">
        <v>638</v>
      </c>
      <c r="B794" s="0" t="s">
        <v>639</v>
      </c>
      <c r="C794" s="21" t="n">
        <f aca="false">den_25</f>
        <v>24</v>
      </c>
      <c r="D794" s="21" t="n">
        <f aca="false">den_26</f>
        <v>24</v>
      </c>
      <c r="E794" s="21" t="n">
        <f aca="false">den_27</f>
        <v>26</v>
      </c>
      <c r="F794" s="21" t="n">
        <f aca="false">den_28</f>
        <v>28</v>
      </c>
      <c r="G794" s="21" t="n">
        <f aca="false">den_29</f>
        <v>30</v>
      </c>
    </row>
    <row r="795" customFormat="false" ht="15" hidden="false" customHeight="false" outlineLevel="0" collapsed="false">
      <c r="A795" s="5" t="s">
        <v>640</v>
      </c>
      <c r="B795" s="5" t="s">
        <v>160</v>
      </c>
      <c r="C795" s="21" t="n">
        <f aca="false">stk_25</f>
        <v>10</v>
      </c>
      <c r="D795" s="21" t="n">
        <f aca="false">stk_26</f>
        <v>12</v>
      </c>
      <c r="E795" s="21" t="n">
        <f aca="false">stk_27</f>
        <v>12.5</v>
      </c>
      <c r="F795" s="21" t="n">
        <f aca="false">stk_28</f>
        <v>14</v>
      </c>
      <c r="G795" s="21" t="n">
        <f aca="false">stk_29</f>
        <v>15</v>
      </c>
    </row>
    <row r="796" customFormat="false" ht="17.15" hidden="false" customHeight="false" outlineLevel="0" collapsed="false">
      <c r="A796" s="0" t="s">
        <v>641</v>
      </c>
      <c r="B796" s="5" t="s">
        <v>642</v>
      </c>
      <c r="C796" s="23" t="n">
        <f aca="false">C793*8/(C794*C795)</f>
        <v>0.0741704901960783</v>
      </c>
      <c r="D796" s="23" t="n">
        <f aca="false">D793*8/(D794*D795)</f>
        <v>0.105074861111111</v>
      </c>
      <c r="E796" s="23" t="n">
        <f aca="false">E793*8/(E794*E795)</f>
        <v>0.144324363076923</v>
      </c>
      <c r="F796" s="23" t="n">
        <f aca="false">F793*8/(F794*F795)</f>
        <v>0.173502183928571</v>
      </c>
      <c r="G796" s="23" t="n">
        <f aca="false">G793*8/(G794*G795)</f>
        <v>0.2040385683</v>
      </c>
      <c r="H796" s="23" t="n">
        <f aca="false">G796*(1+g_tail)</f>
        <v>0.22444242513</v>
      </c>
      <c r="I796" s="23" t="n">
        <f aca="false">H796*(1+g_tail)</f>
        <v>0.246886667643</v>
      </c>
      <c r="J796" s="8" t="s">
        <v>643</v>
      </c>
    </row>
    <row r="797" customFormat="false" ht="17.15" hidden="false" customHeight="false" outlineLevel="0" collapsed="false">
      <c r="A797" s="0" t="s">
        <v>644</v>
      </c>
      <c r="B797" s="5" t="s">
        <v>642</v>
      </c>
      <c r="C797" s="23" t="n">
        <f aca="false">MAX(0,D796-C796)+dlt*C796</f>
        <v>0.0383214199346406</v>
      </c>
      <c r="D797" s="23" t="n">
        <f aca="false">MAX(0,E796-D796)+dlt*D796</f>
        <v>0.0497569880769231</v>
      </c>
      <c r="E797" s="23" t="n">
        <f aca="false">MAX(0,F796-E796)+dlt*E796</f>
        <v>0.0436102571593407</v>
      </c>
      <c r="F797" s="23" t="n">
        <f aca="false">MAX(0,G796-F796)+dlt*F796</f>
        <v>0.0478866027642858</v>
      </c>
      <c r="G797" s="23" t="n">
        <f aca="false">MAX(0,H796-G796)+dlt*G796</f>
        <v>0.04080771366</v>
      </c>
      <c r="H797" s="23" t="n">
        <f aca="false">MAX(0,I796-H796)+dlt*H796</f>
        <v>0.044888485026</v>
      </c>
      <c r="J797" s="5" t="s">
        <v>645</v>
      </c>
    </row>
    <row r="798" customFormat="false" ht="17.15" hidden="false" customHeight="false" outlineLevel="0" collapsed="false">
      <c r="A798" s="0" t="s">
        <v>646</v>
      </c>
      <c r="B798" s="5" t="s">
        <v>183</v>
      </c>
      <c r="C798" s="14" t="n">
        <f aca="false">cw_25_lo</f>
        <v>600</v>
      </c>
      <c r="D798" s="14" t="n">
        <f aca="false">cw_26</f>
        <v>1107.85762580894</v>
      </c>
      <c r="E798" s="14" t="n">
        <f aca="false">cw_27</f>
        <v>2096.42857142857</v>
      </c>
      <c r="F798" s="14" t="n">
        <f aca="false">cw_28*um28_A</f>
        <v>2620.08928571429</v>
      </c>
      <c r="G798" s="14" t="n">
        <f aca="false">cw_29*um29_A</f>
        <v>3013.32589285714</v>
      </c>
      <c r="H798" s="14" t="n">
        <f aca="false">G798*(1+g_tail)</f>
        <v>3314.65848214285</v>
      </c>
      <c r="I798" s="14" t="n">
        <f aca="false">H798*(1+g_tail)</f>
        <v>3646.12433035714</v>
      </c>
      <c r="J798" s="5" t="s">
        <v>647</v>
      </c>
    </row>
    <row r="799" customFormat="false" ht="17.15" hidden="false" customHeight="false" outlineLevel="0" collapsed="false">
      <c r="A799" s="0" t="s">
        <v>648</v>
      </c>
      <c r="B799" s="5" t="s">
        <v>183</v>
      </c>
      <c r="C799" s="14" t="n">
        <f aca="false">MAX(0,D798-C798)+dlt*C798</f>
        <v>567.85762580894</v>
      </c>
      <c r="D799" s="14" t="n">
        <f aca="false">MAX(0,E798-D798)+dlt*D798</f>
        <v>1099.35670820052</v>
      </c>
      <c r="E799" s="14" t="n">
        <f aca="false">MAX(0,F798-E798)+dlt*E798</f>
        <v>733.303571428577</v>
      </c>
      <c r="F799" s="14" t="n">
        <f aca="false">MAX(0,G798-F798)+dlt*F798</f>
        <v>655.245535714279</v>
      </c>
      <c r="G799" s="14" t="n">
        <f aca="false">MAX(0,H798-G798)+dlt*G798</f>
        <v>602.665178571428</v>
      </c>
      <c r="H799" s="14" t="n">
        <f aca="false">MAX(0,I798-H798)+dlt*H798</f>
        <v>662.931696428571</v>
      </c>
    </row>
    <row r="800" customFormat="false" ht="17.15" hidden="false" customHeight="false" outlineLevel="0" collapsed="false">
      <c r="A800" s="5" t="s">
        <v>649</v>
      </c>
      <c r="B800" s="0" t="s">
        <v>219</v>
      </c>
      <c r="C800" s="21" t="n">
        <f aca="false">pk_25*(eqtA_25-eqaA_25)/(eqtA_25-eqaA_25)</f>
        <v>6.11313868613139</v>
      </c>
      <c r="D800" s="21" t="n">
        <f aca="false">pk_26*(eqtA_26-eqaA_26)/(eqtA_26-eqaA_26)</f>
        <v>6.7</v>
      </c>
      <c r="E800" s="21" t="n">
        <f aca="false">pk_27*(eqtA_27-eqaA_27)/(eqtA_27-eqaA_27)</f>
        <v>7.59078388573934</v>
      </c>
      <c r="F800" s="21" t="n">
        <f aca="false">pk_28*(eqtA_28-eqaA_28)/(eqtA_28-eqaA_28)</f>
        <v>8.6</v>
      </c>
      <c r="G800" s="21" t="n">
        <f aca="false">pk_29*(eqtA_29-eqaA_29)/(eqtA_29-eqaA_29)</f>
        <v>9.288</v>
      </c>
      <c r="H800" s="21" t="n">
        <f aca="false">G800*(1+g_pk_tail)</f>
        <v>9.7524</v>
      </c>
      <c r="J800" s="8" t="s">
        <v>650</v>
      </c>
    </row>
    <row r="801" customFormat="false" ht="15" hidden="false" customHeight="false" outlineLevel="0" collapsed="false">
      <c r="A801" s="5" t="s">
        <v>651</v>
      </c>
      <c r="B801" s="0" t="s">
        <v>219</v>
      </c>
      <c r="C801" s="24" t="n">
        <f aca="false">eqtA_25</f>
        <v>134.689359843138</v>
      </c>
      <c r="D801" s="24" t="n">
        <f aca="false">eqtA_26</f>
        <v>178.157050570127</v>
      </c>
      <c r="E801" s="24" t="n">
        <f aca="false">eqtA_27</f>
        <v>218.225535760082</v>
      </c>
      <c r="F801" s="24" t="n">
        <f aca="false">eqtA_28</f>
        <v>246.028626308958</v>
      </c>
      <c r="G801" s="24" t="n">
        <f aca="false">eqtA_29</f>
        <v>260.655685855226</v>
      </c>
      <c r="H801" s="24" t="n">
        <f aca="false">G801*(1+g_pk_tail)</f>
        <v>273.688470147987</v>
      </c>
      <c r="J801" s="5" t="s">
        <v>652</v>
      </c>
    </row>
    <row r="802" customFormat="false" ht="17.15" hidden="false" customHeight="false" outlineLevel="0" collapsed="false">
      <c r="A802" s="1" t="s">
        <v>653</v>
      </c>
    </row>
    <row r="803" customFormat="false" ht="17.15" hidden="false" customHeight="false" outlineLevel="0" collapsed="false">
      <c r="A803" s="0" t="s">
        <v>654</v>
      </c>
      <c r="B803" s="0" t="s">
        <v>655</v>
      </c>
      <c r="C803" s="24" t="n">
        <f aca="false">ai_25*w_hbm/(0.75*C797+0.25*D797)</f>
        <v>121.417244328233</v>
      </c>
      <c r="J803" s="5" t="s">
        <v>656</v>
      </c>
    </row>
    <row r="804" customFormat="false" ht="17.15" hidden="false" customHeight="false" outlineLevel="0" collapsed="false">
      <c r="A804" s="0" t="s">
        <v>657</v>
      </c>
      <c r="B804" s="0" t="s">
        <v>658</v>
      </c>
      <c r="C804" s="25" t="n">
        <f aca="false">ai_25*(1-w_hbm)/(0.75*C799+0.25*D799)</f>
        <v>0.00713539152126922</v>
      </c>
    </row>
    <row r="805" customFormat="false" ht="17.15" hidden="false" customHeight="false" outlineLevel="0" collapsed="false">
      <c r="A805" s="1" t="s">
        <v>659</v>
      </c>
    </row>
    <row r="806" customFormat="false" ht="17.15" hidden="false" customHeight="false" outlineLevel="0" collapsed="false">
      <c r="A806" s="0" t="s">
        <v>660</v>
      </c>
      <c r="B806" s="0" t="s">
        <v>198</v>
      </c>
      <c r="C806" s="20" t="n">
        <f aca="false">1-shl_A/sh*0</f>
        <v>1</v>
      </c>
      <c r="D806" s="20" t="n">
        <f aca="false">1-shl_A/sh*0.25</f>
        <v>1</v>
      </c>
      <c r="E806" s="20" t="n">
        <f aca="false">1-shl_A/sh*0.5</f>
        <v>1</v>
      </c>
      <c r="F806" s="20" t="n">
        <f aca="false">1-shl_A/sh*0.75</f>
        <v>1</v>
      </c>
      <c r="G806" s="20" t="n">
        <f aca="false">1-shl_A/sh*1</f>
        <v>1</v>
      </c>
      <c r="J806" s="5" t="s">
        <v>661</v>
      </c>
    </row>
    <row r="807" customFormat="false" ht="17.15" hidden="false" customHeight="false" outlineLevel="0" collapsed="false">
      <c r="A807" s="0" t="s">
        <v>662</v>
      </c>
      <c r="B807" s="0" t="s">
        <v>34</v>
      </c>
      <c r="C807" s="19" t="n">
        <f aca="false">$C$803*(0.75*C797+0.25*D797)*C806</f>
        <v>5</v>
      </c>
      <c r="D807" s="19" t="n">
        <f aca="false">$C$803*(0.75*D797+0.25*E797)*D806</f>
        <v>5.85477659596275</v>
      </c>
      <c r="E807" s="19" t="n">
        <f aca="false">$C$803*(0.75*E797+0.25*F797)*E806</f>
        <v>5.42484277351964</v>
      </c>
      <c r="F807" s="19" t="n">
        <f aca="false">$C$803*(0.75*F797+0.25*G797)*F806</f>
        <v>5.59938454589345</v>
      </c>
      <c r="G807" s="19" t="n">
        <f aca="false">$C$803*(0.75*G797+0.25*H797)*G806</f>
        <v>5.07862914343112</v>
      </c>
    </row>
    <row r="808" customFormat="false" ht="17.15" hidden="false" customHeight="false" outlineLevel="0" collapsed="false">
      <c r="A808" s="0" t="s">
        <v>663</v>
      </c>
      <c r="B808" s="0" t="s">
        <v>34</v>
      </c>
      <c r="C808" s="19" t="n">
        <f aca="false">$C$804*(0.75*C799+0.25*D799)*C806</f>
        <v>5</v>
      </c>
      <c r="D808" s="19" t="n">
        <f aca="false">$C$804*(0.75*D799+0.25*E799)*D806</f>
        <v>7.19135742243032</v>
      </c>
      <c r="E808" s="19" t="n">
        <f aca="false">$C$804*(0.75*E799+0.25*F799)*E806</f>
        <v>5.09316442453722</v>
      </c>
      <c r="F808" s="19" t="n">
        <f aca="false">$C$804*(0.75*F799+0.25*G799)*F806</f>
        <v>4.58163808124957</v>
      </c>
      <c r="G808" s="19" t="n">
        <f aca="false">$C$804*(0.75*G799+0.25*H799)*G806</f>
        <v>4.40775830547634</v>
      </c>
    </row>
    <row r="809" customFormat="false" ht="17.15" hidden="false" customHeight="false" outlineLevel="0" collapsed="false">
      <c r="A809" s="5" t="s">
        <v>664</v>
      </c>
      <c r="B809" s="0" t="s">
        <v>34</v>
      </c>
      <c r="C809" s="19" t="n">
        <f aca="false">(seg_mold-ai_25)*(0.75*C800+0.25*D800)/(0.75*C800+0.25*D800)</f>
        <v>26.46</v>
      </c>
      <c r="D809" s="19" t="n">
        <f aca="false">(seg_mold-ai_25)*(0.75*D800+0.25*E800)/(0.75*C800+0.25*D800)</f>
        <v>29.2617902872793</v>
      </c>
      <c r="E809" s="19" t="n">
        <f aca="false">(seg_mold-ai_25)*(0.75*E800+0.25*F800)/(0.75*C800+0.25*D800)</f>
        <v>33.1522277881438</v>
      </c>
      <c r="F809" s="19" t="n">
        <f aca="false">(seg_mold-ai_25)*(0.75*F800+0.25*G800)/(0.75*C800+0.25*D800)</f>
        <v>37.0786793843283</v>
      </c>
      <c r="G809" s="19" t="n">
        <f aca="false">(seg_mold-ai_25)*(0.75*G800+0.25*H800)/(0.75*C800+0.25*D800)</f>
        <v>39.7505253987873</v>
      </c>
      <c r="J809" s="8" t="s">
        <v>665</v>
      </c>
    </row>
    <row r="810" customFormat="false" ht="15" hidden="false" customHeight="false" outlineLevel="0" collapsed="false">
      <c r="A810" s="5" t="s">
        <v>666</v>
      </c>
      <c r="B810" s="0" t="s">
        <v>34</v>
      </c>
      <c r="C810" s="19" t="n">
        <f aca="false">seg_osemi*(0.75*C801+0.25*D801)/(0.75*C801+0.25*D801)</f>
        <v>3.93</v>
      </c>
      <c r="D810" s="19" t="n">
        <f aca="false">seg_osemi*(0.75*D801+0.25*E801)/(0.75*C801+0.25*D801)</f>
        <v>5.08067726525852</v>
      </c>
      <c r="E810" s="19" t="n">
        <f aca="false">seg_osemi*(0.75*E801+0.25*F801)/(0.75*C801+0.25*D801)</f>
        <v>6.0797299618455</v>
      </c>
      <c r="F810" s="19" t="n">
        <f aca="false">seg_osemi*(0.75*F801+0.25*G801)/(0.75*C801+0.25*D801)</f>
        <v>6.74147189236335</v>
      </c>
      <c r="G810" s="19" t="n">
        <f aca="false">seg_osemi*(0.75*G801+0.25*H801)/(0.75*C801+0.25*D801)</f>
        <v>7.12563922344852</v>
      </c>
      <c r="J810" s="5" t="s">
        <v>667</v>
      </c>
    </row>
    <row r="811" customFormat="false" ht="17.15" hidden="false" customHeight="false" outlineLevel="0" collapsed="false">
      <c r="A811" s="5" t="s">
        <v>668</v>
      </c>
      <c r="B811" s="0" t="s">
        <v>34</v>
      </c>
      <c r="C811" s="19" t="n">
        <f aca="false">seg_new</f>
        <v>9.47</v>
      </c>
      <c r="D811" s="19" t="n">
        <f aca="false">C811*(1+g_tss)</f>
        <v>9.7541</v>
      </c>
      <c r="E811" s="19" t="n">
        <f aca="false">D811*(1+g_tss)</f>
        <v>10.046723</v>
      </c>
      <c r="F811" s="19" t="n">
        <f aca="false">E811*(1+g_tss)</f>
        <v>10.34812469</v>
      </c>
      <c r="G811" s="19" t="n">
        <f aca="false">F811*(1+g_tss)</f>
        <v>10.6585684307</v>
      </c>
    </row>
    <row r="812" customFormat="false" ht="15" hidden="false" customHeight="false" outlineLevel="0" collapsed="false">
      <c r="A812" s="5" t="s">
        <v>669</v>
      </c>
      <c r="B812" s="0" t="s">
        <v>34</v>
      </c>
      <c r="C812" s="19" t="n">
        <f aca="false">seg_med</f>
        <v>2.48</v>
      </c>
      <c r="D812" s="19" t="n">
        <f aca="false">C812*(1+g_med)</f>
        <v>2.5544</v>
      </c>
      <c r="E812" s="19" t="n">
        <f aca="false">D812*(1+g_med)</f>
        <v>2.631032</v>
      </c>
      <c r="F812" s="19" t="n">
        <f aca="false">E812*(1+g_med)</f>
        <v>2.70996296</v>
      </c>
      <c r="G812" s="19" t="n">
        <f aca="false">F812*(1+g_med)</f>
        <v>2.7912618488</v>
      </c>
    </row>
    <row r="813" customFormat="false" ht="15" hidden="false" customHeight="false" outlineLevel="0" collapsed="false">
      <c r="A813" s="5" t="s">
        <v>670</v>
      </c>
      <c r="B813" s="0" t="s">
        <v>34</v>
      </c>
      <c r="C813" s="19" t="n">
        <f aca="false">seg_las*(0.75*C801+0.25*D801)/(0.75*C801+0.25*D801)</f>
        <v>2</v>
      </c>
      <c r="D813" s="19" t="n">
        <f aca="false">seg_las*(0.75*D801+0.25*E801)/(0.75*C801+0.25*D801)</f>
        <v>2.5855863945336</v>
      </c>
      <c r="E813" s="19" t="n">
        <f aca="false">seg_las*(0.75*E801+0.25*F801)/(0.75*C801+0.25*D801)</f>
        <v>3.0940101587</v>
      </c>
      <c r="F813" s="19" t="n">
        <f aca="false">seg_las*(0.75*F801+0.25*G801)/(0.75*C801+0.25*D801)</f>
        <v>3.43077449993046</v>
      </c>
      <c r="G813" s="19" t="n">
        <f aca="false">seg_las*(0.75*G801+0.25*H801)/(0.75*C801+0.25*D801)</f>
        <v>3.62627950302724</v>
      </c>
      <c r="J813" s="5" t="s">
        <v>667</v>
      </c>
    </row>
    <row r="814" customFormat="false" ht="15" hidden="false" customHeight="false" outlineLevel="0" collapsed="false">
      <c r="A814" s="5" t="s">
        <v>671</v>
      </c>
      <c r="B814" s="0" t="s">
        <v>34</v>
      </c>
      <c r="C814" s="19" t="n">
        <f aca="false">C807+C808+C809+C810+C811+C812+C813+seg_adj</f>
        <v>54.365</v>
      </c>
      <c r="D814" s="19" t="n">
        <f aca="false">D807+D808+D809+D810+D811+D812+D813</f>
        <v>62.2826879654645</v>
      </c>
      <c r="E814" s="19" t="n">
        <f aca="false">E807+E808+E809+E810+E811+E812+E813</f>
        <v>65.5217301067461</v>
      </c>
      <c r="F814" s="19" t="n">
        <f aca="false">F807+F808+F809+F810+F811+F812+F813</f>
        <v>70.4900360537652</v>
      </c>
      <c r="G814" s="19" t="n">
        <f aca="false">G807+G808+G809+G810+G811+G812+G813</f>
        <v>73.4386618536705</v>
      </c>
    </row>
    <row r="815" customFormat="false" ht="17.15" hidden="false" customHeight="false" outlineLevel="0" collapsed="false">
      <c r="A815" s="1" t="s">
        <v>672</v>
      </c>
    </row>
    <row r="816" customFormat="false" ht="17.15" hidden="false" customHeight="false" outlineLevel="0" collapsed="false">
      <c r="A816" s="0" t="s">
        <v>673</v>
      </c>
      <c r="B816" s="0" t="s">
        <v>34</v>
      </c>
      <c r="D816" s="19" t="n">
        <f aca="false">g26_rev*(1+g_anc)</f>
        <v>64</v>
      </c>
    </row>
    <row r="817" customFormat="false" ht="17.15" hidden="false" customHeight="false" outlineLevel="0" collapsed="false">
      <c r="A817" s="0" t="s">
        <v>674</v>
      </c>
      <c r="B817" s="0" t="s">
        <v>34</v>
      </c>
      <c r="D817" s="19" t="n">
        <f aca="false">D816*g26_oi/g26_rev</f>
        <v>10.24</v>
      </c>
    </row>
    <row r="818" customFormat="false" ht="17.15" hidden="false" customHeight="false" outlineLevel="0" collapsed="false">
      <c r="A818" s="0" t="s">
        <v>675</v>
      </c>
      <c r="B818" s="0" t="s">
        <v>34</v>
      </c>
      <c r="D818" s="19" t="n">
        <f aca="false">D817*g26_ni/g26_oi</f>
        <v>7</v>
      </c>
    </row>
    <row r="819" customFormat="false" ht="17.15" hidden="false" customHeight="false" outlineLevel="0" collapsed="false">
      <c r="A819" s="5" t="s">
        <v>676</v>
      </c>
      <c r="B819" s="0" t="s">
        <v>198</v>
      </c>
      <c r="D819" s="20" t="n">
        <f aca="false">D816/D814</f>
        <v>1.02757286319254</v>
      </c>
      <c r="J819" s="8" t="s">
        <v>677</v>
      </c>
    </row>
    <row r="820" customFormat="false" ht="17.15" hidden="false" customHeight="false" outlineLevel="0" collapsed="false">
      <c r="A820" s="5" t="s">
        <v>678</v>
      </c>
      <c r="B820" s="0" t="s">
        <v>198</v>
      </c>
      <c r="D820" s="20" t="n">
        <f aca="false">1+1*(D819-1)</f>
        <v>1.02757286319254</v>
      </c>
      <c r="J820" s="8" t="s">
        <v>679</v>
      </c>
    </row>
    <row r="821" customFormat="false" ht="17.15" hidden="false" customHeight="false" outlineLevel="0" collapsed="false">
      <c r="A821" s="1" t="s">
        <v>680</v>
      </c>
    </row>
    <row r="822" customFormat="false" ht="17.15" hidden="false" customHeight="false" outlineLevel="0" collapsed="false">
      <c r="A822" s="0" t="s">
        <v>681</v>
      </c>
      <c r="B822" s="0" t="s">
        <v>34</v>
      </c>
      <c r="C822" s="19" t="n">
        <f aca="false">C807*1</f>
        <v>5</v>
      </c>
      <c r="D822" s="19" t="n">
        <f aca="false">D807*$D$819</f>
        <v>6.01620955006613</v>
      </c>
      <c r="E822" s="19" t="n">
        <f aca="false">E807*1</f>
        <v>5.42484277351964</v>
      </c>
      <c r="F822" s="19" t="n">
        <f aca="false">F807*1</f>
        <v>5.59938454589345</v>
      </c>
      <c r="G822" s="19" t="n">
        <f aca="false">G807*1</f>
        <v>5.07862914343112</v>
      </c>
    </row>
    <row r="823" customFormat="false" ht="17.15" hidden="false" customHeight="false" outlineLevel="0" collapsed="false">
      <c r="A823" s="0" t="s">
        <v>682</v>
      </c>
      <c r="B823" s="0" t="s">
        <v>34</v>
      </c>
      <c r="C823" s="19" t="n">
        <f aca="false">C808*1</f>
        <v>5</v>
      </c>
      <c r="D823" s="19" t="n">
        <f aca="false">D808*$D$819</f>
        <v>7.38964373680767</v>
      </c>
      <c r="E823" s="19" t="n">
        <f aca="false">E808*1</f>
        <v>5.09316442453722</v>
      </c>
      <c r="F823" s="19" t="n">
        <f aca="false">F808*1</f>
        <v>4.58163808124957</v>
      </c>
      <c r="G823" s="19" t="n">
        <f aca="false">G808*1</f>
        <v>4.40775830547634</v>
      </c>
    </row>
    <row r="824" customFormat="false" ht="17.15" hidden="false" customHeight="false" outlineLevel="0" collapsed="false">
      <c r="A824" s="5" t="s">
        <v>683</v>
      </c>
      <c r="B824" s="0" t="s">
        <v>34</v>
      </c>
      <c r="C824" s="19" t="n">
        <f aca="false">C809*1</f>
        <v>26.46</v>
      </c>
      <c r="D824" s="19" t="n">
        <f aca="false">D809*$D$819</f>
        <v>30.0686216276393</v>
      </c>
      <c r="E824" s="19" t="n">
        <f aca="false">E809*$D$820</f>
        <v>34.0663296294743</v>
      </c>
      <c r="F824" s="19" t="n">
        <f aca="false">F809*$D$820</f>
        <v>38.1010447383526</v>
      </c>
      <c r="G824" s="19" t="n">
        <f aca="false">G809*$D$820</f>
        <v>40.8465611974397</v>
      </c>
    </row>
    <row r="825" customFormat="false" ht="15" hidden="false" customHeight="false" outlineLevel="0" collapsed="false">
      <c r="A825" s="5" t="s">
        <v>684</v>
      </c>
      <c r="B825" s="0" t="s">
        <v>34</v>
      </c>
      <c r="C825" s="19" t="n">
        <f aca="false">C810*1</f>
        <v>3.93</v>
      </c>
      <c r="D825" s="19" t="n">
        <f aca="false">D810*$D$819</f>
        <v>5.22076608441895</v>
      </c>
      <c r="E825" s="19" t="n">
        <f aca="false">E810*$D$820</f>
        <v>6.24736552433106</v>
      </c>
      <c r="F825" s="19" t="n">
        <f aca="false">F810*$D$820</f>
        <v>6.92735357456786</v>
      </c>
      <c r="G825" s="19" t="n">
        <f aca="false">G810*$D$820</f>
        <v>7.32211349891608</v>
      </c>
    </row>
    <row r="826" customFormat="false" ht="17.15" hidden="false" customHeight="false" outlineLevel="0" collapsed="false">
      <c r="A826" s="5" t="s">
        <v>685</v>
      </c>
      <c r="B826" s="0" t="s">
        <v>34</v>
      </c>
      <c r="C826" s="19" t="n">
        <f aca="false">C811*1</f>
        <v>9.47</v>
      </c>
      <c r="D826" s="19" t="n">
        <f aca="false">D811*$D$819</f>
        <v>10.0230484648664</v>
      </c>
      <c r="E826" s="19" t="n">
        <f aca="false">E811*$D$820</f>
        <v>10.3237399188124</v>
      </c>
      <c r="F826" s="19" t="n">
        <f aca="false">F811*$D$820</f>
        <v>10.6334521163767</v>
      </c>
      <c r="G826" s="19" t="n">
        <f aca="false">G811*$D$820</f>
        <v>10.952455679868</v>
      </c>
    </row>
    <row r="827" customFormat="false" ht="15" hidden="false" customHeight="false" outlineLevel="0" collapsed="false">
      <c r="A827" s="5" t="s">
        <v>686</v>
      </c>
      <c r="B827" s="0" t="s">
        <v>34</v>
      </c>
      <c r="C827" s="19" t="n">
        <f aca="false">C812*1</f>
        <v>2.48</v>
      </c>
      <c r="D827" s="19" t="n">
        <f aca="false">D812*$D$819</f>
        <v>2.62483212173903</v>
      </c>
      <c r="E827" s="19" t="n">
        <f aca="false">E812*$D$820</f>
        <v>2.7035770853912</v>
      </c>
      <c r="F827" s="19" t="n">
        <f aca="false">F812*$D$820</f>
        <v>2.78468439795294</v>
      </c>
      <c r="G827" s="19" t="n">
        <f aca="false">G812*$D$820</f>
        <v>2.86822492989153</v>
      </c>
    </row>
    <row r="828" customFormat="false" ht="15" hidden="false" customHeight="false" outlineLevel="0" collapsed="false">
      <c r="A828" s="5" t="s">
        <v>687</v>
      </c>
      <c r="B828" s="0" t="s">
        <v>34</v>
      </c>
      <c r="C828" s="19" t="n">
        <f aca="false">C813*1</f>
        <v>2</v>
      </c>
      <c r="D828" s="19" t="n">
        <f aca="false">D813*$D$819</f>
        <v>2.65687841446257</v>
      </c>
      <c r="E828" s="19" t="n">
        <f aca="false">E813*$D$820</f>
        <v>3.17932087752217</v>
      </c>
      <c r="F828" s="19" t="n">
        <f aca="false">F813*$D$820</f>
        <v>3.52537077586151</v>
      </c>
      <c r="G828" s="19" t="n">
        <f aca="false">G813*$D$820</f>
        <v>3.72626641166212</v>
      </c>
    </row>
    <row r="829" customFormat="false" ht="17.15" hidden="false" customHeight="false" outlineLevel="0" collapsed="false">
      <c r="A829" s="0" t="s">
        <v>688</v>
      </c>
      <c r="B829" s="0" t="s">
        <v>34</v>
      </c>
      <c r="C829" s="19" t="n">
        <f aca="false">C822+C823</f>
        <v>10</v>
      </c>
      <c r="D829" s="19" t="n">
        <f aca="false">D822+D823</f>
        <v>13.4058532868738</v>
      </c>
      <c r="E829" s="19" t="n">
        <f aca="false">E822+E823</f>
        <v>10.5180071980569</v>
      </c>
      <c r="F829" s="19" t="n">
        <f aca="false">F822+F823</f>
        <v>10.181022627143</v>
      </c>
      <c r="G829" s="19" t="n">
        <f aca="false">G822+G823</f>
        <v>9.48638744890746</v>
      </c>
    </row>
    <row r="830" customFormat="false" ht="17.15" hidden="false" customHeight="false" outlineLevel="0" collapsed="false">
      <c r="A830" s="5" t="s">
        <v>689</v>
      </c>
      <c r="B830" s="0" t="s">
        <v>34</v>
      </c>
      <c r="C830" s="19" t="n">
        <f aca="false">C829+C824+C825</f>
        <v>40.39</v>
      </c>
      <c r="D830" s="19" t="n">
        <f aca="false">D829+D824+D825</f>
        <v>48.695240998932</v>
      </c>
      <c r="E830" s="19" t="n">
        <f aca="false">E829+E824+E825</f>
        <v>50.8317023518622</v>
      </c>
      <c r="F830" s="19" t="n">
        <f aca="false">F829+F824+F825</f>
        <v>55.2094209400634</v>
      </c>
      <c r="G830" s="19" t="n">
        <f aca="false">G829+G824+G825</f>
        <v>57.6550621452633</v>
      </c>
      <c r="J830" s="5" t="s">
        <v>690</v>
      </c>
    </row>
    <row r="831" customFormat="false" ht="17.15" hidden="false" customHeight="false" outlineLevel="0" collapsed="false">
      <c r="A831" s="5" t="s">
        <v>541</v>
      </c>
      <c r="B831" s="0" t="s">
        <v>34</v>
      </c>
      <c r="C831" s="19" t="n">
        <f aca="false">C830+C826+C827+C828+seg_adj</f>
        <v>54.365</v>
      </c>
      <c r="D831" s="19" t="n">
        <f aca="false">D830+D826+D827+D828</f>
        <v>64</v>
      </c>
      <c r="E831" s="19" t="n">
        <f aca="false">E830+E826+E827+E828</f>
        <v>67.0383402335879</v>
      </c>
      <c r="F831" s="19" t="n">
        <f aca="false">F830+F826+F827+F828</f>
        <v>72.1529282302546</v>
      </c>
      <c r="G831" s="19" t="n">
        <f aca="false">G830+G826+G827+G828</f>
        <v>75.202009166685</v>
      </c>
      <c r="J831" s="8" t="s">
        <v>691</v>
      </c>
    </row>
    <row r="832" customFormat="false" ht="17.15" hidden="false" customHeight="false" outlineLevel="0" collapsed="false">
      <c r="A832" s="5" t="s">
        <v>692</v>
      </c>
      <c r="B832" s="0" t="s">
        <v>34</v>
      </c>
      <c r="C832" s="20" t="n">
        <f aca="false">C830+C826+C827+C828-a25_rev</f>
        <v>-0.0249999999999986</v>
      </c>
    </row>
    <row r="833" customFormat="false" ht="17.15" hidden="false" customHeight="false" outlineLevel="0" collapsed="false">
      <c r="A833" s="0" t="s">
        <v>621</v>
      </c>
      <c r="B833" s="0" t="s">
        <v>94</v>
      </c>
      <c r="C833" s="11" t="n">
        <f aca="false">C829/C831</f>
        <v>0.1839418743677</v>
      </c>
      <c r="D833" s="11" t="n">
        <f aca="false">D829/D831</f>
        <v>0.209466457607403</v>
      </c>
      <c r="E833" s="11" t="n">
        <f aca="false">E829/E831</f>
        <v>0.156895399877264</v>
      </c>
      <c r="F833" s="11" t="n">
        <f aca="false">F829/F831</f>
        <v>0.141103387996303</v>
      </c>
      <c r="G833" s="11" t="n">
        <f aca="false">G829/G831</f>
        <v>0.126145398959766</v>
      </c>
    </row>
    <row r="834" customFormat="false" ht="17.15" hidden="false" customHeight="false" outlineLevel="0" collapsed="false">
      <c r="A834" s="5" t="s">
        <v>545</v>
      </c>
      <c r="B834" s="0" t="s">
        <v>34</v>
      </c>
      <c r="C834" s="19" t="n">
        <f aca="false">a25_oi</f>
        <v>6.917</v>
      </c>
      <c r="D834" s="19" t="n">
        <f aca="false">D817</f>
        <v>10.24</v>
      </c>
      <c r="E834" s="19" t="n">
        <f aca="false">$D834+(im+ima_A)*(E831-$D831)</f>
        <v>11.1500470871809</v>
      </c>
      <c r="F834" s="19" t="n">
        <f aca="false">$D834+(im+ima_A)*(F831-$D831)</f>
        <v>12.6819742416986</v>
      </c>
      <c r="G834" s="19" t="n">
        <f aca="false">$D834+(im+ima_A)*(G831-$D831)</f>
        <v>13.5952383962862</v>
      </c>
      <c r="J834" s="8" t="s">
        <v>693</v>
      </c>
    </row>
    <row r="835" customFormat="false" ht="15" hidden="false" customHeight="false" outlineLevel="0" collapsed="false">
      <c r="A835" s="5" t="s">
        <v>694</v>
      </c>
      <c r="B835" s="0" t="s">
        <v>94</v>
      </c>
      <c r="C835" s="11" t="n">
        <f aca="false">C834/C831</f>
        <v>0.127232594500138</v>
      </c>
      <c r="D835" s="11" t="n">
        <f aca="false">D834/D831</f>
        <v>0.16</v>
      </c>
      <c r="E835" s="11" t="n">
        <f aca="false">E834/E831</f>
        <v>0.166323435937253</v>
      </c>
      <c r="F835" s="11" t="n">
        <f aca="false">F834/F831</f>
        <v>0.175765205276602</v>
      </c>
      <c r="G835" s="11" t="n">
        <f aca="false">G834/G831</f>
        <v>0.18078291453826</v>
      </c>
    </row>
    <row r="836" customFormat="false" ht="15" hidden="false" customHeight="false" outlineLevel="0" collapsed="false">
      <c r="A836" s="5" t="s">
        <v>548</v>
      </c>
      <c r="B836" s="0" t="s">
        <v>34</v>
      </c>
      <c r="C836" s="19" t="n">
        <f aca="false">a25_ni</f>
        <v>4.593</v>
      </c>
      <c r="D836" s="19" t="n">
        <f aca="false">D818</f>
        <v>7</v>
      </c>
      <c r="E836" s="19" t="n">
        <f aca="false">E834*nioi</f>
        <v>7.62210250100257</v>
      </c>
      <c r="F836" s="19" t="n">
        <f aca="false">F834*nioi</f>
        <v>8.66931832928616</v>
      </c>
      <c r="G836" s="19" t="n">
        <f aca="false">G834*nioi</f>
        <v>9.2936199974613</v>
      </c>
    </row>
    <row r="837" customFormat="false" ht="15" hidden="false" customHeight="false" outlineLevel="0" collapsed="false">
      <c r="A837" s="0" t="s">
        <v>622</v>
      </c>
      <c r="B837" s="0" t="s">
        <v>52</v>
      </c>
      <c r="C837" s="22" t="n">
        <f aca="false">a25_eps</f>
        <v>61.22</v>
      </c>
      <c r="D837" s="22" t="n">
        <f aca="false">D836*1000/shares</f>
        <v>93.2961492201002</v>
      </c>
      <c r="E837" s="22" t="n">
        <f aca="false">E836*1000/shares</f>
        <v>101.587544614919</v>
      </c>
      <c r="F837" s="22" t="n">
        <f aca="false">F836*1000/shares</f>
        <v>115.544859497947</v>
      </c>
      <c r="G837" s="22" t="n">
        <f aca="false">G836*1000/shares</f>
        <v>123.865565439722</v>
      </c>
    </row>
    <row r="838" customFormat="false" ht="17.15" hidden="false" customHeight="false" outlineLevel="0" collapsed="false">
      <c r="A838" s="5" t="s">
        <v>695</v>
      </c>
      <c r="B838" s="0" t="s">
        <v>34</v>
      </c>
      <c r="C838" s="20" t="n">
        <f aca="false">ABS(C831-a25_rev)+ABS(C834-a25_oi)+ABS(D831-D816)</f>
        <v>0</v>
      </c>
    </row>
    <row r="850" customFormat="false" ht="17.15" hidden="false" customHeight="false" outlineLevel="0" collapsed="false">
      <c r="A850" s="3" t="s">
        <v>1029</v>
      </c>
    </row>
    <row r="851" customFormat="false" ht="17.15" hidden="false" customHeight="false" outlineLevel="0" collapsed="false">
      <c r="A851" s="6" t="s">
        <v>23</v>
      </c>
      <c r="B851" s="6" t="s">
        <v>24</v>
      </c>
      <c r="C851" s="15" t="s">
        <v>628</v>
      </c>
      <c r="D851" s="15" t="s">
        <v>629</v>
      </c>
      <c r="E851" s="15" t="s">
        <v>630</v>
      </c>
      <c r="F851" s="15" t="s">
        <v>631</v>
      </c>
      <c r="G851" s="15" t="s">
        <v>632</v>
      </c>
      <c r="H851" s="15" t="s">
        <v>633</v>
      </c>
      <c r="I851" s="15" t="s">
        <v>634</v>
      </c>
      <c r="J851" s="6" t="s">
        <v>468</v>
      </c>
    </row>
    <row r="852" customFormat="false" ht="17.15" hidden="false" customHeight="false" outlineLevel="0" collapsed="false">
      <c r="A852" s="1" t="s">
        <v>635</v>
      </c>
    </row>
    <row r="853" customFormat="false" ht="17.15" hidden="false" customHeight="false" outlineLevel="0" collapsed="false">
      <c r="A853" s="0" t="s">
        <v>636</v>
      </c>
      <c r="B853" s="0" t="s">
        <v>111</v>
      </c>
      <c r="C853" s="21" t="n">
        <f aca="false">hsA_25</f>
        <v>2.22511470588235</v>
      </c>
      <c r="D853" s="21" t="n">
        <f aca="false">hsA_26</f>
        <v>3.782695</v>
      </c>
      <c r="E853" s="21" t="n">
        <f aca="false">hsA_27</f>
        <v>5.86317725</v>
      </c>
      <c r="F853" s="21" t="n">
        <f aca="false">hsA_28</f>
        <v>8.5016070125</v>
      </c>
      <c r="G853" s="21" t="n">
        <f aca="false">hsA_29</f>
        <v>11.477169466875</v>
      </c>
      <c r="J853" s="8" t="s">
        <v>637</v>
      </c>
    </row>
    <row r="854" customFormat="false" ht="17.15" hidden="false" customHeight="false" outlineLevel="0" collapsed="false">
      <c r="A854" s="0" t="s">
        <v>638</v>
      </c>
      <c r="B854" s="0" t="s">
        <v>639</v>
      </c>
      <c r="C854" s="21" t="n">
        <f aca="false">den_25</f>
        <v>24</v>
      </c>
      <c r="D854" s="21" t="n">
        <f aca="false">den_26</f>
        <v>24</v>
      </c>
      <c r="E854" s="21" t="n">
        <f aca="false">den_27</f>
        <v>26</v>
      </c>
      <c r="F854" s="21" t="n">
        <f aca="false">den_28</f>
        <v>28</v>
      </c>
      <c r="G854" s="21" t="n">
        <f aca="false">den_29</f>
        <v>30</v>
      </c>
    </row>
    <row r="855" customFormat="false" ht="15" hidden="false" customHeight="false" outlineLevel="0" collapsed="false">
      <c r="A855" s="5" t="s">
        <v>640</v>
      </c>
      <c r="B855" s="5" t="s">
        <v>160</v>
      </c>
      <c r="C855" s="21" t="n">
        <f aca="false">stk_25</f>
        <v>10</v>
      </c>
      <c r="D855" s="21" t="n">
        <f aca="false">stk_26</f>
        <v>12</v>
      </c>
      <c r="E855" s="21" t="n">
        <f aca="false">stk_27</f>
        <v>12.5</v>
      </c>
      <c r="F855" s="21" t="n">
        <f aca="false">stk_28</f>
        <v>14</v>
      </c>
      <c r="G855" s="21" t="n">
        <f aca="false">stk_29</f>
        <v>15</v>
      </c>
    </row>
    <row r="856" customFormat="false" ht="17.15" hidden="false" customHeight="false" outlineLevel="0" collapsed="false">
      <c r="A856" s="0" t="s">
        <v>641</v>
      </c>
      <c r="B856" s="5" t="s">
        <v>642</v>
      </c>
      <c r="C856" s="23" t="n">
        <f aca="false">C853*8/(C854*C855)</f>
        <v>0.0741704901960783</v>
      </c>
      <c r="D856" s="23" t="n">
        <f aca="false">D853*8/(D854*D855)</f>
        <v>0.105074861111111</v>
      </c>
      <c r="E856" s="23" t="n">
        <f aca="false">E853*8/(E854*E855)</f>
        <v>0.144324363076923</v>
      </c>
      <c r="F856" s="23" t="n">
        <f aca="false">F853*8/(F854*F855)</f>
        <v>0.173502183928571</v>
      </c>
      <c r="G856" s="23" t="n">
        <f aca="false">G853*8/(G854*G855)</f>
        <v>0.2040385683</v>
      </c>
      <c r="H856" s="23" t="n">
        <f aca="false">G856*(1+g_tail)</f>
        <v>0.22444242513</v>
      </c>
      <c r="I856" s="23" t="n">
        <f aca="false">H856*(1+g_tail)</f>
        <v>0.246886667643</v>
      </c>
      <c r="J856" s="8" t="s">
        <v>643</v>
      </c>
    </row>
    <row r="857" customFormat="false" ht="17.15" hidden="false" customHeight="false" outlineLevel="0" collapsed="false">
      <c r="A857" s="0" t="s">
        <v>644</v>
      </c>
      <c r="B857" s="5" t="s">
        <v>642</v>
      </c>
      <c r="C857" s="23" t="n">
        <f aca="false">MAX(0,D856-C856)+dlt*C856</f>
        <v>0.0383214199346406</v>
      </c>
      <c r="D857" s="23" t="n">
        <f aca="false">MAX(0,E856-D856)+dlt*D856</f>
        <v>0.0497569880769231</v>
      </c>
      <c r="E857" s="23" t="n">
        <f aca="false">MAX(0,F856-E856)+dlt*E856</f>
        <v>0.0436102571593407</v>
      </c>
      <c r="F857" s="23" t="n">
        <f aca="false">MAX(0,G856-F856)+dlt*F856</f>
        <v>0.0478866027642858</v>
      </c>
      <c r="G857" s="23" t="n">
        <f aca="false">MAX(0,H856-G856)+dlt*G856</f>
        <v>0.04080771366</v>
      </c>
      <c r="H857" s="23" t="n">
        <f aca="false">MAX(0,I856-H856)+dlt*H856</f>
        <v>0.044888485026</v>
      </c>
      <c r="J857" s="5" t="s">
        <v>645</v>
      </c>
    </row>
    <row r="858" customFormat="false" ht="17.15" hidden="false" customHeight="false" outlineLevel="0" collapsed="false">
      <c r="A858" s="0" t="s">
        <v>646</v>
      </c>
      <c r="B858" s="5" t="s">
        <v>183</v>
      </c>
      <c r="C858" s="14" t="n">
        <f aca="false">cw_25</f>
        <v>670</v>
      </c>
      <c r="D858" s="14" t="n">
        <f aca="false">cw_26</f>
        <v>1107.85762580894</v>
      </c>
      <c r="E858" s="14" t="n">
        <f aca="false">cw_27</f>
        <v>2096.42857142857</v>
      </c>
      <c r="F858" s="14" t="n">
        <f aca="false">cw_28*um28_A</f>
        <v>2620.08928571429</v>
      </c>
      <c r="G858" s="14" t="n">
        <f aca="false">cw_29*um29_A</f>
        <v>3013.32589285714</v>
      </c>
      <c r="H858" s="14" t="n">
        <f aca="false">G858*(1+g_tail)</f>
        <v>3314.65848214285</v>
      </c>
      <c r="I858" s="14" t="n">
        <f aca="false">H858*(1+g_tail)</f>
        <v>3646.12433035714</v>
      </c>
      <c r="J858" s="5" t="s">
        <v>647</v>
      </c>
    </row>
    <row r="859" customFormat="false" ht="17.15" hidden="false" customHeight="false" outlineLevel="0" collapsed="false">
      <c r="A859" s="0" t="s">
        <v>648</v>
      </c>
      <c r="B859" s="5" t="s">
        <v>183</v>
      </c>
      <c r="C859" s="14" t="n">
        <f aca="false">MAX(0,D858-C858)+dlt*C858</f>
        <v>504.85762580894</v>
      </c>
      <c r="D859" s="14" t="n">
        <f aca="false">MAX(0,E858-D858)+dlt*D858</f>
        <v>1099.35670820052</v>
      </c>
      <c r="E859" s="14" t="n">
        <f aca="false">MAX(0,F858-E858)+dlt*E858</f>
        <v>733.303571428577</v>
      </c>
      <c r="F859" s="14" t="n">
        <f aca="false">MAX(0,G858-F858)+dlt*F858</f>
        <v>655.245535714279</v>
      </c>
      <c r="G859" s="14" t="n">
        <f aca="false">MAX(0,H858-G858)+dlt*G858</f>
        <v>602.665178571428</v>
      </c>
      <c r="H859" s="14" t="n">
        <f aca="false">MAX(0,I858-H858)+dlt*H858</f>
        <v>662.931696428571</v>
      </c>
    </row>
    <row r="860" customFormat="false" ht="17.15" hidden="false" customHeight="false" outlineLevel="0" collapsed="false">
      <c r="A860" s="5" t="s">
        <v>649</v>
      </c>
      <c r="B860" s="0" t="s">
        <v>219</v>
      </c>
      <c r="C860" s="21" t="n">
        <f aca="false">pk_25*(eqtA_25-eqaA_25)/(eqtA_25-eqaA_25)</f>
        <v>6.11313868613139</v>
      </c>
      <c r="D860" s="21" t="n">
        <f aca="false">pk_26*(eqtA_26-eqaA_26)/(eqtA_26-eqaA_26)</f>
        <v>6.7</v>
      </c>
      <c r="E860" s="21" t="n">
        <f aca="false">pk_27*(eqtA_27-eqaA_27)/(eqtA_27-eqaA_27)</f>
        <v>7.59078388573934</v>
      </c>
      <c r="F860" s="21" t="n">
        <f aca="false">pk_28*(eqtA_28-eqaA_28)/(eqtA_28-eqaA_28)</f>
        <v>8.6</v>
      </c>
      <c r="G860" s="21" t="n">
        <f aca="false">pk_29*(eqtA_29-eqaA_29)/(eqtA_29-eqaA_29)</f>
        <v>9.288</v>
      </c>
      <c r="H860" s="21" t="n">
        <f aca="false">G860*(1+g_pk_tail_lo)</f>
        <v>9.288</v>
      </c>
      <c r="J860" s="8" t="s">
        <v>650</v>
      </c>
    </row>
    <row r="861" customFormat="false" ht="15" hidden="false" customHeight="false" outlineLevel="0" collapsed="false">
      <c r="A861" s="5" t="s">
        <v>651</v>
      </c>
      <c r="B861" s="0" t="s">
        <v>219</v>
      </c>
      <c r="C861" s="24" t="n">
        <f aca="false">eqtA_25</f>
        <v>134.689359843138</v>
      </c>
      <c r="D861" s="24" t="n">
        <f aca="false">eqtA_26</f>
        <v>178.157050570127</v>
      </c>
      <c r="E861" s="24" t="n">
        <f aca="false">eqtA_27</f>
        <v>218.225535760082</v>
      </c>
      <c r="F861" s="24" t="n">
        <f aca="false">eqtA_28</f>
        <v>246.028626308958</v>
      </c>
      <c r="G861" s="24" t="n">
        <f aca="false">eqtA_29</f>
        <v>260.655685855226</v>
      </c>
      <c r="H861" s="24" t="n">
        <f aca="false">G861*(1+g_pk_tail_lo)</f>
        <v>260.655685855226</v>
      </c>
      <c r="J861" s="5" t="s">
        <v>652</v>
      </c>
    </row>
    <row r="862" customFormat="false" ht="17.15" hidden="false" customHeight="false" outlineLevel="0" collapsed="false">
      <c r="A862" s="1" t="s">
        <v>653</v>
      </c>
    </row>
    <row r="863" customFormat="false" ht="17.15" hidden="false" customHeight="false" outlineLevel="0" collapsed="false">
      <c r="A863" s="0" t="s">
        <v>654</v>
      </c>
      <c r="B863" s="0" t="s">
        <v>655</v>
      </c>
      <c r="C863" s="24" t="n">
        <f aca="false">ai_25*w_hbm/(0.75*C857+0.25*D857)</f>
        <v>121.417244328233</v>
      </c>
      <c r="J863" s="5" t="s">
        <v>656</v>
      </c>
    </row>
    <row r="864" customFormat="false" ht="17.15" hidden="false" customHeight="false" outlineLevel="0" collapsed="false">
      <c r="A864" s="0" t="s">
        <v>657</v>
      </c>
      <c r="B864" s="0" t="s">
        <v>658</v>
      </c>
      <c r="C864" s="25" t="n">
        <f aca="false">ai_25*(1-w_hbm)/(0.75*C859+0.25*D859)</f>
        <v>0.0076513155174377</v>
      </c>
    </row>
    <row r="865" customFormat="false" ht="17.15" hidden="false" customHeight="false" outlineLevel="0" collapsed="false">
      <c r="A865" s="1" t="s">
        <v>659</v>
      </c>
    </row>
    <row r="866" customFormat="false" ht="17.15" hidden="false" customHeight="false" outlineLevel="0" collapsed="false">
      <c r="A866" s="0" t="s">
        <v>660</v>
      </c>
      <c r="B866" s="0" t="s">
        <v>198</v>
      </c>
      <c r="C866" s="20" t="n">
        <f aca="false">1-shl_A/sh*0</f>
        <v>1</v>
      </c>
      <c r="D866" s="20" t="n">
        <f aca="false">1-shl_A/sh*0.25</f>
        <v>1</v>
      </c>
      <c r="E866" s="20" t="n">
        <f aca="false">1-shl_A/sh*0.5</f>
        <v>1</v>
      </c>
      <c r="F866" s="20" t="n">
        <f aca="false">1-shl_A/sh*0.75</f>
        <v>1</v>
      </c>
      <c r="G866" s="20" t="n">
        <f aca="false">1-shl_A/sh*1</f>
        <v>1</v>
      </c>
      <c r="J866" s="5" t="s">
        <v>661</v>
      </c>
    </row>
    <row r="867" customFormat="false" ht="17.15" hidden="false" customHeight="false" outlineLevel="0" collapsed="false">
      <c r="A867" s="0" t="s">
        <v>662</v>
      </c>
      <c r="B867" s="0" t="s">
        <v>34</v>
      </c>
      <c r="C867" s="19" t="n">
        <f aca="false">$C$863*(0.75*C857+0.25*D857)*C866</f>
        <v>5</v>
      </c>
      <c r="D867" s="19" t="n">
        <f aca="false">$C$863*(0.75*D857+0.25*E857)*D866</f>
        <v>5.85477659596275</v>
      </c>
      <c r="E867" s="19" t="n">
        <f aca="false">$C$863*(0.75*E857+0.25*F857)*E866</f>
        <v>5.42484277351964</v>
      </c>
      <c r="F867" s="19" t="n">
        <f aca="false">$C$863*(0.75*F857+0.25*G857)*F866</f>
        <v>5.59938454589345</v>
      </c>
      <c r="G867" s="19" t="n">
        <f aca="false">$C$863*(0.75*G857+0.25*H857)*G866</f>
        <v>5.07862914343112</v>
      </c>
    </row>
    <row r="868" customFormat="false" ht="17.15" hidden="false" customHeight="false" outlineLevel="0" collapsed="false">
      <c r="A868" s="0" t="s">
        <v>663</v>
      </c>
      <c r="B868" s="0" t="s">
        <v>34</v>
      </c>
      <c r="C868" s="19" t="n">
        <f aca="false">$C$864*(0.75*C859+0.25*D859)*C866</f>
        <v>5</v>
      </c>
      <c r="D868" s="19" t="n">
        <f aca="false">$C$864*(0.75*D859+0.25*E859)*D866</f>
        <v>7.71132802925642</v>
      </c>
      <c r="E868" s="19" t="n">
        <f aca="false">$C$864*(0.75*E859+0.25*F859)*E866</f>
        <v>5.46142533008358</v>
      </c>
      <c r="F868" s="19" t="n">
        <f aca="false">$C$864*(0.75*F859+0.25*G859)*F866</f>
        <v>4.91291310951257</v>
      </c>
      <c r="G868" s="19" t="n">
        <f aca="false">$C$864*(0.75*G859+0.25*H859)*G866</f>
        <v>4.72646096843851</v>
      </c>
    </row>
    <row r="869" customFormat="false" ht="17.15" hidden="false" customHeight="false" outlineLevel="0" collapsed="false">
      <c r="A869" s="5" t="s">
        <v>664</v>
      </c>
      <c r="B869" s="0" t="s">
        <v>34</v>
      </c>
      <c r="C869" s="19" t="n">
        <f aca="false">(seg_mold-ai_25)*(0.75*C860+0.25*D860)/(0.75*C860+0.25*D860)</f>
        <v>26.46</v>
      </c>
      <c r="D869" s="19" t="n">
        <f aca="false">(seg_mold-ai_25)*(0.75*D860+0.25*E860)/(0.75*C860+0.25*D860)</f>
        <v>29.2617902872793</v>
      </c>
      <c r="E869" s="19" t="n">
        <f aca="false">(seg_mold-ai_25)*(0.75*E860+0.25*F860)/(0.75*C860+0.25*D860)</f>
        <v>33.1522277881438</v>
      </c>
      <c r="F869" s="19" t="n">
        <f aca="false">(seg_mold-ai_25)*(0.75*F860+0.25*G860)/(0.75*C860+0.25*D860)</f>
        <v>37.0786793843283</v>
      </c>
      <c r="G869" s="19" t="n">
        <f aca="false">(seg_mold-ai_25)*(0.75*G860+0.25*H860)/(0.75*C860+0.25*D860)</f>
        <v>39.2597781716418</v>
      </c>
      <c r="J869" s="8" t="s">
        <v>665</v>
      </c>
    </row>
    <row r="870" customFormat="false" ht="15" hidden="false" customHeight="false" outlineLevel="0" collapsed="false">
      <c r="A870" s="5" t="s">
        <v>666</v>
      </c>
      <c r="B870" s="0" t="s">
        <v>34</v>
      </c>
      <c r="C870" s="19" t="n">
        <f aca="false">seg_osemi*(0.75*C861+0.25*D861)/(0.75*C861+0.25*D861)</f>
        <v>3.93</v>
      </c>
      <c r="D870" s="19" t="n">
        <f aca="false">seg_osemi*(0.75*D861+0.25*E861)/(0.75*C861+0.25*D861)</f>
        <v>5.08067726525852</v>
      </c>
      <c r="E870" s="19" t="n">
        <f aca="false">seg_osemi*(0.75*E861+0.25*F861)/(0.75*C861+0.25*D861)</f>
        <v>6.0797299618455</v>
      </c>
      <c r="F870" s="19" t="n">
        <f aca="false">seg_osemi*(0.75*F861+0.25*G861)/(0.75*C861+0.25*D861)</f>
        <v>6.74147189236335</v>
      </c>
      <c r="G870" s="19" t="n">
        <f aca="false">seg_osemi*(0.75*G861+0.25*H861)/(0.75*C861+0.25*D861)</f>
        <v>7.03766836883804</v>
      </c>
      <c r="J870" s="5" t="s">
        <v>667</v>
      </c>
    </row>
    <row r="871" customFormat="false" ht="17.15" hidden="false" customHeight="false" outlineLevel="0" collapsed="false">
      <c r="A871" s="5" t="s">
        <v>668</v>
      </c>
      <c r="B871" s="0" t="s">
        <v>34</v>
      </c>
      <c r="C871" s="19" t="n">
        <f aca="false">seg_new</f>
        <v>9.47</v>
      </c>
      <c r="D871" s="19" t="n">
        <f aca="false">C871*(1+g_tss)</f>
        <v>9.7541</v>
      </c>
      <c r="E871" s="19" t="n">
        <f aca="false">D871*(1+g_tss)</f>
        <v>10.046723</v>
      </c>
      <c r="F871" s="19" t="n">
        <f aca="false">E871*(1+g_tss)</f>
        <v>10.34812469</v>
      </c>
      <c r="G871" s="19" t="n">
        <f aca="false">F871*(1+g_tss)</f>
        <v>10.6585684307</v>
      </c>
    </row>
    <row r="872" customFormat="false" ht="15" hidden="false" customHeight="false" outlineLevel="0" collapsed="false">
      <c r="A872" s="5" t="s">
        <v>669</v>
      </c>
      <c r="B872" s="0" t="s">
        <v>34</v>
      </c>
      <c r="C872" s="19" t="n">
        <f aca="false">seg_med</f>
        <v>2.48</v>
      </c>
      <c r="D872" s="19" t="n">
        <f aca="false">C872*(1+g_med)</f>
        <v>2.5544</v>
      </c>
      <c r="E872" s="19" t="n">
        <f aca="false">D872*(1+g_med)</f>
        <v>2.631032</v>
      </c>
      <c r="F872" s="19" t="n">
        <f aca="false">E872*(1+g_med)</f>
        <v>2.70996296</v>
      </c>
      <c r="G872" s="19" t="n">
        <f aca="false">F872*(1+g_med)</f>
        <v>2.7912618488</v>
      </c>
    </row>
    <row r="873" customFormat="false" ht="15" hidden="false" customHeight="false" outlineLevel="0" collapsed="false">
      <c r="A873" s="5" t="s">
        <v>670</v>
      </c>
      <c r="B873" s="0" t="s">
        <v>34</v>
      </c>
      <c r="C873" s="19" t="n">
        <f aca="false">seg_las*(0.75*C861+0.25*D861)/(0.75*C861+0.25*D861)</f>
        <v>2</v>
      </c>
      <c r="D873" s="19" t="n">
        <f aca="false">seg_las*(0.75*D861+0.25*E861)/(0.75*C861+0.25*D861)</f>
        <v>2.5855863945336</v>
      </c>
      <c r="E873" s="19" t="n">
        <f aca="false">seg_las*(0.75*E861+0.25*F861)/(0.75*C861+0.25*D861)</f>
        <v>3.0940101587</v>
      </c>
      <c r="F873" s="19" t="n">
        <f aca="false">seg_las*(0.75*F861+0.25*G861)/(0.75*C861+0.25*D861)</f>
        <v>3.43077449993046</v>
      </c>
      <c r="G873" s="19" t="n">
        <f aca="false">seg_las*(0.75*G861+0.25*H861)/(0.75*C861+0.25*D861)</f>
        <v>3.58151062027381</v>
      </c>
      <c r="J873" s="5" t="s">
        <v>667</v>
      </c>
    </row>
    <row r="874" customFormat="false" ht="15" hidden="false" customHeight="false" outlineLevel="0" collapsed="false">
      <c r="A874" s="5" t="s">
        <v>671</v>
      </c>
      <c r="B874" s="0" t="s">
        <v>34</v>
      </c>
      <c r="C874" s="19" t="n">
        <f aca="false">C867+C868+C869+C870+C871+C872+C873+seg_adj</f>
        <v>54.365</v>
      </c>
      <c r="D874" s="19" t="n">
        <f aca="false">D867+D868+D869+D870+D871+D872+D873</f>
        <v>62.8026585722905</v>
      </c>
      <c r="E874" s="19" t="n">
        <f aca="false">E867+E868+E869+E870+E871+E872+E873</f>
        <v>65.8899910122925</v>
      </c>
      <c r="F874" s="19" t="n">
        <f aca="false">F867+F868+F869+F870+F871+F872+F873</f>
        <v>70.8213110820282</v>
      </c>
      <c r="G874" s="19" t="n">
        <f aca="false">G867+G868+G869+G870+G871+G872+G873</f>
        <v>73.1338775521233</v>
      </c>
    </row>
    <row r="875" customFormat="false" ht="17.15" hidden="false" customHeight="false" outlineLevel="0" collapsed="false">
      <c r="A875" s="1" t="s">
        <v>672</v>
      </c>
    </row>
    <row r="876" customFormat="false" ht="17.15" hidden="false" customHeight="false" outlineLevel="0" collapsed="false">
      <c r="A876" s="0" t="s">
        <v>673</v>
      </c>
      <c r="B876" s="0" t="s">
        <v>34</v>
      </c>
      <c r="D876" s="19" t="n">
        <f aca="false">g26_rev*(1+g_anc)</f>
        <v>64</v>
      </c>
    </row>
    <row r="877" customFormat="false" ht="17.15" hidden="false" customHeight="false" outlineLevel="0" collapsed="false">
      <c r="A877" s="0" t="s">
        <v>674</v>
      </c>
      <c r="B877" s="0" t="s">
        <v>34</v>
      </c>
      <c r="D877" s="19" t="n">
        <f aca="false">D876*g26_oi/g26_rev</f>
        <v>10.24</v>
      </c>
    </row>
    <row r="878" customFormat="false" ht="17.15" hidden="false" customHeight="false" outlineLevel="0" collapsed="false">
      <c r="A878" s="0" t="s">
        <v>675</v>
      </c>
      <c r="B878" s="0" t="s">
        <v>34</v>
      </c>
      <c r="D878" s="19" t="n">
        <f aca="false">D877*g26_ni/g26_oi</f>
        <v>7</v>
      </c>
    </row>
    <row r="879" customFormat="false" ht="17.15" hidden="false" customHeight="false" outlineLevel="0" collapsed="false">
      <c r="A879" s="5" t="s">
        <v>676</v>
      </c>
      <c r="B879" s="0" t="s">
        <v>198</v>
      </c>
      <c r="D879" s="20" t="n">
        <f aca="false">D876/D874</f>
        <v>1.01906513919839</v>
      </c>
      <c r="J879" s="8" t="s">
        <v>677</v>
      </c>
    </row>
    <row r="880" customFormat="false" ht="17.15" hidden="false" customHeight="false" outlineLevel="0" collapsed="false">
      <c r="A880" s="5" t="s">
        <v>678</v>
      </c>
      <c r="B880" s="0" t="s">
        <v>198</v>
      </c>
      <c r="D880" s="20" t="n">
        <f aca="false">1+1*(D879-1)</f>
        <v>1.01906513919839</v>
      </c>
      <c r="J880" s="8" t="s">
        <v>679</v>
      </c>
    </row>
    <row r="881" customFormat="false" ht="17.15" hidden="false" customHeight="false" outlineLevel="0" collapsed="false">
      <c r="A881" s="1" t="s">
        <v>680</v>
      </c>
    </row>
    <row r="882" customFormat="false" ht="17.15" hidden="false" customHeight="false" outlineLevel="0" collapsed="false">
      <c r="A882" s="0" t="s">
        <v>681</v>
      </c>
      <c r="B882" s="0" t="s">
        <v>34</v>
      </c>
      <c r="C882" s="19" t="n">
        <f aca="false">C867*1</f>
        <v>5</v>
      </c>
      <c r="D882" s="19" t="n">
        <f aca="false">D867*$D$879</f>
        <v>5.96639872674023</v>
      </c>
      <c r="E882" s="19" t="n">
        <f aca="false">E867*1</f>
        <v>5.42484277351964</v>
      </c>
      <c r="F882" s="19" t="n">
        <f aca="false">F867*1</f>
        <v>5.59938454589345</v>
      </c>
      <c r="G882" s="19" t="n">
        <f aca="false">G867*1</f>
        <v>5.07862914343112</v>
      </c>
    </row>
    <row r="883" customFormat="false" ht="17.15" hidden="false" customHeight="false" outlineLevel="0" collapsed="false">
      <c r="A883" s="0" t="s">
        <v>682</v>
      </c>
      <c r="B883" s="0" t="s">
        <v>34</v>
      </c>
      <c r="C883" s="19" t="n">
        <f aca="false">C868*1</f>
        <v>5</v>
      </c>
      <c r="D883" s="19" t="n">
        <f aca="false">D868*$D$879</f>
        <v>7.85834557153861</v>
      </c>
      <c r="E883" s="19" t="n">
        <f aca="false">E868*1</f>
        <v>5.46142533008358</v>
      </c>
      <c r="F883" s="19" t="n">
        <f aca="false">F868*1</f>
        <v>4.91291310951257</v>
      </c>
      <c r="G883" s="19" t="n">
        <f aca="false">G868*1</f>
        <v>4.72646096843851</v>
      </c>
    </row>
    <row r="884" customFormat="false" ht="17.15" hidden="false" customHeight="false" outlineLevel="0" collapsed="false">
      <c r="A884" s="5" t="s">
        <v>683</v>
      </c>
      <c r="B884" s="0" t="s">
        <v>34</v>
      </c>
      <c r="C884" s="19" t="n">
        <f aca="false">C869*1</f>
        <v>26.46</v>
      </c>
      <c r="D884" s="19" t="n">
        <f aca="false">D869*$D$879</f>
        <v>29.8196703923002</v>
      </c>
      <c r="E884" s="19" t="n">
        <f aca="false">E869*$D$880</f>
        <v>33.7842796256614</v>
      </c>
      <c r="F884" s="19" t="n">
        <f aca="false">F869*$D$880</f>
        <v>37.7855895680829</v>
      </c>
      <c r="G884" s="19" t="n">
        <f aca="false">G869*$D$880</f>
        <v>40.0082713073819</v>
      </c>
    </row>
    <row r="885" customFormat="false" ht="15" hidden="false" customHeight="false" outlineLevel="0" collapsed="false">
      <c r="A885" s="5" t="s">
        <v>684</v>
      </c>
      <c r="B885" s="0" t="s">
        <v>34</v>
      </c>
      <c r="C885" s="19" t="n">
        <f aca="false">C870*1</f>
        <v>3.93</v>
      </c>
      <c r="D885" s="19" t="n">
        <f aca="false">D870*$D$879</f>
        <v>5.17754108454275</v>
      </c>
      <c r="E885" s="19" t="n">
        <f aca="false">E870*$D$880</f>
        <v>6.19564085985668</v>
      </c>
      <c r="F885" s="19" t="n">
        <f aca="false">F870*$D$880</f>
        <v>6.86999899239327</v>
      </c>
      <c r="G885" s="19" t="n">
        <f aca="false">G870*$D$880</f>
        <v>7.17184249592202</v>
      </c>
    </row>
    <row r="886" customFormat="false" ht="17.15" hidden="false" customHeight="false" outlineLevel="0" collapsed="false">
      <c r="A886" s="5" t="s">
        <v>685</v>
      </c>
      <c r="B886" s="0" t="s">
        <v>34</v>
      </c>
      <c r="C886" s="19" t="n">
        <f aca="false">C871*1</f>
        <v>9.47</v>
      </c>
      <c r="D886" s="19" t="n">
        <f aca="false">D871*$D$879</f>
        <v>9.94006327425498</v>
      </c>
      <c r="E886" s="19" t="n">
        <f aca="false">E871*$D$880</f>
        <v>10.2382651724826</v>
      </c>
      <c r="F886" s="19" t="n">
        <f aca="false">F871*$D$880</f>
        <v>10.5454131276571</v>
      </c>
      <c r="G886" s="19" t="n">
        <f aca="false">G871*$D$880</f>
        <v>10.8617755214868</v>
      </c>
    </row>
    <row r="887" customFormat="false" ht="15" hidden="false" customHeight="false" outlineLevel="0" collapsed="false">
      <c r="A887" s="5" t="s">
        <v>686</v>
      </c>
      <c r="B887" s="0" t="s">
        <v>34</v>
      </c>
      <c r="C887" s="19" t="n">
        <f aca="false">C872*1</f>
        <v>2.48</v>
      </c>
      <c r="D887" s="19" t="n">
        <f aca="false">D872*$D$879</f>
        <v>2.60309999156836</v>
      </c>
      <c r="E887" s="19" t="n">
        <f aca="false">E872*$D$880</f>
        <v>2.68119299131541</v>
      </c>
      <c r="F887" s="19" t="n">
        <f aca="false">F872*$D$880</f>
        <v>2.76162878105487</v>
      </c>
      <c r="G887" s="19" t="n">
        <f aca="false">G872*$D$880</f>
        <v>2.84447764448652</v>
      </c>
    </row>
    <row r="888" customFormat="false" ht="15" hidden="false" customHeight="false" outlineLevel="0" collapsed="false">
      <c r="A888" s="5" t="s">
        <v>687</v>
      </c>
      <c r="B888" s="0" t="s">
        <v>34</v>
      </c>
      <c r="C888" s="19" t="n">
        <f aca="false">C873*1</f>
        <v>2</v>
      </c>
      <c r="D888" s="19" t="n">
        <f aca="false">D873*$D$879</f>
        <v>2.63488095905483</v>
      </c>
      <c r="E888" s="19" t="n">
        <f aca="false">E873*$D$880</f>
        <v>3.15299789305684</v>
      </c>
      <c r="F888" s="19" t="n">
        <f aca="false">F873*$D$880</f>
        <v>3.49618269332991</v>
      </c>
      <c r="G888" s="19" t="n">
        <f aca="false">G873*$D$880</f>
        <v>3.64979261878983</v>
      </c>
    </row>
    <row r="889" customFormat="false" ht="17.15" hidden="false" customHeight="false" outlineLevel="0" collapsed="false">
      <c r="A889" s="0" t="s">
        <v>688</v>
      </c>
      <c r="B889" s="0" t="s">
        <v>34</v>
      </c>
      <c r="C889" s="19" t="n">
        <f aca="false">C882+C883</f>
        <v>10</v>
      </c>
      <c r="D889" s="19" t="n">
        <f aca="false">D882+D883</f>
        <v>13.8247442982788</v>
      </c>
      <c r="E889" s="19" t="n">
        <f aca="false">E882+E883</f>
        <v>10.8862681036032</v>
      </c>
      <c r="F889" s="19" t="n">
        <f aca="false">F882+F883</f>
        <v>10.512297655406</v>
      </c>
      <c r="G889" s="19" t="n">
        <f aca="false">G882+G883</f>
        <v>9.80509011186963</v>
      </c>
    </row>
    <row r="890" customFormat="false" ht="17.15" hidden="false" customHeight="false" outlineLevel="0" collapsed="false">
      <c r="A890" s="5" t="s">
        <v>689</v>
      </c>
      <c r="B890" s="0" t="s">
        <v>34</v>
      </c>
      <c r="C890" s="19" t="n">
        <f aca="false">C889+C884+C885</f>
        <v>40.39</v>
      </c>
      <c r="D890" s="19" t="n">
        <f aca="false">D889+D884+D885</f>
        <v>48.8219557751218</v>
      </c>
      <c r="E890" s="19" t="n">
        <f aca="false">E889+E884+E885</f>
        <v>50.8661885891213</v>
      </c>
      <c r="F890" s="19" t="n">
        <f aca="false">F889+F884+F885</f>
        <v>55.1678862158822</v>
      </c>
      <c r="G890" s="19" t="n">
        <f aca="false">G889+G884+G885</f>
        <v>56.9852039151736</v>
      </c>
      <c r="J890" s="5" t="s">
        <v>690</v>
      </c>
    </row>
    <row r="891" customFormat="false" ht="17.15" hidden="false" customHeight="false" outlineLevel="0" collapsed="false">
      <c r="A891" s="5" t="s">
        <v>541</v>
      </c>
      <c r="B891" s="0" t="s">
        <v>34</v>
      </c>
      <c r="C891" s="19" t="n">
        <f aca="false">C890+C886+C887+C888+seg_adj</f>
        <v>54.365</v>
      </c>
      <c r="D891" s="19" t="n">
        <f aca="false">D890+D886+D887+D888</f>
        <v>64</v>
      </c>
      <c r="E891" s="19" t="n">
        <f aca="false">E890+E886+E887+E888</f>
        <v>66.9386446459761</v>
      </c>
      <c r="F891" s="19" t="n">
        <f aca="false">F890+F886+F887+F888</f>
        <v>71.9711108179241</v>
      </c>
      <c r="G891" s="19" t="n">
        <f aca="false">G890+G886+G887+G888</f>
        <v>74.3412496999367</v>
      </c>
      <c r="J891" s="8" t="s">
        <v>691</v>
      </c>
    </row>
    <row r="892" customFormat="false" ht="17.15" hidden="false" customHeight="false" outlineLevel="0" collapsed="false">
      <c r="A892" s="5" t="s">
        <v>692</v>
      </c>
      <c r="B892" s="0" t="s">
        <v>34</v>
      </c>
      <c r="C892" s="20" t="n">
        <f aca="false">C890+C886+C887+C888-a25_rev</f>
        <v>-0.0249999999999986</v>
      </c>
    </row>
    <row r="893" customFormat="false" ht="17.15" hidden="false" customHeight="false" outlineLevel="0" collapsed="false">
      <c r="A893" s="0" t="s">
        <v>621</v>
      </c>
      <c r="B893" s="0" t="s">
        <v>94</v>
      </c>
      <c r="C893" s="11" t="n">
        <f aca="false">C889/C891</f>
        <v>0.1839418743677</v>
      </c>
      <c r="D893" s="11" t="n">
        <f aca="false">D889/D891</f>
        <v>0.216011629660607</v>
      </c>
      <c r="E893" s="11" t="n">
        <f aca="false">E889/E891</f>
        <v>0.162630542658554</v>
      </c>
      <c r="F893" s="11" t="n">
        <f aca="false">F889/F891</f>
        <v>0.146062740118053</v>
      </c>
      <c r="G893" s="11" t="n">
        <f aca="false">G889/G891</f>
        <v>0.131892995496388</v>
      </c>
    </row>
    <row r="894" customFormat="false" ht="17.15" hidden="false" customHeight="false" outlineLevel="0" collapsed="false">
      <c r="A894" s="5" t="s">
        <v>545</v>
      </c>
      <c r="B894" s="0" t="s">
        <v>34</v>
      </c>
      <c r="C894" s="19" t="n">
        <f aca="false">a25_oi</f>
        <v>6.917</v>
      </c>
      <c r="D894" s="19" t="n">
        <f aca="false">D877</f>
        <v>10.24</v>
      </c>
      <c r="E894" s="19" t="n">
        <f aca="false">$D894+(im+ima_A)*(E891-$D891)</f>
        <v>11.1201861525469</v>
      </c>
      <c r="F894" s="19" t="n">
        <f aca="false">$D894+(im+ima_A)*(F891-$D891)</f>
        <v>12.6275160856761</v>
      </c>
      <c r="G894" s="19" t="n">
        <f aca="false">$D894+(im+ima_A)*(G891-$D891)</f>
        <v>13.3374227518044</v>
      </c>
      <c r="J894" s="8" t="s">
        <v>693</v>
      </c>
    </row>
    <row r="895" customFormat="false" ht="15" hidden="false" customHeight="false" outlineLevel="0" collapsed="false">
      <c r="A895" s="5" t="s">
        <v>694</v>
      </c>
      <c r="B895" s="0" t="s">
        <v>94</v>
      </c>
      <c r="C895" s="11" t="n">
        <f aca="false">C894/C891</f>
        <v>0.127232594500138</v>
      </c>
      <c r="D895" s="11" t="n">
        <f aca="false">D894/D891</f>
        <v>0.16</v>
      </c>
      <c r="E895" s="11" t="n">
        <f aca="false">E894/E891</f>
        <v>0.166125056928762</v>
      </c>
      <c r="F895" s="11" t="n">
        <f aca="false">F894/F891</f>
        <v>0.175452566205651</v>
      </c>
      <c r="G895" s="11" t="n">
        <f aca="false">G894/G891</f>
        <v>0.179408105266432</v>
      </c>
    </row>
    <row r="896" customFormat="false" ht="15" hidden="false" customHeight="false" outlineLevel="0" collapsed="false">
      <c r="A896" s="5" t="s">
        <v>548</v>
      </c>
      <c r="B896" s="0" t="s">
        <v>34</v>
      </c>
      <c r="C896" s="19" t="n">
        <f aca="false">a25_ni</f>
        <v>4.593</v>
      </c>
      <c r="D896" s="19" t="n">
        <f aca="false">D878</f>
        <v>7</v>
      </c>
      <c r="E896" s="19" t="n">
        <f aca="false">E894*nioi</f>
        <v>7.60168975271764</v>
      </c>
      <c r="F896" s="19" t="n">
        <f aca="false">F894*nioi</f>
        <v>8.63209107419265</v>
      </c>
      <c r="G896" s="19" t="n">
        <f aca="false">G894*nioi</f>
        <v>9.11737883424128</v>
      </c>
    </row>
    <row r="897" customFormat="false" ht="15" hidden="false" customHeight="false" outlineLevel="0" collapsed="false">
      <c r="A897" s="0" t="s">
        <v>622</v>
      </c>
      <c r="B897" s="0" t="s">
        <v>52</v>
      </c>
      <c r="C897" s="22" t="n">
        <f aca="false">a25_eps</f>
        <v>61.22</v>
      </c>
      <c r="D897" s="22" t="n">
        <f aca="false">D896*1000/shares</f>
        <v>93.2961492201002</v>
      </c>
      <c r="E897" s="22" t="n">
        <f aca="false">E896*1000/shares</f>
        <v>101.315483070636</v>
      </c>
      <c r="F897" s="22" t="n">
        <f aca="false">F896*1000/shares</f>
        <v>115.048693848482</v>
      </c>
      <c r="G897" s="22" t="n">
        <f aca="false">G896*1000/shares</f>
        <v>121.516619459365</v>
      </c>
    </row>
    <row r="898" customFormat="false" ht="17.15" hidden="false" customHeight="false" outlineLevel="0" collapsed="false">
      <c r="A898" s="5" t="s">
        <v>695</v>
      </c>
      <c r="B898" s="0" t="s">
        <v>34</v>
      </c>
      <c r="C898" s="20" t="n">
        <f aca="false">ABS(C891-a25_rev)+ABS(C894-a25_oi)+ABS(D891-D876)</f>
        <v>0</v>
      </c>
    </row>
    <row r="910" customFormat="false" ht="17.15" hidden="false" customHeight="false" outlineLevel="0" collapsed="false">
      <c r="A910" s="3" t="s">
        <v>1030</v>
      </c>
    </row>
    <row r="911" customFormat="false" ht="17.15" hidden="false" customHeight="false" outlineLevel="0" collapsed="false">
      <c r="A911" s="6" t="s">
        <v>23</v>
      </c>
      <c r="B911" s="6" t="s">
        <v>24</v>
      </c>
      <c r="C911" s="15" t="s">
        <v>628</v>
      </c>
      <c r="D911" s="15" t="s">
        <v>629</v>
      </c>
      <c r="E911" s="15" t="s">
        <v>630</v>
      </c>
      <c r="F911" s="15" t="s">
        <v>631</v>
      </c>
      <c r="G911" s="15" t="s">
        <v>632</v>
      </c>
      <c r="H911" s="15" t="s">
        <v>633</v>
      </c>
      <c r="I911" s="15" t="s">
        <v>634</v>
      </c>
      <c r="J911" s="6" t="s">
        <v>468</v>
      </c>
    </row>
    <row r="912" customFormat="false" ht="17.15" hidden="false" customHeight="false" outlineLevel="0" collapsed="false">
      <c r="A912" s="1" t="s">
        <v>635</v>
      </c>
    </row>
    <row r="913" customFormat="false" ht="17.15" hidden="false" customHeight="false" outlineLevel="0" collapsed="false">
      <c r="A913" s="0" t="s">
        <v>636</v>
      </c>
      <c r="B913" s="0" t="s">
        <v>111</v>
      </c>
      <c r="C913" s="21" t="n">
        <f aca="false">hsA_25</f>
        <v>2.22511470588235</v>
      </c>
      <c r="D913" s="21" t="n">
        <f aca="false">hsA_26</f>
        <v>3.782695</v>
      </c>
      <c r="E913" s="21" t="n">
        <f aca="false">hsA_27</f>
        <v>5.86317725</v>
      </c>
      <c r="F913" s="21" t="n">
        <f aca="false">hsA_28</f>
        <v>8.5016070125</v>
      </c>
      <c r="G913" s="21" t="n">
        <f aca="false">hsA_29</f>
        <v>11.477169466875</v>
      </c>
      <c r="J913" s="8" t="s">
        <v>637</v>
      </c>
    </row>
    <row r="914" customFormat="false" ht="17.15" hidden="false" customHeight="false" outlineLevel="0" collapsed="false">
      <c r="A914" s="0" t="s">
        <v>638</v>
      </c>
      <c r="B914" s="0" t="s">
        <v>639</v>
      </c>
      <c r="C914" s="21" t="n">
        <f aca="false">den_25</f>
        <v>24</v>
      </c>
      <c r="D914" s="21" t="n">
        <f aca="false">den_26</f>
        <v>24</v>
      </c>
      <c r="E914" s="21" t="n">
        <f aca="false">den_27</f>
        <v>26</v>
      </c>
      <c r="F914" s="21" t="n">
        <f aca="false">den_28</f>
        <v>28</v>
      </c>
      <c r="G914" s="21" t="n">
        <f aca="false">den_29</f>
        <v>30</v>
      </c>
    </row>
    <row r="915" customFormat="false" ht="15" hidden="false" customHeight="false" outlineLevel="0" collapsed="false">
      <c r="A915" s="5" t="s">
        <v>640</v>
      </c>
      <c r="B915" s="5" t="s">
        <v>160</v>
      </c>
      <c r="C915" s="21" t="n">
        <f aca="false">stk_25</f>
        <v>10</v>
      </c>
      <c r="D915" s="21" t="n">
        <f aca="false">stk_26</f>
        <v>12</v>
      </c>
      <c r="E915" s="21" t="n">
        <f aca="false">stk_27</f>
        <v>12.5</v>
      </c>
      <c r="F915" s="21" t="n">
        <f aca="false">stk_28</f>
        <v>14</v>
      </c>
      <c r="G915" s="21" t="n">
        <f aca="false">stk_29</f>
        <v>15</v>
      </c>
    </row>
    <row r="916" customFormat="false" ht="17.15" hidden="false" customHeight="false" outlineLevel="0" collapsed="false">
      <c r="A916" s="0" t="s">
        <v>641</v>
      </c>
      <c r="B916" s="5" t="s">
        <v>642</v>
      </c>
      <c r="C916" s="23" t="n">
        <f aca="false">C913*8/(C914*C915)</f>
        <v>0.0741704901960783</v>
      </c>
      <c r="D916" s="23" t="n">
        <f aca="false">D913*8/(D914*D915)</f>
        <v>0.105074861111111</v>
      </c>
      <c r="E916" s="23" t="n">
        <f aca="false">E913*8/(E914*E915)</f>
        <v>0.144324363076923</v>
      </c>
      <c r="F916" s="23" t="n">
        <f aca="false">F913*8/(F914*F915)</f>
        <v>0.173502183928571</v>
      </c>
      <c r="G916" s="23" t="n">
        <f aca="false">G913*8/(G914*G915)</f>
        <v>0.2040385683</v>
      </c>
      <c r="H916" s="23" t="n">
        <f aca="false">G916*(1+g_tail)</f>
        <v>0.22444242513</v>
      </c>
      <c r="I916" s="23" t="n">
        <f aca="false">H916*(1+g_tail)</f>
        <v>0.246886667643</v>
      </c>
      <c r="J916" s="8" t="s">
        <v>643</v>
      </c>
    </row>
    <row r="917" customFormat="false" ht="17.15" hidden="false" customHeight="false" outlineLevel="0" collapsed="false">
      <c r="A917" s="0" t="s">
        <v>644</v>
      </c>
      <c r="B917" s="5" t="s">
        <v>642</v>
      </c>
      <c r="C917" s="23" t="n">
        <f aca="false">MAX(0,D916-C916)+dlt*C916</f>
        <v>0.0383214199346406</v>
      </c>
      <c r="D917" s="23" t="n">
        <f aca="false">MAX(0,E916-D916)+dlt*D916</f>
        <v>0.0497569880769231</v>
      </c>
      <c r="E917" s="23" t="n">
        <f aca="false">MAX(0,F916-E916)+dlt*E916</f>
        <v>0.0436102571593407</v>
      </c>
      <c r="F917" s="23" t="n">
        <f aca="false">MAX(0,G916-F916)+dlt*F916</f>
        <v>0.0478866027642858</v>
      </c>
      <c r="G917" s="23" t="n">
        <f aca="false">MAX(0,H916-G916)+dlt*G916</f>
        <v>0.04080771366</v>
      </c>
      <c r="H917" s="23" t="n">
        <f aca="false">MAX(0,I916-H916)+dlt*H916</f>
        <v>0.044888485026</v>
      </c>
      <c r="J917" s="5" t="s">
        <v>645</v>
      </c>
    </row>
    <row r="918" customFormat="false" ht="17.15" hidden="false" customHeight="false" outlineLevel="0" collapsed="false">
      <c r="A918" s="0" t="s">
        <v>646</v>
      </c>
      <c r="B918" s="5" t="s">
        <v>183</v>
      </c>
      <c r="C918" s="14" t="n">
        <f aca="false">cw_25</f>
        <v>670</v>
      </c>
      <c r="D918" s="14" t="n">
        <f aca="false">cw_26</f>
        <v>1107.85762580894</v>
      </c>
      <c r="E918" s="14" t="n">
        <f aca="false">cw_27</f>
        <v>2096.42857142857</v>
      </c>
      <c r="F918" s="14" t="n">
        <f aca="false">cw_28*um28_A</f>
        <v>2620.08928571429</v>
      </c>
      <c r="G918" s="14" t="n">
        <f aca="false">cw_29*um29_A</f>
        <v>3013.32589285714</v>
      </c>
      <c r="H918" s="14" t="n">
        <f aca="false">G918*(1+g_tail)</f>
        <v>3314.65848214285</v>
      </c>
      <c r="I918" s="14" t="n">
        <f aca="false">H918*(1+g_tail)</f>
        <v>3646.12433035714</v>
      </c>
      <c r="J918" s="5" t="s">
        <v>647</v>
      </c>
    </row>
    <row r="919" customFormat="false" ht="17.15" hidden="false" customHeight="false" outlineLevel="0" collapsed="false">
      <c r="A919" s="0" t="s">
        <v>648</v>
      </c>
      <c r="B919" s="5" t="s">
        <v>183</v>
      </c>
      <c r="C919" s="14" t="n">
        <f aca="false">MAX(0,D918-C918)+dlt*C918</f>
        <v>504.85762580894</v>
      </c>
      <c r="D919" s="14" t="n">
        <f aca="false">MAX(0,E918-D918)+dlt*D918</f>
        <v>1099.35670820052</v>
      </c>
      <c r="E919" s="14" t="n">
        <f aca="false">MAX(0,F918-E918)+dlt*E918</f>
        <v>733.303571428577</v>
      </c>
      <c r="F919" s="14" t="n">
        <f aca="false">MAX(0,G918-F918)+dlt*F918</f>
        <v>655.245535714279</v>
      </c>
      <c r="G919" s="14" t="n">
        <f aca="false">MAX(0,H918-G918)+dlt*G918</f>
        <v>602.665178571428</v>
      </c>
      <c r="H919" s="14" t="n">
        <f aca="false">MAX(0,I918-H918)+dlt*H918</f>
        <v>662.931696428571</v>
      </c>
    </row>
    <row r="920" customFormat="false" ht="17.15" hidden="false" customHeight="false" outlineLevel="0" collapsed="false">
      <c r="A920" s="5" t="s">
        <v>649</v>
      </c>
      <c r="B920" s="0" t="s">
        <v>219</v>
      </c>
      <c r="C920" s="21" t="n">
        <f aca="false">pk_25*(eqtA_25-eqaA_25)/(eqtA_25-eqaA_25)</f>
        <v>6.11313868613139</v>
      </c>
      <c r="D920" s="21" t="n">
        <f aca="false">pk_26*(eqtA_26-eqaA_26)/(eqtA_26-eqaA_26)</f>
        <v>6.7</v>
      </c>
      <c r="E920" s="21" t="n">
        <f aca="false">pk_27*(eqtA_27-eqaA_27)/(eqtA_27-eqaA_27)</f>
        <v>7.59078388573934</v>
      </c>
      <c r="F920" s="21" t="n">
        <f aca="false">pk_28*(eqtA_28-eqaA_28)/(eqtA_28-eqaA_28)</f>
        <v>8.6</v>
      </c>
      <c r="G920" s="21" t="n">
        <f aca="false">pk_29*(eqtA_29-eqaA_29)/(eqtA_29-eqaA_29)</f>
        <v>9.288</v>
      </c>
      <c r="H920" s="21" t="n">
        <f aca="false">G920*(1+g_pk_tail_hi)</f>
        <v>10.2168</v>
      </c>
      <c r="J920" s="8" t="s">
        <v>650</v>
      </c>
    </row>
    <row r="921" customFormat="false" ht="15" hidden="false" customHeight="false" outlineLevel="0" collapsed="false">
      <c r="A921" s="5" t="s">
        <v>651</v>
      </c>
      <c r="B921" s="0" t="s">
        <v>219</v>
      </c>
      <c r="C921" s="24" t="n">
        <f aca="false">eqtA_25</f>
        <v>134.689359843138</v>
      </c>
      <c r="D921" s="24" t="n">
        <f aca="false">eqtA_26</f>
        <v>178.157050570127</v>
      </c>
      <c r="E921" s="24" t="n">
        <f aca="false">eqtA_27</f>
        <v>218.225535760082</v>
      </c>
      <c r="F921" s="24" t="n">
        <f aca="false">eqtA_28</f>
        <v>246.028626308958</v>
      </c>
      <c r="G921" s="24" t="n">
        <f aca="false">eqtA_29</f>
        <v>260.655685855226</v>
      </c>
      <c r="H921" s="24" t="n">
        <f aca="false">G921*(1+g_pk_tail_hi)</f>
        <v>286.721254440749</v>
      </c>
      <c r="J921" s="5" t="s">
        <v>652</v>
      </c>
    </row>
    <row r="922" customFormat="false" ht="17.15" hidden="false" customHeight="false" outlineLevel="0" collapsed="false">
      <c r="A922" s="1" t="s">
        <v>653</v>
      </c>
    </row>
    <row r="923" customFormat="false" ht="17.15" hidden="false" customHeight="false" outlineLevel="0" collapsed="false">
      <c r="A923" s="0" t="s">
        <v>654</v>
      </c>
      <c r="B923" s="0" t="s">
        <v>655</v>
      </c>
      <c r="C923" s="24" t="n">
        <f aca="false">ai_25*w_hbm/(0.75*C917+0.25*D917)</f>
        <v>121.417244328233</v>
      </c>
      <c r="J923" s="5" t="s">
        <v>656</v>
      </c>
    </row>
    <row r="924" customFormat="false" ht="17.15" hidden="false" customHeight="false" outlineLevel="0" collapsed="false">
      <c r="A924" s="0" t="s">
        <v>657</v>
      </c>
      <c r="B924" s="0" t="s">
        <v>658</v>
      </c>
      <c r="C924" s="25" t="n">
        <f aca="false">ai_25*(1-w_hbm)/(0.75*C919+0.25*D919)</f>
        <v>0.0076513155174377</v>
      </c>
    </row>
    <row r="925" customFormat="false" ht="17.15" hidden="false" customHeight="false" outlineLevel="0" collapsed="false">
      <c r="A925" s="1" t="s">
        <v>659</v>
      </c>
    </row>
    <row r="926" customFormat="false" ht="17.15" hidden="false" customHeight="false" outlineLevel="0" collapsed="false">
      <c r="A926" s="0" t="s">
        <v>660</v>
      </c>
      <c r="B926" s="0" t="s">
        <v>198</v>
      </c>
      <c r="C926" s="20" t="n">
        <f aca="false">1-shl_A/sh*0</f>
        <v>1</v>
      </c>
      <c r="D926" s="20" t="n">
        <f aca="false">1-shl_A/sh*0.25</f>
        <v>1</v>
      </c>
      <c r="E926" s="20" t="n">
        <f aca="false">1-shl_A/sh*0.5</f>
        <v>1</v>
      </c>
      <c r="F926" s="20" t="n">
        <f aca="false">1-shl_A/sh*0.75</f>
        <v>1</v>
      </c>
      <c r="G926" s="20" t="n">
        <f aca="false">1-shl_A/sh*1</f>
        <v>1</v>
      </c>
      <c r="J926" s="5" t="s">
        <v>661</v>
      </c>
    </row>
    <row r="927" customFormat="false" ht="17.15" hidden="false" customHeight="false" outlineLevel="0" collapsed="false">
      <c r="A927" s="0" t="s">
        <v>662</v>
      </c>
      <c r="B927" s="0" t="s">
        <v>34</v>
      </c>
      <c r="C927" s="19" t="n">
        <f aca="false">$C$923*(0.75*C917+0.25*D917)*C926</f>
        <v>5</v>
      </c>
      <c r="D927" s="19" t="n">
        <f aca="false">$C$923*(0.75*D917+0.25*E917)*D926</f>
        <v>5.85477659596275</v>
      </c>
      <c r="E927" s="19" t="n">
        <f aca="false">$C$923*(0.75*E917+0.25*F917)*E926</f>
        <v>5.42484277351964</v>
      </c>
      <c r="F927" s="19" t="n">
        <f aca="false">$C$923*(0.75*F917+0.25*G917)*F926</f>
        <v>5.59938454589345</v>
      </c>
      <c r="G927" s="19" t="n">
        <f aca="false">$C$923*(0.75*G917+0.25*H917)*G926</f>
        <v>5.07862914343112</v>
      </c>
    </row>
    <row r="928" customFormat="false" ht="17.15" hidden="false" customHeight="false" outlineLevel="0" collapsed="false">
      <c r="A928" s="0" t="s">
        <v>663</v>
      </c>
      <c r="B928" s="0" t="s">
        <v>34</v>
      </c>
      <c r="C928" s="19" t="n">
        <f aca="false">$C$924*(0.75*C919+0.25*D919)*C926</f>
        <v>5</v>
      </c>
      <c r="D928" s="19" t="n">
        <f aca="false">$C$924*(0.75*D919+0.25*E919)*D926</f>
        <v>7.71132802925642</v>
      </c>
      <c r="E928" s="19" t="n">
        <f aca="false">$C$924*(0.75*E919+0.25*F919)*E926</f>
        <v>5.46142533008358</v>
      </c>
      <c r="F928" s="19" t="n">
        <f aca="false">$C$924*(0.75*F919+0.25*G919)*F926</f>
        <v>4.91291310951257</v>
      </c>
      <c r="G928" s="19" t="n">
        <f aca="false">$C$924*(0.75*G919+0.25*H919)*G926</f>
        <v>4.72646096843851</v>
      </c>
    </row>
    <row r="929" customFormat="false" ht="17.15" hidden="false" customHeight="false" outlineLevel="0" collapsed="false">
      <c r="A929" s="5" t="s">
        <v>664</v>
      </c>
      <c r="B929" s="0" t="s">
        <v>34</v>
      </c>
      <c r="C929" s="19" t="n">
        <f aca="false">(seg_mold-ai_25)*(0.75*C920+0.25*D920)/(0.75*C920+0.25*D920)</f>
        <v>26.46</v>
      </c>
      <c r="D929" s="19" t="n">
        <f aca="false">(seg_mold-ai_25)*(0.75*D920+0.25*E920)/(0.75*C920+0.25*D920)</f>
        <v>29.2617902872793</v>
      </c>
      <c r="E929" s="19" t="n">
        <f aca="false">(seg_mold-ai_25)*(0.75*E920+0.25*F920)/(0.75*C920+0.25*D920)</f>
        <v>33.1522277881438</v>
      </c>
      <c r="F929" s="19" t="n">
        <f aca="false">(seg_mold-ai_25)*(0.75*F920+0.25*G920)/(0.75*C920+0.25*D920)</f>
        <v>37.0786793843283</v>
      </c>
      <c r="G929" s="19" t="n">
        <f aca="false">(seg_mold-ai_25)*(0.75*G920+0.25*H920)/(0.75*C920+0.25*D920)</f>
        <v>40.2412726259328</v>
      </c>
      <c r="J929" s="8" t="s">
        <v>665</v>
      </c>
    </row>
    <row r="930" customFormat="false" ht="15" hidden="false" customHeight="false" outlineLevel="0" collapsed="false">
      <c r="A930" s="5" t="s">
        <v>666</v>
      </c>
      <c r="B930" s="0" t="s">
        <v>34</v>
      </c>
      <c r="C930" s="19" t="n">
        <f aca="false">seg_osemi*(0.75*C921+0.25*D921)/(0.75*C921+0.25*D921)</f>
        <v>3.93</v>
      </c>
      <c r="D930" s="19" t="n">
        <f aca="false">seg_osemi*(0.75*D921+0.25*E921)/(0.75*C921+0.25*D921)</f>
        <v>5.08067726525852</v>
      </c>
      <c r="E930" s="19" t="n">
        <f aca="false">seg_osemi*(0.75*E921+0.25*F921)/(0.75*C921+0.25*D921)</f>
        <v>6.0797299618455</v>
      </c>
      <c r="F930" s="19" t="n">
        <f aca="false">seg_osemi*(0.75*F921+0.25*G921)/(0.75*C921+0.25*D921)</f>
        <v>6.74147189236335</v>
      </c>
      <c r="G930" s="19" t="n">
        <f aca="false">seg_osemi*(0.75*G921+0.25*H921)/(0.75*C921+0.25*D921)</f>
        <v>7.21361007805899</v>
      </c>
      <c r="J930" s="5" t="s">
        <v>667</v>
      </c>
    </row>
    <row r="931" customFormat="false" ht="17.15" hidden="false" customHeight="false" outlineLevel="0" collapsed="false">
      <c r="A931" s="5" t="s">
        <v>668</v>
      </c>
      <c r="B931" s="0" t="s">
        <v>34</v>
      </c>
      <c r="C931" s="19" t="n">
        <f aca="false">seg_new</f>
        <v>9.47</v>
      </c>
      <c r="D931" s="19" t="n">
        <f aca="false">C931*(1+g_tss)</f>
        <v>9.7541</v>
      </c>
      <c r="E931" s="19" t="n">
        <f aca="false">D931*(1+g_tss)</f>
        <v>10.046723</v>
      </c>
      <c r="F931" s="19" t="n">
        <f aca="false">E931*(1+g_tss)</f>
        <v>10.34812469</v>
      </c>
      <c r="G931" s="19" t="n">
        <f aca="false">F931*(1+g_tss)</f>
        <v>10.6585684307</v>
      </c>
    </row>
    <row r="932" customFormat="false" ht="15" hidden="false" customHeight="false" outlineLevel="0" collapsed="false">
      <c r="A932" s="5" t="s">
        <v>669</v>
      </c>
      <c r="B932" s="0" t="s">
        <v>34</v>
      </c>
      <c r="C932" s="19" t="n">
        <f aca="false">seg_med</f>
        <v>2.48</v>
      </c>
      <c r="D932" s="19" t="n">
        <f aca="false">C932*(1+g_med)</f>
        <v>2.5544</v>
      </c>
      <c r="E932" s="19" t="n">
        <f aca="false">D932*(1+g_med)</f>
        <v>2.631032</v>
      </c>
      <c r="F932" s="19" t="n">
        <f aca="false">E932*(1+g_med)</f>
        <v>2.70996296</v>
      </c>
      <c r="G932" s="19" t="n">
        <f aca="false">F932*(1+g_med)</f>
        <v>2.7912618488</v>
      </c>
    </row>
    <row r="933" customFormat="false" ht="15" hidden="false" customHeight="false" outlineLevel="0" collapsed="false">
      <c r="A933" s="5" t="s">
        <v>670</v>
      </c>
      <c r="B933" s="0" t="s">
        <v>34</v>
      </c>
      <c r="C933" s="19" t="n">
        <f aca="false">seg_las*(0.75*C921+0.25*D921)/(0.75*C921+0.25*D921)</f>
        <v>2</v>
      </c>
      <c r="D933" s="19" t="n">
        <f aca="false">seg_las*(0.75*D921+0.25*E921)/(0.75*C921+0.25*D921)</f>
        <v>2.5855863945336</v>
      </c>
      <c r="E933" s="19" t="n">
        <f aca="false">seg_las*(0.75*E921+0.25*F921)/(0.75*C921+0.25*D921)</f>
        <v>3.0940101587</v>
      </c>
      <c r="F933" s="19" t="n">
        <f aca="false">seg_las*(0.75*F921+0.25*G921)/(0.75*C921+0.25*D921)</f>
        <v>3.43077449993046</v>
      </c>
      <c r="G933" s="19" t="n">
        <f aca="false">seg_las*(0.75*G921+0.25*H921)/(0.75*C921+0.25*D921)</f>
        <v>3.67104838578066</v>
      </c>
      <c r="J933" s="5" t="s">
        <v>667</v>
      </c>
    </row>
    <row r="934" customFormat="false" ht="15" hidden="false" customHeight="false" outlineLevel="0" collapsed="false">
      <c r="A934" s="5" t="s">
        <v>671</v>
      </c>
      <c r="B934" s="0" t="s">
        <v>34</v>
      </c>
      <c r="C934" s="19" t="n">
        <f aca="false">C927+C928+C929+C930+C931+C932+C933+seg_adj</f>
        <v>54.365</v>
      </c>
      <c r="D934" s="19" t="n">
        <f aca="false">D927+D928+D929+D930+D931+D932+D933</f>
        <v>62.8026585722905</v>
      </c>
      <c r="E934" s="19" t="n">
        <f aca="false">E927+E928+E929+E930+E931+E932+E933</f>
        <v>65.8899910122925</v>
      </c>
      <c r="F934" s="19" t="n">
        <f aca="false">F927+F928+F929+F930+F931+F932+F933</f>
        <v>70.8213110820282</v>
      </c>
      <c r="G934" s="19" t="n">
        <f aca="false">G927+G928+G929+G930+G931+G932+G933</f>
        <v>74.3808514811421</v>
      </c>
    </row>
    <row r="935" customFormat="false" ht="17.15" hidden="false" customHeight="false" outlineLevel="0" collapsed="false">
      <c r="A935" s="1" t="s">
        <v>672</v>
      </c>
    </row>
    <row r="936" customFormat="false" ht="17.15" hidden="false" customHeight="false" outlineLevel="0" collapsed="false">
      <c r="A936" s="0" t="s">
        <v>673</v>
      </c>
      <c r="B936" s="0" t="s">
        <v>34</v>
      </c>
      <c r="D936" s="19" t="n">
        <f aca="false">g26_rev*(1+g_anc)</f>
        <v>64</v>
      </c>
    </row>
    <row r="937" customFormat="false" ht="17.15" hidden="false" customHeight="false" outlineLevel="0" collapsed="false">
      <c r="A937" s="0" t="s">
        <v>674</v>
      </c>
      <c r="B937" s="0" t="s">
        <v>34</v>
      </c>
      <c r="D937" s="19" t="n">
        <f aca="false">D936*g26_oi/g26_rev</f>
        <v>10.24</v>
      </c>
    </row>
    <row r="938" customFormat="false" ht="17.15" hidden="false" customHeight="false" outlineLevel="0" collapsed="false">
      <c r="A938" s="0" t="s">
        <v>675</v>
      </c>
      <c r="B938" s="0" t="s">
        <v>34</v>
      </c>
      <c r="D938" s="19" t="n">
        <f aca="false">D937*g26_ni/g26_oi</f>
        <v>7</v>
      </c>
    </row>
    <row r="939" customFormat="false" ht="17.15" hidden="false" customHeight="false" outlineLevel="0" collapsed="false">
      <c r="A939" s="5" t="s">
        <v>676</v>
      </c>
      <c r="B939" s="0" t="s">
        <v>198</v>
      </c>
      <c r="D939" s="20" t="n">
        <f aca="false">D936/D934</f>
        <v>1.01906513919839</v>
      </c>
      <c r="J939" s="8" t="s">
        <v>677</v>
      </c>
    </row>
    <row r="940" customFormat="false" ht="17.15" hidden="false" customHeight="false" outlineLevel="0" collapsed="false">
      <c r="A940" s="5" t="s">
        <v>678</v>
      </c>
      <c r="B940" s="0" t="s">
        <v>198</v>
      </c>
      <c r="D940" s="20" t="n">
        <f aca="false">1+1*(D939-1)</f>
        <v>1.01906513919839</v>
      </c>
      <c r="J940" s="8" t="s">
        <v>679</v>
      </c>
    </row>
    <row r="941" customFormat="false" ht="17.15" hidden="false" customHeight="false" outlineLevel="0" collapsed="false">
      <c r="A941" s="1" t="s">
        <v>680</v>
      </c>
    </row>
    <row r="942" customFormat="false" ht="17.15" hidden="false" customHeight="false" outlineLevel="0" collapsed="false">
      <c r="A942" s="0" t="s">
        <v>681</v>
      </c>
      <c r="B942" s="0" t="s">
        <v>34</v>
      </c>
      <c r="C942" s="19" t="n">
        <f aca="false">C927*1</f>
        <v>5</v>
      </c>
      <c r="D942" s="19" t="n">
        <f aca="false">D927*$D$939</f>
        <v>5.96639872674023</v>
      </c>
      <c r="E942" s="19" t="n">
        <f aca="false">E927*1</f>
        <v>5.42484277351964</v>
      </c>
      <c r="F942" s="19" t="n">
        <f aca="false">F927*1</f>
        <v>5.59938454589345</v>
      </c>
      <c r="G942" s="19" t="n">
        <f aca="false">G927*1</f>
        <v>5.07862914343112</v>
      </c>
    </row>
    <row r="943" customFormat="false" ht="17.15" hidden="false" customHeight="false" outlineLevel="0" collapsed="false">
      <c r="A943" s="0" t="s">
        <v>682</v>
      </c>
      <c r="B943" s="0" t="s">
        <v>34</v>
      </c>
      <c r="C943" s="19" t="n">
        <f aca="false">C928*1</f>
        <v>5</v>
      </c>
      <c r="D943" s="19" t="n">
        <f aca="false">D928*$D$939</f>
        <v>7.85834557153861</v>
      </c>
      <c r="E943" s="19" t="n">
        <f aca="false">E928*1</f>
        <v>5.46142533008358</v>
      </c>
      <c r="F943" s="19" t="n">
        <f aca="false">F928*1</f>
        <v>4.91291310951257</v>
      </c>
      <c r="G943" s="19" t="n">
        <f aca="false">G928*1</f>
        <v>4.72646096843851</v>
      </c>
    </row>
    <row r="944" customFormat="false" ht="17.15" hidden="false" customHeight="false" outlineLevel="0" collapsed="false">
      <c r="A944" s="5" t="s">
        <v>683</v>
      </c>
      <c r="B944" s="0" t="s">
        <v>34</v>
      </c>
      <c r="C944" s="19" t="n">
        <f aca="false">C929*1</f>
        <v>26.46</v>
      </c>
      <c r="D944" s="19" t="n">
        <f aca="false">D929*$D$939</f>
        <v>29.8196703923002</v>
      </c>
      <c r="E944" s="19" t="n">
        <f aca="false">E929*$D$940</f>
        <v>33.7842796256614</v>
      </c>
      <c r="F944" s="19" t="n">
        <f aca="false">F929*$D$940</f>
        <v>37.7855895680829</v>
      </c>
      <c r="G944" s="19" t="n">
        <f aca="false">G929*$D$940</f>
        <v>41.0084780900665</v>
      </c>
    </row>
    <row r="945" customFormat="false" ht="15" hidden="false" customHeight="false" outlineLevel="0" collapsed="false">
      <c r="A945" s="5" t="s">
        <v>684</v>
      </c>
      <c r="B945" s="0" t="s">
        <v>34</v>
      </c>
      <c r="C945" s="19" t="n">
        <f aca="false">C930*1</f>
        <v>3.93</v>
      </c>
      <c r="D945" s="19" t="n">
        <f aca="false">D930*$D$939</f>
        <v>5.17754108454275</v>
      </c>
      <c r="E945" s="19" t="n">
        <f aca="false">E930*$D$940</f>
        <v>6.19564085985668</v>
      </c>
      <c r="F945" s="19" t="n">
        <f aca="false">F930*$D$940</f>
        <v>6.86999899239327</v>
      </c>
      <c r="G945" s="19" t="n">
        <f aca="false">G930*$D$940</f>
        <v>7.35113855832007</v>
      </c>
    </row>
    <row r="946" customFormat="false" ht="17.15" hidden="false" customHeight="false" outlineLevel="0" collapsed="false">
      <c r="A946" s="5" t="s">
        <v>685</v>
      </c>
      <c r="B946" s="0" t="s">
        <v>34</v>
      </c>
      <c r="C946" s="19" t="n">
        <f aca="false">C931*1</f>
        <v>9.47</v>
      </c>
      <c r="D946" s="19" t="n">
        <f aca="false">D931*$D$939</f>
        <v>9.94006327425498</v>
      </c>
      <c r="E946" s="19" t="n">
        <f aca="false">E931*$D$940</f>
        <v>10.2382651724826</v>
      </c>
      <c r="F946" s="19" t="n">
        <f aca="false">F931*$D$940</f>
        <v>10.5454131276571</v>
      </c>
      <c r="G946" s="19" t="n">
        <f aca="false">G931*$D$940</f>
        <v>10.8617755214868</v>
      </c>
    </row>
    <row r="947" customFormat="false" ht="15" hidden="false" customHeight="false" outlineLevel="0" collapsed="false">
      <c r="A947" s="5" t="s">
        <v>686</v>
      </c>
      <c r="B947" s="0" t="s">
        <v>34</v>
      </c>
      <c r="C947" s="19" t="n">
        <f aca="false">C932*1</f>
        <v>2.48</v>
      </c>
      <c r="D947" s="19" t="n">
        <f aca="false">D932*$D$939</f>
        <v>2.60309999156836</v>
      </c>
      <c r="E947" s="19" t="n">
        <f aca="false">E932*$D$940</f>
        <v>2.68119299131541</v>
      </c>
      <c r="F947" s="19" t="n">
        <f aca="false">F932*$D$940</f>
        <v>2.76162878105487</v>
      </c>
      <c r="G947" s="19" t="n">
        <f aca="false">G932*$D$940</f>
        <v>2.84447764448652</v>
      </c>
    </row>
    <row r="948" customFormat="false" ht="15" hidden="false" customHeight="false" outlineLevel="0" collapsed="false">
      <c r="A948" s="5" t="s">
        <v>687</v>
      </c>
      <c r="B948" s="0" t="s">
        <v>34</v>
      </c>
      <c r="C948" s="19" t="n">
        <f aca="false">C933*1</f>
        <v>2</v>
      </c>
      <c r="D948" s="19" t="n">
        <f aca="false">D933*$D$939</f>
        <v>2.63488095905483</v>
      </c>
      <c r="E948" s="19" t="n">
        <f aca="false">E933*$D$940</f>
        <v>3.15299789305684</v>
      </c>
      <c r="F948" s="19" t="n">
        <f aca="false">F933*$D$940</f>
        <v>3.49618269332991</v>
      </c>
      <c r="G948" s="19" t="n">
        <f aca="false">G933*$D$940</f>
        <v>3.74103743425958</v>
      </c>
    </row>
    <row r="949" customFormat="false" ht="17.15" hidden="false" customHeight="false" outlineLevel="0" collapsed="false">
      <c r="A949" s="0" t="s">
        <v>688</v>
      </c>
      <c r="B949" s="0" t="s">
        <v>34</v>
      </c>
      <c r="C949" s="19" t="n">
        <f aca="false">C942+C943</f>
        <v>10</v>
      </c>
      <c r="D949" s="19" t="n">
        <f aca="false">D942+D943</f>
        <v>13.8247442982788</v>
      </c>
      <c r="E949" s="19" t="n">
        <f aca="false">E942+E943</f>
        <v>10.8862681036032</v>
      </c>
      <c r="F949" s="19" t="n">
        <f aca="false">F942+F943</f>
        <v>10.512297655406</v>
      </c>
      <c r="G949" s="19" t="n">
        <f aca="false">G942+G943</f>
        <v>9.80509011186963</v>
      </c>
    </row>
    <row r="950" customFormat="false" ht="17.15" hidden="false" customHeight="false" outlineLevel="0" collapsed="false">
      <c r="A950" s="5" t="s">
        <v>689</v>
      </c>
      <c r="B950" s="0" t="s">
        <v>34</v>
      </c>
      <c r="C950" s="19" t="n">
        <f aca="false">C949+C944+C945</f>
        <v>40.39</v>
      </c>
      <c r="D950" s="19" t="n">
        <f aca="false">D949+D944+D945</f>
        <v>48.8219557751218</v>
      </c>
      <c r="E950" s="19" t="n">
        <f aca="false">E949+E944+E945</f>
        <v>50.8661885891213</v>
      </c>
      <c r="F950" s="19" t="n">
        <f aca="false">F949+F944+F945</f>
        <v>55.1678862158822</v>
      </c>
      <c r="G950" s="19" t="n">
        <f aca="false">G949+G944+G945</f>
        <v>58.1647067602562</v>
      </c>
      <c r="J950" s="5" t="s">
        <v>690</v>
      </c>
    </row>
    <row r="951" customFormat="false" ht="17.15" hidden="false" customHeight="false" outlineLevel="0" collapsed="false">
      <c r="A951" s="5" t="s">
        <v>541</v>
      </c>
      <c r="B951" s="0" t="s">
        <v>34</v>
      </c>
      <c r="C951" s="19" t="n">
        <f aca="false">C950+C946+C947+C948+seg_adj</f>
        <v>54.365</v>
      </c>
      <c r="D951" s="19" t="n">
        <f aca="false">D950+D946+D947+D948</f>
        <v>64</v>
      </c>
      <c r="E951" s="19" t="n">
        <f aca="false">E950+E946+E947+E948</f>
        <v>66.9386446459761</v>
      </c>
      <c r="F951" s="19" t="n">
        <f aca="false">F950+F946+F947+F948</f>
        <v>71.9711108179241</v>
      </c>
      <c r="G951" s="19" t="n">
        <f aca="false">G950+G946+G947+G948</f>
        <v>75.6119973604891</v>
      </c>
      <c r="J951" s="8" t="s">
        <v>691</v>
      </c>
    </row>
    <row r="952" customFormat="false" ht="17.15" hidden="false" customHeight="false" outlineLevel="0" collapsed="false">
      <c r="A952" s="5" t="s">
        <v>692</v>
      </c>
      <c r="B952" s="0" t="s">
        <v>34</v>
      </c>
      <c r="C952" s="20" t="n">
        <f aca="false">C950+C946+C947+C948-a25_rev</f>
        <v>-0.0249999999999986</v>
      </c>
    </row>
    <row r="953" customFormat="false" ht="17.15" hidden="false" customHeight="false" outlineLevel="0" collapsed="false">
      <c r="A953" s="0" t="s">
        <v>621</v>
      </c>
      <c r="B953" s="0" t="s">
        <v>94</v>
      </c>
      <c r="C953" s="11" t="n">
        <f aca="false">C949/C951</f>
        <v>0.1839418743677</v>
      </c>
      <c r="D953" s="11" t="n">
        <f aca="false">D949/D951</f>
        <v>0.216011629660607</v>
      </c>
      <c r="E953" s="11" t="n">
        <f aca="false">E949/E951</f>
        <v>0.162630542658554</v>
      </c>
      <c r="F953" s="11" t="n">
        <f aca="false">F949/F951</f>
        <v>0.146062740118053</v>
      </c>
      <c r="G953" s="11" t="n">
        <f aca="false">G949/G951</f>
        <v>0.129676380126856</v>
      </c>
    </row>
    <row r="954" customFormat="false" ht="17.15" hidden="false" customHeight="false" outlineLevel="0" collapsed="false">
      <c r="A954" s="5" t="s">
        <v>545</v>
      </c>
      <c r="B954" s="0" t="s">
        <v>34</v>
      </c>
      <c r="C954" s="19" t="n">
        <f aca="false">a25_oi</f>
        <v>6.917</v>
      </c>
      <c r="D954" s="19" t="n">
        <f aca="false">D937</f>
        <v>10.24</v>
      </c>
      <c r="E954" s="19" t="n">
        <f aca="false">$D954+(im+ima_A)*(E951-$D951)</f>
        <v>11.1201861525469</v>
      </c>
      <c r="F954" s="19" t="n">
        <f aca="false">$D954+(im+ima_A)*(F951-$D951)</f>
        <v>12.6275160856761</v>
      </c>
      <c r="G954" s="19" t="n">
        <f aca="false">$D954+(im+ima_A)*(G951-$D951)</f>
        <v>13.7180385216394</v>
      </c>
      <c r="J954" s="8" t="s">
        <v>693</v>
      </c>
    </row>
    <row r="955" customFormat="false" ht="15" hidden="false" customHeight="false" outlineLevel="0" collapsed="false">
      <c r="A955" s="5" t="s">
        <v>694</v>
      </c>
      <c r="B955" s="0" t="s">
        <v>94</v>
      </c>
      <c r="C955" s="11" t="n">
        <f aca="false">C954/C951</f>
        <v>0.127232594500138</v>
      </c>
      <c r="D955" s="11" t="n">
        <f aca="false">D954/D951</f>
        <v>0.16</v>
      </c>
      <c r="E955" s="11" t="n">
        <f aca="false">E954/E951</f>
        <v>0.166125056928762</v>
      </c>
      <c r="F955" s="11" t="n">
        <f aca="false">F954/F951</f>
        <v>0.175452566205651</v>
      </c>
      <c r="G955" s="11" t="n">
        <f aca="false">G954/G951</f>
        <v>0.181426744438941</v>
      </c>
    </row>
    <row r="956" customFormat="false" ht="15" hidden="false" customHeight="false" outlineLevel="0" collapsed="false">
      <c r="A956" s="5" t="s">
        <v>548</v>
      </c>
      <c r="B956" s="0" t="s">
        <v>34</v>
      </c>
      <c r="C956" s="19" t="n">
        <f aca="false">a25_ni</f>
        <v>4.593</v>
      </c>
      <c r="D956" s="19" t="n">
        <f aca="false">D938</f>
        <v>7</v>
      </c>
      <c r="E956" s="19" t="n">
        <f aca="false">E954*nioi</f>
        <v>7.60168975271764</v>
      </c>
      <c r="F956" s="19" t="n">
        <f aca="false">F954*nioi</f>
        <v>8.63209107419265</v>
      </c>
      <c r="G956" s="19" t="n">
        <f aca="false">G954*nioi</f>
        <v>9.3775653956519</v>
      </c>
    </row>
    <row r="957" customFormat="false" ht="15" hidden="false" customHeight="false" outlineLevel="0" collapsed="false">
      <c r="A957" s="0" t="s">
        <v>622</v>
      </c>
      <c r="B957" s="0" t="s">
        <v>52</v>
      </c>
      <c r="C957" s="22" t="n">
        <f aca="false">a25_eps</f>
        <v>61.22</v>
      </c>
      <c r="D957" s="22" t="n">
        <f aca="false">D956*1000/shares</f>
        <v>93.2961492201002</v>
      </c>
      <c r="E957" s="22" t="n">
        <f aca="false">E956*1000/shares</f>
        <v>101.315483070636</v>
      </c>
      <c r="F957" s="22" t="n">
        <f aca="false">F956*1000/shares</f>
        <v>115.048693848482</v>
      </c>
      <c r="G957" s="22" t="n">
        <f aca="false">G956*1000/shares</f>
        <v>124.984391496284</v>
      </c>
    </row>
    <row r="958" customFormat="false" ht="17.15" hidden="false" customHeight="false" outlineLevel="0" collapsed="false">
      <c r="A958" s="5" t="s">
        <v>695</v>
      </c>
      <c r="B958" s="0" t="s">
        <v>34</v>
      </c>
      <c r="C958" s="20" t="n">
        <f aca="false">ABS(C951-a25_rev)+ABS(C954-a25_oi)+ABS(D951-D936)</f>
        <v>0</v>
      </c>
    </row>
    <row r="970" customFormat="false" ht="17.15" hidden="false" customHeight="false" outlineLevel="0" collapsed="false">
      <c r="A970" s="3" t="s">
        <v>1031</v>
      </c>
    </row>
    <row r="971" customFormat="false" ht="17.15" hidden="false" customHeight="false" outlineLevel="0" collapsed="false">
      <c r="A971" s="6" t="s">
        <v>23</v>
      </c>
      <c r="B971" s="6" t="s">
        <v>24</v>
      </c>
      <c r="C971" s="15" t="s">
        <v>628</v>
      </c>
      <c r="D971" s="15" t="s">
        <v>629</v>
      </c>
      <c r="E971" s="15" t="s">
        <v>630</v>
      </c>
      <c r="F971" s="15" t="s">
        <v>631</v>
      </c>
      <c r="G971" s="15" t="s">
        <v>632</v>
      </c>
      <c r="H971" s="15" t="s">
        <v>633</v>
      </c>
      <c r="I971" s="15" t="s">
        <v>634</v>
      </c>
      <c r="J971" s="6" t="s">
        <v>468</v>
      </c>
    </row>
    <row r="972" customFormat="false" ht="17.15" hidden="false" customHeight="false" outlineLevel="0" collapsed="false">
      <c r="A972" s="1" t="s">
        <v>635</v>
      </c>
    </row>
    <row r="973" customFormat="false" ht="17.15" hidden="false" customHeight="false" outlineLevel="0" collapsed="false">
      <c r="A973" s="0" t="s">
        <v>636</v>
      </c>
      <c r="B973" s="0" t="s">
        <v>111</v>
      </c>
      <c r="C973" s="21" t="n">
        <f aca="false">hsA_25</f>
        <v>2.22511470588235</v>
      </c>
      <c r="D973" s="21" t="n">
        <f aca="false">hsA_26</f>
        <v>3.782695</v>
      </c>
      <c r="E973" s="21" t="n">
        <f aca="false">hsA_27</f>
        <v>5.86317725</v>
      </c>
      <c r="F973" s="21" t="n">
        <f aca="false">hsA_28</f>
        <v>8.5016070125</v>
      </c>
      <c r="G973" s="21" t="n">
        <f aca="false">hsA_29</f>
        <v>11.477169466875</v>
      </c>
      <c r="J973" s="8" t="s">
        <v>637</v>
      </c>
    </row>
    <row r="974" customFormat="false" ht="17.15" hidden="false" customHeight="false" outlineLevel="0" collapsed="false">
      <c r="A974" s="0" t="s">
        <v>638</v>
      </c>
      <c r="B974" s="0" t="s">
        <v>639</v>
      </c>
      <c r="C974" s="21" t="n">
        <f aca="false">den_25</f>
        <v>24</v>
      </c>
      <c r="D974" s="21" t="n">
        <f aca="false">den_26</f>
        <v>24</v>
      </c>
      <c r="E974" s="21" t="n">
        <f aca="false">den_27</f>
        <v>26</v>
      </c>
      <c r="F974" s="21" t="n">
        <f aca="false">den_28</f>
        <v>28</v>
      </c>
      <c r="G974" s="21" t="n">
        <f aca="false">den_29</f>
        <v>30</v>
      </c>
    </row>
    <row r="975" customFormat="false" ht="15" hidden="false" customHeight="false" outlineLevel="0" collapsed="false">
      <c r="A975" s="5" t="s">
        <v>640</v>
      </c>
      <c r="B975" s="5" t="s">
        <v>160</v>
      </c>
      <c r="C975" s="21" t="n">
        <f aca="false">stk_25</f>
        <v>10</v>
      </c>
      <c r="D975" s="21" t="n">
        <f aca="false">stk_26</f>
        <v>12</v>
      </c>
      <c r="E975" s="21" t="n">
        <f aca="false">stk_27</f>
        <v>12.5</v>
      </c>
      <c r="F975" s="21" t="n">
        <f aca="false">stk_28</f>
        <v>14</v>
      </c>
      <c r="G975" s="21" t="n">
        <f aca="false">stk_29</f>
        <v>15</v>
      </c>
    </row>
    <row r="976" customFormat="false" ht="17.15" hidden="false" customHeight="false" outlineLevel="0" collapsed="false">
      <c r="A976" s="0" t="s">
        <v>641</v>
      </c>
      <c r="B976" s="5" t="s">
        <v>642</v>
      </c>
      <c r="C976" s="23" t="n">
        <f aca="false">C973*8/(C974*C975)</f>
        <v>0.0741704901960783</v>
      </c>
      <c r="D976" s="23" t="n">
        <f aca="false">D973*8/(D974*D975)</f>
        <v>0.105074861111111</v>
      </c>
      <c r="E976" s="23" t="n">
        <f aca="false">E973*8/(E974*E975)</f>
        <v>0.144324363076923</v>
      </c>
      <c r="F976" s="23" t="n">
        <f aca="false">F973*8/(F974*F975)</f>
        <v>0.173502183928571</v>
      </c>
      <c r="G976" s="23" t="n">
        <f aca="false">G973*8/(G974*G975)</f>
        <v>0.2040385683</v>
      </c>
      <c r="H976" s="23" t="n">
        <f aca="false">G976*(1+g_tail)</f>
        <v>0.22444242513</v>
      </c>
      <c r="I976" s="23" t="n">
        <f aca="false">H976*(1+g_tail)</f>
        <v>0.246886667643</v>
      </c>
      <c r="J976" s="8" t="s">
        <v>643</v>
      </c>
    </row>
    <row r="977" customFormat="false" ht="17.15" hidden="false" customHeight="false" outlineLevel="0" collapsed="false">
      <c r="A977" s="0" t="s">
        <v>644</v>
      </c>
      <c r="B977" s="5" t="s">
        <v>642</v>
      </c>
      <c r="C977" s="23" t="n">
        <f aca="false">MAX(0,D976-C976)+dlt*C976</f>
        <v>0.0383214199346406</v>
      </c>
      <c r="D977" s="23" t="n">
        <f aca="false">MAX(0,E976-D976)+dlt*D976</f>
        <v>0.0497569880769231</v>
      </c>
      <c r="E977" s="23" t="n">
        <f aca="false">MAX(0,F976-E976)+dlt*E976</f>
        <v>0.0436102571593407</v>
      </c>
      <c r="F977" s="23" t="n">
        <f aca="false">MAX(0,G976-F976)+dlt*F976</f>
        <v>0.0478866027642858</v>
      </c>
      <c r="G977" s="23" t="n">
        <f aca="false">MAX(0,H976-G976)+dlt*G976</f>
        <v>0.04080771366</v>
      </c>
      <c r="H977" s="23" t="n">
        <f aca="false">MAX(0,I976-H976)+dlt*H976</f>
        <v>0.044888485026</v>
      </c>
      <c r="J977" s="5" t="s">
        <v>645</v>
      </c>
    </row>
    <row r="978" customFormat="false" ht="17.15" hidden="false" customHeight="false" outlineLevel="0" collapsed="false">
      <c r="A978" s="0" t="s">
        <v>646</v>
      </c>
      <c r="B978" s="5" t="s">
        <v>183</v>
      </c>
      <c r="C978" s="14" t="n">
        <f aca="false">cw_25</f>
        <v>670</v>
      </c>
      <c r="D978" s="14" t="n">
        <f aca="false">cw_26</f>
        <v>1107.85762580894</v>
      </c>
      <c r="E978" s="14" t="n">
        <f aca="false">cw_27</f>
        <v>2096.42857142857</v>
      </c>
      <c r="F978" s="14" t="n">
        <f aca="false">cw_28*um28_A</f>
        <v>2620.08928571429</v>
      </c>
      <c r="G978" s="14" t="n">
        <f aca="false">cw_29*um29_A</f>
        <v>3013.32589285714</v>
      </c>
      <c r="H978" s="14" t="n">
        <f aca="false">G978*(1+g_tail)</f>
        <v>3314.65848214285</v>
      </c>
      <c r="I978" s="14" t="n">
        <f aca="false">H978*(1+g_tail)</f>
        <v>3646.12433035714</v>
      </c>
      <c r="J978" s="5" t="s">
        <v>647</v>
      </c>
    </row>
    <row r="979" customFormat="false" ht="17.15" hidden="false" customHeight="false" outlineLevel="0" collapsed="false">
      <c r="A979" s="0" t="s">
        <v>648</v>
      </c>
      <c r="B979" s="5" t="s">
        <v>183</v>
      </c>
      <c r="C979" s="14" t="n">
        <f aca="false">MAX(0,D978-C978)+dlt*C978</f>
        <v>504.85762580894</v>
      </c>
      <c r="D979" s="14" t="n">
        <f aca="false">MAX(0,E978-D978)+dlt*D978</f>
        <v>1099.35670820052</v>
      </c>
      <c r="E979" s="14" t="n">
        <f aca="false">MAX(0,F978-E978)+dlt*E978</f>
        <v>733.303571428577</v>
      </c>
      <c r="F979" s="14" t="n">
        <f aca="false">MAX(0,G978-F978)+dlt*F978</f>
        <v>655.245535714279</v>
      </c>
      <c r="G979" s="14" t="n">
        <f aca="false">MAX(0,H978-G978)+dlt*G978</f>
        <v>602.665178571428</v>
      </c>
      <c r="H979" s="14" t="n">
        <f aca="false">MAX(0,I978-H978)+dlt*H978</f>
        <v>662.931696428571</v>
      </c>
    </row>
    <row r="980" customFormat="false" ht="17.15" hidden="false" customHeight="false" outlineLevel="0" collapsed="false">
      <c r="A980" s="5" t="s">
        <v>649</v>
      </c>
      <c r="B980" s="0" t="s">
        <v>219</v>
      </c>
      <c r="C980" s="21" t="n">
        <f aca="false">pk_25*(eqtA_25-eqaA_25)/(eqtA_25-eqaA_25)</f>
        <v>6.11313868613139</v>
      </c>
      <c r="D980" s="21" t="n">
        <f aca="false">pk_26*(eqtA_26-eqaA_26)/(eqtA_26-eqaA_26)</f>
        <v>6.7</v>
      </c>
      <c r="E980" s="21" t="n">
        <f aca="false">pk_27*(eqtA_27-eqaA_27)/(eqtA_27-eqaA_27)</f>
        <v>7.59078388573934</v>
      </c>
      <c r="F980" s="21" t="n">
        <f aca="false">pk_28*(eqtA_28-eqaA_28)/(eqtA_28-eqaA_28)</f>
        <v>8.6</v>
      </c>
      <c r="G980" s="21" t="n">
        <f aca="false">pk_29*(eqtA_29-eqaA_29)/(eqtA_29-eqaA_29)</f>
        <v>9.288</v>
      </c>
      <c r="H980" s="21" t="n">
        <f aca="false">G980*(1+g_pk_tail)</f>
        <v>9.7524</v>
      </c>
      <c r="J980" s="8" t="s">
        <v>650</v>
      </c>
    </row>
    <row r="981" customFormat="false" ht="15" hidden="false" customHeight="false" outlineLevel="0" collapsed="false">
      <c r="A981" s="5" t="s">
        <v>651</v>
      </c>
      <c r="B981" s="0" t="s">
        <v>219</v>
      </c>
      <c r="C981" s="24" t="n">
        <f aca="false">eqtA_25</f>
        <v>134.689359843138</v>
      </c>
      <c r="D981" s="24" t="n">
        <f aca="false">eqtA_26</f>
        <v>178.157050570127</v>
      </c>
      <c r="E981" s="24" t="n">
        <f aca="false">eqtA_27</f>
        <v>218.225535760082</v>
      </c>
      <c r="F981" s="24" t="n">
        <f aca="false">eqtA_28</f>
        <v>246.028626308958</v>
      </c>
      <c r="G981" s="24" t="n">
        <f aca="false">eqtA_29</f>
        <v>260.655685855226</v>
      </c>
      <c r="H981" s="24" t="n">
        <f aca="false">G981*(1+g_pk_tail)</f>
        <v>273.688470147987</v>
      </c>
      <c r="J981" s="5" t="s">
        <v>652</v>
      </c>
    </row>
    <row r="982" customFormat="false" ht="17.15" hidden="false" customHeight="false" outlineLevel="0" collapsed="false">
      <c r="A982" s="1" t="s">
        <v>653</v>
      </c>
    </row>
    <row r="983" customFormat="false" ht="17.15" hidden="false" customHeight="false" outlineLevel="0" collapsed="false">
      <c r="A983" s="0" t="s">
        <v>654</v>
      </c>
      <c r="B983" s="0" t="s">
        <v>655</v>
      </c>
      <c r="C983" s="24" t="n">
        <f aca="false">ai_25*w_hbm/(0.75*C977+0.25*D977)</f>
        <v>121.417244328233</v>
      </c>
      <c r="J983" s="5" t="s">
        <v>656</v>
      </c>
    </row>
    <row r="984" customFormat="false" ht="17.15" hidden="false" customHeight="false" outlineLevel="0" collapsed="false">
      <c r="A984" s="0" t="s">
        <v>657</v>
      </c>
      <c r="B984" s="0" t="s">
        <v>658</v>
      </c>
      <c r="C984" s="25" t="n">
        <f aca="false">ai_25*(1-w_hbm)/(0.75*C979+0.25*D979)</f>
        <v>0.0076513155174377</v>
      </c>
    </row>
    <row r="985" customFormat="false" ht="17.15" hidden="false" customHeight="false" outlineLevel="0" collapsed="false">
      <c r="A985" s="1" t="s">
        <v>659</v>
      </c>
    </row>
    <row r="986" customFormat="false" ht="17.15" hidden="false" customHeight="false" outlineLevel="0" collapsed="false">
      <c r="A986" s="0" t="s">
        <v>660</v>
      </c>
      <c r="B986" s="0" t="s">
        <v>198</v>
      </c>
      <c r="C986" s="20" t="n">
        <f aca="false">1-shl_A/sh*0</f>
        <v>1</v>
      </c>
      <c r="D986" s="20" t="n">
        <f aca="false">1-shl_A/sh*0.25</f>
        <v>1</v>
      </c>
      <c r="E986" s="20" t="n">
        <f aca="false">1-shl_A/sh*0.5</f>
        <v>1</v>
      </c>
      <c r="F986" s="20" t="n">
        <f aca="false">1-shl_A/sh*0.75</f>
        <v>1</v>
      </c>
      <c r="G986" s="20" t="n">
        <f aca="false">1-shl_A/sh*1</f>
        <v>1</v>
      </c>
      <c r="J986" s="5" t="s">
        <v>661</v>
      </c>
    </row>
    <row r="987" customFormat="false" ht="17.15" hidden="false" customHeight="false" outlineLevel="0" collapsed="false">
      <c r="A987" s="0" t="s">
        <v>662</v>
      </c>
      <c r="B987" s="0" t="s">
        <v>34</v>
      </c>
      <c r="C987" s="19" t="n">
        <f aca="false">$C$983*(0.75*C977+0.25*D977)*C986</f>
        <v>5</v>
      </c>
      <c r="D987" s="19" t="n">
        <f aca="false">$C$983*(0.75*D977+0.25*E977)*D986</f>
        <v>5.85477659596275</v>
      </c>
      <c r="E987" s="19" t="n">
        <f aca="false">$C$983*(0.75*E977+0.25*F977)*E986</f>
        <v>5.42484277351964</v>
      </c>
      <c r="F987" s="19" t="n">
        <f aca="false">$C$983*(0.75*F977+0.25*G977)*F986</f>
        <v>5.59938454589345</v>
      </c>
      <c r="G987" s="19" t="n">
        <f aca="false">$C$983*(0.75*G977+0.25*H977)*G986</f>
        <v>5.07862914343112</v>
      </c>
    </row>
    <row r="988" customFormat="false" ht="17.15" hidden="false" customHeight="false" outlineLevel="0" collapsed="false">
      <c r="A988" s="0" t="s">
        <v>663</v>
      </c>
      <c r="B988" s="0" t="s">
        <v>34</v>
      </c>
      <c r="C988" s="19" t="n">
        <f aca="false">$C$984*(0.75*C979+0.25*D979)*C986</f>
        <v>5</v>
      </c>
      <c r="D988" s="19" t="n">
        <f aca="false">$C$984*(0.75*D979+0.25*E979)*D986</f>
        <v>7.71132802925642</v>
      </c>
      <c r="E988" s="19" t="n">
        <f aca="false">$C$984*(0.75*E979+0.25*F979)*E986</f>
        <v>5.46142533008358</v>
      </c>
      <c r="F988" s="19" t="n">
        <f aca="false">$C$984*(0.75*F979+0.25*G979)*F986</f>
        <v>4.91291310951257</v>
      </c>
      <c r="G988" s="19" t="n">
        <f aca="false">$C$984*(0.75*G979+0.25*H979)*G986</f>
        <v>4.72646096843851</v>
      </c>
    </row>
    <row r="989" customFormat="false" ht="17.15" hidden="false" customHeight="false" outlineLevel="0" collapsed="false">
      <c r="A989" s="5" t="s">
        <v>664</v>
      </c>
      <c r="B989" s="0" t="s">
        <v>34</v>
      </c>
      <c r="C989" s="19" t="n">
        <f aca="false">(seg_mold-ai_25)*(0.75*C980+0.25*D980)/(0.75*C980+0.25*D980)</f>
        <v>26.46</v>
      </c>
      <c r="D989" s="19" t="n">
        <f aca="false">(seg_mold-ai_25)*(0.75*D980+0.25*E980)/(0.75*C980+0.25*D980)</f>
        <v>29.2617902872793</v>
      </c>
      <c r="E989" s="19" t="n">
        <f aca="false">(seg_mold-ai_25)*(0.75*E980+0.25*F980)/(0.75*C980+0.25*D980)</f>
        <v>33.1522277881438</v>
      </c>
      <c r="F989" s="19" t="n">
        <f aca="false">(seg_mold-ai_25)*(0.75*F980+0.25*G980)/(0.75*C980+0.25*D980)</f>
        <v>37.0786793843283</v>
      </c>
      <c r="G989" s="19" t="n">
        <f aca="false">(seg_mold-ai_25)*(0.75*G980+0.25*H980)/(0.75*C980+0.25*D980)</f>
        <v>39.7505253987873</v>
      </c>
      <c r="J989" s="8" t="s">
        <v>665</v>
      </c>
    </row>
    <row r="990" customFormat="false" ht="15" hidden="false" customHeight="false" outlineLevel="0" collapsed="false">
      <c r="A990" s="5" t="s">
        <v>666</v>
      </c>
      <c r="B990" s="0" t="s">
        <v>34</v>
      </c>
      <c r="C990" s="19" t="n">
        <f aca="false">seg_osemi*(0.75*C981+0.25*D981)/(0.75*C981+0.25*D981)</f>
        <v>3.93</v>
      </c>
      <c r="D990" s="19" t="n">
        <f aca="false">seg_osemi*(0.75*D981+0.25*E981)/(0.75*C981+0.25*D981)</f>
        <v>5.08067726525852</v>
      </c>
      <c r="E990" s="19" t="n">
        <f aca="false">seg_osemi*(0.75*E981+0.25*F981)/(0.75*C981+0.25*D981)</f>
        <v>6.0797299618455</v>
      </c>
      <c r="F990" s="19" t="n">
        <f aca="false">seg_osemi*(0.75*F981+0.25*G981)/(0.75*C981+0.25*D981)</f>
        <v>6.74147189236335</v>
      </c>
      <c r="G990" s="19" t="n">
        <f aca="false">seg_osemi*(0.75*G981+0.25*H981)/(0.75*C981+0.25*D981)</f>
        <v>7.12563922344852</v>
      </c>
      <c r="J990" s="5" t="s">
        <v>667</v>
      </c>
    </row>
    <row r="991" customFormat="false" ht="17.15" hidden="false" customHeight="false" outlineLevel="0" collapsed="false">
      <c r="A991" s="5" t="s">
        <v>668</v>
      </c>
      <c r="B991" s="0" t="s">
        <v>34</v>
      </c>
      <c r="C991" s="19" t="n">
        <f aca="false">seg_new</f>
        <v>9.47</v>
      </c>
      <c r="D991" s="19" t="n">
        <f aca="false">C991*(1+g_tss_lo)</f>
        <v>9.47</v>
      </c>
      <c r="E991" s="19" t="n">
        <f aca="false">D991*(1+g_tss_lo)</f>
        <v>9.47</v>
      </c>
      <c r="F991" s="19" t="n">
        <f aca="false">E991*(1+g_tss_lo)</f>
        <v>9.47</v>
      </c>
      <c r="G991" s="19" t="n">
        <f aca="false">F991*(1+g_tss_lo)</f>
        <v>9.47</v>
      </c>
    </row>
    <row r="992" customFormat="false" ht="15" hidden="false" customHeight="false" outlineLevel="0" collapsed="false">
      <c r="A992" s="5" t="s">
        <v>669</v>
      </c>
      <c r="B992" s="0" t="s">
        <v>34</v>
      </c>
      <c r="C992" s="19" t="n">
        <f aca="false">seg_med</f>
        <v>2.48</v>
      </c>
      <c r="D992" s="19" t="n">
        <f aca="false">C992*(1+g_med)</f>
        <v>2.5544</v>
      </c>
      <c r="E992" s="19" t="n">
        <f aca="false">D992*(1+g_med)</f>
        <v>2.631032</v>
      </c>
      <c r="F992" s="19" t="n">
        <f aca="false">E992*(1+g_med)</f>
        <v>2.70996296</v>
      </c>
      <c r="G992" s="19" t="n">
        <f aca="false">F992*(1+g_med)</f>
        <v>2.7912618488</v>
      </c>
    </row>
    <row r="993" customFormat="false" ht="15" hidden="false" customHeight="false" outlineLevel="0" collapsed="false">
      <c r="A993" s="5" t="s">
        <v>670</v>
      </c>
      <c r="B993" s="0" t="s">
        <v>34</v>
      </c>
      <c r="C993" s="19" t="n">
        <f aca="false">seg_las*(0.75*C981+0.25*D981)/(0.75*C981+0.25*D981)</f>
        <v>2</v>
      </c>
      <c r="D993" s="19" t="n">
        <f aca="false">seg_las*(0.75*D981+0.25*E981)/(0.75*C981+0.25*D981)</f>
        <v>2.5855863945336</v>
      </c>
      <c r="E993" s="19" t="n">
        <f aca="false">seg_las*(0.75*E981+0.25*F981)/(0.75*C981+0.25*D981)</f>
        <v>3.0940101587</v>
      </c>
      <c r="F993" s="19" t="n">
        <f aca="false">seg_las*(0.75*F981+0.25*G981)/(0.75*C981+0.25*D981)</f>
        <v>3.43077449993046</v>
      </c>
      <c r="G993" s="19" t="n">
        <f aca="false">seg_las*(0.75*G981+0.25*H981)/(0.75*C981+0.25*D981)</f>
        <v>3.62627950302724</v>
      </c>
      <c r="J993" s="5" t="s">
        <v>667</v>
      </c>
    </row>
    <row r="994" customFormat="false" ht="15" hidden="false" customHeight="false" outlineLevel="0" collapsed="false">
      <c r="A994" s="5" t="s">
        <v>671</v>
      </c>
      <c r="B994" s="0" t="s">
        <v>34</v>
      </c>
      <c r="C994" s="19" t="n">
        <f aca="false">C987+C988+C989+C990+C991+C992+C993+seg_adj</f>
        <v>54.365</v>
      </c>
      <c r="D994" s="19" t="n">
        <f aca="false">D987+D988+D989+D990+D991+D992+D993</f>
        <v>62.5185585722905</v>
      </c>
      <c r="E994" s="19" t="n">
        <f aca="false">E987+E988+E989+E990+E991+E992+E993</f>
        <v>65.3132680122925</v>
      </c>
      <c r="F994" s="19" t="n">
        <f aca="false">F987+F988+F989+F990+F991+F992+F993</f>
        <v>69.9431863920282</v>
      </c>
      <c r="G994" s="19" t="n">
        <f aca="false">G987+G988+G989+G990+G991+G992+G993</f>
        <v>72.5687960859327</v>
      </c>
    </row>
    <row r="995" customFormat="false" ht="17.15" hidden="false" customHeight="false" outlineLevel="0" collapsed="false">
      <c r="A995" s="1" t="s">
        <v>672</v>
      </c>
    </row>
    <row r="996" customFormat="false" ht="17.15" hidden="false" customHeight="false" outlineLevel="0" collapsed="false">
      <c r="A996" s="0" t="s">
        <v>673</v>
      </c>
      <c r="B996" s="0" t="s">
        <v>34</v>
      </c>
      <c r="D996" s="19" t="n">
        <f aca="false">g26_rev*(1+g_anc)</f>
        <v>64</v>
      </c>
    </row>
    <row r="997" customFormat="false" ht="17.15" hidden="false" customHeight="false" outlineLevel="0" collapsed="false">
      <c r="A997" s="0" t="s">
        <v>674</v>
      </c>
      <c r="B997" s="0" t="s">
        <v>34</v>
      </c>
      <c r="D997" s="19" t="n">
        <f aca="false">D996*g26_oi/g26_rev</f>
        <v>10.24</v>
      </c>
    </row>
    <row r="998" customFormat="false" ht="17.15" hidden="false" customHeight="false" outlineLevel="0" collapsed="false">
      <c r="A998" s="0" t="s">
        <v>675</v>
      </c>
      <c r="B998" s="0" t="s">
        <v>34</v>
      </c>
      <c r="D998" s="19" t="n">
        <f aca="false">D997*g26_ni/g26_oi</f>
        <v>7</v>
      </c>
    </row>
    <row r="999" customFormat="false" ht="17.15" hidden="false" customHeight="false" outlineLevel="0" collapsed="false">
      <c r="A999" s="5" t="s">
        <v>676</v>
      </c>
      <c r="B999" s="0" t="s">
        <v>198</v>
      </c>
      <c r="D999" s="20" t="n">
        <f aca="false">D996/D994</f>
        <v>1.02369602661259</v>
      </c>
      <c r="J999" s="8" t="s">
        <v>677</v>
      </c>
    </row>
    <row r="1000" customFormat="false" ht="17.15" hidden="false" customHeight="false" outlineLevel="0" collapsed="false">
      <c r="A1000" s="5" t="s">
        <v>678</v>
      </c>
      <c r="B1000" s="0" t="s">
        <v>198</v>
      </c>
      <c r="D1000" s="20" t="n">
        <f aca="false">1+1*(D999-1)</f>
        <v>1.02369602661259</v>
      </c>
      <c r="J1000" s="8" t="s">
        <v>679</v>
      </c>
    </row>
    <row r="1001" customFormat="false" ht="17.15" hidden="false" customHeight="false" outlineLevel="0" collapsed="false">
      <c r="A1001" s="1" t="s">
        <v>680</v>
      </c>
    </row>
    <row r="1002" customFormat="false" ht="17.15" hidden="false" customHeight="false" outlineLevel="0" collapsed="false">
      <c r="A1002" s="0" t="s">
        <v>681</v>
      </c>
      <c r="B1002" s="0" t="s">
        <v>34</v>
      </c>
      <c r="C1002" s="19" t="n">
        <f aca="false">C987*1</f>
        <v>5</v>
      </c>
      <c r="D1002" s="19" t="n">
        <f aca="false">D987*$D$999</f>
        <v>5.99351153799142</v>
      </c>
      <c r="E1002" s="19" t="n">
        <f aca="false">E987*1</f>
        <v>5.42484277351964</v>
      </c>
      <c r="F1002" s="19" t="n">
        <f aca="false">F987*1</f>
        <v>5.59938454589345</v>
      </c>
      <c r="G1002" s="19" t="n">
        <f aca="false">G987*1</f>
        <v>5.07862914343112</v>
      </c>
    </row>
    <row r="1003" customFormat="false" ht="17.15" hidden="false" customHeight="false" outlineLevel="0" collapsed="false">
      <c r="A1003" s="0" t="s">
        <v>682</v>
      </c>
      <c r="B1003" s="0" t="s">
        <v>34</v>
      </c>
      <c r="C1003" s="19" t="n">
        <f aca="false">C988*1</f>
        <v>5</v>
      </c>
      <c r="D1003" s="19" t="n">
        <f aca="false">D988*$D$999</f>
        <v>7.89405586345605</v>
      </c>
      <c r="E1003" s="19" t="n">
        <f aca="false">E988*1</f>
        <v>5.46142533008358</v>
      </c>
      <c r="F1003" s="19" t="n">
        <f aca="false">F988*1</f>
        <v>4.91291310951257</v>
      </c>
      <c r="G1003" s="19" t="n">
        <f aca="false">G988*1</f>
        <v>4.72646096843851</v>
      </c>
    </row>
    <row r="1004" customFormat="false" ht="17.15" hidden="false" customHeight="false" outlineLevel="0" collapsed="false">
      <c r="A1004" s="5" t="s">
        <v>683</v>
      </c>
      <c r="B1004" s="0" t="s">
        <v>34</v>
      </c>
      <c r="C1004" s="19" t="n">
        <f aca="false">C989*1</f>
        <v>26.46</v>
      </c>
      <c r="D1004" s="19" t="n">
        <f aca="false">D989*$D$999</f>
        <v>29.9551784486585</v>
      </c>
      <c r="E1004" s="19" t="n">
        <f aca="false">E989*$D$1000</f>
        <v>33.9378038600781</v>
      </c>
      <c r="F1004" s="19" t="n">
        <f aca="false">F989*$D$1000</f>
        <v>37.9572967577789</v>
      </c>
      <c r="G1004" s="19" t="n">
        <f aca="false">G989*$D$1000</f>
        <v>40.6924549065012</v>
      </c>
    </row>
    <row r="1005" customFormat="false" ht="15" hidden="false" customHeight="false" outlineLevel="0" collapsed="false">
      <c r="A1005" s="5" t="s">
        <v>684</v>
      </c>
      <c r="B1005" s="0" t="s">
        <v>34</v>
      </c>
      <c r="C1005" s="19" t="n">
        <f aca="false">C990*1</f>
        <v>3.93</v>
      </c>
      <c r="D1005" s="19" t="n">
        <f aca="false">D990*$D$999</f>
        <v>5.20106912894604</v>
      </c>
      <c r="E1005" s="19" t="n">
        <f aca="false">E990*$D$1000</f>
        <v>6.22379540481872</v>
      </c>
      <c r="F1005" s="19" t="n">
        <f aca="false">F990*$D$1000</f>
        <v>6.90121798973279</v>
      </c>
      <c r="G1005" s="19" t="n">
        <f aca="false">G990*$D$1000</f>
        <v>7.29448856011903</v>
      </c>
    </row>
    <row r="1006" customFormat="false" ht="17.15" hidden="false" customHeight="false" outlineLevel="0" collapsed="false">
      <c r="A1006" s="5" t="s">
        <v>685</v>
      </c>
      <c r="B1006" s="0" t="s">
        <v>34</v>
      </c>
      <c r="C1006" s="19" t="n">
        <f aca="false">C991*1</f>
        <v>9.47</v>
      </c>
      <c r="D1006" s="19" t="n">
        <f aca="false">D991*$D$999</f>
        <v>9.69440137202118</v>
      </c>
      <c r="E1006" s="19" t="n">
        <f aca="false">E991*$D$1000</f>
        <v>9.69440137202118</v>
      </c>
      <c r="F1006" s="19" t="n">
        <f aca="false">F991*$D$1000</f>
        <v>9.69440137202118</v>
      </c>
      <c r="G1006" s="19" t="n">
        <f aca="false">G991*$D$1000</f>
        <v>9.69440137202118</v>
      </c>
    </row>
    <row r="1007" customFormat="false" ht="15" hidden="false" customHeight="false" outlineLevel="0" collapsed="false">
      <c r="A1007" s="5" t="s">
        <v>686</v>
      </c>
      <c r="B1007" s="0" t="s">
        <v>34</v>
      </c>
      <c r="C1007" s="19" t="n">
        <f aca="false">C992*1</f>
        <v>2.48</v>
      </c>
      <c r="D1007" s="19" t="n">
        <f aca="false">D992*$D$999</f>
        <v>2.61492913037919</v>
      </c>
      <c r="E1007" s="19" t="n">
        <f aca="false">E992*$D$1000</f>
        <v>2.69337700429056</v>
      </c>
      <c r="F1007" s="19" t="n">
        <f aca="false">F992*$D$1000</f>
        <v>2.77417831441928</v>
      </c>
      <c r="G1007" s="19" t="n">
        <f aca="false">G992*$D$1000</f>
        <v>2.85740366385186</v>
      </c>
    </row>
    <row r="1008" customFormat="false" ht="15" hidden="false" customHeight="false" outlineLevel="0" collapsed="false">
      <c r="A1008" s="5" t="s">
        <v>687</v>
      </c>
      <c r="B1008" s="0" t="s">
        <v>34</v>
      </c>
      <c r="C1008" s="19" t="n">
        <f aca="false">C993*1</f>
        <v>2</v>
      </c>
      <c r="D1008" s="19" t="n">
        <f aca="false">D993*$D$999</f>
        <v>2.6468545185476</v>
      </c>
      <c r="E1008" s="19" t="n">
        <f aca="false">E993*$D$1000</f>
        <v>3.16732590576016</v>
      </c>
      <c r="F1008" s="19" t="n">
        <f aca="false">F993*$D$1000</f>
        <v>3.51207022378259</v>
      </c>
      <c r="G1008" s="19" t="n">
        <f aca="false">G993*$D$1000</f>
        <v>3.71220791863564</v>
      </c>
    </row>
    <row r="1009" customFormat="false" ht="17.15" hidden="false" customHeight="false" outlineLevel="0" collapsed="false">
      <c r="A1009" s="0" t="s">
        <v>688</v>
      </c>
      <c r="B1009" s="0" t="s">
        <v>34</v>
      </c>
      <c r="C1009" s="19" t="n">
        <f aca="false">C1002+C1003</f>
        <v>10</v>
      </c>
      <c r="D1009" s="19" t="n">
        <f aca="false">D1002+D1003</f>
        <v>13.8875674014475</v>
      </c>
      <c r="E1009" s="19" t="n">
        <f aca="false">E1002+E1003</f>
        <v>10.8862681036032</v>
      </c>
      <c r="F1009" s="19" t="n">
        <f aca="false">F1002+F1003</f>
        <v>10.512297655406</v>
      </c>
      <c r="G1009" s="19" t="n">
        <f aca="false">G1002+G1003</f>
        <v>9.80509011186963</v>
      </c>
    </row>
    <row r="1010" customFormat="false" ht="17.15" hidden="false" customHeight="false" outlineLevel="0" collapsed="false">
      <c r="A1010" s="5" t="s">
        <v>689</v>
      </c>
      <c r="B1010" s="0" t="s">
        <v>34</v>
      </c>
      <c r="C1010" s="19" t="n">
        <f aca="false">C1009+C1004+C1005</f>
        <v>40.39</v>
      </c>
      <c r="D1010" s="19" t="n">
        <f aca="false">D1009+D1004+D1005</f>
        <v>49.043814979052</v>
      </c>
      <c r="E1010" s="19" t="n">
        <f aca="false">E1009+E1004+E1005</f>
        <v>51.0478673685001</v>
      </c>
      <c r="F1010" s="19" t="n">
        <f aca="false">F1009+F1004+F1005</f>
        <v>55.3708124029177</v>
      </c>
      <c r="G1010" s="19" t="n">
        <f aca="false">G1009+G1004+G1005</f>
        <v>57.7920335784899</v>
      </c>
      <c r="J1010" s="5" t="s">
        <v>690</v>
      </c>
    </row>
    <row r="1011" customFormat="false" ht="17.15" hidden="false" customHeight="false" outlineLevel="0" collapsed="false">
      <c r="A1011" s="5" t="s">
        <v>541</v>
      </c>
      <c r="B1011" s="0" t="s">
        <v>34</v>
      </c>
      <c r="C1011" s="19" t="n">
        <f aca="false">C1010+C1006+C1007+C1008+seg_adj</f>
        <v>54.365</v>
      </c>
      <c r="D1011" s="19" t="n">
        <f aca="false">D1010+D1006+D1007+D1008</f>
        <v>64</v>
      </c>
      <c r="E1011" s="19" t="n">
        <f aca="false">E1010+E1006+E1007+E1008</f>
        <v>66.602971650572</v>
      </c>
      <c r="F1011" s="19" t="n">
        <f aca="false">F1010+F1006+F1007+F1008</f>
        <v>71.3514623131407</v>
      </c>
      <c r="G1011" s="19" t="n">
        <f aca="false">G1010+G1006+G1007+G1008</f>
        <v>74.0560465329985</v>
      </c>
      <c r="J1011" s="8" t="s">
        <v>691</v>
      </c>
    </row>
    <row r="1012" customFormat="false" ht="17.15" hidden="false" customHeight="false" outlineLevel="0" collapsed="false">
      <c r="A1012" s="5" t="s">
        <v>692</v>
      </c>
      <c r="B1012" s="0" t="s">
        <v>34</v>
      </c>
      <c r="C1012" s="20" t="n">
        <f aca="false">C1010+C1006+C1007+C1008-a25_rev</f>
        <v>-0.0249999999999986</v>
      </c>
    </row>
    <row r="1013" customFormat="false" ht="17.15" hidden="false" customHeight="false" outlineLevel="0" collapsed="false">
      <c r="A1013" s="0" t="s">
        <v>621</v>
      </c>
      <c r="B1013" s="0" t="s">
        <v>94</v>
      </c>
      <c r="C1013" s="11" t="n">
        <f aca="false">C1009/C1011</f>
        <v>0.1839418743677</v>
      </c>
      <c r="D1013" s="11" t="n">
        <f aca="false">D1009/D1011</f>
        <v>0.216993240647617</v>
      </c>
      <c r="E1013" s="11" t="n">
        <f aca="false">E1009/E1011</f>
        <v>0.163450185987456</v>
      </c>
      <c r="F1013" s="11" t="n">
        <f aca="false">F1009/F1011</f>
        <v>0.147331215291294</v>
      </c>
      <c r="G1013" s="11" t="n">
        <f aca="false">G1009/G1011</f>
        <v>0.132400939165725</v>
      </c>
    </row>
    <row r="1014" customFormat="false" ht="17.15" hidden="false" customHeight="false" outlineLevel="0" collapsed="false">
      <c r="A1014" s="5" t="s">
        <v>545</v>
      </c>
      <c r="B1014" s="0" t="s">
        <v>34</v>
      </c>
      <c r="C1014" s="19" t="n">
        <f aca="false">a25_oi</f>
        <v>6.917</v>
      </c>
      <c r="D1014" s="19" t="n">
        <f aca="false">D997</f>
        <v>10.24</v>
      </c>
      <c r="E1014" s="19" t="n">
        <f aca="false">$D1014+(im+ima_A)*(E1011-$D1011)</f>
        <v>11.019644999079</v>
      </c>
      <c r="F1014" s="19" t="n">
        <f aca="false">$D1014+(im+ima_A)*(F1011-$D1011)</f>
        <v>12.441918267953</v>
      </c>
      <c r="G1014" s="19" t="n">
        <f aca="false">$D1014+(im+ima_A)*(G1011-$D1011)</f>
        <v>13.2519983781751</v>
      </c>
      <c r="J1014" s="8" t="s">
        <v>693</v>
      </c>
    </row>
    <row r="1015" customFormat="false" ht="15" hidden="false" customHeight="false" outlineLevel="0" collapsed="false">
      <c r="A1015" s="5" t="s">
        <v>694</v>
      </c>
      <c r="B1015" s="0" t="s">
        <v>94</v>
      </c>
      <c r="C1015" s="11" t="n">
        <f aca="false">C1014/C1011</f>
        <v>0.127232594500138</v>
      </c>
      <c r="D1015" s="11" t="n">
        <f aca="false">D1014/D1011</f>
        <v>0.16</v>
      </c>
      <c r="E1015" s="11" t="n">
        <f aca="false">E1014/E1011</f>
        <v>0.165452752722399</v>
      </c>
      <c r="F1015" s="11" t="n">
        <f aca="false">F1014/F1011</f>
        <v>0.174375098485706</v>
      </c>
      <c r="G1015" s="11" t="n">
        <f aca="false">G1014/G1011</f>
        <v>0.178945528401522</v>
      </c>
    </row>
    <row r="1016" customFormat="false" ht="15" hidden="false" customHeight="false" outlineLevel="0" collapsed="false">
      <c r="A1016" s="5" t="s">
        <v>548</v>
      </c>
      <c r="B1016" s="0" t="s">
        <v>34</v>
      </c>
      <c r="C1016" s="19" t="n">
        <f aca="false">a25_ni</f>
        <v>4.593</v>
      </c>
      <c r="D1016" s="19" t="n">
        <f aca="false">D998</f>
        <v>7</v>
      </c>
      <c r="E1016" s="19" t="n">
        <f aca="false">E1014*nioi</f>
        <v>7.53296044858919</v>
      </c>
      <c r="F1016" s="19" t="n">
        <f aca="false">F1014*nioi</f>
        <v>8.50521756598352</v>
      </c>
      <c r="G1016" s="19" t="n">
        <f aca="false">G1014*nioi</f>
        <v>9.05898326633064</v>
      </c>
    </row>
    <row r="1017" customFormat="false" ht="15" hidden="false" customHeight="false" outlineLevel="0" collapsed="false">
      <c r="A1017" s="0" t="s">
        <v>622</v>
      </c>
      <c r="B1017" s="0" t="s">
        <v>52</v>
      </c>
      <c r="C1017" s="22" t="n">
        <f aca="false">a25_eps</f>
        <v>61.22</v>
      </c>
      <c r="D1017" s="22" t="n">
        <f aca="false">D1016*1000/shares</f>
        <v>93.2961492201002</v>
      </c>
      <c r="E1017" s="22" t="n">
        <f aca="false">E1016*1000/shares</f>
        <v>100.399457440099</v>
      </c>
      <c r="F1017" s="22" t="n">
        <f aca="false">F1016*1000/shares</f>
        <v>113.357721026488</v>
      </c>
      <c r="G1017" s="22" t="n">
        <f aca="false">G1016*1000/shares</f>
        <v>120.738322085425</v>
      </c>
    </row>
    <row r="1018" customFormat="false" ht="17.15" hidden="false" customHeight="false" outlineLevel="0" collapsed="false">
      <c r="A1018" s="5" t="s">
        <v>695</v>
      </c>
      <c r="B1018" s="0" t="s">
        <v>34</v>
      </c>
      <c r="C1018" s="20" t="n">
        <f aca="false">ABS(C1011-a25_rev)+ABS(C1014-a25_oi)+ABS(D1011-D996)</f>
        <v>0</v>
      </c>
    </row>
    <row r="1030" customFormat="false" ht="17.15" hidden="false" customHeight="false" outlineLevel="0" collapsed="false">
      <c r="A1030" s="3" t="s">
        <v>1032</v>
      </c>
    </row>
    <row r="1031" customFormat="false" ht="17.15" hidden="false" customHeight="false" outlineLevel="0" collapsed="false">
      <c r="A1031" s="6" t="s">
        <v>23</v>
      </c>
      <c r="B1031" s="6" t="s">
        <v>24</v>
      </c>
      <c r="C1031" s="15" t="s">
        <v>628</v>
      </c>
      <c r="D1031" s="15" t="s">
        <v>629</v>
      </c>
      <c r="E1031" s="15" t="s">
        <v>630</v>
      </c>
      <c r="F1031" s="15" t="s">
        <v>631</v>
      </c>
      <c r="G1031" s="15" t="s">
        <v>632</v>
      </c>
      <c r="H1031" s="15" t="s">
        <v>633</v>
      </c>
      <c r="I1031" s="15" t="s">
        <v>634</v>
      </c>
      <c r="J1031" s="6" t="s">
        <v>468</v>
      </c>
    </row>
    <row r="1032" customFormat="false" ht="17.15" hidden="false" customHeight="false" outlineLevel="0" collapsed="false">
      <c r="A1032" s="1" t="s">
        <v>635</v>
      </c>
    </row>
    <row r="1033" customFormat="false" ht="17.15" hidden="false" customHeight="false" outlineLevel="0" collapsed="false">
      <c r="A1033" s="0" t="s">
        <v>636</v>
      </c>
      <c r="B1033" s="0" t="s">
        <v>111</v>
      </c>
      <c r="C1033" s="21" t="n">
        <f aca="false">hsA_25</f>
        <v>2.22511470588235</v>
      </c>
      <c r="D1033" s="21" t="n">
        <f aca="false">hsA_26</f>
        <v>3.782695</v>
      </c>
      <c r="E1033" s="21" t="n">
        <f aca="false">hsA_27</f>
        <v>5.86317725</v>
      </c>
      <c r="F1033" s="21" t="n">
        <f aca="false">hsA_28</f>
        <v>8.5016070125</v>
      </c>
      <c r="G1033" s="21" t="n">
        <f aca="false">hsA_29</f>
        <v>11.477169466875</v>
      </c>
      <c r="J1033" s="8" t="s">
        <v>637</v>
      </c>
    </row>
    <row r="1034" customFormat="false" ht="17.15" hidden="false" customHeight="false" outlineLevel="0" collapsed="false">
      <c r="A1034" s="0" t="s">
        <v>638</v>
      </c>
      <c r="B1034" s="0" t="s">
        <v>639</v>
      </c>
      <c r="C1034" s="21" t="n">
        <f aca="false">den_25</f>
        <v>24</v>
      </c>
      <c r="D1034" s="21" t="n">
        <f aca="false">den_26</f>
        <v>24</v>
      </c>
      <c r="E1034" s="21" t="n">
        <f aca="false">den_27</f>
        <v>26</v>
      </c>
      <c r="F1034" s="21" t="n">
        <f aca="false">den_28</f>
        <v>28</v>
      </c>
      <c r="G1034" s="21" t="n">
        <f aca="false">den_29</f>
        <v>30</v>
      </c>
    </row>
    <row r="1035" customFormat="false" ht="15" hidden="false" customHeight="false" outlineLevel="0" collapsed="false">
      <c r="A1035" s="5" t="s">
        <v>640</v>
      </c>
      <c r="B1035" s="5" t="s">
        <v>160</v>
      </c>
      <c r="C1035" s="21" t="n">
        <f aca="false">stk_25</f>
        <v>10</v>
      </c>
      <c r="D1035" s="21" t="n">
        <f aca="false">stk_26</f>
        <v>12</v>
      </c>
      <c r="E1035" s="21" t="n">
        <f aca="false">stk_27</f>
        <v>12.5</v>
      </c>
      <c r="F1035" s="21" t="n">
        <f aca="false">stk_28</f>
        <v>14</v>
      </c>
      <c r="G1035" s="21" t="n">
        <f aca="false">stk_29</f>
        <v>15</v>
      </c>
    </row>
    <row r="1036" customFormat="false" ht="17.15" hidden="false" customHeight="false" outlineLevel="0" collapsed="false">
      <c r="A1036" s="0" t="s">
        <v>641</v>
      </c>
      <c r="B1036" s="5" t="s">
        <v>642</v>
      </c>
      <c r="C1036" s="23" t="n">
        <f aca="false">C1033*8/(C1034*C1035)</f>
        <v>0.0741704901960783</v>
      </c>
      <c r="D1036" s="23" t="n">
        <f aca="false">D1033*8/(D1034*D1035)</f>
        <v>0.105074861111111</v>
      </c>
      <c r="E1036" s="23" t="n">
        <f aca="false">E1033*8/(E1034*E1035)</f>
        <v>0.144324363076923</v>
      </c>
      <c r="F1036" s="23" t="n">
        <f aca="false">F1033*8/(F1034*F1035)</f>
        <v>0.173502183928571</v>
      </c>
      <c r="G1036" s="23" t="n">
        <f aca="false">G1033*8/(G1034*G1035)</f>
        <v>0.2040385683</v>
      </c>
      <c r="H1036" s="23" t="n">
        <f aca="false">G1036*(1+g_tail)</f>
        <v>0.22444242513</v>
      </c>
      <c r="I1036" s="23" t="n">
        <f aca="false">H1036*(1+g_tail)</f>
        <v>0.246886667643</v>
      </c>
      <c r="J1036" s="8" t="s">
        <v>643</v>
      </c>
    </row>
    <row r="1037" customFormat="false" ht="17.15" hidden="false" customHeight="false" outlineLevel="0" collapsed="false">
      <c r="A1037" s="0" t="s">
        <v>644</v>
      </c>
      <c r="B1037" s="5" t="s">
        <v>642</v>
      </c>
      <c r="C1037" s="23" t="n">
        <f aca="false">MAX(0,D1036-C1036)+dlt*C1036</f>
        <v>0.0383214199346406</v>
      </c>
      <c r="D1037" s="23" t="n">
        <f aca="false">MAX(0,E1036-D1036)+dlt*D1036</f>
        <v>0.0497569880769231</v>
      </c>
      <c r="E1037" s="23" t="n">
        <f aca="false">MAX(0,F1036-E1036)+dlt*E1036</f>
        <v>0.0436102571593407</v>
      </c>
      <c r="F1037" s="23" t="n">
        <f aca="false">MAX(0,G1036-F1036)+dlt*F1036</f>
        <v>0.0478866027642858</v>
      </c>
      <c r="G1037" s="23" t="n">
        <f aca="false">MAX(0,H1036-G1036)+dlt*G1036</f>
        <v>0.04080771366</v>
      </c>
      <c r="H1037" s="23" t="n">
        <f aca="false">MAX(0,I1036-H1036)+dlt*H1036</f>
        <v>0.044888485026</v>
      </c>
      <c r="J1037" s="5" t="s">
        <v>645</v>
      </c>
    </row>
    <row r="1038" customFormat="false" ht="17.15" hidden="false" customHeight="false" outlineLevel="0" collapsed="false">
      <c r="A1038" s="0" t="s">
        <v>646</v>
      </c>
      <c r="B1038" s="5" t="s">
        <v>183</v>
      </c>
      <c r="C1038" s="14" t="n">
        <f aca="false">cw_25</f>
        <v>670</v>
      </c>
      <c r="D1038" s="14" t="n">
        <f aca="false">cw_26</f>
        <v>1107.85762580894</v>
      </c>
      <c r="E1038" s="14" t="n">
        <f aca="false">cw_27</f>
        <v>2096.42857142857</v>
      </c>
      <c r="F1038" s="14" t="n">
        <f aca="false">cw_28*um28_A</f>
        <v>2620.08928571429</v>
      </c>
      <c r="G1038" s="14" t="n">
        <f aca="false">cw_29*um29_A</f>
        <v>3013.32589285714</v>
      </c>
      <c r="H1038" s="14" t="n">
        <f aca="false">G1038*(1+g_tail)</f>
        <v>3314.65848214285</v>
      </c>
      <c r="I1038" s="14" t="n">
        <f aca="false">H1038*(1+g_tail)</f>
        <v>3646.12433035714</v>
      </c>
      <c r="J1038" s="5" t="s">
        <v>647</v>
      </c>
    </row>
    <row r="1039" customFormat="false" ht="17.15" hidden="false" customHeight="false" outlineLevel="0" collapsed="false">
      <c r="A1039" s="0" t="s">
        <v>648</v>
      </c>
      <c r="B1039" s="5" t="s">
        <v>183</v>
      </c>
      <c r="C1039" s="14" t="n">
        <f aca="false">MAX(0,D1038-C1038)+dlt*C1038</f>
        <v>504.85762580894</v>
      </c>
      <c r="D1039" s="14" t="n">
        <f aca="false">MAX(0,E1038-D1038)+dlt*D1038</f>
        <v>1099.35670820052</v>
      </c>
      <c r="E1039" s="14" t="n">
        <f aca="false">MAX(0,F1038-E1038)+dlt*E1038</f>
        <v>733.303571428577</v>
      </c>
      <c r="F1039" s="14" t="n">
        <f aca="false">MAX(0,G1038-F1038)+dlt*F1038</f>
        <v>655.245535714279</v>
      </c>
      <c r="G1039" s="14" t="n">
        <f aca="false">MAX(0,H1038-G1038)+dlt*G1038</f>
        <v>602.665178571428</v>
      </c>
      <c r="H1039" s="14" t="n">
        <f aca="false">MAX(0,I1038-H1038)+dlt*H1038</f>
        <v>662.931696428571</v>
      </c>
    </row>
    <row r="1040" customFormat="false" ht="17.15" hidden="false" customHeight="false" outlineLevel="0" collapsed="false">
      <c r="A1040" s="5" t="s">
        <v>649</v>
      </c>
      <c r="B1040" s="0" t="s">
        <v>219</v>
      </c>
      <c r="C1040" s="21" t="n">
        <f aca="false">pk_25*(eqtA_25-eqaA_25)/(eqtA_25-eqaA_25)</f>
        <v>6.11313868613139</v>
      </c>
      <c r="D1040" s="21" t="n">
        <f aca="false">pk_26*(eqtA_26-eqaA_26)/(eqtA_26-eqaA_26)</f>
        <v>6.7</v>
      </c>
      <c r="E1040" s="21" t="n">
        <f aca="false">pk_27*(eqtA_27-eqaA_27)/(eqtA_27-eqaA_27)</f>
        <v>7.59078388573934</v>
      </c>
      <c r="F1040" s="21" t="n">
        <f aca="false">pk_28*(eqtA_28-eqaA_28)/(eqtA_28-eqaA_28)</f>
        <v>8.6</v>
      </c>
      <c r="G1040" s="21" t="n">
        <f aca="false">pk_29*(eqtA_29-eqaA_29)/(eqtA_29-eqaA_29)</f>
        <v>9.288</v>
      </c>
      <c r="H1040" s="21" t="n">
        <f aca="false">G1040*(1+g_pk_tail)</f>
        <v>9.7524</v>
      </c>
      <c r="J1040" s="8" t="s">
        <v>650</v>
      </c>
    </row>
    <row r="1041" customFormat="false" ht="15" hidden="false" customHeight="false" outlineLevel="0" collapsed="false">
      <c r="A1041" s="5" t="s">
        <v>651</v>
      </c>
      <c r="B1041" s="0" t="s">
        <v>219</v>
      </c>
      <c r="C1041" s="24" t="n">
        <f aca="false">eqtA_25</f>
        <v>134.689359843138</v>
      </c>
      <c r="D1041" s="24" t="n">
        <f aca="false">eqtA_26</f>
        <v>178.157050570127</v>
      </c>
      <c r="E1041" s="24" t="n">
        <f aca="false">eqtA_27</f>
        <v>218.225535760082</v>
      </c>
      <c r="F1041" s="24" t="n">
        <f aca="false">eqtA_28</f>
        <v>246.028626308958</v>
      </c>
      <c r="G1041" s="24" t="n">
        <f aca="false">eqtA_29</f>
        <v>260.655685855226</v>
      </c>
      <c r="H1041" s="24" t="n">
        <f aca="false">G1041*(1+g_pk_tail)</f>
        <v>273.688470147987</v>
      </c>
      <c r="J1041" s="5" t="s">
        <v>652</v>
      </c>
    </row>
    <row r="1042" customFormat="false" ht="17.15" hidden="false" customHeight="false" outlineLevel="0" collapsed="false">
      <c r="A1042" s="1" t="s">
        <v>653</v>
      </c>
    </row>
    <row r="1043" customFormat="false" ht="17.15" hidden="false" customHeight="false" outlineLevel="0" collapsed="false">
      <c r="A1043" s="0" t="s">
        <v>654</v>
      </c>
      <c r="B1043" s="0" t="s">
        <v>655</v>
      </c>
      <c r="C1043" s="24" t="n">
        <f aca="false">ai_25*w_hbm/(0.75*C1037+0.25*D1037)</f>
        <v>121.417244328233</v>
      </c>
      <c r="J1043" s="5" t="s">
        <v>656</v>
      </c>
    </row>
    <row r="1044" customFormat="false" ht="17.15" hidden="false" customHeight="false" outlineLevel="0" collapsed="false">
      <c r="A1044" s="0" t="s">
        <v>657</v>
      </c>
      <c r="B1044" s="0" t="s">
        <v>658</v>
      </c>
      <c r="C1044" s="25" t="n">
        <f aca="false">ai_25*(1-w_hbm)/(0.75*C1039+0.25*D1039)</f>
        <v>0.0076513155174377</v>
      </c>
    </row>
    <row r="1045" customFormat="false" ht="17.15" hidden="false" customHeight="false" outlineLevel="0" collapsed="false">
      <c r="A1045" s="1" t="s">
        <v>659</v>
      </c>
    </row>
    <row r="1046" customFormat="false" ht="17.15" hidden="false" customHeight="false" outlineLevel="0" collapsed="false">
      <c r="A1046" s="0" t="s">
        <v>660</v>
      </c>
      <c r="B1046" s="0" t="s">
        <v>198</v>
      </c>
      <c r="C1046" s="20" t="n">
        <f aca="false">1-shl_A/sh*0</f>
        <v>1</v>
      </c>
      <c r="D1046" s="20" t="n">
        <f aca="false">1-shl_A/sh*0.25</f>
        <v>1</v>
      </c>
      <c r="E1046" s="20" t="n">
        <f aca="false">1-shl_A/sh*0.5</f>
        <v>1</v>
      </c>
      <c r="F1046" s="20" t="n">
        <f aca="false">1-shl_A/sh*0.75</f>
        <v>1</v>
      </c>
      <c r="G1046" s="20" t="n">
        <f aca="false">1-shl_A/sh*1</f>
        <v>1</v>
      </c>
      <c r="J1046" s="5" t="s">
        <v>661</v>
      </c>
    </row>
    <row r="1047" customFormat="false" ht="17.15" hidden="false" customHeight="false" outlineLevel="0" collapsed="false">
      <c r="A1047" s="0" t="s">
        <v>662</v>
      </c>
      <c r="B1047" s="0" t="s">
        <v>34</v>
      </c>
      <c r="C1047" s="19" t="n">
        <f aca="false">$C$1043*(0.75*C1037+0.25*D1037)*C1046</f>
        <v>5</v>
      </c>
      <c r="D1047" s="19" t="n">
        <f aca="false">$C$1043*(0.75*D1037+0.25*E1037)*D1046</f>
        <v>5.85477659596275</v>
      </c>
      <c r="E1047" s="19" t="n">
        <f aca="false">$C$1043*(0.75*E1037+0.25*F1037)*E1046</f>
        <v>5.42484277351964</v>
      </c>
      <c r="F1047" s="19" t="n">
        <f aca="false">$C$1043*(0.75*F1037+0.25*G1037)*F1046</f>
        <v>5.59938454589345</v>
      </c>
      <c r="G1047" s="19" t="n">
        <f aca="false">$C$1043*(0.75*G1037+0.25*H1037)*G1046</f>
        <v>5.07862914343112</v>
      </c>
    </row>
    <row r="1048" customFormat="false" ht="17.15" hidden="false" customHeight="false" outlineLevel="0" collapsed="false">
      <c r="A1048" s="0" t="s">
        <v>663</v>
      </c>
      <c r="B1048" s="0" t="s">
        <v>34</v>
      </c>
      <c r="C1048" s="19" t="n">
        <f aca="false">$C$1044*(0.75*C1039+0.25*D1039)*C1046</f>
        <v>5</v>
      </c>
      <c r="D1048" s="19" t="n">
        <f aca="false">$C$1044*(0.75*D1039+0.25*E1039)*D1046</f>
        <v>7.71132802925642</v>
      </c>
      <c r="E1048" s="19" t="n">
        <f aca="false">$C$1044*(0.75*E1039+0.25*F1039)*E1046</f>
        <v>5.46142533008358</v>
      </c>
      <c r="F1048" s="19" t="n">
        <f aca="false">$C$1044*(0.75*F1039+0.25*G1039)*F1046</f>
        <v>4.91291310951257</v>
      </c>
      <c r="G1048" s="19" t="n">
        <f aca="false">$C$1044*(0.75*G1039+0.25*H1039)*G1046</f>
        <v>4.72646096843851</v>
      </c>
    </row>
    <row r="1049" customFormat="false" ht="17.15" hidden="false" customHeight="false" outlineLevel="0" collapsed="false">
      <c r="A1049" s="5" t="s">
        <v>664</v>
      </c>
      <c r="B1049" s="0" t="s">
        <v>34</v>
      </c>
      <c r="C1049" s="19" t="n">
        <f aca="false">(seg_mold-ai_25)*(0.75*C1040+0.25*D1040)/(0.75*C1040+0.25*D1040)</f>
        <v>26.46</v>
      </c>
      <c r="D1049" s="19" t="n">
        <f aca="false">(seg_mold-ai_25)*(0.75*D1040+0.25*E1040)/(0.75*C1040+0.25*D1040)</f>
        <v>29.2617902872793</v>
      </c>
      <c r="E1049" s="19" t="n">
        <f aca="false">(seg_mold-ai_25)*(0.75*E1040+0.25*F1040)/(0.75*C1040+0.25*D1040)</f>
        <v>33.1522277881438</v>
      </c>
      <c r="F1049" s="19" t="n">
        <f aca="false">(seg_mold-ai_25)*(0.75*F1040+0.25*G1040)/(0.75*C1040+0.25*D1040)</f>
        <v>37.0786793843283</v>
      </c>
      <c r="G1049" s="19" t="n">
        <f aca="false">(seg_mold-ai_25)*(0.75*G1040+0.25*H1040)/(0.75*C1040+0.25*D1040)</f>
        <v>39.7505253987873</v>
      </c>
      <c r="J1049" s="8" t="s">
        <v>665</v>
      </c>
    </row>
    <row r="1050" customFormat="false" ht="15" hidden="false" customHeight="false" outlineLevel="0" collapsed="false">
      <c r="A1050" s="5" t="s">
        <v>666</v>
      </c>
      <c r="B1050" s="0" t="s">
        <v>34</v>
      </c>
      <c r="C1050" s="19" t="n">
        <f aca="false">seg_osemi*(0.75*C1041+0.25*D1041)/(0.75*C1041+0.25*D1041)</f>
        <v>3.93</v>
      </c>
      <c r="D1050" s="19" t="n">
        <f aca="false">seg_osemi*(0.75*D1041+0.25*E1041)/(0.75*C1041+0.25*D1041)</f>
        <v>5.08067726525852</v>
      </c>
      <c r="E1050" s="19" t="n">
        <f aca="false">seg_osemi*(0.75*E1041+0.25*F1041)/(0.75*C1041+0.25*D1041)</f>
        <v>6.0797299618455</v>
      </c>
      <c r="F1050" s="19" t="n">
        <f aca="false">seg_osemi*(0.75*F1041+0.25*G1041)/(0.75*C1041+0.25*D1041)</f>
        <v>6.74147189236335</v>
      </c>
      <c r="G1050" s="19" t="n">
        <f aca="false">seg_osemi*(0.75*G1041+0.25*H1041)/(0.75*C1041+0.25*D1041)</f>
        <v>7.12563922344852</v>
      </c>
      <c r="J1050" s="5" t="s">
        <v>667</v>
      </c>
    </row>
    <row r="1051" customFormat="false" ht="17.15" hidden="false" customHeight="false" outlineLevel="0" collapsed="false">
      <c r="A1051" s="5" t="s">
        <v>668</v>
      </c>
      <c r="B1051" s="0" t="s">
        <v>34</v>
      </c>
      <c r="C1051" s="19" t="n">
        <f aca="false">seg_new</f>
        <v>9.47</v>
      </c>
      <c r="D1051" s="19" t="n">
        <f aca="false">C1051*(1+g_tss_hi)</f>
        <v>10.0382</v>
      </c>
      <c r="E1051" s="19" t="n">
        <f aca="false">D1051*(1+g_tss_hi)</f>
        <v>10.640492</v>
      </c>
      <c r="F1051" s="19" t="n">
        <f aca="false">E1051*(1+g_tss_hi)</f>
        <v>11.27892152</v>
      </c>
      <c r="G1051" s="19" t="n">
        <f aca="false">F1051*(1+g_tss_hi)</f>
        <v>11.9556568112</v>
      </c>
    </row>
    <row r="1052" customFormat="false" ht="15" hidden="false" customHeight="false" outlineLevel="0" collapsed="false">
      <c r="A1052" s="5" t="s">
        <v>669</v>
      </c>
      <c r="B1052" s="0" t="s">
        <v>34</v>
      </c>
      <c r="C1052" s="19" t="n">
        <f aca="false">seg_med</f>
        <v>2.48</v>
      </c>
      <c r="D1052" s="19" t="n">
        <f aca="false">C1052*(1+g_med)</f>
        <v>2.5544</v>
      </c>
      <c r="E1052" s="19" t="n">
        <f aca="false">D1052*(1+g_med)</f>
        <v>2.631032</v>
      </c>
      <c r="F1052" s="19" t="n">
        <f aca="false">E1052*(1+g_med)</f>
        <v>2.70996296</v>
      </c>
      <c r="G1052" s="19" t="n">
        <f aca="false">F1052*(1+g_med)</f>
        <v>2.7912618488</v>
      </c>
    </row>
    <row r="1053" customFormat="false" ht="15" hidden="false" customHeight="false" outlineLevel="0" collapsed="false">
      <c r="A1053" s="5" t="s">
        <v>670</v>
      </c>
      <c r="B1053" s="0" t="s">
        <v>34</v>
      </c>
      <c r="C1053" s="19" t="n">
        <f aca="false">seg_las*(0.75*C1041+0.25*D1041)/(0.75*C1041+0.25*D1041)</f>
        <v>2</v>
      </c>
      <c r="D1053" s="19" t="n">
        <f aca="false">seg_las*(0.75*D1041+0.25*E1041)/(0.75*C1041+0.25*D1041)</f>
        <v>2.5855863945336</v>
      </c>
      <c r="E1053" s="19" t="n">
        <f aca="false">seg_las*(0.75*E1041+0.25*F1041)/(0.75*C1041+0.25*D1041)</f>
        <v>3.0940101587</v>
      </c>
      <c r="F1053" s="19" t="n">
        <f aca="false">seg_las*(0.75*F1041+0.25*G1041)/(0.75*C1041+0.25*D1041)</f>
        <v>3.43077449993046</v>
      </c>
      <c r="G1053" s="19" t="n">
        <f aca="false">seg_las*(0.75*G1041+0.25*H1041)/(0.75*C1041+0.25*D1041)</f>
        <v>3.62627950302724</v>
      </c>
      <c r="J1053" s="5" t="s">
        <v>667</v>
      </c>
    </row>
    <row r="1054" customFormat="false" ht="15" hidden="false" customHeight="false" outlineLevel="0" collapsed="false">
      <c r="A1054" s="5" t="s">
        <v>671</v>
      </c>
      <c r="B1054" s="0" t="s">
        <v>34</v>
      </c>
      <c r="C1054" s="19" t="n">
        <f aca="false">C1047+C1048+C1049+C1050+C1051+C1052+C1053+seg_adj</f>
        <v>54.365</v>
      </c>
      <c r="D1054" s="19" t="n">
        <f aca="false">D1047+D1048+D1049+D1050+D1051+D1052+D1053</f>
        <v>63.0867585722905</v>
      </c>
      <c r="E1054" s="19" t="n">
        <f aca="false">E1047+E1048+E1049+E1050+E1051+E1052+E1053</f>
        <v>66.4837600122925</v>
      </c>
      <c r="F1054" s="19" t="n">
        <f aca="false">F1047+F1048+F1049+F1050+F1051+F1052+F1053</f>
        <v>71.7521079120282</v>
      </c>
      <c r="G1054" s="19" t="n">
        <f aca="false">G1047+G1048+G1049+G1050+G1051+G1052+G1053</f>
        <v>75.0544528971327</v>
      </c>
    </row>
    <row r="1055" customFormat="false" ht="17.15" hidden="false" customHeight="false" outlineLevel="0" collapsed="false">
      <c r="A1055" s="1" t="s">
        <v>672</v>
      </c>
    </row>
    <row r="1056" customFormat="false" ht="17.15" hidden="false" customHeight="false" outlineLevel="0" collapsed="false">
      <c r="A1056" s="0" t="s">
        <v>673</v>
      </c>
      <c r="B1056" s="0" t="s">
        <v>34</v>
      </c>
      <c r="D1056" s="19" t="n">
        <f aca="false">g26_rev*(1+g_anc)</f>
        <v>64</v>
      </c>
    </row>
    <row r="1057" customFormat="false" ht="17.15" hidden="false" customHeight="false" outlineLevel="0" collapsed="false">
      <c r="A1057" s="0" t="s">
        <v>674</v>
      </c>
      <c r="B1057" s="0" t="s">
        <v>34</v>
      </c>
      <c r="D1057" s="19" t="n">
        <f aca="false">D1056*g26_oi/g26_rev</f>
        <v>10.24</v>
      </c>
    </row>
    <row r="1058" customFormat="false" ht="17.15" hidden="false" customHeight="false" outlineLevel="0" collapsed="false">
      <c r="A1058" s="0" t="s">
        <v>675</v>
      </c>
      <c r="B1058" s="0" t="s">
        <v>34</v>
      </c>
      <c r="D1058" s="19" t="n">
        <f aca="false">D1057*g26_ni/g26_oi</f>
        <v>7</v>
      </c>
    </row>
    <row r="1059" customFormat="false" ht="17.15" hidden="false" customHeight="false" outlineLevel="0" collapsed="false">
      <c r="A1059" s="5" t="s">
        <v>676</v>
      </c>
      <c r="B1059" s="0" t="s">
        <v>198</v>
      </c>
      <c r="D1059" s="20" t="n">
        <f aca="false">D1056/D1054</f>
        <v>1.01447596054032</v>
      </c>
      <c r="J1059" s="8" t="s">
        <v>677</v>
      </c>
    </row>
    <row r="1060" customFormat="false" ht="17.15" hidden="false" customHeight="false" outlineLevel="0" collapsed="false">
      <c r="A1060" s="5" t="s">
        <v>678</v>
      </c>
      <c r="B1060" s="0" t="s">
        <v>198</v>
      </c>
      <c r="D1060" s="20" t="n">
        <f aca="false">1+1*(D1059-1)</f>
        <v>1.01447596054032</v>
      </c>
      <c r="J1060" s="8" t="s">
        <v>679</v>
      </c>
    </row>
    <row r="1061" customFormat="false" ht="17.15" hidden="false" customHeight="false" outlineLevel="0" collapsed="false">
      <c r="A1061" s="1" t="s">
        <v>680</v>
      </c>
    </row>
    <row r="1062" customFormat="false" ht="17.15" hidden="false" customHeight="false" outlineLevel="0" collapsed="false">
      <c r="A1062" s="0" t="s">
        <v>681</v>
      </c>
      <c r="B1062" s="0" t="s">
        <v>34</v>
      </c>
      <c r="C1062" s="19" t="n">
        <f aca="false">C1047*1</f>
        <v>5</v>
      </c>
      <c r="D1062" s="19" t="n">
        <f aca="false">D1047*$D$1059</f>
        <v>5.93953011093832</v>
      </c>
      <c r="E1062" s="19" t="n">
        <f aca="false">E1047*1</f>
        <v>5.42484277351964</v>
      </c>
      <c r="F1062" s="19" t="n">
        <f aca="false">F1047*1</f>
        <v>5.59938454589345</v>
      </c>
      <c r="G1062" s="19" t="n">
        <f aca="false">G1047*1</f>
        <v>5.07862914343112</v>
      </c>
    </row>
    <row r="1063" customFormat="false" ht="17.15" hidden="false" customHeight="false" outlineLevel="0" collapsed="false">
      <c r="A1063" s="0" t="s">
        <v>682</v>
      </c>
      <c r="B1063" s="0" t="s">
        <v>34</v>
      </c>
      <c r="C1063" s="19" t="n">
        <f aca="false">C1048*1</f>
        <v>5</v>
      </c>
      <c r="D1063" s="19" t="n">
        <f aca="false">D1048*$D$1059</f>
        <v>7.82295690952143</v>
      </c>
      <c r="E1063" s="19" t="n">
        <f aca="false">E1048*1</f>
        <v>5.46142533008358</v>
      </c>
      <c r="F1063" s="19" t="n">
        <f aca="false">F1048*1</f>
        <v>4.91291310951257</v>
      </c>
      <c r="G1063" s="19" t="n">
        <f aca="false">G1048*1</f>
        <v>4.72646096843851</v>
      </c>
    </row>
    <row r="1064" customFormat="false" ht="17.15" hidden="false" customHeight="false" outlineLevel="0" collapsed="false">
      <c r="A1064" s="5" t="s">
        <v>683</v>
      </c>
      <c r="B1064" s="0" t="s">
        <v>34</v>
      </c>
      <c r="C1064" s="19" t="n">
        <f aca="false">C1049*1</f>
        <v>26.46</v>
      </c>
      <c r="D1064" s="19" t="n">
        <f aca="false">D1049*$D$1059</f>
        <v>29.6853828088172</v>
      </c>
      <c r="E1064" s="19" t="n">
        <f aca="false">E1049*$D$1060</f>
        <v>33.6321381294288</v>
      </c>
      <c r="F1064" s="19" t="n">
        <f aca="false">F1049*$D$1060</f>
        <v>37.6154288839832</v>
      </c>
      <c r="G1064" s="19" t="n">
        <f aca="false">G1049*$D$1060</f>
        <v>40.3259524359173</v>
      </c>
    </row>
    <row r="1065" customFormat="false" ht="15" hidden="false" customHeight="false" outlineLevel="0" collapsed="false">
      <c r="A1065" s="5" t="s">
        <v>684</v>
      </c>
      <c r="B1065" s="0" t="s">
        <v>34</v>
      </c>
      <c r="C1065" s="19" t="n">
        <f aca="false">C1050*1</f>
        <v>3.93</v>
      </c>
      <c r="D1065" s="19" t="n">
        <f aca="false">D1050*$D$1059</f>
        <v>5.15422494886852</v>
      </c>
      <c r="E1065" s="19" t="n">
        <f aca="false">E1050*$D$1060</f>
        <v>6.167739892869</v>
      </c>
      <c r="F1065" s="19" t="n">
        <f aca="false">F1050*$D$1060</f>
        <v>6.83906117346091</v>
      </c>
      <c r="G1065" s="19" t="n">
        <f aca="false">G1050*$D$1060</f>
        <v>7.22878969567175</v>
      </c>
    </row>
    <row r="1066" customFormat="false" ht="17.15" hidden="false" customHeight="false" outlineLevel="0" collapsed="false">
      <c r="A1066" s="5" t="s">
        <v>685</v>
      </c>
      <c r="B1066" s="0" t="s">
        <v>34</v>
      </c>
      <c r="C1066" s="19" t="n">
        <f aca="false">C1051*1</f>
        <v>9.47</v>
      </c>
      <c r="D1066" s="19" t="n">
        <f aca="false">D1051*$D$1059</f>
        <v>10.1835125870959</v>
      </c>
      <c r="E1066" s="19" t="n">
        <f aca="false">E1051*$D$1060</f>
        <v>10.7945233423216</v>
      </c>
      <c r="F1066" s="19" t="n">
        <f aca="false">F1051*$D$1060</f>
        <v>11.4421947428609</v>
      </c>
      <c r="G1066" s="19" t="n">
        <f aca="false">G1051*$D$1060</f>
        <v>12.1287264274326</v>
      </c>
    </row>
    <row r="1067" customFormat="false" ht="15" hidden="false" customHeight="false" outlineLevel="0" collapsed="false">
      <c r="A1067" s="5" t="s">
        <v>686</v>
      </c>
      <c r="B1067" s="0" t="s">
        <v>34</v>
      </c>
      <c r="C1067" s="19" t="n">
        <f aca="false">C1052*1</f>
        <v>2.48</v>
      </c>
      <c r="D1067" s="19" t="n">
        <f aca="false">D1052*$D$1059</f>
        <v>2.59137739360421</v>
      </c>
      <c r="E1067" s="19" t="n">
        <f aca="false">E1052*$D$1060</f>
        <v>2.66911871541233</v>
      </c>
      <c r="F1067" s="19" t="n">
        <f aca="false">F1052*$D$1060</f>
        <v>2.7491922768747</v>
      </c>
      <c r="G1067" s="19" t="n">
        <f aca="false">G1052*$D$1060</f>
        <v>2.83166804518094</v>
      </c>
    </row>
    <row r="1068" customFormat="false" ht="15" hidden="false" customHeight="false" outlineLevel="0" collapsed="false">
      <c r="A1068" s="5" t="s">
        <v>687</v>
      </c>
      <c r="B1068" s="0" t="s">
        <v>34</v>
      </c>
      <c r="C1068" s="19" t="n">
        <f aca="false">C1053*1</f>
        <v>2</v>
      </c>
      <c r="D1068" s="19" t="n">
        <f aca="false">D1053*$D$1059</f>
        <v>2.62301524115446</v>
      </c>
      <c r="E1068" s="19" t="n">
        <f aca="false">E1053*$D$1060</f>
        <v>3.1387989276687</v>
      </c>
      <c r="F1068" s="19" t="n">
        <f aca="false">F1053*$D$1060</f>
        <v>3.48043825621421</v>
      </c>
      <c r="G1068" s="19" t="n">
        <f aca="false">G1053*$D$1060</f>
        <v>3.67877338202125</v>
      </c>
    </row>
    <row r="1069" customFormat="false" ht="17.15" hidden="false" customHeight="false" outlineLevel="0" collapsed="false">
      <c r="A1069" s="0" t="s">
        <v>688</v>
      </c>
      <c r="B1069" s="0" t="s">
        <v>34</v>
      </c>
      <c r="C1069" s="19" t="n">
        <f aca="false">C1062+C1063</f>
        <v>10</v>
      </c>
      <c r="D1069" s="19" t="n">
        <f aca="false">D1062+D1063</f>
        <v>13.7624870204598</v>
      </c>
      <c r="E1069" s="19" t="n">
        <f aca="false">E1062+E1063</f>
        <v>10.8862681036032</v>
      </c>
      <c r="F1069" s="19" t="n">
        <f aca="false">F1062+F1063</f>
        <v>10.512297655406</v>
      </c>
      <c r="G1069" s="19" t="n">
        <f aca="false">G1062+G1063</f>
        <v>9.80509011186963</v>
      </c>
    </row>
    <row r="1070" customFormat="false" ht="17.15" hidden="false" customHeight="false" outlineLevel="0" collapsed="false">
      <c r="A1070" s="5" t="s">
        <v>689</v>
      </c>
      <c r="B1070" s="0" t="s">
        <v>34</v>
      </c>
      <c r="C1070" s="19" t="n">
        <f aca="false">C1069+C1064+C1065</f>
        <v>40.39</v>
      </c>
      <c r="D1070" s="19" t="n">
        <f aca="false">D1069+D1064+D1065</f>
        <v>48.6020947781455</v>
      </c>
      <c r="E1070" s="19" t="n">
        <f aca="false">E1069+E1064+E1065</f>
        <v>50.686146125901</v>
      </c>
      <c r="F1070" s="19" t="n">
        <f aca="false">F1069+F1064+F1065</f>
        <v>54.9667877128502</v>
      </c>
      <c r="G1070" s="19" t="n">
        <f aca="false">G1069+G1064+G1065</f>
        <v>57.3598322434587</v>
      </c>
      <c r="J1070" s="5" t="s">
        <v>690</v>
      </c>
    </row>
    <row r="1071" customFormat="false" ht="17.15" hidden="false" customHeight="false" outlineLevel="0" collapsed="false">
      <c r="A1071" s="5" t="s">
        <v>541</v>
      </c>
      <c r="B1071" s="0" t="s">
        <v>34</v>
      </c>
      <c r="C1071" s="19" t="n">
        <f aca="false">C1070+C1066+C1067+C1068+seg_adj</f>
        <v>54.365</v>
      </c>
      <c r="D1071" s="19" t="n">
        <f aca="false">D1070+D1066+D1067+D1068</f>
        <v>64</v>
      </c>
      <c r="E1071" s="19" t="n">
        <f aca="false">E1070+E1066+E1067+E1068</f>
        <v>67.2885871113037</v>
      </c>
      <c r="F1071" s="19" t="n">
        <f aca="false">F1070+F1066+F1067+F1068</f>
        <v>72.6386129888</v>
      </c>
      <c r="G1071" s="19" t="n">
        <f aca="false">G1070+G1066+G1067+G1068</f>
        <v>75.9990000980935</v>
      </c>
      <c r="J1071" s="8" t="s">
        <v>691</v>
      </c>
    </row>
    <row r="1072" customFormat="false" ht="17.15" hidden="false" customHeight="false" outlineLevel="0" collapsed="false">
      <c r="A1072" s="5" t="s">
        <v>692</v>
      </c>
      <c r="B1072" s="0" t="s">
        <v>34</v>
      </c>
      <c r="C1072" s="20" t="n">
        <f aca="false">C1070+C1066+C1067+C1068-a25_rev</f>
        <v>-0.0249999999999986</v>
      </c>
    </row>
    <row r="1073" customFormat="false" ht="17.15" hidden="false" customHeight="false" outlineLevel="0" collapsed="false">
      <c r="A1073" s="0" t="s">
        <v>621</v>
      </c>
      <c r="B1073" s="0" t="s">
        <v>94</v>
      </c>
      <c r="C1073" s="11" t="n">
        <f aca="false">C1069/C1071</f>
        <v>0.1839418743677</v>
      </c>
      <c r="D1073" s="11" t="n">
        <f aca="false">D1069/D1071</f>
        <v>0.215038859694684</v>
      </c>
      <c r="E1073" s="11" t="n">
        <f aca="false">E1069/E1071</f>
        <v>0.161784762779994</v>
      </c>
      <c r="F1073" s="11" t="n">
        <f aca="false">F1069/F1071</f>
        <v>0.144720517406175</v>
      </c>
      <c r="G1073" s="11" t="n">
        <f aca="false">G1069/G1071</f>
        <v>0.129016040990197</v>
      </c>
    </row>
    <row r="1074" customFormat="false" ht="17.15" hidden="false" customHeight="false" outlineLevel="0" collapsed="false">
      <c r="A1074" s="5" t="s">
        <v>545</v>
      </c>
      <c r="B1074" s="0" t="s">
        <v>34</v>
      </c>
      <c r="C1074" s="19" t="n">
        <f aca="false">a25_oi</f>
        <v>6.917</v>
      </c>
      <c r="D1074" s="19" t="n">
        <f aca="false">D1057</f>
        <v>10.24</v>
      </c>
      <c r="E1074" s="19" t="n">
        <f aca="false">$D1074+(im+ima_A)*(E1071-$D1071)</f>
        <v>11.2250013137102</v>
      </c>
      <c r="F1074" s="19" t="n">
        <f aca="false">$D1074+(im+ima_A)*(F1071-$D1071)</f>
        <v>12.8274470873385</v>
      </c>
      <c r="G1074" s="19" t="n">
        <f aca="false">$D1074+(im+ima_A)*(G1071-$D1071)</f>
        <v>13.8339540172756</v>
      </c>
      <c r="J1074" s="8" t="s">
        <v>693</v>
      </c>
    </row>
    <row r="1075" customFormat="false" ht="15" hidden="false" customHeight="false" outlineLevel="0" collapsed="false">
      <c r="A1075" s="5" t="s">
        <v>694</v>
      </c>
      <c r="B1075" s="0" t="s">
        <v>94</v>
      </c>
      <c r="C1075" s="11" t="n">
        <f aca="false">C1074/C1071</f>
        <v>0.127232594500138</v>
      </c>
      <c r="D1075" s="11" t="n">
        <f aca="false">D1074/D1071</f>
        <v>0.16</v>
      </c>
      <c r="E1075" s="11" t="n">
        <f aca="false">E1074/E1071</f>
        <v>0.166818799377413</v>
      </c>
      <c r="F1075" s="11" t="n">
        <f aca="false">F1074/F1071</f>
        <v>0.176592676533022</v>
      </c>
      <c r="G1075" s="11" t="n">
        <f aca="false">G1074/G1071</f>
        <v>0.182028105625335</v>
      </c>
    </row>
    <row r="1076" customFormat="false" ht="15" hidden="false" customHeight="false" outlineLevel="0" collapsed="false">
      <c r="A1076" s="5" t="s">
        <v>548</v>
      </c>
      <c r="B1076" s="0" t="s">
        <v>34</v>
      </c>
      <c r="C1076" s="19" t="n">
        <f aca="false">a25_ni</f>
        <v>4.593</v>
      </c>
      <c r="D1076" s="19" t="n">
        <f aca="false">D1058</f>
        <v>7</v>
      </c>
      <c r="E1076" s="19" t="n">
        <f aca="false">E1074*nioi</f>
        <v>7.67334074179407</v>
      </c>
      <c r="F1076" s="19" t="n">
        <f aca="false">F1074*nioi</f>
        <v>8.76876265736034</v>
      </c>
      <c r="G1076" s="19" t="n">
        <f aca="false">G1074*nioi</f>
        <v>9.456804503997</v>
      </c>
    </row>
    <row r="1077" customFormat="false" ht="15" hidden="false" customHeight="false" outlineLevel="0" collapsed="false">
      <c r="A1077" s="0" t="s">
        <v>622</v>
      </c>
      <c r="B1077" s="0" t="s">
        <v>52</v>
      </c>
      <c r="C1077" s="22" t="n">
        <f aca="false">a25_eps</f>
        <v>61.22</v>
      </c>
      <c r="D1077" s="22" t="n">
        <f aca="false">D1076*1000/shares</f>
        <v>93.2961492201002</v>
      </c>
      <c r="E1077" s="22" t="n">
        <f aca="false">E1076*1000/shares</f>
        <v>102.270448980442</v>
      </c>
      <c r="F1077" s="22" t="n">
        <f aca="false">F1076*1000/shares</f>
        <v>116.87025562239</v>
      </c>
      <c r="G1077" s="22" t="n">
        <f aca="false">G1076*1000/shares</f>
        <v>126.04049202146</v>
      </c>
    </row>
    <row r="1078" customFormat="false" ht="17.15" hidden="false" customHeight="false" outlineLevel="0" collapsed="false">
      <c r="A1078" s="5" t="s">
        <v>695</v>
      </c>
      <c r="B1078" s="0" t="s">
        <v>34</v>
      </c>
      <c r="C1078" s="20" t="n">
        <f aca="false">ABS(C1071-a25_rev)+ABS(C1074-a25_oi)+ABS(D1071-D1056)</f>
        <v>0</v>
      </c>
    </row>
    <row r="1090" customFormat="false" ht="17.15" hidden="false" customHeight="false" outlineLevel="0" collapsed="false">
      <c r="A1090" s="3" t="s">
        <v>1033</v>
      </c>
    </row>
    <row r="1091" customFormat="false" ht="17.15" hidden="false" customHeight="false" outlineLevel="0" collapsed="false">
      <c r="A1091" s="6" t="s">
        <v>23</v>
      </c>
      <c r="B1091" s="6" t="s">
        <v>24</v>
      </c>
      <c r="C1091" s="15" t="s">
        <v>628</v>
      </c>
      <c r="D1091" s="15" t="s">
        <v>629</v>
      </c>
      <c r="E1091" s="15" t="s">
        <v>630</v>
      </c>
      <c r="F1091" s="15" t="s">
        <v>631</v>
      </c>
      <c r="G1091" s="15" t="s">
        <v>632</v>
      </c>
      <c r="H1091" s="15" t="s">
        <v>633</v>
      </c>
      <c r="I1091" s="15" t="s">
        <v>634</v>
      </c>
      <c r="J1091" s="6" t="s">
        <v>468</v>
      </c>
    </row>
    <row r="1092" customFormat="false" ht="17.15" hidden="false" customHeight="false" outlineLevel="0" collapsed="false">
      <c r="A1092" s="1" t="s">
        <v>635</v>
      </c>
    </row>
    <row r="1093" customFormat="false" ht="17.15" hidden="false" customHeight="false" outlineLevel="0" collapsed="false">
      <c r="A1093" s="0" t="s">
        <v>636</v>
      </c>
      <c r="B1093" s="0" t="s">
        <v>111</v>
      </c>
      <c r="C1093" s="21" t="n">
        <f aca="false">hsA_25</f>
        <v>2.22511470588235</v>
      </c>
      <c r="D1093" s="21" t="n">
        <f aca="false">hsA_26</f>
        <v>3.782695</v>
      </c>
      <c r="E1093" s="21" t="n">
        <f aca="false">hsA_27</f>
        <v>5.86317725</v>
      </c>
      <c r="F1093" s="21" t="n">
        <f aca="false">hsA_28</f>
        <v>8.5016070125</v>
      </c>
      <c r="G1093" s="21" t="n">
        <f aca="false">hsA_29</f>
        <v>11.477169466875</v>
      </c>
      <c r="J1093" s="8" t="s">
        <v>637</v>
      </c>
    </row>
    <row r="1094" customFormat="false" ht="17.15" hidden="false" customHeight="false" outlineLevel="0" collapsed="false">
      <c r="A1094" s="0" t="s">
        <v>638</v>
      </c>
      <c r="B1094" s="0" t="s">
        <v>639</v>
      </c>
      <c r="C1094" s="21" t="n">
        <f aca="false">den_25</f>
        <v>24</v>
      </c>
      <c r="D1094" s="21" t="n">
        <f aca="false">den_26</f>
        <v>24</v>
      </c>
      <c r="E1094" s="21" t="n">
        <f aca="false">den_27</f>
        <v>26</v>
      </c>
      <c r="F1094" s="21" t="n">
        <f aca="false">den_28</f>
        <v>28</v>
      </c>
      <c r="G1094" s="21" t="n">
        <f aca="false">den_29</f>
        <v>30</v>
      </c>
    </row>
    <row r="1095" customFormat="false" ht="15" hidden="false" customHeight="false" outlineLevel="0" collapsed="false">
      <c r="A1095" s="5" t="s">
        <v>640</v>
      </c>
      <c r="B1095" s="5" t="s">
        <v>160</v>
      </c>
      <c r="C1095" s="21" t="n">
        <f aca="false">stk_25</f>
        <v>10</v>
      </c>
      <c r="D1095" s="21" t="n">
        <f aca="false">stk_26</f>
        <v>12</v>
      </c>
      <c r="E1095" s="21" t="n">
        <f aca="false">stk_27</f>
        <v>12.5</v>
      </c>
      <c r="F1095" s="21" t="n">
        <f aca="false">stk_28</f>
        <v>14</v>
      </c>
      <c r="G1095" s="21" t="n">
        <f aca="false">stk_29</f>
        <v>15</v>
      </c>
    </row>
    <row r="1096" customFormat="false" ht="17.15" hidden="false" customHeight="false" outlineLevel="0" collapsed="false">
      <c r="A1096" s="0" t="s">
        <v>641</v>
      </c>
      <c r="B1096" s="5" t="s">
        <v>642</v>
      </c>
      <c r="C1096" s="23" t="n">
        <f aca="false">C1093*8/(C1094*C1095)</f>
        <v>0.0741704901960783</v>
      </c>
      <c r="D1096" s="23" t="n">
        <f aca="false">D1093*8/(D1094*D1095)</f>
        <v>0.105074861111111</v>
      </c>
      <c r="E1096" s="23" t="n">
        <f aca="false">E1093*8/(E1094*E1095)</f>
        <v>0.144324363076923</v>
      </c>
      <c r="F1096" s="23" t="n">
        <f aca="false">F1093*8/(F1094*F1095)</f>
        <v>0.173502183928571</v>
      </c>
      <c r="G1096" s="23" t="n">
        <f aca="false">G1093*8/(G1094*G1095)</f>
        <v>0.2040385683</v>
      </c>
      <c r="H1096" s="23" t="n">
        <f aca="false">G1096*(1+g_tail)</f>
        <v>0.22444242513</v>
      </c>
      <c r="I1096" s="23" t="n">
        <f aca="false">H1096*(1+g_tail)</f>
        <v>0.246886667643</v>
      </c>
      <c r="J1096" s="8" t="s">
        <v>643</v>
      </c>
    </row>
    <row r="1097" customFormat="false" ht="17.15" hidden="false" customHeight="false" outlineLevel="0" collapsed="false">
      <c r="A1097" s="0" t="s">
        <v>644</v>
      </c>
      <c r="B1097" s="5" t="s">
        <v>642</v>
      </c>
      <c r="C1097" s="23" t="n">
        <f aca="false">MAX(0,D1096-C1096)+dlt*C1096</f>
        <v>0.0383214199346406</v>
      </c>
      <c r="D1097" s="23" t="n">
        <f aca="false">MAX(0,E1096-D1096)+dlt*D1096</f>
        <v>0.0497569880769231</v>
      </c>
      <c r="E1097" s="23" t="n">
        <f aca="false">MAX(0,F1096-E1096)+dlt*E1096</f>
        <v>0.0436102571593407</v>
      </c>
      <c r="F1097" s="23" t="n">
        <f aca="false">MAX(0,G1096-F1096)+dlt*F1096</f>
        <v>0.0478866027642858</v>
      </c>
      <c r="G1097" s="23" t="n">
        <f aca="false">MAX(0,H1096-G1096)+dlt*G1096</f>
        <v>0.04080771366</v>
      </c>
      <c r="H1097" s="23" t="n">
        <f aca="false">MAX(0,I1096-H1096)+dlt*H1096</f>
        <v>0.044888485026</v>
      </c>
      <c r="J1097" s="5" t="s">
        <v>645</v>
      </c>
    </row>
    <row r="1098" customFormat="false" ht="17.15" hidden="false" customHeight="false" outlineLevel="0" collapsed="false">
      <c r="A1098" s="0" t="s">
        <v>646</v>
      </c>
      <c r="B1098" s="5" t="s">
        <v>183</v>
      </c>
      <c r="C1098" s="14" t="n">
        <f aca="false">cw_25</f>
        <v>670</v>
      </c>
      <c r="D1098" s="14" t="n">
        <f aca="false">cw_26</f>
        <v>1107.85762580894</v>
      </c>
      <c r="E1098" s="14" t="n">
        <f aca="false">cw_27</f>
        <v>2096.42857142857</v>
      </c>
      <c r="F1098" s="14" t="n">
        <f aca="false">cw_28*um28_A</f>
        <v>2620.08928571429</v>
      </c>
      <c r="G1098" s="14" t="n">
        <f aca="false">cw_29*um29_A</f>
        <v>3013.32589285714</v>
      </c>
      <c r="H1098" s="14" t="n">
        <f aca="false">G1098*(1+g_tail)</f>
        <v>3314.65848214285</v>
      </c>
      <c r="I1098" s="14" t="n">
        <f aca="false">H1098*(1+g_tail)</f>
        <v>3646.12433035714</v>
      </c>
      <c r="J1098" s="5" t="s">
        <v>647</v>
      </c>
    </row>
    <row r="1099" customFormat="false" ht="17.15" hidden="false" customHeight="false" outlineLevel="0" collapsed="false">
      <c r="A1099" s="0" t="s">
        <v>648</v>
      </c>
      <c r="B1099" s="5" t="s">
        <v>183</v>
      </c>
      <c r="C1099" s="14" t="n">
        <f aca="false">MAX(0,D1098-C1098)+dlt*C1098</f>
        <v>504.85762580894</v>
      </c>
      <c r="D1099" s="14" t="n">
        <f aca="false">MAX(0,E1098-D1098)+dlt*D1098</f>
        <v>1099.35670820052</v>
      </c>
      <c r="E1099" s="14" t="n">
        <f aca="false">MAX(0,F1098-E1098)+dlt*E1098</f>
        <v>733.303571428577</v>
      </c>
      <c r="F1099" s="14" t="n">
        <f aca="false">MAX(0,G1098-F1098)+dlt*F1098</f>
        <v>655.245535714279</v>
      </c>
      <c r="G1099" s="14" t="n">
        <f aca="false">MAX(0,H1098-G1098)+dlt*G1098</f>
        <v>602.665178571428</v>
      </c>
      <c r="H1099" s="14" t="n">
        <f aca="false">MAX(0,I1098-H1098)+dlt*H1098</f>
        <v>662.931696428571</v>
      </c>
    </row>
    <row r="1100" customFormat="false" ht="17.15" hidden="false" customHeight="false" outlineLevel="0" collapsed="false">
      <c r="A1100" s="5" t="s">
        <v>649</v>
      </c>
      <c r="B1100" s="0" t="s">
        <v>219</v>
      </c>
      <c r="C1100" s="21" t="n">
        <f aca="false">pk_25*(eqtA_25-eqaA_25)/(eqtA_25-eqaA_25)</f>
        <v>6.11313868613139</v>
      </c>
      <c r="D1100" s="21" t="n">
        <f aca="false">pk_26*(eqtA_26-eqaA_26)/(eqtA_26-eqaA_26)</f>
        <v>6.7</v>
      </c>
      <c r="E1100" s="21" t="n">
        <f aca="false">pk_27*(eqtA_27-eqaA_27)/(eqtA_27-eqaA_27)</f>
        <v>7.59078388573934</v>
      </c>
      <c r="F1100" s="21" t="n">
        <f aca="false">pk_28*(eqtA_28-eqaA_28)/(eqtA_28-eqaA_28)</f>
        <v>8.6</v>
      </c>
      <c r="G1100" s="21" t="n">
        <f aca="false">pk_29*(eqtA_29-eqaA_29)/(eqtA_29-eqaA_29)</f>
        <v>9.288</v>
      </c>
      <c r="H1100" s="21" t="n">
        <f aca="false">G1100*(1+g_pk_tail)</f>
        <v>9.7524</v>
      </c>
      <c r="J1100" s="8" t="s">
        <v>650</v>
      </c>
    </row>
    <row r="1101" customFormat="false" ht="15" hidden="false" customHeight="false" outlineLevel="0" collapsed="false">
      <c r="A1101" s="5" t="s">
        <v>651</v>
      </c>
      <c r="B1101" s="0" t="s">
        <v>219</v>
      </c>
      <c r="C1101" s="24" t="n">
        <f aca="false">eqtA_25</f>
        <v>134.689359843138</v>
      </c>
      <c r="D1101" s="24" t="n">
        <f aca="false">eqtA_26</f>
        <v>178.157050570127</v>
      </c>
      <c r="E1101" s="24" t="n">
        <f aca="false">eqtA_27</f>
        <v>218.225535760082</v>
      </c>
      <c r="F1101" s="24" t="n">
        <f aca="false">eqtA_28</f>
        <v>246.028626308958</v>
      </c>
      <c r="G1101" s="24" t="n">
        <f aca="false">eqtA_29</f>
        <v>260.655685855226</v>
      </c>
      <c r="H1101" s="24" t="n">
        <f aca="false">G1101*(1+g_pk_tail)</f>
        <v>273.688470147987</v>
      </c>
      <c r="J1101" s="5" t="s">
        <v>652</v>
      </c>
    </row>
    <row r="1102" customFormat="false" ht="17.15" hidden="false" customHeight="false" outlineLevel="0" collapsed="false">
      <c r="A1102" s="1" t="s">
        <v>653</v>
      </c>
    </row>
    <row r="1103" customFormat="false" ht="17.15" hidden="false" customHeight="false" outlineLevel="0" collapsed="false">
      <c r="A1103" s="0" t="s">
        <v>654</v>
      </c>
      <c r="B1103" s="0" t="s">
        <v>655</v>
      </c>
      <c r="C1103" s="24" t="n">
        <f aca="false">ai_25*w_hbm/(0.75*C1097+0.25*D1097)</f>
        <v>121.417244328233</v>
      </c>
      <c r="J1103" s="5" t="s">
        <v>656</v>
      </c>
    </row>
    <row r="1104" customFormat="false" ht="17.15" hidden="false" customHeight="false" outlineLevel="0" collapsed="false">
      <c r="A1104" s="0" t="s">
        <v>657</v>
      </c>
      <c r="B1104" s="0" t="s">
        <v>658</v>
      </c>
      <c r="C1104" s="25" t="n">
        <f aca="false">ai_25*(1-w_hbm)/(0.75*C1099+0.25*D1099)</f>
        <v>0.0076513155174377</v>
      </c>
    </row>
    <row r="1105" customFormat="false" ht="17.15" hidden="false" customHeight="false" outlineLevel="0" collapsed="false">
      <c r="A1105" s="1" t="s">
        <v>659</v>
      </c>
    </row>
    <row r="1106" customFormat="false" ht="17.15" hidden="false" customHeight="false" outlineLevel="0" collapsed="false">
      <c r="A1106" s="0" t="s">
        <v>660</v>
      </c>
      <c r="B1106" s="0" t="s">
        <v>198</v>
      </c>
      <c r="C1106" s="20" t="n">
        <f aca="false">1-shl_C/sh*0</f>
        <v>1</v>
      </c>
      <c r="D1106" s="20" t="n">
        <f aca="false">1-shl_C/sh*0.25</f>
        <v>0.969135802469136</v>
      </c>
      <c r="E1106" s="20" t="n">
        <f aca="false">1-shl_C/sh*0.5</f>
        <v>0.938271604938272</v>
      </c>
      <c r="F1106" s="20" t="n">
        <f aca="false">1-shl_C/sh*0.75</f>
        <v>0.907407407407407</v>
      </c>
      <c r="G1106" s="20" t="n">
        <f aca="false">1-shl_C/sh*1</f>
        <v>0.876543209876543</v>
      </c>
      <c r="J1106" s="5" t="s">
        <v>661</v>
      </c>
    </row>
    <row r="1107" customFormat="false" ht="17.15" hidden="false" customHeight="false" outlineLevel="0" collapsed="false">
      <c r="A1107" s="0" t="s">
        <v>662</v>
      </c>
      <c r="B1107" s="0" t="s">
        <v>34</v>
      </c>
      <c r="C1107" s="19" t="n">
        <f aca="false">$C$1103*(0.75*C1097+0.25*D1097)*C1106</f>
        <v>5</v>
      </c>
      <c r="D1107" s="19" t="n">
        <f aca="false">$C$1103*(0.75*D1097+0.25*E1097)*D1106</f>
        <v>5.67407361460587</v>
      </c>
      <c r="E1107" s="19" t="n">
        <f aca="false">$C$1103*(0.75*E1097+0.25*F1097)*E1106</f>
        <v>5.08997593564806</v>
      </c>
      <c r="F1107" s="19" t="n">
        <f aca="false">$C$1103*(0.75*F1097+0.25*G1097)*F1106</f>
        <v>5.08092301386627</v>
      </c>
      <c r="G1107" s="19" t="n">
        <f aca="false">$C$1103*(0.75*G1097+0.25*H1097)*G1106</f>
        <v>4.45163789115567</v>
      </c>
    </row>
    <row r="1108" customFormat="false" ht="17.15" hidden="false" customHeight="false" outlineLevel="0" collapsed="false">
      <c r="A1108" s="0" t="s">
        <v>663</v>
      </c>
      <c r="B1108" s="0" t="s">
        <v>34</v>
      </c>
      <c r="C1108" s="19" t="n">
        <f aca="false">$C$1104*(0.75*C1099+0.25*D1099)*C1106</f>
        <v>5</v>
      </c>
      <c r="D1108" s="19" t="n">
        <f aca="false">$C$1104*(0.75*D1099+0.25*E1099)*D1106</f>
        <v>7.47332407773616</v>
      </c>
      <c r="E1108" s="19" t="n">
        <f aca="false">$C$1104*(0.75*E1099+0.25*F1099)*E1106</f>
        <v>5.12430030970805</v>
      </c>
      <c r="F1108" s="19" t="n">
        <f aca="false">$C$1104*(0.75*F1099+0.25*G1099)*F1106</f>
        <v>4.45801374752066</v>
      </c>
      <c r="G1108" s="19" t="n">
        <f aca="false">$C$1104*(0.75*G1099+0.25*H1099)*G1106</f>
        <v>4.14294726863128</v>
      </c>
    </row>
    <row r="1109" customFormat="false" ht="17.15" hidden="false" customHeight="false" outlineLevel="0" collapsed="false">
      <c r="A1109" s="5" t="s">
        <v>664</v>
      </c>
      <c r="B1109" s="0" t="s">
        <v>34</v>
      </c>
      <c r="C1109" s="19" t="n">
        <f aca="false">(seg_mold-ai_25)*(0.75*C1100+0.25*D1100)/(0.75*C1100+0.25*D1100)</f>
        <v>26.46</v>
      </c>
      <c r="D1109" s="19" t="n">
        <f aca="false">(seg_mold-ai_25)*(0.75*D1100+0.25*E1100)/(0.75*C1100+0.25*D1100)</f>
        <v>29.2617902872793</v>
      </c>
      <c r="E1109" s="19" t="n">
        <f aca="false">(seg_mold-ai_25)*(0.75*E1100+0.25*F1100)/(0.75*C1100+0.25*D1100)</f>
        <v>33.1522277881438</v>
      </c>
      <c r="F1109" s="19" t="n">
        <f aca="false">(seg_mold-ai_25)*(0.75*F1100+0.25*G1100)/(0.75*C1100+0.25*D1100)</f>
        <v>37.0786793843283</v>
      </c>
      <c r="G1109" s="19" t="n">
        <f aca="false">(seg_mold-ai_25)*(0.75*G1100+0.25*H1100)/(0.75*C1100+0.25*D1100)</f>
        <v>39.7505253987873</v>
      </c>
      <c r="J1109" s="8" t="s">
        <v>665</v>
      </c>
    </row>
    <row r="1110" customFormat="false" ht="15" hidden="false" customHeight="false" outlineLevel="0" collapsed="false">
      <c r="A1110" s="5" t="s">
        <v>666</v>
      </c>
      <c r="B1110" s="0" t="s">
        <v>34</v>
      </c>
      <c r="C1110" s="19" t="n">
        <f aca="false">seg_osemi*(0.75*C1101+0.25*D1101)/(0.75*C1101+0.25*D1101)</f>
        <v>3.93</v>
      </c>
      <c r="D1110" s="19" t="n">
        <f aca="false">seg_osemi*(0.75*D1101+0.25*E1101)/(0.75*C1101+0.25*D1101)</f>
        <v>5.08067726525852</v>
      </c>
      <c r="E1110" s="19" t="n">
        <f aca="false">seg_osemi*(0.75*E1101+0.25*F1101)/(0.75*C1101+0.25*D1101)</f>
        <v>6.0797299618455</v>
      </c>
      <c r="F1110" s="19" t="n">
        <f aca="false">seg_osemi*(0.75*F1101+0.25*G1101)/(0.75*C1101+0.25*D1101)</f>
        <v>6.74147189236335</v>
      </c>
      <c r="G1110" s="19" t="n">
        <f aca="false">seg_osemi*(0.75*G1101+0.25*H1101)/(0.75*C1101+0.25*D1101)</f>
        <v>7.12563922344852</v>
      </c>
      <c r="J1110" s="5" t="s">
        <v>667</v>
      </c>
    </row>
    <row r="1111" customFormat="false" ht="17.15" hidden="false" customHeight="false" outlineLevel="0" collapsed="false">
      <c r="A1111" s="5" t="s">
        <v>668</v>
      </c>
      <c r="B1111" s="0" t="s">
        <v>34</v>
      </c>
      <c r="C1111" s="19" t="n">
        <f aca="false">seg_new</f>
        <v>9.47</v>
      </c>
      <c r="D1111" s="19" t="n">
        <f aca="false">C1111*(1+g_tss)</f>
        <v>9.7541</v>
      </c>
      <c r="E1111" s="19" t="n">
        <f aca="false">D1111*(1+g_tss)</f>
        <v>10.046723</v>
      </c>
      <c r="F1111" s="19" t="n">
        <f aca="false">E1111*(1+g_tss)</f>
        <v>10.34812469</v>
      </c>
      <c r="G1111" s="19" t="n">
        <f aca="false">F1111*(1+g_tss)</f>
        <v>10.6585684307</v>
      </c>
    </row>
    <row r="1112" customFormat="false" ht="15" hidden="false" customHeight="false" outlineLevel="0" collapsed="false">
      <c r="A1112" s="5" t="s">
        <v>669</v>
      </c>
      <c r="B1112" s="0" t="s">
        <v>34</v>
      </c>
      <c r="C1112" s="19" t="n">
        <f aca="false">seg_med</f>
        <v>2.48</v>
      </c>
      <c r="D1112" s="19" t="n">
        <f aca="false">C1112*(1+g_med)</f>
        <v>2.5544</v>
      </c>
      <c r="E1112" s="19" t="n">
        <f aca="false">D1112*(1+g_med)</f>
        <v>2.631032</v>
      </c>
      <c r="F1112" s="19" t="n">
        <f aca="false">E1112*(1+g_med)</f>
        <v>2.70996296</v>
      </c>
      <c r="G1112" s="19" t="n">
        <f aca="false">F1112*(1+g_med)</f>
        <v>2.7912618488</v>
      </c>
    </row>
    <row r="1113" customFormat="false" ht="15" hidden="false" customHeight="false" outlineLevel="0" collapsed="false">
      <c r="A1113" s="5" t="s">
        <v>670</v>
      </c>
      <c r="B1113" s="0" t="s">
        <v>34</v>
      </c>
      <c r="C1113" s="19" t="n">
        <f aca="false">seg_las*(0.75*C1101+0.25*D1101)/(0.75*C1101+0.25*D1101)</f>
        <v>2</v>
      </c>
      <c r="D1113" s="19" t="n">
        <f aca="false">seg_las*(0.75*D1101+0.25*E1101)/(0.75*C1101+0.25*D1101)</f>
        <v>2.5855863945336</v>
      </c>
      <c r="E1113" s="19" t="n">
        <f aca="false">seg_las*(0.75*E1101+0.25*F1101)/(0.75*C1101+0.25*D1101)</f>
        <v>3.0940101587</v>
      </c>
      <c r="F1113" s="19" t="n">
        <f aca="false">seg_las*(0.75*F1101+0.25*G1101)/(0.75*C1101+0.25*D1101)</f>
        <v>3.43077449993046</v>
      </c>
      <c r="G1113" s="19" t="n">
        <f aca="false">seg_las*(0.75*G1101+0.25*H1101)/(0.75*C1101+0.25*D1101)</f>
        <v>3.62627950302724</v>
      </c>
      <c r="J1113" s="5" t="s">
        <v>667</v>
      </c>
    </row>
    <row r="1114" customFormat="false" ht="15" hidden="false" customHeight="false" outlineLevel="0" collapsed="false">
      <c r="A1114" s="5" t="s">
        <v>671</v>
      </c>
      <c r="B1114" s="0" t="s">
        <v>34</v>
      </c>
      <c r="C1114" s="19" t="n">
        <f aca="false">C1107+C1108+C1109+C1110+C1111+C1112+C1113+seg_adj</f>
        <v>54.365</v>
      </c>
      <c r="D1114" s="19" t="n">
        <f aca="false">D1107+D1108+D1109+D1110+D1111+D1112+D1113</f>
        <v>62.3839516394134</v>
      </c>
      <c r="E1114" s="19" t="n">
        <f aca="false">E1107+E1108+E1109+E1110+E1111+E1112+E1113</f>
        <v>65.2179991540454</v>
      </c>
      <c r="F1114" s="19" t="n">
        <f aca="false">F1107+F1108+F1109+F1110+F1111+F1112+F1113</f>
        <v>69.8479501880091</v>
      </c>
      <c r="G1114" s="19" t="n">
        <f aca="false">G1107+G1108+G1109+G1110+G1111+G1112+G1113</f>
        <v>72.54685956455</v>
      </c>
    </row>
    <row r="1115" customFormat="false" ht="17.15" hidden="false" customHeight="false" outlineLevel="0" collapsed="false">
      <c r="A1115" s="1" t="s">
        <v>672</v>
      </c>
    </row>
    <row r="1116" customFormat="false" ht="17.15" hidden="false" customHeight="false" outlineLevel="0" collapsed="false">
      <c r="A1116" s="0" t="s">
        <v>673</v>
      </c>
      <c r="B1116" s="0" t="s">
        <v>34</v>
      </c>
      <c r="D1116" s="19" t="n">
        <f aca="false">g26_rev*(1+g_anc)</f>
        <v>64</v>
      </c>
    </row>
    <row r="1117" customFormat="false" ht="17.15" hidden="false" customHeight="false" outlineLevel="0" collapsed="false">
      <c r="A1117" s="0" t="s">
        <v>674</v>
      </c>
      <c r="B1117" s="0" t="s">
        <v>34</v>
      </c>
      <c r="D1117" s="19" t="n">
        <f aca="false">D1116*g26_oi/g26_rev</f>
        <v>10.24</v>
      </c>
    </row>
    <row r="1118" customFormat="false" ht="17.15" hidden="false" customHeight="false" outlineLevel="0" collapsed="false">
      <c r="A1118" s="0" t="s">
        <v>675</v>
      </c>
      <c r="B1118" s="0" t="s">
        <v>34</v>
      </c>
      <c r="D1118" s="19" t="n">
        <f aca="false">D1117*g26_ni/g26_oi</f>
        <v>7</v>
      </c>
    </row>
    <row r="1119" customFormat="false" ht="17.15" hidden="false" customHeight="false" outlineLevel="0" collapsed="false">
      <c r="A1119" s="5" t="s">
        <v>676</v>
      </c>
      <c r="B1119" s="0" t="s">
        <v>198</v>
      </c>
      <c r="D1119" s="20" t="n">
        <f aca="false">D1116/D1114</f>
        <v>1.02590487325855</v>
      </c>
      <c r="J1119" s="8" t="s">
        <v>677</v>
      </c>
    </row>
    <row r="1120" customFormat="false" ht="17.15" hidden="false" customHeight="false" outlineLevel="0" collapsed="false">
      <c r="A1120" s="5" t="s">
        <v>678</v>
      </c>
      <c r="B1120" s="0" t="s">
        <v>198</v>
      </c>
      <c r="D1120" s="20" t="n">
        <f aca="false">1+1*(D1119-1)</f>
        <v>1.02590487325855</v>
      </c>
      <c r="J1120" s="8" t="s">
        <v>679</v>
      </c>
    </row>
    <row r="1121" customFormat="false" ht="17.15" hidden="false" customHeight="false" outlineLevel="0" collapsed="false">
      <c r="A1121" s="1" t="s">
        <v>680</v>
      </c>
    </row>
    <row r="1122" customFormat="false" ht="17.15" hidden="false" customHeight="false" outlineLevel="0" collapsed="false">
      <c r="A1122" s="0" t="s">
        <v>681</v>
      </c>
      <c r="B1122" s="0" t="s">
        <v>34</v>
      </c>
      <c r="C1122" s="19" t="n">
        <f aca="false">C1107*1</f>
        <v>5</v>
      </c>
      <c r="D1122" s="19" t="n">
        <f aca="false">D1107*$D$1119</f>
        <v>5.82105977245193</v>
      </c>
      <c r="E1122" s="19" t="n">
        <f aca="false">E1107*1</f>
        <v>5.08997593564806</v>
      </c>
      <c r="F1122" s="19" t="n">
        <f aca="false">F1107*1</f>
        <v>5.08092301386627</v>
      </c>
      <c r="G1122" s="19" t="n">
        <f aca="false">G1107*1</f>
        <v>4.45163789115567</v>
      </c>
    </row>
    <row r="1123" customFormat="false" ht="17.15" hidden="false" customHeight="false" outlineLevel="0" collapsed="false">
      <c r="A1123" s="0" t="s">
        <v>682</v>
      </c>
      <c r="B1123" s="0" t="s">
        <v>34</v>
      </c>
      <c r="C1123" s="19" t="n">
        <f aca="false">C1108*1</f>
        <v>5</v>
      </c>
      <c r="D1123" s="19" t="n">
        <f aca="false">D1108*$D$1119</f>
        <v>7.66691959078999</v>
      </c>
      <c r="E1123" s="19" t="n">
        <f aca="false">E1108*1</f>
        <v>5.12430030970805</v>
      </c>
      <c r="F1123" s="19" t="n">
        <f aca="false">F1108*1</f>
        <v>4.45801374752066</v>
      </c>
      <c r="G1123" s="19" t="n">
        <f aca="false">G1108*1</f>
        <v>4.14294726863128</v>
      </c>
    </row>
    <row r="1124" customFormat="false" ht="17.15" hidden="false" customHeight="false" outlineLevel="0" collapsed="false">
      <c r="A1124" s="5" t="s">
        <v>683</v>
      </c>
      <c r="B1124" s="0" t="s">
        <v>34</v>
      </c>
      <c r="C1124" s="19" t="n">
        <f aca="false">C1109*1</f>
        <v>26.46</v>
      </c>
      <c r="D1124" s="19" t="n">
        <f aca="false">D1109*$D$1119</f>
        <v>30.0198132559895</v>
      </c>
      <c r="E1124" s="19" t="n">
        <f aca="false">E1109*$D$1120</f>
        <v>34.0110320472343</v>
      </c>
      <c r="F1124" s="19" t="n">
        <f aca="false">F1109*$D$1120</f>
        <v>38.0391978743738</v>
      </c>
      <c r="G1124" s="19" t="n">
        <f aca="false">G1109*$D$1120</f>
        <v>40.7802577212037</v>
      </c>
    </row>
    <row r="1125" customFormat="false" ht="15" hidden="false" customHeight="false" outlineLevel="0" collapsed="false">
      <c r="A1125" s="5" t="s">
        <v>684</v>
      </c>
      <c r="B1125" s="0" t="s">
        <v>34</v>
      </c>
      <c r="C1125" s="19" t="n">
        <f aca="false">C1110*1</f>
        <v>3.93</v>
      </c>
      <c r="D1125" s="19" t="n">
        <f aca="false">D1110*$D$1119</f>
        <v>5.21229156588264</v>
      </c>
      <c r="E1125" s="19" t="n">
        <f aca="false">E1110*$D$1120</f>
        <v>6.23722459595332</v>
      </c>
      <c r="F1125" s="19" t="n">
        <f aca="false">F1110*$D$1120</f>
        <v>6.91610886731111</v>
      </c>
      <c r="G1125" s="19" t="n">
        <f aca="false">G1110*$D$1120</f>
        <v>7.31022800441811</v>
      </c>
    </row>
    <row r="1126" customFormat="false" ht="17.15" hidden="false" customHeight="false" outlineLevel="0" collapsed="false">
      <c r="A1126" s="5" t="s">
        <v>685</v>
      </c>
      <c r="B1126" s="0" t="s">
        <v>34</v>
      </c>
      <c r="C1126" s="19" t="n">
        <f aca="false">C1111*1</f>
        <v>9.47</v>
      </c>
      <c r="D1126" s="19" t="n">
        <f aca="false">D1111*$D$1119</f>
        <v>10.0067787242512</v>
      </c>
      <c r="E1126" s="19" t="n">
        <f aca="false">E1111*$D$1120</f>
        <v>10.3069820859788</v>
      </c>
      <c r="F1126" s="19" t="n">
        <f aca="false">F1111*$D$1120</f>
        <v>10.6161915485581</v>
      </c>
      <c r="G1126" s="19" t="n">
        <f aca="false">G1111*$D$1120</f>
        <v>10.9346772950149</v>
      </c>
    </row>
    <row r="1127" customFormat="false" ht="15" hidden="false" customHeight="false" outlineLevel="0" collapsed="false">
      <c r="A1127" s="5" t="s">
        <v>686</v>
      </c>
      <c r="B1127" s="0" t="s">
        <v>34</v>
      </c>
      <c r="C1127" s="19" t="n">
        <f aca="false">C1112*1</f>
        <v>2.48</v>
      </c>
      <c r="D1127" s="19" t="n">
        <f aca="false">D1112*$D$1119</f>
        <v>2.62057140825164</v>
      </c>
      <c r="E1127" s="19" t="n">
        <f aca="false">E1112*$D$1120</f>
        <v>2.69918855049919</v>
      </c>
      <c r="F1127" s="19" t="n">
        <f aca="false">F1112*$D$1120</f>
        <v>2.78016420701417</v>
      </c>
      <c r="G1127" s="19" t="n">
        <f aca="false">G1112*$D$1120</f>
        <v>2.86356913322459</v>
      </c>
    </row>
    <row r="1128" customFormat="false" ht="15" hidden="false" customHeight="false" outlineLevel="0" collapsed="false">
      <c r="A1128" s="5" t="s">
        <v>687</v>
      </c>
      <c r="B1128" s="0" t="s">
        <v>34</v>
      </c>
      <c r="C1128" s="19" t="n">
        <f aca="false">C1113*1</f>
        <v>2</v>
      </c>
      <c r="D1128" s="19" t="n">
        <f aca="false">D1113*$D$1119</f>
        <v>2.65256568238302</v>
      </c>
      <c r="E1128" s="19" t="n">
        <f aca="false">E1113*$D$1120</f>
        <v>3.17416009972179</v>
      </c>
      <c r="F1128" s="19" t="n">
        <f aca="false">F1113*$D$1120</f>
        <v>3.51964827852983</v>
      </c>
      <c r="G1128" s="19" t="n">
        <f aca="false">G1113*$D$1120</f>
        <v>3.72021781395324</v>
      </c>
    </row>
    <row r="1129" customFormat="false" ht="17.15" hidden="false" customHeight="false" outlineLevel="0" collapsed="false">
      <c r="A1129" s="0" t="s">
        <v>688</v>
      </c>
      <c r="B1129" s="0" t="s">
        <v>34</v>
      </c>
      <c r="C1129" s="19" t="n">
        <f aca="false">C1122+C1123</f>
        <v>10</v>
      </c>
      <c r="D1129" s="19" t="n">
        <f aca="false">D1122+D1123</f>
        <v>13.4879793632419</v>
      </c>
      <c r="E1129" s="19" t="n">
        <f aca="false">E1122+E1123</f>
        <v>10.2142762453561</v>
      </c>
      <c r="F1129" s="19" t="n">
        <f aca="false">F1122+F1123</f>
        <v>9.53893676138694</v>
      </c>
      <c r="G1129" s="19" t="n">
        <f aca="false">G1122+G1123</f>
        <v>8.59458515978696</v>
      </c>
    </row>
    <row r="1130" customFormat="false" ht="17.15" hidden="false" customHeight="false" outlineLevel="0" collapsed="false">
      <c r="A1130" s="5" t="s">
        <v>689</v>
      </c>
      <c r="B1130" s="0" t="s">
        <v>34</v>
      </c>
      <c r="C1130" s="19" t="n">
        <f aca="false">C1129+C1124+C1125</f>
        <v>40.39</v>
      </c>
      <c r="D1130" s="19" t="n">
        <f aca="false">D1129+D1124+D1125</f>
        <v>48.7200841851141</v>
      </c>
      <c r="E1130" s="19" t="n">
        <f aca="false">E1129+E1124+E1125</f>
        <v>50.4625328885437</v>
      </c>
      <c r="F1130" s="19" t="n">
        <f aca="false">F1129+F1124+F1125</f>
        <v>54.4942435030719</v>
      </c>
      <c r="G1130" s="19" t="n">
        <f aca="false">G1129+G1124+G1125</f>
        <v>56.6850708854088</v>
      </c>
      <c r="J1130" s="5" t="s">
        <v>690</v>
      </c>
    </row>
    <row r="1131" customFormat="false" ht="17.15" hidden="false" customHeight="false" outlineLevel="0" collapsed="false">
      <c r="A1131" s="5" t="s">
        <v>541</v>
      </c>
      <c r="B1131" s="0" t="s">
        <v>34</v>
      </c>
      <c r="C1131" s="19" t="n">
        <f aca="false">C1130+C1126+C1127+C1128+seg_adj</f>
        <v>54.365</v>
      </c>
      <c r="D1131" s="19" t="n">
        <f aca="false">D1130+D1126+D1127+D1128</f>
        <v>64</v>
      </c>
      <c r="E1131" s="19" t="n">
        <f aca="false">E1130+E1126+E1127+E1128</f>
        <v>66.6428636247434</v>
      </c>
      <c r="F1131" s="19" t="n">
        <f aca="false">F1130+F1126+F1127+F1128</f>
        <v>71.410247537174</v>
      </c>
      <c r="G1131" s="19" t="n">
        <f aca="false">G1130+G1126+G1127+G1128</f>
        <v>74.2035351276015</v>
      </c>
      <c r="J1131" s="8" t="s">
        <v>691</v>
      </c>
    </row>
    <row r="1132" customFormat="false" ht="17.15" hidden="false" customHeight="false" outlineLevel="0" collapsed="false">
      <c r="A1132" s="5" t="s">
        <v>692</v>
      </c>
      <c r="B1132" s="0" t="s">
        <v>34</v>
      </c>
      <c r="C1132" s="20" t="n">
        <f aca="false">C1130+C1126+C1127+C1128-a25_rev</f>
        <v>-0.0249999999999986</v>
      </c>
    </row>
    <row r="1133" customFormat="false" ht="17.15" hidden="false" customHeight="false" outlineLevel="0" collapsed="false">
      <c r="A1133" s="0" t="s">
        <v>621</v>
      </c>
      <c r="B1133" s="0" t="s">
        <v>94</v>
      </c>
      <c r="C1133" s="11" t="n">
        <f aca="false">C1129/C1131</f>
        <v>0.1839418743677</v>
      </c>
      <c r="D1133" s="11" t="n">
        <f aca="false">D1129/D1131</f>
        <v>0.210749677550655</v>
      </c>
      <c r="E1133" s="11" t="n">
        <f aca="false">E1129/E1131</f>
        <v>0.153268867659578</v>
      </c>
      <c r="F1133" s="11" t="n">
        <f aca="false">F1129/F1131</f>
        <v>0.133579382376756</v>
      </c>
      <c r="G1133" s="11" t="n">
        <f aca="false">G1129/G1131</f>
        <v>0.115824470424591</v>
      </c>
    </row>
    <row r="1134" customFormat="false" ht="17.15" hidden="false" customHeight="false" outlineLevel="0" collapsed="false">
      <c r="A1134" s="5" t="s">
        <v>545</v>
      </c>
      <c r="B1134" s="0" t="s">
        <v>34</v>
      </c>
      <c r="C1134" s="19" t="n">
        <f aca="false">a25_oi</f>
        <v>6.917</v>
      </c>
      <c r="D1134" s="19" t="n">
        <f aca="false">D1117</f>
        <v>10.24</v>
      </c>
      <c r="E1134" s="19" t="n">
        <f aca="false">$D1134+(im+ima_A)*(E1131-$D1131)</f>
        <v>11.0315934880914</v>
      </c>
      <c r="F1134" s="19" t="n">
        <f aca="false">$D1134+(im+ima_A)*(F1131-$D1131)</f>
        <v>12.4595256844331</v>
      </c>
      <c r="G1134" s="19" t="n">
        <f aca="false">$D1134+(im+ima_A)*(G1131-$D1131)</f>
        <v>13.2961743280661</v>
      </c>
      <c r="J1134" s="8" t="s">
        <v>693</v>
      </c>
    </row>
    <row r="1135" customFormat="false" ht="15" hidden="false" customHeight="false" outlineLevel="0" collapsed="false">
      <c r="A1135" s="5" t="s">
        <v>694</v>
      </c>
      <c r="B1135" s="0" t="s">
        <v>94</v>
      </c>
      <c r="C1135" s="11" t="n">
        <f aca="false">C1134/C1131</f>
        <v>0.127232594500138</v>
      </c>
      <c r="D1135" s="11" t="n">
        <f aca="false">D1134/D1131</f>
        <v>0.16</v>
      </c>
      <c r="E1135" s="11" t="n">
        <f aca="false">E1134/E1131</f>
        <v>0.165533005157292</v>
      </c>
      <c r="F1135" s="11" t="n">
        <f aca="false">F1134/F1131</f>
        <v>0.174478119235576</v>
      </c>
      <c r="G1135" s="11" t="n">
        <f aca="false">G1134/G1131</f>
        <v>0.179185187136999</v>
      </c>
    </row>
    <row r="1136" customFormat="false" ht="15" hidden="false" customHeight="false" outlineLevel="0" collapsed="false">
      <c r="A1136" s="5" t="s">
        <v>548</v>
      </c>
      <c r="B1136" s="0" t="s">
        <v>34</v>
      </c>
      <c r="C1136" s="19" t="n">
        <f aca="false">a25_ni</f>
        <v>4.593</v>
      </c>
      <c r="D1136" s="19" t="n">
        <f aca="false">D1118</f>
        <v>7</v>
      </c>
      <c r="E1136" s="19" t="n">
        <f aca="false">E1134*nioi</f>
        <v>7.54112836099995</v>
      </c>
      <c r="F1136" s="19" t="n">
        <f aca="false">F1134*nioi</f>
        <v>8.51725388584291</v>
      </c>
      <c r="G1136" s="19" t="n">
        <f aca="false">G1134*nioi</f>
        <v>9.08918166957645</v>
      </c>
    </row>
    <row r="1137" customFormat="false" ht="15" hidden="false" customHeight="false" outlineLevel="0" collapsed="false">
      <c r="A1137" s="0" t="s">
        <v>622</v>
      </c>
      <c r="B1137" s="0" t="s">
        <v>52</v>
      </c>
      <c r="C1137" s="22" t="n">
        <f aca="false">a25_eps</f>
        <v>61.22</v>
      </c>
      <c r="D1137" s="22" t="n">
        <f aca="false">D1136*1000/shares</f>
        <v>93.2961492201002</v>
      </c>
      <c r="E1137" s="22" t="n">
        <f aca="false">E1136*1000/shares</f>
        <v>100.508319550826</v>
      </c>
      <c r="F1137" s="22" t="n">
        <f aca="false">F1136*1000/shares</f>
        <v>113.518141354154</v>
      </c>
      <c r="G1137" s="22" t="n">
        <f aca="false">G1136*1000/shares</f>
        <v>121.140807047629</v>
      </c>
    </row>
    <row r="1138" customFormat="false" ht="17.15" hidden="false" customHeight="false" outlineLevel="0" collapsed="false">
      <c r="A1138" s="5" t="s">
        <v>695</v>
      </c>
      <c r="B1138" s="0" t="s">
        <v>34</v>
      </c>
      <c r="C1138" s="20" t="n">
        <f aca="false">ABS(C1131-a25_rev)+ABS(C1134-a25_oi)+ABS(D1131-D1116)</f>
        <v>0</v>
      </c>
    </row>
    <row r="1150" customFormat="false" ht="17.15" hidden="false" customHeight="false" outlineLevel="0" collapsed="false">
      <c r="A1150" s="3" t="s">
        <v>1034</v>
      </c>
    </row>
    <row r="1151" customFormat="false" ht="17.15" hidden="false" customHeight="false" outlineLevel="0" collapsed="false">
      <c r="A1151" s="6" t="s">
        <v>23</v>
      </c>
      <c r="B1151" s="6" t="s">
        <v>24</v>
      </c>
      <c r="C1151" s="15" t="s">
        <v>628</v>
      </c>
      <c r="D1151" s="15" t="s">
        <v>629</v>
      </c>
      <c r="E1151" s="15" t="s">
        <v>630</v>
      </c>
      <c r="F1151" s="15" t="s">
        <v>631</v>
      </c>
      <c r="G1151" s="15" t="s">
        <v>632</v>
      </c>
      <c r="H1151" s="15" t="s">
        <v>633</v>
      </c>
      <c r="I1151" s="15" t="s">
        <v>634</v>
      </c>
      <c r="J1151" s="6" t="s">
        <v>468</v>
      </c>
    </row>
    <row r="1152" customFormat="false" ht="17.15" hidden="false" customHeight="false" outlineLevel="0" collapsed="false">
      <c r="A1152" s="1" t="s">
        <v>635</v>
      </c>
    </row>
    <row r="1153" customFormat="false" ht="17.15" hidden="false" customHeight="false" outlineLevel="0" collapsed="false">
      <c r="A1153" s="0" t="s">
        <v>636</v>
      </c>
      <c r="B1153" s="0" t="s">
        <v>111</v>
      </c>
      <c r="C1153" s="21" t="n">
        <f aca="false">hsA_25</f>
        <v>2.22511470588235</v>
      </c>
      <c r="D1153" s="21" t="n">
        <f aca="false">hsA_26</f>
        <v>3.782695</v>
      </c>
      <c r="E1153" s="21" t="n">
        <f aca="false">hsA_27</f>
        <v>5.86317725</v>
      </c>
      <c r="F1153" s="21" t="n">
        <f aca="false">hsA_28</f>
        <v>8.5016070125</v>
      </c>
      <c r="G1153" s="21" t="n">
        <f aca="false">hsA_29</f>
        <v>11.477169466875</v>
      </c>
      <c r="J1153" s="8" t="s">
        <v>637</v>
      </c>
    </row>
    <row r="1154" customFormat="false" ht="17.15" hidden="false" customHeight="false" outlineLevel="0" collapsed="false">
      <c r="A1154" s="0" t="s">
        <v>638</v>
      </c>
      <c r="B1154" s="0" t="s">
        <v>639</v>
      </c>
      <c r="C1154" s="21" t="n">
        <f aca="false">den_25</f>
        <v>24</v>
      </c>
      <c r="D1154" s="21" t="n">
        <f aca="false">den_26</f>
        <v>24</v>
      </c>
      <c r="E1154" s="21" t="n">
        <f aca="false">den_27</f>
        <v>26</v>
      </c>
      <c r="F1154" s="21" t="n">
        <f aca="false">den_28</f>
        <v>28</v>
      </c>
      <c r="G1154" s="21" t="n">
        <f aca="false">den_29</f>
        <v>30</v>
      </c>
    </row>
    <row r="1155" customFormat="false" ht="15" hidden="false" customHeight="false" outlineLevel="0" collapsed="false">
      <c r="A1155" s="5" t="s">
        <v>640</v>
      </c>
      <c r="B1155" s="5" t="s">
        <v>160</v>
      </c>
      <c r="C1155" s="21" t="n">
        <f aca="false">stk_25</f>
        <v>10</v>
      </c>
      <c r="D1155" s="21" t="n">
        <f aca="false">stk_26</f>
        <v>12</v>
      </c>
      <c r="E1155" s="21" t="n">
        <f aca="false">stk_27</f>
        <v>12.5</v>
      </c>
      <c r="F1155" s="21" t="n">
        <f aca="false">stk_28</f>
        <v>14</v>
      </c>
      <c r="G1155" s="21" t="n">
        <f aca="false">stk_29</f>
        <v>15</v>
      </c>
    </row>
    <row r="1156" customFormat="false" ht="17.15" hidden="false" customHeight="false" outlineLevel="0" collapsed="false">
      <c r="A1156" s="0" t="s">
        <v>641</v>
      </c>
      <c r="B1156" s="5" t="s">
        <v>642</v>
      </c>
      <c r="C1156" s="23" t="n">
        <f aca="false">C1153*8/(C1154*C1155)</f>
        <v>0.0741704901960783</v>
      </c>
      <c r="D1156" s="23" t="n">
        <f aca="false">D1153*8/(D1154*D1155)</f>
        <v>0.105074861111111</v>
      </c>
      <c r="E1156" s="23" t="n">
        <f aca="false">E1153*8/(E1154*E1155)</f>
        <v>0.144324363076923</v>
      </c>
      <c r="F1156" s="23" t="n">
        <f aca="false">F1153*8/(F1154*F1155)</f>
        <v>0.173502183928571</v>
      </c>
      <c r="G1156" s="23" t="n">
        <f aca="false">G1153*8/(G1154*G1155)</f>
        <v>0.2040385683</v>
      </c>
      <c r="H1156" s="23" t="n">
        <f aca="false">G1156*(1+g_tail)</f>
        <v>0.22444242513</v>
      </c>
      <c r="I1156" s="23" t="n">
        <f aca="false">H1156*(1+g_tail)</f>
        <v>0.246886667643</v>
      </c>
      <c r="J1156" s="8" t="s">
        <v>643</v>
      </c>
    </row>
    <row r="1157" customFormat="false" ht="17.15" hidden="false" customHeight="false" outlineLevel="0" collapsed="false">
      <c r="A1157" s="0" t="s">
        <v>644</v>
      </c>
      <c r="B1157" s="5" t="s">
        <v>642</v>
      </c>
      <c r="C1157" s="23" t="n">
        <f aca="false">MAX(0,D1156-C1156)+dlt*C1156</f>
        <v>0.0383214199346406</v>
      </c>
      <c r="D1157" s="23" t="n">
        <f aca="false">MAX(0,E1156-D1156)+dlt*D1156</f>
        <v>0.0497569880769231</v>
      </c>
      <c r="E1157" s="23" t="n">
        <f aca="false">MAX(0,F1156-E1156)+dlt*E1156</f>
        <v>0.0436102571593407</v>
      </c>
      <c r="F1157" s="23" t="n">
        <f aca="false">MAX(0,G1156-F1156)+dlt*F1156</f>
        <v>0.0478866027642858</v>
      </c>
      <c r="G1157" s="23" t="n">
        <f aca="false">MAX(0,H1156-G1156)+dlt*G1156</f>
        <v>0.04080771366</v>
      </c>
      <c r="H1157" s="23" t="n">
        <f aca="false">MAX(0,I1156-H1156)+dlt*H1156</f>
        <v>0.044888485026</v>
      </c>
      <c r="J1157" s="5" t="s">
        <v>645</v>
      </c>
    </row>
    <row r="1158" customFormat="false" ht="17.15" hidden="false" customHeight="false" outlineLevel="0" collapsed="false">
      <c r="A1158" s="0" t="s">
        <v>646</v>
      </c>
      <c r="B1158" s="5" t="s">
        <v>183</v>
      </c>
      <c r="C1158" s="14" t="n">
        <f aca="false">cw_25</f>
        <v>670</v>
      </c>
      <c r="D1158" s="14" t="n">
        <f aca="false">cw_26</f>
        <v>1107.85762580894</v>
      </c>
      <c r="E1158" s="14" t="n">
        <f aca="false">cw_27</f>
        <v>2096.42857142857</v>
      </c>
      <c r="F1158" s="14" t="n">
        <f aca="false">cw_28*um28_A</f>
        <v>2620.08928571429</v>
      </c>
      <c r="G1158" s="14" t="n">
        <f aca="false">cw_29*um29_A</f>
        <v>3013.32589285714</v>
      </c>
      <c r="H1158" s="14" t="n">
        <f aca="false">G1158*(1+g_tail)</f>
        <v>3314.65848214285</v>
      </c>
      <c r="I1158" s="14" t="n">
        <f aca="false">H1158*(1+g_tail)</f>
        <v>3646.12433035714</v>
      </c>
      <c r="J1158" s="5" t="s">
        <v>647</v>
      </c>
    </row>
    <row r="1159" customFormat="false" ht="17.15" hidden="false" customHeight="false" outlineLevel="0" collapsed="false">
      <c r="A1159" s="0" t="s">
        <v>648</v>
      </c>
      <c r="B1159" s="5" t="s">
        <v>183</v>
      </c>
      <c r="C1159" s="14" t="n">
        <f aca="false">MAX(0,D1158-C1158)+dlt*C1158</f>
        <v>504.85762580894</v>
      </c>
      <c r="D1159" s="14" t="n">
        <f aca="false">MAX(0,E1158-D1158)+dlt*D1158</f>
        <v>1099.35670820052</v>
      </c>
      <c r="E1159" s="14" t="n">
        <f aca="false">MAX(0,F1158-E1158)+dlt*E1158</f>
        <v>733.303571428577</v>
      </c>
      <c r="F1159" s="14" t="n">
        <f aca="false">MAX(0,G1158-F1158)+dlt*F1158</f>
        <v>655.245535714279</v>
      </c>
      <c r="G1159" s="14" t="n">
        <f aca="false">MAX(0,H1158-G1158)+dlt*G1158</f>
        <v>602.665178571428</v>
      </c>
      <c r="H1159" s="14" t="n">
        <f aca="false">MAX(0,I1158-H1158)+dlt*H1158</f>
        <v>662.931696428571</v>
      </c>
    </row>
    <row r="1160" customFormat="false" ht="17.15" hidden="false" customHeight="false" outlineLevel="0" collapsed="false">
      <c r="A1160" s="5" t="s">
        <v>649</v>
      </c>
      <c r="B1160" s="0" t="s">
        <v>219</v>
      </c>
      <c r="C1160" s="21" t="n">
        <f aca="false">pk_25*(eqtA_25-eqaA_25)/(eqtA_25-eqaA_25)</f>
        <v>6.11313868613139</v>
      </c>
      <c r="D1160" s="21" t="n">
        <f aca="false">pk_26*(eqtA_26-eqaA_26)/(eqtA_26-eqaA_26)</f>
        <v>6.7</v>
      </c>
      <c r="E1160" s="21" t="n">
        <f aca="false">pk_27*(eqtA_27-eqaA_27)/(eqtA_27-eqaA_27)</f>
        <v>7.59078388573934</v>
      </c>
      <c r="F1160" s="21" t="n">
        <f aca="false">pk_28*(eqtA_28-eqaA_28)/(eqtA_28-eqaA_28)</f>
        <v>8.6</v>
      </c>
      <c r="G1160" s="21" t="n">
        <f aca="false">pk_29*(eqtA_29-eqaA_29)/(eqtA_29-eqaA_29)</f>
        <v>9.288</v>
      </c>
      <c r="H1160" s="21" t="n">
        <f aca="false">G1160*(1+g_pk_tail)</f>
        <v>9.7524</v>
      </c>
      <c r="J1160" s="8" t="s">
        <v>650</v>
      </c>
    </row>
    <row r="1161" customFormat="false" ht="15" hidden="false" customHeight="false" outlineLevel="0" collapsed="false">
      <c r="A1161" s="5" t="s">
        <v>651</v>
      </c>
      <c r="B1161" s="0" t="s">
        <v>219</v>
      </c>
      <c r="C1161" s="24" t="n">
        <f aca="false">eqtA_25</f>
        <v>134.689359843138</v>
      </c>
      <c r="D1161" s="24" t="n">
        <f aca="false">eqtA_26</f>
        <v>178.157050570127</v>
      </c>
      <c r="E1161" s="24" t="n">
        <f aca="false">eqtA_27</f>
        <v>218.225535760082</v>
      </c>
      <c r="F1161" s="24" t="n">
        <f aca="false">eqtA_28</f>
        <v>246.028626308958</v>
      </c>
      <c r="G1161" s="24" t="n">
        <f aca="false">eqtA_29</f>
        <v>260.655685855226</v>
      </c>
      <c r="H1161" s="24" t="n">
        <f aca="false">G1161*(1+g_pk_tail)</f>
        <v>273.688470147987</v>
      </c>
      <c r="J1161" s="5" t="s">
        <v>652</v>
      </c>
    </row>
    <row r="1162" customFormat="false" ht="17.15" hidden="false" customHeight="false" outlineLevel="0" collapsed="false">
      <c r="A1162" s="1" t="s">
        <v>653</v>
      </c>
    </row>
    <row r="1163" customFormat="false" ht="17.15" hidden="false" customHeight="false" outlineLevel="0" collapsed="false">
      <c r="A1163" s="0" t="s">
        <v>654</v>
      </c>
      <c r="B1163" s="0" t="s">
        <v>655</v>
      </c>
      <c r="C1163" s="24" t="n">
        <f aca="false">ai_25*w_hbm/(0.75*C1157+0.25*D1157)</f>
        <v>121.417244328233</v>
      </c>
      <c r="J1163" s="5" t="s">
        <v>656</v>
      </c>
    </row>
    <row r="1164" customFormat="false" ht="17.15" hidden="false" customHeight="false" outlineLevel="0" collapsed="false">
      <c r="A1164" s="0" t="s">
        <v>657</v>
      </c>
      <c r="B1164" s="0" t="s">
        <v>658</v>
      </c>
      <c r="C1164" s="25" t="n">
        <f aca="false">ai_25*(1-w_hbm)/(0.75*C1159+0.25*D1159)</f>
        <v>0.0076513155174377</v>
      </c>
    </row>
    <row r="1165" customFormat="false" ht="17.15" hidden="false" customHeight="false" outlineLevel="0" collapsed="false">
      <c r="A1165" s="1" t="s">
        <v>659</v>
      </c>
    </row>
    <row r="1166" customFormat="false" ht="17.15" hidden="false" customHeight="false" outlineLevel="0" collapsed="false">
      <c r="A1166" s="0" t="s">
        <v>660</v>
      </c>
      <c r="B1166" s="0" t="s">
        <v>198</v>
      </c>
      <c r="C1166" s="20" t="n">
        <f aca="false">1-shl_C_hi/sh*0</f>
        <v>1</v>
      </c>
      <c r="D1166" s="20" t="n">
        <f aca="false">1-shl_C_hi/sh*0.25</f>
        <v>0.953703703703704</v>
      </c>
      <c r="E1166" s="20" t="n">
        <f aca="false">1-shl_C_hi/sh*0.5</f>
        <v>0.907407407407407</v>
      </c>
      <c r="F1166" s="20" t="n">
        <f aca="false">1-shl_C_hi/sh*0.75</f>
        <v>0.861111111111111</v>
      </c>
      <c r="G1166" s="20" t="n">
        <f aca="false">1-shl_C_hi/sh*1</f>
        <v>0.814814814814815</v>
      </c>
      <c r="J1166" s="5" t="s">
        <v>661</v>
      </c>
    </row>
    <row r="1167" customFormat="false" ht="17.15" hidden="false" customHeight="false" outlineLevel="0" collapsed="false">
      <c r="A1167" s="0" t="s">
        <v>662</v>
      </c>
      <c r="B1167" s="0" t="s">
        <v>34</v>
      </c>
      <c r="C1167" s="19" t="n">
        <f aca="false">$C$1163*(0.75*C1157+0.25*D1157)*C1166</f>
        <v>5</v>
      </c>
      <c r="D1167" s="19" t="n">
        <f aca="false">$C$1163*(0.75*D1157+0.25*E1157)*D1166</f>
        <v>5.58372212392744</v>
      </c>
      <c r="E1167" s="19" t="n">
        <f aca="false">$C$1163*(0.75*E1157+0.25*F1157)*E1166</f>
        <v>4.92254251671227</v>
      </c>
      <c r="F1167" s="19" t="n">
        <f aca="false">$C$1163*(0.75*F1157+0.25*G1157)*F1166</f>
        <v>4.82169224785269</v>
      </c>
      <c r="G1167" s="19" t="n">
        <f aca="false">$C$1163*(0.75*G1157+0.25*H1157)*G1166</f>
        <v>4.13814226501795</v>
      </c>
    </row>
    <row r="1168" customFormat="false" ht="17.15" hidden="false" customHeight="false" outlineLevel="0" collapsed="false">
      <c r="A1168" s="0" t="s">
        <v>663</v>
      </c>
      <c r="B1168" s="0" t="s">
        <v>34</v>
      </c>
      <c r="C1168" s="19" t="n">
        <f aca="false">$C$1164*(0.75*C1159+0.25*D1159)*C1166</f>
        <v>5</v>
      </c>
      <c r="D1168" s="19" t="n">
        <f aca="false">$C$1164*(0.75*D1159+0.25*E1159)*D1166</f>
        <v>7.35432210197603</v>
      </c>
      <c r="E1168" s="19" t="n">
        <f aca="false">$C$1164*(0.75*E1159+0.25*F1159)*E1166</f>
        <v>4.95573779952028</v>
      </c>
      <c r="F1168" s="19" t="n">
        <f aca="false">$C$1164*(0.75*F1159+0.25*G1159)*F1166</f>
        <v>4.23056406652471</v>
      </c>
      <c r="G1168" s="19" t="n">
        <f aca="false">$C$1164*(0.75*G1159+0.25*H1159)*G1166</f>
        <v>3.85119041872767</v>
      </c>
    </row>
    <row r="1169" customFormat="false" ht="17.15" hidden="false" customHeight="false" outlineLevel="0" collapsed="false">
      <c r="A1169" s="5" t="s">
        <v>664</v>
      </c>
      <c r="B1169" s="0" t="s">
        <v>34</v>
      </c>
      <c r="C1169" s="19" t="n">
        <f aca="false">(seg_mold-ai_25)*(0.75*C1160+0.25*D1160)/(0.75*C1160+0.25*D1160)</f>
        <v>26.46</v>
      </c>
      <c r="D1169" s="19" t="n">
        <f aca="false">(seg_mold-ai_25)*(0.75*D1160+0.25*E1160)/(0.75*C1160+0.25*D1160)</f>
        <v>29.2617902872793</v>
      </c>
      <c r="E1169" s="19" t="n">
        <f aca="false">(seg_mold-ai_25)*(0.75*E1160+0.25*F1160)/(0.75*C1160+0.25*D1160)</f>
        <v>33.1522277881438</v>
      </c>
      <c r="F1169" s="19" t="n">
        <f aca="false">(seg_mold-ai_25)*(0.75*F1160+0.25*G1160)/(0.75*C1160+0.25*D1160)</f>
        <v>37.0786793843283</v>
      </c>
      <c r="G1169" s="19" t="n">
        <f aca="false">(seg_mold-ai_25)*(0.75*G1160+0.25*H1160)/(0.75*C1160+0.25*D1160)</f>
        <v>39.7505253987873</v>
      </c>
      <c r="J1169" s="8" t="s">
        <v>665</v>
      </c>
    </row>
    <row r="1170" customFormat="false" ht="15" hidden="false" customHeight="false" outlineLevel="0" collapsed="false">
      <c r="A1170" s="5" t="s">
        <v>666</v>
      </c>
      <c r="B1170" s="0" t="s">
        <v>34</v>
      </c>
      <c r="C1170" s="19" t="n">
        <f aca="false">seg_osemi*(0.75*C1161+0.25*D1161)/(0.75*C1161+0.25*D1161)</f>
        <v>3.93</v>
      </c>
      <c r="D1170" s="19" t="n">
        <f aca="false">seg_osemi*(0.75*D1161+0.25*E1161)/(0.75*C1161+0.25*D1161)</f>
        <v>5.08067726525852</v>
      </c>
      <c r="E1170" s="19" t="n">
        <f aca="false">seg_osemi*(0.75*E1161+0.25*F1161)/(0.75*C1161+0.25*D1161)</f>
        <v>6.0797299618455</v>
      </c>
      <c r="F1170" s="19" t="n">
        <f aca="false">seg_osemi*(0.75*F1161+0.25*G1161)/(0.75*C1161+0.25*D1161)</f>
        <v>6.74147189236335</v>
      </c>
      <c r="G1170" s="19" t="n">
        <f aca="false">seg_osemi*(0.75*G1161+0.25*H1161)/(0.75*C1161+0.25*D1161)</f>
        <v>7.12563922344852</v>
      </c>
      <c r="J1170" s="5" t="s">
        <v>667</v>
      </c>
    </row>
    <row r="1171" customFormat="false" ht="17.15" hidden="false" customHeight="false" outlineLevel="0" collapsed="false">
      <c r="A1171" s="5" t="s">
        <v>668</v>
      </c>
      <c r="B1171" s="0" t="s">
        <v>34</v>
      </c>
      <c r="C1171" s="19" t="n">
        <f aca="false">seg_new</f>
        <v>9.47</v>
      </c>
      <c r="D1171" s="19" t="n">
        <f aca="false">C1171*(1+g_tss)</f>
        <v>9.7541</v>
      </c>
      <c r="E1171" s="19" t="n">
        <f aca="false">D1171*(1+g_tss)</f>
        <v>10.046723</v>
      </c>
      <c r="F1171" s="19" t="n">
        <f aca="false">E1171*(1+g_tss)</f>
        <v>10.34812469</v>
      </c>
      <c r="G1171" s="19" t="n">
        <f aca="false">F1171*(1+g_tss)</f>
        <v>10.6585684307</v>
      </c>
    </row>
    <row r="1172" customFormat="false" ht="15" hidden="false" customHeight="false" outlineLevel="0" collapsed="false">
      <c r="A1172" s="5" t="s">
        <v>669</v>
      </c>
      <c r="B1172" s="0" t="s">
        <v>34</v>
      </c>
      <c r="C1172" s="19" t="n">
        <f aca="false">seg_med</f>
        <v>2.48</v>
      </c>
      <c r="D1172" s="19" t="n">
        <f aca="false">C1172*(1+g_med)</f>
        <v>2.5544</v>
      </c>
      <c r="E1172" s="19" t="n">
        <f aca="false">D1172*(1+g_med)</f>
        <v>2.631032</v>
      </c>
      <c r="F1172" s="19" t="n">
        <f aca="false">E1172*(1+g_med)</f>
        <v>2.70996296</v>
      </c>
      <c r="G1172" s="19" t="n">
        <f aca="false">F1172*(1+g_med)</f>
        <v>2.7912618488</v>
      </c>
    </row>
    <row r="1173" customFormat="false" ht="15" hidden="false" customHeight="false" outlineLevel="0" collapsed="false">
      <c r="A1173" s="5" t="s">
        <v>670</v>
      </c>
      <c r="B1173" s="0" t="s">
        <v>34</v>
      </c>
      <c r="C1173" s="19" t="n">
        <f aca="false">seg_las*(0.75*C1161+0.25*D1161)/(0.75*C1161+0.25*D1161)</f>
        <v>2</v>
      </c>
      <c r="D1173" s="19" t="n">
        <f aca="false">seg_las*(0.75*D1161+0.25*E1161)/(0.75*C1161+0.25*D1161)</f>
        <v>2.5855863945336</v>
      </c>
      <c r="E1173" s="19" t="n">
        <f aca="false">seg_las*(0.75*E1161+0.25*F1161)/(0.75*C1161+0.25*D1161)</f>
        <v>3.0940101587</v>
      </c>
      <c r="F1173" s="19" t="n">
        <f aca="false">seg_las*(0.75*F1161+0.25*G1161)/(0.75*C1161+0.25*D1161)</f>
        <v>3.43077449993046</v>
      </c>
      <c r="G1173" s="19" t="n">
        <f aca="false">seg_las*(0.75*G1161+0.25*H1161)/(0.75*C1161+0.25*D1161)</f>
        <v>3.62627950302724</v>
      </c>
      <c r="J1173" s="5" t="s">
        <v>667</v>
      </c>
    </row>
    <row r="1174" customFormat="false" ht="15" hidden="false" customHeight="false" outlineLevel="0" collapsed="false">
      <c r="A1174" s="5" t="s">
        <v>671</v>
      </c>
      <c r="B1174" s="0" t="s">
        <v>34</v>
      </c>
      <c r="C1174" s="19" t="n">
        <f aca="false">C1167+C1168+C1169+C1170+C1171+C1172+C1173+seg_adj</f>
        <v>54.365</v>
      </c>
      <c r="D1174" s="19" t="n">
        <f aca="false">D1167+D1168+D1169+D1170+D1171+D1172+D1173</f>
        <v>62.1745981729748</v>
      </c>
      <c r="E1174" s="19" t="n">
        <f aca="false">E1167+E1168+E1169+E1170+E1171+E1172+E1173</f>
        <v>64.8820032249218</v>
      </c>
      <c r="F1174" s="19" t="n">
        <f aca="false">F1167+F1168+F1169+F1170+F1171+F1172+F1173</f>
        <v>69.3612697409996</v>
      </c>
      <c r="G1174" s="19" t="n">
        <f aca="false">G1167+G1168+G1169+G1170+G1171+G1172+G1173</f>
        <v>71.9416070885087</v>
      </c>
    </row>
    <row r="1175" customFormat="false" ht="17.15" hidden="false" customHeight="false" outlineLevel="0" collapsed="false">
      <c r="A1175" s="1" t="s">
        <v>672</v>
      </c>
    </row>
    <row r="1176" customFormat="false" ht="17.15" hidden="false" customHeight="false" outlineLevel="0" collapsed="false">
      <c r="A1176" s="0" t="s">
        <v>673</v>
      </c>
      <c r="B1176" s="0" t="s">
        <v>34</v>
      </c>
      <c r="D1176" s="19" t="n">
        <f aca="false">g26_rev*(1+g_anc)</f>
        <v>64</v>
      </c>
    </row>
    <row r="1177" customFormat="false" ht="17.15" hidden="false" customHeight="false" outlineLevel="0" collapsed="false">
      <c r="A1177" s="0" t="s">
        <v>674</v>
      </c>
      <c r="B1177" s="0" t="s">
        <v>34</v>
      </c>
      <c r="D1177" s="19" t="n">
        <f aca="false">D1176*g26_oi/g26_rev</f>
        <v>10.24</v>
      </c>
    </row>
    <row r="1178" customFormat="false" ht="17.15" hidden="false" customHeight="false" outlineLevel="0" collapsed="false">
      <c r="A1178" s="0" t="s">
        <v>675</v>
      </c>
      <c r="B1178" s="0" t="s">
        <v>34</v>
      </c>
      <c r="D1178" s="19" t="n">
        <f aca="false">D1177*g26_ni/g26_oi</f>
        <v>7</v>
      </c>
    </row>
    <row r="1179" customFormat="false" ht="17.15" hidden="false" customHeight="false" outlineLevel="0" collapsed="false">
      <c r="A1179" s="5" t="s">
        <v>676</v>
      </c>
      <c r="B1179" s="0" t="s">
        <v>198</v>
      </c>
      <c r="D1179" s="20" t="n">
        <f aca="false">D1176/D1174</f>
        <v>1.02935928627873</v>
      </c>
      <c r="J1179" s="8" t="s">
        <v>677</v>
      </c>
    </row>
    <row r="1180" customFormat="false" ht="17.15" hidden="false" customHeight="false" outlineLevel="0" collapsed="false">
      <c r="A1180" s="5" t="s">
        <v>678</v>
      </c>
      <c r="B1180" s="0" t="s">
        <v>198</v>
      </c>
      <c r="D1180" s="20" t="n">
        <f aca="false">1+1*(D1179-1)</f>
        <v>1.02935928627873</v>
      </c>
      <c r="J1180" s="8" t="s">
        <v>679</v>
      </c>
    </row>
    <row r="1181" customFormat="false" ht="17.15" hidden="false" customHeight="false" outlineLevel="0" collapsed="false">
      <c r="A1181" s="1" t="s">
        <v>680</v>
      </c>
    </row>
    <row r="1182" customFormat="false" ht="17.15" hidden="false" customHeight="false" outlineLevel="0" collapsed="false">
      <c r="A1182" s="0" t="s">
        <v>681</v>
      </c>
      <c r="B1182" s="0" t="s">
        <v>34</v>
      </c>
      <c r="C1182" s="19" t="n">
        <f aca="false">C1167*1</f>
        <v>5</v>
      </c>
      <c r="D1182" s="19" t="n">
        <f aca="false">D1167*$D$1179</f>
        <v>5.74765622026468</v>
      </c>
      <c r="E1182" s="19" t="n">
        <f aca="false">E1167*1</f>
        <v>4.92254251671227</v>
      </c>
      <c r="F1182" s="19" t="n">
        <f aca="false">F1167*1</f>
        <v>4.82169224785269</v>
      </c>
      <c r="G1182" s="19" t="n">
        <f aca="false">G1167*1</f>
        <v>4.13814226501795</v>
      </c>
    </row>
    <row r="1183" customFormat="false" ht="17.15" hidden="false" customHeight="false" outlineLevel="0" collapsed="false">
      <c r="A1183" s="0" t="s">
        <v>682</v>
      </c>
      <c r="B1183" s="0" t="s">
        <v>34</v>
      </c>
      <c r="C1183" s="19" t="n">
        <f aca="false">C1168*1</f>
        <v>5</v>
      </c>
      <c r="D1183" s="19" t="n">
        <f aca="false">D1168*$D$1179</f>
        <v>7.57023974995391</v>
      </c>
      <c r="E1183" s="19" t="n">
        <f aca="false">E1168*1</f>
        <v>4.95573779952028</v>
      </c>
      <c r="F1183" s="19" t="n">
        <f aca="false">F1168*1</f>
        <v>4.23056406652471</v>
      </c>
      <c r="G1183" s="19" t="n">
        <f aca="false">G1168*1</f>
        <v>3.85119041872767</v>
      </c>
    </row>
    <row r="1184" customFormat="false" ht="17.15" hidden="false" customHeight="false" outlineLevel="0" collapsed="false">
      <c r="A1184" s="5" t="s">
        <v>683</v>
      </c>
      <c r="B1184" s="0" t="s">
        <v>34</v>
      </c>
      <c r="C1184" s="19" t="n">
        <f aca="false">C1169*1</f>
        <v>26.46</v>
      </c>
      <c r="D1184" s="19" t="n">
        <f aca="false">D1169*$D$1179</f>
        <v>30.1208955653516</v>
      </c>
      <c r="E1184" s="19" t="n">
        <f aca="false">E1169*$D$1180</f>
        <v>34.1255535345535</v>
      </c>
      <c r="F1184" s="19" t="n">
        <f aca="false">F1169*$D$1180</f>
        <v>38.16728294721</v>
      </c>
      <c r="G1184" s="19" t="n">
        <f aca="false">G1169*$D$1180</f>
        <v>40.9175724537001</v>
      </c>
    </row>
    <row r="1185" customFormat="false" ht="15" hidden="false" customHeight="false" outlineLevel="0" collapsed="false">
      <c r="A1185" s="5" t="s">
        <v>684</v>
      </c>
      <c r="B1185" s="0" t="s">
        <v>34</v>
      </c>
      <c r="C1185" s="19" t="n">
        <f aca="false">C1170*1</f>
        <v>3.93</v>
      </c>
      <c r="D1185" s="19" t="n">
        <f aca="false">D1170*$D$1179</f>
        <v>5.22984232357906</v>
      </c>
      <c r="E1185" s="19" t="n">
        <f aca="false">E1170*$D$1180</f>
        <v>6.25822649429267</v>
      </c>
      <c r="F1185" s="19" t="n">
        <f aca="false">F1170*$D$1180</f>
        <v>6.93939669559124</v>
      </c>
      <c r="G1185" s="19" t="n">
        <f aca="false">G1170*$D$1180</f>
        <v>7.33484290532867</v>
      </c>
    </row>
    <row r="1186" customFormat="false" ht="17.15" hidden="false" customHeight="false" outlineLevel="0" collapsed="false">
      <c r="A1186" s="5" t="s">
        <v>685</v>
      </c>
      <c r="B1186" s="0" t="s">
        <v>34</v>
      </c>
      <c r="C1186" s="19" t="n">
        <f aca="false">C1171*1</f>
        <v>9.47</v>
      </c>
      <c r="D1186" s="19" t="n">
        <f aca="false">D1171*$D$1179</f>
        <v>10.0404734142913</v>
      </c>
      <c r="E1186" s="19" t="n">
        <f aca="false">E1171*$D$1180</f>
        <v>10.3416876167201</v>
      </c>
      <c r="F1186" s="19" t="n">
        <f aca="false">F1171*$D$1180</f>
        <v>10.6519382452217</v>
      </c>
      <c r="G1186" s="19" t="n">
        <f aca="false">G1171*$D$1180</f>
        <v>10.9714963925783</v>
      </c>
    </row>
    <row r="1187" customFormat="false" ht="15" hidden="false" customHeight="false" outlineLevel="0" collapsed="false">
      <c r="A1187" s="5" t="s">
        <v>686</v>
      </c>
      <c r="B1187" s="0" t="s">
        <v>34</v>
      </c>
      <c r="C1187" s="19" t="n">
        <f aca="false">C1172*1</f>
        <v>2.48</v>
      </c>
      <c r="D1187" s="19" t="n">
        <f aca="false">D1172*$D$1179</f>
        <v>2.62939536087038</v>
      </c>
      <c r="E1187" s="19" t="n">
        <f aca="false">E1172*$D$1180</f>
        <v>2.70827722169649</v>
      </c>
      <c r="F1187" s="19" t="n">
        <f aca="false">F1172*$D$1180</f>
        <v>2.78952553834739</v>
      </c>
      <c r="G1187" s="19" t="n">
        <f aca="false">G1172*$D$1180</f>
        <v>2.87321130449781</v>
      </c>
    </row>
    <row r="1188" customFormat="false" ht="15" hidden="false" customHeight="false" outlineLevel="0" collapsed="false">
      <c r="A1188" s="5" t="s">
        <v>687</v>
      </c>
      <c r="B1188" s="0" t="s">
        <v>34</v>
      </c>
      <c r="C1188" s="19" t="n">
        <f aca="false">C1173*1</f>
        <v>2</v>
      </c>
      <c r="D1188" s="19" t="n">
        <f aca="false">D1173*$D$1179</f>
        <v>2.66149736568909</v>
      </c>
      <c r="E1188" s="19" t="n">
        <f aca="false">E1173*$D$1180</f>
        <v>3.18484808869856</v>
      </c>
      <c r="F1188" s="19" t="n">
        <f aca="false">F1173*$D$1180</f>
        <v>3.53149959063167</v>
      </c>
      <c r="G1188" s="19" t="n">
        <f aca="false">G1173*$D$1180</f>
        <v>3.73274448108329</v>
      </c>
    </row>
    <row r="1189" customFormat="false" ht="17.15" hidden="false" customHeight="false" outlineLevel="0" collapsed="false">
      <c r="A1189" s="0" t="s">
        <v>688</v>
      </c>
      <c r="B1189" s="0" t="s">
        <v>34</v>
      </c>
      <c r="C1189" s="19" t="n">
        <f aca="false">C1182+C1183</f>
        <v>10</v>
      </c>
      <c r="D1189" s="19" t="n">
        <f aca="false">D1182+D1183</f>
        <v>13.3178959702186</v>
      </c>
      <c r="E1189" s="19" t="n">
        <f aca="false">E1182+E1183</f>
        <v>9.87828031623255</v>
      </c>
      <c r="F1189" s="19" t="n">
        <f aca="false">F1182+F1183</f>
        <v>9.0522563143774</v>
      </c>
      <c r="G1189" s="19" t="n">
        <f aca="false">G1182+G1183</f>
        <v>7.98933268374562</v>
      </c>
    </row>
    <row r="1190" customFormat="false" ht="17.15" hidden="false" customHeight="false" outlineLevel="0" collapsed="false">
      <c r="A1190" s="5" t="s">
        <v>689</v>
      </c>
      <c r="B1190" s="0" t="s">
        <v>34</v>
      </c>
      <c r="C1190" s="19" t="n">
        <f aca="false">C1189+C1184+C1185</f>
        <v>40.39</v>
      </c>
      <c r="D1190" s="19" t="n">
        <f aca="false">D1189+D1184+D1185</f>
        <v>48.6686338591492</v>
      </c>
      <c r="E1190" s="19" t="n">
        <f aca="false">E1189+E1184+E1185</f>
        <v>50.2620603450787</v>
      </c>
      <c r="F1190" s="19" t="n">
        <f aca="false">F1189+F1184+F1185</f>
        <v>54.1589359571786</v>
      </c>
      <c r="G1190" s="19" t="n">
        <f aca="false">G1189+G1184+G1185</f>
        <v>56.2417480427744</v>
      </c>
      <c r="J1190" s="5" t="s">
        <v>690</v>
      </c>
    </row>
    <row r="1191" customFormat="false" ht="17.15" hidden="false" customHeight="false" outlineLevel="0" collapsed="false">
      <c r="A1191" s="5" t="s">
        <v>541</v>
      </c>
      <c r="B1191" s="0" t="s">
        <v>34</v>
      </c>
      <c r="C1191" s="19" t="n">
        <f aca="false">C1190+C1186+C1187+C1188+seg_adj</f>
        <v>54.365</v>
      </c>
      <c r="D1191" s="19" t="n">
        <f aca="false">D1190+D1186+D1187+D1188</f>
        <v>64</v>
      </c>
      <c r="E1191" s="19" t="n">
        <f aca="false">E1190+E1186+E1187+E1188</f>
        <v>66.4968732721938</v>
      </c>
      <c r="F1191" s="19" t="n">
        <f aca="false">F1190+F1186+F1187+F1188</f>
        <v>71.1318993313793</v>
      </c>
      <c r="G1191" s="19" t="n">
        <f aca="false">G1190+G1186+G1187+G1188</f>
        <v>73.8192002209338</v>
      </c>
      <c r="J1191" s="8" t="s">
        <v>691</v>
      </c>
    </row>
    <row r="1192" customFormat="false" ht="17.15" hidden="false" customHeight="false" outlineLevel="0" collapsed="false">
      <c r="A1192" s="5" t="s">
        <v>692</v>
      </c>
      <c r="B1192" s="0" t="s">
        <v>34</v>
      </c>
      <c r="C1192" s="20" t="n">
        <f aca="false">C1190+C1186+C1187+C1188-a25_rev</f>
        <v>-0.0249999999999986</v>
      </c>
    </row>
    <row r="1193" customFormat="false" ht="17.15" hidden="false" customHeight="false" outlineLevel="0" collapsed="false">
      <c r="A1193" s="0" t="s">
        <v>621</v>
      </c>
      <c r="B1193" s="0" t="s">
        <v>94</v>
      </c>
      <c r="C1193" s="11" t="n">
        <f aca="false">C1189/C1191</f>
        <v>0.1839418743677</v>
      </c>
      <c r="D1193" s="11" t="n">
        <f aca="false">D1189/D1191</f>
        <v>0.208092124534665</v>
      </c>
      <c r="E1193" s="11" t="n">
        <f aca="false">E1189/E1191</f>
        <v>0.148552553377923</v>
      </c>
      <c r="F1193" s="11" t="n">
        <f aca="false">F1189/F1191</f>
        <v>0.127260151907459</v>
      </c>
      <c r="G1193" s="11" t="n">
        <f aca="false">G1189/G1191</f>
        <v>0.108228383128432</v>
      </c>
    </row>
    <row r="1194" customFormat="false" ht="17.15" hidden="false" customHeight="false" outlineLevel="0" collapsed="false">
      <c r="A1194" s="5" t="s">
        <v>545</v>
      </c>
      <c r="B1194" s="0" t="s">
        <v>34</v>
      </c>
      <c r="C1194" s="19" t="n">
        <f aca="false">a25_oi</f>
        <v>6.917</v>
      </c>
      <c r="D1194" s="19" t="n">
        <f aca="false">D1177</f>
        <v>10.24</v>
      </c>
      <c r="E1194" s="19" t="n">
        <f aca="false">$D1194+(im+ima_A)*(E1191-$D1191)</f>
        <v>10.9878662933468</v>
      </c>
      <c r="F1194" s="19" t="n">
        <f aca="false">$D1194+(im+ima_A)*(F1191-$D1191)</f>
        <v>12.3761545164825</v>
      </c>
      <c r="G1194" s="19" t="n">
        <f aca="false">$D1194+(im+ima_A)*(G1191-$D1191)</f>
        <v>13.1810579041553</v>
      </c>
      <c r="J1194" s="8" t="s">
        <v>693</v>
      </c>
    </row>
    <row r="1195" customFormat="false" ht="15" hidden="false" customHeight="false" outlineLevel="0" collapsed="false">
      <c r="A1195" s="5" t="s">
        <v>694</v>
      </c>
      <c r="B1195" s="0" t="s">
        <v>94</v>
      </c>
      <c r="C1195" s="11" t="n">
        <f aca="false">C1194/C1191</f>
        <v>0.127232594500138</v>
      </c>
      <c r="D1195" s="11" t="n">
        <f aca="false">D1194/D1191</f>
        <v>0.16</v>
      </c>
      <c r="E1195" s="11" t="n">
        <f aca="false">E1194/E1191</f>
        <v>0.165238841356793</v>
      </c>
      <c r="F1195" s="11" t="n">
        <f aca="false">F1194/F1191</f>
        <v>0.173988809982792</v>
      </c>
      <c r="G1195" s="11" t="n">
        <f aca="false">G1194/G1191</f>
        <v>0.178558665830918</v>
      </c>
    </row>
    <row r="1196" customFormat="false" ht="15" hidden="false" customHeight="false" outlineLevel="0" collapsed="false">
      <c r="A1196" s="5" t="s">
        <v>548</v>
      </c>
      <c r="B1196" s="0" t="s">
        <v>34</v>
      </c>
      <c r="C1196" s="19" t="n">
        <f aca="false">a25_ni</f>
        <v>4.593</v>
      </c>
      <c r="D1196" s="19" t="n">
        <f aca="false">D1178</f>
        <v>7</v>
      </c>
      <c r="E1196" s="19" t="n">
        <f aca="false">E1194*nioi</f>
        <v>7.51123672396753</v>
      </c>
      <c r="F1196" s="19" t="n">
        <f aca="false">F1194*nioi</f>
        <v>8.46026187650169</v>
      </c>
      <c r="G1196" s="19" t="n">
        <f aca="false">G1194*nioi</f>
        <v>9.01048880166869</v>
      </c>
    </row>
    <row r="1197" customFormat="false" ht="15" hidden="false" customHeight="false" outlineLevel="0" collapsed="false">
      <c r="A1197" s="0" t="s">
        <v>622</v>
      </c>
      <c r="B1197" s="0" t="s">
        <v>52</v>
      </c>
      <c r="C1197" s="22" t="n">
        <f aca="false">a25_eps</f>
        <v>61.22</v>
      </c>
      <c r="D1197" s="22" t="n">
        <f aca="false">D1196*1000/shares</f>
        <v>93.2961492201002</v>
      </c>
      <c r="E1197" s="22" t="n">
        <f aca="false">E1196*1000/shares</f>
        <v>100.109923175253</v>
      </c>
      <c r="F1197" s="22" t="n">
        <f aca="false">F1196*1000/shares</f>
        <v>112.758550638747</v>
      </c>
      <c r="G1197" s="22" t="n">
        <f aca="false">G1196*1000/shares</f>
        <v>120.091986826646</v>
      </c>
    </row>
    <row r="1198" customFormat="false" ht="17.15" hidden="false" customHeight="false" outlineLevel="0" collapsed="false">
      <c r="A1198" s="5" t="s">
        <v>695</v>
      </c>
      <c r="B1198" s="0" t="s">
        <v>34</v>
      </c>
      <c r="C1198" s="20" t="n">
        <f aca="false">ABS(C1191-a25_rev)+ABS(C1194-a25_oi)+ABS(D1191-D1176)</f>
        <v>0</v>
      </c>
    </row>
    <row r="1210" customFormat="false" ht="17.15" hidden="false" customHeight="false" outlineLevel="0" collapsed="false">
      <c r="A1210" s="3" t="s">
        <v>1035</v>
      </c>
    </row>
    <row r="1211" customFormat="false" ht="17.15" hidden="false" customHeight="false" outlineLevel="0" collapsed="false">
      <c r="A1211" s="6" t="s">
        <v>23</v>
      </c>
      <c r="B1211" s="6" t="s">
        <v>24</v>
      </c>
      <c r="C1211" s="15" t="s">
        <v>628</v>
      </c>
      <c r="D1211" s="15" t="s">
        <v>629</v>
      </c>
      <c r="E1211" s="15" t="s">
        <v>630</v>
      </c>
      <c r="F1211" s="15" t="s">
        <v>631</v>
      </c>
      <c r="G1211" s="15" t="s">
        <v>632</v>
      </c>
      <c r="H1211" s="15" t="s">
        <v>633</v>
      </c>
      <c r="I1211" s="15" t="s">
        <v>634</v>
      </c>
      <c r="J1211" s="6" t="s">
        <v>468</v>
      </c>
    </row>
    <row r="1212" customFormat="false" ht="17.15" hidden="false" customHeight="false" outlineLevel="0" collapsed="false">
      <c r="A1212" s="1" t="s">
        <v>635</v>
      </c>
    </row>
    <row r="1213" customFormat="false" ht="17.15" hidden="false" customHeight="false" outlineLevel="0" collapsed="false">
      <c r="A1213" s="0" t="s">
        <v>636</v>
      </c>
      <c r="B1213" s="0" t="s">
        <v>111</v>
      </c>
      <c r="C1213" s="21" t="n">
        <f aca="false">hsA_25</f>
        <v>2.22511470588235</v>
      </c>
      <c r="D1213" s="21" t="n">
        <f aca="false">hsA_26</f>
        <v>3.782695</v>
      </c>
      <c r="E1213" s="21" t="n">
        <f aca="false">hsA_27</f>
        <v>5.86317725</v>
      </c>
      <c r="F1213" s="21" t="n">
        <f aca="false">hsA_28</f>
        <v>8.5016070125</v>
      </c>
      <c r="G1213" s="21" t="n">
        <f aca="false">hsA_29</f>
        <v>11.477169466875</v>
      </c>
      <c r="J1213" s="8" t="s">
        <v>637</v>
      </c>
    </row>
    <row r="1214" customFormat="false" ht="17.15" hidden="false" customHeight="false" outlineLevel="0" collapsed="false">
      <c r="A1214" s="0" t="s">
        <v>638</v>
      </c>
      <c r="B1214" s="0" t="s">
        <v>639</v>
      </c>
      <c r="C1214" s="21" t="n">
        <f aca="false">den_25</f>
        <v>24</v>
      </c>
      <c r="D1214" s="21" t="n">
        <f aca="false">den_26</f>
        <v>24</v>
      </c>
      <c r="E1214" s="21" t="n">
        <f aca="false">den_27</f>
        <v>26</v>
      </c>
      <c r="F1214" s="21" t="n">
        <f aca="false">den_28</f>
        <v>28</v>
      </c>
      <c r="G1214" s="21" t="n">
        <f aca="false">den_29</f>
        <v>30</v>
      </c>
    </row>
    <row r="1215" customFormat="false" ht="15" hidden="false" customHeight="false" outlineLevel="0" collapsed="false">
      <c r="A1215" s="5" t="s">
        <v>640</v>
      </c>
      <c r="B1215" s="5" t="s">
        <v>160</v>
      </c>
      <c r="C1215" s="21" t="n">
        <f aca="false">stk_25</f>
        <v>10</v>
      </c>
      <c r="D1215" s="21" t="n">
        <f aca="false">stk_26</f>
        <v>12</v>
      </c>
      <c r="E1215" s="21" t="n">
        <f aca="false">stk_27</f>
        <v>12.5</v>
      </c>
      <c r="F1215" s="21" t="n">
        <f aca="false">stk_28</f>
        <v>14</v>
      </c>
      <c r="G1215" s="21" t="n">
        <f aca="false">stk_29</f>
        <v>15</v>
      </c>
    </row>
    <row r="1216" customFormat="false" ht="17.15" hidden="false" customHeight="false" outlineLevel="0" collapsed="false">
      <c r="A1216" s="0" t="s">
        <v>641</v>
      </c>
      <c r="B1216" s="5" t="s">
        <v>642</v>
      </c>
      <c r="C1216" s="23" t="n">
        <f aca="false">C1213*8/(C1214*C1215)</f>
        <v>0.0741704901960783</v>
      </c>
      <c r="D1216" s="23" t="n">
        <f aca="false">D1213*8/(D1214*D1215)</f>
        <v>0.105074861111111</v>
      </c>
      <c r="E1216" s="23" t="n">
        <f aca="false">E1213*8/(E1214*E1215)</f>
        <v>0.144324363076923</v>
      </c>
      <c r="F1216" s="23" t="n">
        <f aca="false">F1213*8/(F1214*F1215)</f>
        <v>0.173502183928571</v>
      </c>
      <c r="G1216" s="23" t="n">
        <f aca="false">G1213*8/(G1214*G1215)</f>
        <v>0.2040385683</v>
      </c>
      <c r="H1216" s="23" t="n">
        <f aca="false">G1216*(1+g_tail)</f>
        <v>0.22444242513</v>
      </c>
      <c r="I1216" s="23" t="n">
        <f aca="false">H1216*(1+g_tail)</f>
        <v>0.246886667643</v>
      </c>
      <c r="J1216" s="8" t="s">
        <v>643</v>
      </c>
    </row>
    <row r="1217" customFormat="false" ht="17.15" hidden="false" customHeight="false" outlineLevel="0" collapsed="false">
      <c r="A1217" s="0" t="s">
        <v>644</v>
      </c>
      <c r="B1217" s="5" t="s">
        <v>642</v>
      </c>
      <c r="C1217" s="23" t="n">
        <f aca="false">MAX(0,D1216-C1216)+dlt*C1216</f>
        <v>0.0383214199346406</v>
      </c>
      <c r="D1217" s="23" t="n">
        <f aca="false">MAX(0,E1216-D1216)+dlt*D1216</f>
        <v>0.0497569880769231</v>
      </c>
      <c r="E1217" s="23" t="n">
        <f aca="false">MAX(0,F1216-E1216)+dlt*E1216</f>
        <v>0.0436102571593407</v>
      </c>
      <c r="F1217" s="23" t="n">
        <f aca="false">MAX(0,G1216-F1216)+dlt*F1216</f>
        <v>0.0478866027642858</v>
      </c>
      <c r="G1217" s="23" t="n">
        <f aca="false">MAX(0,H1216-G1216)+dlt*G1216</f>
        <v>0.04080771366</v>
      </c>
      <c r="H1217" s="23" t="n">
        <f aca="false">MAX(0,I1216-H1216)+dlt*H1216</f>
        <v>0.044888485026</v>
      </c>
      <c r="J1217" s="5" t="s">
        <v>645</v>
      </c>
    </row>
    <row r="1218" customFormat="false" ht="17.15" hidden="false" customHeight="false" outlineLevel="0" collapsed="false">
      <c r="A1218" s="0" t="s">
        <v>646</v>
      </c>
      <c r="B1218" s="5" t="s">
        <v>183</v>
      </c>
      <c r="C1218" s="14" t="n">
        <f aca="false">cw_25</f>
        <v>670</v>
      </c>
      <c r="D1218" s="14" t="n">
        <f aca="false">cw_26</f>
        <v>1107.85762580894</v>
      </c>
      <c r="E1218" s="14" t="n">
        <f aca="false">cw_27</f>
        <v>2096.42857142857</v>
      </c>
      <c r="F1218" s="14" t="n">
        <f aca="false">cw_28*um28_A</f>
        <v>2620.08928571429</v>
      </c>
      <c r="G1218" s="14" t="n">
        <f aca="false">cw_29*um29_A</f>
        <v>3013.32589285714</v>
      </c>
      <c r="H1218" s="14" t="n">
        <f aca="false">G1218*(1+g_tail)</f>
        <v>3314.65848214285</v>
      </c>
      <c r="I1218" s="14" t="n">
        <f aca="false">H1218*(1+g_tail)</f>
        <v>3646.12433035714</v>
      </c>
      <c r="J1218" s="5" t="s">
        <v>647</v>
      </c>
    </row>
    <row r="1219" customFormat="false" ht="17.15" hidden="false" customHeight="false" outlineLevel="0" collapsed="false">
      <c r="A1219" s="0" t="s">
        <v>648</v>
      </c>
      <c r="B1219" s="5" t="s">
        <v>183</v>
      </c>
      <c r="C1219" s="14" t="n">
        <f aca="false">MAX(0,D1218-C1218)+dlt*C1218</f>
        <v>504.85762580894</v>
      </c>
      <c r="D1219" s="14" t="n">
        <f aca="false">MAX(0,E1218-D1218)+dlt*D1218</f>
        <v>1099.35670820052</v>
      </c>
      <c r="E1219" s="14" t="n">
        <f aca="false">MAX(0,F1218-E1218)+dlt*E1218</f>
        <v>733.303571428577</v>
      </c>
      <c r="F1219" s="14" t="n">
        <f aca="false">MAX(0,G1218-F1218)+dlt*F1218</f>
        <v>655.245535714279</v>
      </c>
      <c r="G1219" s="14" t="n">
        <f aca="false">MAX(0,H1218-G1218)+dlt*G1218</f>
        <v>602.665178571428</v>
      </c>
      <c r="H1219" s="14" t="n">
        <f aca="false">MAX(0,I1218-H1218)+dlt*H1218</f>
        <v>662.931696428571</v>
      </c>
    </row>
    <row r="1220" customFormat="false" ht="17.15" hidden="false" customHeight="false" outlineLevel="0" collapsed="false">
      <c r="A1220" s="5" t="s">
        <v>649</v>
      </c>
      <c r="B1220" s="0" t="s">
        <v>219</v>
      </c>
      <c r="C1220" s="21" t="n">
        <f aca="false">pk_25*(eqtA_25-eqaA_25)/(eqtA_25-eqaA_25)</f>
        <v>6.11313868613139</v>
      </c>
      <c r="D1220" s="21" t="n">
        <f aca="false">pk_26*(eqtA_26-eqaA_26)/(eqtA_26-eqaA_26)</f>
        <v>6.7</v>
      </c>
      <c r="E1220" s="21" t="n">
        <f aca="false">pk_27*(eqtA_27-eqaA_27)/(eqtA_27-eqaA_27)</f>
        <v>7.59078388573934</v>
      </c>
      <c r="F1220" s="21" t="n">
        <f aca="false">pk_28*(eqtA_28-eqaA_28)/(eqtA_28-eqaA_28)</f>
        <v>8.6</v>
      </c>
      <c r="G1220" s="21" t="n">
        <f aca="false">pk_29*(eqtA_29-eqaA_29)/(eqtA_29-eqaA_29)</f>
        <v>9.288</v>
      </c>
      <c r="H1220" s="21" t="n">
        <f aca="false">G1220*(1+g_pk_tail)</f>
        <v>9.7524</v>
      </c>
      <c r="J1220" s="8" t="s">
        <v>650</v>
      </c>
    </row>
    <row r="1221" customFormat="false" ht="15" hidden="false" customHeight="false" outlineLevel="0" collapsed="false">
      <c r="A1221" s="5" t="s">
        <v>651</v>
      </c>
      <c r="B1221" s="0" t="s">
        <v>219</v>
      </c>
      <c r="C1221" s="24" t="n">
        <f aca="false">eqtA_25</f>
        <v>134.689359843138</v>
      </c>
      <c r="D1221" s="24" t="n">
        <f aca="false">eqtA_26</f>
        <v>178.157050570127</v>
      </c>
      <c r="E1221" s="24" t="n">
        <f aca="false">eqtA_27</f>
        <v>218.225535760082</v>
      </c>
      <c r="F1221" s="24" t="n">
        <f aca="false">eqtA_28</f>
        <v>246.028626308958</v>
      </c>
      <c r="G1221" s="24" t="n">
        <f aca="false">eqtA_29</f>
        <v>260.655685855226</v>
      </c>
      <c r="H1221" s="24" t="n">
        <f aca="false">G1221*(1+g_pk_tail)</f>
        <v>273.688470147987</v>
      </c>
      <c r="J1221" s="5" t="s">
        <v>652</v>
      </c>
    </row>
    <row r="1222" customFormat="false" ht="17.15" hidden="false" customHeight="false" outlineLevel="0" collapsed="false">
      <c r="A1222" s="1" t="s">
        <v>653</v>
      </c>
    </row>
    <row r="1223" customFormat="false" ht="17.15" hidden="false" customHeight="false" outlineLevel="0" collapsed="false">
      <c r="A1223" s="0" t="s">
        <v>654</v>
      </c>
      <c r="B1223" s="0" t="s">
        <v>655</v>
      </c>
      <c r="C1223" s="24" t="n">
        <f aca="false">ai_25*w_hbm/(0.75*C1217+0.25*D1217)</f>
        <v>121.417244328233</v>
      </c>
      <c r="J1223" s="5" t="s">
        <v>656</v>
      </c>
    </row>
    <row r="1224" customFormat="false" ht="17.15" hidden="false" customHeight="false" outlineLevel="0" collapsed="false">
      <c r="A1224" s="0" t="s">
        <v>657</v>
      </c>
      <c r="B1224" s="0" t="s">
        <v>658</v>
      </c>
      <c r="C1224" s="25" t="n">
        <f aca="false">ai_25*(1-w_hbm)/(0.75*C1219+0.25*D1219)</f>
        <v>0.0076513155174377</v>
      </c>
    </row>
    <row r="1225" customFormat="false" ht="17.15" hidden="false" customHeight="false" outlineLevel="0" collapsed="false">
      <c r="A1225" s="1" t="s">
        <v>659</v>
      </c>
    </row>
    <row r="1226" customFormat="false" ht="17.15" hidden="false" customHeight="false" outlineLevel="0" collapsed="false">
      <c r="A1226" s="0" t="s">
        <v>660</v>
      </c>
      <c r="B1226" s="0" t="s">
        <v>198</v>
      </c>
      <c r="C1226" s="20" t="n">
        <f aca="false">1-shl_A/sh*0</f>
        <v>1</v>
      </c>
      <c r="D1226" s="20" t="n">
        <f aca="false">1-shl_A/sh*0.25</f>
        <v>1</v>
      </c>
      <c r="E1226" s="20" t="n">
        <f aca="false">1-shl_A/sh*0.5</f>
        <v>1</v>
      </c>
      <c r="F1226" s="20" t="n">
        <f aca="false">1-shl_A/sh*0.75</f>
        <v>1</v>
      </c>
      <c r="G1226" s="20" t="n">
        <f aca="false">1-shl_A/sh*1</f>
        <v>1</v>
      </c>
      <c r="J1226" s="5" t="s">
        <v>661</v>
      </c>
    </row>
    <row r="1227" customFormat="false" ht="17.15" hidden="false" customHeight="false" outlineLevel="0" collapsed="false">
      <c r="A1227" s="0" t="s">
        <v>662</v>
      </c>
      <c r="B1227" s="0" t="s">
        <v>34</v>
      </c>
      <c r="C1227" s="19" t="n">
        <f aca="false">$C$1223*(0.75*C1217+0.25*D1217)*C1226</f>
        <v>5</v>
      </c>
      <c r="D1227" s="19" t="n">
        <f aca="false">$C$1223*(0.75*D1217+0.25*E1217)*D1226</f>
        <v>5.85477659596275</v>
      </c>
      <c r="E1227" s="19" t="n">
        <f aca="false">$C$1223*(0.75*E1217+0.25*F1217)*E1226</f>
        <v>5.42484277351964</v>
      </c>
      <c r="F1227" s="19" t="n">
        <f aca="false">$C$1223*(0.75*F1217+0.25*G1217)*F1226</f>
        <v>5.59938454589345</v>
      </c>
      <c r="G1227" s="19" t="n">
        <f aca="false">$C$1223*(0.75*G1217+0.25*H1217)*G1226</f>
        <v>5.07862914343112</v>
      </c>
    </row>
    <row r="1228" customFormat="false" ht="17.15" hidden="false" customHeight="false" outlineLevel="0" collapsed="false">
      <c r="A1228" s="0" t="s">
        <v>663</v>
      </c>
      <c r="B1228" s="0" t="s">
        <v>34</v>
      </c>
      <c r="C1228" s="19" t="n">
        <f aca="false">$C$1224*(0.75*C1219+0.25*D1219)*C1226</f>
        <v>5</v>
      </c>
      <c r="D1228" s="19" t="n">
        <f aca="false">$C$1224*(0.75*D1219+0.25*E1219)*D1226</f>
        <v>7.71132802925642</v>
      </c>
      <c r="E1228" s="19" t="n">
        <f aca="false">$C$1224*(0.75*E1219+0.25*F1219)*E1226</f>
        <v>5.46142533008358</v>
      </c>
      <c r="F1228" s="19" t="n">
        <f aca="false">$C$1224*(0.75*F1219+0.25*G1219)*F1226</f>
        <v>4.91291310951257</v>
      </c>
      <c r="G1228" s="19" t="n">
        <f aca="false">$C$1224*(0.75*G1219+0.25*H1219)*G1226</f>
        <v>4.72646096843851</v>
      </c>
    </row>
    <row r="1229" customFormat="false" ht="17.15" hidden="false" customHeight="false" outlineLevel="0" collapsed="false">
      <c r="A1229" s="5" t="s">
        <v>664</v>
      </c>
      <c r="B1229" s="0" t="s">
        <v>34</v>
      </c>
      <c r="C1229" s="19" t="n">
        <f aca="false">(seg_mold-ai_25)*(0.75*C1220+0.25*D1220)/(0.75*C1220+0.25*D1220)</f>
        <v>26.46</v>
      </c>
      <c r="D1229" s="19" t="n">
        <f aca="false">(seg_mold-ai_25)*(0.75*D1220+0.25*E1220)/(0.75*C1220+0.25*D1220)</f>
        <v>29.2617902872793</v>
      </c>
      <c r="E1229" s="19" t="n">
        <f aca="false">(seg_mold-ai_25)*(0.75*E1220+0.25*F1220)/(0.75*C1220+0.25*D1220)</f>
        <v>33.1522277881438</v>
      </c>
      <c r="F1229" s="19" t="n">
        <f aca="false">(seg_mold-ai_25)*(0.75*F1220+0.25*G1220)/(0.75*C1220+0.25*D1220)</f>
        <v>37.0786793843283</v>
      </c>
      <c r="G1229" s="19" t="n">
        <f aca="false">(seg_mold-ai_25)*(0.75*G1220+0.25*H1220)/(0.75*C1220+0.25*D1220)</f>
        <v>39.7505253987873</v>
      </c>
      <c r="J1229" s="8" t="s">
        <v>665</v>
      </c>
    </row>
    <row r="1230" customFormat="false" ht="15" hidden="false" customHeight="false" outlineLevel="0" collapsed="false">
      <c r="A1230" s="5" t="s">
        <v>666</v>
      </c>
      <c r="B1230" s="0" t="s">
        <v>34</v>
      </c>
      <c r="C1230" s="19" t="n">
        <f aca="false">seg_osemi*(0.75*C1221+0.25*D1221)/(0.75*C1221+0.25*D1221)</f>
        <v>3.93</v>
      </c>
      <c r="D1230" s="19" t="n">
        <f aca="false">seg_osemi*(0.75*D1221+0.25*E1221)/(0.75*C1221+0.25*D1221)</f>
        <v>5.08067726525852</v>
      </c>
      <c r="E1230" s="19" t="n">
        <f aca="false">seg_osemi*(0.75*E1221+0.25*F1221)/(0.75*C1221+0.25*D1221)</f>
        <v>6.0797299618455</v>
      </c>
      <c r="F1230" s="19" t="n">
        <f aca="false">seg_osemi*(0.75*F1221+0.25*G1221)/(0.75*C1221+0.25*D1221)</f>
        <v>6.74147189236335</v>
      </c>
      <c r="G1230" s="19" t="n">
        <f aca="false">seg_osemi*(0.75*G1221+0.25*H1221)/(0.75*C1221+0.25*D1221)</f>
        <v>7.12563922344852</v>
      </c>
      <c r="J1230" s="5" t="s">
        <v>667</v>
      </c>
    </row>
    <row r="1231" customFormat="false" ht="17.15" hidden="false" customHeight="false" outlineLevel="0" collapsed="false">
      <c r="A1231" s="5" t="s">
        <v>668</v>
      </c>
      <c r="B1231" s="0" t="s">
        <v>34</v>
      </c>
      <c r="C1231" s="19" t="n">
        <f aca="false">seg_new</f>
        <v>9.47</v>
      </c>
      <c r="D1231" s="19" t="n">
        <f aca="false">C1231*(1+g_tss)</f>
        <v>9.7541</v>
      </c>
      <c r="E1231" s="19" t="n">
        <f aca="false">D1231*(1+g_tss)</f>
        <v>10.046723</v>
      </c>
      <c r="F1231" s="19" t="n">
        <f aca="false">E1231*(1+g_tss)</f>
        <v>10.34812469</v>
      </c>
      <c r="G1231" s="19" t="n">
        <f aca="false">F1231*(1+g_tss)</f>
        <v>10.6585684307</v>
      </c>
    </row>
    <row r="1232" customFormat="false" ht="15" hidden="false" customHeight="false" outlineLevel="0" collapsed="false">
      <c r="A1232" s="5" t="s">
        <v>669</v>
      </c>
      <c r="B1232" s="0" t="s">
        <v>34</v>
      </c>
      <c r="C1232" s="19" t="n">
        <f aca="false">seg_med</f>
        <v>2.48</v>
      </c>
      <c r="D1232" s="19" t="n">
        <f aca="false">C1232*(1+g_med)</f>
        <v>2.5544</v>
      </c>
      <c r="E1232" s="19" t="n">
        <f aca="false">D1232*(1+g_med)</f>
        <v>2.631032</v>
      </c>
      <c r="F1232" s="19" t="n">
        <f aca="false">E1232*(1+g_med)</f>
        <v>2.70996296</v>
      </c>
      <c r="G1232" s="19" t="n">
        <f aca="false">F1232*(1+g_med)</f>
        <v>2.7912618488</v>
      </c>
    </row>
    <row r="1233" customFormat="false" ht="15" hidden="false" customHeight="false" outlineLevel="0" collapsed="false">
      <c r="A1233" s="5" t="s">
        <v>670</v>
      </c>
      <c r="B1233" s="0" t="s">
        <v>34</v>
      </c>
      <c r="C1233" s="19" t="n">
        <f aca="false">seg_las*(0.75*C1221+0.25*D1221)/(0.75*C1221+0.25*D1221)</f>
        <v>2</v>
      </c>
      <c r="D1233" s="19" t="n">
        <f aca="false">seg_las*(0.75*D1221+0.25*E1221)/(0.75*C1221+0.25*D1221)</f>
        <v>2.5855863945336</v>
      </c>
      <c r="E1233" s="19" t="n">
        <f aca="false">seg_las*(0.75*E1221+0.25*F1221)/(0.75*C1221+0.25*D1221)</f>
        <v>3.0940101587</v>
      </c>
      <c r="F1233" s="19" t="n">
        <f aca="false">seg_las*(0.75*F1221+0.25*G1221)/(0.75*C1221+0.25*D1221)</f>
        <v>3.43077449993046</v>
      </c>
      <c r="G1233" s="19" t="n">
        <f aca="false">seg_las*(0.75*G1221+0.25*H1221)/(0.75*C1221+0.25*D1221)</f>
        <v>3.62627950302724</v>
      </c>
      <c r="J1233" s="5" t="s">
        <v>667</v>
      </c>
    </row>
    <row r="1234" customFormat="false" ht="15" hidden="false" customHeight="false" outlineLevel="0" collapsed="false">
      <c r="A1234" s="5" t="s">
        <v>671</v>
      </c>
      <c r="B1234" s="0" t="s">
        <v>34</v>
      </c>
      <c r="C1234" s="19" t="n">
        <f aca="false">C1227+C1228+C1229+C1230+C1231+C1232+C1233+seg_adj</f>
        <v>54.365</v>
      </c>
      <c r="D1234" s="19" t="n">
        <f aca="false">D1227+D1228+D1229+D1230+D1231+D1232+D1233</f>
        <v>62.8026585722905</v>
      </c>
      <c r="E1234" s="19" t="n">
        <f aca="false">E1227+E1228+E1229+E1230+E1231+E1232+E1233</f>
        <v>65.8899910122925</v>
      </c>
      <c r="F1234" s="19" t="n">
        <f aca="false">F1227+F1228+F1229+F1230+F1231+F1232+F1233</f>
        <v>70.8213110820282</v>
      </c>
      <c r="G1234" s="19" t="n">
        <f aca="false">G1227+G1228+G1229+G1230+G1231+G1232+G1233</f>
        <v>73.7573645166327</v>
      </c>
    </row>
    <row r="1235" customFormat="false" ht="17.15" hidden="false" customHeight="false" outlineLevel="0" collapsed="false">
      <c r="A1235" s="1" t="s">
        <v>672</v>
      </c>
    </row>
    <row r="1236" customFormat="false" ht="17.15" hidden="false" customHeight="false" outlineLevel="0" collapsed="false">
      <c r="A1236" s="0" t="s">
        <v>673</v>
      </c>
      <c r="B1236" s="0" t="s">
        <v>34</v>
      </c>
      <c r="D1236" s="19" t="n">
        <f aca="false">g26_rev*(1+g_anc)</f>
        <v>64</v>
      </c>
    </row>
    <row r="1237" customFormat="false" ht="17.15" hidden="false" customHeight="false" outlineLevel="0" collapsed="false">
      <c r="A1237" s="0" t="s">
        <v>674</v>
      </c>
      <c r="B1237" s="0" t="s">
        <v>34</v>
      </c>
      <c r="D1237" s="19" t="n">
        <f aca="false">D1236*g26_oi/g26_rev</f>
        <v>10.24</v>
      </c>
    </row>
    <row r="1238" customFormat="false" ht="17.15" hidden="false" customHeight="false" outlineLevel="0" collapsed="false">
      <c r="A1238" s="0" t="s">
        <v>675</v>
      </c>
      <c r="B1238" s="0" t="s">
        <v>34</v>
      </c>
      <c r="D1238" s="19" t="n">
        <f aca="false">D1237*g26_ni/g26_oi</f>
        <v>7</v>
      </c>
    </row>
    <row r="1239" customFormat="false" ht="17.15" hidden="false" customHeight="false" outlineLevel="0" collapsed="false">
      <c r="A1239" s="5" t="s">
        <v>676</v>
      </c>
      <c r="B1239" s="0" t="s">
        <v>198</v>
      </c>
      <c r="D1239" s="20" t="n">
        <f aca="false">D1236/D1234</f>
        <v>1.01906513919839</v>
      </c>
      <c r="J1239" s="8" t="s">
        <v>677</v>
      </c>
    </row>
    <row r="1240" customFormat="false" ht="17.15" hidden="false" customHeight="false" outlineLevel="0" collapsed="false">
      <c r="A1240" s="5" t="s">
        <v>678</v>
      </c>
      <c r="B1240" s="0" t="s">
        <v>198</v>
      </c>
      <c r="D1240" s="20" t="n">
        <f aca="false">1+1*(D1239-1)</f>
        <v>1.01906513919839</v>
      </c>
      <c r="J1240" s="8" t="s">
        <v>679</v>
      </c>
    </row>
    <row r="1241" customFormat="false" ht="17.15" hidden="false" customHeight="false" outlineLevel="0" collapsed="false">
      <c r="A1241" s="1" t="s">
        <v>680</v>
      </c>
    </row>
    <row r="1242" customFormat="false" ht="17.15" hidden="false" customHeight="false" outlineLevel="0" collapsed="false">
      <c r="A1242" s="0" t="s">
        <v>681</v>
      </c>
      <c r="B1242" s="0" t="s">
        <v>34</v>
      </c>
      <c r="C1242" s="19" t="n">
        <f aca="false">C1227*1</f>
        <v>5</v>
      </c>
      <c r="D1242" s="19" t="n">
        <f aca="false">D1227*$D$1239</f>
        <v>5.96639872674023</v>
      </c>
      <c r="E1242" s="19" t="n">
        <f aca="false">E1227*1</f>
        <v>5.42484277351964</v>
      </c>
      <c r="F1242" s="19" t="n">
        <f aca="false">F1227*1</f>
        <v>5.59938454589345</v>
      </c>
      <c r="G1242" s="19" t="n">
        <f aca="false">G1227*1</f>
        <v>5.07862914343112</v>
      </c>
    </row>
    <row r="1243" customFormat="false" ht="17.15" hidden="false" customHeight="false" outlineLevel="0" collapsed="false">
      <c r="A1243" s="0" t="s">
        <v>682</v>
      </c>
      <c r="B1243" s="0" t="s">
        <v>34</v>
      </c>
      <c r="C1243" s="19" t="n">
        <f aca="false">C1228*1</f>
        <v>5</v>
      </c>
      <c r="D1243" s="19" t="n">
        <f aca="false">D1228*$D$1239</f>
        <v>7.85834557153861</v>
      </c>
      <c r="E1243" s="19" t="n">
        <f aca="false">E1228*1</f>
        <v>5.46142533008358</v>
      </c>
      <c r="F1243" s="19" t="n">
        <f aca="false">F1228*1</f>
        <v>4.91291310951257</v>
      </c>
      <c r="G1243" s="19" t="n">
        <f aca="false">G1228*1</f>
        <v>4.72646096843851</v>
      </c>
    </row>
    <row r="1244" customFormat="false" ht="17.15" hidden="false" customHeight="false" outlineLevel="0" collapsed="false">
      <c r="A1244" s="5" t="s">
        <v>683</v>
      </c>
      <c r="B1244" s="0" t="s">
        <v>34</v>
      </c>
      <c r="C1244" s="19" t="n">
        <f aca="false">C1229*1</f>
        <v>26.46</v>
      </c>
      <c r="D1244" s="19" t="n">
        <f aca="false">D1229*$D$1239</f>
        <v>29.8196703923002</v>
      </c>
      <c r="E1244" s="19" t="n">
        <f aca="false">E1229*$D$1240</f>
        <v>33.7842796256614</v>
      </c>
      <c r="F1244" s="19" t="n">
        <f aca="false">F1229*$D$1240</f>
        <v>37.7855895680829</v>
      </c>
      <c r="G1244" s="19" t="n">
        <f aca="false">G1229*$D$1240</f>
        <v>40.5083746987242</v>
      </c>
    </row>
    <row r="1245" customFormat="false" ht="15" hidden="false" customHeight="false" outlineLevel="0" collapsed="false">
      <c r="A1245" s="5" t="s">
        <v>684</v>
      </c>
      <c r="B1245" s="0" t="s">
        <v>34</v>
      </c>
      <c r="C1245" s="19" t="n">
        <f aca="false">C1230*1</f>
        <v>3.93</v>
      </c>
      <c r="D1245" s="19" t="n">
        <f aca="false">D1230*$D$1239</f>
        <v>5.17754108454275</v>
      </c>
      <c r="E1245" s="19" t="n">
        <f aca="false">E1230*$D$1240</f>
        <v>6.19564085985668</v>
      </c>
      <c r="F1245" s="19" t="n">
        <f aca="false">F1230*$D$1240</f>
        <v>6.86999899239327</v>
      </c>
      <c r="G1245" s="19" t="n">
        <f aca="false">G1230*$D$1240</f>
        <v>7.26149052712105</v>
      </c>
    </row>
    <row r="1246" customFormat="false" ht="17.15" hidden="false" customHeight="false" outlineLevel="0" collapsed="false">
      <c r="A1246" s="5" t="s">
        <v>685</v>
      </c>
      <c r="B1246" s="0" t="s">
        <v>34</v>
      </c>
      <c r="C1246" s="19" t="n">
        <f aca="false">C1231*1</f>
        <v>9.47</v>
      </c>
      <c r="D1246" s="19" t="n">
        <f aca="false">D1231*$D$1239</f>
        <v>9.94006327425498</v>
      </c>
      <c r="E1246" s="19" t="n">
        <f aca="false">E1231*$D$1240</f>
        <v>10.2382651724826</v>
      </c>
      <c r="F1246" s="19" t="n">
        <f aca="false">F1231*$D$1240</f>
        <v>10.5454131276571</v>
      </c>
      <c r="G1246" s="19" t="n">
        <f aca="false">G1231*$D$1240</f>
        <v>10.8617755214868</v>
      </c>
    </row>
    <row r="1247" customFormat="false" ht="15" hidden="false" customHeight="false" outlineLevel="0" collapsed="false">
      <c r="A1247" s="5" t="s">
        <v>686</v>
      </c>
      <c r="B1247" s="0" t="s">
        <v>34</v>
      </c>
      <c r="C1247" s="19" t="n">
        <f aca="false">C1232*1</f>
        <v>2.48</v>
      </c>
      <c r="D1247" s="19" t="n">
        <f aca="false">D1232*$D$1239</f>
        <v>2.60309999156836</v>
      </c>
      <c r="E1247" s="19" t="n">
        <f aca="false">E1232*$D$1240</f>
        <v>2.68119299131541</v>
      </c>
      <c r="F1247" s="19" t="n">
        <f aca="false">F1232*$D$1240</f>
        <v>2.76162878105487</v>
      </c>
      <c r="G1247" s="19" t="n">
        <f aca="false">G1232*$D$1240</f>
        <v>2.84447764448652</v>
      </c>
    </row>
    <row r="1248" customFormat="false" ht="15" hidden="false" customHeight="false" outlineLevel="0" collapsed="false">
      <c r="A1248" s="5" t="s">
        <v>687</v>
      </c>
      <c r="B1248" s="0" t="s">
        <v>34</v>
      </c>
      <c r="C1248" s="19" t="n">
        <f aca="false">C1233*1</f>
        <v>2</v>
      </c>
      <c r="D1248" s="19" t="n">
        <f aca="false">D1233*$D$1239</f>
        <v>2.63488095905483</v>
      </c>
      <c r="E1248" s="19" t="n">
        <f aca="false">E1233*$D$1240</f>
        <v>3.15299789305684</v>
      </c>
      <c r="F1248" s="19" t="n">
        <f aca="false">F1233*$D$1240</f>
        <v>3.49618269332991</v>
      </c>
      <c r="G1248" s="19" t="n">
        <f aca="false">G1233*$D$1240</f>
        <v>3.6954150265247</v>
      </c>
    </row>
    <row r="1249" customFormat="false" ht="17.15" hidden="false" customHeight="false" outlineLevel="0" collapsed="false">
      <c r="A1249" s="0" t="s">
        <v>688</v>
      </c>
      <c r="B1249" s="0" t="s">
        <v>34</v>
      </c>
      <c r="C1249" s="19" t="n">
        <f aca="false">C1242+C1243</f>
        <v>10</v>
      </c>
      <c r="D1249" s="19" t="n">
        <f aca="false">D1242+D1243</f>
        <v>13.8247442982788</v>
      </c>
      <c r="E1249" s="19" t="n">
        <f aca="false">E1242+E1243</f>
        <v>10.8862681036032</v>
      </c>
      <c r="F1249" s="19" t="n">
        <f aca="false">F1242+F1243</f>
        <v>10.512297655406</v>
      </c>
      <c r="G1249" s="19" t="n">
        <f aca="false">G1242+G1243</f>
        <v>9.80509011186963</v>
      </c>
    </row>
    <row r="1250" customFormat="false" ht="17.15" hidden="false" customHeight="false" outlineLevel="0" collapsed="false">
      <c r="A1250" s="5" t="s">
        <v>689</v>
      </c>
      <c r="B1250" s="0" t="s">
        <v>34</v>
      </c>
      <c r="C1250" s="19" t="n">
        <f aca="false">C1249+C1244+C1245</f>
        <v>40.39</v>
      </c>
      <c r="D1250" s="19" t="n">
        <f aca="false">D1249+D1244+D1245</f>
        <v>48.8219557751218</v>
      </c>
      <c r="E1250" s="19" t="n">
        <f aca="false">E1249+E1244+E1245</f>
        <v>50.8661885891213</v>
      </c>
      <c r="F1250" s="19" t="n">
        <f aca="false">F1249+F1244+F1245</f>
        <v>55.1678862158822</v>
      </c>
      <c r="G1250" s="19" t="n">
        <f aca="false">G1249+G1244+G1245</f>
        <v>57.5749553377149</v>
      </c>
      <c r="J1250" s="5" t="s">
        <v>690</v>
      </c>
    </row>
    <row r="1251" customFormat="false" ht="17.15" hidden="false" customHeight="false" outlineLevel="0" collapsed="false">
      <c r="A1251" s="5" t="s">
        <v>541</v>
      </c>
      <c r="B1251" s="0" t="s">
        <v>34</v>
      </c>
      <c r="C1251" s="19" t="n">
        <f aca="false">C1250+C1246+C1247+C1248+seg_adj</f>
        <v>54.365</v>
      </c>
      <c r="D1251" s="19" t="n">
        <f aca="false">D1250+D1246+D1247+D1248</f>
        <v>64</v>
      </c>
      <c r="E1251" s="19" t="n">
        <f aca="false">E1250+E1246+E1247+E1248</f>
        <v>66.9386446459761</v>
      </c>
      <c r="F1251" s="19" t="n">
        <f aca="false">F1250+F1246+F1247+F1248</f>
        <v>71.9711108179241</v>
      </c>
      <c r="G1251" s="19" t="n">
        <f aca="false">G1250+G1246+G1247+G1248</f>
        <v>74.9766235302129</v>
      </c>
      <c r="J1251" s="8" t="s">
        <v>691</v>
      </c>
    </row>
    <row r="1252" customFormat="false" ht="17.15" hidden="false" customHeight="false" outlineLevel="0" collapsed="false">
      <c r="A1252" s="5" t="s">
        <v>692</v>
      </c>
      <c r="B1252" s="0" t="s">
        <v>34</v>
      </c>
      <c r="C1252" s="20" t="n">
        <f aca="false">C1250+C1246+C1247+C1248-a25_rev</f>
        <v>-0.0249999999999986</v>
      </c>
    </row>
    <row r="1253" customFormat="false" ht="17.15" hidden="false" customHeight="false" outlineLevel="0" collapsed="false">
      <c r="A1253" s="0" t="s">
        <v>621</v>
      </c>
      <c r="B1253" s="0" t="s">
        <v>94</v>
      </c>
      <c r="C1253" s="11" t="n">
        <f aca="false">C1249/C1251</f>
        <v>0.1839418743677</v>
      </c>
      <c r="D1253" s="11" t="n">
        <f aca="false">D1249/D1251</f>
        <v>0.216011629660607</v>
      </c>
      <c r="E1253" s="11" t="n">
        <f aca="false">E1249/E1251</f>
        <v>0.162630542658554</v>
      </c>
      <c r="F1253" s="11" t="n">
        <f aca="false">F1249/F1251</f>
        <v>0.146062740118053</v>
      </c>
      <c r="G1253" s="11" t="n">
        <f aca="false">G1249/G1251</f>
        <v>0.130775295688242</v>
      </c>
    </row>
    <row r="1254" customFormat="false" ht="17.15" hidden="false" customHeight="false" outlineLevel="0" collapsed="false">
      <c r="A1254" s="5" t="s">
        <v>545</v>
      </c>
      <c r="B1254" s="0" t="s">
        <v>34</v>
      </c>
      <c r="C1254" s="19" t="n">
        <f aca="false">a25_oi</f>
        <v>6.917</v>
      </c>
      <c r="D1254" s="19" t="n">
        <f aca="false">D1237</f>
        <v>10.24</v>
      </c>
      <c r="E1254" s="19" t="n">
        <f aca="false">$D1254+(im_lo+ima_A)*(E1251-$D1251)</f>
        <v>10.9732539202481</v>
      </c>
      <c r="F1254" s="19" t="n">
        <f aca="false">$D1254+(im_lo+ima_A)*(F1251-$D1251)</f>
        <v>12.2289605447799</v>
      </c>
      <c r="G1254" s="19" t="n">
        <f aca="false">$D1254+(im_lo+ima_A)*(G1251-$D1251)</f>
        <v>12.9788994602112</v>
      </c>
      <c r="J1254" s="8" t="s">
        <v>693</v>
      </c>
    </row>
    <row r="1255" customFormat="false" ht="15" hidden="false" customHeight="false" outlineLevel="0" collapsed="false">
      <c r="A1255" s="5" t="s">
        <v>694</v>
      </c>
      <c r="B1255" s="0" t="s">
        <v>94</v>
      </c>
      <c r="C1255" s="11" t="n">
        <f aca="false">C1254/C1251</f>
        <v>0.127232594500138</v>
      </c>
      <c r="D1255" s="11" t="n">
        <f aca="false">D1254/D1251</f>
        <v>0.16</v>
      </c>
      <c r="E1255" s="11" t="n">
        <f aca="false">E1254/E1251</f>
        <v>0.163930028435492</v>
      </c>
      <c r="F1255" s="11" t="n">
        <f aca="false">F1254/F1251</f>
        <v>0.16991485063663</v>
      </c>
      <c r="G1255" s="11" t="n">
        <f aca="false">G1254/G1251</f>
        <v>0.173105947548854</v>
      </c>
    </row>
    <row r="1256" customFormat="false" ht="15" hidden="false" customHeight="false" outlineLevel="0" collapsed="false">
      <c r="A1256" s="5" t="s">
        <v>548</v>
      </c>
      <c r="B1256" s="0" t="s">
        <v>34</v>
      </c>
      <c r="C1256" s="19" t="n">
        <f aca="false">a25_ni</f>
        <v>4.593</v>
      </c>
      <c r="D1256" s="19" t="n">
        <f aca="false">D1238</f>
        <v>7</v>
      </c>
      <c r="E1256" s="19" t="n">
        <f aca="false">E1254*nioi</f>
        <v>7.50124779704463</v>
      </c>
      <c r="F1256" s="19" t="n">
        <f aca="false">F1254*nioi</f>
        <v>8.35964099740813</v>
      </c>
      <c r="G1256" s="19" t="n">
        <f aca="false">G1254*nioi</f>
        <v>8.87229455287876</v>
      </c>
    </row>
    <row r="1257" customFormat="false" ht="15" hidden="false" customHeight="false" outlineLevel="0" collapsed="false">
      <c r="A1257" s="0" t="s">
        <v>622</v>
      </c>
      <c r="B1257" s="0" t="s">
        <v>52</v>
      </c>
      <c r="C1257" s="22" t="n">
        <f aca="false">a25_eps</f>
        <v>61.22</v>
      </c>
      <c r="D1257" s="22" t="n">
        <f aca="false">D1256*1000/shares</f>
        <v>93.2961492201002</v>
      </c>
      <c r="E1257" s="22" t="n">
        <f aca="false">E1256*1000/shares</f>
        <v>99.9767905442891</v>
      </c>
      <c r="F1257" s="22" t="n">
        <f aca="false">F1256*1000/shares</f>
        <v>111.417473417237</v>
      </c>
      <c r="G1257" s="22" t="n">
        <f aca="false">G1256*1000/shares</f>
        <v>118.250130932866</v>
      </c>
    </row>
    <row r="1258" customFormat="false" ht="17.15" hidden="false" customHeight="false" outlineLevel="0" collapsed="false">
      <c r="A1258" s="5" t="s">
        <v>695</v>
      </c>
      <c r="B1258" s="0" t="s">
        <v>34</v>
      </c>
      <c r="C1258" s="20" t="n">
        <f aca="false">ABS(C1251-a25_rev)+ABS(C1254-a25_oi)+ABS(D1251-D1236)</f>
        <v>0</v>
      </c>
    </row>
    <row r="1270" customFormat="false" ht="17.15" hidden="false" customHeight="false" outlineLevel="0" collapsed="false">
      <c r="A1270" s="3" t="s">
        <v>1036</v>
      </c>
    </row>
    <row r="1271" customFormat="false" ht="17.15" hidden="false" customHeight="false" outlineLevel="0" collapsed="false">
      <c r="A1271" s="6" t="s">
        <v>23</v>
      </c>
      <c r="B1271" s="6" t="s">
        <v>24</v>
      </c>
      <c r="C1271" s="15" t="s">
        <v>628</v>
      </c>
      <c r="D1271" s="15" t="s">
        <v>629</v>
      </c>
      <c r="E1271" s="15" t="s">
        <v>630</v>
      </c>
      <c r="F1271" s="15" t="s">
        <v>631</v>
      </c>
      <c r="G1271" s="15" t="s">
        <v>632</v>
      </c>
      <c r="H1271" s="15" t="s">
        <v>633</v>
      </c>
      <c r="I1271" s="15" t="s">
        <v>634</v>
      </c>
      <c r="J1271" s="6" t="s">
        <v>468</v>
      </c>
    </row>
    <row r="1272" customFormat="false" ht="17.15" hidden="false" customHeight="false" outlineLevel="0" collapsed="false">
      <c r="A1272" s="1" t="s">
        <v>635</v>
      </c>
    </row>
    <row r="1273" customFormat="false" ht="17.15" hidden="false" customHeight="false" outlineLevel="0" collapsed="false">
      <c r="A1273" s="0" t="s">
        <v>636</v>
      </c>
      <c r="B1273" s="0" t="s">
        <v>111</v>
      </c>
      <c r="C1273" s="21" t="n">
        <f aca="false">hsA_25</f>
        <v>2.22511470588235</v>
      </c>
      <c r="D1273" s="21" t="n">
        <f aca="false">hsA_26</f>
        <v>3.782695</v>
      </c>
      <c r="E1273" s="21" t="n">
        <f aca="false">hsA_27</f>
        <v>5.86317725</v>
      </c>
      <c r="F1273" s="21" t="n">
        <f aca="false">hsA_28</f>
        <v>8.5016070125</v>
      </c>
      <c r="G1273" s="21" t="n">
        <f aca="false">hsA_29</f>
        <v>11.477169466875</v>
      </c>
      <c r="J1273" s="8" t="s">
        <v>637</v>
      </c>
    </row>
    <row r="1274" customFormat="false" ht="17.15" hidden="false" customHeight="false" outlineLevel="0" collapsed="false">
      <c r="A1274" s="0" t="s">
        <v>638</v>
      </c>
      <c r="B1274" s="0" t="s">
        <v>639</v>
      </c>
      <c r="C1274" s="21" t="n">
        <f aca="false">den_25</f>
        <v>24</v>
      </c>
      <c r="D1274" s="21" t="n">
        <f aca="false">den_26</f>
        <v>24</v>
      </c>
      <c r="E1274" s="21" t="n">
        <f aca="false">den_27</f>
        <v>26</v>
      </c>
      <c r="F1274" s="21" t="n">
        <f aca="false">den_28</f>
        <v>28</v>
      </c>
      <c r="G1274" s="21" t="n">
        <f aca="false">den_29</f>
        <v>30</v>
      </c>
    </row>
    <row r="1275" customFormat="false" ht="15" hidden="false" customHeight="false" outlineLevel="0" collapsed="false">
      <c r="A1275" s="5" t="s">
        <v>640</v>
      </c>
      <c r="B1275" s="5" t="s">
        <v>160</v>
      </c>
      <c r="C1275" s="21" t="n">
        <f aca="false">stk_25</f>
        <v>10</v>
      </c>
      <c r="D1275" s="21" t="n">
        <f aca="false">stk_26</f>
        <v>12</v>
      </c>
      <c r="E1275" s="21" t="n">
        <f aca="false">stk_27</f>
        <v>12.5</v>
      </c>
      <c r="F1275" s="21" t="n">
        <f aca="false">stk_28</f>
        <v>14</v>
      </c>
      <c r="G1275" s="21" t="n">
        <f aca="false">stk_29</f>
        <v>15</v>
      </c>
    </row>
    <row r="1276" customFormat="false" ht="17.15" hidden="false" customHeight="false" outlineLevel="0" collapsed="false">
      <c r="A1276" s="0" t="s">
        <v>641</v>
      </c>
      <c r="B1276" s="5" t="s">
        <v>642</v>
      </c>
      <c r="C1276" s="23" t="n">
        <f aca="false">C1273*8/(C1274*C1275)</f>
        <v>0.0741704901960783</v>
      </c>
      <c r="D1276" s="23" t="n">
        <f aca="false">D1273*8/(D1274*D1275)</f>
        <v>0.105074861111111</v>
      </c>
      <c r="E1276" s="23" t="n">
        <f aca="false">E1273*8/(E1274*E1275)</f>
        <v>0.144324363076923</v>
      </c>
      <c r="F1276" s="23" t="n">
        <f aca="false">F1273*8/(F1274*F1275)</f>
        <v>0.173502183928571</v>
      </c>
      <c r="G1276" s="23" t="n">
        <f aca="false">G1273*8/(G1274*G1275)</f>
        <v>0.2040385683</v>
      </c>
      <c r="H1276" s="23" t="n">
        <f aca="false">G1276*(1+g_tail)</f>
        <v>0.22444242513</v>
      </c>
      <c r="I1276" s="23" t="n">
        <f aca="false">H1276*(1+g_tail)</f>
        <v>0.246886667643</v>
      </c>
      <c r="J1276" s="8" t="s">
        <v>643</v>
      </c>
    </row>
    <row r="1277" customFormat="false" ht="17.15" hidden="false" customHeight="false" outlineLevel="0" collapsed="false">
      <c r="A1277" s="0" t="s">
        <v>644</v>
      </c>
      <c r="B1277" s="5" t="s">
        <v>642</v>
      </c>
      <c r="C1277" s="23" t="n">
        <f aca="false">MAX(0,D1276-C1276)+dlt*C1276</f>
        <v>0.0383214199346406</v>
      </c>
      <c r="D1277" s="23" t="n">
        <f aca="false">MAX(0,E1276-D1276)+dlt*D1276</f>
        <v>0.0497569880769231</v>
      </c>
      <c r="E1277" s="23" t="n">
        <f aca="false">MAX(0,F1276-E1276)+dlt*E1276</f>
        <v>0.0436102571593407</v>
      </c>
      <c r="F1277" s="23" t="n">
        <f aca="false">MAX(0,G1276-F1276)+dlt*F1276</f>
        <v>0.0478866027642858</v>
      </c>
      <c r="G1277" s="23" t="n">
        <f aca="false">MAX(0,H1276-G1276)+dlt*G1276</f>
        <v>0.04080771366</v>
      </c>
      <c r="H1277" s="23" t="n">
        <f aca="false">MAX(0,I1276-H1276)+dlt*H1276</f>
        <v>0.044888485026</v>
      </c>
      <c r="J1277" s="5" t="s">
        <v>645</v>
      </c>
    </row>
    <row r="1278" customFormat="false" ht="17.15" hidden="false" customHeight="false" outlineLevel="0" collapsed="false">
      <c r="A1278" s="0" t="s">
        <v>646</v>
      </c>
      <c r="B1278" s="5" t="s">
        <v>183</v>
      </c>
      <c r="C1278" s="14" t="n">
        <f aca="false">cw_25</f>
        <v>670</v>
      </c>
      <c r="D1278" s="14" t="n">
        <f aca="false">cw_26</f>
        <v>1107.85762580894</v>
      </c>
      <c r="E1278" s="14" t="n">
        <f aca="false">cw_27</f>
        <v>2096.42857142857</v>
      </c>
      <c r="F1278" s="14" t="n">
        <f aca="false">cw_28*um28_A</f>
        <v>2620.08928571429</v>
      </c>
      <c r="G1278" s="14" t="n">
        <f aca="false">cw_29*um29_A</f>
        <v>3013.32589285714</v>
      </c>
      <c r="H1278" s="14" t="n">
        <f aca="false">G1278*(1+g_tail)</f>
        <v>3314.65848214285</v>
      </c>
      <c r="I1278" s="14" t="n">
        <f aca="false">H1278*(1+g_tail)</f>
        <v>3646.12433035714</v>
      </c>
      <c r="J1278" s="5" t="s">
        <v>647</v>
      </c>
    </row>
    <row r="1279" customFormat="false" ht="17.15" hidden="false" customHeight="false" outlineLevel="0" collapsed="false">
      <c r="A1279" s="0" t="s">
        <v>648</v>
      </c>
      <c r="B1279" s="5" t="s">
        <v>183</v>
      </c>
      <c r="C1279" s="14" t="n">
        <f aca="false">MAX(0,D1278-C1278)+dlt*C1278</f>
        <v>504.85762580894</v>
      </c>
      <c r="D1279" s="14" t="n">
        <f aca="false">MAX(0,E1278-D1278)+dlt*D1278</f>
        <v>1099.35670820052</v>
      </c>
      <c r="E1279" s="14" t="n">
        <f aca="false">MAX(0,F1278-E1278)+dlt*E1278</f>
        <v>733.303571428577</v>
      </c>
      <c r="F1279" s="14" t="n">
        <f aca="false">MAX(0,G1278-F1278)+dlt*F1278</f>
        <v>655.245535714279</v>
      </c>
      <c r="G1279" s="14" t="n">
        <f aca="false">MAX(0,H1278-G1278)+dlt*G1278</f>
        <v>602.665178571428</v>
      </c>
      <c r="H1279" s="14" t="n">
        <f aca="false">MAX(0,I1278-H1278)+dlt*H1278</f>
        <v>662.931696428571</v>
      </c>
    </row>
    <row r="1280" customFormat="false" ht="17.15" hidden="false" customHeight="false" outlineLevel="0" collapsed="false">
      <c r="A1280" s="5" t="s">
        <v>649</v>
      </c>
      <c r="B1280" s="0" t="s">
        <v>219</v>
      </c>
      <c r="C1280" s="21" t="n">
        <f aca="false">pk_25*(eqtA_25-eqaA_25)/(eqtA_25-eqaA_25)</f>
        <v>6.11313868613139</v>
      </c>
      <c r="D1280" s="21" t="n">
        <f aca="false">pk_26*(eqtA_26-eqaA_26)/(eqtA_26-eqaA_26)</f>
        <v>6.7</v>
      </c>
      <c r="E1280" s="21" t="n">
        <f aca="false">pk_27*(eqtA_27-eqaA_27)/(eqtA_27-eqaA_27)</f>
        <v>7.59078388573934</v>
      </c>
      <c r="F1280" s="21" t="n">
        <f aca="false">pk_28*(eqtA_28-eqaA_28)/(eqtA_28-eqaA_28)</f>
        <v>8.6</v>
      </c>
      <c r="G1280" s="21" t="n">
        <f aca="false">pk_29*(eqtA_29-eqaA_29)/(eqtA_29-eqaA_29)</f>
        <v>9.288</v>
      </c>
      <c r="H1280" s="21" t="n">
        <f aca="false">G1280*(1+g_pk_tail)</f>
        <v>9.7524</v>
      </c>
      <c r="J1280" s="8" t="s">
        <v>650</v>
      </c>
    </row>
    <row r="1281" customFormat="false" ht="15" hidden="false" customHeight="false" outlineLevel="0" collapsed="false">
      <c r="A1281" s="5" t="s">
        <v>651</v>
      </c>
      <c r="B1281" s="0" t="s">
        <v>219</v>
      </c>
      <c r="C1281" s="24" t="n">
        <f aca="false">eqtA_25</f>
        <v>134.689359843138</v>
      </c>
      <c r="D1281" s="24" t="n">
        <f aca="false">eqtA_26</f>
        <v>178.157050570127</v>
      </c>
      <c r="E1281" s="24" t="n">
        <f aca="false">eqtA_27</f>
        <v>218.225535760082</v>
      </c>
      <c r="F1281" s="24" t="n">
        <f aca="false">eqtA_28</f>
        <v>246.028626308958</v>
      </c>
      <c r="G1281" s="24" t="n">
        <f aca="false">eqtA_29</f>
        <v>260.655685855226</v>
      </c>
      <c r="H1281" s="24" t="n">
        <f aca="false">G1281*(1+g_pk_tail)</f>
        <v>273.688470147987</v>
      </c>
      <c r="J1281" s="5" t="s">
        <v>652</v>
      </c>
    </row>
    <row r="1282" customFormat="false" ht="17.15" hidden="false" customHeight="false" outlineLevel="0" collapsed="false">
      <c r="A1282" s="1" t="s">
        <v>653</v>
      </c>
    </row>
    <row r="1283" customFormat="false" ht="17.15" hidden="false" customHeight="false" outlineLevel="0" collapsed="false">
      <c r="A1283" s="0" t="s">
        <v>654</v>
      </c>
      <c r="B1283" s="0" t="s">
        <v>655</v>
      </c>
      <c r="C1283" s="24" t="n">
        <f aca="false">ai_25*w_hbm/(0.75*C1277+0.25*D1277)</f>
        <v>121.417244328233</v>
      </c>
      <c r="J1283" s="5" t="s">
        <v>656</v>
      </c>
    </row>
    <row r="1284" customFormat="false" ht="17.15" hidden="false" customHeight="false" outlineLevel="0" collapsed="false">
      <c r="A1284" s="0" t="s">
        <v>657</v>
      </c>
      <c r="B1284" s="0" t="s">
        <v>658</v>
      </c>
      <c r="C1284" s="25" t="n">
        <f aca="false">ai_25*(1-w_hbm)/(0.75*C1279+0.25*D1279)</f>
        <v>0.0076513155174377</v>
      </c>
    </row>
    <row r="1285" customFormat="false" ht="17.15" hidden="false" customHeight="false" outlineLevel="0" collapsed="false">
      <c r="A1285" s="1" t="s">
        <v>659</v>
      </c>
    </row>
    <row r="1286" customFormat="false" ht="17.15" hidden="false" customHeight="false" outlineLevel="0" collapsed="false">
      <c r="A1286" s="0" t="s">
        <v>660</v>
      </c>
      <c r="B1286" s="0" t="s">
        <v>198</v>
      </c>
      <c r="C1286" s="20" t="n">
        <f aca="false">1-shl_A/sh*0</f>
        <v>1</v>
      </c>
      <c r="D1286" s="20" t="n">
        <f aca="false">1-shl_A/sh*0.25</f>
        <v>1</v>
      </c>
      <c r="E1286" s="20" t="n">
        <f aca="false">1-shl_A/sh*0.5</f>
        <v>1</v>
      </c>
      <c r="F1286" s="20" t="n">
        <f aca="false">1-shl_A/sh*0.75</f>
        <v>1</v>
      </c>
      <c r="G1286" s="20" t="n">
        <f aca="false">1-shl_A/sh*1</f>
        <v>1</v>
      </c>
      <c r="J1286" s="5" t="s">
        <v>661</v>
      </c>
    </row>
    <row r="1287" customFormat="false" ht="17.15" hidden="false" customHeight="false" outlineLevel="0" collapsed="false">
      <c r="A1287" s="0" t="s">
        <v>662</v>
      </c>
      <c r="B1287" s="0" t="s">
        <v>34</v>
      </c>
      <c r="C1287" s="19" t="n">
        <f aca="false">$C$1283*(0.75*C1277+0.25*D1277)*C1286</f>
        <v>5</v>
      </c>
      <c r="D1287" s="19" t="n">
        <f aca="false">$C$1283*(0.75*D1277+0.25*E1277)*D1286</f>
        <v>5.85477659596275</v>
      </c>
      <c r="E1287" s="19" t="n">
        <f aca="false">$C$1283*(0.75*E1277+0.25*F1277)*E1286</f>
        <v>5.42484277351964</v>
      </c>
      <c r="F1287" s="19" t="n">
        <f aca="false">$C$1283*(0.75*F1277+0.25*G1277)*F1286</f>
        <v>5.59938454589345</v>
      </c>
      <c r="G1287" s="19" t="n">
        <f aca="false">$C$1283*(0.75*G1277+0.25*H1277)*G1286</f>
        <v>5.07862914343112</v>
      </c>
    </row>
    <row r="1288" customFormat="false" ht="17.15" hidden="false" customHeight="false" outlineLevel="0" collapsed="false">
      <c r="A1288" s="0" t="s">
        <v>663</v>
      </c>
      <c r="B1288" s="0" t="s">
        <v>34</v>
      </c>
      <c r="C1288" s="19" t="n">
        <f aca="false">$C$1284*(0.75*C1279+0.25*D1279)*C1286</f>
        <v>5</v>
      </c>
      <c r="D1288" s="19" t="n">
        <f aca="false">$C$1284*(0.75*D1279+0.25*E1279)*D1286</f>
        <v>7.71132802925642</v>
      </c>
      <c r="E1288" s="19" t="n">
        <f aca="false">$C$1284*(0.75*E1279+0.25*F1279)*E1286</f>
        <v>5.46142533008358</v>
      </c>
      <c r="F1288" s="19" t="n">
        <f aca="false">$C$1284*(0.75*F1279+0.25*G1279)*F1286</f>
        <v>4.91291310951257</v>
      </c>
      <c r="G1288" s="19" t="n">
        <f aca="false">$C$1284*(0.75*G1279+0.25*H1279)*G1286</f>
        <v>4.72646096843851</v>
      </c>
    </row>
    <row r="1289" customFormat="false" ht="17.15" hidden="false" customHeight="false" outlineLevel="0" collapsed="false">
      <c r="A1289" s="5" t="s">
        <v>664</v>
      </c>
      <c r="B1289" s="0" t="s">
        <v>34</v>
      </c>
      <c r="C1289" s="19" t="n">
        <f aca="false">(seg_mold-ai_25)*(0.75*C1280+0.25*D1280)/(0.75*C1280+0.25*D1280)</f>
        <v>26.46</v>
      </c>
      <c r="D1289" s="19" t="n">
        <f aca="false">(seg_mold-ai_25)*(0.75*D1280+0.25*E1280)/(0.75*C1280+0.25*D1280)</f>
        <v>29.2617902872793</v>
      </c>
      <c r="E1289" s="19" t="n">
        <f aca="false">(seg_mold-ai_25)*(0.75*E1280+0.25*F1280)/(0.75*C1280+0.25*D1280)</f>
        <v>33.1522277881438</v>
      </c>
      <c r="F1289" s="19" t="n">
        <f aca="false">(seg_mold-ai_25)*(0.75*F1280+0.25*G1280)/(0.75*C1280+0.25*D1280)</f>
        <v>37.0786793843283</v>
      </c>
      <c r="G1289" s="19" t="n">
        <f aca="false">(seg_mold-ai_25)*(0.75*G1280+0.25*H1280)/(0.75*C1280+0.25*D1280)</f>
        <v>39.7505253987873</v>
      </c>
      <c r="J1289" s="8" t="s">
        <v>665</v>
      </c>
    </row>
    <row r="1290" customFormat="false" ht="15" hidden="false" customHeight="false" outlineLevel="0" collapsed="false">
      <c r="A1290" s="5" t="s">
        <v>666</v>
      </c>
      <c r="B1290" s="0" t="s">
        <v>34</v>
      </c>
      <c r="C1290" s="19" t="n">
        <f aca="false">seg_osemi*(0.75*C1281+0.25*D1281)/(0.75*C1281+0.25*D1281)</f>
        <v>3.93</v>
      </c>
      <c r="D1290" s="19" t="n">
        <f aca="false">seg_osemi*(0.75*D1281+0.25*E1281)/(0.75*C1281+0.25*D1281)</f>
        <v>5.08067726525852</v>
      </c>
      <c r="E1290" s="19" t="n">
        <f aca="false">seg_osemi*(0.75*E1281+0.25*F1281)/(0.75*C1281+0.25*D1281)</f>
        <v>6.0797299618455</v>
      </c>
      <c r="F1290" s="19" t="n">
        <f aca="false">seg_osemi*(0.75*F1281+0.25*G1281)/(0.75*C1281+0.25*D1281)</f>
        <v>6.74147189236335</v>
      </c>
      <c r="G1290" s="19" t="n">
        <f aca="false">seg_osemi*(0.75*G1281+0.25*H1281)/(0.75*C1281+0.25*D1281)</f>
        <v>7.12563922344852</v>
      </c>
      <c r="J1290" s="5" t="s">
        <v>667</v>
      </c>
    </row>
    <row r="1291" customFormat="false" ht="17.15" hidden="false" customHeight="false" outlineLevel="0" collapsed="false">
      <c r="A1291" s="5" t="s">
        <v>668</v>
      </c>
      <c r="B1291" s="0" t="s">
        <v>34</v>
      </c>
      <c r="C1291" s="19" t="n">
        <f aca="false">seg_new</f>
        <v>9.47</v>
      </c>
      <c r="D1291" s="19" t="n">
        <f aca="false">C1291*(1+g_tss)</f>
        <v>9.7541</v>
      </c>
      <c r="E1291" s="19" t="n">
        <f aca="false">D1291*(1+g_tss)</f>
        <v>10.046723</v>
      </c>
      <c r="F1291" s="19" t="n">
        <f aca="false">E1291*(1+g_tss)</f>
        <v>10.34812469</v>
      </c>
      <c r="G1291" s="19" t="n">
        <f aca="false">F1291*(1+g_tss)</f>
        <v>10.6585684307</v>
      </c>
    </row>
    <row r="1292" customFormat="false" ht="15" hidden="false" customHeight="false" outlineLevel="0" collapsed="false">
      <c r="A1292" s="5" t="s">
        <v>669</v>
      </c>
      <c r="B1292" s="0" t="s">
        <v>34</v>
      </c>
      <c r="C1292" s="19" t="n">
        <f aca="false">seg_med</f>
        <v>2.48</v>
      </c>
      <c r="D1292" s="19" t="n">
        <f aca="false">C1292*(1+g_med)</f>
        <v>2.5544</v>
      </c>
      <c r="E1292" s="19" t="n">
        <f aca="false">D1292*(1+g_med)</f>
        <v>2.631032</v>
      </c>
      <c r="F1292" s="19" t="n">
        <f aca="false">E1292*(1+g_med)</f>
        <v>2.70996296</v>
      </c>
      <c r="G1292" s="19" t="n">
        <f aca="false">F1292*(1+g_med)</f>
        <v>2.7912618488</v>
      </c>
    </row>
    <row r="1293" customFormat="false" ht="15" hidden="false" customHeight="false" outlineLevel="0" collapsed="false">
      <c r="A1293" s="5" t="s">
        <v>670</v>
      </c>
      <c r="B1293" s="0" t="s">
        <v>34</v>
      </c>
      <c r="C1293" s="19" t="n">
        <f aca="false">seg_las*(0.75*C1281+0.25*D1281)/(0.75*C1281+0.25*D1281)</f>
        <v>2</v>
      </c>
      <c r="D1293" s="19" t="n">
        <f aca="false">seg_las*(0.75*D1281+0.25*E1281)/(0.75*C1281+0.25*D1281)</f>
        <v>2.5855863945336</v>
      </c>
      <c r="E1293" s="19" t="n">
        <f aca="false">seg_las*(0.75*E1281+0.25*F1281)/(0.75*C1281+0.25*D1281)</f>
        <v>3.0940101587</v>
      </c>
      <c r="F1293" s="19" t="n">
        <f aca="false">seg_las*(0.75*F1281+0.25*G1281)/(0.75*C1281+0.25*D1281)</f>
        <v>3.43077449993046</v>
      </c>
      <c r="G1293" s="19" t="n">
        <f aca="false">seg_las*(0.75*G1281+0.25*H1281)/(0.75*C1281+0.25*D1281)</f>
        <v>3.62627950302724</v>
      </c>
      <c r="J1293" s="5" t="s">
        <v>667</v>
      </c>
    </row>
    <row r="1294" customFormat="false" ht="15" hidden="false" customHeight="false" outlineLevel="0" collapsed="false">
      <c r="A1294" s="5" t="s">
        <v>671</v>
      </c>
      <c r="B1294" s="0" t="s">
        <v>34</v>
      </c>
      <c r="C1294" s="19" t="n">
        <f aca="false">C1287+C1288+C1289+C1290+C1291+C1292+C1293+seg_adj</f>
        <v>54.365</v>
      </c>
      <c r="D1294" s="19" t="n">
        <f aca="false">D1287+D1288+D1289+D1290+D1291+D1292+D1293</f>
        <v>62.8026585722905</v>
      </c>
      <c r="E1294" s="19" t="n">
        <f aca="false">E1287+E1288+E1289+E1290+E1291+E1292+E1293</f>
        <v>65.8899910122925</v>
      </c>
      <c r="F1294" s="19" t="n">
        <f aca="false">F1287+F1288+F1289+F1290+F1291+F1292+F1293</f>
        <v>70.8213110820282</v>
      </c>
      <c r="G1294" s="19" t="n">
        <f aca="false">G1287+G1288+G1289+G1290+G1291+G1292+G1293</f>
        <v>73.7573645166327</v>
      </c>
    </row>
    <row r="1295" customFormat="false" ht="17.15" hidden="false" customHeight="false" outlineLevel="0" collapsed="false">
      <c r="A1295" s="1" t="s">
        <v>672</v>
      </c>
    </row>
    <row r="1296" customFormat="false" ht="17.15" hidden="false" customHeight="false" outlineLevel="0" collapsed="false">
      <c r="A1296" s="0" t="s">
        <v>673</v>
      </c>
      <c r="B1296" s="0" t="s">
        <v>34</v>
      </c>
      <c r="D1296" s="19" t="n">
        <f aca="false">g26_rev*(1+g_anc)</f>
        <v>64</v>
      </c>
    </row>
    <row r="1297" customFormat="false" ht="17.15" hidden="false" customHeight="false" outlineLevel="0" collapsed="false">
      <c r="A1297" s="0" t="s">
        <v>674</v>
      </c>
      <c r="B1297" s="0" t="s">
        <v>34</v>
      </c>
      <c r="D1297" s="19" t="n">
        <f aca="false">D1296*g26_oi/g26_rev</f>
        <v>10.24</v>
      </c>
    </row>
    <row r="1298" customFormat="false" ht="17.15" hidden="false" customHeight="false" outlineLevel="0" collapsed="false">
      <c r="A1298" s="0" t="s">
        <v>675</v>
      </c>
      <c r="B1298" s="0" t="s">
        <v>34</v>
      </c>
      <c r="D1298" s="19" t="n">
        <f aca="false">D1297*g26_ni/g26_oi</f>
        <v>7</v>
      </c>
    </row>
    <row r="1299" customFormat="false" ht="17.15" hidden="false" customHeight="false" outlineLevel="0" collapsed="false">
      <c r="A1299" s="5" t="s">
        <v>676</v>
      </c>
      <c r="B1299" s="0" t="s">
        <v>198</v>
      </c>
      <c r="D1299" s="20" t="n">
        <f aca="false">D1296/D1294</f>
        <v>1.01906513919839</v>
      </c>
      <c r="J1299" s="8" t="s">
        <v>677</v>
      </c>
    </row>
    <row r="1300" customFormat="false" ht="17.15" hidden="false" customHeight="false" outlineLevel="0" collapsed="false">
      <c r="A1300" s="5" t="s">
        <v>678</v>
      </c>
      <c r="B1300" s="0" t="s">
        <v>198</v>
      </c>
      <c r="D1300" s="20" t="n">
        <f aca="false">1+1*(D1299-1)</f>
        <v>1.01906513919839</v>
      </c>
      <c r="J1300" s="8" t="s">
        <v>679</v>
      </c>
    </row>
    <row r="1301" customFormat="false" ht="17.15" hidden="false" customHeight="false" outlineLevel="0" collapsed="false">
      <c r="A1301" s="1" t="s">
        <v>680</v>
      </c>
    </row>
    <row r="1302" customFormat="false" ht="17.15" hidden="false" customHeight="false" outlineLevel="0" collapsed="false">
      <c r="A1302" s="0" t="s">
        <v>681</v>
      </c>
      <c r="B1302" s="0" t="s">
        <v>34</v>
      </c>
      <c r="C1302" s="19" t="n">
        <f aca="false">C1287*1</f>
        <v>5</v>
      </c>
      <c r="D1302" s="19" t="n">
        <f aca="false">D1287*$D$1299</f>
        <v>5.96639872674023</v>
      </c>
      <c r="E1302" s="19" t="n">
        <f aca="false">E1287*1</f>
        <v>5.42484277351964</v>
      </c>
      <c r="F1302" s="19" t="n">
        <f aca="false">F1287*1</f>
        <v>5.59938454589345</v>
      </c>
      <c r="G1302" s="19" t="n">
        <f aca="false">G1287*1</f>
        <v>5.07862914343112</v>
      </c>
    </row>
    <row r="1303" customFormat="false" ht="17.15" hidden="false" customHeight="false" outlineLevel="0" collapsed="false">
      <c r="A1303" s="0" t="s">
        <v>682</v>
      </c>
      <c r="B1303" s="0" t="s">
        <v>34</v>
      </c>
      <c r="C1303" s="19" t="n">
        <f aca="false">C1288*1</f>
        <v>5</v>
      </c>
      <c r="D1303" s="19" t="n">
        <f aca="false">D1288*$D$1299</f>
        <v>7.85834557153861</v>
      </c>
      <c r="E1303" s="19" t="n">
        <f aca="false">E1288*1</f>
        <v>5.46142533008358</v>
      </c>
      <c r="F1303" s="19" t="n">
        <f aca="false">F1288*1</f>
        <v>4.91291310951257</v>
      </c>
      <c r="G1303" s="19" t="n">
        <f aca="false">G1288*1</f>
        <v>4.72646096843851</v>
      </c>
    </row>
    <row r="1304" customFormat="false" ht="17.15" hidden="false" customHeight="false" outlineLevel="0" collapsed="false">
      <c r="A1304" s="5" t="s">
        <v>683</v>
      </c>
      <c r="B1304" s="0" t="s">
        <v>34</v>
      </c>
      <c r="C1304" s="19" t="n">
        <f aca="false">C1289*1</f>
        <v>26.46</v>
      </c>
      <c r="D1304" s="19" t="n">
        <f aca="false">D1289*$D$1299</f>
        <v>29.8196703923002</v>
      </c>
      <c r="E1304" s="19" t="n">
        <f aca="false">E1289*$D$1300</f>
        <v>33.7842796256614</v>
      </c>
      <c r="F1304" s="19" t="n">
        <f aca="false">F1289*$D$1300</f>
        <v>37.7855895680829</v>
      </c>
      <c r="G1304" s="19" t="n">
        <f aca="false">G1289*$D$1300</f>
        <v>40.5083746987242</v>
      </c>
    </row>
    <row r="1305" customFormat="false" ht="15" hidden="false" customHeight="false" outlineLevel="0" collapsed="false">
      <c r="A1305" s="5" t="s">
        <v>684</v>
      </c>
      <c r="B1305" s="0" t="s">
        <v>34</v>
      </c>
      <c r="C1305" s="19" t="n">
        <f aca="false">C1290*1</f>
        <v>3.93</v>
      </c>
      <c r="D1305" s="19" t="n">
        <f aca="false">D1290*$D$1299</f>
        <v>5.17754108454275</v>
      </c>
      <c r="E1305" s="19" t="n">
        <f aca="false">E1290*$D$1300</f>
        <v>6.19564085985668</v>
      </c>
      <c r="F1305" s="19" t="n">
        <f aca="false">F1290*$D$1300</f>
        <v>6.86999899239327</v>
      </c>
      <c r="G1305" s="19" t="n">
        <f aca="false">G1290*$D$1300</f>
        <v>7.26149052712105</v>
      </c>
    </row>
    <row r="1306" customFormat="false" ht="17.15" hidden="false" customHeight="false" outlineLevel="0" collapsed="false">
      <c r="A1306" s="5" t="s">
        <v>685</v>
      </c>
      <c r="B1306" s="0" t="s">
        <v>34</v>
      </c>
      <c r="C1306" s="19" t="n">
        <f aca="false">C1291*1</f>
        <v>9.47</v>
      </c>
      <c r="D1306" s="19" t="n">
        <f aca="false">D1291*$D$1299</f>
        <v>9.94006327425498</v>
      </c>
      <c r="E1306" s="19" t="n">
        <f aca="false">E1291*$D$1300</f>
        <v>10.2382651724826</v>
      </c>
      <c r="F1306" s="19" t="n">
        <f aca="false">F1291*$D$1300</f>
        <v>10.5454131276571</v>
      </c>
      <c r="G1306" s="19" t="n">
        <f aca="false">G1291*$D$1300</f>
        <v>10.8617755214868</v>
      </c>
    </row>
    <row r="1307" customFormat="false" ht="15" hidden="false" customHeight="false" outlineLevel="0" collapsed="false">
      <c r="A1307" s="5" t="s">
        <v>686</v>
      </c>
      <c r="B1307" s="0" t="s">
        <v>34</v>
      </c>
      <c r="C1307" s="19" t="n">
        <f aca="false">C1292*1</f>
        <v>2.48</v>
      </c>
      <c r="D1307" s="19" t="n">
        <f aca="false">D1292*$D$1299</f>
        <v>2.60309999156836</v>
      </c>
      <c r="E1307" s="19" t="n">
        <f aca="false">E1292*$D$1300</f>
        <v>2.68119299131541</v>
      </c>
      <c r="F1307" s="19" t="n">
        <f aca="false">F1292*$D$1300</f>
        <v>2.76162878105487</v>
      </c>
      <c r="G1307" s="19" t="n">
        <f aca="false">G1292*$D$1300</f>
        <v>2.84447764448652</v>
      </c>
    </row>
    <row r="1308" customFormat="false" ht="15" hidden="false" customHeight="false" outlineLevel="0" collapsed="false">
      <c r="A1308" s="5" t="s">
        <v>687</v>
      </c>
      <c r="B1308" s="0" t="s">
        <v>34</v>
      </c>
      <c r="C1308" s="19" t="n">
        <f aca="false">C1293*1</f>
        <v>2</v>
      </c>
      <c r="D1308" s="19" t="n">
        <f aca="false">D1293*$D$1299</f>
        <v>2.63488095905483</v>
      </c>
      <c r="E1308" s="19" t="n">
        <f aca="false">E1293*$D$1300</f>
        <v>3.15299789305684</v>
      </c>
      <c r="F1308" s="19" t="n">
        <f aca="false">F1293*$D$1300</f>
        <v>3.49618269332991</v>
      </c>
      <c r="G1308" s="19" t="n">
        <f aca="false">G1293*$D$1300</f>
        <v>3.6954150265247</v>
      </c>
    </row>
    <row r="1309" customFormat="false" ht="17.15" hidden="false" customHeight="false" outlineLevel="0" collapsed="false">
      <c r="A1309" s="0" t="s">
        <v>688</v>
      </c>
      <c r="B1309" s="0" t="s">
        <v>34</v>
      </c>
      <c r="C1309" s="19" t="n">
        <f aca="false">C1302+C1303</f>
        <v>10</v>
      </c>
      <c r="D1309" s="19" t="n">
        <f aca="false">D1302+D1303</f>
        <v>13.8247442982788</v>
      </c>
      <c r="E1309" s="19" t="n">
        <f aca="false">E1302+E1303</f>
        <v>10.8862681036032</v>
      </c>
      <c r="F1309" s="19" t="n">
        <f aca="false">F1302+F1303</f>
        <v>10.512297655406</v>
      </c>
      <c r="G1309" s="19" t="n">
        <f aca="false">G1302+G1303</f>
        <v>9.80509011186963</v>
      </c>
    </row>
    <row r="1310" customFormat="false" ht="17.15" hidden="false" customHeight="false" outlineLevel="0" collapsed="false">
      <c r="A1310" s="5" t="s">
        <v>689</v>
      </c>
      <c r="B1310" s="0" t="s">
        <v>34</v>
      </c>
      <c r="C1310" s="19" t="n">
        <f aca="false">C1309+C1304+C1305</f>
        <v>40.39</v>
      </c>
      <c r="D1310" s="19" t="n">
        <f aca="false">D1309+D1304+D1305</f>
        <v>48.8219557751218</v>
      </c>
      <c r="E1310" s="19" t="n">
        <f aca="false">E1309+E1304+E1305</f>
        <v>50.8661885891213</v>
      </c>
      <c r="F1310" s="19" t="n">
        <f aca="false">F1309+F1304+F1305</f>
        <v>55.1678862158822</v>
      </c>
      <c r="G1310" s="19" t="n">
        <f aca="false">G1309+G1304+G1305</f>
        <v>57.5749553377149</v>
      </c>
      <c r="J1310" s="5" t="s">
        <v>690</v>
      </c>
    </row>
    <row r="1311" customFormat="false" ht="17.15" hidden="false" customHeight="false" outlineLevel="0" collapsed="false">
      <c r="A1311" s="5" t="s">
        <v>541</v>
      </c>
      <c r="B1311" s="0" t="s">
        <v>34</v>
      </c>
      <c r="C1311" s="19" t="n">
        <f aca="false">C1310+C1306+C1307+C1308+seg_adj</f>
        <v>54.365</v>
      </c>
      <c r="D1311" s="19" t="n">
        <f aca="false">D1310+D1306+D1307+D1308</f>
        <v>64</v>
      </c>
      <c r="E1311" s="19" t="n">
        <f aca="false">E1310+E1306+E1307+E1308</f>
        <v>66.9386446459761</v>
      </c>
      <c r="F1311" s="19" t="n">
        <f aca="false">F1310+F1306+F1307+F1308</f>
        <v>71.9711108179241</v>
      </c>
      <c r="G1311" s="19" t="n">
        <f aca="false">G1310+G1306+G1307+G1308</f>
        <v>74.9766235302129</v>
      </c>
      <c r="J1311" s="8" t="s">
        <v>691</v>
      </c>
    </row>
    <row r="1312" customFormat="false" ht="17.15" hidden="false" customHeight="false" outlineLevel="0" collapsed="false">
      <c r="A1312" s="5" t="s">
        <v>692</v>
      </c>
      <c r="B1312" s="0" t="s">
        <v>34</v>
      </c>
      <c r="C1312" s="20" t="n">
        <f aca="false">C1310+C1306+C1307+C1308-a25_rev</f>
        <v>-0.0249999999999986</v>
      </c>
    </row>
    <row r="1313" customFormat="false" ht="17.15" hidden="false" customHeight="false" outlineLevel="0" collapsed="false">
      <c r="A1313" s="0" t="s">
        <v>621</v>
      </c>
      <c r="B1313" s="0" t="s">
        <v>94</v>
      </c>
      <c r="C1313" s="11" t="n">
        <f aca="false">C1309/C1311</f>
        <v>0.1839418743677</v>
      </c>
      <c r="D1313" s="11" t="n">
        <f aca="false">D1309/D1311</f>
        <v>0.216011629660607</v>
      </c>
      <c r="E1313" s="11" t="n">
        <f aca="false">E1309/E1311</f>
        <v>0.162630542658554</v>
      </c>
      <c r="F1313" s="11" t="n">
        <f aca="false">F1309/F1311</f>
        <v>0.146062740118053</v>
      </c>
      <c r="G1313" s="11" t="n">
        <f aca="false">G1309/G1311</f>
        <v>0.130775295688242</v>
      </c>
    </row>
    <row r="1314" customFormat="false" ht="17.15" hidden="false" customHeight="false" outlineLevel="0" collapsed="false">
      <c r="A1314" s="5" t="s">
        <v>545</v>
      </c>
      <c r="B1314" s="0" t="s">
        <v>34</v>
      </c>
      <c r="C1314" s="19" t="n">
        <f aca="false">a25_oi</f>
        <v>6.917</v>
      </c>
      <c r="D1314" s="19" t="n">
        <f aca="false">D1297</f>
        <v>10.24</v>
      </c>
      <c r="E1314" s="19" t="n">
        <f aca="false">$D1314+(im_hi+ima_A)*(E1311-$D1311)</f>
        <v>11.2671183848458</v>
      </c>
      <c r="F1314" s="19" t="n">
        <f aca="false">$D1314+(im_hi+ima_A)*(F1311-$D1311)</f>
        <v>13.0260716265723</v>
      </c>
      <c r="G1314" s="19" t="n">
        <f aca="false">$D1314+(im_hi+ima_A)*(G1311-$D1311)</f>
        <v>14.0765618132325</v>
      </c>
      <c r="J1314" s="8" t="s">
        <v>693</v>
      </c>
    </row>
    <row r="1315" customFormat="false" ht="15" hidden="false" customHeight="false" outlineLevel="0" collapsed="false">
      <c r="A1315" s="5" t="s">
        <v>694</v>
      </c>
      <c r="B1315" s="0" t="s">
        <v>94</v>
      </c>
      <c r="C1315" s="11" t="n">
        <f aca="false">C1314/C1311</f>
        <v>0.127232594500138</v>
      </c>
      <c r="D1315" s="11" t="n">
        <f aca="false">D1314/D1311</f>
        <v>0.16</v>
      </c>
      <c r="E1315" s="11" t="n">
        <f aca="false">E1314/E1311</f>
        <v>0.168320085422032</v>
      </c>
      <c r="F1315" s="11" t="n">
        <f aca="false">F1314/F1311</f>
        <v>0.180990281774673</v>
      </c>
      <c r="G1315" s="11" t="n">
        <f aca="false">G1314/G1311</f>
        <v>0.187746008695099</v>
      </c>
    </row>
    <row r="1316" customFormat="false" ht="15" hidden="false" customHeight="false" outlineLevel="0" collapsed="false">
      <c r="A1316" s="5" t="s">
        <v>548</v>
      </c>
      <c r="B1316" s="0" t="s">
        <v>34</v>
      </c>
      <c r="C1316" s="19" t="n">
        <f aca="false">a25_ni</f>
        <v>4.593</v>
      </c>
      <c r="D1316" s="19" t="n">
        <f aca="false">D1298</f>
        <v>7</v>
      </c>
      <c r="E1316" s="19" t="n">
        <f aca="false">E1314*nioi</f>
        <v>7.70213170839065</v>
      </c>
      <c r="F1316" s="19" t="n">
        <f aca="false">F1314*nioi</f>
        <v>8.90454115097716</v>
      </c>
      <c r="G1316" s="19" t="n">
        <f aca="false">G1314*nioi</f>
        <v>9.62264967701441</v>
      </c>
    </row>
    <row r="1317" customFormat="false" ht="15" hidden="false" customHeight="false" outlineLevel="0" collapsed="false">
      <c r="A1317" s="0" t="s">
        <v>622</v>
      </c>
      <c r="B1317" s="0" t="s">
        <v>52</v>
      </c>
      <c r="C1317" s="22" t="n">
        <f aca="false">a25_eps</f>
        <v>61.22</v>
      </c>
      <c r="D1317" s="22" t="n">
        <f aca="false">D1316*1000/shares</f>
        <v>93.2961492201002</v>
      </c>
      <c r="E1317" s="22" t="n">
        <f aca="false">E1316*1000/shares</f>
        <v>102.654175596983</v>
      </c>
      <c r="F1317" s="22" t="n">
        <f aca="false">F1316*1000/shares</f>
        <v>118.679914279727</v>
      </c>
      <c r="G1317" s="22" t="n">
        <f aca="false">G1316*1000/shares</f>
        <v>128.250880022784</v>
      </c>
    </row>
    <row r="1318" customFormat="false" ht="17.15" hidden="false" customHeight="false" outlineLevel="0" collapsed="false">
      <c r="A1318" s="5" t="s">
        <v>695</v>
      </c>
      <c r="B1318" s="0" t="s">
        <v>34</v>
      </c>
      <c r="C1318" s="20" t="n">
        <f aca="false">ABS(C1311-a25_rev)+ABS(C1314-a25_oi)+ABS(D1311-D1296)</f>
        <v>0</v>
      </c>
    </row>
    <row r="1330" customFormat="false" ht="17.15" hidden="false" customHeight="false" outlineLevel="0" collapsed="false">
      <c r="A1330" s="3" t="s">
        <v>1037</v>
      </c>
    </row>
    <row r="1331" customFormat="false" ht="17.15" hidden="false" customHeight="false" outlineLevel="0" collapsed="false">
      <c r="A1331" s="6" t="s">
        <v>23</v>
      </c>
      <c r="B1331" s="6" t="s">
        <v>24</v>
      </c>
      <c r="C1331" s="15" t="s">
        <v>628</v>
      </c>
      <c r="D1331" s="15" t="s">
        <v>629</v>
      </c>
      <c r="E1331" s="15" t="s">
        <v>630</v>
      </c>
      <c r="F1331" s="15" t="s">
        <v>631</v>
      </c>
      <c r="G1331" s="15" t="s">
        <v>632</v>
      </c>
      <c r="H1331" s="15" t="s">
        <v>633</v>
      </c>
      <c r="I1331" s="15" t="s">
        <v>634</v>
      </c>
      <c r="J1331" s="6" t="s">
        <v>468</v>
      </c>
    </row>
    <row r="1332" customFormat="false" ht="17.15" hidden="false" customHeight="false" outlineLevel="0" collapsed="false">
      <c r="A1332" s="1" t="s">
        <v>635</v>
      </c>
    </row>
    <row r="1333" customFormat="false" ht="17.15" hidden="false" customHeight="false" outlineLevel="0" collapsed="false">
      <c r="A1333" s="0" t="s">
        <v>636</v>
      </c>
      <c r="B1333" s="0" t="s">
        <v>111</v>
      </c>
      <c r="C1333" s="21" t="n">
        <f aca="false">hsA_25</f>
        <v>2.22511470588235</v>
      </c>
      <c r="D1333" s="21" t="n">
        <f aca="false">hsA_26</f>
        <v>3.782695</v>
      </c>
      <c r="E1333" s="21" t="n">
        <f aca="false">hsA_27</f>
        <v>5.86317725</v>
      </c>
      <c r="F1333" s="21" t="n">
        <f aca="false">hsA_28</f>
        <v>8.5016070125</v>
      </c>
      <c r="G1333" s="21" t="n">
        <f aca="false">hsA_29</f>
        <v>11.477169466875</v>
      </c>
      <c r="J1333" s="8" t="s">
        <v>637</v>
      </c>
    </row>
    <row r="1334" customFormat="false" ht="17.15" hidden="false" customHeight="false" outlineLevel="0" collapsed="false">
      <c r="A1334" s="0" t="s">
        <v>638</v>
      </c>
      <c r="B1334" s="0" t="s">
        <v>639</v>
      </c>
      <c r="C1334" s="21" t="n">
        <f aca="false">den_25</f>
        <v>24</v>
      </c>
      <c r="D1334" s="21" t="n">
        <f aca="false">den_26</f>
        <v>24</v>
      </c>
      <c r="E1334" s="21" t="n">
        <f aca="false">den_27</f>
        <v>26</v>
      </c>
      <c r="F1334" s="21" t="n">
        <f aca="false">den_28</f>
        <v>28</v>
      </c>
      <c r="G1334" s="21" t="n">
        <f aca="false">den_29</f>
        <v>30</v>
      </c>
    </row>
    <row r="1335" customFormat="false" ht="15" hidden="false" customHeight="false" outlineLevel="0" collapsed="false">
      <c r="A1335" s="5" t="s">
        <v>640</v>
      </c>
      <c r="B1335" s="5" t="s">
        <v>160</v>
      </c>
      <c r="C1335" s="21" t="n">
        <f aca="false">stk_25</f>
        <v>10</v>
      </c>
      <c r="D1335" s="21" t="n">
        <f aca="false">stk_26</f>
        <v>12</v>
      </c>
      <c r="E1335" s="21" t="n">
        <f aca="false">stk_27</f>
        <v>12.5</v>
      </c>
      <c r="F1335" s="21" t="n">
        <f aca="false">stk_28</f>
        <v>14</v>
      </c>
      <c r="G1335" s="21" t="n">
        <f aca="false">stk_29</f>
        <v>15</v>
      </c>
    </row>
    <row r="1336" customFormat="false" ht="17.15" hidden="false" customHeight="false" outlineLevel="0" collapsed="false">
      <c r="A1336" s="0" t="s">
        <v>641</v>
      </c>
      <c r="B1336" s="5" t="s">
        <v>642</v>
      </c>
      <c r="C1336" s="23" t="n">
        <f aca="false">C1333*8/(C1334*C1335)</f>
        <v>0.0741704901960783</v>
      </c>
      <c r="D1336" s="23" t="n">
        <f aca="false">D1333*8/(D1334*D1335)</f>
        <v>0.105074861111111</v>
      </c>
      <c r="E1336" s="23" t="n">
        <f aca="false">E1333*8/(E1334*E1335)</f>
        <v>0.144324363076923</v>
      </c>
      <c r="F1336" s="23" t="n">
        <f aca="false">F1333*8/(F1334*F1335)</f>
        <v>0.173502183928571</v>
      </c>
      <c r="G1336" s="23" t="n">
        <f aca="false">G1333*8/(G1334*G1335)</f>
        <v>0.2040385683</v>
      </c>
      <c r="H1336" s="23" t="n">
        <f aca="false">G1336*(1+g_tail)</f>
        <v>0.22444242513</v>
      </c>
      <c r="I1336" s="23" t="n">
        <f aca="false">H1336*(1+g_tail)</f>
        <v>0.246886667643</v>
      </c>
      <c r="J1336" s="8" t="s">
        <v>643</v>
      </c>
    </row>
    <row r="1337" customFormat="false" ht="17.15" hidden="false" customHeight="false" outlineLevel="0" collapsed="false">
      <c r="A1337" s="0" t="s">
        <v>644</v>
      </c>
      <c r="B1337" s="5" t="s">
        <v>642</v>
      </c>
      <c r="C1337" s="23" t="n">
        <f aca="false">MAX(0,D1336-C1336)+dlt*C1336</f>
        <v>0.0383214199346406</v>
      </c>
      <c r="D1337" s="23" t="n">
        <f aca="false">MAX(0,E1336-D1336)+dlt*D1336</f>
        <v>0.0497569880769231</v>
      </c>
      <c r="E1337" s="23" t="n">
        <f aca="false">MAX(0,F1336-E1336)+dlt*E1336</f>
        <v>0.0436102571593407</v>
      </c>
      <c r="F1337" s="23" t="n">
        <f aca="false">MAX(0,G1336-F1336)+dlt*F1336</f>
        <v>0.0478866027642858</v>
      </c>
      <c r="G1337" s="23" t="n">
        <f aca="false">MAX(0,H1336-G1336)+dlt*G1336</f>
        <v>0.04080771366</v>
      </c>
      <c r="H1337" s="23" t="n">
        <f aca="false">MAX(0,I1336-H1336)+dlt*H1336</f>
        <v>0.044888485026</v>
      </c>
      <c r="J1337" s="5" t="s">
        <v>645</v>
      </c>
    </row>
    <row r="1338" customFormat="false" ht="17.15" hidden="false" customHeight="false" outlineLevel="0" collapsed="false">
      <c r="A1338" s="0" t="s">
        <v>646</v>
      </c>
      <c r="B1338" s="5" t="s">
        <v>183</v>
      </c>
      <c r="C1338" s="14" t="n">
        <f aca="false">cw_25</f>
        <v>670</v>
      </c>
      <c r="D1338" s="14" t="n">
        <f aca="false">cw_26</f>
        <v>1107.85762580894</v>
      </c>
      <c r="E1338" s="14" t="n">
        <f aca="false">cw_27</f>
        <v>2096.42857142857</v>
      </c>
      <c r="F1338" s="14" t="n">
        <f aca="false">cw_28*um28_A</f>
        <v>2620.08928571429</v>
      </c>
      <c r="G1338" s="14" t="n">
        <f aca="false">cw_29*um29_A</f>
        <v>3013.32589285714</v>
      </c>
      <c r="H1338" s="14" t="n">
        <f aca="false">G1338*(1+g_tail)</f>
        <v>3314.65848214285</v>
      </c>
      <c r="I1338" s="14" t="n">
        <f aca="false">H1338*(1+g_tail)</f>
        <v>3646.12433035714</v>
      </c>
      <c r="J1338" s="5" t="s">
        <v>647</v>
      </c>
    </row>
    <row r="1339" customFormat="false" ht="17.15" hidden="false" customHeight="false" outlineLevel="0" collapsed="false">
      <c r="A1339" s="0" t="s">
        <v>648</v>
      </c>
      <c r="B1339" s="5" t="s">
        <v>183</v>
      </c>
      <c r="C1339" s="14" t="n">
        <f aca="false">MAX(0,D1338-C1338)+dlt*C1338</f>
        <v>504.85762580894</v>
      </c>
      <c r="D1339" s="14" t="n">
        <f aca="false">MAX(0,E1338-D1338)+dlt*D1338</f>
        <v>1099.35670820052</v>
      </c>
      <c r="E1339" s="14" t="n">
        <f aca="false">MAX(0,F1338-E1338)+dlt*E1338</f>
        <v>733.303571428577</v>
      </c>
      <c r="F1339" s="14" t="n">
        <f aca="false">MAX(0,G1338-F1338)+dlt*F1338</f>
        <v>655.245535714279</v>
      </c>
      <c r="G1339" s="14" t="n">
        <f aca="false">MAX(0,H1338-G1338)+dlt*G1338</f>
        <v>602.665178571428</v>
      </c>
      <c r="H1339" s="14" t="n">
        <f aca="false">MAX(0,I1338-H1338)+dlt*H1338</f>
        <v>662.931696428571</v>
      </c>
    </row>
    <row r="1340" customFormat="false" ht="17.15" hidden="false" customHeight="false" outlineLevel="0" collapsed="false">
      <c r="A1340" s="5" t="s">
        <v>649</v>
      </c>
      <c r="B1340" s="0" t="s">
        <v>219</v>
      </c>
      <c r="C1340" s="21" t="n">
        <f aca="false">pk_25*(eqtA_25-eqaA_25)/(eqtA_25-eqaA_25)</f>
        <v>6.11313868613139</v>
      </c>
      <c r="D1340" s="21" t="n">
        <f aca="false">pk_26*(eqtA_26-eqaA_26)/(eqtA_26-eqaA_26)</f>
        <v>6.7</v>
      </c>
      <c r="E1340" s="21" t="n">
        <f aca="false">pk_27*(eqtA_27-eqaA_27)/(eqtA_27-eqaA_27)</f>
        <v>7.59078388573934</v>
      </c>
      <c r="F1340" s="21" t="n">
        <f aca="false">pk_28*(eqtA_28-eqaA_28)/(eqtA_28-eqaA_28)</f>
        <v>8.6</v>
      </c>
      <c r="G1340" s="21" t="n">
        <f aca="false">pk_29*(eqtA_29-eqaA_29)/(eqtA_29-eqaA_29)</f>
        <v>9.288</v>
      </c>
      <c r="H1340" s="21" t="n">
        <f aca="false">G1340*(1+g_pk_tail)</f>
        <v>9.7524</v>
      </c>
      <c r="J1340" s="8" t="s">
        <v>650</v>
      </c>
    </row>
    <row r="1341" customFormat="false" ht="15" hidden="false" customHeight="false" outlineLevel="0" collapsed="false">
      <c r="A1341" s="5" t="s">
        <v>651</v>
      </c>
      <c r="B1341" s="0" t="s">
        <v>219</v>
      </c>
      <c r="C1341" s="24" t="n">
        <f aca="false">eqtA_25</f>
        <v>134.689359843138</v>
      </c>
      <c r="D1341" s="24" t="n">
        <f aca="false">eqtA_26</f>
        <v>178.157050570127</v>
      </c>
      <c r="E1341" s="24" t="n">
        <f aca="false">eqtA_27</f>
        <v>218.225535760082</v>
      </c>
      <c r="F1341" s="24" t="n">
        <f aca="false">eqtA_28</f>
        <v>246.028626308958</v>
      </c>
      <c r="G1341" s="24" t="n">
        <f aca="false">eqtA_29</f>
        <v>260.655685855226</v>
      </c>
      <c r="H1341" s="24" t="n">
        <f aca="false">G1341*(1+g_pk_tail)</f>
        <v>273.688470147987</v>
      </c>
      <c r="J1341" s="5" t="s">
        <v>652</v>
      </c>
    </row>
    <row r="1342" customFormat="false" ht="17.15" hidden="false" customHeight="false" outlineLevel="0" collapsed="false">
      <c r="A1342" s="1" t="s">
        <v>653</v>
      </c>
    </row>
    <row r="1343" customFormat="false" ht="17.15" hidden="false" customHeight="false" outlineLevel="0" collapsed="false">
      <c r="A1343" s="0" t="s">
        <v>654</v>
      </c>
      <c r="B1343" s="0" t="s">
        <v>655</v>
      </c>
      <c r="C1343" s="24" t="n">
        <f aca="false">ai_25*w_hbm/(0.75*C1337+0.25*D1337)</f>
        <v>121.417244328233</v>
      </c>
      <c r="J1343" s="5" t="s">
        <v>656</v>
      </c>
    </row>
    <row r="1344" customFormat="false" ht="17.15" hidden="false" customHeight="false" outlineLevel="0" collapsed="false">
      <c r="A1344" s="0" t="s">
        <v>657</v>
      </c>
      <c r="B1344" s="0" t="s">
        <v>658</v>
      </c>
      <c r="C1344" s="25" t="n">
        <f aca="false">ai_25*(1-w_hbm)/(0.75*C1339+0.25*D1339)</f>
        <v>0.0076513155174377</v>
      </c>
    </row>
    <row r="1345" customFormat="false" ht="17.15" hidden="false" customHeight="false" outlineLevel="0" collapsed="false">
      <c r="A1345" s="1" t="s">
        <v>659</v>
      </c>
    </row>
    <row r="1346" customFormat="false" ht="17.15" hidden="false" customHeight="false" outlineLevel="0" collapsed="false">
      <c r="A1346" s="0" t="s">
        <v>660</v>
      </c>
      <c r="B1346" s="0" t="s">
        <v>198</v>
      </c>
      <c r="C1346" s="20" t="n">
        <f aca="false">1-shl_A/sh*0</f>
        <v>1</v>
      </c>
      <c r="D1346" s="20" t="n">
        <f aca="false">1-shl_A/sh*0.25</f>
        <v>1</v>
      </c>
      <c r="E1346" s="20" t="n">
        <f aca="false">1-shl_A/sh*0.5</f>
        <v>1</v>
      </c>
      <c r="F1346" s="20" t="n">
        <f aca="false">1-shl_A/sh*0.75</f>
        <v>1</v>
      </c>
      <c r="G1346" s="20" t="n">
        <f aca="false">1-shl_A/sh*1</f>
        <v>1</v>
      </c>
      <c r="J1346" s="5" t="s">
        <v>661</v>
      </c>
    </row>
    <row r="1347" customFormat="false" ht="17.15" hidden="false" customHeight="false" outlineLevel="0" collapsed="false">
      <c r="A1347" s="0" t="s">
        <v>662</v>
      </c>
      <c r="B1347" s="0" t="s">
        <v>34</v>
      </c>
      <c r="C1347" s="19" t="n">
        <f aca="false">$C$1343*(0.75*C1337+0.25*D1337)*C1346</f>
        <v>5</v>
      </c>
      <c r="D1347" s="19" t="n">
        <f aca="false">$C$1343*(0.75*D1337+0.25*E1337)*D1346</f>
        <v>5.85477659596275</v>
      </c>
      <c r="E1347" s="19" t="n">
        <f aca="false">$C$1343*(0.75*E1337+0.25*F1337)*E1346</f>
        <v>5.42484277351964</v>
      </c>
      <c r="F1347" s="19" t="n">
        <f aca="false">$C$1343*(0.75*F1337+0.25*G1337)*F1346</f>
        <v>5.59938454589345</v>
      </c>
      <c r="G1347" s="19" t="n">
        <f aca="false">$C$1343*(0.75*G1337+0.25*H1337)*G1346</f>
        <v>5.07862914343112</v>
      </c>
    </row>
    <row r="1348" customFormat="false" ht="17.15" hidden="false" customHeight="false" outlineLevel="0" collapsed="false">
      <c r="A1348" s="0" t="s">
        <v>663</v>
      </c>
      <c r="B1348" s="0" t="s">
        <v>34</v>
      </c>
      <c r="C1348" s="19" t="n">
        <f aca="false">$C$1344*(0.75*C1339+0.25*D1339)*C1346</f>
        <v>5</v>
      </c>
      <c r="D1348" s="19" t="n">
        <f aca="false">$C$1344*(0.75*D1339+0.25*E1339)*D1346</f>
        <v>7.71132802925642</v>
      </c>
      <c r="E1348" s="19" t="n">
        <f aca="false">$C$1344*(0.75*E1339+0.25*F1339)*E1346</f>
        <v>5.46142533008358</v>
      </c>
      <c r="F1348" s="19" t="n">
        <f aca="false">$C$1344*(0.75*F1339+0.25*G1339)*F1346</f>
        <v>4.91291310951257</v>
      </c>
      <c r="G1348" s="19" t="n">
        <f aca="false">$C$1344*(0.75*G1339+0.25*H1339)*G1346</f>
        <v>4.72646096843851</v>
      </c>
    </row>
    <row r="1349" customFormat="false" ht="17.15" hidden="false" customHeight="false" outlineLevel="0" collapsed="false">
      <c r="A1349" s="5" t="s">
        <v>664</v>
      </c>
      <c r="B1349" s="0" t="s">
        <v>34</v>
      </c>
      <c r="C1349" s="19" t="n">
        <f aca="false">(seg_mold-ai_25)*(0.75*C1340+0.25*D1340)/(0.75*C1340+0.25*D1340)</f>
        <v>26.46</v>
      </c>
      <c r="D1349" s="19" t="n">
        <f aca="false">(seg_mold-ai_25)*(0.75*D1340+0.25*E1340)/(0.75*C1340+0.25*D1340)</f>
        <v>29.2617902872793</v>
      </c>
      <c r="E1349" s="19" t="n">
        <f aca="false">(seg_mold-ai_25)*(0.75*E1340+0.25*F1340)/(0.75*C1340+0.25*D1340)</f>
        <v>33.1522277881438</v>
      </c>
      <c r="F1349" s="19" t="n">
        <f aca="false">(seg_mold-ai_25)*(0.75*F1340+0.25*G1340)/(0.75*C1340+0.25*D1340)</f>
        <v>37.0786793843283</v>
      </c>
      <c r="G1349" s="19" t="n">
        <f aca="false">(seg_mold-ai_25)*(0.75*G1340+0.25*H1340)/(0.75*C1340+0.25*D1340)</f>
        <v>39.7505253987873</v>
      </c>
      <c r="J1349" s="8" t="s">
        <v>665</v>
      </c>
    </row>
    <row r="1350" customFormat="false" ht="15" hidden="false" customHeight="false" outlineLevel="0" collapsed="false">
      <c r="A1350" s="5" t="s">
        <v>666</v>
      </c>
      <c r="B1350" s="0" t="s">
        <v>34</v>
      </c>
      <c r="C1350" s="19" t="n">
        <f aca="false">seg_osemi*(0.75*C1341+0.25*D1341)/(0.75*C1341+0.25*D1341)</f>
        <v>3.93</v>
      </c>
      <c r="D1350" s="19" t="n">
        <f aca="false">seg_osemi*(0.75*D1341+0.25*E1341)/(0.75*C1341+0.25*D1341)</f>
        <v>5.08067726525852</v>
      </c>
      <c r="E1350" s="19" t="n">
        <f aca="false">seg_osemi*(0.75*E1341+0.25*F1341)/(0.75*C1341+0.25*D1341)</f>
        <v>6.0797299618455</v>
      </c>
      <c r="F1350" s="19" t="n">
        <f aca="false">seg_osemi*(0.75*F1341+0.25*G1341)/(0.75*C1341+0.25*D1341)</f>
        <v>6.74147189236335</v>
      </c>
      <c r="G1350" s="19" t="n">
        <f aca="false">seg_osemi*(0.75*G1341+0.25*H1341)/(0.75*C1341+0.25*D1341)</f>
        <v>7.12563922344852</v>
      </c>
      <c r="J1350" s="5" t="s">
        <v>667</v>
      </c>
    </row>
    <row r="1351" customFormat="false" ht="17.15" hidden="false" customHeight="false" outlineLevel="0" collapsed="false">
      <c r="A1351" s="5" t="s">
        <v>668</v>
      </c>
      <c r="B1351" s="0" t="s">
        <v>34</v>
      </c>
      <c r="C1351" s="19" t="n">
        <f aca="false">seg_new</f>
        <v>9.47</v>
      </c>
      <c r="D1351" s="19" t="n">
        <f aca="false">C1351*(1+g_tss)</f>
        <v>9.7541</v>
      </c>
      <c r="E1351" s="19" t="n">
        <f aca="false">D1351*(1+g_tss)</f>
        <v>10.046723</v>
      </c>
      <c r="F1351" s="19" t="n">
        <f aca="false">E1351*(1+g_tss)</f>
        <v>10.34812469</v>
      </c>
      <c r="G1351" s="19" t="n">
        <f aca="false">F1351*(1+g_tss)</f>
        <v>10.6585684307</v>
      </c>
    </row>
    <row r="1352" customFormat="false" ht="15" hidden="false" customHeight="false" outlineLevel="0" collapsed="false">
      <c r="A1352" s="5" t="s">
        <v>669</v>
      </c>
      <c r="B1352" s="0" t="s">
        <v>34</v>
      </c>
      <c r="C1352" s="19" t="n">
        <f aca="false">seg_med</f>
        <v>2.48</v>
      </c>
      <c r="D1352" s="19" t="n">
        <f aca="false">C1352*(1+g_med)</f>
        <v>2.5544</v>
      </c>
      <c r="E1352" s="19" t="n">
        <f aca="false">D1352*(1+g_med)</f>
        <v>2.631032</v>
      </c>
      <c r="F1352" s="19" t="n">
        <f aca="false">E1352*(1+g_med)</f>
        <v>2.70996296</v>
      </c>
      <c r="G1352" s="19" t="n">
        <f aca="false">F1352*(1+g_med)</f>
        <v>2.7912618488</v>
      </c>
    </row>
    <row r="1353" customFormat="false" ht="15" hidden="false" customHeight="false" outlineLevel="0" collapsed="false">
      <c r="A1353" s="5" t="s">
        <v>670</v>
      </c>
      <c r="B1353" s="0" t="s">
        <v>34</v>
      </c>
      <c r="C1353" s="19" t="n">
        <f aca="false">seg_las*(0.75*C1341+0.25*D1341)/(0.75*C1341+0.25*D1341)</f>
        <v>2</v>
      </c>
      <c r="D1353" s="19" t="n">
        <f aca="false">seg_las*(0.75*D1341+0.25*E1341)/(0.75*C1341+0.25*D1341)</f>
        <v>2.5855863945336</v>
      </c>
      <c r="E1353" s="19" t="n">
        <f aca="false">seg_las*(0.75*E1341+0.25*F1341)/(0.75*C1341+0.25*D1341)</f>
        <v>3.0940101587</v>
      </c>
      <c r="F1353" s="19" t="n">
        <f aca="false">seg_las*(0.75*F1341+0.25*G1341)/(0.75*C1341+0.25*D1341)</f>
        <v>3.43077449993046</v>
      </c>
      <c r="G1353" s="19" t="n">
        <f aca="false">seg_las*(0.75*G1341+0.25*H1341)/(0.75*C1341+0.25*D1341)</f>
        <v>3.62627950302724</v>
      </c>
      <c r="J1353" s="5" t="s">
        <v>667</v>
      </c>
    </row>
    <row r="1354" customFormat="false" ht="15" hidden="false" customHeight="false" outlineLevel="0" collapsed="false">
      <c r="A1354" s="5" t="s">
        <v>671</v>
      </c>
      <c r="B1354" s="0" t="s">
        <v>34</v>
      </c>
      <c r="C1354" s="19" t="n">
        <f aca="false">C1347+C1348+C1349+C1350+C1351+C1352+C1353+seg_adj</f>
        <v>54.365</v>
      </c>
      <c r="D1354" s="19" t="n">
        <f aca="false">D1347+D1348+D1349+D1350+D1351+D1352+D1353</f>
        <v>62.8026585722905</v>
      </c>
      <c r="E1354" s="19" t="n">
        <f aca="false">E1347+E1348+E1349+E1350+E1351+E1352+E1353</f>
        <v>65.8899910122925</v>
      </c>
      <c r="F1354" s="19" t="n">
        <f aca="false">F1347+F1348+F1349+F1350+F1351+F1352+F1353</f>
        <v>70.8213110820282</v>
      </c>
      <c r="G1354" s="19" t="n">
        <f aca="false">G1347+G1348+G1349+G1350+G1351+G1352+G1353</f>
        <v>73.7573645166327</v>
      </c>
    </row>
    <row r="1355" customFormat="false" ht="17.15" hidden="false" customHeight="false" outlineLevel="0" collapsed="false">
      <c r="A1355" s="1" t="s">
        <v>672</v>
      </c>
    </row>
    <row r="1356" customFormat="false" ht="17.15" hidden="false" customHeight="false" outlineLevel="0" collapsed="false">
      <c r="A1356" s="0" t="s">
        <v>673</v>
      </c>
      <c r="B1356" s="0" t="s">
        <v>34</v>
      </c>
      <c r="D1356" s="19" t="n">
        <f aca="false">g26_rev*(1+g_anc)</f>
        <v>64</v>
      </c>
    </row>
    <row r="1357" customFormat="false" ht="17.15" hidden="false" customHeight="false" outlineLevel="0" collapsed="false">
      <c r="A1357" s="0" t="s">
        <v>674</v>
      </c>
      <c r="B1357" s="0" t="s">
        <v>34</v>
      </c>
      <c r="D1357" s="19" t="n">
        <f aca="false">D1356*g26_oi/g26_rev</f>
        <v>10.24</v>
      </c>
    </row>
    <row r="1358" customFormat="false" ht="17.15" hidden="false" customHeight="false" outlineLevel="0" collapsed="false">
      <c r="A1358" s="0" t="s">
        <v>675</v>
      </c>
      <c r="B1358" s="0" t="s">
        <v>34</v>
      </c>
      <c r="D1358" s="19" t="n">
        <f aca="false">D1357*g26_ni/g26_oi</f>
        <v>7</v>
      </c>
    </row>
    <row r="1359" customFormat="false" ht="17.15" hidden="false" customHeight="false" outlineLevel="0" collapsed="false">
      <c r="A1359" s="5" t="s">
        <v>676</v>
      </c>
      <c r="B1359" s="0" t="s">
        <v>198</v>
      </c>
      <c r="D1359" s="20" t="n">
        <f aca="false">D1356/D1354</f>
        <v>1.01906513919839</v>
      </c>
      <c r="J1359" s="8" t="s">
        <v>677</v>
      </c>
    </row>
    <row r="1360" customFormat="false" ht="17.15" hidden="false" customHeight="false" outlineLevel="0" collapsed="false">
      <c r="A1360" s="5" t="s">
        <v>678</v>
      </c>
      <c r="B1360" s="0" t="s">
        <v>198</v>
      </c>
      <c r="D1360" s="20" t="n">
        <f aca="false">1+1*(D1359-1)</f>
        <v>1.01906513919839</v>
      </c>
      <c r="J1360" s="8" t="s">
        <v>679</v>
      </c>
    </row>
    <row r="1361" customFormat="false" ht="17.15" hidden="false" customHeight="false" outlineLevel="0" collapsed="false">
      <c r="A1361" s="1" t="s">
        <v>680</v>
      </c>
    </row>
    <row r="1362" customFormat="false" ht="17.15" hidden="false" customHeight="false" outlineLevel="0" collapsed="false">
      <c r="A1362" s="0" t="s">
        <v>681</v>
      </c>
      <c r="B1362" s="0" t="s">
        <v>34</v>
      </c>
      <c r="C1362" s="19" t="n">
        <f aca="false">C1347*1</f>
        <v>5</v>
      </c>
      <c r="D1362" s="19" t="n">
        <f aca="false">D1347*$D$1359</f>
        <v>5.96639872674023</v>
      </c>
      <c r="E1362" s="19" t="n">
        <f aca="false">E1347*1</f>
        <v>5.42484277351964</v>
      </c>
      <c r="F1362" s="19" t="n">
        <f aca="false">F1347*1</f>
        <v>5.59938454589345</v>
      </c>
      <c r="G1362" s="19" t="n">
        <f aca="false">G1347*1</f>
        <v>5.07862914343112</v>
      </c>
    </row>
    <row r="1363" customFormat="false" ht="17.15" hidden="false" customHeight="false" outlineLevel="0" collapsed="false">
      <c r="A1363" s="0" t="s">
        <v>682</v>
      </c>
      <c r="B1363" s="0" t="s">
        <v>34</v>
      </c>
      <c r="C1363" s="19" t="n">
        <f aca="false">C1348*1</f>
        <v>5</v>
      </c>
      <c r="D1363" s="19" t="n">
        <f aca="false">D1348*$D$1359</f>
        <v>7.85834557153861</v>
      </c>
      <c r="E1363" s="19" t="n">
        <f aca="false">E1348*1</f>
        <v>5.46142533008358</v>
      </c>
      <c r="F1363" s="19" t="n">
        <f aca="false">F1348*1</f>
        <v>4.91291310951257</v>
      </c>
      <c r="G1363" s="19" t="n">
        <f aca="false">G1348*1</f>
        <v>4.72646096843851</v>
      </c>
    </row>
    <row r="1364" customFormat="false" ht="17.15" hidden="false" customHeight="false" outlineLevel="0" collapsed="false">
      <c r="A1364" s="5" t="s">
        <v>683</v>
      </c>
      <c r="B1364" s="0" t="s">
        <v>34</v>
      </c>
      <c r="C1364" s="19" t="n">
        <f aca="false">C1349*1</f>
        <v>26.46</v>
      </c>
      <c r="D1364" s="19" t="n">
        <f aca="false">D1349*$D$1359</f>
        <v>29.8196703923002</v>
      </c>
      <c r="E1364" s="19" t="n">
        <f aca="false">E1349*$D$1360</f>
        <v>33.7842796256614</v>
      </c>
      <c r="F1364" s="19" t="n">
        <f aca="false">F1349*$D$1360</f>
        <v>37.7855895680829</v>
      </c>
      <c r="G1364" s="19" t="n">
        <f aca="false">G1349*$D$1360</f>
        <v>40.5083746987242</v>
      </c>
    </row>
    <row r="1365" customFormat="false" ht="15" hidden="false" customHeight="false" outlineLevel="0" collapsed="false">
      <c r="A1365" s="5" t="s">
        <v>684</v>
      </c>
      <c r="B1365" s="0" t="s">
        <v>34</v>
      </c>
      <c r="C1365" s="19" t="n">
        <f aca="false">C1350*1</f>
        <v>3.93</v>
      </c>
      <c r="D1365" s="19" t="n">
        <f aca="false">D1350*$D$1359</f>
        <v>5.17754108454275</v>
      </c>
      <c r="E1365" s="19" t="n">
        <f aca="false">E1350*$D$1360</f>
        <v>6.19564085985668</v>
      </c>
      <c r="F1365" s="19" t="n">
        <f aca="false">F1350*$D$1360</f>
        <v>6.86999899239327</v>
      </c>
      <c r="G1365" s="19" t="n">
        <f aca="false">G1350*$D$1360</f>
        <v>7.26149052712105</v>
      </c>
    </row>
    <row r="1366" customFormat="false" ht="17.15" hidden="false" customHeight="false" outlineLevel="0" collapsed="false">
      <c r="A1366" s="5" t="s">
        <v>685</v>
      </c>
      <c r="B1366" s="0" t="s">
        <v>34</v>
      </c>
      <c r="C1366" s="19" t="n">
        <f aca="false">C1351*1</f>
        <v>9.47</v>
      </c>
      <c r="D1366" s="19" t="n">
        <f aca="false">D1351*$D$1359</f>
        <v>9.94006327425498</v>
      </c>
      <c r="E1366" s="19" t="n">
        <f aca="false">E1351*$D$1360</f>
        <v>10.2382651724826</v>
      </c>
      <c r="F1366" s="19" t="n">
        <f aca="false">F1351*$D$1360</f>
        <v>10.5454131276571</v>
      </c>
      <c r="G1366" s="19" t="n">
        <f aca="false">G1351*$D$1360</f>
        <v>10.8617755214868</v>
      </c>
    </row>
    <row r="1367" customFormat="false" ht="15" hidden="false" customHeight="false" outlineLevel="0" collapsed="false">
      <c r="A1367" s="5" t="s">
        <v>686</v>
      </c>
      <c r="B1367" s="0" t="s">
        <v>34</v>
      </c>
      <c r="C1367" s="19" t="n">
        <f aca="false">C1352*1</f>
        <v>2.48</v>
      </c>
      <c r="D1367" s="19" t="n">
        <f aca="false">D1352*$D$1359</f>
        <v>2.60309999156836</v>
      </c>
      <c r="E1367" s="19" t="n">
        <f aca="false">E1352*$D$1360</f>
        <v>2.68119299131541</v>
      </c>
      <c r="F1367" s="19" t="n">
        <f aca="false">F1352*$D$1360</f>
        <v>2.76162878105487</v>
      </c>
      <c r="G1367" s="19" t="n">
        <f aca="false">G1352*$D$1360</f>
        <v>2.84447764448652</v>
      </c>
    </row>
    <row r="1368" customFormat="false" ht="15" hidden="false" customHeight="false" outlineLevel="0" collapsed="false">
      <c r="A1368" s="5" t="s">
        <v>687</v>
      </c>
      <c r="B1368" s="0" t="s">
        <v>34</v>
      </c>
      <c r="C1368" s="19" t="n">
        <f aca="false">C1353*1</f>
        <v>2</v>
      </c>
      <c r="D1368" s="19" t="n">
        <f aca="false">D1353*$D$1359</f>
        <v>2.63488095905483</v>
      </c>
      <c r="E1368" s="19" t="n">
        <f aca="false">E1353*$D$1360</f>
        <v>3.15299789305684</v>
      </c>
      <c r="F1368" s="19" t="n">
        <f aca="false">F1353*$D$1360</f>
        <v>3.49618269332991</v>
      </c>
      <c r="G1368" s="19" t="n">
        <f aca="false">G1353*$D$1360</f>
        <v>3.6954150265247</v>
      </c>
    </row>
    <row r="1369" customFormat="false" ht="17.15" hidden="false" customHeight="false" outlineLevel="0" collapsed="false">
      <c r="A1369" s="0" t="s">
        <v>688</v>
      </c>
      <c r="B1369" s="0" t="s">
        <v>34</v>
      </c>
      <c r="C1369" s="19" t="n">
        <f aca="false">C1362+C1363</f>
        <v>10</v>
      </c>
      <c r="D1369" s="19" t="n">
        <f aca="false">D1362+D1363</f>
        <v>13.8247442982788</v>
      </c>
      <c r="E1369" s="19" t="n">
        <f aca="false">E1362+E1363</f>
        <v>10.8862681036032</v>
      </c>
      <c r="F1369" s="19" t="n">
        <f aca="false">F1362+F1363</f>
        <v>10.512297655406</v>
      </c>
      <c r="G1369" s="19" t="n">
        <f aca="false">G1362+G1363</f>
        <v>9.80509011186963</v>
      </c>
    </row>
    <row r="1370" customFormat="false" ht="17.15" hidden="false" customHeight="false" outlineLevel="0" collapsed="false">
      <c r="A1370" s="5" t="s">
        <v>689</v>
      </c>
      <c r="B1370" s="0" t="s">
        <v>34</v>
      </c>
      <c r="C1370" s="19" t="n">
        <f aca="false">C1369+C1364+C1365</f>
        <v>40.39</v>
      </c>
      <c r="D1370" s="19" t="n">
        <f aca="false">D1369+D1364+D1365</f>
        <v>48.8219557751218</v>
      </c>
      <c r="E1370" s="19" t="n">
        <f aca="false">E1369+E1364+E1365</f>
        <v>50.8661885891213</v>
      </c>
      <c r="F1370" s="19" t="n">
        <f aca="false">F1369+F1364+F1365</f>
        <v>55.1678862158822</v>
      </c>
      <c r="G1370" s="19" t="n">
        <f aca="false">G1369+G1364+G1365</f>
        <v>57.5749553377149</v>
      </c>
      <c r="J1370" s="5" t="s">
        <v>690</v>
      </c>
    </row>
    <row r="1371" customFormat="false" ht="17.15" hidden="false" customHeight="false" outlineLevel="0" collapsed="false">
      <c r="A1371" s="5" t="s">
        <v>541</v>
      </c>
      <c r="B1371" s="0" t="s">
        <v>34</v>
      </c>
      <c r="C1371" s="19" t="n">
        <f aca="false">C1370+C1366+C1367+C1368+seg_adj</f>
        <v>54.365</v>
      </c>
      <c r="D1371" s="19" t="n">
        <f aca="false">D1370+D1366+D1367+D1368</f>
        <v>64</v>
      </c>
      <c r="E1371" s="19" t="n">
        <f aca="false">E1370+E1366+E1367+E1368</f>
        <v>66.9386446459761</v>
      </c>
      <c r="F1371" s="19" t="n">
        <f aca="false">F1370+F1366+F1367+F1368</f>
        <v>71.9711108179241</v>
      </c>
      <c r="G1371" s="19" t="n">
        <f aca="false">G1370+G1366+G1367+G1368</f>
        <v>74.9766235302129</v>
      </c>
      <c r="J1371" s="8" t="s">
        <v>691</v>
      </c>
    </row>
    <row r="1372" customFormat="false" ht="17.15" hidden="false" customHeight="false" outlineLevel="0" collapsed="false">
      <c r="A1372" s="5" t="s">
        <v>692</v>
      </c>
      <c r="B1372" s="0" t="s">
        <v>34</v>
      </c>
      <c r="C1372" s="20" t="n">
        <f aca="false">C1370+C1366+C1367+C1368-a25_rev</f>
        <v>-0.0249999999999986</v>
      </c>
    </row>
    <row r="1373" customFormat="false" ht="17.15" hidden="false" customHeight="false" outlineLevel="0" collapsed="false">
      <c r="A1373" s="0" t="s">
        <v>621</v>
      </c>
      <c r="B1373" s="0" t="s">
        <v>94</v>
      </c>
      <c r="C1373" s="11" t="n">
        <f aca="false">C1369/C1371</f>
        <v>0.1839418743677</v>
      </c>
      <c r="D1373" s="11" t="n">
        <f aca="false">D1369/D1371</f>
        <v>0.216011629660607</v>
      </c>
      <c r="E1373" s="11" t="n">
        <f aca="false">E1369/E1371</f>
        <v>0.162630542658554</v>
      </c>
      <c r="F1373" s="11" t="n">
        <f aca="false">F1369/F1371</f>
        <v>0.146062740118053</v>
      </c>
      <c r="G1373" s="11" t="n">
        <f aca="false">G1369/G1371</f>
        <v>0.130775295688242</v>
      </c>
    </row>
    <row r="1374" customFormat="false" ht="17.15" hidden="false" customHeight="false" outlineLevel="0" collapsed="false">
      <c r="A1374" s="5" t="s">
        <v>545</v>
      </c>
      <c r="B1374" s="0" t="s">
        <v>34</v>
      </c>
      <c r="C1374" s="19" t="n">
        <f aca="false">a25_oi</f>
        <v>6.917</v>
      </c>
      <c r="D1374" s="19" t="n">
        <f aca="false">D1357</f>
        <v>10.24</v>
      </c>
      <c r="E1374" s="19" t="n">
        <f aca="false">$D1374+(im+ima_C)*(E1371-$D1371)</f>
        <v>10.8850945808689</v>
      </c>
      <c r="F1374" s="19" t="n">
        <f aca="false">$D1374+(im+ima_C)*(F1371-$D1371)</f>
        <v>11.9898272202422</v>
      </c>
      <c r="G1374" s="19" t="n">
        <f aca="false">$D1374+(im+ima_C)*(G1371-$D1371)</f>
        <v>12.6496007543048</v>
      </c>
      <c r="J1374" s="8" t="s">
        <v>693</v>
      </c>
    </row>
    <row r="1375" customFormat="false" ht="15" hidden="false" customHeight="false" outlineLevel="0" collapsed="false">
      <c r="A1375" s="5" t="s">
        <v>694</v>
      </c>
      <c r="B1375" s="0" t="s">
        <v>94</v>
      </c>
      <c r="C1375" s="11" t="n">
        <f aca="false">C1374/C1371</f>
        <v>0.127232594500138</v>
      </c>
      <c r="D1375" s="11" t="n">
        <f aca="false">D1374/D1371</f>
        <v>0.16</v>
      </c>
      <c r="E1375" s="11" t="n">
        <f aca="false">E1374/E1371</f>
        <v>0.16261301133953</v>
      </c>
      <c r="F1375" s="11" t="n">
        <f aca="false">F1374/F1371</f>
        <v>0.166592221295217</v>
      </c>
      <c r="G1375" s="11" t="n">
        <f aca="false">G1374/G1371</f>
        <v>0.168713929204981</v>
      </c>
    </row>
    <row r="1376" customFormat="false" ht="15" hidden="false" customHeight="false" outlineLevel="0" collapsed="false">
      <c r="A1376" s="5" t="s">
        <v>548</v>
      </c>
      <c r="B1376" s="0" t="s">
        <v>34</v>
      </c>
      <c r="C1376" s="19" t="n">
        <f aca="false">a25_ni</f>
        <v>4.593</v>
      </c>
      <c r="D1376" s="19" t="n">
        <f aca="false">D1358</f>
        <v>7</v>
      </c>
      <c r="E1376" s="19" t="n">
        <f aca="false">E1374*nioi</f>
        <v>7.44098262364082</v>
      </c>
      <c r="F1376" s="19" t="n">
        <f aca="false">F1374*nioi</f>
        <v>8.19617095133742</v>
      </c>
      <c r="G1376" s="19" t="n">
        <f aca="false">G1374*nioi</f>
        <v>8.64718801563807</v>
      </c>
    </row>
    <row r="1377" customFormat="false" ht="15" hidden="false" customHeight="false" outlineLevel="0" collapsed="false">
      <c r="A1377" s="0" t="s">
        <v>622</v>
      </c>
      <c r="B1377" s="0" t="s">
        <v>52</v>
      </c>
      <c r="C1377" s="22" t="n">
        <f aca="false">a25_eps</f>
        <v>61.22</v>
      </c>
      <c r="D1377" s="22" t="n">
        <f aca="false">D1376*1000/shares</f>
        <v>93.2961492201002</v>
      </c>
      <c r="E1377" s="22" t="n">
        <f aca="false">E1376*1000/shares</f>
        <v>99.1735750284809</v>
      </c>
      <c r="F1377" s="22" t="n">
        <f aca="false">F1376*1000/shares</f>
        <v>109.23874115849</v>
      </c>
      <c r="G1377" s="22" t="n">
        <f aca="false">G1376*1000/shares</f>
        <v>115.24990620589</v>
      </c>
    </row>
    <row r="1378" customFormat="false" ht="17.15" hidden="false" customHeight="false" outlineLevel="0" collapsed="false">
      <c r="A1378" s="5" t="s">
        <v>695</v>
      </c>
      <c r="B1378" s="0" t="s">
        <v>34</v>
      </c>
      <c r="C1378" s="20" t="n">
        <f aca="false">ABS(C1371-a25_rev)+ABS(C1374-a25_oi)+ABS(D1371-D1356)</f>
        <v>0</v>
      </c>
    </row>
    <row r="1390" customFormat="false" ht="17.15" hidden="false" customHeight="false" outlineLevel="0" collapsed="false">
      <c r="A1390" s="3" t="s">
        <v>1038</v>
      </c>
    </row>
    <row r="1391" customFormat="false" ht="17.15" hidden="false" customHeight="false" outlineLevel="0" collapsed="false">
      <c r="A1391" s="6" t="s">
        <v>23</v>
      </c>
      <c r="B1391" s="6" t="s">
        <v>24</v>
      </c>
      <c r="C1391" s="15" t="s">
        <v>628</v>
      </c>
      <c r="D1391" s="15" t="s">
        <v>629</v>
      </c>
      <c r="E1391" s="15" t="s">
        <v>630</v>
      </c>
      <c r="F1391" s="15" t="s">
        <v>631</v>
      </c>
      <c r="G1391" s="15" t="s">
        <v>632</v>
      </c>
      <c r="H1391" s="15" t="s">
        <v>633</v>
      </c>
      <c r="I1391" s="15" t="s">
        <v>634</v>
      </c>
      <c r="J1391" s="6" t="s">
        <v>468</v>
      </c>
    </row>
    <row r="1392" customFormat="false" ht="17.15" hidden="false" customHeight="false" outlineLevel="0" collapsed="false">
      <c r="A1392" s="1" t="s">
        <v>635</v>
      </c>
    </row>
    <row r="1393" customFormat="false" ht="17.15" hidden="false" customHeight="false" outlineLevel="0" collapsed="false">
      <c r="A1393" s="0" t="s">
        <v>636</v>
      </c>
      <c r="B1393" s="0" t="s">
        <v>111</v>
      </c>
      <c r="C1393" s="21" t="n">
        <f aca="false">hsA_25</f>
        <v>2.22511470588235</v>
      </c>
      <c r="D1393" s="21" t="n">
        <f aca="false">hsA_26</f>
        <v>3.782695</v>
      </c>
      <c r="E1393" s="21" t="n">
        <f aca="false">hsA_27</f>
        <v>5.86317725</v>
      </c>
      <c r="F1393" s="21" t="n">
        <f aca="false">hsA_28</f>
        <v>8.5016070125</v>
      </c>
      <c r="G1393" s="21" t="n">
        <f aca="false">hsA_29</f>
        <v>11.477169466875</v>
      </c>
      <c r="J1393" s="8" t="s">
        <v>637</v>
      </c>
    </row>
    <row r="1394" customFormat="false" ht="17.15" hidden="false" customHeight="false" outlineLevel="0" collapsed="false">
      <c r="A1394" s="0" t="s">
        <v>638</v>
      </c>
      <c r="B1394" s="0" t="s">
        <v>639</v>
      </c>
      <c r="C1394" s="21" t="n">
        <f aca="false">den_25</f>
        <v>24</v>
      </c>
      <c r="D1394" s="21" t="n">
        <f aca="false">den_26</f>
        <v>24</v>
      </c>
      <c r="E1394" s="21" t="n">
        <f aca="false">den_27</f>
        <v>26</v>
      </c>
      <c r="F1394" s="21" t="n">
        <f aca="false">den_28</f>
        <v>28</v>
      </c>
      <c r="G1394" s="21" t="n">
        <f aca="false">den_29</f>
        <v>30</v>
      </c>
    </row>
    <row r="1395" customFormat="false" ht="15" hidden="false" customHeight="false" outlineLevel="0" collapsed="false">
      <c r="A1395" s="5" t="s">
        <v>640</v>
      </c>
      <c r="B1395" s="5" t="s">
        <v>160</v>
      </c>
      <c r="C1395" s="21" t="n">
        <f aca="false">stk_25</f>
        <v>10</v>
      </c>
      <c r="D1395" s="21" t="n">
        <f aca="false">stk_26</f>
        <v>12</v>
      </c>
      <c r="E1395" s="21" t="n">
        <f aca="false">stk_27</f>
        <v>12.5</v>
      </c>
      <c r="F1395" s="21" t="n">
        <f aca="false">stk_28</f>
        <v>14</v>
      </c>
      <c r="G1395" s="21" t="n">
        <f aca="false">stk_29</f>
        <v>15</v>
      </c>
    </row>
    <row r="1396" customFormat="false" ht="17.15" hidden="false" customHeight="false" outlineLevel="0" collapsed="false">
      <c r="A1396" s="0" t="s">
        <v>641</v>
      </c>
      <c r="B1396" s="5" t="s">
        <v>642</v>
      </c>
      <c r="C1396" s="23" t="n">
        <f aca="false">C1393*8/(C1394*C1395)</f>
        <v>0.0741704901960783</v>
      </c>
      <c r="D1396" s="23" t="n">
        <f aca="false">D1393*8/(D1394*D1395)</f>
        <v>0.105074861111111</v>
      </c>
      <c r="E1396" s="23" t="n">
        <f aca="false">E1393*8/(E1394*E1395)</f>
        <v>0.144324363076923</v>
      </c>
      <c r="F1396" s="23" t="n">
        <f aca="false">F1393*8/(F1394*F1395)</f>
        <v>0.173502183928571</v>
      </c>
      <c r="G1396" s="23" t="n">
        <f aca="false">G1393*8/(G1394*G1395)</f>
        <v>0.2040385683</v>
      </c>
      <c r="H1396" s="23" t="n">
        <f aca="false">G1396*(1+g_tail)</f>
        <v>0.22444242513</v>
      </c>
      <c r="I1396" s="23" t="n">
        <f aca="false">H1396*(1+g_tail)</f>
        <v>0.246886667643</v>
      </c>
      <c r="J1396" s="8" t="s">
        <v>643</v>
      </c>
    </row>
    <row r="1397" customFormat="false" ht="17.15" hidden="false" customHeight="false" outlineLevel="0" collapsed="false">
      <c r="A1397" s="0" t="s">
        <v>644</v>
      </c>
      <c r="B1397" s="5" t="s">
        <v>642</v>
      </c>
      <c r="C1397" s="23" t="n">
        <f aca="false">MAX(0,D1396-C1396)+dlt*C1396</f>
        <v>0.0383214199346406</v>
      </c>
      <c r="D1397" s="23" t="n">
        <f aca="false">MAX(0,E1396-D1396)+dlt*D1396</f>
        <v>0.0497569880769231</v>
      </c>
      <c r="E1397" s="23" t="n">
        <f aca="false">MAX(0,F1396-E1396)+dlt*E1396</f>
        <v>0.0436102571593407</v>
      </c>
      <c r="F1397" s="23" t="n">
        <f aca="false">MAX(0,G1396-F1396)+dlt*F1396</f>
        <v>0.0478866027642858</v>
      </c>
      <c r="G1397" s="23" t="n">
        <f aca="false">MAX(0,H1396-G1396)+dlt*G1396</f>
        <v>0.04080771366</v>
      </c>
      <c r="H1397" s="23" t="n">
        <f aca="false">MAX(0,I1396-H1396)+dlt*H1396</f>
        <v>0.044888485026</v>
      </c>
      <c r="J1397" s="5" t="s">
        <v>645</v>
      </c>
    </row>
    <row r="1398" customFormat="false" ht="17.15" hidden="false" customHeight="false" outlineLevel="0" collapsed="false">
      <c r="A1398" s="0" t="s">
        <v>646</v>
      </c>
      <c r="B1398" s="5" t="s">
        <v>183</v>
      </c>
      <c r="C1398" s="14" t="n">
        <f aca="false">cw_25</f>
        <v>670</v>
      </c>
      <c r="D1398" s="14" t="n">
        <f aca="false">cw_26</f>
        <v>1107.85762580894</v>
      </c>
      <c r="E1398" s="14" t="n">
        <f aca="false">cw_27</f>
        <v>2096.42857142857</v>
      </c>
      <c r="F1398" s="14" t="n">
        <f aca="false">cw_28*um28_A</f>
        <v>2620.08928571429</v>
      </c>
      <c r="G1398" s="14" t="n">
        <f aca="false">cw_29*um29_A</f>
        <v>3013.32589285714</v>
      </c>
      <c r="H1398" s="14" t="n">
        <f aca="false">G1398*(1+g_tail)</f>
        <v>3314.65848214285</v>
      </c>
      <c r="I1398" s="14" t="n">
        <f aca="false">H1398*(1+g_tail)</f>
        <v>3646.12433035714</v>
      </c>
      <c r="J1398" s="5" t="s">
        <v>647</v>
      </c>
    </row>
    <row r="1399" customFormat="false" ht="17.15" hidden="false" customHeight="false" outlineLevel="0" collapsed="false">
      <c r="A1399" s="0" t="s">
        <v>648</v>
      </c>
      <c r="B1399" s="5" t="s">
        <v>183</v>
      </c>
      <c r="C1399" s="14" t="n">
        <f aca="false">MAX(0,D1398-C1398)+dlt*C1398</f>
        <v>504.85762580894</v>
      </c>
      <c r="D1399" s="14" t="n">
        <f aca="false">MAX(0,E1398-D1398)+dlt*D1398</f>
        <v>1099.35670820052</v>
      </c>
      <c r="E1399" s="14" t="n">
        <f aca="false">MAX(0,F1398-E1398)+dlt*E1398</f>
        <v>733.303571428577</v>
      </c>
      <c r="F1399" s="14" t="n">
        <f aca="false">MAX(0,G1398-F1398)+dlt*F1398</f>
        <v>655.245535714279</v>
      </c>
      <c r="G1399" s="14" t="n">
        <f aca="false">MAX(0,H1398-G1398)+dlt*G1398</f>
        <v>602.665178571428</v>
      </c>
      <c r="H1399" s="14" t="n">
        <f aca="false">MAX(0,I1398-H1398)+dlt*H1398</f>
        <v>662.931696428571</v>
      </c>
    </row>
    <row r="1400" customFormat="false" ht="17.15" hidden="false" customHeight="false" outlineLevel="0" collapsed="false">
      <c r="A1400" s="5" t="s">
        <v>649</v>
      </c>
      <c r="B1400" s="0" t="s">
        <v>219</v>
      </c>
      <c r="C1400" s="21" t="n">
        <f aca="false">pk_25*(eqtA_25-eqaA_25)/(eqtA_25-eqaA_25)</f>
        <v>6.11313868613139</v>
      </c>
      <c r="D1400" s="21" t="n">
        <f aca="false">pk_26*(eqtA_26-eqaA_26)/(eqtA_26-eqaA_26)</f>
        <v>6.7</v>
      </c>
      <c r="E1400" s="21" t="n">
        <f aca="false">pk_27*(eqtA_27-eqaA_27)/(eqtA_27-eqaA_27)</f>
        <v>7.59078388573934</v>
      </c>
      <c r="F1400" s="21" t="n">
        <f aca="false">pk_28*(eqtA_28-eqaA_28)/(eqtA_28-eqaA_28)</f>
        <v>8.6</v>
      </c>
      <c r="G1400" s="21" t="n">
        <f aca="false">pk_29*(eqtA_29-eqaA_29)/(eqtA_29-eqaA_29)</f>
        <v>9.288</v>
      </c>
      <c r="H1400" s="21" t="n">
        <f aca="false">G1400*(1+g_pk_tail)</f>
        <v>9.7524</v>
      </c>
      <c r="J1400" s="8" t="s">
        <v>650</v>
      </c>
    </row>
    <row r="1401" customFormat="false" ht="15" hidden="false" customHeight="false" outlineLevel="0" collapsed="false">
      <c r="A1401" s="5" t="s">
        <v>651</v>
      </c>
      <c r="B1401" s="0" t="s">
        <v>219</v>
      </c>
      <c r="C1401" s="24" t="n">
        <f aca="false">eqtA_25</f>
        <v>134.689359843138</v>
      </c>
      <c r="D1401" s="24" t="n">
        <f aca="false">eqtA_26</f>
        <v>178.157050570127</v>
      </c>
      <c r="E1401" s="24" t="n">
        <f aca="false">eqtA_27</f>
        <v>218.225535760082</v>
      </c>
      <c r="F1401" s="24" t="n">
        <f aca="false">eqtA_28</f>
        <v>246.028626308958</v>
      </c>
      <c r="G1401" s="24" t="n">
        <f aca="false">eqtA_29</f>
        <v>260.655685855226</v>
      </c>
      <c r="H1401" s="24" t="n">
        <f aca="false">G1401*(1+g_pk_tail)</f>
        <v>273.688470147987</v>
      </c>
      <c r="J1401" s="5" t="s">
        <v>652</v>
      </c>
    </row>
    <row r="1402" customFormat="false" ht="17.15" hidden="false" customHeight="false" outlineLevel="0" collapsed="false">
      <c r="A1402" s="1" t="s">
        <v>653</v>
      </c>
    </row>
    <row r="1403" customFormat="false" ht="17.15" hidden="false" customHeight="false" outlineLevel="0" collapsed="false">
      <c r="A1403" s="0" t="s">
        <v>654</v>
      </c>
      <c r="B1403" s="0" t="s">
        <v>655</v>
      </c>
      <c r="C1403" s="24" t="n">
        <f aca="false">ai_25*w_hbm/(0.75*C1397+0.25*D1397)</f>
        <v>121.417244328233</v>
      </c>
      <c r="J1403" s="5" t="s">
        <v>656</v>
      </c>
    </row>
    <row r="1404" customFormat="false" ht="17.15" hidden="false" customHeight="false" outlineLevel="0" collapsed="false">
      <c r="A1404" s="0" t="s">
        <v>657</v>
      </c>
      <c r="B1404" s="0" t="s">
        <v>658</v>
      </c>
      <c r="C1404" s="25" t="n">
        <f aca="false">ai_25*(1-w_hbm)/(0.75*C1399+0.25*D1399)</f>
        <v>0.0076513155174377</v>
      </c>
    </row>
    <row r="1405" customFormat="false" ht="17.15" hidden="false" customHeight="false" outlineLevel="0" collapsed="false">
      <c r="A1405" s="1" t="s">
        <v>659</v>
      </c>
    </row>
    <row r="1406" customFormat="false" ht="17.15" hidden="false" customHeight="false" outlineLevel="0" collapsed="false">
      <c r="A1406" s="0" t="s">
        <v>660</v>
      </c>
      <c r="B1406" s="0" t="s">
        <v>198</v>
      </c>
      <c r="C1406" s="20" t="n">
        <f aca="false">1-shl_A/sh*0</f>
        <v>1</v>
      </c>
      <c r="D1406" s="20" t="n">
        <f aca="false">1-shl_A/sh*0.25</f>
        <v>1</v>
      </c>
      <c r="E1406" s="20" t="n">
        <f aca="false">1-shl_A/sh*0.5</f>
        <v>1</v>
      </c>
      <c r="F1406" s="20" t="n">
        <f aca="false">1-shl_A/sh*0.75</f>
        <v>1</v>
      </c>
      <c r="G1406" s="20" t="n">
        <f aca="false">1-shl_A/sh*1</f>
        <v>1</v>
      </c>
      <c r="J1406" s="5" t="s">
        <v>661</v>
      </c>
    </row>
    <row r="1407" customFormat="false" ht="17.15" hidden="false" customHeight="false" outlineLevel="0" collapsed="false">
      <c r="A1407" s="0" t="s">
        <v>662</v>
      </c>
      <c r="B1407" s="0" t="s">
        <v>34</v>
      </c>
      <c r="C1407" s="19" t="n">
        <f aca="false">$C$1403*(0.75*C1397+0.25*D1397)*C1406</f>
        <v>5</v>
      </c>
      <c r="D1407" s="19" t="n">
        <f aca="false">$C$1403*(0.75*D1397+0.25*E1397)*D1406</f>
        <v>5.85477659596275</v>
      </c>
      <c r="E1407" s="19" t="n">
        <f aca="false">$C$1403*(0.75*E1397+0.25*F1397)*E1406</f>
        <v>5.42484277351964</v>
      </c>
      <c r="F1407" s="19" t="n">
        <f aca="false">$C$1403*(0.75*F1397+0.25*G1397)*F1406</f>
        <v>5.59938454589345</v>
      </c>
      <c r="G1407" s="19" t="n">
        <f aca="false">$C$1403*(0.75*G1397+0.25*H1397)*G1406</f>
        <v>5.07862914343112</v>
      </c>
    </row>
    <row r="1408" customFormat="false" ht="17.15" hidden="false" customHeight="false" outlineLevel="0" collapsed="false">
      <c r="A1408" s="0" t="s">
        <v>663</v>
      </c>
      <c r="B1408" s="0" t="s">
        <v>34</v>
      </c>
      <c r="C1408" s="19" t="n">
        <f aca="false">$C$1404*(0.75*C1399+0.25*D1399)*C1406</f>
        <v>5</v>
      </c>
      <c r="D1408" s="19" t="n">
        <f aca="false">$C$1404*(0.75*D1399+0.25*E1399)*D1406</f>
        <v>7.71132802925642</v>
      </c>
      <c r="E1408" s="19" t="n">
        <f aca="false">$C$1404*(0.75*E1399+0.25*F1399)*E1406</f>
        <v>5.46142533008358</v>
      </c>
      <c r="F1408" s="19" t="n">
        <f aca="false">$C$1404*(0.75*F1399+0.25*G1399)*F1406</f>
        <v>4.91291310951257</v>
      </c>
      <c r="G1408" s="19" t="n">
        <f aca="false">$C$1404*(0.75*G1399+0.25*H1399)*G1406</f>
        <v>4.72646096843851</v>
      </c>
    </row>
    <row r="1409" customFormat="false" ht="17.15" hidden="false" customHeight="false" outlineLevel="0" collapsed="false">
      <c r="A1409" s="5" t="s">
        <v>664</v>
      </c>
      <c r="B1409" s="0" t="s">
        <v>34</v>
      </c>
      <c r="C1409" s="19" t="n">
        <f aca="false">(seg_mold-ai_25)*(0.75*C1400+0.25*D1400)/(0.75*C1400+0.25*D1400)</f>
        <v>26.46</v>
      </c>
      <c r="D1409" s="19" t="n">
        <f aca="false">(seg_mold-ai_25)*(0.75*D1400+0.25*E1400)/(0.75*C1400+0.25*D1400)</f>
        <v>29.2617902872793</v>
      </c>
      <c r="E1409" s="19" t="n">
        <f aca="false">(seg_mold-ai_25)*(0.75*E1400+0.25*F1400)/(0.75*C1400+0.25*D1400)</f>
        <v>33.1522277881438</v>
      </c>
      <c r="F1409" s="19" t="n">
        <f aca="false">(seg_mold-ai_25)*(0.75*F1400+0.25*G1400)/(0.75*C1400+0.25*D1400)</f>
        <v>37.0786793843283</v>
      </c>
      <c r="G1409" s="19" t="n">
        <f aca="false">(seg_mold-ai_25)*(0.75*G1400+0.25*H1400)/(0.75*C1400+0.25*D1400)</f>
        <v>39.7505253987873</v>
      </c>
      <c r="J1409" s="8" t="s">
        <v>665</v>
      </c>
    </row>
    <row r="1410" customFormat="false" ht="15" hidden="false" customHeight="false" outlineLevel="0" collapsed="false">
      <c r="A1410" s="5" t="s">
        <v>666</v>
      </c>
      <c r="B1410" s="0" t="s">
        <v>34</v>
      </c>
      <c r="C1410" s="19" t="n">
        <f aca="false">seg_osemi*(0.75*C1401+0.25*D1401)/(0.75*C1401+0.25*D1401)</f>
        <v>3.93</v>
      </c>
      <c r="D1410" s="19" t="n">
        <f aca="false">seg_osemi*(0.75*D1401+0.25*E1401)/(0.75*C1401+0.25*D1401)</f>
        <v>5.08067726525852</v>
      </c>
      <c r="E1410" s="19" t="n">
        <f aca="false">seg_osemi*(0.75*E1401+0.25*F1401)/(0.75*C1401+0.25*D1401)</f>
        <v>6.0797299618455</v>
      </c>
      <c r="F1410" s="19" t="n">
        <f aca="false">seg_osemi*(0.75*F1401+0.25*G1401)/(0.75*C1401+0.25*D1401)</f>
        <v>6.74147189236335</v>
      </c>
      <c r="G1410" s="19" t="n">
        <f aca="false">seg_osemi*(0.75*G1401+0.25*H1401)/(0.75*C1401+0.25*D1401)</f>
        <v>7.12563922344852</v>
      </c>
      <c r="J1410" s="5" t="s">
        <v>667</v>
      </c>
    </row>
    <row r="1411" customFormat="false" ht="17.15" hidden="false" customHeight="false" outlineLevel="0" collapsed="false">
      <c r="A1411" s="5" t="s">
        <v>668</v>
      </c>
      <c r="B1411" s="0" t="s">
        <v>34</v>
      </c>
      <c r="C1411" s="19" t="n">
        <f aca="false">seg_new</f>
        <v>9.47</v>
      </c>
      <c r="D1411" s="19" t="n">
        <f aca="false">C1411*(1+g_tss)</f>
        <v>9.7541</v>
      </c>
      <c r="E1411" s="19" t="n">
        <f aca="false">D1411*(1+g_tss)</f>
        <v>10.046723</v>
      </c>
      <c r="F1411" s="19" t="n">
        <f aca="false">E1411*(1+g_tss)</f>
        <v>10.34812469</v>
      </c>
      <c r="G1411" s="19" t="n">
        <f aca="false">F1411*(1+g_tss)</f>
        <v>10.6585684307</v>
      </c>
    </row>
    <row r="1412" customFormat="false" ht="15" hidden="false" customHeight="false" outlineLevel="0" collapsed="false">
      <c r="A1412" s="5" t="s">
        <v>669</v>
      </c>
      <c r="B1412" s="0" t="s">
        <v>34</v>
      </c>
      <c r="C1412" s="19" t="n">
        <f aca="false">seg_med</f>
        <v>2.48</v>
      </c>
      <c r="D1412" s="19" t="n">
        <f aca="false">C1412*(1+g_med)</f>
        <v>2.5544</v>
      </c>
      <c r="E1412" s="19" t="n">
        <f aca="false">D1412*(1+g_med)</f>
        <v>2.631032</v>
      </c>
      <c r="F1412" s="19" t="n">
        <f aca="false">E1412*(1+g_med)</f>
        <v>2.70996296</v>
      </c>
      <c r="G1412" s="19" t="n">
        <f aca="false">F1412*(1+g_med)</f>
        <v>2.7912618488</v>
      </c>
    </row>
    <row r="1413" customFormat="false" ht="15" hidden="false" customHeight="false" outlineLevel="0" collapsed="false">
      <c r="A1413" s="5" t="s">
        <v>670</v>
      </c>
      <c r="B1413" s="0" t="s">
        <v>34</v>
      </c>
      <c r="C1413" s="19" t="n">
        <f aca="false">seg_las*(0.75*C1401+0.25*D1401)/(0.75*C1401+0.25*D1401)</f>
        <v>2</v>
      </c>
      <c r="D1413" s="19" t="n">
        <f aca="false">seg_las*(0.75*D1401+0.25*E1401)/(0.75*C1401+0.25*D1401)</f>
        <v>2.5855863945336</v>
      </c>
      <c r="E1413" s="19" t="n">
        <f aca="false">seg_las*(0.75*E1401+0.25*F1401)/(0.75*C1401+0.25*D1401)</f>
        <v>3.0940101587</v>
      </c>
      <c r="F1413" s="19" t="n">
        <f aca="false">seg_las*(0.75*F1401+0.25*G1401)/(0.75*C1401+0.25*D1401)</f>
        <v>3.43077449993046</v>
      </c>
      <c r="G1413" s="19" t="n">
        <f aca="false">seg_las*(0.75*G1401+0.25*H1401)/(0.75*C1401+0.25*D1401)</f>
        <v>3.62627950302724</v>
      </c>
      <c r="J1413" s="5" t="s">
        <v>667</v>
      </c>
    </row>
    <row r="1414" customFormat="false" ht="15" hidden="false" customHeight="false" outlineLevel="0" collapsed="false">
      <c r="A1414" s="5" t="s">
        <v>671</v>
      </c>
      <c r="B1414" s="0" t="s">
        <v>34</v>
      </c>
      <c r="C1414" s="19" t="n">
        <f aca="false">C1407+C1408+C1409+C1410+C1411+C1412+C1413+seg_adj</f>
        <v>54.365</v>
      </c>
      <c r="D1414" s="19" t="n">
        <f aca="false">D1407+D1408+D1409+D1410+D1411+D1412+D1413</f>
        <v>62.8026585722905</v>
      </c>
      <c r="E1414" s="19" t="n">
        <f aca="false">E1407+E1408+E1409+E1410+E1411+E1412+E1413</f>
        <v>65.8899910122925</v>
      </c>
      <c r="F1414" s="19" t="n">
        <f aca="false">F1407+F1408+F1409+F1410+F1411+F1412+F1413</f>
        <v>70.8213110820282</v>
      </c>
      <c r="G1414" s="19" t="n">
        <f aca="false">G1407+G1408+G1409+G1410+G1411+G1412+G1413</f>
        <v>73.7573645166327</v>
      </c>
    </row>
    <row r="1415" customFormat="false" ht="17.15" hidden="false" customHeight="false" outlineLevel="0" collapsed="false">
      <c r="A1415" s="1" t="s">
        <v>672</v>
      </c>
    </row>
    <row r="1416" customFormat="false" ht="17.15" hidden="false" customHeight="false" outlineLevel="0" collapsed="false">
      <c r="A1416" s="0" t="s">
        <v>673</v>
      </c>
      <c r="B1416" s="0" t="s">
        <v>34</v>
      </c>
      <c r="D1416" s="19" t="n">
        <f aca="false">g26_rev*(1+g_anc)</f>
        <v>64</v>
      </c>
    </row>
    <row r="1417" customFormat="false" ht="17.15" hidden="false" customHeight="false" outlineLevel="0" collapsed="false">
      <c r="A1417" s="0" t="s">
        <v>674</v>
      </c>
      <c r="B1417" s="0" t="s">
        <v>34</v>
      </c>
      <c r="D1417" s="19" t="n">
        <f aca="false">D1416*g26_oi/g26_rev</f>
        <v>10.24</v>
      </c>
    </row>
    <row r="1418" customFormat="false" ht="17.15" hidden="false" customHeight="false" outlineLevel="0" collapsed="false">
      <c r="A1418" s="0" t="s">
        <v>675</v>
      </c>
      <c r="B1418" s="0" t="s">
        <v>34</v>
      </c>
      <c r="D1418" s="19" t="n">
        <f aca="false">D1417*g26_ni/g26_oi</f>
        <v>7</v>
      </c>
    </row>
    <row r="1419" customFormat="false" ht="17.15" hidden="false" customHeight="false" outlineLevel="0" collapsed="false">
      <c r="A1419" s="5" t="s">
        <v>676</v>
      </c>
      <c r="B1419" s="0" t="s">
        <v>198</v>
      </c>
      <c r="D1419" s="20" t="n">
        <f aca="false">D1416/D1414</f>
        <v>1.01906513919839</v>
      </c>
      <c r="J1419" s="8" t="s">
        <v>677</v>
      </c>
    </row>
    <row r="1420" customFormat="false" ht="17.15" hidden="false" customHeight="false" outlineLevel="0" collapsed="false">
      <c r="A1420" s="5" t="s">
        <v>678</v>
      </c>
      <c r="B1420" s="0" t="s">
        <v>198</v>
      </c>
      <c r="D1420" s="20" t="n">
        <f aca="false">1+1*(D1419-1)</f>
        <v>1.01906513919839</v>
      </c>
      <c r="J1420" s="8" t="s">
        <v>679</v>
      </c>
    </row>
    <row r="1421" customFormat="false" ht="17.15" hidden="false" customHeight="false" outlineLevel="0" collapsed="false">
      <c r="A1421" s="1" t="s">
        <v>680</v>
      </c>
    </row>
    <row r="1422" customFormat="false" ht="17.15" hidden="false" customHeight="false" outlineLevel="0" collapsed="false">
      <c r="A1422" s="0" t="s">
        <v>681</v>
      </c>
      <c r="B1422" s="0" t="s">
        <v>34</v>
      </c>
      <c r="C1422" s="19" t="n">
        <f aca="false">C1407*1</f>
        <v>5</v>
      </c>
      <c r="D1422" s="19" t="n">
        <f aca="false">D1407*$D$1419</f>
        <v>5.96639872674023</v>
      </c>
      <c r="E1422" s="19" t="n">
        <f aca="false">E1407*1</f>
        <v>5.42484277351964</v>
      </c>
      <c r="F1422" s="19" t="n">
        <f aca="false">F1407*1</f>
        <v>5.59938454589345</v>
      </c>
      <c r="G1422" s="19" t="n">
        <f aca="false">G1407*1</f>
        <v>5.07862914343112</v>
      </c>
    </row>
    <row r="1423" customFormat="false" ht="17.15" hidden="false" customHeight="false" outlineLevel="0" collapsed="false">
      <c r="A1423" s="0" t="s">
        <v>682</v>
      </c>
      <c r="B1423" s="0" t="s">
        <v>34</v>
      </c>
      <c r="C1423" s="19" t="n">
        <f aca="false">C1408*1</f>
        <v>5</v>
      </c>
      <c r="D1423" s="19" t="n">
        <f aca="false">D1408*$D$1419</f>
        <v>7.85834557153861</v>
      </c>
      <c r="E1423" s="19" t="n">
        <f aca="false">E1408*1</f>
        <v>5.46142533008358</v>
      </c>
      <c r="F1423" s="19" t="n">
        <f aca="false">F1408*1</f>
        <v>4.91291310951257</v>
      </c>
      <c r="G1423" s="19" t="n">
        <f aca="false">G1408*1</f>
        <v>4.72646096843851</v>
      </c>
    </row>
    <row r="1424" customFormat="false" ht="17.15" hidden="false" customHeight="false" outlineLevel="0" collapsed="false">
      <c r="A1424" s="5" t="s">
        <v>683</v>
      </c>
      <c r="B1424" s="0" t="s">
        <v>34</v>
      </c>
      <c r="C1424" s="19" t="n">
        <f aca="false">C1409*1</f>
        <v>26.46</v>
      </c>
      <c r="D1424" s="19" t="n">
        <f aca="false">D1409*$D$1419</f>
        <v>29.8196703923002</v>
      </c>
      <c r="E1424" s="19" t="n">
        <f aca="false">E1409*$D$1420</f>
        <v>33.7842796256614</v>
      </c>
      <c r="F1424" s="19" t="n">
        <f aca="false">F1409*$D$1420</f>
        <v>37.7855895680829</v>
      </c>
      <c r="G1424" s="19" t="n">
        <f aca="false">G1409*$D$1420</f>
        <v>40.5083746987242</v>
      </c>
    </row>
    <row r="1425" customFormat="false" ht="15" hidden="false" customHeight="false" outlineLevel="0" collapsed="false">
      <c r="A1425" s="5" t="s">
        <v>684</v>
      </c>
      <c r="B1425" s="0" t="s">
        <v>34</v>
      </c>
      <c r="C1425" s="19" t="n">
        <f aca="false">C1410*1</f>
        <v>3.93</v>
      </c>
      <c r="D1425" s="19" t="n">
        <f aca="false">D1410*$D$1419</f>
        <v>5.17754108454275</v>
      </c>
      <c r="E1425" s="19" t="n">
        <f aca="false">E1410*$D$1420</f>
        <v>6.19564085985668</v>
      </c>
      <c r="F1425" s="19" t="n">
        <f aca="false">F1410*$D$1420</f>
        <v>6.86999899239327</v>
      </c>
      <c r="G1425" s="19" t="n">
        <f aca="false">G1410*$D$1420</f>
        <v>7.26149052712105</v>
      </c>
    </row>
    <row r="1426" customFormat="false" ht="17.15" hidden="false" customHeight="false" outlineLevel="0" collapsed="false">
      <c r="A1426" s="5" t="s">
        <v>685</v>
      </c>
      <c r="B1426" s="0" t="s">
        <v>34</v>
      </c>
      <c r="C1426" s="19" t="n">
        <f aca="false">C1411*1</f>
        <v>9.47</v>
      </c>
      <c r="D1426" s="19" t="n">
        <f aca="false">D1411*$D$1419</f>
        <v>9.94006327425498</v>
      </c>
      <c r="E1426" s="19" t="n">
        <f aca="false">E1411*$D$1420</f>
        <v>10.2382651724826</v>
      </c>
      <c r="F1426" s="19" t="n">
        <f aca="false">F1411*$D$1420</f>
        <v>10.5454131276571</v>
      </c>
      <c r="G1426" s="19" t="n">
        <f aca="false">G1411*$D$1420</f>
        <v>10.8617755214868</v>
      </c>
    </row>
    <row r="1427" customFormat="false" ht="15" hidden="false" customHeight="false" outlineLevel="0" collapsed="false">
      <c r="A1427" s="5" t="s">
        <v>686</v>
      </c>
      <c r="B1427" s="0" t="s">
        <v>34</v>
      </c>
      <c r="C1427" s="19" t="n">
        <f aca="false">C1412*1</f>
        <v>2.48</v>
      </c>
      <c r="D1427" s="19" t="n">
        <f aca="false">D1412*$D$1419</f>
        <v>2.60309999156836</v>
      </c>
      <c r="E1427" s="19" t="n">
        <f aca="false">E1412*$D$1420</f>
        <v>2.68119299131541</v>
      </c>
      <c r="F1427" s="19" t="n">
        <f aca="false">F1412*$D$1420</f>
        <v>2.76162878105487</v>
      </c>
      <c r="G1427" s="19" t="n">
        <f aca="false">G1412*$D$1420</f>
        <v>2.84447764448652</v>
      </c>
    </row>
    <row r="1428" customFormat="false" ht="15" hidden="false" customHeight="false" outlineLevel="0" collapsed="false">
      <c r="A1428" s="5" t="s">
        <v>687</v>
      </c>
      <c r="B1428" s="0" t="s">
        <v>34</v>
      </c>
      <c r="C1428" s="19" t="n">
        <f aca="false">C1413*1</f>
        <v>2</v>
      </c>
      <c r="D1428" s="19" t="n">
        <f aca="false">D1413*$D$1419</f>
        <v>2.63488095905483</v>
      </c>
      <c r="E1428" s="19" t="n">
        <f aca="false">E1413*$D$1420</f>
        <v>3.15299789305684</v>
      </c>
      <c r="F1428" s="19" t="n">
        <f aca="false">F1413*$D$1420</f>
        <v>3.49618269332991</v>
      </c>
      <c r="G1428" s="19" t="n">
        <f aca="false">G1413*$D$1420</f>
        <v>3.6954150265247</v>
      </c>
    </row>
    <row r="1429" customFormat="false" ht="17.15" hidden="false" customHeight="false" outlineLevel="0" collapsed="false">
      <c r="A1429" s="0" t="s">
        <v>688</v>
      </c>
      <c r="B1429" s="0" t="s">
        <v>34</v>
      </c>
      <c r="C1429" s="19" t="n">
        <f aca="false">C1422+C1423</f>
        <v>10</v>
      </c>
      <c r="D1429" s="19" t="n">
        <f aca="false">D1422+D1423</f>
        <v>13.8247442982788</v>
      </c>
      <c r="E1429" s="19" t="n">
        <f aca="false">E1422+E1423</f>
        <v>10.8862681036032</v>
      </c>
      <c r="F1429" s="19" t="n">
        <f aca="false">F1422+F1423</f>
        <v>10.512297655406</v>
      </c>
      <c r="G1429" s="19" t="n">
        <f aca="false">G1422+G1423</f>
        <v>9.80509011186963</v>
      </c>
    </row>
    <row r="1430" customFormat="false" ht="17.15" hidden="false" customHeight="false" outlineLevel="0" collapsed="false">
      <c r="A1430" s="5" t="s">
        <v>689</v>
      </c>
      <c r="B1430" s="0" t="s">
        <v>34</v>
      </c>
      <c r="C1430" s="19" t="n">
        <f aca="false">C1429+C1424+C1425</f>
        <v>40.39</v>
      </c>
      <c r="D1430" s="19" t="n">
        <f aca="false">D1429+D1424+D1425</f>
        <v>48.8219557751218</v>
      </c>
      <c r="E1430" s="19" t="n">
        <f aca="false">E1429+E1424+E1425</f>
        <v>50.8661885891213</v>
      </c>
      <c r="F1430" s="19" t="n">
        <f aca="false">F1429+F1424+F1425</f>
        <v>55.1678862158822</v>
      </c>
      <c r="G1430" s="19" t="n">
        <f aca="false">G1429+G1424+G1425</f>
        <v>57.5749553377149</v>
      </c>
      <c r="J1430" s="5" t="s">
        <v>690</v>
      </c>
    </row>
    <row r="1431" customFormat="false" ht="17.15" hidden="false" customHeight="false" outlineLevel="0" collapsed="false">
      <c r="A1431" s="5" t="s">
        <v>541</v>
      </c>
      <c r="B1431" s="0" t="s">
        <v>34</v>
      </c>
      <c r="C1431" s="19" t="n">
        <f aca="false">C1430+C1426+C1427+C1428+seg_adj</f>
        <v>54.365</v>
      </c>
      <c r="D1431" s="19" t="n">
        <f aca="false">D1430+D1426+D1427+D1428</f>
        <v>64</v>
      </c>
      <c r="E1431" s="19" t="n">
        <f aca="false">E1430+E1426+E1427+E1428</f>
        <v>66.9386446459761</v>
      </c>
      <c r="F1431" s="19" t="n">
        <f aca="false">F1430+F1426+F1427+F1428</f>
        <v>71.9711108179241</v>
      </c>
      <c r="G1431" s="19" t="n">
        <f aca="false">G1430+G1426+G1427+G1428</f>
        <v>74.9766235302129</v>
      </c>
      <c r="J1431" s="8" t="s">
        <v>691</v>
      </c>
    </row>
    <row r="1432" customFormat="false" ht="17.15" hidden="false" customHeight="false" outlineLevel="0" collapsed="false">
      <c r="A1432" s="5" t="s">
        <v>692</v>
      </c>
      <c r="B1432" s="0" t="s">
        <v>34</v>
      </c>
      <c r="C1432" s="20" t="n">
        <f aca="false">C1430+C1426+C1427+C1428-a25_rev</f>
        <v>-0.0249999999999986</v>
      </c>
    </row>
    <row r="1433" customFormat="false" ht="17.15" hidden="false" customHeight="false" outlineLevel="0" collapsed="false">
      <c r="A1433" s="0" t="s">
        <v>621</v>
      </c>
      <c r="B1433" s="0" t="s">
        <v>94</v>
      </c>
      <c r="C1433" s="11" t="n">
        <f aca="false">C1429/C1431</f>
        <v>0.1839418743677</v>
      </c>
      <c r="D1433" s="11" t="n">
        <f aca="false">D1429/D1431</f>
        <v>0.216011629660607</v>
      </c>
      <c r="E1433" s="11" t="n">
        <f aca="false">E1429/E1431</f>
        <v>0.162630542658554</v>
      </c>
      <c r="F1433" s="11" t="n">
        <f aca="false">F1429/F1431</f>
        <v>0.146062740118053</v>
      </c>
      <c r="G1433" s="11" t="n">
        <f aca="false">G1429/G1431</f>
        <v>0.130775295688242</v>
      </c>
    </row>
    <row r="1434" customFormat="false" ht="17.15" hidden="false" customHeight="false" outlineLevel="0" collapsed="false">
      <c r="A1434" s="5" t="s">
        <v>545</v>
      </c>
      <c r="B1434" s="0" t="s">
        <v>34</v>
      </c>
      <c r="C1434" s="19" t="n">
        <f aca="false">a25_oi</f>
        <v>6.917</v>
      </c>
      <c r="D1434" s="19" t="n">
        <f aca="false">D1417</f>
        <v>10.24</v>
      </c>
      <c r="E1434" s="19" t="n">
        <f aca="false">$D1434+(im+ima_A)*(E1431-$D1431)</f>
        <v>11.1201861525469</v>
      </c>
      <c r="F1434" s="19" t="n">
        <f aca="false">$D1434+(im+ima_A)*(F1431-$D1431)</f>
        <v>12.6275160856761</v>
      </c>
      <c r="G1434" s="19" t="n">
        <f aca="false">$D1434+(im+ima_A)*(G1431-$D1431)</f>
        <v>13.5277306367219</v>
      </c>
      <c r="J1434" s="8" t="s">
        <v>693</v>
      </c>
    </row>
    <row r="1435" customFormat="false" ht="15" hidden="false" customHeight="false" outlineLevel="0" collapsed="false">
      <c r="A1435" s="5" t="s">
        <v>694</v>
      </c>
      <c r="B1435" s="0" t="s">
        <v>94</v>
      </c>
      <c r="C1435" s="11" t="n">
        <f aca="false">C1434/C1431</f>
        <v>0.127232594500138</v>
      </c>
      <c r="D1435" s="11" t="n">
        <f aca="false">D1434/D1431</f>
        <v>0.16</v>
      </c>
      <c r="E1435" s="11" t="n">
        <f aca="false">E1434/E1431</f>
        <v>0.166125056928762</v>
      </c>
      <c r="F1435" s="11" t="n">
        <f aca="false">F1434/F1431</f>
        <v>0.175452566205651</v>
      </c>
      <c r="G1435" s="11" t="n">
        <f aca="false">G1434/G1431</f>
        <v>0.180425978121977</v>
      </c>
    </row>
    <row r="1436" customFormat="false" ht="15" hidden="false" customHeight="false" outlineLevel="0" collapsed="false">
      <c r="A1436" s="5" t="s">
        <v>548</v>
      </c>
      <c r="B1436" s="0" t="s">
        <v>34</v>
      </c>
      <c r="C1436" s="19" t="n">
        <f aca="false">a25_ni</f>
        <v>4.593</v>
      </c>
      <c r="D1436" s="19" t="n">
        <f aca="false">D1418</f>
        <v>7</v>
      </c>
      <c r="E1436" s="19" t="n">
        <f aca="false">E1434*nioi_lo</f>
        <v>7.22812099915552</v>
      </c>
      <c r="F1436" s="19" t="n">
        <f aca="false">F1434*nioi_lo</f>
        <v>8.20788545568946</v>
      </c>
      <c r="G1436" s="19" t="n">
        <f aca="false">G1434*nioi_lo</f>
        <v>8.79302491386921</v>
      </c>
    </row>
    <row r="1437" customFormat="false" ht="15" hidden="false" customHeight="false" outlineLevel="0" collapsed="false">
      <c r="A1437" s="0" t="s">
        <v>622</v>
      </c>
      <c r="B1437" s="0" t="s">
        <v>52</v>
      </c>
      <c r="C1437" s="22" t="n">
        <f aca="false">a25_eps</f>
        <v>61.22</v>
      </c>
      <c r="D1437" s="22" t="n">
        <f aca="false">D1436*1000/shares</f>
        <v>93.2961492201002</v>
      </c>
      <c r="E1437" s="22" t="n">
        <f aca="false">E1436*1000/shares</f>
        <v>96.3365507597361</v>
      </c>
      <c r="F1437" s="22" t="n">
        <f aca="false">F1436*1000/shares</f>
        <v>109.394872322213</v>
      </c>
      <c r="G1437" s="22" t="n">
        <f aca="false">G1436*1000/shares</f>
        <v>117.193623494343</v>
      </c>
    </row>
    <row r="1438" customFormat="false" ht="17.15" hidden="false" customHeight="false" outlineLevel="0" collapsed="false">
      <c r="A1438" s="5" t="s">
        <v>695</v>
      </c>
      <c r="B1438" s="0" t="s">
        <v>34</v>
      </c>
      <c r="C1438" s="20" t="n">
        <f aca="false">ABS(C1431-a25_rev)+ABS(C1434-a25_oi)+ABS(D1431-D1416)</f>
        <v>0</v>
      </c>
    </row>
    <row r="1450" customFormat="false" ht="17.15" hidden="false" customHeight="false" outlineLevel="0" collapsed="false">
      <c r="A1450" s="3" t="s">
        <v>1039</v>
      </c>
    </row>
    <row r="1451" customFormat="false" ht="17.15" hidden="false" customHeight="false" outlineLevel="0" collapsed="false">
      <c r="A1451" s="6" t="s">
        <v>23</v>
      </c>
      <c r="B1451" s="6" t="s">
        <v>24</v>
      </c>
      <c r="C1451" s="15" t="s">
        <v>628</v>
      </c>
      <c r="D1451" s="15" t="s">
        <v>629</v>
      </c>
      <c r="E1451" s="15" t="s">
        <v>630</v>
      </c>
      <c r="F1451" s="15" t="s">
        <v>631</v>
      </c>
      <c r="G1451" s="15" t="s">
        <v>632</v>
      </c>
      <c r="H1451" s="15" t="s">
        <v>633</v>
      </c>
      <c r="I1451" s="15" t="s">
        <v>634</v>
      </c>
      <c r="J1451" s="6" t="s">
        <v>468</v>
      </c>
    </row>
    <row r="1452" customFormat="false" ht="17.15" hidden="false" customHeight="false" outlineLevel="0" collapsed="false">
      <c r="A1452" s="1" t="s">
        <v>635</v>
      </c>
    </row>
    <row r="1453" customFormat="false" ht="17.15" hidden="false" customHeight="false" outlineLevel="0" collapsed="false">
      <c r="A1453" s="0" t="s">
        <v>636</v>
      </c>
      <c r="B1453" s="0" t="s">
        <v>111</v>
      </c>
      <c r="C1453" s="21" t="n">
        <f aca="false">hsA_25</f>
        <v>2.22511470588235</v>
      </c>
      <c r="D1453" s="21" t="n">
        <f aca="false">hsA_26</f>
        <v>3.782695</v>
      </c>
      <c r="E1453" s="21" t="n">
        <f aca="false">hsA_27</f>
        <v>5.86317725</v>
      </c>
      <c r="F1453" s="21" t="n">
        <f aca="false">hsA_28</f>
        <v>8.5016070125</v>
      </c>
      <c r="G1453" s="21" t="n">
        <f aca="false">hsA_29</f>
        <v>11.477169466875</v>
      </c>
      <c r="J1453" s="8" t="s">
        <v>637</v>
      </c>
    </row>
    <row r="1454" customFormat="false" ht="17.15" hidden="false" customHeight="false" outlineLevel="0" collapsed="false">
      <c r="A1454" s="0" t="s">
        <v>638</v>
      </c>
      <c r="B1454" s="0" t="s">
        <v>639</v>
      </c>
      <c r="C1454" s="21" t="n">
        <f aca="false">den_25</f>
        <v>24</v>
      </c>
      <c r="D1454" s="21" t="n">
        <f aca="false">den_26</f>
        <v>24</v>
      </c>
      <c r="E1454" s="21" t="n">
        <f aca="false">den_27</f>
        <v>26</v>
      </c>
      <c r="F1454" s="21" t="n">
        <f aca="false">den_28</f>
        <v>28</v>
      </c>
      <c r="G1454" s="21" t="n">
        <f aca="false">den_29</f>
        <v>30</v>
      </c>
    </row>
    <row r="1455" customFormat="false" ht="15" hidden="false" customHeight="false" outlineLevel="0" collapsed="false">
      <c r="A1455" s="5" t="s">
        <v>640</v>
      </c>
      <c r="B1455" s="5" t="s">
        <v>160</v>
      </c>
      <c r="C1455" s="21" t="n">
        <f aca="false">stk_25</f>
        <v>10</v>
      </c>
      <c r="D1455" s="21" t="n">
        <f aca="false">stk_26</f>
        <v>12</v>
      </c>
      <c r="E1455" s="21" t="n">
        <f aca="false">stk_27</f>
        <v>12.5</v>
      </c>
      <c r="F1455" s="21" t="n">
        <f aca="false">stk_28</f>
        <v>14</v>
      </c>
      <c r="G1455" s="21" t="n">
        <f aca="false">stk_29</f>
        <v>15</v>
      </c>
    </row>
    <row r="1456" customFormat="false" ht="17.15" hidden="false" customHeight="false" outlineLevel="0" collapsed="false">
      <c r="A1456" s="0" t="s">
        <v>641</v>
      </c>
      <c r="B1456" s="5" t="s">
        <v>642</v>
      </c>
      <c r="C1456" s="23" t="n">
        <f aca="false">C1453*8/(C1454*C1455)</f>
        <v>0.0741704901960783</v>
      </c>
      <c r="D1456" s="23" t="n">
        <f aca="false">D1453*8/(D1454*D1455)</f>
        <v>0.105074861111111</v>
      </c>
      <c r="E1456" s="23" t="n">
        <f aca="false">E1453*8/(E1454*E1455)</f>
        <v>0.144324363076923</v>
      </c>
      <c r="F1456" s="23" t="n">
        <f aca="false">F1453*8/(F1454*F1455)</f>
        <v>0.173502183928571</v>
      </c>
      <c r="G1456" s="23" t="n">
        <f aca="false">G1453*8/(G1454*G1455)</f>
        <v>0.2040385683</v>
      </c>
      <c r="H1456" s="23" t="n">
        <f aca="false">G1456*(1+g_tail)</f>
        <v>0.22444242513</v>
      </c>
      <c r="I1456" s="23" t="n">
        <f aca="false">H1456*(1+g_tail)</f>
        <v>0.246886667643</v>
      </c>
      <c r="J1456" s="8" t="s">
        <v>643</v>
      </c>
    </row>
    <row r="1457" customFormat="false" ht="17.15" hidden="false" customHeight="false" outlineLevel="0" collapsed="false">
      <c r="A1457" s="0" t="s">
        <v>644</v>
      </c>
      <c r="B1457" s="5" t="s">
        <v>642</v>
      </c>
      <c r="C1457" s="23" t="n">
        <f aca="false">MAX(0,D1456-C1456)+dlt*C1456</f>
        <v>0.0383214199346406</v>
      </c>
      <c r="D1457" s="23" t="n">
        <f aca="false">MAX(0,E1456-D1456)+dlt*D1456</f>
        <v>0.0497569880769231</v>
      </c>
      <c r="E1457" s="23" t="n">
        <f aca="false">MAX(0,F1456-E1456)+dlt*E1456</f>
        <v>0.0436102571593407</v>
      </c>
      <c r="F1457" s="23" t="n">
        <f aca="false">MAX(0,G1456-F1456)+dlt*F1456</f>
        <v>0.0478866027642858</v>
      </c>
      <c r="G1457" s="23" t="n">
        <f aca="false">MAX(0,H1456-G1456)+dlt*G1456</f>
        <v>0.04080771366</v>
      </c>
      <c r="H1457" s="23" t="n">
        <f aca="false">MAX(0,I1456-H1456)+dlt*H1456</f>
        <v>0.044888485026</v>
      </c>
      <c r="J1457" s="5" t="s">
        <v>645</v>
      </c>
    </row>
    <row r="1458" customFormat="false" ht="17.15" hidden="false" customHeight="false" outlineLevel="0" collapsed="false">
      <c r="A1458" s="0" t="s">
        <v>646</v>
      </c>
      <c r="B1458" s="5" t="s">
        <v>183</v>
      </c>
      <c r="C1458" s="14" t="n">
        <f aca="false">cw_25</f>
        <v>670</v>
      </c>
      <c r="D1458" s="14" t="n">
        <f aca="false">cw_26</f>
        <v>1107.85762580894</v>
      </c>
      <c r="E1458" s="14" t="n">
        <f aca="false">cw_27</f>
        <v>2096.42857142857</v>
      </c>
      <c r="F1458" s="14" t="n">
        <f aca="false">cw_28*um28_A</f>
        <v>2620.08928571429</v>
      </c>
      <c r="G1458" s="14" t="n">
        <f aca="false">cw_29*um29_A</f>
        <v>3013.32589285714</v>
      </c>
      <c r="H1458" s="14" t="n">
        <f aca="false">G1458*(1+g_tail)</f>
        <v>3314.65848214285</v>
      </c>
      <c r="I1458" s="14" t="n">
        <f aca="false">H1458*(1+g_tail)</f>
        <v>3646.12433035714</v>
      </c>
      <c r="J1458" s="5" t="s">
        <v>647</v>
      </c>
    </row>
    <row r="1459" customFormat="false" ht="17.15" hidden="false" customHeight="false" outlineLevel="0" collapsed="false">
      <c r="A1459" s="0" t="s">
        <v>648</v>
      </c>
      <c r="B1459" s="5" t="s">
        <v>183</v>
      </c>
      <c r="C1459" s="14" t="n">
        <f aca="false">MAX(0,D1458-C1458)+dlt*C1458</f>
        <v>504.85762580894</v>
      </c>
      <c r="D1459" s="14" t="n">
        <f aca="false">MAX(0,E1458-D1458)+dlt*D1458</f>
        <v>1099.35670820052</v>
      </c>
      <c r="E1459" s="14" t="n">
        <f aca="false">MAX(0,F1458-E1458)+dlt*E1458</f>
        <v>733.303571428577</v>
      </c>
      <c r="F1459" s="14" t="n">
        <f aca="false">MAX(0,G1458-F1458)+dlt*F1458</f>
        <v>655.245535714279</v>
      </c>
      <c r="G1459" s="14" t="n">
        <f aca="false">MAX(0,H1458-G1458)+dlt*G1458</f>
        <v>602.665178571428</v>
      </c>
      <c r="H1459" s="14" t="n">
        <f aca="false">MAX(0,I1458-H1458)+dlt*H1458</f>
        <v>662.931696428571</v>
      </c>
    </row>
    <row r="1460" customFormat="false" ht="17.15" hidden="false" customHeight="false" outlineLevel="0" collapsed="false">
      <c r="A1460" s="5" t="s">
        <v>649</v>
      </c>
      <c r="B1460" s="0" t="s">
        <v>219</v>
      </c>
      <c r="C1460" s="21" t="n">
        <f aca="false">pk_25*(eqtA_25-eqaA_25)/(eqtA_25-eqaA_25)</f>
        <v>6.11313868613139</v>
      </c>
      <c r="D1460" s="21" t="n">
        <f aca="false">pk_26*(eqtA_26-eqaA_26)/(eqtA_26-eqaA_26)</f>
        <v>6.7</v>
      </c>
      <c r="E1460" s="21" t="n">
        <f aca="false">pk_27*(eqtA_27-eqaA_27)/(eqtA_27-eqaA_27)</f>
        <v>7.59078388573934</v>
      </c>
      <c r="F1460" s="21" t="n">
        <f aca="false">pk_28*(eqtA_28-eqaA_28)/(eqtA_28-eqaA_28)</f>
        <v>8.6</v>
      </c>
      <c r="G1460" s="21" t="n">
        <f aca="false">pk_29*(eqtA_29-eqaA_29)/(eqtA_29-eqaA_29)</f>
        <v>9.288</v>
      </c>
      <c r="H1460" s="21" t="n">
        <f aca="false">G1460*(1+g_pk_tail)</f>
        <v>9.7524</v>
      </c>
      <c r="J1460" s="8" t="s">
        <v>650</v>
      </c>
    </row>
    <row r="1461" customFormat="false" ht="15" hidden="false" customHeight="false" outlineLevel="0" collapsed="false">
      <c r="A1461" s="5" t="s">
        <v>651</v>
      </c>
      <c r="B1461" s="0" t="s">
        <v>219</v>
      </c>
      <c r="C1461" s="24" t="n">
        <f aca="false">eqtA_25</f>
        <v>134.689359843138</v>
      </c>
      <c r="D1461" s="24" t="n">
        <f aca="false">eqtA_26</f>
        <v>178.157050570127</v>
      </c>
      <c r="E1461" s="24" t="n">
        <f aca="false">eqtA_27</f>
        <v>218.225535760082</v>
      </c>
      <c r="F1461" s="24" t="n">
        <f aca="false">eqtA_28</f>
        <v>246.028626308958</v>
      </c>
      <c r="G1461" s="24" t="n">
        <f aca="false">eqtA_29</f>
        <v>260.655685855226</v>
      </c>
      <c r="H1461" s="24" t="n">
        <f aca="false">G1461*(1+g_pk_tail)</f>
        <v>273.688470147987</v>
      </c>
      <c r="J1461" s="5" t="s">
        <v>652</v>
      </c>
    </row>
    <row r="1462" customFormat="false" ht="17.15" hidden="false" customHeight="false" outlineLevel="0" collapsed="false">
      <c r="A1462" s="1" t="s">
        <v>653</v>
      </c>
    </row>
    <row r="1463" customFormat="false" ht="17.15" hidden="false" customHeight="false" outlineLevel="0" collapsed="false">
      <c r="A1463" s="0" t="s">
        <v>654</v>
      </c>
      <c r="B1463" s="0" t="s">
        <v>655</v>
      </c>
      <c r="C1463" s="24" t="n">
        <f aca="false">ai_25*w_hbm/(0.75*C1457+0.25*D1457)</f>
        <v>121.417244328233</v>
      </c>
      <c r="J1463" s="5" t="s">
        <v>656</v>
      </c>
    </row>
    <row r="1464" customFormat="false" ht="17.15" hidden="false" customHeight="false" outlineLevel="0" collapsed="false">
      <c r="A1464" s="0" t="s">
        <v>657</v>
      </c>
      <c r="B1464" s="0" t="s">
        <v>658</v>
      </c>
      <c r="C1464" s="25" t="n">
        <f aca="false">ai_25*(1-w_hbm)/(0.75*C1459+0.25*D1459)</f>
        <v>0.0076513155174377</v>
      </c>
    </row>
    <row r="1465" customFormat="false" ht="17.15" hidden="false" customHeight="false" outlineLevel="0" collapsed="false">
      <c r="A1465" s="1" t="s">
        <v>659</v>
      </c>
    </row>
    <row r="1466" customFormat="false" ht="17.15" hidden="false" customHeight="false" outlineLevel="0" collapsed="false">
      <c r="A1466" s="0" t="s">
        <v>660</v>
      </c>
      <c r="B1466" s="0" t="s">
        <v>198</v>
      </c>
      <c r="C1466" s="20" t="n">
        <f aca="false">1-shl_A/sh*0</f>
        <v>1</v>
      </c>
      <c r="D1466" s="20" t="n">
        <f aca="false">1-shl_A/sh*0.25</f>
        <v>1</v>
      </c>
      <c r="E1466" s="20" t="n">
        <f aca="false">1-shl_A/sh*0.5</f>
        <v>1</v>
      </c>
      <c r="F1466" s="20" t="n">
        <f aca="false">1-shl_A/sh*0.75</f>
        <v>1</v>
      </c>
      <c r="G1466" s="20" t="n">
        <f aca="false">1-shl_A/sh*1</f>
        <v>1</v>
      </c>
      <c r="J1466" s="5" t="s">
        <v>661</v>
      </c>
    </row>
    <row r="1467" customFormat="false" ht="17.15" hidden="false" customHeight="false" outlineLevel="0" collapsed="false">
      <c r="A1467" s="0" t="s">
        <v>662</v>
      </c>
      <c r="B1467" s="0" t="s">
        <v>34</v>
      </c>
      <c r="C1467" s="19" t="n">
        <f aca="false">$C$1463*(0.75*C1457+0.25*D1457)*C1466</f>
        <v>5</v>
      </c>
      <c r="D1467" s="19" t="n">
        <f aca="false">$C$1463*(0.75*D1457+0.25*E1457)*D1466</f>
        <v>5.85477659596275</v>
      </c>
      <c r="E1467" s="19" t="n">
        <f aca="false">$C$1463*(0.75*E1457+0.25*F1457)*E1466</f>
        <v>5.42484277351964</v>
      </c>
      <c r="F1467" s="19" t="n">
        <f aca="false">$C$1463*(0.75*F1457+0.25*G1457)*F1466</f>
        <v>5.59938454589345</v>
      </c>
      <c r="G1467" s="19" t="n">
        <f aca="false">$C$1463*(0.75*G1457+0.25*H1457)*G1466</f>
        <v>5.07862914343112</v>
      </c>
    </row>
    <row r="1468" customFormat="false" ht="17.15" hidden="false" customHeight="false" outlineLevel="0" collapsed="false">
      <c r="A1468" s="0" t="s">
        <v>663</v>
      </c>
      <c r="B1468" s="0" t="s">
        <v>34</v>
      </c>
      <c r="C1468" s="19" t="n">
        <f aca="false">$C$1464*(0.75*C1459+0.25*D1459)*C1466</f>
        <v>5</v>
      </c>
      <c r="D1468" s="19" t="n">
        <f aca="false">$C$1464*(0.75*D1459+0.25*E1459)*D1466</f>
        <v>7.71132802925642</v>
      </c>
      <c r="E1468" s="19" t="n">
        <f aca="false">$C$1464*(0.75*E1459+0.25*F1459)*E1466</f>
        <v>5.46142533008358</v>
      </c>
      <c r="F1468" s="19" t="n">
        <f aca="false">$C$1464*(0.75*F1459+0.25*G1459)*F1466</f>
        <v>4.91291310951257</v>
      </c>
      <c r="G1468" s="19" t="n">
        <f aca="false">$C$1464*(0.75*G1459+0.25*H1459)*G1466</f>
        <v>4.72646096843851</v>
      </c>
    </row>
    <row r="1469" customFormat="false" ht="17.15" hidden="false" customHeight="false" outlineLevel="0" collapsed="false">
      <c r="A1469" s="5" t="s">
        <v>664</v>
      </c>
      <c r="B1469" s="0" t="s">
        <v>34</v>
      </c>
      <c r="C1469" s="19" t="n">
        <f aca="false">(seg_mold-ai_25)*(0.75*C1460+0.25*D1460)/(0.75*C1460+0.25*D1460)</f>
        <v>26.46</v>
      </c>
      <c r="D1469" s="19" t="n">
        <f aca="false">(seg_mold-ai_25)*(0.75*D1460+0.25*E1460)/(0.75*C1460+0.25*D1460)</f>
        <v>29.2617902872793</v>
      </c>
      <c r="E1469" s="19" t="n">
        <f aca="false">(seg_mold-ai_25)*(0.75*E1460+0.25*F1460)/(0.75*C1460+0.25*D1460)</f>
        <v>33.1522277881438</v>
      </c>
      <c r="F1469" s="19" t="n">
        <f aca="false">(seg_mold-ai_25)*(0.75*F1460+0.25*G1460)/(0.75*C1460+0.25*D1460)</f>
        <v>37.0786793843283</v>
      </c>
      <c r="G1469" s="19" t="n">
        <f aca="false">(seg_mold-ai_25)*(0.75*G1460+0.25*H1460)/(0.75*C1460+0.25*D1460)</f>
        <v>39.7505253987873</v>
      </c>
      <c r="J1469" s="8" t="s">
        <v>665</v>
      </c>
    </row>
    <row r="1470" customFormat="false" ht="15" hidden="false" customHeight="false" outlineLevel="0" collapsed="false">
      <c r="A1470" s="5" t="s">
        <v>666</v>
      </c>
      <c r="B1470" s="0" t="s">
        <v>34</v>
      </c>
      <c r="C1470" s="19" t="n">
        <f aca="false">seg_osemi*(0.75*C1461+0.25*D1461)/(0.75*C1461+0.25*D1461)</f>
        <v>3.93</v>
      </c>
      <c r="D1470" s="19" t="n">
        <f aca="false">seg_osemi*(0.75*D1461+0.25*E1461)/(0.75*C1461+0.25*D1461)</f>
        <v>5.08067726525852</v>
      </c>
      <c r="E1470" s="19" t="n">
        <f aca="false">seg_osemi*(0.75*E1461+0.25*F1461)/(0.75*C1461+0.25*D1461)</f>
        <v>6.0797299618455</v>
      </c>
      <c r="F1470" s="19" t="n">
        <f aca="false">seg_osemi*(0.75*F1461+0.25*G1461)/(0.75*C1461+0.25*D1461)</f>
        <v>6.74147189236335</v>
      </c>
      <c r="G1470" s="19" t="n">
        <f aca="false">seg_osemi*(0.75*G1461+0.25*H1461)/(0.75*C1461+0.25*D1461)</f>
        <v>7.12563922344852</v>
      </c>
      <c r="J1470" s="5" t="s">
        <v>667</v>
      </c>
    </row>
    <row r="1471" customFormat="false" ht="17.15" hidden="false" customHeight="false" outlineLevel="0" collapsed="false">
      <c r="A1471" s="5" t="s">
        <v>668</v>
      </c>
      <c r="B1471" s="0" t="s">
        <v>34</v>
      </c>
      <c r="C1471" s="19" t="n">
        <f aca="false">seg_new</f>
        <v>9.47</v>
      </c>
      <c r="D1471" s="19" t="n">
        <f aca="false">C1471*(1+g_tss)</f>
        <v>9.7541</v>
      </c>
      <c r="E1471" s="19" t="n">
        <f aca="false">D1471*(1+g_tss)</f>
        <v>10.046723</v>
      </c>
      <c r="F1471" s="19" t="n">
        <f aca="false">E1471*(1+g_tss)</f>
        <v>10.34812469</v>
      </c>
      <c r="G1471" s="19" t="n">
        <f aca="false">F1471*(1+g_tss)</f>
        <v>10.6585684307</v>
      </c>
    </row>
    <row r="1472" customFormat="false" ht="15" hidden="false" customHeight="false" outlineLevel="0" collapsed="false">
      <c r="A1472" s="5" t="s">
        <v>669</v>
      </c>
      <c r="B1472" s="0" t="s">
        <v>34</v>
      </c>
      <c r="C1472" s="19" t="n">
        <f aca="false">seg_med</f>
        <v>2.48</v>
      </c>
      <c r="D1472" s="19" t="n">
        <f aca="false">C1472*(1+g_med)</f>
        <v>2.5544</v>
      </c>
      <c r="E1472" s="19" t="n">
        <f aca="false">D1472*(1+g_med)</f>
        <v>2.631032</v>
      </c>
      <c r="F1472" s="19" t="n">
        <f aca="false">E1472*(1+g_med)</f>
        <v>2.70996296</v>
      </c>
      <c r="G1472" s="19" t="n">
        <f aca="false">F1472*(1+g_med)</f>
        <v>2.7912618488</v>
      </c>
    </row>
    <row r="1473" customFormat="false" ht="15" hidden="false" customHeight="false" outlineLevel="0" collapsed="false">
      <c r="A1473" s="5" t="s">
        <v>670</v>
      </c>
      <c r="B1473" s="0" t="s">
        <v>34</v>
      </c>
      <c r="C1473" s="19" t="n">
        <f aca="false">seg_las*(0.75*C1461+0.25*D1461)/(0.75*C1461+0.25*D1461)</f>
        <v>2</v>
      </c>
      <c r="D1473" s="19" t="n">
        <f aca="false">seg_las*(0.75*D1461+0.25*E1461)/(0.75*C1461+0.25*D1461)</f>
        <v>2.5855863945336</v>
      </c>
      <c r="E1473" s="19" t="n">
        <f aca="false">seg_las*(0.75*E1461+0.25*F1461)/(0.75*C1461+0.25*D1461)</f>
        <v>3.0940101587</v>
      </c>
      <c r="F1473" s="19" t="n">
        <f aca="false">seg_las*(0.75*F1461+0.25*G1461)/(0.75*C1461+0.25*D1461)</f>
        <v>3.43077449993046</v>
      </c>
      <c r="G1473" s="19" t="n">
        <f aca="false">seg_las*(0.75*G1461+0.25*H1461)/(0.75*C1461+0.25*D1461)</f>
        <v>3.62627950302724</v>
      </c>
      <c r="J1473" s="5" t="s">
        <v>667</v>
      </c>
    </row>
    <row r="1474" customFormat="false" ht="15" hidden="false" customHeight="false" outlineLevel="0" collapsed="false">
      <c r="A1474" s="5" t="s">
        <v>671</v>
      </c>
      <c r="B1474" s="0" t="s">
        <v>34</v>
      </c>
      <c r="C1474" s="19" t="n">
        <f aca="false">C1467+C1468+C1469+C1470+C1471+C1472+C1473+seg_adj</f>
        <v>54.365</v>
      </c>
      <c r="D1474" s="19" t="n">
        <f aca="false">D1467+D1468+D1469+D1470+D1471+D1472+D1473</f>
        <v>62.8026585722905</v>
      </c>
      <c r="E1474" s="19" t="n">
        <f aca="false">E1467+E1468+E1469+E1470+E1471+E1472+E1473</f>
        <v>65.8899910122925</v>
      </c>
      <c r="F1474" s="19" t="n">
        <f aca="false">F1467+F1468+F1469+F1470+F1471+F1472+F1473</f>
        <v>70.8213110820282</v>
      </c>
      <c r="G1474" s="19" t="n">
        <f aca="false">G1467+G1468+G1469+G1470+G1471+G1472+G1473</f>
        <v>73.7573645166327</v>
      </c>
    </row>
    <row r="1475" customFormat="false" ht="17.15" hidden="false" customHeight="false" outlineLevel="0" collapsed="false">
      <c r="A1475" s="1" t="s">
        <v>672</v>
      </c>
    </row>
    <row r="1476" customFormat="false" ht="17.15" hidden="false" customHeight="false" outlineLevel="0" collapsed="false">
      <c r="A1476" s="0" t="s">
        <v>673</v>
      </c>
      <c r="B1476" s="0" t="s">
        <v>34</v>
      </c>
      <c r="D1476" s="19" t="n">
        <f aca="false">g26_rev*(1+g_anc)</f>
        <v>64</v>
      </c>
    </row>
    <row r="1477" customFormat="false" ht="17.15" hidden="false" customHeight="false" outlineLevel="0" collapsed="false">
      <c r="A1477" s="0" t="s">
        <v>674</v>
      </c>
      <c r="B1477" s="0" t="s">
        <v>34</v>
      </c>
      <c r="D1477" s="19" t="n">
        <f aca="false">D1476*g26_oi/g26_rev</f>
        <v>10.24</v>
      </c>
    </row>
    <row r="1478" customFormat="false" ht="17.15" hidden="false" customHeight="false" outlineLevel="0" collapsed="false">
      <c r="A1478" s="0" t="s">
        <v>675</v>
      </c>
      <c r="B1478" s="0" t="s">
        <v>34</v>
      </c>
      <c r="D1478" s="19" t="n">
        <f aca="false">D1477*g26_ni/g26_oi</f>
        <v>7</v>
      </c>
    </row>
    <row r="1479" customFormat="false" ht="17.15" hidden="false" customHeight="false" outlineLevel="0" collapsed="false">
      <c r="A1479" s="5" t="s">
        <v>676</v>
      </c>
      <c r="B1479" s="0" t="s">
        <v>198</v>
      </c>
      <c r="D1479" s="20" t="n">
        <f aca="false">D1476/D1474</f>
        <v>1.01906513919839</v>
      </c>
      <c r="J1479" s="8" t="s">
        <v>677</v>
      </c>
    </row>
    <row r="1480" customFormat="false" ht="17.15" hidden="false" customHeight="false" outlineLevel="0" collapsed="false">
      <c r="A1480" s="5" t="s">
        <v>678</v>
      </c>
      <c r="B1480" s="0" t="s">
        <v>198</v>
      </c>
      <c r="D1480" s="20" t="n">
        <f aca="false">1+1*(D1479-1)</f>
        <v>1.01906513919839</v>
      </c>
      <c r="J1480" s="8" t="s">
        <v>679</v>
      </c>
    </row>
    <row r="1481" customFormat="false" ht="17.15" hidden="false" customHeight="false" outlineLevel="0" collapsed="false">
      <c r="A1481" s="1" t="s">
        <v>680</v>
      </c>
    </row>
    <row r="1482" customFormat="false" ht="17.15" hidden="false" customHeight="false" outlineLevel="0" collapsed="false">
      <c r="A1482" s="0" t="s">
        <v>681</v>
      </c>
      <c r="B1482" s="0" t="s">
        <v>34</v>
      </c>
      <c r="C1482" s="19" t="n">
        <f aca="false">C1467*1</f>
        <v>5</v>
      </c>
      <c r="D1482" s="19" t="n">
        <f aca="false">D1467*$D$1479</f>
        <v>5.96639872674023</v>
      </c>
      <c r="E1482" s="19" t="n">
        <f aca="false">E1467*1</f>
        <v>5.42484277351964</v>
      </c>
      <c r="F1482" s="19" t="n">
        <f aca="false">F1467*1</f>
        <v>5.59938454589345</v>
      </c>
      <c r="G1482" s="19" t="n">
        <f aca="false">G1467*1</f>
        <v>5.07862914343112</v>
      </c>
    </row>
    <row r="1483" customFormat="false" ht="17.15" hidden="false" customHeight="false" outlineLevel="0" collapsed="false">
      <c r="A1483" s="0" t="s">
        <v>682</v>
      </c>
      <c r="B1483" s="0" t="s">
        <v>34</v>
      </c>
      <c r="C1483" s="19" t="n">
        <f aca="false">C1468*1</f>
        <v>5</v>
      </c>
      <c r="D1483" s="19" t="n">
        <f aca="false">D1468*$D$1479</f>
        <v>7.85834557153861</v>
      </c>
      <c r="E1483" s="19" t="n">
        <f aca="false">E1468*1</f>
        <v>5.46142533008358</v>
      </c>
      <c r="F1483" s="19" t="n">
        <f aca="false">F1468*1</f>
        <v>4.91291310951257</v>
      </c>
      <c r="G1483" s="19" t="n">
        <f aca="false">G1468*1</f>
        <v>4.72646096843851</v>
      </c>
    </row>
    <row r="1484" customFormat="false" ht="17.15" hidden="false" customHeight="false" outlineLevel="0" collapsed="false">
      <c r="A1484" s="5" t="s">
        <v>683</v>
      </c>
      <c r="B1484" s="0" t="s">
        <v>34</v>
      </c>
      <c r="C1484" s="19" t="n">
        <f aca="false">C1469*1</f>
        <v>26.46</v>
      </c>
      <c r="D1484" s="19" t="n">
        <f aca="false">D1469*$D$1479</f>
        <v>29.8196703923002</v>
      </c>
      <c r="E1484" s="19" t="n">
        <f aca="false">E1469*$D$1480</f>
        <v>33.7842796256614</v>
      </c>
      <c r="F1484" s="19" t="n">
        <f aca="false">F1469*$D$1480</f>
        <v>37.7855895680829</v>
      </c>
      <c r="G1484" s="19" t="n">
        <f aca="false">G1469*$D$1480</f>
        <v>40.5083746987242</v>
      </c>
    </row>
    <row r="1485" customFormat="false" ht="15" hidden="false" customHeight="false" outlineLevel="0" collapsed="false">
      <c r="A1485" s="5" t="s">
        <v>684</v>
      </c>
      <c r="B1485" s="0" t="s">
        <v>34</v>
      </c>
      <c r="C1485" s="19" t="n">
        <f aca="false">C1470*1</f>
        <v>3.93</v>
      </c>
      <c r="D1485" s="19" t="n">
        <f aca="false">D1470*$D$1479</f>
        <v>5.17754108454275</v>
      </c>
      <c r="E1485" s="19" t="n">
        <f aca="false">E1470*$D$1480</f>
        <v>6.19564085985668</v>
      </c>
      <c r="F1485" s="19" t="n">
        <f aca="false">F1470*$D$1480</f>
        <v>6.86999899239327</v>
      </c>
      <c r="G1485" s="19" t="n">
        <f aca="false">G1470*$D$1480</f>
        <v>7.26149052712105</v>
      </c>
    </row>
    <row r="1486" customFormat="false" ht="17.15" hidden="false" customHeight="false" outlineLevel="0" collapsed="false">
      <c r="A1486" s="5" t="s">
        <v>685</v>
      </c>
      <c r="B1486" s="0" t="s">
        <v>34</v>
      </c>
      <c r="C1486" s="19" t="n">
        <f aca="false">C1471*1</f>
        <v>9.47</v>
      </c>
      <c r="D1486" s="19" t="n">
        <f aca="false">D1471*$D$1479</f>
        <v>9.94006327425498</v>
      </c>
      <c r="E1486" s="19" t="n">
        <f aca="false">E1471*$D$1480</f>
        <v>10.2382651724826</v>
      </c>
      <c r="F1486" s="19" t="n">
        <f aca="false">F1471*$D$1480</f>
        <v>10.5454131276571</v>
      </c>
      <c r="G1486" s="19" t="n">
        <f aca="false">G1471*$D$1480</f>
        <v>10.8617755214868</v>
      </c>
    </row>
    <row r="1487" customFormat="false" ht="15" hidden="false" customHeight="false" outlineLevel="0" collapsed="false">
      <c r="A1487" s="5" t="s">
        <v>686</v>
      </c>
      <c r="B1487" s="0" t="s">
        <v>34</v>
      </c>
      <c r="C1487" s="19" t="n">
        <f aca="false">C1472*1</f>
        <v>2.48</v>
      </c>
      <c r="D1487" s="19" t="n">
        <f aca="false">D1472*$D$1479</f>
        <v>2.60309999156836</v>
      </c>
      <c r="E1487" s="19" t="n">
        <f aca="false">E1472*$D$1480</f>
        <v>2.68119299131541</v>
      </c>
      <c r="F1487" s="19" t="n">
        <f aca="false">F1472*$D$1480</f>
        <v>2.76162878105487</v>
      </c>
      <c r="G1487" s="19" t="n">
        <f aca="false">G1472*$D$1480</f>
        <v>2.84447764448652</v>
      </c>
    </row>
    <row r="1488" customFormat="false" ht="15" hidden="false" customHeight="false" outlineLevel="0" collapsed="false">
      <c r="A1488" s="5" t="s">
        <v>687</v>
      </c>
      <c r="B1488" s="0" t="s">
        <v>34</v>
      </c>
      <c r="C1488" s="19" t="n">
        <f aca="false">C1473*1</f>
        <v>2</v>
      </c>
      <c r="D1488" s="19" t="n">
        <f aca="false">D1473*$D$1479</f>
        <v>2.63488095905483</v>
      </c>
      <c r="E1488" s="19" t="n">
        <f aca="false">E1473*$D$1480</f>
        <v>3.15299789305684</v>
      </c>
      <c r="F1488" s="19" t="n">
        <f aca="false">F1473*$D$1480</f>
        <v>3.49618269332991</v>
      </c>
      <c r="G1488" s="19" t="n">
        <f aca="false">G1473*$D$1480</f>
        <v>3.6954150265247</v>
      </c>
    </row>
    <row r="1489" customFormat="false" ht="17.15" hidden="false" customHeight="false" outlineLevel="0" collapsed="false">
      <c r="A1489" s="0" t="s">
        <v>688</v>
      </c>
      <c r="B1489" s="0" t="s">
        <v>34</v>
      </c>
      <c r="C1489" s="19" t="n">
        <f aca="false">C1482+C1483</f>
        <v>10</v>
      </c>
      <c r="D1489" s="19" t="n">
        <f aca="false">D1482+D1483</f>
        <v>13.8247442982788</v>
      </c>
      <c r="E1489" s="19" t="n">
        <f aca="false">E1482+E1483</f>
        <v>10.8862681036032</v>
      </c>
      <c r="F1489" s="19" t="n">
        <f aca="false">F1482+F1483</f>
        <v>10.512297655406</v>
      </c>
      <c r="G1489" s="19" t="n">
        <f aca="false">G1482+G1483</f>
        <v>9.80509011186963</v>
      </c>
    </row>
    <row r="1490" customFormat="false" ht="17.15" hidden="false" customHeight="false" outlineLevel="0" collapsed="false">
      <c r="A1490" s="5" t="s">
        <v>689</v>
      </c>
      <c r="B1490" s="0" t="s">
        <v>34</v>
      </c>
      <c r="C1490" s="19" t="n">
        <f aca="false">C1489+C1484+C1485</f>
        <v>40.39</v>
      </c>
      <c r="D1490" s="19" t="n">
        <f aca="false">D1489+D1484+D1485</f>
        <v>48.8219557751218</v>
      </c>
      <c r="E1490" s="19" t="n">
        <f aca="false">E1489+E1484+E1485</f>
        <v>50.8661885891213</v>
      </c>
      <c r="F1490" s="19" t="n">
        <f aca="false">F1489+F1484+F1485</f>
        <v>55.1678862158822</v>
      </c>
      <c r="G1490" s="19" t="n">
        <f aca="false">G1489+G1484+G1485</f>
        <v>57.5749553377149</v>
      </c>
      <c r="J1490" s="5" t="s">
        <v>690</v>
      </c>
    </row>
    <row r="1491" customFormat="false" ht="17.15" hidden="false" customHeight="false" outlineLevel="0" collapsed="false">
      <c r="A1491" s="5" t="s">
        <v>541</v>
      </c>
      <c r="B1491" s="0" t="s">
        <v>34</v>
      </c>
      <c r="C1491" s="19" t="n">
        <f aca="false">C1490+C1486+C1487+C1488+seg_adj</f>
        <v>54.365</v>
      </c>
      <c r="D1491" s="19" t="n">
        <f aca="false">D1490+D1486+D1487+D1488</f>
        <v>64</v>
      </c>
      <c r="E1491" s="19" t="n">
        <f aca="false">E1490+E1486+E1487+E1488</f>
        <v>66.9386446459761</v>
      </c>
      <c r="F1491" s="19" t="n">
        <f aca="false">F1490+F1486+F1487+F1488</f>
        <v>71.9711108179241</v>
      </c>
      <c r="G1491" s="19" t="n">
        <f aca="false">G1490+G1486+G1487+G1488</f>
        <v>74.9766235302129</v>
      </c>
      <c r="J1491" s="8" t="s">
        <v>691</v>
      </c>
    </row>
    <row r="1492" customFormat="false" ht="17.15" hidden="false" customHeight="false" outlineLevel="0" collapsed="false">
      <c r="A1492" s="5" t="s">
        <v>692</v>
      </c>
      <c r="B1492" s="0" t="s">
        <v>34</v>
      </c>
      <c r="C1492" s="20" t="n">
        <f aca="false">C1490+C1486+C1487+C1488-a25_rev</f>
        <v>-0.0249999999999986</v>
      </c>
    </row>
    <row r="1493" customFormat="false" ht="17.15" hidden="false" customHeight="false" outlineLevel="0" collapsed="false">
      <c r="A1493" s="0" t="s">
        <v>621</v>
      </c>
      <c r="B1493" s="0" t="s">
        <v>94</v>
      </c>
      <c r="C1493" s="11" t="n">
        <f aca="false">C1489/C1491</f>
        <v>0.1839418743677</v>
      </c>
      <c r="D1493" s="11" t="n">
        <f aca="false">D1489/D1491</f>
        <v>0.216011629660607</v>
      </c>
      <c r="E1493" s="11" t="n">
        <f aca="false">E1489/E1491</f>
        <v>0.162630542658554</v>
      </c>
      <c r="F1493" s="11" t="n">
        <f aca="false">F1489/F1491</f>
        <v>0.146062740118053</v>
      </c>
      <c r="G1493" s="11" t="n">
        <f aca="false">G1489/G1491</f>
        <v>0.130775295688242</v>
      </c>
    </row>
    <row r="1494" customFormat="false" ht="17.15" hidden="false" customHeight="false" outlineLevel="0" collapsed="false">
      <c r="A1494" s="5" t="s">
        <v>545</v>
      </c>
      <c r="B1494" s="0" t="s">
        <v>34</v>
      </c>
      <c r="C1494" s="19" t="n">
        <f aca="false">a25_oi</f>
        <v>6.917</v>
      </c>
      <c r="D1494" s="19" t="n">
        <f aca="false">D1477</f>
        <v>10.24</v>
      </c>
      <c r="E1494" s="19" t="n">
        <f aca="false">$D1494+(im+ima_A)*(E1491-$D1491)</f>
        <v>11.1201861525469</v>
      </c>
      <c r="F1494" s="19" t="n">
        <f aca="false">$D1494+(im+ima_A)*(F1491-$D1491)</f>
        <v>12.6275160856761</v>
      </c>
      <c r="G1494" s="19" t="n">
        <f aca="false">$D1494+(im+ima_A)*(G1491-$D1491)</f>
        <v>13.5277306367219</v>
      </c>
      <c r="J1494" s="8" t="s">
        <v>693</v>
      </c>
    </row>
    <row r="1495" customFormat="false" ht="15" hidden="false" customHeight="false" outlineLevel="0" collapsed="false">
      <c r="A1495" s="5" t="s">
        <v>694</v>
      </c>
      <c r="B1495" s="0" t="s">
        <v>94</v>
      </c>
      <c r="C1495" s="11" t="n">
        <f aca="false">C1494/C1491</f>
        <v>0.127232594500138</v>
      </c>
      <c r="D1495" s="11" t="n">
        <f aca="false">D1494/D1491</f>
        <v>0.16</v>
      </c>
      <c r="E1495" s="11" t="n">
        <f aca="false">E1494/E1491</f>
        <v>0.166125056928762</v>
      </c>
      <c r="F1495" s="11" t="n">
        <f aca="false">F1494/F1491</f>
        <v>0.175452566205651</v>
      </c>
      <c r="G1495" s="11" t="n">
        <f aca="false">G1494/G1491</f>
        <v>0.180425978121977</v>
      </c>
    </row>
    <row r="1496" customFormat="false" ht="15" hidden="false" customHeight="false" outlineLevel="0" collapsed="false">
      <c r="A1496" s="5" t="s">
        <v>548</v>
      </c>
      <c r="B1496" s="0" t="s">
        <v>34</v>
      </c>
      <c r="C1496" s="19" t="n">
        <f aca="false">a25_ni</f>
        <v>4.593</v>
      </c>
      <c r="D1496" s="19" t="n">
        <f aca="false">D1478</f>
        <v>7</v>
      </c>
      <c r="E1496" s="19" t="n">
        <f aca="false">E1494*nioi_hi</f>
        <v>8.0065340298338</v>
      </c>
      <c r="F1496" s="19" t="n">
        <f aca="false">F1494*nioi_hi</f>
        <v>9.09181158168679</v>
      </c>
      <c r="G1496" s="19" t="n">
        <f aca="false">G1494*nioi_hi</f>
        <v>9.73996605843974</v>
      </c>
    </row>
    <row r="1497" customFormat="false" ht="15" hidden="false" customHeight="false" outlineLevel="0" collapsed="false">
      <c r="A1497" s="0" t="s">
        <v>622</v>
      </c>
      <c r="B1497" s="0" t="s">
        <v>52</v>
      </c>
      <c r="C1497" s="22" t="n">
        <f aca="false">a25_eps</f>
        <v>61.22</v>
      </c>
      <c r="D1497" s="22" t="n">
        <f aca="false">D1496*1000/shares</f>
        <v>93.2961492201002</v>
      </c>
      <c r="E1497" s="22" t="n">
        <f aca="false">E1496*1000/shares</f>
        <v>106.711256226169</v>
      </c>
      <c r="F1497" s="22" t="n">
        <f aca="false">F1496*1000/shares</f>
        <v>121.175858572298</v>
      </c>
      <c r="G1497" s="22" t="n">
        <f aca="false">G1496*1000/shares</f>
        <v>129.814475255272</v>
      </c>
    </row>
    <row r="1498" customFormat="false" ht="17.15" hidden="false" customHeight="false" outlineLevel="0" collapsed="false">
      <c r="A1498" s="5" t="s">
        <v>695</v>
      </c>
      <c r="B1498" s="0" t="s">
        <v>34</v>
      </c>
      <c r="C1498" s="20" t="n">
        <f aca="false">ABS(C1491-a25_rev)+ABS(C1494-a25_oi)+ABS(D1491-D1476)</f>
        <v>0</v>
      </c>
    </row>
    <row r="1510" customFormat="false" ht="17.15" hidden="false" customHeight="false" outlineLevel="0" collapsed="false">
      <c r="A1510" s="3" t="s">
        <v>1040</v>
      </c>
    </row>
    <row r="1511" customFormat="false" ht="17.15" hidden="false" customHeight="false" outlineLevel="0" collapsed="false">
      <c r="A1511" s="6" t="s">
        <v>23</v>
      </c>
      <c r="B1511" s="6" t="s">
        <v>24</v>
      </c>
      <c r="C1511" s="15" t="s">
        <v>628</v>
      </c>
      <c r="D1511" s="15" t="s">
        <v>629</v>
      </c>
      <c r="E1511" s="15" t="s">
        <v>630</v>
      </c>
      <c r="F1511" s="15" t="s">
        <v>631</v>
      </c>
      <c r="G1511" s="15" t="s">
        <v>632</v>
      </c>
      <c r="H1511" s="15" t="s">
        <v>633</v>
      </c>
      <c r="I1511" s="15" t="s">
        <v>634</v>
      </c>
      <c r="J1511" s="6" t="s">
        <v>468</v>
      </c>
    </row>
    <row r="1512" customFormat="false" ht="17.15" hidden="false" customHeight="false" outlineLevel="0" collapsed="false">
      <c r="A1512" s="1" t="s">
        <v>635</v>
      </c>
    </row>
    <row r="1513" customFormat="false" ht="17.15" hidden="false" customHeight="false" outlineLevel="0" collapsed="false">
      <c r="A1513" s="0" t="s">
        <v>636</v>
      </c>
      <c r="B1513" s="0" t="s">
        <v>111</v>
      </c>
      <c r="C1513" s="21" t="n">
        <f aca="false">hsA_25</f>
        <v>2.22511470588235</v>
      </c>
      <c r="D1513" s="21" t="n">
        <f aca="false">hsA_26</f>
        <v>3.782695</v>
      </c>
      <c r="E1513" s="21" t="n">
        <f aca="false">hsA_27</f>
        <v>5.86317725</v>
      </c>
      <c r="F1513" s="21" t="n">
        <f aca="false">hsA_28</f>
        <v>8.5016070125</v>
      </c>
      <c r="G1513" s="21" t="n">
        <f aca="false">hsA_29</f>
        <v>11.477169466875</v>
      </c>
      <c r="J1513" s="8" t="s">
        <v>637</v>
      </c>
    </row>
    <row r="1514" customFormat="false" ht="17.15" hidden="false" customHeight="false" outlineLevel="0" collapsed="false">
      <c r="A1514" s="0" t="s">
        <v>638</v>
      </c>
      <c r="B1514" s="0" t="s">
        <v>639</v>
      </c>
      <c r="C1514" s="21" t="n">
        <f aca="false">den_25</f>
        <v>24</v>
      </c>
      <c r="D1514" s="21" t="n">
        <f aca="false">den_26</f>
        <v>24</v>
      </c>
      <c r="E1514" s="21" t="n">
        <f aca="false">den_27</f>
        <v>26</v>
      </c>
      <c r="F1514" s="21" t="n">
        <f aca="false">den_28</f>
        <v>28</v>
      </c>
      <c r="G1514" s="21" t="n">
        <f aca="false">den_29</f>
        <v>30</v>
      </c>
    </row>
    <row r="1515" customFormat="false" ht="15" hidden="false" customHeight="false" outlineLevel="0" collapsed="false">
      <c r="A1515" s="5" t="s">
        <v>640</v>
      </c>
      <c r="B1515" s="5" t="s">
        <v>160</v>
      </c>
      <c r="C1515" s="21" t="n">
        <f aca="false">stk_25</f>
        <v>10</v>
      </c>
      <c r="D1515" s="21" t="n">
        <f aca="false">stk_26</f>
        <v>12</v>
      </c>
      <c r="E1515" s="21" t="n">
        <f aca="false">stk_27</f>
        <v>12.5</v>
      </c>
      <c r="F1515" s="21" t="n">
        <f aca="false">stk_28</f>
        <v>14</v>
      </c>
      <c r="G1515" s="21" t="n">
        <f aca="false">stk_29</f>
        <v>15</v>
      </c>
    </row>
    <row r="1516" customFormat="false" ht="17.15" hidden="false" customHeight="false" outlineLevel="0" collapsed="false">
      <c r="A1516" s="0" t="s">
        <v>641</v>
      </c>
      <c r="B1516" s="5" t="s">
        <v>642</v>
      </c>
      <c r="C1516" s="23" t="n">
        <f aca="false">C1513*8/(C1514*C1515)</f>
        <v>0.0741704901960783</v>
      </c>
      <c r="D1516" s="23" t="n">
        <f aca="false">D1513*8/(D1514*D1515)</f>
        <v>0.105074861111111</v>
      </c>
      <c r="E1516" s="23" t="n">
        <f aca="false">E1513*8/(E1514*E1515)</f>
        <v>0.144324363076923</v>
      </c>
      <c r="F1516" s="23" t="n">
        <f aca="false">F1513*8/(F1514*F1515)</f>
        <v>0.173502183928571</v>
      </c>
      <c r="G1516" s="23" t="n">
        <f aca="false">G1513*8/(G1514*G1515)</f>
        <v>0.2040385683</v>
      </c>
      <c r="H1516" s="23" t="n">
        <f aca="false">G1516*(1+g_tail)</f>
        <v>0.22444242513</v>
      </c>
      <c r="I1516" s="23" t="n">
        <f aca="false">H1516*(1+g_tail)</f>
        <v>0.246886667643</v>
      </c>
      <c r="J1516" s="8" t="s">
        <v>643</v>
      </c>
    </row>
    <row r="1517" customFormat="false" ht="17.15" hidden="false" customHeight="false" outlineLevel="0" collapsed="false">
      <c r="A1517" s="0" t="s">
        <v>644</v>
      </c>
      <c r="B1517" s="5" t="s">
        <v>642</v>
      </c>
      <c r="C1517" s="23" t="n">
        <f aca="false">MAX(0,D1516-C1516)+dlt*C1516</f>
        <v>0.0383214199346406</v>
      </c>
      <c r="D1517" s="23" t="n">
        <f aca="false">MAX(0,E1516-D1516)+dlt*D1516</f>
        <v>0.0497569880769231</v>
      </c>
      <c r="E1517" s="23" t="n">
        <f aca="false">MAX(0,F1516-E1516)+dlt*E1516</f>
        <v>0.0436102571593407</v>
      </c>
      <c r="F1517" s="23" t="n">
        <f aca="false">MAX(0,G1516-F1516)+dlt*F1516</f>
        <v>0.0478866027642858</v>
      </c>
      <c r="G1517" s="23" t="n">
        <f aca="false">MAX(0,H1516-G1516)+dlt*G1516</f>
        <v>0.04080771366</v>
      </c>
      <c r="H1517" s="23" t="n">
        <f aca="false">MAX(0,I1516-H1516)+dlt*H1516</f>
        <v>0.044888485026</v>
      </c>
      <c r="J1517" s="5" t="s">
        <v>645</v>
      </c>
    </row>
    <row r="1518" customFormat="false" ht="17.15" hidden="false" customHeight="false" outlineLevel="0" collapsed="false">
      <c r="A1518" s="0" t="s">
        <v>646</v>
      </c>
      <c r="B1518" s="5" t="s">
        <v>183</v>
      </c>
      <c r="C1518" s="14" t="n">
        <f aca="false">cw_25</f>
        <v>670</v>
      </c>
      <c r="D1518" s="14" t="n">
        <f aca="false">cw_26</f>
        <v>1107.85762580894</v>
      </c>
      <c r="E1518" s="14" t="n">
        <f aca="false">cw_27</f>
        <v>2096.42857142857</v>
      </c>
      <c r="F1518" s="14" t="n">
        <f aca="false">cw_28*um28_A</f>
        <v>2620.08928571429</v>
      </c>
      <c r="G1518" s="14" t="n">
        <f aca="false">cw_29*um29_A</f>
        <v>3013.32589285714</v>
      </c>
      <c r="H1518" s="14" t="n">
        <f aca="false">G1518*(1+g_tail)</f>
        <v>3314.65848214285</v>
      </c>
      <c r="I1518" s="14" t="n">
        <f aca="false">H1518*(1+g_tail)</f>
        <v>3646.12433035714</v>
      </c>
      <c r="J1518" s="5" t="s">
        <v>647</v>
      </c>
    </row>
    <row r="1519" customFormat="false" ht="17.15" hidden="false" customHeight="false" outlineLevel="0" collapsed="false">
      <c r="A1519" s="0" t="s">
        <v>648</v>
      </c>
      <c r="B1519" s="5" t="s">
        <v>183</v>
      </c>
      <c r="C1519" s="14" t="n">
        <f aca="false">MAX(0,D1518-C1518)+dlt*C1518</f>
        <v>504.85762580894</v>
      </c>
      <c r="D1519" s="14" t="n">
        <f aca="false">MAX(0,E1518-D1518)+dlt*D1518</f>
        <v>1099.35670820052</v>
      </c>
      <c r="E1519" s="14" t="n">
        <f aca="false">MAX(0,F1518-E1518)+dlt*E1518</f>
        <v>733.303571428577</v>
      </c>
      <c r="F1519" s="14" t="n">
        <f aca="false">MAX(0,G1518-F1518)+dlt*F1518</f>
        <v>655.245535714279</v>
      </c>
      <c r="G1519" s="14" t="n">
        <f aca="false">MAX(0,H1518-G1518)+dlt*G1518</f>
        <v>602.665178571428</v>
      </c>
      <c r="H1519" s="14" t="n">
        <f aca="false">MAX(0,I1518-H1518)+dlt*H1518</f>
        <v>662.931696428571</v>
      </c>
    </row>
    <row r="1520" customFormat="false" ht="17.15" hidden="false" customHeight="false" outlineLevel="0" collapsed="false">
      <c r="A1520" s="5" t="s">
        <v>649</v>
      </c>
      <c r="B1520" s="0" t="s">
        <v>219</v>
      </c>
      <c r="C1520" s="21" t="n">
        <f aca="false">pk_25*(eqtA_25-eqaA_25)/(eqtA_25-eqaA_25)</f>
        <v>6.11313868613139</v>
      </c>
      <c r="D1520" s="21" t="n">
        <f aca="false">pk_26*(eqtA_26-eqaA_26)/(eqtA_26-eqaA_26)</f>
        <v>6.7</v>
      </c>
      <c r="E1520" s="21" t="n">
        <f aca="false">pk_27*(eqtA_27-eqaA_27)/(eqtA_27-eqaA_27)</f>
        <v>7.59078388573934</v>
      </c>
      <c r="F1520" s="21" t="n">
        <f aca="false">pk_28*(eqtA_28-eqaA_28)/(eqtA_28-eqaA_28)</f>
        <v>8.6</v>
      </c>
      <c r="G1520" s="21" t="n">
        <f aca="false">pk_29*(eqtA_29-eqaA_29)/(eqtA_29-eqaA_29)</f>
        <v>9.288</v>
      </c>
      <c r="H1520" s="21" t="n">
        <f aca="false">G1520*(1+g_pk_tail)</f>
        <v>9.7524</v>
      </c>
      <c r="J1520" s="8" t="s">
        <v>650</v>
      </c>
    </row>
    <row r="1521" customFormat="false" ht="15" hidden="false" customHeight="false" outlineLevel="0" collapsed="false">
      <c r="A1521" s="5" t="s">
        <v>651</v>
      </c>
      <c r="B1521" s="0" t="s">
        <v>219</v>
      </c>
      <c r="C1521" s="24" t="n">
        <f aca="false">eqtA_25</f>
        <v>134.689359843138</v>
      </c>
      <c r="D1521" s="24" t="n">
        <f aca="false">eqtA_26</f>
        <v>178.157050570127</v>
      </c>
      <c r="E1521" s="24" t="n">
        <f aca="false">eqtA_27</f>
        <v>218.225535760082</v>
      </c>
      <c r="F1521" s="24" t="n">
        <f aca="false">eqtA_28</f>
        <v>246.028626308958</v>
      </c>
      <c r="G1521" s="24" t="n">
        <f aca="false">eqtA_29</f>
        <v>260.655685855226</v>
      </c>
      <c r="H1521" s="24" t="n">
        <f aca="false">G1521*(1+g_pk_tail)</f>
        <v>273.688470147987</v>
      </c>
      <c r="J1521" s="5" t="s">
        <v>652</v>
      </c>
    </row>
    <row r="1522" customFormat="false" ht="17.15" hidden="false" customHeight="false" outlineLevel="0" collapsed="false">
      <c r="A1522" s="1" t="s">
        <v>653</v>
      </c>
    </row>
    <row r="1523" customFormat="false" ht="17.15" hidden="false" customHeight="false" outlineLevel="0" collapsed="false">
      <c r="A1523" s="0" t="s">
        <v>654</v>
      </c>
      <c r="B1523" s="0" t="s">
        <v>655</v>
      </c>
      <c r="C1523" s="24" t="n">
        <f aca="false">ai_25*w_hbm/(0.75*C1517+0.25*D1517)</f>
        <v>121.417244328233</v>
      </c>
      <c r="J1523" s="5" t="s">
        <v>656</v>
      </c>
    </row>
    <row r="1524" customFormat="false" ht="17.15" hidden="false" customHeight="false" outlineLevel="0" collapsed="false">
      <c r="A1524" s="0" t="s">
        <v>657</v>
      </c>
      <c r="B1524" s="0" t="s">
        <v>658</v>
      </c>
      <c r="C1524" s="25" t="n">
        <f aca="false">ai_25*(1-w_hbm)/(0.75*C1519+0.25*D1519)</f>
        <v>0.0076513155174377</v>
      </c>
    </row>
    <row r="1525" customFormat="false" ht="17.15" hidden="false" customHeight="false" outlineLevel="0" collapsed="false">
      <c r="A1525" s="1" t="s">
        <v>659</v>
      </c>
    </row>
    <row r="1526" customFormat="false" ht="17.15" hidden="false" customHeight="false" outlineLevel="0" collapsed="false">
      <c r="A1526" s="0" t="s">
        <v>660</v>
      </c>
      <c r="B1526" s="0" t="s">
        <v>198</v>
      </c>
      <c r="C1526" s="20" t="n">
        <f aca="false">1-shl_A/sh*0</f>
        <v>1</v>
      </c>
      <c r="D1526" s="20" t="n">
        <f aca="false">1-shl_A/sh*0.25</f>
        <v>1</v>
      </c>
      <c r="E1526" s="20" t="n">
        <f aca="false">1-shl_A/sh*0.5</f>
        <v>1</v>
      </c>
      <c r="F1526" s="20" t="n">
        <f aca="false">1-shl_A/sh*0.75</f>
        <v>1</v>
      </c>
      <c r="G1526" s="20" t="n">
        <f aca="false">1-shl_A/sh*1</f>
        <v>1</v>
      </c>
      <c r="J1526" s="5" t="s">
        <v>661</v>
      </c>
    </row>
    <row r="1527" customFormat="false" ht="17.15" hidden="false" customHeight="false" outlineLevel="0" collapsed="false">
      <c r="A1527" s="0" t="s">
        <v>662</v>
      </c>
      <c r="B1527" s="0" t="s">
        <v>34</v>
      </c>
      <c r="C1527" s="19" t="n">
        <f aca="false">$C$1523*(0.75*C1517+0.25*D1517)*C1526</f>
        <v>5</v>
      </c>
      <c r="D1527" s="19" t="n">
        <f aca="false">$C$1523*(0.75*D1517+0.25*E1517)*D1526</f>
        <v>5.85477659596275</v>
      </c>
      <c r="E1527" s="19" t="n">
        <f aca="false">$C$1523*(0.75*E1517+0.25*F1517)*E1526</f>
        <v>5.42484277351964</v>
      </c>
      <c r="F1527" s="19" t="n">
        <f aca="false">$C$1523*(0.75*F1517+0.25*G1517)*F1526</f>
        <v>5.59938454589345</v>
      </c>
      <c r="G1527" s="19" t="n">
        <f aca="false">$C$1523*(0.75*G1517+0.25*H1517)*G1526</f>
        <v>5.07862914343112</v>
      </c>
    </row>
    <row r="1528" customFormat="false" ht="17.15" hidden="false" customHeight="false" outlineLevel="0" collapsed="false">
      <c r="A1528" s="0" t="s">
        <v>663</v>
      </c>
      <c r="B1528" s="0" t="s">
        <v>34</v>
      </c>
      <c r="C1528" s="19" t="n">
        <f aca="false">$C$1524*(0.75*C1519+0.25*D1519)*C1526</f>
        <v>5</v>
      </c>
      <c r="D1528" s="19" t="n">
        <f aca="false">$C$1524*(0.75*D1519+0.25*E1519)*D1526</f>
        <v>7.71132802925642</v>
      </c>
      <c r="E1528" s="19" t="n">
        <f aca="false">$C$1524*(0.75*E1519+0.25*F1519)*E1526</f>
        <v>5.46142533008358</v>
      </c>
      <c r="F1528" s="19" t="n">
        <f aca="false">$C$1524*(0.75*F1519+0.25*G1519)*F1526</f>
        <v>4.91291310951257</v>
      </c>
      <c r="G1528" s="19" t="n">
        <f aca="false">$C$1524*(0.75*G1519+0.25*H1519)*G1526</f>
        <v>4.72646096843851</v>
      </c>
    </row>
    <row r="1529" customFormat="false" ht="17.15" hidden="false" customHeight="false" outlineLevel="0" collapsed="false">
      <c r="A1529" s="5" t="s">
        <v>664</v>
      </c>
      <c r="B1529" s="0" t="s">
        <v>34</v>
      </c>
      <c r="C1529" s="19" t="n">
        <f aca="false">(seg_mold-ai_25)*(0.75*C1520+0.25*D1520)/(0.75*C1520+0.25*D1520)</f>
        <v>26.46</v>
      </c>
      <c r="D1529" s="19" t="n">
        <f aca="false">(seg_mold-ai_25)*(0.75*D1520+0.25*E1520)/(0.75*C1520+0.25*D1520)</f>
        <v>29.2617902872793</v>
      </c>
      <c r="E1529" s="19" t="n">
        <f aca="false">(seg_mold-ai_25)*(0.75*E1520+0.25*F1520)/(0.75*C1520+0.25*D1520)</f>
        <v>33.1522277881438</v>
      </c>
      <c r="F1529" s="19" t="n">
        <f aca="false">(seg_mold-ai_25)*(0.75*F1520+0.25*G1520)/(0.75*C1520+0.25*D1520)</f>
        <v>37.0786793843283</v>
      </c>
      <c r="G1529" s="19" t="n">
        <f aca="false">(seg_mold-ai_25)*(0.75*G1520+0.25*H1520)/(0.75*C1520+0.25*D1520)</f>
        <v>39.7505253987873</v>
      </c>
      <c r="J1529" s="8" t="s">
        <v>665</v>
      </c>
    </row>
    <row r="1530" customFormat="false" ht="15" hidden="false" customHeight="false" outlineLevel="0" collapsed="false">
      <c r="A1530" s="5" t="s">
        <v>666</v>
      </c>
      <c r="B1530" s="0" t="s">
        <v>34</v>
      </c>
      <c r="C1530" s="19" t="n">
        <f aca="false">seg_osemi*(0.75*C1521+0.25*D1521)/(0.75*C1521+0.25*D1521)</f>
        <v>3.93</v>
      </c>
      <c r="D1530" s="19" t="n">
        <f aca="false">seg_osemi*(0.75*D1521+0.25*E1521)/(0.75*C1521+0.25*D1521)</f>
        <v>5.08067726525852</v>
      </c>
      <c r="E1530" s="19" t="n">
        <f aca="false">seg_osemi*(0.75*E1521+0.25*F1521)/(0.75*C1521+0.25*D1521)</f>
        <v>6.0797299618455</v>
      </c>
      <c r="F1530" s="19" t="n">
        <f aca="false">seg_osemi*(0.75*F1521+0.25*G1521)/(0.75*C1521+0.25*D1521)</f>
        <v>6.74147189236335</v>
      </c>
      <c r="G1530" s="19" t="n">
        <f aca="false">seg_osemi*(0.75*G1521+0.25*H1521)/(0.75*C1521+0.25*D1521)</f>
        <v>7.12563922344852</v>
      </c>
      <c r="J1530" s="5" t="s">
        <v>667</v>
      </c>
    </row>
    <row r="1531" customFormat="false" ht="17.15" hidden="false" customHeight="false" outlineLevel="0" collapsed="false">
      <c r="A1531" s="5" t="s">
        <v>668</v>
      </c>
      <c r="B1531" s="0" t="s">
        <v>34</v>
      </c>
      <c r="C1531" s="19" t="n">
        <f aca="false">seg_new</f>
        <v>9.47</v>
      </c>
      <c r="D1531" s="19" t="n">
        <f aca="false">C1531*(1+g_tss)</f>
        <v>9.7541</v>
      </c>
      <c r="E1531" s="19" t="n">
        <f aca="false">D1531*(1+g_tss)</f>
        <v>10.046723</v>
      </c>
      <c r="F1531" s="19" t="n">
        <f aca="false">E1531*(1+g_tss)</f>
        <v>10.34812469</v>
      </c>
      <c r="G1531" s="19" t="n">
        <f aca="false">F1531*(1+g_tss)</f>
        <v>10.6585684307</v>
      </c>
    </row>
    <row r="1532" customFormat="false" ht="15" hidden="false" customHeight="false" outlineLevel="0" collapsed="false">
      <c r="A1532" s="5" t="s">
        <v>669</v>
      </c>
      <c r="B1532" s="0" t="s">
        <v>34</v>
      </c>
      <c r="C1532" s="19" t="n">
        <f aca="false">seg_med</f>
        <v>2.48</v>
      </c>
      <c r="D1532" s="19" t="n">
        <f aca="false">C1532*(1+g_med)</f>
        <v>2.5544</v>
      </c>
      <c r="E1532" s="19" t="n">
        <f aca="false">D1532*(1+g_med)</f>
        <v>2.631032</v>
      </c>
      <c r="F1532" s="19" t="n">
        <f aca="false">E1532*(1+g_med)</f>
        <v>2.70996296</v>
      </c>
      <c r="G1532" s="19" t="n">
        <f aca="false">F1532*(1+g_med)</f>
        <v>2.7912618488</v>
      </c>
    </row>
    <row r="1533" customFormat="false" ht="15" hidden="false" customHeight="false" outlineLevel="0" collapsed="false">
      <c r="A1533" s="5" t="s">
        <v>670</v>
      </c>
      <c r="B1533" s="0" t="s">
        <v>34</v>
      </c>
      <c r="C1533" s="19" t="n">
        <f aca="false">seg_las*(0.75*C1521+0.25*D1521)/(0.75*C1521+0.25*D1521)</f>
        <v>2</v>
      </c>
      <c r="D1533" s="19" t="n">
        <f aca="false">seg_las*(0.75*D1521+0.25*E1521)/(0.75*C1521+0.25*D1521)</f>
        <v>2.5855863945336</v>
      </c>
      <c r="E1533" s="19" t="n">
        <f aca="false">seg_las*(0.75*E1521+0.25*F1521)/(0.75*C1521+0.25*D1521)</f>
        <v>3.0940101587</v>
      </c>
      <c r="F1533" s="19" t="n">
        <f aca="false">seg_las*(0.75*F1521+0.25*G1521)/(0.75*C1521+0.25*D1521)</f>
        <v>3.43077449993046</v>
      </c>
      <c r="G1533" s="19" t="n">
        <f aca="false">seg_las*(0.75*G1521+0.25*H1521)/(0.75*C1521+0.25*D1521)</f>
        <v>3.62627950302724</v>
      </c>
      <c r="J1533" s="5" t="s">
        <v>667</v>
      </c>
    </row>
    <row r="1534" customFormat="false" ht="15" hidden="false" customHeight="false" outlineLevel="0" collapsed="false">
      <c r="A1534" s="5" t="s">
        <v>671</v>
      </c>
      <c r="B1534" s="0" t="s">
        <v>34</v>
      </c>
      <c r="C1534" s="19" t="n">
        <f aca="false">C1527+C1528+C1529+C1530+C1531+C1532+C1533+seg_adj</f>
        <v>54.365</v>
      </c>
      <c r="D1534" s="19" t="n">
        <f aca="false">D1527+D1528+D1529+D1530+D1531+D1532+D1533</f>
        <v>62.8026585722905</v>
      </c>
      <c r="E1534" s="19" t="n">
        <f aca="false">E1527+E1528+E1529+E1530+E1531+E1532+E1533</f>
        <v>65.8899910122925</v>
      </c>
      <c r="F1534" s="19" t="n">
        <f aca="false">F1527+F1528+F1529+F1530+F1531+F1532+F1533</f>
        <v>70.8213110820282</v>
      </c>
      <c r="G1534" s="19" t="n">
        <f aca="false">G1527+G1528+G1529+G1530+G1531+G1532+G1533</f>
        <v>73.7573645166327</v>
      </c>
    </row>
    <row r="1535" customFormat="false" ht="17.15" hidden="false" customHeight="false" outlineLevel="0" collapsed="false">
      <c r="A1535" s="1" t="s">
        <v>672</v>
      </c>
    </row>
    <row r="1536" customFormat="false" ht="17.15" hidden="false" customHeight="false" outlineLevel="0" collapsed="false">
      <c r="A1536" s="0" t="s">
        <v>673</v>
      </c>
      <c r="B1536" s="0" t="s">
        <v>34</v>
      </c>
      <c r="D1536" s="19" t="n">
        <f aca="false">g26_rev*(1+g_anc_lo)</f>
        <v>60.8</v>
      </c>
    </row>
    <row r="1537" customFormat="false" ht="17.15" hidden="false" customHeight="false" outlineLevel="0" collapsed="false">
      <c r="A1537" s="0" t="s">
        <v>674</v>
      </c>
      <c r="B1537" s="0" t="s">
        <v>34</v>
      </c>
      <c r="D1537" s="19" t="n">
        <f aca="false">D1536*g26_oi/g26_rev</f>
        <v>9.728</v>
      </c>
    </row>
    <row r="1538" customFormat="false" ht="17.15" hidden="false" customHeight="false" outlineLevel="0" collapsed="false">
      <c r="A1538" s="0" t="s">
        <v>675</v>
      </c>
      <c r="B1538" s="0" t="s">
        <v>34</v>
      </c>
      <c r="D1538" s="19" t="n">
        <f aca="false">D1537*g26_ni/g26_oi</f>
        <v>6.65</v>
      </c>
    </row>
    <row r="1539" customFormat="false" ht="17.15" hidden="false" customHeight="false" outlineLevel="0" collapsed="false">
      <c r="A1539" s="5" t="s">
        <v>676</v>
      </c>
      <c r="B1539" s="0" t="s">
        <v>198</v>
      </c>
      <c r="D1539" s="20" t="n">
        <f aca="false">D1536/D1534</f>
        <v>0.968111882238467</v>
      </c>
      <c r="J1539" s="8" t="s">
        <v>677</v>
      </c>
    </row>
    <row r="1540" customFormat="false" ht="17.15" hidden="false" customHeight="false" outlineLevel="0" collapsed="false">
      <c r="A1540" s="5" t="s">
        <v>678</v>
      </c>
      <c r="B1540" s="0" t="s">
        <v>198</v>
      </c>
      <c r="D1540" s="20" t="n">
        <f aca="false">1+1*(D1539-1)</f>
        <v>0.968111882238467</v>
      </c>
      <c r="J1540" s="8" t="s">
        <v>679</v>
      </c>
    </row>
    <row r="1541" customFormat="false" ht="17.15" hidden="false" customHeight="false" outlineLevel="0" collapsed="false">
      <c r="A1541" s="1" t="s">
        <v>680</v>
      </c>
    </row>
    <row r="1542" customFormat="false" ht="17.15" hidden="false" customHeight="false" outlineLevel="0" collapsed="false">
      <c r="A1542" s="0" t="s">
        <v>681</v>
      </c>
      <c r="B1542" s="0" t="s">
        <v>34</v>
      </c>
      <c r="C1542" s="19" t="n">
        <f aca="false">C1527*1</f>
        <v>5</v>
      </c>
      <c r="D1542" s="19" t="n">
        <f aca="false">D1527*$D$1539</f>
        <v>5.66807879040322</v>
      </c>
      <c r="E1542" s="19" t="n">
        <f aca="false">E1527*1</f>
        <v>5.42484277351964</v>
      </c>
      <c r="F1542" s="19" t="n">
        <f aca="false">F1527*1</f>
        <v>5.59938454589345</v>
      </c>
      <c r="G1542" s="19" t="n">
        <f aca="false">G1527*1</f>
        <v>5.07862914343112</v>
      </c>
    </row>
    <row r="1543" customFormat="false" ht="17.15" hidden="false" customHeight="false" outlineLevel="0" collapsed="false">
      <c r="A1543" s="0" t="s">
        <v>682</v>
      </c>
      <c r="B1543" s="0" t="s">
        <v>34</v>
      </c>
      <c r="C1543" s="19" t="n">
        <f aca="false">C1528*1</f>
        <v>5</v>
      </c>
      <c r="D1543" s="19" t="n">
        <f aca="false">D1528*$D$1539</f>
        <v>7.46542829296168</v>
      </c>
      <c r="E1543" s="19" t="n">
        <f aca="false">E1528*1</f>
        <v>5.46142533008358</v>
      </c>
      <c r="F1543" s="19" t="n">
        <f aca="false">F1528*1</f>
        <v>4.91291310951257</v>
      </c>
      <c r="G1543" s="19" t="n">
        <f aca="false">G1528*1</f>
        <v>4.72646096843851</v>
      </c>
    </row>
    <row r="1544" customFormat="false" ht="17.15" hidden="false" customHeight="false" outlineLevel="0" collapsed="false">
      <c r="A1544" s="5" t="s">
        <v>683</v>
      </c>
      <c r="B1544" s="0" t="s">
        <v>34</v>
      </c>
      <c r="C1544" s="19" t="n">
        <f aca="false">C1529*1</f>
        <v>26.46</v>
      </c>
      <c r="D1544" s="19" t="n">
        <f aca="false">D1529*$D$1539</f>
        <v>28.3286868726852</v>
      </c>
      <c r="E1544" s="19" t="n">
        <f aca="false">E1529*$D$1540</f>
        <v>32.0950656443783</v>
      </c>
      <c r="F1544" s="19" t="n">
        <f aca="false">F1529*$D$1540</f>
        <v>35.8963100896788</v>
      </c>
      <c r="G1544" s="19" t="n">
        <f aca="false">G1529*$D$1540</f>
        <v>38.482955963788</v>
      </c>
    </row>
    <row r="1545" customFormat="false" ht="15" hidden="false" customHeight="false" outlineLevel="0" collapsed="false">
      <c r="A1545" s="5" t="s">
        <v>684</v>
      </c>
      <c r="B1545" s="0" t="s">
        <v>34</v>
      </c>
      <c r="C1545" s="19" t="n">
        <f aca="false">C1530*1</f>
        <v>3.93</v>
      </c>
      <c r="D1545" s="19" t="n">
        <f aca="false">D1530*$D$1539</f>
        <v>4.91866403031561</v>
      </c>
      <c r="E1545" s="19" t="n">
        <f aca="false">E1530*$D$1540</f>
        <v>5.88585881686385</v>
      </c>
      <c r="F1545" s="19" t="n">
        <f aca="false">F1530*$D$1540</f>
        <v>6.52649904277361</v>
      </c>
      <c r="G1545" s="19" t="n">
        <f aca="false">G1530*$D$1540</f>
        <v>6.89841600076499</v>
      </c>
    </row>
    <row r="1546" customFormat="false" ht="17.15" hidden="false" customHeight="false" outlineLevel="0" collapsed="false">
      <c r="A1546" s="5" t="s">
        <v>685</v>
      </c>
      <c r="B1546" s="0" t="s">
        <v>34</v>
      </c>
      <c r="C1546" s="19" t="n">
        <f aca="false">C1531*1</f>
        <v>9.47</v>
      </c>
      <c r="D1546" s="19" t="n">
        <f aca="false">D1531*$D$1539</f>
        <v>9.44306011054223</v>
      </c>
      <c r="E1546" s="19" t="n">
        <f aca="false">E1531*$D$1540</f>
        <v>9.7263519138585</v>
      </c>
      <c r="F1546" s="19" t="n">
        <f aca="false">F1531*$D$1540</f>
        <v>10.0181424712743</v>
      </c>
      <c r="G1546" s="19" t="n">
        <f aca="false">G1531*$D$1540</f>
        <v>10.3186867454125</v>
      </c>
    </row>
    <row r="1547" customFormat="false" ht="15" hidden="false" customHeight="false" outlineLevel="0" collapsed="false">
      <c r="A1547" s="5" t="s">
        <v>686</v>
      </c>
      <c r="B1547" s="0" t="s">
        <v>34</v>
      </c>
      <c r="C1547" s="19" t="n">
        <f aca="false">C1532*1</f>
        <v>2.48</v>
      </c>
      <c r="D1547" s="19" t="n">
        <f aca="false">D1532*$D$1539</f>
        <v>2.47294499198994</v>
      </c>
      <c r="E1547" s="19" t="n">
        <f aca="false">E1532*$D$1540</f>
        <v>2.54713334174964</v>
      </c>
      <c r="F1547" s="19" t="n">
        <f aca="false">F1532*$D$1540</f>
        <v>2.62354734200213</v>
      </c>
      <c r="G1547" s="19" t="n">
        <f aca="false">G1532*$D$1540</f>
        <v>2.70225376226219</v>
      </c>
    </row>
    <row r="1548" customFormat="false" ht="15" hidden="false" customHeight="false" outlineLevel="0" collapsed="false">
      <c r="A1548" s="5" t="s">
        <v>687</v>
      </c>
      <c r="B1548" s="0" t="s">
        <v>34</v>
      </c>
      <c r="C1548" s="19" t="n">
        <f aca="false">C1533*1</f>
        <v>2</v>
      </c>
      <c r="D1548" s="19" t="n">
        <f aca="false">D1533*$D$1539</f>
        <v>2.50313691110209</v>
      </c>
      <c r="E1548" s="19" t="n">
        <f aca="false">E1533*$D$1540</f>
        <v>2.99534799840399</v>
      </c>
      <c r="F1548" s="19" t="n">
        <f aca="false">F1533*$D$1540</f>
        <v>3.32137355866341</v>
      </c>
      <c r="G1548" s="19" t="n">
        <f aca="false">G1533*$D$1540</f>
        <v>3.51064427519847</v>
      </c>
    </row>
    <row r="1549" customFormat="false" ht="17.15" hidden="false" customHeight="false" outlineLevel="0" collapsed="false">
      <c r="A1549" s="0" t="s">
        <v>688</v>
      </c>
      <c r="B1549" s="0" t="s">
        <v>34</v>
      </c>
      <c r="C1549" s="19" t="n">
        <f aca="false">C1542+C1543</f>
        <v>10</v>
      </c>
      <c r="D1549" s="19" t="n">
        <f aca="false">D1542+D1543</f>
        <v>13.1335070833649</v>
      </c>
      <c r="E1549" s="19" t="n">
        <f aca="false">E1542+E1543</f>
        <v>10.8862681036032</v>
      </c>
      <c r="F1549" s="19" t="n">
        <f aca="false">F1542+F1543</f>
        <v>10.512297655406</v>
      </c>
      <c r="G1549" s="19" t="n">
        <f aca="false">G1542+G1543</f>
        <v>9.80509011186963</v>
      </c>
    </row>
    <row r="1550" customFormat="false" ht="17.15" hidden="false" customHeight="false" outlineLevel="0" collapsed="false">
      <c r="A1550" s="5" t="s">
        <v>689</v>
      </c>
      <c r="B1550" s="0" t="s">
        <v>34</v>
      </c>
      <c r="C1550" s="19" t="n">
        <f aca="false">C1549+C1544+C1545</f>
        <v>40.39</v>
      </c>
      <c r="D1550" s="19" t="n">
        <f aca="false">D1549+D1544+D1545</f>
        <v>46.3808579863657</v>
      </c>
      <c r="E1550" s="19" t="n">
        <f aca="false">E1549+E1544+E1545</f>
        <v>48.8671925648454</v>
      </c>
      <c r="F1550" s="19" t="n">
        <f aca="false">F1549+F1544+F1545</f>
        <v>52.9351067878584</v>
      </c>
      <c r="G1550" s="19" t="n">
        <f aca="false">G1549+G1544+G1545</f>
        <v>55.1864620764226</v>
      </c>
      <c r="J1550" s="5" t="s">
        <v>690</v>
      </c>
    </row>
    <row r="1551" customFormat="false" ht="17.15" hidden="false" customHeight="false" outlineLevel="0" collapsed="false">
      <c r="A1551" s="5" t="s">
        <v>541</v>
      </c>
      <c r="B1551" s="0" t="s">
        <v>34</v>
      </c>
      <c r="C1551" s="19" t="n">
        <f aca="false">C1550+C1546+C1547+C1548+seg_adj</f>
        <v>54.365</v>
      </c>
      <c r="D1551" s="19" t="n">
        <f aca="false">D1550+D1546+D1547+D1548</f>
        <v>60.8</v>
      </c>
      <c r="E1551" s="19" t="n">
        <f aca="false">E1550+E1546+E1547+E1548</f>
        <v>64.1360258188575</v>
      </c>
      <c r="F1551" s="19" t="n">
        <f aca="false">F1550+F1546+F1547+F1548</f>
        <v>68.8981701597982</v>
      </c>
      <c r="G1551" s="19" t="n">
        <f aca="false">G1550+G1546+G1547+G1548</f>
        <v>71.7180468592957</v>
      </c>
      <c r="J1551" s="8" t="s">
        <v>691</v>
      </c>
    </row>
    <row r="1552" customFormat="false" ht="17.15" hidden="false" customHeight="false" outlineLevel="0" collapsed="false">
      <c r="A1552" s="5" t="s">
        <v>692</v>
      </c>
      <c r="B1552" s="0" t="s">
        <v>34</v>
      </c>
      <c r="C1552" s="20" t="n">
        <f aca="false">C1550+C1546+C1547+C1548-a25_rev</f>
        <v>-0.0249999999999986</v>
      </c>
    </row>
    <row r="1553" customFormat="false" ht="17.15" hidden="false" customHeight="false" outlineLevel="0" collapsed="false">
      <c r="A1553" s="0" t="s">
        <v>621</v>
      </c>
      <c r="B1553" s="0" t="s">
        <v>94</v>
      </c>
      <c r="C1553" s="11" t="n">
        <f aca="false">C1549/C1551</f>
        <v>0.1839418743677</v>
      </c>
      <c r="D1553" s="11" t="n">
        <f aca="false">D1549/D1551</f>
        <v>0.216011629660607</v>
      </c>
      <c r="E1553" s="11" t="n">
        <f aca="false">E1549/E1551</f>
        <v>0.169737179137819</v>
      </c>
      <c r="F1553" s="11" t="n">
        <f aca="false">F1549/F1551</f>
        <v>0.152577312735947</v>
      </c>
      <c r="G1553" s="11" t="n">
        <f aca="false">G1549/G1551</f>
        <v>0.136717193806272</v>
      </c>
    </row>
    <row r="1554" customFormat="false" ht="17.15" hidden="false" customHeight="false" outlineLevel="0" collapsed="false">
      <c r="A1554" s="5" t="s">
        <v>545</v>
      </c>
      <c r="B1554" s="0" t="s">
        <v>34</v>
      </c>
      <c r="C1554" s="19" t="n">
        <f aca="false">a25_oi</f>
        <v>6.917</v>
      </c>
      <c r="D1554" s="19" t="n">
        <f aca="false">D1537</f>
        <v>9.728</v>
      </c>
      <c r="E1554" s="19" t="n">
        <f aca="false">$D1554+(im+ima_A)*(E1551-$D1551)</f>
        <v>10.7272102088009</v>
      </c>
      <c r="F1554" s="19" t="n">
        <f aca="false">$D1554+(im+ima_A)*(F1551-$D1551)</f>
        <v>12.1535730427915</v>
      </c>
      <c r="G1554" s="19" t="n">
        <f aca="false">$D1554+(im+ima_A)*(G1551-$D1551)</f>
        <v>12.998185686306</v>
      </c>
      <c r="J1554" s="8" t="s">
        <v>693</v>
      </c>
    </row>
    <row r="1555" customFormat="false" ht="15" hidden="false" customHeight="false" outlineLevel="0" collapsed="false">
      <c r="A1555" s="5" t="s">
        <v>694</v>
      </c>
      <c r="B1555" s="0" t="s">
        <v>94</v>
      </c>
      <c r="C1555" s="11" t="n">
        <f aca="false">C1554/C1551</f>
        <v>0.127232594500138</v>
      </c>
      <c r="D1555" s="11" t="n">
        <f aca="false">D1554/D1551</f>
        <v>0.16</v>
      </c>
      <c r="E1555" s="11" t="n">
        <f aca="false">E1554/E1551</f>
        <v>0.167257170550266</v>
      </c>
      <c r="F1555" s="11" t="n">
        <f aca="false">F1554/F1551</f>
        <v>0.176399068576179</v>
      </c>
      <c r="G1555" s="11" t="n">
        <f aca="false">G1554/G1551</f>
        <v>0.18124009584097</v>
      </c>
    </row>
    <row r="1556" customFormat="false" ht="15" hidden="false" customHeight="false" outlineLevel="0" collapsed="false">
      <c r="A1556" s="5" t="s">
        <v>548</v>
      </c>
      <c r="B1556" s="0" t="s">
        <v>34</v>
      </c>
      <c r="C1556" s="19" t="n">
        <f aca="false">a25_ni</f>
        <v>4.593</v>
      </c>
      <c r="D1556" s="19" t="n">
        <f aca="false">D1538</f>
        <v>6.65</v>
      </c>
      <c r="E1556" s="19" t="n">
        <f aca="false">E1554*nioi</f>
        <v>7.33305385367249</v>
      </c>
      <c r="F1556" s="19" t="n">
        <f aca="false">F1554*nioi</f>
        <v>8.30810657222075</v>
      </c>
      <c r="G1556" s="19" t="n">
        <f aca="false">G1554*nioi</f>
        <v>8.88547849649822</v>
      </c>
    </row>
    <row r="1557" customFormat="false" ht="15" hidden="false" customHeight="false" outlineLevel="0" collapsed="false">
      <c r="A1557" s="0" t="s">
        <v>622</v>
      </c>
      <c r="B1557" s="0" t="s">
        <v>52</v>
      </c>
      <c r="C1557" s="22" t="n">
        <f aca="false">a25_eps</f>
        <v>61.22</v>
      </c>
      <c r="D1557" s="22" t="n">
        <f aca="false">D1556*1000/shares</f>
        <v>88.6313417590952</v>
      </c>
      <c r="E1557" s="22" t="n">
        <f aca="false">E1556*1000/shares</f>
        <v>97.7350980816085</v>
      </c>
      <c r="F1557" s="22" t="n">
        <f aca="false">F1556*1000/shares</f>
        <v>110.730621499772</v>
      </c>
      <c r="G1557" s="22" t="n">
        <f aca="false">G1556*1000/shares</f>
        <v>118.42584681447</v>
      </c>
    </row>
    <row r="1558" customFormat="false" ht="17.15" hidden="false" customHeight="false" outlineLevel="0" collapsed="false">
      <c r="A1558" s="5" t="s">
        <v>695</v>
      </c>
      <c r="B1558" s="0" t="s">
        <v>34</v>
      </c>
      <c r="C1558" s="20" t="n">
        <f aca="false">ABS(C1551-a25_rev)+ABS(C1554-a25_oi)+ABS(D1551-D1536)</f>
        <v>0</v>
      </c>
    </row>
    <row r="1570" customFormat="false" ht="17.15" hidden="false" customHeight="false" outlineLevel="0" collapsed="false">
      <c r="A1570" s="3" t="s">
        <v>1041</v>
      </c>
    </row>
    <row r="1571" customFormat="false" ht="17.15" hidden="false" customHeight="false" outlineLevel="0" collapsed="false">
      <c r="A1571" s="6" t="s">
        <v>23</v>
      </c>
      <c r="B1571" s="6" t="s">
        <v>24</v>
      </c>
      <c r="C1571" s="15" t="s">
        <v>628</v>
      </c>
      <c r="D1571" s="15" t="s">
        <v>629</v>
      </c>
      <c r="E1571" s="15" t="s">
        <v>630</v>
      </c>
      <c r="F1571" s="15" t="s">
        <v>631</v>
      </c>
      <c r="G1571" s="15" t="s">
        <v>632</v>
      </c>
      <c r="H1571" s="15" t="s">
        <v>633</v>
      </c>
      <c r="I1571" s="15" t="s">
        <v>634</v>
      </c>
      <c r="J1571" s="6" t="s">
        <v>468</v>
      </c>
    </row>
    <row r="1572" customFormat="false" ht="17.15" hidden="false" customHeight="false" outlineLevel="0" collapsed="false">
      <c r="A1572" s="1" t="s">
        <v>635</v>
      </c>
    </row>
    <row r="1573" customFormat="false" ht="17.15" hidden="false" customHeight="false" outlineLevel="0" collapsed="false">
      <c r="A1573" s="0" t="s">
        <v>636</v>
      </c>
      <c r="B1573" s="0" t="s">
        <v>111</v>
      </c>
      <c r="C1573" s="21" t="n">
        <f aca="false">hsA_25</f>
        <v>2.22511470588235</v>
      </c>
      <c r="D1573" s="21" t="n">
        <f aca="false">hsA_26</f>
        <v>3.782695</v>
      </c>
      <c r="E1573" s="21" t="n">
        <f aca="false">hsA_27</f>
        <v>5.86317725</v>
      </c>
      <c r="F1573" s="21" t="n">
        <f aca="false">hsA_28</f>
        <v>8.5016070125</v>
      </c>
      <c r="G1573" s="21" t="n">
        <f aca="false">hsA_29</f>
        <v>11.477169466875</v>
      </c>
      <c r="J1573" s="8" t="s">
        <v>637</v>
      </c>
    </row>
    <row r="1574" customFormat="false" ht="17.15" hidden="false" customHeight="false" outlineLevel="0" collapsed="false">
      <c r="A1574" s="0" t="s">
        <v>638</v>
      </c>
      <c r="B1574" s="0" t="s">
        <v>639</v>
      </c>
      <c r="C1574" s="21" t="n">
        <f aca="false">den_25</f>
        <v>24</v>
      </c>
      <c r="D1574" s="21" t="n">
        <f aca="false">den_26</f>
        <v>24</v>
      </c>
      <c r="E1574" s="21" t="n">
        <f aca="false">den_27</f>
        <v>26</v>
      </c>
      <c r="F1574" s="21" t="n">
        <f aca="false">den_28</f>
        <v>28</v>
      </c>
      <c r="G1574" s="21" t="n">
        <f aca="false">den_29</f>
        <v>30</v>
      </c>
    </row>
    <row r="1575" customFormat="false" ht="15" hidden="false" customHeight="false" outlineLevel="0" collapsed="false">
      <c r="A1575" s="5" t="s">
        <v>640</v>
      </c>
      <c r="B1575" s="5" t="s">
        <v>160</v>
      </c>
      <c r="C1575" s="21" t="n">
        <f aca="false">stk_25</f>
        <v>10</v>
      </c>
      <c r="D1575" s="21" t="n">
        <f aca="false">stk_26</f>
        <v>12</v>
      </c>
      <c r="E1575" s="21" t="n">
        <f aca="false">stk_27</f>
        <v>12.5</v>
      </c>
      <c r="F1575" s="21" t="n">
        <f aca="false">stk_28</f>
        <v>14</v>
      </c>
      <c r="G1575" s="21" t="n">
        <f aca="false">stk_29</f>
        <v>15</v>
      </c>
    </row>
    <row r="1576" customFormat="false" ht="17.15" hidden="false" customHeight="false" outlineLevel="0" collapsed="false">
      <c r="A1576" s="0" t="s">
        <v>641</v>
      </c>
      <c r="B1576" s="5" t="s">
        <v>642</v>
      </c>
      <c r="C1576" s="23" t="n">
        <f aca="false">C1573*8/(C1574*C1575)</f>
        <v>0.0741704901960783</v>
      </c>
      <c r="D1576" s="23" t="n">
        <f aca="false">D1573*8/(D1574*D1575)</f>
        <v>0.105074861111111</v>
      </c>
      <c r="E1576" s="23" t="n">
        <f aca="false">E1573*8/(E1574*E1575)</f>
        <v>0.144324363076923</v>
      </c>
      <c r="F1576" s="23" t="n">
        <f aca="false">F1573*8/(F1574*F1575)</f>
        <v>0.173502183928571</v>
      </c>
      <c r="G1576" s="23" t="n">
        <f aca="false">G1573*8/(G1574*G1575)</f>
        <v>0.2040385683</v>
      </c>
      <c r="H1576" s="23" t="n">
        <f aca="false">G1576*(1+g_tail)</f>
        <v>0.22444242513</v>
      </c>
      <c r="I1576" s="23" t="n">
        <f aca="false">H1576*(1+g_tail)</f>
        <v>0.246886667643</v>
      </c>
      <c r="J1576" s="8" t="s">
        <v>643</v>
      </c>
    </row>
    <row r="1577" customFormat="false" ht="17.15" hidden="false" customHeight="false" outlineLevel="0" collapsed="false">
      <c r="A1577" s="0" t="s">
        <v>644</v>
      </c>
      <c r="B1577" s="5" t="s">
        <v>642</v>
      </c>
      <c r="C1577" s="23" t="n">
        <f aca="false">MAX(0,D1576-C1576)+dlt*C1576</f>
        <v>0.0383214199346406</v>
      </c>
      <c r="D1577" s="23" t="n">
        <f aca="false">MAX(0,E1576-D1576)+dlt*D1576</f>
        <v>0.0497569880769231</v>
      </c>
      <c r="E1577" s="23" t="n">
        <f aca="false">MAX(0,F1576-E1576)+dlt*E1576</f>
        <v>0.0436102571593407</v>
      </c>
      <c r="F1577" s="23" t="n">
        <f aca="false">MAX(0,G1576-F1576)+dlt*F1576</f>
        <v>0.0478866027642858</v>
      </c>
      <c r="G1577" s="23" t="n">
        <f aca="false">MAX(0,H1576-G1576)+dlt*G1576</f>
        <v>0.04080771366</v>
      </c>
      <c r="H1577" s="23" t="n">
        <f aca="false">MAX(0,I1576-H1576)+dlt*H1576</f>
        <v>0.044888485026</v>
      </c>
      <c r="J1577" s="5" t="s">
        <v>645</v>
      </c>
    </row>
    <row r="1578" customFormat="false" ht="17.15" hidden="false" customHeight="false" outlineLevel="0" collapsed="false">
      <c r="A1578" s="0" t="s">
        <v>646</v>
      </c>
      <c r="B1578" s="5" t="s">
        <v>183</v>
      </c>
      <c r="C1578" s="14" t="n">
        <f aca="false">cw_25</f>
        <v>670</v>
      </c>
      <c r="D1578" s="14" t="n">
        <f aca="false">cw_26</f>
        <v>1107.85762580894</v>
      </c>
      <c r="E1578" s="14" t="n">
        <f aca="false">cw_27</f>
        <v>2096.42857142857</v>
      </c>
      <c r="F1578" s="14" t="n">
        <f aca="false">cw_28*um28_A</f>
        <v>2620.08928571429</v>
      </c>
      <c r="G1578" s="14" t="n">
        <f aca="false">cw_29*um29_A</f>
        <v>3013.32589285714</v>
      </c>
      <c r="H1578" s="14" t="n">
        <f aca="false">G1578*(1+g_tail)</f>
        <v>3314.65848214285</v>
      </c>
      <c r="I1578" s="14" t="n">
        <f aca="false">H1578*(1+g_tail)</f>
        <v>3646.12433035714</v>
      </c>
      <c r="J1578" s="5" t="s">
        <v>647</v>
      </c>
    </row>
    <row r="1579" customFormat="false" ht="17.15" hidden="false" customHeight="false" outlineLevel="0" collapsed="false">
      <c r="A1579" s="0" t="s">
        <v>648</v>
      </c>
      <c r="B1579" s="5" t="s">
        <v>183</v>
      </c>
      <c r="C1579" s="14" t="n">
        <f aca="false">MAX(0,D1578-C1578)+dlt*C1578</f>
        <v>504.85762580894</v>
      </c>
      <c r="D1579" s="14" t="n">
        <f aca="false">MAX(0,E1578-D1578)+dlt*D1578</f>
        <v>1099.35670820052</v>
      </c>
      <c r="E1579" s="14" t="n">
        <f aca="false">MAX(0,F1578-E1578)+dlt*E1578</f>
        <v>733.303571428577</v>
      </c>
      <c r="F1579" s="14" t="n">
        <f aca="false">MAX(0,G1578-F1578)+dlt*F1578</f>
        <v>655.245535714279</v>
      </c>
      <c r="G1579" s="14" t="n">
        <f aca="false">MAX(0,H1578-G1578)+dlt*G1578</f>
        <v>602.665178571428</v>
      </c>
      <c r="H1579" s="14" t="n">
        <f aca="false">MAX(0,I1578-H1578)+dlt*H1578</f>
        <v>662.931696428571</v>
      </c>
    </row>
    <row r="1580" customFormat="false" ht="17.15" hidden="false" customHeight="false" outlineLevel="0" collapsed="false">
      <c r="A1580" s="5" t="s">
        <v>649</v>
      </c>
      <c r="B1580" s="0" t="s">
        <v>219</v>
      </c>
      <c r="C1580" s="21" t="n">
        <f aca="false">pk_25*(eqtA_25-eqaA_25)/(eqtA_25-eqaA_25)</f>
        <v>6.11313868613139</v>
      </c>
      <c r="D1580" s="21" t="n">
        <f aca="false">pk_26*(eqtA_26-eqaA_26)/(eqtA_26-eqaA_26)</f>
        <v>6.7</v>
      </c>
      <c r="E1580" s="21" t="n">
        <f aca="false">pk_27*(eqtA_27-eqaA_27)/(eqtA_27-eqaA_27)</f>
        <v>7.59078388573934</v>
      </c>
      <c r="F1580" s="21" t="n">
        <f aca="false">pk_28*(eqtA_28-eqaA_28)/(eqtA_28-eqaA_28)</f>
        <v>8.6</v>
      </c>
      <c r="G1580" s="21" t="n">
        <f aca="false">pk_29*(eqtA_29-eqaA_29)/(eqtA_29-eqaA_29)</f>
        <v>9.288</v>
      </c>
      <c r="H1580" s="21" t="n">
        <f aca="false">G1580*(1+g_pk_tail)</f>
        <v>9.7524</v>
      </c>
      <c r="J1580" s="8" t="s">
        <v>650</v>
      </c>
    </row>
    <row r="1581" customFormat="false" ht="15" hidden="false" customHeight="false" outlineLevel="0" collapsed="false">
      <c r="A1581" s="5" t="s">
        <v>651</v>
      </c>
      <c r="B1581" s="0" t="s">
        <v>219</v>
      </c>
      <c r="C1581" s="24" t="n">
        <f aca="false">eqtA_25</f>
        <v>134.689359843138</v>
      </c>
      <c r="D1581" s="24" t="n">
        <f aca="false">eqtA_26</f>
        <v>178.157050570127</v>
      </c>
      <c r="E1581" s="24" t="n">
        <f aca="false">eqtA_27</f>
        <v>218.225535760082</v>
      </c>
      <c r="F1581" s="24" t="n">
        <f aca="false">eqtA_28</f>
        <v>246.028626308958</v>
      </c>
      <c r="G1581" s="24" t="n">
        <f aca="false">eqtA_29</f>
        <v>260.655685855226</v>
      </c>
      <c r="H1581" s="24" t="n">
        <f aca="false">G1581*(1+g_pk_tail)</f>
        <v>273.688470147987</v>
      </c>
      <c r="J1581" s="5" t="s">
        <v>652</v>
      </c>
    </row>
    <row r="1582" customFormat="false" ht="17.15" hidden="false" customHeight="false" outlineLevel="0" collapsed="false">
      <c r="A1582" s="1" t="s">
        <v>653</v>
      </c>
    </row>
    <row r="1583" customFormat="false" ht="17.15" hidden="false" customHeight="false" outlineLevel="0" collapsed="false">
      <c r="A1583" s="0" t="s">
        <v>654</v>
      </c>
      <c r="B1583" s="0" t="s">
        <v>655</v>
      </c>
      <c r="C1583" s="24" t="n">
        <f aca="false">ai_25*w_hbm/(0.75*C1577+0.25*D1577)</f>
        <v>121.417244328233</v>
      </c>
      <c r="J1583" s="5" t="s">
        <v>656</v>
      </c>
    </row>
    <row r="1584" customFormat="false" ht="17.15" hidden="false" customHeight="false" outlineLevel="0" collapsed="false">
      <c r="A1584" s="0" t="s">
        <v>657</v>
      </c>
      <c r="B1584" s="0" t="s">
        <v>658</v>
      </c>
      <c r="C1584" s="25" t="n">
        <f aca="false">ai_25*(1-w_hbm)/(0.75*C1579+0.25*D1579)</f>
        <v>0.0076513155174377</v>
      </c>
    </row>
    <row r="1585" customFormat="false" ht="17.15" hidden="false" customHeight="false" outlineLevel="0" collapsed="false">
      <c r="A1585" s="1" t="s">
        <v>659</v>
      </c>
    </row>
    <row r="1586" customFormat="false" ht="17.15" hidden="false" customHeight="false" outlineLevel="0" collapsed="false">
      <c r="A1586" s="0" t="s">
        <v>660</v>
      </c>
      <c r="B1586" s="0" t="s">
        <v>198</v>
      </c>
      <c r="C1586" s="20" t="n">
        <f aca="false">1-shl_A/sh*0</f>
        <v>1</v>
      </c>
      <c r="D1586" s="20" t="n">
        <f aca="false">1-shl_A/sh*0.25</f>
        <v>1</v>
      </c>
      <c r="E1586" s="20" t="n">
        <f aca="false">1-shl_A/sh*0.5</f>
        <v>1</v>
      </c>
      <c r="F1586" s="20" t="n">
        <f aca="false">1-shl_A/sh*0.75</f>
        <v>1</v>
      </c>
      <c r="G1586" s="20" t="n">
        <f aca="false">1-shl_A/sh*1</f>
        <v>1</v>
      </c>
      <c r="J1586" s="5" t="s">
        <v>661</v>
      </c>
    </row>
    <row r="1587" customFormat="false" ht="17.15" hidden="false" customHeight="false" outlineLevel="0" collapsed="false">
      <c r="A1587" s="0" t="s">
        <v>662</v>
      </c>
      <c r="B1587" s="0" t="s">
        <v>34</v>
      </c>
      <c r="C1587" s="19" t="n">
        <f aca="false">$C$1583*(0.75*C1577+0.25*D1577)*C1586</f>
        <v>5</v>
      </c>
      <c r="D1587" s="19" t="n">
        <f aca="false">$C$1583*(0.75*D1577+0.25*E1577)*D1586</f>
        <v>5.85477659596275</v>
      </c>
      <c r="E1587" s="19" t="n">
        <f aca="false">$C$1583*(0.75*E1577+0.25*F1577)*E1586</f>
        <v>5.42484277351964</v>
      </c>
      <c r="F1587" s="19" t="n">
        <f aca="false">$C$1583*(0.75*F1577+0.25*G1577)*F1586</f>
        <v>5.59938454589345</v>
      </c>
      <c r="G1587" s="19" t="n">
        <f aca="false">$C$1583*(0.75*G1577+0.25*H1577)*G1586</f>
        <v>5.07862914343112</v>
      </c>
    </row>
    <row r="1588" customFormat="false" ht="17.15" hidden="false" customHeight="false" outlineLevel="0" collapsed="false">
      <c r="A1588" s="0" t="s">
        <v>663</v>
      </c>
      <c r="B1588" s="0" t="s">
        <v>34</v>
      </c>
      <c r="C1588" s="19" t="n">
        <f aca="false">$C$1584*(0.75*C1579+0.25*D1579)*C1586</f>
        <v>5</v>
      </c>
      <c r="D1588" s="19" t="n">
        <f aca="false">$C$1584*(0.75*D1579+0.25*E1579)*D1586</f>
        <v>7.71132802925642</v>
      </c>
      <c r="E1588" s="19" t="n">
        <f aca="false">$C$1584*(0.75*E1579+0.25*F1579)*E1586</f>
        <v>5.46142533008358</v>
      </c>
      <c r="F1588" s="19" t="n">
        <f aca="false">$C$1584*(0.75*F1579+0.25*G1579)*F1586</f>
        <v>4.91291310951257</v>
      </c>
      <c r="G1588" s="19" t="n">
        <f aca="false">$C$1584*(0.75*G1579+0.25*H1579)*G1586</f>
        <v>4.72646096843851</v>
      </c>
    </row>
    <row r="1589" customFormat="false" ht="17.15" hidden="false" customHeight="false" outlineLevel="0" collapsed="false">
      <c r="A1589" s="5" t="s">
        <v>664</v>
      </c>
      <c r="B1589" s="0" t="s">
        <v>34</v>
      </c>
      <c r="C1589" s="19" t="n">
        <f aca="false">(seg_mold-ai_25)*(0.75*C1580+0.25*D1580)/(0.75*C1580+0.25*D1580)</f>
        <v>26.46</v>
      </c>
      <c r="D1589" s="19" t="n">
        <f aca="false">(seg_mold-ai_25)*(0.75*D1580+0.25*E1580)/(0.75*C1580+0.25*D1580)</f>
        <v>29.2617902872793</v>
      </c>
      <c r="E1589" s="19" t="n">
        <f aca="false">(seg_mold-ai_25)*(0.75*E1580+0.25*F1580)/(0.75*C1580+0.25*D1580)</f>
        <v>33.1522277881438</v>
      </c>
      <c r="F1589" s="19" t="n">
        <f aca="false">(seg_mold-ai_25)*(0.75*F1580+0.25*G1580)/(0.75*C1580+0.25*D1580)</f>
        <v>37.0786793843283</v>
      </c>
      <c r="G1589" s="19" t="n">
        <f aca="false">(seg_mold-ai_25)*(0.75*G1580+0.25*H1580)/(0.75*C1580+0.25*D1580)</f>
        <v>39.7505253987873</v>
      </c>
      <c r="J1589" s="8" t="s">
        <v>665</v>
      </c>
    </row>
    <row r="1590" customFormat="false" ht="15" hidden="false" customHeight="false" outlineLevel="0" collapsed="false">
      <c r="A1590" s="5" t="s">
        <v>666</v>
      </c>
      <c r="B1590" s="0" t="s">
        <v>34</v>
      </c>
      <c r="C1590" s="19" t="n">
        <f aca="false">seg_osemi*(0.75*C1581+0.25*D1581)/(0.75*C1581+0.25*D1581)</f>
        <v>3.93</v>
      </c>
      <c r="D1590" s="19" t="n">
        <f aca="false">seg_osemi*(0.75*D1581+0.25*E1581)/(0.75*C1581+0.25*D1581)</f>
        <v>5.08067726525852</v>
      </c>
      <c r="E1590" s="19" t="n">
        <f aca="false">seg_osemi*(0.75*E1581+0.25*F1581)/(0.75*C1581+0.25*D1581)</f>
        <v>6.0797299618455</v>
      </c>
      <c r="F1590" s="19" t="n">
        <f aca="false">seg_osemi*(0.75*F1581+0.25*G1581)/(0.75*C1581+0.25*D1581)</f>
        <v>6.74147189236335</v>
      </c>
      <c r="G1590" s="19" t="n">
        <f aca="false">seg_osemi*(0.75*G1581+0.25*H1581)/(0.75*C1581+0.25*D1581)</f>
        <v>7.12563922344852</v>
      </c>
      <c r="J1590" s="5" t="s">
        <v>667</v>
      </c>
    </row>
    <row r="1591" customFormat="false" ht="17.15" hidden="false" customHeight="false" outlineLevel="0" collapsed="false">
      <c r="A1591" s="5" t="s">
        <v>668</v>
      </c>
      <c r="B1591" s="0" t="s">
        <v>34</v>
      </c>
      <c r="C1591" s="19" t="n">
        <f aca="false">seg_new</f>
        <v>9.47</v>
      </c>
      <c r="D1591" s="19" t="n">
        <f aca="false">C1591*(1+g_tss)</f>
        <v>9.7541</v>
      </c>
      <c r="E1591" s="19" t="n">
        <f aca="false">D1591*(1+g_tss)</f>
        <v>10.046723</v>
      </c>
      <c r="F1591" s="19" t="n">
        <f aca="false">E1591*(1+g_tss)</f>
        <v>10.34812469</v>
      </c>
      <c r="G1591" s="19" t="n">
        <f aca="false">F1591*(1+g_tss)</f>
        <v>10.6585684307</v>
      </c>
    </row>
    <row r="1592" customFormat="false" ht="15" hidden="false" customHeight="false" outlineLevel="0" collapsed="false">
      <c r="A1592" s="5" t="s">
        <v>669</v>
      </c>
      <c r="B1592" s="0" t="s">
        <v>34</v>
      </c>
      <c r="C1592" s="19" t="n">
        <f aca="false">seg_med</f>
        <v>2.48</v>
      </c>
      <c r="D1592" s="19" t="n">
        <f aca="false">C1592*(1+g_med)</f>
        <v>2.5544</v>
      </c>
      <c r="E1592" s="19" t="n">
        <f aca="false">D1592*(1+g_med)</f>
        <v>2.631032</v>
      </c>
      <c r="F1592" s="19" t="n">
        <f aca="false">E1592*(1+g_med)</f>
        <v>2.70996296</v>
      </c>
      <c r="G1592" s="19" t="n">
        <f aca="false">F1592*(1+g_med)</f>
        <v>2.7912618488</v>
      </c>
    </row>
    <row r="1593" customFormat="false" ht="15" hidden="false" customHeight="false" outlineLevel="0" collapsed="false">
      <c r="A1593" s="5" t="s">
        <v>670</v>
      </c>
      <c r="B1593" s="0" t="s">
        <v>34</v>
      </c>
      <c r="C1593" s="19" t="n">
        <f aca="false">seg_las*(0.75*C1581+0.25*D1581)/(0.75*C1581+0.25*D1581)</f>
        <v>2</v>
      </c>
      <c r="D1593" s="19" t="n">
        <f aca="false">seg_las*(0.75*D1581+0.25*E1581)/(0.75*C1581+0.25*D1581)</f>
        <v>2.5855863945336</v>
      </c>
      <c r="E1593" s="19" t="n">
        <f aca="false">seg_las*(0.75*E1581+0.25*F1581)/(0.75*C1581+0.25*D1581)</f>
        <v>3.0940101587</v>
      </c>
      <c r="F1593" s="19" t="n">
        <f aca="false">seg_las*(0.75*F1581+0.25*G1581)/(0.75*C1581+0.25*D1581)</f>
        <v>3.43077449993046</v>
      </c>
      <c r="G1593" s="19" t="n">
        <f aca="false">seg_las*(0.75*G1581+0.25*H1581)/(0.75*C1581+0.25*D1581)</f>
        <v>3.62627950302724</v>
      </c>
      <c r="J1593" s="5" t="s">
        <v>667</v>
      </c>
    </row>
    <row r="1594" customFormat="false" ht="15" hidden="false" customHeight="false" outlineLevel="0" collapsed="false">
      <c r="A1594" s="5" t="s">
        <v>671</v>
      </c>
      <c r="B1594" s="0" t="s">
        <v>34</v>
      </c>
      <c r="C1594" s="19" t="n">
        <f aca="false">C1587+C1588+C1589+C1590+C1591+C1592+C1593+seg_adj</f>
        <v>54.365</v>
      </c>
      <c r="D1594" s="19" t="n">
        <f aca="false">D1587+D1588+D1589+D1590+D1591+D1592+D1593</f>
        <v>62.8026585722905</v>
      </c>
      <c r="E1594" s="19" t="n">
        <f aca="false">E1587+E1588+E1589+E1590+E1591+E1592+E1593</f>
        <v>65.8899910122925</v>
      </c>
      <c r="F1594" s="19" t="n">
        <f aca="false">F1587+F1588+F1589+F1590+F1591+F1592+F1593</f>
        <v>70.8213110820282</v>
      </c>
      <c r="G1594" s="19" t="n">
        <f aca="false">G1587+G1588+G1589+G1590+G1591+G1592+G1593</f>
        <v>73.7573645166327</v>
      </c>
    </row>
    <row r="1595" customFormat="false" ht="17.15" hidden="false" customHeight="false" outlineLevel="0" collapsed="false">
      <c r="A1595" s="1" t="s">
        <v>672</v>
      </c>
    </row>
    <row r="1596" customFormat="false" ht="17.15" hidden="false" customHeight="false" outlineLevel="0" collapsed="false">
      <c r="A1596" s="0" t="s">
        <v>673</v>
      </c>
      <c r="B1596" s="0" t="s">
        <v>34</v>
      </c>
      <c r="D1596" s="19" t="n">
        <f aca="false">g26_rev*(1+g_anc_hi)</f>
        <v>69.12</v>
      </c>
    </row>
    <row r="1597" customFormat="false" ht="17.15" hidden="false" customHeight="false" outlineLevel="0" collapsed="false">
      <c r="A1597" s="0" t="s">
        <v>674</v>
      </c>
      <c r="B1597" s="0" t="s">
        <v>34</v>
      </c>
      <c r="D1597" s="19" t="n">
        <f aca="false">D1596*g26_oi/g26_rev</f>
        <v>11.0592</v>
      </c>
    </row>
    <row r="1598" customFormat="false" ht="17.15" hidden="false" customHeight="false" outlineLevel="0" collapsed="false">
      <c r="A1598" s="0" t="s">
        <v>675</v>
      </c>
      <c r="B1598" s="0" t="s">
        <v>34</v>
      </c>
      <c r="D1598" s="19" t="n">
        <f aca="false">D1597*g26_ni/g26_oi</f>
        <v>7.56</v>
      </c>
    </row>
    <row r="1599" customFormat="false" ht="17.15" hidden="false" customHeight="false" outlineLevel="0" collapsed="false">
      <c r="A1599" s="5" t="s">
        <v>676</v>
      </c>
      <c r="B1599" s="0" t="s">
        <v>198</v>
      </c>
      <c r="D1599" s="20" t="n">
        <f aca="false">D1596/D1594</f>
        <v>1.10059035033426</v>
      </c>
      <c r="J1599" s="8" t="s">
        <v>677</v>
      </c>
    </row>
    <row r="1600" customFormat="false" ht="17.15" hidden="false" customHeight="false" outlineLevel="0" collapsed="false">
      <c r="A1600" s="5" t="s">
        <v>678</v>
      </c>
      <c r="B1600" s="0" t="s">
        <v>198</v>
      </c>
      <c r="D1600" s="20" t="n">
        <f aca="false">1+1*(D1599-1)</f>
        <v>1.10059035033426</v>
      </c>
      <c r="J1600" s="8" t="s">
        <v>679</v>
      </c>
    </row>
    <row r="1601" customFormat="false" ht="17.15" hidden="false" customHeight="false" outlineLevel="0" collapsed="false">
      <c r="A1601" s="1" t="s">
        <v>680</v>
      </c>
    </row>
    <row r="1602" customFormat="false" ht="17.15" hidden="false" customHeight="false" outlineLevel="0" collapsed="false">
      <c r="A1602" s="0" t="s">
        <v>681</v>
      </c>
      <c r="B1602" s="0" t="s">
        <v>34</v>
      </c>
      <c r="C1602" s="19" t="n">
        <f aca="false">C1587*1</f>
        <v>5</v>
      </c>
      <c r="D1602" s="19" t="n">
        <f aca="false">D1587*$D$1599</f>
        <v>6.44371062487945</v>
      </c>
      <c r="E1602" s="19" t="n">
        <f aca="false">E1587*1</f>
        <v>5.42484277351964</v>
      </c>
      <c r="F1602" s="19" t="n">
        <f aca="false">F1587*1</f>
        <v>5.59938454589345</v>
      </c>
      <c r="G1602" s="19" t="n">
        <f aca="false">G1587*1</f>
        <v>5.07862914343112</v>
      </c>
    </row>
    <row r="1603" customFormat="false" ht="17.15" hidden="false" customHeight="false" outlineLevel="0" collapsed="false">
      <c r="A1603" s="0" t="s">
        <v>682</v>
      </c>
      <c r="B1603" s="0" t="s">
        <v>34</v>
      </c>
      <c r="C1603" s="19" t="n">
        <f aca="false">C1588*1</f>
        <v>5</v>
      </c>
      <c r="D1603" s="19" t="n">
        <f aca="false">D1588*$D$1599</f>
        <v>8.4870132172617</v>
      </c>
      <c r="E1603" s="19" t="n">
        <f aca="false">E1588*1</f>
        <v>5.46142533008358</v>
      </c>
      <c r="F1603" s="19" t="n">
        <f aca="false">F1588*1</f>
        <v>4.91291310951257</v>
      </c>
      <c r="G1603" s="19" t="n">
        <f aca="false">G1588*1</f>
        <v>4.72646096843851</v>
      </c>
    </row>
    <row r="1604" customFormat="false" ht="17.15" hidden="false" customHeight="false" outlineLevel="0" collapsed="false">
      <c r="A1604" s="5" t="s">
        <v>683</v>
      </c>
      <c r="B1604" s="0" t="s">
        <v>34</v>
      </c>
      <c r="C1604" s="19" t="n">
        <f aca="false">C1589*1</f>
        <v>26.46</v>
      </c>
      <c r="D1604" s="19" t="n">
        <f aca="false">D1589*$D$1599</f>
        <v>32.2052440236843</v>
      </c>
      <c r="E1604" s="19" t="n">
        <f aca="false">E1589*$D$1600</f>
        <v>36.4870219957143</v>
      </c>
      <c r="F1604" s="19" t="n">
        <f aca="false">F1589*$D$1600</f>
        <v>40.8084367335295</v>
      </c>
      <c r="G1604" s="19" t="n">
        <f aca="false">G1589*$D$1600</f>
        <v>43.7490446746221</v>
      </c>
    </row>
    <row r="1605" customFormat="false" ht="15" hidden="false" customHeight="false" outlineLevel="0" collapsed="false">
      <c r="A1605" s="5" t="s">
        <v>684</v>
      </c>
      <c r="B1605" s="0" t="s">
        <v>34</v>
      </c>
      <c r="C1605" s="19" t="n">
        <f aca="false">C1590*1</f>
        <v>3.93</v>
      </c>
      <c r="D1605" s="19" t="n">
        <f aca="false">D1590*$D$1599</f>
        <v>5.59174437130617</v>
      </c>
      <c r="E1605" s="19" t="n">
        <f aca="false">E1590*$D$1600</f>
        <v>6.69129212864522</v>
      </c>
      <c r="F1605" s="19" t="n">
        <f aca="false">F1590*$D$1600</f>
        <v>7.41959891178473</v>
      </c>
      <c r="G1605" s="19" t="n">
        <f aca="false">G1590*$D$1600</f>
        <v>7.84240976929073</v>
      </c>
    </row>
    <row r="1606" customFormat="false" ht="17.15" hidden="false" customHeight="false" outlineLevel="0" collapsed="false">
      <c r="A1606" s="5" t="s">
        <v>685</v>
      </c>
      <c r="B1606" s="0" t="s">
        <v>34</v>
      </c>
      <c r="C1606" s="19" t="n">
        <f aca="false">C1591*1</f>
        <v>9.47</v>
      </c>
      <c r="D1606" s="19" t="n">
        <f aca="false">D1591*$D$1599</f>
        <v>10.7352683361954</v>
      </c>
      <c r="E1606" s="19" t="n">
        <f aca="false">E1591*$D$1600</f>
        <v>11.0573263862812</v>
      </c>
      <c r="F1606" s="19" t="n">
        <f aca="false">F1591*$D$1600</f>
        <v>11.3890461778697</v>
      </c>
      <c r="G1606" s="19" t="n">
        <f aca="false">G1591*$D$1600</f>
        <v>11.7307175632058</v>
      </c>
    </row>
    <row r="1607" customFormat="false" ht="15" hidden="false" customHeight="false" outlineLevel="0" collapsed="false">
      <c r="A1607" s="5" t="s">
        <v>686</v>
      </c>
      <c r="B1607" s="0" t="s">
        <v>34</v>
      </c>
      <c r="C1607" s="19" t="n">
        <f aca="false">C1592*1</f>
        <v>2.48</v>
      </c>
      <c r="D1607" s="19" t="n">
        <f aca="false">D1592*$D$1599</f>
        <v>2.81134799089383</v>
      </c>
      <c r="E1607" s="19" t="n">
        <f aca="false">E1592*$D$1600</f>
        <v>2.89568843062064</v>
      </c>
      <c r="F1607" s="19" t="n">
        <f aca="false">F1592*$D$1600</f>
        <v>2.98255908353926</v>
      </c>
      <c r="G1607" s="19" t="n">
        <f aca="false">G1592*$D$1600</f>
        <v>3.07203585604544</v>
      </c>
    </row>
    <row r="1608" customFormat="false" ht="15" hidden="false" customHeight="false" outlineLevel="0" collapsed="false">
      <c r="A1608" s="5" t="s">
        <v>687</v>
      </c>
      <c r="B1608" s="0" t="s">
        <v>34</v>
      </c>
      <c r="C1608" s="19" t="n">
        <f aca="false">C1593*1</f>
        <v>2</v>
      </c>
      <c r="D1608" s="19" t="n">
        <f aca="false">D1593*$D$1599</f>
        <v>2.84567143577922</v>
      </c>
      <c r="E1608" s="19" t="n">
        <f aca="false">E1593*$D$1600</f>
        <v>3.40523772450138</v>
      </c>
      <c r="F1608" s="19" t="n">
        <f aca="false">F1593*$D$1600</f>
        <v>3.7758773087963</v>
      </c>
      <c r="G1608" s="19" t="n">
        <f aca="false">G1593*$D$1600</f>
        <v>3.99104822864668</v>
      </c>
    </row>
    <row r="1609" customFormat="false" ht="17.15" hidden="false" customHeight="false" outlineLevel="0" collapsed="false">
      <c r="A1609" s="0" t="s">
        <v>688</v>
      </c>
      <c r="B1609" s="0" t="s">
        <v>34</v>
      </c>
      <c r="C1609" s="19" t="n">
        <f aca="false">C1602+C1603</f>
        <v>10</v>
      </c>
      <c r="D1609" s="19" t="n">
        <f aca="false">D1602+D1603</f>
        <v>14.9307238421412</v>
      </c>
      <c r="E1609" s="19" t="n">
        <f aca="false">E1602+E1603</f>
        <v>10.8862681036032</v>
      </c>
      <c r="F1609" s="19" t="n">
        <f aca="false">F1602+F1603</f>
        <v>10.512297655406</v>
      </c>
      <c r="G1609" s="19" t="n">
        <f aca="false">G1602+G1603</f>
        <v>9.80509011186963</v>
      </c>
    </row>
    <row r="1610" customFormat="false" ht="17.15" hidden="false" customHeight="false" outlineLevel="0" collapsed="false">
      <c r="A1610" s="5" t="s">
        <v>689</v>
      </c>
      <c r="B1610" s="0" t="s">
        <v>34</v>
      </c>
      <c r="C1610" s="19" t="n">
        <f aca="false">C1609+C1604+C1605</f>
        <v>40.39</v>
      </c>
      <c r="D1610" s="19" t="n">
        <f aca="false">D1609+D1604+D1605</f>
        <v>52.7277122371316</v>
      </c>
      <c r="E1610" s="19" t="n">
        <f aca="false">E1609+E1604+E1605</f>
        <v>54.0645822279627</v>
      </c>
      <c r="F1610" s="19" t="n">
        <f aca="false">F1609+F1604+F1605</f>
        <v>58.7403333007203</v>
      </c>
      <c r="G1610" s="19" t="n">
        <f aca="false">G1609+G1604+G1605</f>
        <v>61.3965445557825</v>
      </c>
      <c r="J1610" s="5" t="s">
        <v>690</v>
      </c>
    </row>
    <row r="1611" customFormat="false" ht="17.15" hidden="false" customHeight="false" outlineLevel="0" collapsed="false">
      <c r="A1611" s="5" t="s">
        <v>541</v>
      </c>
      <c r="B1611" s="0" t="s">
        <v>34</v>
      </c>
      <c r="C1611" s="19" t="n">
        <f aca="false">C1610+C1606+C1607+C1608+seg_adj</f>
        <v>54.365</v>
      </c>
      <c r="D1611" s="19" t="n">
        <f aca="false">D1610+D1606+D1607+D1608</f>
        <v>69.12</v>
      </c>
      <c r="E1611" s="19" t="n">
        <f aca="false">E1610+E1606+E1607+E1608</f>
        <v>71.422834769366</v>
      </c>
      <c r="F1611" s="19" t="n">
        <f aca="false">F1610+F1606+F1607+F1608</f>
        <v>76.8878158709255</v>
      </c>
      <c r="G1611" s="19" t="n">
        <f aca="false">G1610+G1606+G1607+G1608</f>
        <v>80.1903462036804</v>
      </c>
      <c r="J1611" s="8" t="s">
        <v>691</v>
      </c>
    </row>
    <row r="1612" customFormat="false" ht="17.15" hidden="false" customHeight="false" outlineLevel="0" collapsed="false">
      <c r="A1612" s="5" t="s">
        <v>692</v>
      </c>
      <c r="B1612" s="0" t="s">
        <v>34</v>
      </c>
      <c r="C1612" s="20" t="n">
        <f aca="false">C1610+C1606+C1607+C1608-a25_rev</f>
        <v>-0.0249999999999986</v>
      </c>
    </row>
    <row r="1613" customFormat="false" ht="17.15" hidden="false" customHeight="false" outlineLevel="0" collapsed="false">
      <c r="A1613" s="0" t="s">
        <v>621</v>
      </c>
      <c r="B1613" s="0" t="s">
        <v>94</v>
      </c>
      <c r="C1613" s="11" t="n">
        <f aca="false">C1609/C1611</f>
        <v>0.1839418743677</v>
      </c>
      <c r="D1613" s="11" t="n">
        <f aca="false">D1609/D1611</f>
        <v>0.216011629660607</v>
      </c>
      <c r="E1613" s="11" t="n">
        <f aca="false">E1609/E1611</f>
        <v>0.152419994792372</v>
      </c>
      <c r="F1613" s="11" t="n">
        <f aca="false">F1609/F1611</f>
        <v>0.13672254226929</v>
      </c>
      <c r="G1613" s="11" t="n">
        <f aca="false">G1609/G1611</f>
        <v>0.122272699596097</v>
      </c>
    </row>
    <row r="1614" customFormat="false" ht="17.15" hidden="false" customHeight="false" outlineLevel="0" collapsed="false">
      <c r="A1614" s="5" t="s">
        <v>545</v>
      </c>
      <c r="B1614" s="0" t="s">
        <v>34</v>
      </c>
      <c r="C1614" s="19" t="n">
        <f aca="false">a25_oi</f>
        <v>6.917</v>
      </c>
      <c r="D1614" s="19" t="n">
        <f aca="false">D1597</f>
        <v>11.0592</v>
      </c>
      <c r="E1614" s="19" t="n">
        <f aca="false">$D1614+(im+ima_A)*(E1611-$D1611)</f>
        <v>11.7489476625406</v>
      </c>
      <c r="F1614" s="19" t="n">
        <f aca="false">$D1614+(im+ima_A)*(F1611-$D1611)</f>
        <v>13.3858249542915</v>
      </c>
      <c r="G1614" s="19" t="n">
        <f aca="false">$D1614+(im+ima_A)*(G1611-$D1611)</f>
        <v>14.3750025573873</v>
      </c>
      <c r="J1614" s="8" t="s">
        <v>693</v>
      </c>
    </row>
    <row r="1615" customFormat="false" ht="15" hidden="false" customHeight="false" outlineLevel="0" collapsed="false">
      <c r="A1615" s="5" t="s">
        <v>694</v>
      </c>
      <c r="B1615" s="0" t="s">
        <v>94</v>
      </c>
      <c r="C1615" s="11" t="n">
        <f aca="false">C1614/C1611</f>
        <v>0.127232594500138</v>
      </c>
      <c r="D1615" s="11" t="n">
        <f aca="false">D1614/D1611</f>
        <v>0.16</v>
      </c>
      <c r="E1615" s="11" t="n">
        <f aca="false">E1614/E1611</f>
        <v>0.164498478679537</v>
      </c>
      <c r="F1615" s="11" t="n">
        <f aca="false">F1614/F1611</f>
        <v>0.174095528695506</v>
      </c>
      <c r="G1615" s="11" t="n">
        <f aca="false">G1614/G1611</f>
        <v>0.179261011305218</v>
      </c>
    </row>
    <row r="1616" customFormat="false" ht="15" hidden="false" customHeight="false" outlineLevel="0" collapsed="false">
      <c r="A1616" s="5" t="s">
        <v>548</v>
      </c>
      <c r="B1616" s="0" t="s">
        <v>34</v>
      </c>
      <c r="C1616" s="19" t="n">
        <f aca="false">a25_ni</f>
        <v>4.593</v>
      </c>
      <c r="D1616" s="19" t="n">
        <f aca="false">D1598</f>
        <v>7.56</v>
      </c>
      <c r="E1616" s="19" t="n">
        <f aca="false">E1614*nioi</f>
        <v>8.03150719118988</v>
      </c>
      <c r="F1616" s="19" t="n">
        <f aca="false">F1614*nioi</f>
        <v>9.15046627734768</v>
      </c>
      <c r="G1616" s="19" t="n">
        <f aca="false">G1614*nioi</f>
        <v>9.82666190446397</v>
      </c>
    </row>
    <row r="1617" customFormat="false" ht="15" hidden="false" customHeight="false" outlineLevel="0" collapsed="false">
      <c r="A1617" s="0" t="s">
        <v>622</v>
      </c>
      <c r="B1617" s="0" t="s">
        <v>52</v>
      </c>
      <c r="C1617" s="22" t="n">
        <f aca="false">a25_eps</f>
        <v>61.22</v>
      </c>
      <c r="D1617" s="22" t="n">
        <f aca="false">D1616*1000/shares</f>
        <v>100.759841157708</v>
      </c>
      <c r="E1617" s="22" t="n">
        <f aca="false">E1616*1000/shares</f>
        <v>107.04409905308</v>
      </c>
      <c r="F1617" s="22" t="n">
        <f aca="false">F1616*1000/shares</f>
        <v>121.957609606418</v>
      </c>
      <c r="G1617" s="22" t="n">
        <f aca="false">G1616*1000/shares</f>
        <v>130.969959339192</v>
      </c>
    </row>
    <row r="1618" customFormat="false" ht="17.15" hidden="false" customHeight="false" outlineLevel="0" collapsed="false">
      <c r="A1618" s="5" t="s">
        <v>695</v>
      </c>
      <c r="B1618" s="0" t="s">
        <v>34</v>
      </c>
      <c r="C1618" s="20" t="n">
        <f aca="false">ABS(C1611-a25_rev)+ABS(C1614-a25_oi)+ABS(D1611-D1596)</f>
        <v>0</v>
      </c>
    </row>
    <row r="1630" customFormat="false" ht="17.15" hidden="false" customHeight="false" outlineLevel="0" collapsed="false">
      <c r="A1630" s="3" t="s">
        <v>1042</v>
      </c>
    </row>
    <row r="1631" customFormat="false" ht="17.15" hidden="false" customHeight="false" outlineLevel="0" collapsed="false">
      <c r="A1631" s="6" t="s">
        <v>23</v>
      </c>
      <c r="B1631" s="6" t="s">
        <v>24</v>
      </c>
      <c r="C1631" s="15" t="s">
        <v>628</v>
      </c>
      <c r="D1631" s="15" t="s">
        <v>629</v>
      </c>
      <c r="E1631" s="15" t="s">
        <v>630</v>
      </c>
      <c r="F1631" s="15" t="s">
        <v>631</v>
      </c>
      <c r="G1631" s="15" t="s">
        <v>632</v>
      </c>
      <c r="H1631" s="15" t="s">
        <v>633</v>
      </c>
      <c r="I1631" s="15" t="s">
        <v>634</v>
      </c>
      <c r="J1631" s="6" t="s">
        <v>468</v>
      </c>
    </row>
    <row r="1632" customFormat="false" ht="17.15" hidden="false" customHeight="false" outlineLevel="0" collapsed="false">
      <c r="A1632" s="1" t="s">
        <v>635</v>
      </c>
    </row>
    <row r="1633" customFormat="false" ht="17.15" hidden="false" customHeight="false" outlineLevel="0" collapsed="false">
      <c r="A1633" s="0" t="s">
        <v>636</v>
      </c>
      <c r="B1633" s="0" t="s">
        <v>111</v>
      </c>
      <c r="C1633" s="21" t="n">
        <f aca="false">hsA_25</f>
        <v>2.22511470588235</v>
      </c>
      <c r="D1633" s="21" t="n">
        <f aca="false">hsA_26</f>
        <v>3.782695</v>
      </c>
      <c r="E1633" s="21" t="n">
        <f aca="false">hsA_27</f>
        <v>5.86317725</v>
      </c>
      <c r="F1633" s="21" t="n">
        <f aca="false">hsA_28</f>
        <v>8.5016070125</v>
      </c>
      <c r="G1633" s="21" t="n">
        <f aca="false">hsA_29</f>
        <v>11.477169466875</v>
      </c>
      <c r="J1633" s="8" t="s">
        <v>637</v>
      </c>
    </row>
    <row r="1634" customFormat="false" ht="17.15" hidden="false" customHeight="false" outlineLevel="0" collapsed="false">
      <c r="A1634" s="0" t="s">
        <v>638</v>
      </c>
      <c r="B1634" s="0" t="s">
        <v>639</v>
      </c>
      <c r="C1634" s="21" t="n">
        <f aca="false">den_25</f>
        <v>24</v>
      </c>
      <c r="D1634" s="21" t="n">
        <f aca="false">den_26</f>
        <v>24</v>
      </c>
      <c r="E1634" s="21" t="n">
        <f aca="false">den_27</f>
        <v>26</v>
      </c>
      <c r="F1634" s="21" t="n">
        <f aca="false">den_28</f>
        <v>28</v>
      </c>
      <c r="G1634" s="21" t="n">
        <f aca="false">den_29</f>
        <v>30</v>
      </c>
    </row>
    <row r="1635" customFormat="false" ht="15" hidden="false" customHeight="false" outlineLevel="0" collapsed="false">
      <c r="A1635" s="5" t="s">
        <v>640</v>
      </c>
      <c r="B1635" s="5" t="s">
        <v>160</v>
      </c>
      <c r="C1635" s="21" t="n">
        <f aca="false">stk_25</f>
        <v>10</v>
      </c>
      <c r="D1635" s="21" t="n">
        <f aca="false">stk_26</f>
        <v>12</v>
      </c>
      <c r="E1635" s="21" t="n">
        <f aca="false">stk_27</f>
        <v>12.5</v>
      </c>
      <c r="F1635" s="21" t="n">
        <f aca="false">stk_28</f>
        <v>14</v>
      </c>
      <c r="G1635" s="21" t="n">
        <f aca="false">stk_29</f>
        <v>15</v>
      </c>
    </row>
    <row r="1636" customFormat="false" ht="17.15" hidden="false" customHeight="false" outlineLevel="0" collapsed="false">
      <c r="A1636" s="0" t="s">
        <v>641</v>
      </c>
      <c r="B1636" s="5" t="s">
        <v>642</v>
      </c>
      <c r="C1636" s="23" t="n">
        <f aca="false">C1633*8/(C1634*C1635)</f>
        <v>0.0741704901960783</v>
      </c>
      <c r="D1636" s="23" t="n">
        <f aca="false">D1633*8/(D1634*D1635)</f>
        <v>0.105074861111111</v>
      </c>
      <c r="E1636" s="23" t="n">
        <f aca="false">E1633*8/(E1634*E1635)</f>
        <v>0.144324363076923</v>
      </c>
      <c r="F1636" s="23" t="n">
        <f aca="false">F1633*8/(F1634*F1635)</f>
        <v>0.173502183928571</v>
      </c>
      <c r="G1636" s="23" t="n">
        <f aca="false">G1633*8/(G1634*G1635)</f>
        <v>0.2040385683</v>
      </c>
      <c r="H1636" s="23" t="n">
        <f aca="false">G1636*(1+g_tail)</f>
        <v>0.22444242513</v>
      </c>
      <c r="I1636" s="23" t="n">
        <f aca="false">H1636*(1+g_tail)</f>
        <v>0.246886667643</v>
      </c>
      <c r="J1636" s="8" t="s">
        <v>643</v>
      </c>
    </row>
    <row r="1637" customFormat="false" ht="17.15" hidden="false" customHeight="false" outlineLevel="0" collapsed="false">
      <c r="A1637" s="0" t="s">
        <v>644</v>
      </c>
      <c r="B1637" s="5" t="s">
        <v>642</v>
      </c>
      <c r="C1637" s="23" t="n">
        <f aca="false">MAX(0,D1636-C1636)+dlt*C1636</f>
        <v>0.0383214199346406</v>
      </c>
      <c r="D1637" s="23" t="n">
        <f aca="false">MAX(0,E1636-D1636)+dlt*D1636</f>
        <v>0.0497569880769231</v>
      </c>
      <c r="E1637" s="23" t="n">
        <f aca="false">MAX(0,F1636-E1636)+dlt*E1636</f>
        <v>0.0436102571593407</v>
      </c>
      <c r="F1637" s="23" t="n">
        <f aca="false">MAX(0,G1636-F1636)+dlt*F1636</f>
        <v>0.0478866027642858</v>
      </c>
      <c r="G1637" s="23" t="n">
        <f aca="false">MAX(0,H1636-G1636)+dlt*G1636</f>
        <v>0.04080771366</v>
      </c>
      <c r="H1637" s="23" t="n">
        <f aca="false">MAX(0,I1636-H1636)+dlt*H1636</f>
        <v>0.044888485026</v>
      </c>
      <c r="J1637" s="5" t="s">
        <v>645</v>
      </c>
    </row>
    <row r="1638" customFormat="false" ht="17.15" hidden="false" customHeight="false" outlineLevel="0" collapsed="false">
      <c r="A1638" s="0" t="s">
        <v>646</v>
      </c>
      <c r="B1638" s="5" t="s">
        <v>183</v>
      </c>
      <c r="C1638" s="14" t="n">
        <f aca="false">cw_25</f>
        <v>670</v>
      </c>
      <c r="D1638" s="14" t="n">
        <f aca="false">cw_26</f>
        <v>1107.85762580894</v>
      </c>
      <c r="E1638" s="14" t="n">
        <f aca="false">cw_27</f>
        <v>2096.42857142857</v>
      </c>
      <c r="F1638" s="14" t="n">
        <f aca="false">cw_28*um28_A</f>
        <v>2620.08928571429</v>
      </c>
      <c r="G1638" s="14" t="n">
        <f aca="false">cw_29*um29_A</f>
        <v>3013.32589285714</v>
      </c>
      <c r="H1638" s="14" t="n">
        <f aca="false">G1638*(1+g_tail)</f>
        <v>3314.65848214285</v>
      </c>
      <c r="I1638" s="14" t="n">
        <f aca="false">H1638*(1+g_tail)</f>
        <v>3646.12433035714</v>
      </c>
      <c r="J1638" s="5" t="s">
        <v>647</v>
      </c>
    </row>
    <row r="1639" customFormat="false" ht="17.15" hidden="false" customHeight="false" outlineLevel="0" collapsed="false">
      <c r="A1639" s="0" t="s">
        <v>648</v>
      </c>
      <c r="B1639" s="5" t="s">
        <v>183</v>
      </c>
      <c r="C1639" s="14" t="n">
        <f aca="false">MAX(0,D1638-C1638)+dlt*C1638</f>
        <v>504.85762580894</v>
      </c>
      <c r="D1639" s="14" t="n">
        <f aca="false">MAX(0,E1638-D1638)+dlt*D1638</f>
        <v>1099.35670820052</v>
      </c>
      <c r="E1639" s="14" t="n">
        <f aca="false">MAX(0,F1638-E1638)+dlt*E1638</f>
        <v>733.303571428577</v>
      </c>
      <c r="F1639" s="14" t="n">
        <f aca="false">MAX(0,G1638-F1638)+dlt*F1638</f>
        <v>655.245535714279</v>
      </c>
      <c r="G1639" s="14" t="n">
        <f aca="false">MAX(0,H1638-G1638)+dlt*G1638</f>
        <v>602.665178571428</v>
      </c>
      <c r="H1639" s="14" t="n">
        <f aca="false">MAX(0,I1638-H1638)+dlt*H1638</f>
        <v>662.931696428571</v>
      </c>
    </row>
    <row r="1640" customFormat="false" ht="17.15" hidden="false" customHeight="false" outlineLevel="0" collapsed="false">
      <c r="A1640" s="5" t="s">
        <v>649</v>
      </c>
      <c r="B1640" s="0" t="s">
        <v>219</v>
      </c>
      <c r="C1640" s="21" t="n">
        <f aca="false">pk_25*(eqtA_25-eqaA_25)/(eqtA_25-eqaA_25)</f>
        <v>6.11313868613139</v>
      </c>
      <c r="D1640" s="21" t="n">
        <f aca="false">pk_26*(eqtA_26-eqaA_26)/(eqtA_26-eqaA_26)</f>
        <v>6.7</v>
      </c>
      <c r="E1640" s="21" t="n">
        <f aca="false">pk_27*(eqtA_27-eqaA_27)/(eqtA_27-eqaA_27)</f>
        <v>7.59078388573934</v>
      </c>
      <c r="F1640" s="21" t="n">
        <f aca="false">pk_28*(eqtA_28-eqaA_28)/(eqtA_28-eqaA_28)</f>
        <v>8.6</v>
      </c>
      <c r="G1640" s="21" t="n">
        <f aca="false">pk_29*(eqtA_29-eqaA_29)/(eqtA_29-eqaA_29)</f>
        <v>9.288</v>
      </c>
      <c r="H1640" s="21" t="n">
        <f aca="false">G1640*(1+g_pk_tail)</f>
        <v>9.7524</v>
      </c>
      <c r="J1640" s="8" t="s">
        <v>650</v>
      </c>
    </row>
    <row r="1641" customFormat="false" ht="15" hidden="false" customHeight="false" outlineLevel="0" collapsed="false">
      <c r="A1641" s="5" t="s">
        <v>651</v>
      </c>
      <c r="B1641" s="0" t="s">
        <v>219</v>
      </c>
      <c r="C1641" s="24" t="n">
        <f aca="false">eqtA_25</f>
        <v>134.689359843138</v>
      </c>
      <c r="D1641" s="24" t="n">
        <f aca="false">eqtA_26</f>
        <v>178.157050570127</v>
      </c>
      <c r="E1641" s="24" t="n">
        <f aca="false">eqtA_27</f>
        <v>218.225535760082</v>
      </c>
      <c r="F1641" s="24" t="n">
        <f aca="false">eqtA_28</f>
        <v>246.028626308958</v>
      </c>
      <c r="G1641" s="24" t="n">
        <f aca="false">eqtA_29</f>
        <v>260.655685855226</v>
      </c>
      <c r="H1641" s="24" t="n">
        <f aca="false">G1641*(1+g_pk_tail)</f>
        <v>273.688470147987</v>
      </c>
      <c r="J1641" s="5" t="s">
        <v>652</v>
      </c>
    </row>
    <row r="1642" customFormat="false" ht="17.15" hidden="false" customHeight="false" outlineLevel="0" collapsed="false">
      <c r="A1642" s="1" t="s">
        <v>653</v>
      </c>
    </row>
    <row r="1643" customFormat="false" ht="17.15" hidden="false" customHeight="false" outlineLevel="0" collapsed="false">
      <c r="A1643" s="0" t="s">
        <v>654</v>
      </c>
      <c r="B1643" s="0" t="s">
        <v>655</v>
      </c>
      <c r="C1643" s="24" t="n">
        <f aca="false">ai_25*w_hbm/(0.75*C1637+0.25*D1637)</f>
        <v>121.417244328233</v>
      </c>
      <c r="J1643" s="5" t="s">
        <v>656</v>
      </c>
    </row>
    <row r="1644" customFormat="false" ht="17.15" hidden="false" customHeight="false" outlineLevel="0" collapsed="false">
      <c r="A1644" s="0" t="s">
        <v>657</v>
      </c>
      <c r="B1644" s="0" t="s">
        <v>658</v>
      </c>
      <c r="C1644" s="25" t="n">
        <f aca="false">ai_25*(1-w_hbm)/(0.75*C1639+0.25*D1639)</f>
        <v>0.0076513155174377</v>
      </c>
    </row>
    <row r="1645" customFormat="false" ht="17.15" hidden="false" customHeight="false" outlineLevel="0" collapsed="false">
      <c r="A1645" s="1" t="s">
        <v>659</v>
      </c>
    </row>
    <row r="1646" customFormat="false" ht="17.15" hidden="false" customHeight="false" outlineLevel="0" collapsed="false">
      <c r="A1646" s="0" t="s">
        <v>660</v>
      </c>
      <c r="B1646" s="0" t="s">
        <v>198</v>
      </c>
      <c r="C1646" s="20" t="n">
        <f aca="false">1-shl_A/sh*0</f>
        <v>1</v>
      </c>
      <c r="D1646" s="20" t="n">
        <f aca="false">1-shl_A/sh*0.25</f>
        <v>1</v>
      </c>
      <c r="E1646" s="20" t="n">
        <f aca="false">1-shl_A/sh*0.5</f>
        <v>1</v>
      </c>
      <c r="F1646" s="20" t="n">
        <f aca="false">1-shl_A/sh*0.75</f>
        <v>1</v>
      </c>
      <c r="G1646" s="20" t="n">
        <f aca="false">1-shl_A/sh*1</f>
        <v>1</v>
      </c>
      <c r="J1646" s="5" t="s">
        <v>661</v>
      </c>
    </row>
    <row r="1647" customFormat="false" ht="17.15" hidden="false" customHeight="false" outlineLevel="0" collapsed="false">
      <c r="A1647" s="0" t="s">
        <v>662</v>
      </c>
      <c r="B1647" s="0" t="s">
        <v>34</v>
      </c>
      <c r="C1647" s="19" t="n">
        <f aca="false">$C$1643*(0.75*C1637+0.25*D1637)*C1646</f>
        <v>5</v>
      </c>
      <c r="D1647" s="19" t="n">
        <f aca="false">$C$1643*(0.75*D1637+0.25*E1637)*D1646</f>
        <v>5.85477659596275</v>
      </c>
      <c r="E1647" s="19" t="n">
        <f aca="false">$C$1643*(0.75*E1637+0.25*F1637)*E1646</f>
        <v>5.42484277351964</v>
      </c>
      <c r="F1647" s="19" t="n">
        <f aca="false">$C$1643*(0.75*F1637+0.25*G1637)*F1646</f>
        <v>5.59938454589345</v>
      </c>
      <c r="G1647" s="19" t="n">
        <f aca="false">$C$1643*(0.75*G1637+0.25*H1637)*G1646</f>
        <v>5.07862914343112</v>
      </c>
    </row>
    <row r="1648" customFormat="false" ht="17.15" hidden="false" customHeight="false" outlineLevel="0" collapsed="false">
      <c r="A1648" s="0" t="s">
        <v>663</v>
      </c>
      <c r="B1648" s="0" t="s">
        <v>34</v>
      </c>
      <c r="C1648" s="19" t="n">
        <f aca="false">$C$1644*(0.75*C1639+0.25*D1639)*C1646</f>
        <v>5</v>
      </c>
      <c r="D1648" s="19" t="n">
        <f aca="false">$C$1644*(0.75*D1639+0.25*E1639)*D1646</f>
        <v>7.71132802925642</v>
      </c>
      <c r="E1648" s="19" t="n">
        <f aca="false">$C$1644*(0.75*E1639+0.25*F1639)*E1646</f>
        <v>5.46142533008358</v>
      </c>
      <c r="F1648" s="19" t="n">
        <f aca="false">$C$1644*(0.75*F1639+0.25*G1639)*F1646</f>
        <v>4.91291310951257</v>
      </c>
      <c r="G1648" s="19" t="n">
        <f aca="false">$C$1644*(0.75*G1639+0.25*H1639)*G1646</f>
        <v>4.72646096843851</v>
      </c>
    </row>
    <row r="1649" customFormat="false" ht="17.15" hidden="false" customHeight="false" outlineLevel="0" collapsed="false">
      <c r="A1649" s="5" t="s">
        <v>664</v>
      </c>
      <c r="B1649" s="0" t="s">
        <v>34</v>
      </c>
      <c r="C1649" s="19" t="n">
        <f aca="false">(seg_mold-ai_25)*(0.75*C1640+0.25*D1640)/(0.75*C1640+0.25*D1640)</f>
        <v>26.46</v>
      </c>
      <c r="D1649" s="19" t="n">
        <f aca="false">(seg_mold-ai_25)*(0.75*D1640+0.25*E1640)/(0.75*C1640+0.25*D1640)</f>
        <v>29.2617902872793</v>
      </c>
      <c r="E1649" s="19" t="n">
        <f aca="false">(seg_mold-ai_25)*(0.75*E1640+0.25*F1640)/(0.75*C1640+0.25*D1640)</f>
        <v>33.1522277881438</v>
      </c>
      <c r="F1649" s="19" t="n">
        <f aca="false">(seg_mold-ai_25)*(0.75*F1640+0.25*G1640)/(0.75*C1640+0.25*D1640)</f>
        <v>37.0786793843283</v>
      </c>
      <c r="G1649" s="19" t="n">
        <f aca="false">(seg_mold-ai_25)*(0.75*G1640+0.25*H1640)/(0.75*C1640+0.25*D1640)</f>
        <v>39.7505253987873</v>
      </c>
      <c r="J1649" s="8" t="s">
        <v>665</v>
      </c>
    </row>
    <row r="1650" customFormat="false" ht="15" hidden="false" customHeight="false" outlineLevel="0" collapsed="false">
      <c r="A1650" s="5" t="s">
        <v>666</v>
      </c>
      <c r="B1650" s="0" t="s">
        <v>34</v>
      </c>
      <c r="C1650" s="19" t="n">
        <f aca="false">seg_osemi*(0.75*C1641+0.25*D1641)/(0.75*C1641+0.25*D1641)</f>
        <v>3.93</v>
      </c>
      <c r="D1650" s="19" t="n">
        <f aca="false">seg_osemi*(0.75*D1641+0.25*E1641)/(0.75*C1641+0.25*D1641)</f>
        <v>5.08067726525852</v>
      </c>
      <c r="E1650" s="19" t="n">
        <f aca="false">seg_osemi*(0.75*E1641+0.25*F1641)/(0.75*C1641+0.25*D1641)</f>
        <v>6.0797299618455</v>
      </c>
      <c r="F1650" s="19" t="n">
        <f aca="false">seg_osemi*(0.75*F1641+0.25*G1641)/(0.75*C1641+0.25*D1641)</f>
        <v>6.74147189236335</v>
      </c>
      <c r="G1650" s="19" t="n">
        <f aca="false">seg_osemi*(0.75*G1641+0.25*H1641)/(0.75*C1641+0.25*D1641)</f>
        <v>7.12563922344852</v>
      </c>
      <c r="J1650" s="5" t="s">
        <v>667</v>
      </c>
    </row>
    <row r="1651" customFormat="false" ht="17.15" hidden="false" customHeight="false" outlineLevel="0" collapsed="false">
      <c r="A1651" s="5" t="s">
        <v>668</v>
      </c>
      <c r="B1651" s="0" t="s">
        <v>34</v>
      </c>
      <c r="C1651" s="19" t="n">
        <f aca="false">seg_new</f>
        <v>9.47</v>
      </c>
      <c r="D1651" s="19" t="n">
        <f aca="false">C1651*(1+g_tss)</f>
        <v>9.7541</v>
      </c>
      <c r="E1651" s="19" t="n">
        <f aca="false">D1651*(1+g_tss)</f>
        <v>10.046723</v>
      </c>
      <c r="F1651" s="19" t="n">
        <f aca="false">E1651*(1+g_tss)</f>
        <v>10.34812469</v>
      </c>
      <c r="G1651" s="19" t="n">
        <f aca="false">F1651*(1+g_tss)</f>
        <v>10.6585684307</v>
      </c>
    </row>
    <row r="1652" customFormat="false" ht="15" hidden="false" customHeight="false" outlineLevel="0" collapsed="false">
      <c r="A1652" s="5" t="s">
        <v>669</v>
      </c>
      <c r="B1652" s="0" t="s">
        <v>34</v>
      </c>
      <c r="C1652" s="19" t="n">
        <f aca="false">seg_med</f>
        <v>2.48</v>
      </c>
      <c r="D1652" s="19" t="n">
        <f aca="false">C1652*(1+g_med)</f>
        <v>2.5544</v>
      </c>
      <c r="E1652" s="19" t="n">
        <f aca="false">D1652*(1+g_med)</f>
        <v>2.631032</v>
      </c>
      <c r="F1652" s="19" t="n">
        <f aca="false">E1652*(1+g_med)</f>
        <v>2.70996296</v>
      </c>
      <c r="G1652" s="19" t="n">
        <f aca="false">F1652*(1+g_med)</f>
        <v>2.7912618488</v>
      </c>
    </row>
    <row r="1653" customFormat="false" ht="15" hidden="false" customHeight="false" outlineLevel="0" collapsed="false">
      <c r="A1653" s="5" t="s">
        <v>670</v>
      </c>
      <c r="B1653" s="0" t="s">
        <v>34</v>
      </c>
      <c r="C1653" s="19" t="n">
        <f aca="false">seg_las*(0.75*C1641+0.25*D1641)/(0.75*C1641+0.25*D1641)</f>
        <v>2</v>
      </c>
      <c r="D1653" s="19" t="n">
        <f aca="false">seg_las*(0.75*D1641+0.25*E1641)/(0.75*C1641+0.25*D1641)</f>
        <v>2.5855863945336</v>
      </c>
      <c r="E1653" s="19" t="n">
        <f aca="false">seg_las*(0.75*E1641+0.25*F1641)/(0.75*C1641+0.25*D1641)</f>
        <v>3.0940101587</v>
      </c>
      <c r="F1653" s="19" t="n">
        <f aca="false">seg_las*(0.75*F1641+0.25*G1641)/(0.75*C1641+0.25*D1641)</f>
        <v>3.43077449993046</v>
      </c>
      <c r="G1653" s="19" t="n">
        <f aca="false">seg_las*(0.75*G1641+0.25*H1641)/(0.75*C1641+0.25*D1641)</f>
        <v>3.62627950302724</v>
      </c>
      <c r="J1653" s="5" t="s">
        <v>667</v>
      </c>
    </row>
    <row r="1654" customFormat="false" ht="15" hidden="false" customHeight="false" outlineLevel="0" collapsed="false">
      <c r="A1654" s="5" t="s">
        <v>671</v>
      </c>
      <c r="B1654" s="0" t="s">
        <v>34</v>
      </c>
      <c r="C1654" s="19" t="n">
        <f aca="false">C1647+C1648+C1649+C1650+C1651+C1652+C1653+seg_adj</f>
        <v>54.365</v>
      </c>
      <c r="D1654" s="19" t="n">
        <f aca="false">D1647+D1648+D1649+D1650+D1651+D1652+D1653</f>
        <v>62.8026585722905</v>
      </c>
      <c r="E1654" s="19" t="n">
        <f aca="false">E1647+E1648+E1649+E1650+E1651+E1652+E1653</f>
        <v>65.8899910122925</v>
      </c>
      <c r="F1654" s="19" t="n">
        <f aca="false">F1647+F1648+F1649+F1650+F1651+F1652+F1653</f>
        <v>70.8213110820282</v>
      </c>
      <c r="G1654" s="19" t="n">
        <f aca="false">G1647+G1648+G1649+G1650+G1651+G1652+G1653</f>
        <v>73.7573645166327</v>
      </c>
    </row>
    <row r="1655" customFormat="false" ht="17.15" hidden="false" customHeight="false" outlineLevel="0" collapsed="false">
      <c r="A1655" s="1" t="s">
        <v>672</v>
      </c>
    </row>
    <row r="1656" customFormat="false" ht="17.15" hidden="false" customHeight="false" outlineLevel="0" collapsed="false">
      <c r="A1656" s="0" t="s">
        <v>673</v>
      </c>
      <c r="B1656" s="0" t="s">
        <v>34</v>
      </c>
      <c r="D1656" s="19" t="n">
        <f aca="false">g26_rev*(1+g_anc)</f>
        <v>64</v>
      </c>
    </row>
    <row r="1657" customFormat="false" ht="17.15" hidden="false" customHeight="false" outlineLevel="0" collapsed="false">
      <c r="A1657" s="0" t="s">
        <v>674</v>
      </c>
      <c r="B1657" s="0" t="s">
        <v>34</v>
      </c>
      <c r="D1657" s="19" t="n">
        <f aca="false">D1656*g26_oi/g26_rev</f>
        <v>10.24</v>
      </c>
    </row>
    <row r="1658" customFormat="false" ht="17.15" hidden="false" customHeight="false" outlineLevel="0" collapsed="false">
      <c r="A1658" s="0" t="s">
        <v>675</v>
      </c>
      <c r="B1658" s="0" t="s">
        <v>34</v>
      </c>
      <c r="D1658" s="19" t="n">
        <f aca="false">D1657*g26_ni/g26_oi</f>
        <v>7</v>
      </c>
    </row>
    <row r="1659" customFormat="false" ht="17.15" hidden="false" customHeight="false" outlineLevel="0" collapsed="false">
      <c r="A1659" s="5" t="s">
        <v>676</v>
      </c>
      <c r="B1659" s="0" t="s">
        <v>198</v>
      </c>
      <c r="D1659" s="20" t="n">
        <f aca="false">D1656/D1654</f>
        <v>1.01906513919839</v>
      </c>
      <c r="J1659" s="8" t="s">
        <v>677</v>
      </c>
    </row>
    <row r="1660" customFormat="false" ht="17.15" hidden="false" customHeight="false" outlineLevel="0" collapsed="false">
      <c r="A1660" s="5" t="s">
        <v>678</v>
      </c>
      <c r="B1660" s="0" t="s">
        <v>198</v>
      </c>
      <c r="D1660" s="20" t="n">
        <f aca="false">1+0*(D1659-1)</f>
        <v>1</v>
      </c>
      <c r="J1660" s="8" t="s">
        <v>679</v>
      </c>
    </row>
    <row r="1661" customFormat="false" ht="17.15" hidden="false" customHeight="false" outlineLevel="0" collapsed="false">
      <c r="A1661" s="1" t="s">
        <v>680</v>
      </c>
    </row>
    <row r="1662" customFormat="false" ht="17.15" hidden="false" customHeight="false" outlineLevel="0" collapsed="false">
      <c r="A1662" s="0" t="s">
        <v>681</v>
      </c>
      <c r="B1662" s="0" t="s">
        <v>34</v>
      </c>
      <c r="C1662" s="19" t="n">
        <f aca="false">C1647*1</f>
        <v>5</v>
      </c>
      <c r="D1662" s="19" t="n">
        <f aca="false">D1647*$D$1659</f>
        <v>5.96639872674023</v>
      </c>
      <c r="E1662" s="19" t="n">
        <f aca="false">E1647*1</f>
        <v>5.42484277351964</v>
      </c>
      <c r="F1662" s="19" t="n">
        <f aca="false">F1647*1</f>
        <v>5.59938454589345</v>
      </c>
      <c r="G1662" s="19" t="n">
        <f aca="false">G1647*1</f>
        <v>5.07862914343112</v>
      </c>
    </row>
    <row r="1663" customFormat="false" ht="17.15" hidden="false" customHeight="false" outlineLevel="0" collapsed="false">
      <c r="A1663" s="0" t="s">
        <v>682</v>
      </c>
      <c r="B1663" s="0" t="s">
        <v>34</v>
      </c>
      <c r="C1663" s="19" t="n">
        <f aca="false">C1648*1</f>
        <v>5</v>
      </c>
      <c r="D1663" s="19" t="n">
        <f aca="false">D1648*$D$1659</f>
        <v>7.85834557153861</v>
      </c>
      <c r="E1663" s="19" t="n">
        <f aca="false">E1648*1</f>
        <v>5.46142533008358</v>
      </c>
      <c r="F1663" s="19" t="n">
        <f aca="false">F1648*1</f>
        <v>4.91291310951257</v>
      </c>
      <c r="G1663" s="19" t="n">
        <f aca="false">G1648*1</f>
        <v>4.72646096843851</v>
      </c>
    </row>
    <row r="1664" customFormat="false" ht="17.15" hidden="false" customHeight="false" outlineLevel="0" collapsed="false">
      <c r="A1664" s="5" t="s">
        <v>683</v>
      </c>
      <c r="B1664" s="0" t="s">
        <v>34</v>
      </c>
      <c r="C1664" s="19" t="n">
        <f aca="false">C1649*1</f>
        <v>26.46</v>
      </c>
      <c r="D1664" s="19" t="n">
        <f aca="false">D1649*$D$1659</f>
        <v>29.8196703923002</v>
      </c>
      <c r="E1664" s="19" t="n">
        <f aca="false">E1649*$D$1660</f>
        <v>33.1522277881438</v>
      </c>
      <c r="F1664" s="19" t="n">
        <f aca="false">F1649*$D$1660</f>
        <v>37.0786793843283</v>
      </c>
      <c r="G1664" s="19" t="n">
        <f aca="false">G1649*$D$1660</f>
        <v>39.7505253987873</v>
      </c>
    </row>
    <row r="1665" customFormat="false" ht="15" hidden="false" customHeight="false" outlineLevel="0" collapsed="false">
      <c r="A1665" s="5" t="s">
        <v>684</v>
      </c>
      <c r="B1665" s="0" t="s">
        <v>34</v>
      </c>
      <c r="C1665" s="19" t="n">
        <f aca="false">C1650*1</f>
        <v>3.93</v>
      </c>
      <c r="D1665" s="19" t="n">
        <f aca="false">D1650*$D$1659</f>
        <v>5.17754108454275</v>
      </c>
      <c r="E1665" s="19" t="n">
        <f aca="false">E1650*$D$1660</f>
        <v>6.0797299618455</v>
      </c>
      <c r="F1665" s="19" t="n">
        <f aca="false">F1650*$D$1660</f>
        <v>6.74147189236335</v>
      </c>
      <c r="G1665" s="19" t="n">
        <f aca="false">G1650*$D$1660</f>
        <v>7.12563922344852</v>
      </c>
    </row>
    <row r="1666" customFormat="false" ht="17.15" hidden="false" customHeight="false" outlineLevel="0" collapsed="false">
      <c r="A1666" s="5" t="s">
        <v>685</v>
      </c>
      <c r="B1666" s="0" t="s">
        <v>34</v>
      </c>
      <c r="C1666" s="19" t="n">
        <f aca="false">C1651*1</f>
        <v>9.47</v>
      </c>
      <c r="D1666" s="19" t="n">
        <f aca="false">D1651*$D$1659</f>
        <v>9.94006327425498</v>
      </c>
      <c r="E1666" s="19" t="n">
        <f aca="false">E1651*$D$1660</f>
        <v>10.046723</v>
      </c>
      <c r="F1666" s="19" t="n">
        <f aca="false">F1651*$D$1660</f>
        <v>10.34812469</v>
      </c>
      <c r="G1666" s="19" t="n">
        <f aca="false">G1651*$D$1660</f>
        <v>10.6585684307</v>
      </c>
    </row>
    <row r="1667" customFormat="false" ht="15" hidden="false" customHeight="false" outlineLevel="0" collapsed="false">
      <c r="A1667" s="5" t="s">
        <v>686</v>
      </c>
      <c r="B1667" s="0" t="s">
        <v>34</v>
      </c>
      <c r="C1667" s="19" t="n">
        <f aca="false">C1652*1</f>
        <v>2.48</v>
      </c>
      <c r="D1667" s="19" t="n">
        <f aca="false">D1652*$D$1659</f>
        <v>2.60309999156836</v>
      </c>
      <c r="E1667" s="19" t="n">
        <f aca="false">E1652*$D$1660</f>
        <v>2.631032</v>
      </c>
      <c r="F1667" s="19" t="n">
        <f aca="false">F1652*$D$1660</f>
        <v>2.70996296</v>
      </c>
      <c r="G1667" s="19" t="n">
        <f aca="false">G1652*$D$1660</f>
        <v>2.7912618488</v>
      </c>
    </row>
    <row r="1668" customFormat="false" ht="15" hidden="false" customHeight="false" outlineLevel="0" collapsed="false">
      <c r="A1668" s="5" t="s">
        <v>687</v>
      </c>
      <c r="B1668" s="0" t="s">
        <v>34</v>
      </c>
      <c r="C1668" s="19" t="n">
        <f aca="false">C1653*1</f>
        <v>2</v>
      </c>
      <c r="D1668" s="19" t="n">
        <f aca="false">D1653*$D$1659</f>
        <v>2.63488095905483</v>
      </c>
      <c r="E1668" s="19" t="n">
        <f aca="false">E1653*$D$1660</f>
        <v>3.0940101587</v>
      </c>
      <c r="F1668" s="19" t="n">
        <f aca="false">F1653*$D$1660</f>
        <v>3.43077449993046</v>
      </c>
      <c r="G1668" s="19" t="n">
        <f aca="false">G1653*$D$1660</f>
        <v>3.62627950302724</v>
      </c>
    </row>
    <row r="1669" customFormat="false" ht="17.15" hidden="false" customHeight="false" outlineLevel="0" collapsed="false">
      <c r="A1669" s="0" t="s">
        <v>688</v>
      </c>
      <c r="B1669" s="0" t="s">
        <v>34</v>
      </c>
      <c r="C1669" s="19" t="n">
        <f aca="false">C1662+C1663</f>
        <v>10</v>
      </c>
      <c r="D1669" s="19" t="n">
        <f aca="false">D1662+D1663</f>
        <v>13.8247442982788</v>
      </c>
      <c r="E1669" s="19" t="n">
        <f aca="false">E1662+E1663</f>
        <v>10.8862681036032</v>
      </c>
      <c r="F1669" s="19" t="n">
        <f aca="false">F1662+F1663</f>
        <v>10.512297655406</v>
      </c>
      <c r="G1669" s="19" t="n">
        <f aca="false">G1662+G1663</f>
        <v>9.80509011186963</v>
      </c>
    </row>
    <row r="1670" customFormat="false" ht="17.15" hidden="false" customHeight="false" outlineLevel="0" collapsed="false">
      <c r="A1670" s="5" t="s">
        <v>689</v>
      </c>
      <c r="B1670" s="0" t="s">
        <v>34</v>
      </c>
      <c r="C1670" s="19" t="n">
        <f aca="false">C1669+C1664+C1665</f>
        <v>40.39</v>
      </c>
      <c r="D1670" s="19" t="n">
        <f aca="false">D1669+D1664+D1665</f>
        <v>48.8219557751218</v>
      </c>
      <c r="E1670" s="19" t="n">
        <f aca="false">E1669+E1664+E1665</f>
        <v>50.1182258535925</v>
      </c>
      <c r="F1670" s="19" t="n">
        <f aca="false">F1669+F1664+F1665</f>
        <v>54.3324489320977</v>
      </c>
      <c r="G1670" s="19" t="n">
        <f aca="false">G1669+G1664+G1665</f>
        <v>56.6812547341054</v>
      </c>
      <c r="J1670" s="5" t="s">
        <v>690</v>
      </c>
    </row>
    <row r="1671" customFormat="false" ht="17.15" hidden="false" customHeight="false" outlineLevel="0" collapsed="false">
      <c r="A1671" s="5" t="s">
        <v>541</v>
      </c>
      <c r="B1671" s="0" t="s">
        <v>34</v>
      </c>
      <c r="C1671" s="19" t="n">
        <f aca="false">C1670+C1666+C1667+C1668+seg_adj</f>
        <v>54.365</v>
      </c>
      <c r="D1671" s="19" t="n">
        <f aca="false">D1670+D1666+D1667+D1668</f>
        <v>64</v>
      </c>
      <c r="E1671" s="19" t="n">
        <f aca="false">E1670+E1666+E1667+E1668</f>
        <v>65.8899910122925</v>
      </c>
      <c r="F1671" s="19" t="n">
        <f aca="false">F1670+F1666+F1667+F1668</f>
        <v>70.8213110820282</v>
      </c>
      <c r="G1671" s="19" t="n">
        <f aca="false">G1670+G1666+G1667+G1668</f>
        <v>73.7573645166327</v>
      </c>
      <c r="J1671" s="8" t="s">
        <v>691</v>
      </c>
    </row>
    <row r="1672" customFormat="false" ht="17.15" hidden="false" customHeight="false" outlineLevel="0" collapsed="false">
      <c r="A1672" s="5" t="s">
        <v>692</v>
      </c>
      <c r="B1672" s="0" t="s">
        <v>34</v>
      </c>
      <c r="C1672" s="20" t="n">
        <f aca="false">C1670+C1666+C1667+C1668-a25_rev</f>
        <v>-0.0249999999999986</v>
      </c>
    </row>
    <row r="1673" customFormat="false" ht="17.15" hidden="false" customHeight="false" outlineLevel="0" collapsed="false">
      <c r="A1673" s="0" t="s">
        <v>621</v>
      </c>
      <c r="B1673" s="0" t="s">
        <v>94</v>
      </c>
      <c r="C1673" s="11" t="n">
        <f aca="false">C1669/C1671</f>
        <v>0.1839418743677</v>
      </c>
      <c r="D1673" s="11" t="n">
        <f aca="false">D1669/D1671</f>
        <v>0.216011629660607</v>
      </c>
      <c r="E1673" s="11" t="n">
        <f aca="false">E1669/E1671</f>
        <v>0.165218843353193</v>
      </c>
      <c r="F1673" s="11" t="n">
        <f aca="false">F1669/F1671</f>
        <v>0.148434101187851</v>
      </c>
      <c r="G1673" s="11" t="n">
        <f aca="false">G1669/G1671</f>
        <v>0.132937099584931</v>
      </c>
    </row>
    <row r="1674" customFormat="false" ht="17.15" hidden="false" customHeight="false" outlineLevel="0" collapsed="false">
      <c r="A1674" s="5" t="s">
        <v>545</v>
      </c>
      <c r="B1674" s="0" t="s">
        <v>34</v>
      </c>
      <c r="C1674" s="19" t="n">
        <f aca="false">a25_oi</f>
        <v>6.917</v>
      </c>
      <c r="D1674" s="19" t="n">
        <f aca="false">D1657</f>
        <v>10.24</v>
      </c>
      <c r="E1674" s="19" t="n">
        <f aca="false">$D1674+(im+ima_A)*(E1671-$D1671)</f>
        <v>10.8060922356624</v>
      </c>
      <c r="F1674" s="19" t="n">
        <f aca="false">$D1674+(im+ima_A)*(F1671-$D1671)</f>
        <v>12.2831267743916</v>
      </c>
      <c r="G1674" s="19" t="n">
        <f aca="false">$D1674+(im+ima_A)*(G1671-$D1671)</f>
        <v>13.1625368043914</v>
      </c>
      <c r="J1674" s="8" t="s">
        <v>693</v>
      </c>
    </row>
    <row r="1675" customFormat="false" ht="15" hidden="false" customHeight="false" outlineLevel="0" collapsed="false">
      <c r="A1675" s="5" t="s">
        <v>694</v>
      </c>
      <c r="B1675" s="0" t="s">
        <v>94</v>
      </c>
      <c r="C1675" s="11" t="n">
        <f aca="false">C1674/C1671</f>
        <v>0.127232594500138</v>
      </c>
      <c r="D1675" s="11" t="n">
        <f aca="false">D1674/D1671</f>
        <v>0.16</v>
      </c>
      <c r="E1675" s="11" t="n">
        <f aca="false">E1674/E1671</f>
        <v>0.164002029286154</v>
      </c>
      <c r="F1675" s="11" t="n">
        <f aca="false">F1674/F1671</f>
        <v>0.17343828554889</v>
      </c>
      <c r="G1675" s="11" t="n">
        <f aca="false">G1674/G1671</f>
        <v>0.178457254955513</v>
      </c>
    </row>
    <row r="1676" customFormat="false" ht="15" hidden="false" customHeight="false" outlineLevel="0" collapsed="false">
      <c r="A1676" s="5" t="s">
        <v>548</v>
      </c>
      <c r="B1676" s="0" t="s">
        <v>34</v>
      </c>
      <c r="C1676" s="19" t="n">
        <f aca="false">a25_ni</f>
        <v>4.593</v>
      </c>
      <c r="D1676" s="19" t="n">
        <f aca="false">D1658</f>
        <v>7</v>
      </c>
      <c r="E1676" s="19" t="n">
        <f aca="false">E1674*nioi</f>
        <v>7.38697711422236</v>
      </c>
      <c r="F1676" s="19" t="n">
        <f aca="false">F1674*nioi</f>
        <v>8.39666869343173</v>
      </c>
      <c r="G1676" s="19" t="n">
        <f aca="false">G1674*nioi</f>
        <v>8.99782789362695</v>
      </c>
    </row>
    <row r="1677" customFormat="false" ht="15" hidden="false" customHeight="false" outlineLevel="0" collapsed="false">
      <c r="A1677" s="0" t="s">
        <v>622</v>
      </c>
      <c r="B1677" s="0" t="s">
        <v>52</v>
      </c>
      <c r="C1677" s="22" t="n">
        <f aca="false">a25_eps</f>
        <v>61.22</v>
      </c>
      <c r="D1677" s="22" t="n">
        <f aca="false">D1676*1000/shares</f>
        <v>93.2961492201002</v>
      </c>
      <c r="E1677" s="22" t="n">
        <f aca="false">E1676*1000/shares</f>
        <v>98.4537884477077</v>
      </c>
      <c r="F1677" s="22" t="n">
        <f aca="false">F1676*1000/shares</f>
        <v>111.910979339164</v>
      </c>
      <c r="G1677" s="22" t="n">
        <f aca="false">G1676*1000/shares</f>
        <v>119.923241974371</v>
      </c>
    </row>
    <row r="1678" customFormat="false" ht="17.15" hidden="false" customHeight="false" outlineLevel="0" collapsed="false">
      <c r="A1678" s="5" t="s">
        <v>695</v>
      </c>
      <c r="B1678" s="0" t="s">
        <v>34</v>
      </c>
      <c r="C1678" s="20" t="n">
        <f aca="false">ABS(C1671-a25_rev)+ABS(C1674-a25_oi)+ABS(D1671-D1656)</f>
        <v>0</v>
      </c>
    </row>
    <row r="1681" customFormat="false" ht="17.15" hidden="false" customHeight="false" outlineLevel="0" collapsed="false">
      <c r="A1681" s="3" t="s">
        <v>1043</v>
      </c>
    </row>
    <row r="1682" customFormat="false" ht="17.15" hidden="false" customHeight="false" outlineLevel="0" collapsed="false">
      <c r="A1682" s="6" t="s">
        <v>948</v>
      </c>
      <c r="B1682" s="6" t="s">
        <v>949</v>
      </c>
      <c r="C1682" s="15" t="s">
        <v>1044</v>
      </c>
      <c r="D1682" s="15" t="s">
        <v>893</v>
      </c>
      <c r="E1682" s="6" t="s">
        <v>1045</v>
      </c>
      <c r="F1682" s="6" t="s">
        <v>952</v>
      </c>
    </row>
    <row r="1683" customFormat="false" ht="17.15" hidden="false" customHeight="false" outlineLevel="0" collapsed="false">
      <c r="A1683" s="5" t="s">
        <v>26</v>
      </c>
      <c r="B1683" s="0" t="s">
        <v>1046</v>
      </c>
      <c r="C1683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1015.40084456748</v>
      </c>
      <c r="D1683" s="14" t="n">
        <f aca="false">tp_comp_adj</f>
        <v>1747.80489631355</v>
      </c>
      <c r="E1683" s="14" t="n">
        <f aca="false">tp_w_dcf*C1683+(1-tp_w_dcf)*D1683</f>
        <v>1381.60287044051</v>
      </c>
      <c r="F1683" s="11" t="n">
        <f aca="false">E1683/E$1683-1</f>
        <v>0</v>
      </c>
    </row>
    <row r="1684" customFormat="false" ht="17.15" hidden="false" customHeight="false" outlineLevel="0" collapsed="false">
      <c r="A1684" s="5" t="s">
        <v>1047</v>
      </c>
      <c r="B1684" s="0" t="s">
        <v>1048</v>
      </c>
      <c r="C1684" s="14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879.300297307441</v>
      </c>
      <c r="D1684" s="14" t="n">
        <f aca="false">tp_comp_adj</f>
        <v>1747.80489631355</v>
      </c>
      <c r="E1684" s="14" t="n">
        <f aca="false">tp_w_dcf*C1684+(1-tp_w_dcf)*D1684</f>
        <v>1313.5525968105</v>
      </c>
      <c r="F1684" s="11" t="n">
        <f aca="false">E1684/E$1683-1</f>
        <v>-0.0492545832713276</v>
      </c>
    </row>
    <row r="1685" customFormat="false" ht="17.15" hidden="false" customHeight="false" outlineLevel="0" collapsed="false">
      <c r="A1685" s="5" t="s">
        <v>1049</v>
      </c>
      <c r="B1685" s="0" t="s">
        <v>1050</v>
      </c>
      <c r="C1685" s="14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1205.91336675181</v>
      </c>
      <c r="D1685" s="14" t="n">
        <f aca="false">tp_comp_adj</f>
        <v>1747.80489631355</v>
      </c>
      <c r="E1685" s="14" t="n">
        <f aca="false">tp_w_dcf*C1685+(1-tp_w_dcf)*D1685</f>
        <v>1476.85913153268</v>
      </c>
      <c r="F1685" s="11" t="n">
        <f aca="false">E1685/E$1683-1</f>
        <v>0.0689461951260972</v>
      </c>
    </row>
    <row r="1686" customFormat="false" ht="17.15" hidden="false" customHeight="false" outlineLevel="0" collapsed="false">
      <c r="A1686" s="5" t="s">
        <v>1051</v>
      </c>
      <c r="B1686" s="0" t="s">
        <v>1052</v>
      </c>
      <c r="C1686" s="14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998.024614531954</v>
      </c>
      <c r="D1686" s="14" t="n">
        <f aca="false">tp_comp_adj</f>
        <v>1747.80489631355</v>
      </c>
      <c r="E1686" s="14" t="n">
        <f aca="false">tp_w_dcf*C1686+(1-tp_w_dcf)*D1686</f>
        <v>1372.91475542275</v>
      </c>
      <c r="F1686" s="11" t="n">
        <f aca="false">E1686/E$1683-1</f>
        <v>-0.00628843150491631</v>
      </c>
    </row>
    <row r="1687" customFormat="false" ht="17.15" hidden="false" customHeight="false" outlineLevel="0" collapsed="false">
      <c r="A1687" s="5" t="s">
        <v>1053</v>
      </c>
      <c r="B1687" s="0" t="s">
        <v>1054</v>
      </c>
      <c r="C1687" s="14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1038.37457485265</v>
      </c>
      <c r="D1687" s="14" t="n">
        <f aca="false">tp_comp_adj</f>
        <v>1747.80489631355</v>
      </c>
      <c r="E1687" s="14" t="n">
        <f aca="false">tp_w_dcf*C1687+(1-tp_w_dcf)*D1687</f>
        <v>1393.0897355831</v>
      </c>
      <c r="F1687" s="11" t="n">
        <f aca="false">E1687/E$1683-1</f>
        <v>0.00831415842305394</v>
      </c>
    </row>
    <row r="1688" customFormat="false" ht="17.15" hidden="false" customHeight="false" outlineLevel="0" collapsed="false">
      <c r="A1688" s="0" t="s">
        <v>1055</v>
      </c>
      <c r="B1688" s="0" t="s">
        <v>1056</v>
      </c>
      <c r="C1688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1015.40084456748</v>
      </c>
      <c r="D1688" s="14" t="n">
        <f aca="false">tp_comp_adj</f>
        <v>1747.80489631355</v>
      </c>
      <c r="E1688" s="14" t="n">
        <f aca="false">0.3*C1688+(1-0.3)*D1688</f>
        <v>1528.08368078973</v>
      </c>
      <c r="F1688" s="11" t="n">
        <f aca="false">E1688/E$1683-1</f>
        <v>0.106022369729523</v>
      </c>
    </row>
    <row r="1689" customFormat="false" ht="17.15" hidden="false" customHeight="false" outlineLevel="0" collapsed="false">
      <c r="A1689" s="0" t="s">
        <v>1057</v>
      </c>
      <c r="B1689" s="0" t="s">
        <v>1058</v>
      </c>
      <c r="C1689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1015.40084456748</v>
      </c>
      <c r="D1689" s="14" t="n">
        <f aca="false">tp_comp_adj</f>
        <v>1747.80489631355</v>
      </c>
      <c r="E1689" s="14" t="n">
        <f aca="false">0.7*C1689+(1-0.7)*D1689</f>
        <v>1235.1220600913</v>
      </c>
      <c r="F1689" s="11" t="n">
        <f aca="false">E1689/E$1683-1</f>
        <v>-0.106022369729524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1059</v>
      </c>
    </row>
    <row r="2" customFormat="false" ht="17.15" hidden="false" customHeight="false" outlineLevel="0" collapsed="false">
      <c r="A2" s="5" t="s">
        <v>1060</v>
      </c>
      <c r="B2" s="0" t="s">
        <v>1061</v>
      </c>
    </row>
    <row r="3" customFormat="false" ht="17.15" hidden="false" customHeight="false" outlineLevel="0" collapsed="false">
      <c r="A3" s="5" t="s">
        <v>1062</v>
      </c>
      <c r="B3" s="0" t="s">
        <v>1063</v>
      </c>
    </row>
    <row r="4" customFormat="false" ht="17.15" hidden="false" customHeight="false" outlineLevel="0" collapsed="false">
      <c r="A4" s="5" t="s">
        <v>1064</v>
      </c>
      <c r="B4" s="0" t="s">
        <v>1065</v>
      </c>
    </row>
    <row r="5" customFormat="false" ht="17.15" hidden="false" customHeight="false" outlineLevel="0" collapsed="false">
      <c r="A5" s="5" t="s">
        <v>1066</v>
      </c>
      <c r="B5" s="0" t="s">
        <v>1067</v>
      </c>
    </row>
    <row r="6" customFormat="false" ht="17.15" hidden="false" customHeight="false" outlineLevel="0" collapsed="false">
      <c r="A6" s="5" t="s">
        <v>1068</v>
      </c>
      <c r="B6" s="0" t="s">
        <v>1069</v>
      </c>
    </row>
    <row r="7" customFormat="false" ht="17.15" hidden="false" customHeight="false" outlineLevel="0" collapsed="false">
      <c r="A7" s="5" t="s">
        <v>1070</v>
      </c>
      <c r="B7" s="0" t="s">
        <v>1071</v>
      </c>
    </row>
    <row r="8" customFormat="false" ht="17.15" hidden="false" customHeight="false" outlineLevel="0" collapsed="false">
      <c r="A8" s="0" t="s">
        <v>1072</v>
      </c>
      <c r="B8" s="0" t="s">
        <v>1073</v>
      </c>
    </row>
    <row r="9" customFormat="false" ht="15" hidden="false" customHeight="false" outlineLevel="0" collapsed="false">
      <c r="A9" s="5" t="s">
        <v>1074</v>
      </c>
      <c r="B9" s="0" t="s">
        <v>1075</v>
      </c>
    </row>
    <row r="10" customFormat="false" ht="17.15" hidden="false" customHeight="false" outlineLevel="0" collapsed="false">
      <c r="A10" s="0" t="s">
        <v>1076</v>
      </c>
      <c r="B10" s="0" t="s">
        <v>1077</v>
      </c>
    </row>
    <row r="11" customFormat="false" ht="17.15" hidden="false" customHeight="false" outlineLevel="0" collapsed="false">
      <c r="A11" s="0" t="s">
        <v>1078</v>
      </c>
      <c r="B11" s="0" t="s">
        <v>1079</v>
      </c>
    </row>
    <row r="12" customFormat="false" ht="17.15" hidden="false" customHeight="false" outlineLevel="0" collapsed="false">
      <c r="A12" s="0" t="s">
        <v>1080</v>
      </c>
      <c r="B12" s="0" t="s">
        <v>1081</v>
      </c>
    </row>
    <row r="13" customFormat="false" ht="17.15" hidden="false" customHeight="false" outlineLevel="0" collapsed="false">
      <c r="A13" s="0" t="s">
        <v>1082</v>
      </c>
      <c r="B13" s="0" t="s">
        <v>1083</v>
      </c>
    </row>
    <row r="14" customFormat="false" ht="17.15" hidden="false" customHeight="false" outlineLevel="0" collapsed="false">
      <c r="A14" s="0" t="s">
        <v>1084</v>
      </c>
      <c r="B14" s="0" t="s">
        <v>1085</v>
      </c>
    </row>
    <row r="15" customFormat="false" ht="17.15" hidden="false" customHeight="false" outlineLevel="0" collapsed="false">
      <c r="A15" s="0" t="s">
        <v>1086</v>
      </c>
      <c r="B15" s="0" t="s">
        <v>1087</v>
      </c>
    </row>
    <row r="16" customFormat="false" ht="17.15" hidden="false" customHeight="false" outlineLevel="0" collapsed="false">
      <c r="A16" s="0" t="s">
        <v>1088</v>
      </c>
      <c r="B16" s="0" t="s">
        <v>1089</v>
      </c>
    </row>
    <row r="17" customFormat="false" ht="17.15" hidden="false" customHeight="false" outlineLevel="0" collapsed="false">
      <c r="A17" s="0" t="s">
        <v>1090</v>
      </c>
      <c r="B17" s="0" t="s">
        <v>1091</v>
      </c>
    </row>
    <row r="18" customFormat="false" ht="17.15" hidden="false" customHeight="false" outlineLevel="0" collapsed="false">
      <c r="A18" s="0" t="s">
        <v>1092</v>
      </c>
      <c r="B18" s="0" t="s">
        <v>1093</v>
      </c>
    </row>
    <row r="19" customFormat="false" ht="17.15" hidden="false" customHeight="false" outlineLevel="0" collapsed="false">
      <c r="A19" s="0" t="s">
        <v>1094</v>
      </c>
      <c r="B19" s="0" t="s">
        <v>1095</v>
      </c>
    </row>
    <row r="20" customFormat="false" ht="17.15" hidden="false" customHeight="false" outlineLevel="0" collapsed="false">
      <c r="A20" s="5" t="s">
        <v>1096</v>
      </c>
    </row>
    <row r="21" customFormat="false" ht="17.15" hidden="false" customHeight="false" outlineLevel="0" collapsed="false">
      <c r="A21" s="5" t="s">
        <v>1097</v>
      </c>
    </row>
    <row r="22" customFormat="false" ht="15" hidden="false" customHeight="false" outlineLevel="0" collapsed="false">
      <c r="A22" s="0" t="s">
        <v>1098</v>
      </c>
      <c r="B22" s="5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2026-10-30T00:25:18Z</dcterms:created>
  <dc:creator>openpyxl</dc:creator>
  <dc:description/>
  <dc:language>en-US</dc:language>
  <cp:lastModifiedBy/>
  <dcterms:modified xsi:type="dcterms:W3CDTF">2026-10-30T00:25:19Z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