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leg" vbProcedure="false">In!$E$135</definedName>
    <definedName function="false" hidden="false" name="ai_leg_lo" vbProcedure="false">In!$D$135</definedName>
    <definedName function="false" hidden="false" name="ai_rr" vbProcedure="false">In!$E$96</definedName>
    <definedName function="false" hidden="false" name="ant_sh" vbProcedure="false">In!$E$129</definedName>
    <definedName function="false" hidden="false" name="ant_sh_hi" vbProcedure="false">In!$F$129</definedName>
    <definedName function="false" hidden="false" name="ant_sh_lo" vbProcedure="false">In!$D$129</definedName>
    <definedName function="false" hidden="false" name="ant_val" vbProcedure="false">In!$E$128</definedName>
    <definedName function="false" hidden="false" name="awso_g0" vbProcedure="false">In!$E$102</definedName>
    <definedName function="false" hidden="false" name="awso_g0_hi" vbProcedure="false">In!$F$102</definedName>
    <definedName function="false" hidden="false" name="aws_bl" vbProcedure="false">In!$E$98</definedName>
    <definedName function="false" hidden="false" name="aws_g40" vbProcedure="false">In!$E$99</definedName>
    <definedName function="false" hidden="false" name="aws_rr" vbProcedure="false">In!$E$97</definedName>
    <definedName function="false" hidden="false" name="beta" vbProcedure="false">In!$E$15</definedName>
    <definedName function="false" hidden="false" name="beta_gf" vbProcedure="false">In!$E$14</definedName>
    <definedName function="false" hidden="false" name="beta_hi" vbProcedure="false">In!$F$15</definedName>
    <definedName function="false" hidden="false" name="beta_lo" vbProcedure="false">In!$D$15</definedName>
    <definedName function="false" hidden="false" name="beta_sa" vbProcedure="false">In!$E$13</definedName>
    <definedName function="false" hidden="false" name="capex_g26" vbProcedure="false">In!$E$93</definedName>
    <definedName function="false" hidden="false" name="cash_q3" vbProcedure="false">In!$E$123</definedName>
    <definedName function="false" hidden="false" name="cf_chip" vbProcedure="false">In!$E$88</definedName>
    <definedName function="false" hidden="false" name="cf_chip_hi" vbProcedure="false">In!$F$88</definedName>
    <definedName function="false" hidden="false" name="cf_cx" vbProcedure="false">In!$E$89</definedName>
    <definedName function="false" hidden="false" name="cf_cx_hi" vbProcedure="false">In!$F$89</definedName>
    <definedName function="false" hidden="false" name="cip_lag" vbProcedure="false">In!$E$95</definedName>
    <definedName function="false" hidden="false" name="cip_lag_hi" vbProcedure="false">In!$F$95</definedName>
    <definedName function="false" hidden="false" name="colo_sh" vbProcedure="false">In!$E$90</definedName>
    <definedName function="false" hidden="false" name="colo_sh_hi" vbProcedure="false">In!$F$90</definedName>
    <definedName function="false" hidden="false" name="colo_sh_lo" vbProcedure="false">In!$D$90</definedName>
    <definedName function="false" hidden="false" name="cons_mb" vbProcedure="false">In!$E$163</definedName>
    <definedName function="false" hidden="false" name="cons_tp" vbProcedure="false">In!$E$10</definedName>
    <definedName function="false" hidden="false" name="cons_tp_hi" vbProcedure="false">In!$F$10</definedName>
    <definedName function="false" hidden="false" name="cons_tp_lo" vbProcedure="false">In!$D$10</definedName>
    <definedName function="false" hidden="false" name="cust_sh" vbProcedure="false">In!$E$82</definedName>
    <definedName function="false" hidden="false" name="cust_sh_hi" vbProcedure="false">In!$F$82</definedName>
    <definedName function="false" hidden="false" name="cust_sh_lo" vbProcedure="false">In!$D$82</definedName>
    <definedName function="false" hidden="false" name="cx_awso" vbProcedure="false">In!$E$103</definedName>
    <definedName function="false" hidden="false" name="cx_awso_hi" vbProcedure="false">In!$F$103</definedName>
    <definedName function="false" hidden="false" name="cx_awso_lo" vbProcedure="false">In!$D$103</definedName>
    <definedName function="false" hidden="false" name="cx_rt" vbProcedure="false">In!$E$114</definedName>
    <definedName function="false" hidden="false" name="c_capex26" vbProcedure="false">In!$E$143</definedName>
    <definedName function="false" hidden="false" name="c_capex27" vbProcedure="false">In!$E$150</definedName>
    <definedName function="false" hidden="false" name="c_capex28" vbProcedure="false">In!$E$157</definedName>
    <definedName function="false" hidden="false" name="c_ebit26" vbProcedure="false">In!$E$140</definedName>
    <definedName function="false" hidden="false" name="c_ebit27" vbProcedure="false">In!$E$147</definedName>
    <definedName function="false" hidden="false" name="c_ebit28" vbProcedure="false">In!$E$154</definedName>
    <definedName function="false" hidden="false" name="c_ebitda26" vbProcedure="false">In!$E$139</definedName>
    <definedName function="false" hidden="false" name="c_ebitda27" vbProcedure="false">In!$E$146</definedName>
    <definedName function="false" hidden="false" name="c_ebitda28" vbProcedure="false">In!$E$153</definedName>
    <definedName function="false" hidden="false" name="c_eps26" vbProcedure="false">In!$E$142</definedName>
    <definedName function="false" hidden="false" name="c_eps27" vbProcedure="false">In!$E$149</definedName>
    <definedName function="false" hidden="false" name="c_eps28" vbProcedure="false">In!$E$156</definedName>
    <definedName function="false" hidden="false" name="c_fcf26" vbProcedure="false">In!$E$144</definedName>
    <definedName function="false" hidden="false" name="c_fcf27" vbProcedure="false">In!$E$151</definedName>
    <definedName function="false" hidden="false" name="c_fcf28" vbProcedure="false">In!$E$158</definedName>
    <definedName function="false" hidden="false" name="c_ni26" vbProcedure="false">In!$E$141</definedName>
    <definedName function="false" hidden="false" name="c_ni27" vbProcedure="false">In!$E$148</definedName>
    <definedName function="false" hidden="false" name="c_ni28" vbProcedure="false">In!$E$155</definedName>
    <definedName function="false" hidden="false" name="c_rev26" vbProcedure="false">In!$E$138</definedName>
    <definedName function="false" hidden="false" name="c_rev27" vbProcedure="false">In!$E$145</definedName>
    <definedName function="false" hidden="false" name="c_rev28" vbProcedure="false">In!$E$152</definedName>
    <definedName function="false" hidden="false" name="c_speps26" vbProcedure="false">In!$E$161</definedName>
    <definedName function="false" hidden="false" name="c_speps26_hi" vbProcedure="false">In!$F$161</definedName>
    <definedName function="false" hidden="false" name="c_speps26_lo" vbProcedure="false">In!$D$161</definedName>
    <definedName function="false" hidden="false" name="c_speps27" vbProcedure="false">In!$E$162</definedName>
    <definedName function="false" hidden="false" name="c_sprev26" vbProcedure="false">In!$E$159</definedName>
    <definedName function="false" hidden="false" name="c_sprev26_hi" vbProcedure="false">In!$F$159</definedName>
    <definedName function="false" hidden="false" name="c_sprev26_lo" vbProcedure="false">In!$D$159</definedName>
    <definedName function="false" hidden="false" name="c_sprev27" vbProcedure="false">In!$E$160</definedName>
    <definedName function="false" hidden="false" name="debt_q3" vbProcedure="false">In!$E$21</definedName>
    <definedName function="false" hidden="false" name="dps" vbProcedure="false">In!$E$126</definedName>
    <definedName function="false" hidden="false" name="erp" vbProcedure="false">In!$E$16</definedName>
    <definedName function="false" hidden="false" name="erp_hi" vbProcedure="false">In!$F$16</definedName>
    <definedName function="false" hidden="false" name="erp_lo" vbProcedure="false">In!$D$16</definedName>
    <definedName function="false" hidden="false" name="ext_sh" vbProcedure="false">In!$E$45</definedName>
    <definedName function="false" hidden="false" name="ext_sh_hi" vbProcedure="false">In!$F$45</definedName>
    <definedName function="false" hidden="false" name="ext_sh_lo" vbProcedure="false">In!$D$45</definedName>
    <definedName function="false" hidden="false" name="fac_life" vbProcedure="false">In!$E$66</definedName>
    <definedName function="false" hidden="false" name="fac_life_hi" vbProcedure="false">In!$F$66</definedName>
    <definedName function="false" hidden="false" name="fac_life_lo" vbProcedure="false">In!$D$66</definedName>
    <definedName function="false" hidden="false" name="fin_debt" vbProcedure="false">In!$E$24</definedName>
    <definedName function="false" hidden="false" name="fin_obl" vbProcedure="false">In!$E$23</definedName>
    <definedName function="false" hidden="false" name="fl_pv" vbProcedure="false">In!$E$22</definedName>
    <definedName function="false" hidden="false" name="g26q4_hi" vbProcedure="false">In!$E$165</definedName>
    <definedName function="false" hidden="false" name="g26q4_lo" vbProcedure="false">In!$E$164</definedName>
    <definedName function="false" hidden="false" name="g26q4_mid" vbProcedure="false">In!$E$168</definedName>
    <definedName function="false" hidden="false" name="g26q4_oihi" vbProcedure="false">In!$E$167</definedName>
    <definedName function="false" hidden="false" name="g26q4_oilo" vbProcedure="false">In!$E$166</definedName>
    <definedName function="false" hidden="false" name="g_ad" vbProcedure="false">In!$E$108</definedName>
    <definedName function="false" hidden="false" name="g_ad_hi" vbProcedure="false">In!$F$108</definedName>
    <definedName function="false" hidden="false" name="g_ad_lo" vbProcedure="false">In!$D$108</definedName>
    <definedName function="false" hidden="false" name="g_awso_lt" vbProcedure="false">In!$E$101</definedName>
    <definedName function="false" hidden="false" name="g_awso_lt_hi" vbProcedure="false">In!$F$101</definedName>
    <definedName function="false" hidden="false" name="g_awso_lt_lo" vbProcedure="false">In!$D$101</definedName>
    <definedName function="false" hidden="false" name="g_os" vbProcedure="false">In!$E$105</definedName>
    <definedName function="false" hidden="false" name="g_os_hi" vbProcedure="false">In!$F$105</definedName>
    <definedName function="false" hidden="false" name="g_os_lo" vbProcedure="false">In!$D$105</definedName>
    <definedName function="false" hidden="false" name="g_ot" vbProcedure="false">In!$E$110</definedName>
    <definedName function="false" hidden="false" name="g_ot_hi" vbProcedure="false">In!$F$110</definedName>
    <definedName function="false" hidden="false" name="g_ot_lo" vbProcedure="false">In!$D$110</definedName>
    <definedName function="false" hidden="false" name="g_ps" vbProcedure="false">In!$E$106</definedName>
    <definedName function="false" hidden="false" name="g_ps_hi" vbProcedure="false">In!$F$106</definedName>
    <definedName function="false" hidden="false" name="g_ps_lo" vbProcedure="false">In!$D$106</definedName>
    <definedName function="false" hidden="false" name="g_sp" vbProcedure="false">In!$E$107</definedName>
    <definedName function="false" hidden="false" name="g_sp_hi" vbProcedure="false">In!$F$107</definedName>
    <definedName function="false" hidden="false" name="g_sp_lo" vbProcedure="false">In!$D$107</definedName>
    <definedName function="false" hidden="false" name="g_sub" vbProcedure="false">In!$E$109</definedName>
    <definedName function="false" hidden="false" name="g_sub_hi" vbProcedure="false">In!$F$109</definedName>
    <definedName function="false" hidden="false" name="g_sub_lo" vbProcedure="false">In!$D$109</definedName>
    <definedName function="false" hidden="false" name="he_open" vbProcedure="false">In!$E$79</definedName>
    <definedName function="false" hidden="false" name="internal_ai_reading" vbProcedure="false">In!$E$94</definedName>
    <definedName function="false" hidden="false" name="internal_ai_reading_lo" vbProcedure="false">In!$D$94</definedName>
    <definedName function="false" hidden="false" name="inv_q4" vbProcedure="false">In!$E$125</definedName>
    <definedName function="false" hidden="false" name="inv_q4_hi" vbProcedure="false">In!$F$125</definedName>
    <definedName function="false" hidden="false" name="kd" vbProcedure="false">In!$E$19</definedName>
    <definedName function="false" hidden="false" name="kd_book" vbProcedure="false">In!$E$121</definedName>
    <definedName function="false" hidden="false" name="kd_new" vbProcedure="false">In!$E$17</definedName>
    <definedName function="false" hidden="false" name="kd_spr" vbProcedure="false">In!$E$18</definedName>
    <definedName function="false" hidden="false" name="kd_spr_hi" vbProcedure="false">In!$F$18</definedName>
    <definedName function="false" hidden="false" name="kd_spr_lo" vbProcedure="false">In!$D$18</definedName>
    <definedName function="false" hidden="false" name="ke" vbProcedure="false">In!$E$25</definedName>
    <definedName function="false" hidden="false" name="k_A" vbProcedure="false">In!$E$72</definedName>
    <definedName function="false" hidden="false" name="k_B" vbProcedure="false">In!$E$73</definedName>
    <definedName function="false" hidden="false" name="k_C" vbProcedure="false">In!$E$74</definedName>
    <definedName function="false" hidden="false" name="k_long" vbProcedure="false">In!$E$68</definedName>
    <definedName function="false" hidden="false" name="k_long_lo" vbProcedure="false">In!$D$68</definedName>
    <definedName function="false" hidden="false" name="k_long_lo2" vbProcedure="false">In!$E$70</definedName>
    <definedName function="false" hidden="false" name="k_spot" vbProcedure="false">In!$E$69</definedName>
    <definedName function="false" hidden="false" name="k_spot_hi" vbProcedure="false">In!$F$69</definedName>
    <definedName function="false" hidden="false" name="k_spot_lst" vbProcedure="false">In!$E$71</definedName>
    <definedName function="false" hidden="false" name="lease_pr" vbProcedure="false">In!$E$119</definedName>
    <definedName function="false" hidden="false" name="lease_pr_hi" vbProcedure="false">In!$F$119</definedName>
    <definedName function="false" hidden="false" name="lease_pr_lo" vbProcedure="false">In!$D$119</definedName>
    <definedName function="false" hidden="false" name="liq_disc" vbProcedure="false">In!$E$132</definedName>
    <definedName function="false" hidden="false" name="liq_disc_hi" vbProcedure="false">In!$F$132</definedName>
    <definedName function="false" hidden="false" name="liq_disc_lo" vbProcedure="false">In!$D$132</definedName>
    <definedName function="false" hidden="false" name="long_sh" vbProcedure="false">In!$E$46</definedName>
    <definedName function="false" hidden="false" name="long_sh_hi" vbProcedure="false">In!$F$46</definedName>
    <definedName function="false" hidden="false" name="long_sh_lo" vbProcedure="false">In!$D$46</definedName>
    <definedName function="false" hidden="false" name="min_cash" vbProcedure="false">In!$E$124</definedName>
    <definedName function="false" hidden="false" name="min_cash_hi" vbProcedure="false">In!$F$124</definedName>
    <definedName function="false" hidden="false" name="min_cash_lo" vbProcedure="false">In!$D$124</definedName>
    <definedName function="false" hidden="false" name="mo_gb200" vbProcedure="false">In!$E$77</definedName>
    <definedName function="false" hidden="false" name="mo_gb300" vbProcedure="false">In!$E$78</definedName>
    <definedName function="false" hidden="false" name="mo_h100" vbProcedure="false">In!$E$76</definedName>
    <definedName function="false" hidden="false" name="mo_trn2" vbProcedure="false">In!$E$75</definedName>
    <definedName function="false" hidden="false" name="mw_open" vbProcedure="false">In!$E$39</definedName>
    <definedName function="false" hidden="false" name="mw_open_hi" vbProcedure="false">In!$F$39</definedName>
    <definedName function="false" hidden="false" name="mw_open_lo" vbProcedure="false">In!$D$39</definedName>
    <definedName function="false" hidden="false" name="mw_q3" vbProcedure="false">In!$E$44</definedName>
    <definedName function="false" hidden="false" name="mw_ye23" vbProcedure="false">In!$E$36</definedName>
    <definedName function="false" hidden="false" name="mw_ye24" vbProcedure="false">In!$E$37</definedName>
    <definedName function="false" hidden="false" name="mw_ye25" vbProcedure="false">In!$E$38</definedName>
    <definedName function="false" hidden="false" name="mw_ye25_hi" vbProcedure="false">In!$F$38</definedName>
    <definedName function="false" hidden="false" name="mw_ye25_lo" vbProcedure="false">In!$D$38</definedName>
    <definedName function="false" hidden="false" name="m_ad" vbProcedure="false">In!$E$111</definedName>
    <definedName function="false" hidden="false" name="m_ads" vbProcedure="false">Val!$C$60</definedName>
    <definedName function="false" hidden="false" name="m_ad_hi" vbProcedure="false">In!$F$111</definedName>
    <definedName function="false" hidden="false" name="m_ad_lo" vbProcedure="false">In!$D$111</definedName>
    <definedName function="false" hidden="false" name="m_ai" vbProcedure="false">In!$E$133</definedName>
    <definedName function="false" hidden="false" name="m_ai_hi" vbProcedure="false">In!$F$133</definedName>
    <definedName function="false" hidden="false" name="m_ai_lo" vbProcedure="false">In!$D$133</definedName>
    <definedName function="false" hidden="false" name="m_cloud" vbProcedure="false">Val!$C$61</definedName>
    <definedName function="false" hidden="false" name="m_retail" vbProcedure="false">Val!$C$59</definedName>
    <definedName function="false" hidden="false" name="m_x" vbProcedure="false">In!$E$136</definedName>
    <definedName function="false" hidden="false" name="m_x_hi" vbProcedure="false">In!$F$136</definedName>
    <definedName function="false" hidden="false" name="m_x_lo" vbProcedure="false">In!$D$136</definedName>
    <definedName function="false" hidden="false" name="na_vr26" vbProcedure="false">In!$E$83</definedName>
    <definedName function="false" hidden="false" name="na_vr27" vbProcedure="false">In!$E$84</definedName>
    <definedName function="false" hidden="false" name="na_vr28" vbProcedure="false">In!$E$85</definedName>
    <definedName function="false" hidden="false" name="oai_sh" vbProcedure="false">In!$E$131</definedName>
    <definedName function="false" hidden="false" name="oai_val" vbProcedure="false">In!$E$130</definedName>
    <definedName function="false" hidden="false" name="oth_q4" vbProcedure="false">In!$E$118</definedName>
    <definedName function="false" hidden="false" name="oth_r" vbProcedure="false">In!$E$117</definedName>
    <definedName function="false" hidden="false" name="oth_r_hi" vbProcedure="false">In!$F$117</definedName>
    <definedName function="false" hidden="false" name="oth_r_lo" vbProcedure="false">In!$D$117</definedName>
    <definedName function="false" hidden="false" name="ox_open" vbProcedure="false">In!$E$80</definedName>
    <definedName function="false" hidden="false" name="pace_A" vbProcedure="false">In!$E$40</definedName>
    <definedName function="false" hidden="false" name="pace_B" vbProcedure="false">In!$E$41</definedName>
    <definedName function="false" hidden="false" name="pace_C" vbProcedure="false">In!$E$42</definedName>
    <definedName function="false" hidden="false" name="pace_x" vbProcedure="false">In!$E$43</definedName>
    <definedName function="false" hidden="false" name="pace_x_hi" vbProcedure="false">In!$F$43</definedName>
    <definedName function="false" hidden="false" name="pace_x_lo" vbProcedure="false">In!$D$43</definedName>
    <definedName function="false" hidden="false" name="px" vbProcedure="false">In!$E$5</definedName>
    <definedName function="false" hidden="false" name="px_val" vbProcedure="false">In!$E$6</definedName>
    <definedName function="false" hidden="false" name="p_list" vbProcedure="false">In!$E$48</definedName>
    <definedName function="false" hidden="false" name="p_long" vbProcedure="false">In!$E$49</definedName>
    <definedName function="false" hidden="false" name="p_long_lo" vbProcedure="false">In!$E$50</definedName>
    <definedName function="false" hidden="false" name="p_spot" vbProcedure="false">In!$E$47</definedName>
    <definedName function="false" hidden="false" name="rent_mw" vbProcedure="false">In!$E$92</definedName>
    <definedName function="false" hidden="false" name="rent_rec" vbProcedure="false">In!$E$91</definedName>
    <definedName function="false" hidden="false" name="rf" vbProcedure="false">In!$E$12</definedName>
    <definedName function="false" hidden="false" name="ronic" vbProcedure="false">In!$E$29</definedName>
    <definedName function="false" hidden="false" name="ronic_hi" vbProcedure="false">In!$F$29</definedName>
    <definedName function="false" hidden="false" name="rpm_open" vbProcedure="false">In!$E$81</definedName>
    <definedName function="false" hidden="false" name="sbc_ab" vbProcedure="false">In!$E$134</definedName>
    <definedName function="false" hidden="false" name="sbc_ab_lo" vbProcedure="false">In!$D$134</definedName>
    <definedName function="false" hidden="false" name="sbc_r" vbProcedure="false">In!$E$116</definedName>
    <definedName function="false" hidden="false" name="sh_awd" vbProcedure="false">In!$E$8</definedName>
    <definedName function="false" hidden="false" name="sh_g" vbProcedure="false">In!$E$120</definedName>
    <definedName function="false" hidden="false" name="sh_g_hi" vbProcedure="false">In!$F$120</definedName>
    <definedName function="false" hidden="false" name="sh_g_lo" vbProcedure="false">In!$D$120</definedName>
    <definedName function="false" hidden="false" name="sh_out" vbProcedure="false">In!$E$7</definedName>
    <definedName function="false" hidden="false" name="sh_val" vbProcedure="false">In!$E$9</definedName>
    <definedName function="false" hidden="false" name="step_in" vbProcedure="false">In!$E$113</definedName>
    <definedName function="false" hidden="false" name="step_in_hi" vbProcedure="false">In!$F$113</definedName>
    <definedName function="false" hidden="false" name="step_in_lo" vbProcedure="false">In!$D$113</definedName>
    <definedName function="false" hidden="false" name="step_na" vbProcedure="false">In!$E$112</definedName>
    <definedName function="false" hidden="false" name="step_na_hi" vbProcedure="false">In!$F$112</definedName>
    <definedName function="false" hidden="false" name="step_na_lo" vbProcedure="false">In!$D$112</definedName>
    <definedName function="false" hidden="false" name="tax" vbProcedure="false">In!$E$20</definedName>
    <definedName function="false" hidden="false" name="tax_hi" vbProcedure="false">In!$F$20</definedName>
    <definedName function="false" hidden="false" name="tax_lo" vbProcedure="false">In!$D$20</definedName>
    <definedName function="false" hidden="false" name="tg" vbProcedure="false">In!$E$28</definedName>
    <definedName function="false" hidden="false" name="tg_hi" vbProcedure="false">In!$F$28</definedName>
    <definedName function="false" hidden="false" name="tg_lo" vbProcedure="false">In!$D$28</definedName>
    <definedName function="false" hidden="false" name="tk_cx_gb200" vbProcedure="false">In!$E$56</definedName>
    <definedName function="false" hidden="false" name="tk_cx_gb300" vbProcedure="false">In!$E$57</definedName>
    <definedName function="false" hidden="false" name="tk_cx_h100" vbProcedure="false">In!$E$55</definedName>
    <definedName function="false" hidden="false" name="tk_cx_vr200" vbProcedure="false">In!$E$58</definedName>
    <definedName function="false" hidden="false" name="tk_fac" vbProcedure="false">In!$E$64</definedName>
    <definedName function="false" hidden="false" name="tk_gpuhr" vbProcedure="false">In!$E$63</definedName>
    <definedName function="false" hidden="false" name="tk_he_gb200" vbProcedure="false">In!$E$52</definedName>
    <definedName function="false" hidden="false" name="tk_he_gb200_hi" vbProcedure="false">In!$F$52</definedName>
    <definedName function="false" hidden="false" name="tk_he_gb200_lo" vbProcedure="false">In!$D$52</definedName>
    <definedName function="false" hidden="false" name="tk_he_gb300" vbProcedure="false">In!$E$53</definedName>
    <definedName function="false" hidden="false" name="tk_he_gb300_hi" vbProcedure="false">In!$F$53</definedName>
    <definedName function="false" hidden="false" name="tk_he_gb300_lo" vbProcedure="false">In!$D$53</definedName>
    <definedName function="false" hidden="false" name="tk_he_h100" vbProcedure="false">In!$E$51</definedName>
    <definedName function="false" hidden="false" name="tk_he_h100_hi" vbProcedure="false">In!$F$51</definedName>
    <definedName function="false" hidden="false" name="tk_he_h100_lo" vbProcedure="false">In!$D$51</definedName>
    <definedName function="false" hidden="false" name="tk_he_vr200" vbProcedure="false">In!$E$54</definedName>
    <definedName function="false" hidden="false" name="tk_he_vr200_hi" vbProcedure="false">In!$F$54</definedName>
    <definedName function="false" hidden="false" name="tk_he_vr200_lo" vbProcedure="false">In!$D$54</definedName>
    <definedName function="false" hidden="false" name="tk_life" vbProcedure="false">In!$E$65</definedName>
    <definedName function="false" hidden="false" name="tk_life_hi" vbProcedure="false">In!$F$65</definedName>
    <definedName function="false" hidden="false" name="tk_life_lo" vbProcedure="false">In!$D$65</definedName>
    <definedName function="false" hidden="false" name="tk_ox_gb200" vbProcedure="false">In!$E$60</definedName>
    <definedName function="false" hidden="false" name="tk_ox_gb300" vbProcedure="false">In!$E$61</definedName>
    <definedName function="false" hidden="false" name="tk_ox_h100" vbProcedure="false">In!$E$59</definedName>
    <definedName function="false" hidden="false" name="tk_ox_vr200" vbProcedure="false">In!$E$62</definedName>
    <definedName function="false" hidden="false" name="tk_pq" vbProcedure="false">In!$E$67</definedName>
    <definedName function="false" hidden="false" name="tk_pq_hi" vbProcedure="false">In!$F$67</definedName>
    <definedName function="false" hidden="false" name="tk_pq_lo" vbProcedure="false">In!$D$67</definedName>
    <definedName function="false" hidden="false" name="tp_yf" vbProcedure="false">In!$E$34</definedName>
    <definedName function="false" hidden="false" name="trn_hold" vbProcedure="false">In!$E$86</definedName>
    <definedName function="false" hidden="false" name="trn_hold_hi" vbProcedure="false">In!$F$86</definedName>
    <definedName function="false" hidden="false" name="trn_hold_lo" vbProcedure="false">In!$D$86</definedName>
    <definedName function="false" hidden="false" name="trn_out" vbProcedure="false">In!$E$87</definedName>
    <definedName function="false" hidden="false" name="trn_out_hi" vbProcedure="false">In!$F$87</definedName>
    <definedName function="false" hidden="false" name="trn_out_lo" vbProcedure="false">In!$D$87</definedName>
    <definedName function="false" hidden="false" name="v03_px" vbProcedure="false">In!$E$172</definedName>
    <definedName function="false" hidden="false" name="v03_tp" vbProcedure="false">In!$E$170</definedName>
    <definedName function="false" hidden="false" name="v03_tp1" vbProcedure="false">In!$E$171</definedName>
    <definedName function="false" hidden="false" name="wacc" vbProcedure="false">In!$E$27</definedName>
    <definedName function="false" hidden="false" name="wacc_adj" vbProcedure="false">In!$E$26</definedName>
    <definedName function="false" hidden="false" name="wacc_adj_hi" vbProcedure="false">In!$F$26</definedName>
    <definedName function="false" hidden="false" name="wacc_adj_lo" vbProcedure="false">In!$D$26</definedName>
    <definedName function="false" hidden="false" name="w_A" vbProcedure="false">In!$E$31</definedName>
    <definedName function="false" hidden="false" name="w_B" vbProcedure="false">In!$E$32</definedName>
    <definedName function="false" hidden="false" name="w_C" vbProcedure="false">In!$E$33</definedName>
    <definedName function="false" hidden="false" name="w_dcf" vbProcedure="false">In!$E$30</definedName>
    <definedName function="false" hidden="false" name="w_dcf_hi" vbProcedure="false">In!$F$30</definedName>
    <definedName function="false" hidden="false" name="w_dcf_lo" vbProcedure="false">In!$D$30</definedName>
    <definedName function="false" hidden="false" name="y_cash" vbProcedure="false">In!$E$122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<sst xmlns="http://schemas.openxmlformats.org/spreadsheetml/2006/main" count="5680" uniqueCount="1433">
  <si>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（命題模組＋官方營收分部 → 損益表；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季度滾動）　</t>
    </r>
    <r>
      <rPr>
        <b val="true"/>
        <sz val="11"/>
        <rFont val="Cambria"/>
        <family val="0"/>
        <charset val="1"/>
      </rPr>
      <t xml:space="preserve">2026-10-31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</si>
  <si>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滾入；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2026-10-27</t>
    </r>
    <r>
      <rPr>
        <sz val="11"/>
        <rFont val="Noto Sans CJK SC"/>
        <family val="2"/>
      </rPr>
      <t xml:space="preserve">）。資料截至 </t>
    </r>
    <r>
      <rPr>
        <sz val="11"/>
        <rFont val="Cambria"/>
        <family val="0"/>
        <charset val="1"/>
      </rPr>
      <t xml:space="preserve">2026-09-30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新聞稿；</t>
    </r>
    <r>
      <rPr>
        <sz val="11"/>
        <rFont val="Cambria"/>
        <family val="0"/>
        <charset val="1"/>
      </rPr>
      <t xml:space="preserve">10-Q </t>
    </r>
    <r>
      <rPr>
        <sz val="11"/>
        <rFont val="Noto Sans CJK SC"/>
        <family val="2"/>
      </rPr>
      <t xml:space="preserve">未取得，附註數字沿用 </t>
    </r>
    <r>
      <rPr>
        <sz val="11"/>
        <rFont val="Cambria"/>
        <family val="0"/>
        <charset val="1"/>
      </rPr>
      <t xml:space="preserve">2026Q2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9M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模型；</t>
    </r>
    <r>
      <rPr>
        <sz val="11"/>
        <rFont val="Cambria"/>
        <family val="0"/>
        <charset val="1"/>
      </rPr>
      <t xml:space="preserve">Tokenomics v21.7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改讀 </t>
    </r>
    <r>
      <rPr>
        <sz val="11"/>
        <rFont val="Cambria"/>
        <family val="0"/>
        <charset val="1"/>
      </rPr>
      <t xml:space="preserve">IF_NonNV_Hold_Trn</t>
    </r>
    <r>
      <rPr>
        <sz val="1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</si>
  <si>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容量（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）能否以高於資金成本的報酬變現，零售與廣告的現金流能否支應資本支出。</t>
    </r>
  </si>
  <si>
    <r>
      <rPr>
        <b val="true"/>
        <sz val="11"/>
        <rFont val="Noto Sans CJK SC"/>
        <family val="2"/>
      </rPr>
      <t xml:space="preserve">核心問題：</t>
    </r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營業利益率與自由現金流（扣股利後）是否轉正並維持。</t>
    </r>
  </si>
  <si>
    <t xml:space="preserve">驅動 → 推導對照表（每頁輸入、推導量、因果方向）</t>
  </si>
  <si>
    <r>
      <rPr>
        <sz val="11"/>
        <rFont val="Cambria"/>
        <family val="0"/>
        <charset val="1"/>
      </rPr>
      <t xml:space="preserve">In → Thesis</t>
    </r>
    <r>
      <rPr>
        <sz val="11"/>
        <rFont val="Noto Sans CJK SC"/>
        <family val="2"/>
      </rPr>
      <t xml:space="preserve">：對外 </t>
    </r>
    <r>
      <rPr>
        <sz val="11"/>
        <rFont val="Cambria"/>
        <family val="0"/>
        <charset val="1"/>
      </rPr>
      <t xml:space="preserve">AI 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6/30 </t>
    </r>
    <r>
      <rPr>
        <sz val="11"/>
        <rFont val="Noto Sans CJK SC"/>
        <family val="2"/>
      </rPr>
      <t xml:space="preserve">機隊 </t>
    </r>
    <r>
      <rPr>
        <sz val="11"/>
        <rFont val="Cambria"/>
        <family val="0"/>
        <charset val="1"/>
      </rPr>
      <t xml:space="preserve">2,080 MW</t>
    </r>
    <r>
      <rPr>
        <sz val="11"/>
        <rFont val="Noto Sans CJK SC"/>
        <family val="2"/>
      </rPr>
      <t xml:space="preserve">、評價日 </t>
    </r>
    <r>
      <rPr>
        <sz val="11"/>
        <rFont val="Cambria"/>
        <family val="0"/>
        <charset val="1"/>
      </rPr>
      <t xml:space="preserve">9/30 </t>
    </r>
    <r>
      <rPr>
        <sz val="11"/>
        <rFont val="Noto Sans CJK SC"/>
        <family val="2"/>
      </rPr>
      <t xml:space="preserve">加一季 </t>
    </r>
    <r>
      <rPr>
        <sz val="11"/>
        <rFont val="Cambria"/>
        <family val="0"/>
        <charset val="1"/>
      </rPr>
      <t xml:space="preserve">C10 </t>
    </r>
    <r>
      <rPr>
        <sz val="11"/>
        <rFont val="Noto Sans CJK SC"/>
        <family val="2"/>
      </rPr>
      <t xml:space="preserve">速度、之後每年新增 </t>
    </r>
    <r>
      <rPr>
        <sz val="11"/>
        <rFont val="Cambria"/>
        <family val="0"/>
        <charset val="1"/>
      </rPr>
      <t xml:space="preserve">pace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Tokenomics IF_HoldEcon × k → AWS AI </t>
    </r>
    <r>
      <rPr>
        <sz val="11"/>
        <rFont val="Noto Sans CJK SC"/>
        <family val="2"/>
      </rPr>
      <t xml:space="preserve">營收；新增 </t>
    </r>
    <r>
      <rPr>
        <sz val="11"/>
        <rFont val="Cambria"/>
        <family val="0"/>
        <charset val="1"/>
      </rPr>
      <t xml:space="preserve">MW ÷ </t>
    </r>
    <r>
      <rPr>
        <sz val="11"/>
        <rFont val="Noto Sans CJK SC"/>
        <family val="2"/>
      </rPr>
      <t xml:space="preserve">對外比例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IT</t>
    </r>
    <r>
      <rPr>
        <sz val="11"/>
        <rFont val="Noto Sans CJK SC"/>
        <family val="2"/>
      </rPr>
      <t xml:space="preserve">＋自建機房成本）→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 → </t>
    </r>
    <r>
      <rPr>
        <sz val="11"/>
        <rFont val="Cambria"/>
        <family val="0"/>
        <charset val="1"/>
      </rPr>
      <t xml:space="preserve">IT 6 </t>
    </r>
    <r>
      <rPr>
        <sz val="11"/>
        <rFont val="Noto Sans CJK SC"/>
        <family val="2"/>
      </rPr>
      <t xml:space="preserve">年／機房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年折舊 → </t>
    </r>
    <r>
      <rPr>
        <sz val="11"/>
        <rFont val="Cambria"/>
        <family val="0"/>
        <charset val="1"/>
      </rPr>
      <t xml:space="preserve">AWS AI </t>
    </r>
    <r>
      <rPr>
        <sz val="11"/>
        <rFont val="Noto Sans CJK SC"/>
        <family val="2"/>
      </rPr>
      <t xml:space="preserve">營業利益（對外）與自用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成本（零售）。</t>
    </r>
  </si>
  <si>
    <r>
      <rPr>
        <sz val="11"/>
        <rFont val="Cambria"/>
        <family val="0"/>
        <charset val="1"/>
      </rPr>
      <t xml:space="preserve">In → Seg</t>
    </r>
    <r>
      <rPr>
        <sz val="11"/>
        <rFont val="Noto Sans CJK SC"/>
        <family val="2"/>
      </rPr>
      <t xml:space="preserve">：零售六條營收線（</t>
    </r>
    <r>
      <rPr>
        <sz val="11"/>
        <rFont val="Cambria"/>
        <family val="0"/>
        <charset val="1"/>
      </rPr>
      <t xml:space="preserve">Q4 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Q4 25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9M26 </t>
    </r>
    <r>
      <rPr>
        <sz val="11"/>
        <rFont val="Noto Sans CJK SC"/>
        <family val="2"/>
      </rPr>
      <t xml:space="preserve">年增）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校準係數〔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合併營收＝指引中點〕，之後收斂到長期年增）→ 零售合計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北美比例 → </t>
    </r>
    <r>
      <rPr>
        <sz val="11"/>
        <rFont val="Cambria"/>
        <family val="0"/>
        <charset val="1"/>
      </rPr>
      <t xml:space="preserve">North America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International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其他（殘差起算、收斂到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</si>
  <si>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Thesis → PL</t>
    </r>
    <r>
      <rPr>
        <sz val="11"/>
        <rFont val="Noto Sans CJK SC"/>
        <family val="2"/>
      </rPr>
      <t xml:space="preserve">：北美／國際營業利益＝廣告營收 </t>
    </r>
    <r>
      <rPr>
        <sz val="11"/>
        <rFont val="Cambria"/>
        <family val="0"/>
        <charset val="1"/>
      </rPr>
      <t xml:space="preserve">× 50%</t>
    </r>
    <r>
      <rPr>
        <sz val="11"/>
        <rFont val="Noto Sans CJK SC"/>
        <family val="2"/>
      </rPr>
      <t xml:space="preserve">＋零售本業營收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本業利益率（實績殘差＋每年改善）− 自用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成本；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營業利益＝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近四季利益率 → 合併營業利益 → 利息（</t>
    </r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）、稅 </t>
    </r>
    <r>
      <rPr>
        <sz val="11"/>
        <rFont val="Cambria"/>
        <family val="0"/>
        <charset val="1"/>
      </rPr>
      <t xml:space="preserve">17.4% → </t>
    </r>
    <r>
      <rPr>
        <sz val="11"/>
        <rFont val="Noto Sans CJK SC"/>
        <family val="2"/>
      </rPr>
      <t xml:space="preserve">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</si>
  <si>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 → CF</t>
    </r>
    <r>
      <rPr>
        <sz val="11"/>
        <rFont val="Noto Sans CJK SC"/>
        <family val="2"/>
      </rPr>
      <t xml:space="preserve">：淨利＋分部折舊＋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＋其他 − 資本支出（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＋零售 </t>
    </r>
    <r>
      <rPr>
        <sz val="11"/>
        <rFont val="Cambria"/>
        <family val="0"/>
        <charset val="1"/>
      </rPr>
      <t xml:space="preserve">5.9%</t>
    </r>
    <r>
      <rPr>
        <sz val="11"/>
        <rFont val="Noto Sans CJK SC"/>
        <family val="2"/>
      </rPr>
      <t xml:space="preserve">）− 融資租賃本金 → 自由現金流；股利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、回購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；現金低於 </t>
    </r>
    <r>
      <rPr>
        <sz val="11"/>
        <rFont val="Cambria"/>
        <family val="0"/>
        <charset val="1"/>
      </rPr>
      <t xml:space="preserve">50 </t>
    </r>
    <r>
      <rPr>
        <sz val="11"/>
        <rFont val="Noto Sans CJK SC"/>
        <family val="2"/>
      </rPr>
      <t xml:space="preserve">即舉債 → 利息費用回到 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</si>
  <si>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CF →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FCFF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RONIC </t>
    </r>
    <r>
      <rPr>
        <sz val="11"/>
        <rFont val="Noto Sans CJK SC"/>
        <family val="2"/>
      </rPr>
      <t xml:space="preserve">永續）＋分部加總（廣告、零售本業、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其他、</t>
    </r>
    <r>
      <rPr>
        <sz val="11"/>
        <rFont val="Cambria"/>
        <family val="0"/>
        <charset val="1"/>
      </rPr>
      <t xml:space="preserve">AWS AI × </t>
    </r>
    <r>
      <rPr>
        <sz val="11"/>
        <rFont val="Noto Sans CJK SC"/>
        <family val="2"/>
      </rPr>
      <t xml:space="preserve">同業倍數）＋持股（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）→ 情境目標價 → 情境加權 → 上檔空間 → 投資建議。</t>
    </r>
  </si>
  <si>
    <r>
      <rPr>
        <sz val="11"/>
        <rFont val="Noto Sans CJK SC"/>
        <family val="2"/>
      </rPr>
      <t xml:space="preserve">工作表：</t>
    </r>
    <r>
      <rPr>
        <sz val="11"/>
        <rFont val="Cambria"/>
        <family val="0"/>
        <charset val="1"/>
      </rPr>
      <t xml:space="preserve">README → In</t>
    </r>
    <r>
      <rPr>
        <sz val="11"/>
        <rFont val="Noto Sans CJK SC"/>
        <family val="2"/>
      </rPr>
      <t xml:space="preserve">（輸入；</t>
    </r>
    <r>
      <rPr>
        <sz val="11"/>
        <rFont val="Cambria"/>
        <family val="0"/>
        <charset val="1"/>
      </rPr>
      <t xml:space="preserve">J </t>
    </r>
    <r>
      <rPr>
        <sz val="11"/>
        <rFont val="Noto Sans CJK SC"/>
        <family val="2"/>
      </rPr>
      <t xml:space="preserve">節情境驅動對照）→ </t>
    </r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（實績與核對）→ </t>
    </r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（命題模組）→ </t>
    </r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（營收分部）→ </t>
    </r>
    <r>
      <rPr>
        <sz val="11"/>
        <rFont val="Cambria"/>
        <family val="0"/>
        <charset val="1"/>
      </rPr>
      <t xml:space="preserve">PL → CF → Val → Recon</t>
    </r>
    <r>
      <rPr>
        <sz val="11"/>
        <rFont val="Noto Sans CJK SC"/>
        <family val="2"/>
      </rPr>
      <t xml:space="preserve">（共識、指引、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拆解）→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（敏感度）→ </t>
    </r>
    <r>
      <rPr>
        <sz val="11"/>
        <rFont val="Cambria"/>
        <family val="0"/>
        <charset val="1"/>
      </rPr>
      <t xml:space="preserve">Sources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</si>
  <si>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。沿用 </t>
    </r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規格（</t>
    </r>
    <r>
      <rPr>
        <sz val="11"/>
        <rFont val="Cambria"/>
        <family val="0"/>
        <charset val="1"/>
      </rPr>
      <t xml:space="preserve">kspec.py</t>
    </r>
    <r>
      <rPr>
        <sz val="11"/>
        <rFont val="Noto Sans CJK SC"/>
        <family val="2"/>
      </rPr>
      <t xml:space="preserve">）、對外比例、</t>
    </r>
    <r>
      <rPr>
        <sz val="11"/>
        <rFont val="Cambria"/>
        <family val="0"/>
        <charset val="1"/>
      </rPr>
      <t xml:space="preserve">WACC </t>
    </r>
    <r>
      <rPr>
        <sz val="11"/>
        <rFont val="Noto Sans CJK SC"/>
        <family val="2"/>
      </rPr>
      <t xml:space="preserve">輸入、持股與同業倍數。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＝敏感度低／高，只用於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頁；共識區間只作對照。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</si>
  <si>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、對外比例與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營收，</t>
    </r>
    <r>
      <rPr>
        <sz val="11"/>
        <rFont val="Cambria"/>
        <family val="0"/>
        <charset val="1"/>
      </rPr>
      <t xml:space="preserve">AWS 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AWS </t>
    </r>
    <r>
      <rPr>
        <sz val="11"/>
        <rFont val="Noto Sans CJK SC"/>
        <family val="2"/>
      </rPr>
      <t xml:space="preserve">其他的歷史分拆為估計；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分部共識未找到，合併共識為財報前；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同業倍數沿用 </t>
    </r>
    <r>
      <rPr>
        <sz val="11"/>
        <rFont val="Cambria"/>
        <family val="0"/>
        <charset val="1"/>
      </rPr>
      <t xml:space="preserve">2026-10-07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到期債務假設全數再融資；</t>
    </r>
    <r>
      <rPr>
        <sz val="11"/>
        <rFont val="Cambria"/>
        <family val="0"/>
        <charset val="1"/>
      </rPr>
      <t xml:space="preserve">(5) 10-Q </t>
    </r>
    <r>
      <rPr>
        <sz val="11"/>
        <rFont val="Noto Sans CJK SC"/>
        <family val="2"/>
      </rPr>
      <t xml:space="preserve">未取得：債務面額、在建、分部折舊、租賃為推導或沿用 </t>
    </r>
    <r>
      <rPr>
        <sz val="11"/>
        <rFont val="Cambria"/>
        <family val="0"/>
        <charset val="1"/>
      </rPr>
      <t xml:space="preserve">2026Q2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</si>
  <si>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頁〔一次動一個參數〕、不進目標價；情境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</t>
    </r>
    <r>
      <rPr>
        <sz val="11"/>
        <color theme="1"/>
        <rFont val="Calibri"/>
        <family val="2"/>
        <charset val="1"/>
      </rPr>
      <t xml:space="preserve">J. </t>
    </r>
    <r>
      <rPr>
        <sz val="11"/>
        <color theme="1"/>
        <rFont val="Noto Sans CJK SC"/>
        <family val="2"/>
      </rPr>
      <t xml:space="preserve">情境驅動對照」〔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〕）。金額 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、每股 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。每列一個鍵（定義名稱＝鍵）；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一律給低／高區間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</si>
  <si>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已核准的參數與證據（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 </t>
    </r>
    <r>
      <rPr>
        <sz val="11"/>
        <color theme="1"/>
        <rFont val="Calibri"/>
        <family val="2"/>
        <charset val="1"/>
      </rPr>
      <t xml:space="preserve">kspec.py</t>
    </r>
    <r>
      <rPr>
        <sz val="11"/>
        <color theme="1"/>
        <rFont val="Noto Sans CJK SC"/>
        <family val="2"/>
      </rPr>
      <t xml:space="preserve">、對外比例），出處見 </t>
    </r>
    <r>
      <rPr>
        <sz val="11"/>
        <color theme="1"/>
        <rFont val="Calibri"/>
        <family val="2"/>
        <charset val="1"/>
      </rPr>
      <t xml:space="preserve">legacy_v0.2/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docs/handoff</t>
    </r>
    <r>
      <rPr>
        <sz val="11"/>
        <color theme="1"/>
        <rFont val="Noto Sans CJK SC"/>
        <family val="2"/>
      </rPr>
      <t xml:space="preserve">。不以公司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節）；公司說法只作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未使用。資料截至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未取得）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</si>
  <si>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</si>
  <si>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</si>
  <si>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</si>
  <si>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</si>
  <si>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</si>
  <si>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</si>
  <si>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</si>
  <si>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</t>
  </si>
  <si>
    <t xml:space="preserve">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</si>
  <si>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價格、股數與共識目標價</t>
    </r>
  </si>
  <si>
    <t xml:space="preserve">px</t>
  </si>
  <si>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</si>
  <si>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</si>
  <si>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</si>
  <si>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S16</t>
    </r>
  </si>
  <si>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243.79</t>
    </r>
    <r>
      <rPr>
        <sz val="11"/>
        <color theme="1"/>
        <rFont val="Noto Sans CJK SC"/>
        <family val="2"/>
      </rPr>
      <t xml:space="preserve">（財報日，−</t>
    </r>
    <r>
      <rPr>
        <sz val="11"/>
        <color theme="1"/>
        <rFont val="Calibri"/>
        <family val="2"/>
        <charset val="1"/>
      </rPr>
      <t xml:space="preserve">4.3%</t>
    </r>
    <r>
      <rPr>
        <sz val="11"/>
        <color theme="1"/>
        <rFont val="Noto Sans CJK SC"/>
        <family val="2"/>
      </rPr>
      <t xml:space="preserve">）；只影響上檔空間與評等</t>
    </r>
  </si>
  <si>
    <t xml:space="preserve">px_val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</si>
  <si>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權益權重用股價（最近收盤；評價日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收盤本輪未取得）</t>
    </r>
  </si>
  <si>
    <t xml:space="preserve">S15</t>
  </si>
  <si>
    <r>
      <rPr>
        <sz val="11"/>
        <color theme="1"/>
        <rFont val="Noto Sans CJK SC"/>
        <family val="2"/>
      </rPr>
      <t xml:space="preserve">與現價分開：現價變動只影響上檔空間（拆解 </t>
    </r>
    <r>
      <rPr>
        <sz val="11"/>
        <color theme="1"/>
        <rFont val="Calibri"/>
        <family val="2"/>
        <charset val="1"/>
      </rPr>
      <t xml:space="preserve">(e)</t>
    </r>
    <r>
      <rPr>
        <sz val="11"/>
        <color theme="1"/>
        <rFont val="Noto Sans CJK SC"/>
        <family val="2"/>
      </rPr>
      <t xml:space="preserve">），本列變動歸 </t>
    </r>
    <r>
      <rPr>
        <sz val="11"/>
        <color theme="1"/>
        <rFont val="Calibri"/>
        <family val="2"/>
        <charset val="1"/>
      </rPr>
      <t xml:space="preserve">(f)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</si>
  <si>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</si>
  <si>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，資產負債表股本說明）</t>
    </r>
  </si>
  <si>
    <t xml:space="preserve">十億股</t>
  </si>
  <si>
    <t xml:space="preserve">Interested-party</t>
  </si>
  <si>
    <t xml:space="preserve">S13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</si>
  <si>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封面股數未取得；</t>
    </r>
    <r>
      <rPr>
        <sz val="11"/>
        <color theme="1"/>
        <rFont val="Calibri"/>
        <family val="2"/>
        <charset val="1"/>
      </rPr>
      <t xml:space="preserve">Supplemental </t>
    </r>
    <r>
      <rPr>
        <sz val="11"/>
        <color theme="1"/>
        <rFont val="Noto Sans CJK SC"/>
        <family val="2"/>
      </rPr>
      <t xml:space="preserve">同值 </t>
    </r>
    <r>
      <rPr>
        <sz val="11"/>
        <color theme="1"/>
        <rFont val="Calibri"/>
        <family val="2"/>
        <charset val="1"/>
      </rPr>
      <t xml:space="preserve">10,811 </t>
    </r>
    <r>
      <rPr>
        <sz val="11"/>
        <color theme="1"/>
        <rFont val="Noto Sans CJK SC"/>
        <family val="2"/>
      </rPr>
      <t xml:space="preserve">百萬股</t>
    </r>
  </si>
  <si>
    <t xml:space="preserve">sh_awd</t>
  </si>
  <si>
    <r>
      <rPr>
        <sz val="11"/>
        <color theme="1"/>
        <rFont val="Noto Sans CJK SC"/>
        <family val="2"/>
      </rPr>
      <t xml:space="preserve">未歸屬股份獎勵（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</si>
  <si>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223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Supplemental</t>
    </r>
    <r>
      <rPr>
        <sz val="11"/>
        <color theme="1"/>
        <rFont val="Noto Sans CJK SC"/>
        <family val="2"/>
      </rPr>
      <t xml:space="preserve">）</t>
    </r>
  </si>
  <si>
    <t xml:space="preserve">sh_val</t>
  </si>
  <si>
    <r>
      <rPr>
        <sz val="11"/>
        <color theme="1"/>
        <rFont val="Noto Sans CJK SC"/>
        <family val="2"/>
      </rPr>
      <t xml:space="preserve">分部加總用稀釋股數＝流通股數＋未歸屬獎勵（倍數為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加回口徑，故計入稀釋）</t>
    </r>
  </si>
  <si>
    <t xml:space="preserve">Derived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</si>
  <si>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</si>
  <si>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為現金成本，改用流通股數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，不另計稀釋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</si>
  <si>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</si>
  <si>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Koyfin 60 </t>
    </r>
    <r>
      <rPr>
        <sz val="11"/>
        <color theme="1"/>
        <rFont val="Noto Sans CJK SC"/>
        <family val="2"/>
      </rPr>
      <t xml:space="preserve">位平均，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財報後）</t>
    </r>
  </si>
  <si>
    <r>
      <rPr>
        <sz val="11"/>
        <color theme="1"/>
        <rFont val="Calibri"/>
        <family val="2"/>
        <charset val="1"/>
      </rPr>
      <t xml:space="preserve">S17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S18</t>
    </r>
  </si>
  <si>
    <r>
      <rPr>
        <sz val="11"/>
        <color theme="1"/>
        <rFont val="Calibri"/>
        <family val="2"/>
        <charset val="1"/>
      </rPr>
      <t xml:space="preserve">MarketBeat 60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325.12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）；區間為最低／最高目標價；只作對照，不進模型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</si>
  <si>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折現率（</t>
    </r>
    <r>
      <rPr>
        <b val="true"/>
        <sz val="11"/>
        <rFont val="Cambria"/>
        <family val="0"/>
        <charset val="1"/>
      </rPr>
      <t xml:space="preserve">CAPM</t>
    </r>
    <r>
      <rPr>
        <b val="true"/>
        <sz val="11"/>
        <rFont val="Noto Sans CJK SC"/>
        <family val="2"/>
      </rPr>
      <t xml:space="preserve">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</si>
  <si>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</si>
  <si>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</si>
  <si>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</si>
  <si>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S33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</si>
  <si>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</si>
  <si>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</si>
  <si>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5 </t>
    </r>
    <r>
      <rPr>
        <sz val="11"/>
        <color theme="1"/>
        <rFont val="Noto Sans CJK SC"/>
        <family val="2"/>
      </rPr>
      <t xml:space="preserve">年月資料（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同值，推測同源）</t>
    </r>
  </si>
  <si>
    <t xml:space="preserve">x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</si>
  <si>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）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</si>
  <si>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</si>
  <si>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 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</si>
  <si>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</si>
  <si>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不同資料商、不同期間（</t>
    </r>
    <r>
      <rPr>
        <sz val="11"/>
        <color theme="1"/>
        <rFont val="Calibri"/>
        <family val="2"/>
        <charset val="1"/>
      </rPr>
      <t xml:space="preserve">C13 </t>
    </r>
    <r>
      <rPr>
        <sz val="11"/>
        <color theme="1"/>
        <rFont val="Noto Sans CJK SC"/>
        <family val="2"/>
      </rPr>
      <t xml:space="preserve">獨立來源）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</si>
  <si>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</si>
  <si>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，兩個獨立來源的中位數）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</si>
  <si>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</si>
  <si>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低／高＝單一來源</t>
  </si>
  <si>
    <t xml:space="preserve">erp</t>
  </si>
  <si>
    <t xml:space="preserve">股權風險溢酬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</si>
  <si>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</si>
  <si>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（對照表預設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</si>
  <si>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t xml:space="preserve">kd_new</t>
  </si>
  <si>
    <r>
      <rPr>
        <sz val="11"/>
        <color theme="1"/>
        <rFont val="Noto Sans CJK SC"/>
        <family val="2"/>
      </rPr>
      <t xml:space="preserve">新增借款利率（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新發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Noto Sans CJK SC"/>
        <family val="2"/>
      </rPr>
      <t xml:space="preserve">票據有效利率；只用於利息費用）</t>
    </r>
  </si>
  <si>
    <t xml:space="preserve">S02</t>
  </si>
  <si>
    <r>
      <rPr>
        <sz val="11"/>
        <color theme="1"/>
        <rFont val="Noto Sans CJK SC"/>
        <family val="2"/>
      </rPr>
      <t xml:space="preserve">期後事項：固定票面 </t>
    </r>
    <r>
      <rPr>
        <sz val="11"/>
        <color theme="1"/>
        <rFont val="Calibri"/>
        <family val="2"/>
        <charset val="1"/>
      </rPr>
      <t xml:space="preserve">4.60%–6.25%</t>
    </r>
    <r>
      <rPr>
        <sz val="11"/>
        <color theme="1"/>
        <rFont val="Noto Sans CJK SC"/>
        <family val="2"/>
      </rPr>
      <t xml:space="preserve">、有效 </t>
    </r>
    <r>
      <rPr>
        <sz val="11"/>
        <color theme="1"/>
        <rFont val="Calibri"/>
        <family val="2"/>
        <charset val="1"/>
      </rPr>
      <t xml:space="preserve">4.67%–6.33%</t>
    </r>
  </si>
  <si>
    <t xml:space="preserve">kd_spr</t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</si>
  <si>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級公司債約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年期利差（相對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</si>
  <si>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年期公司債殖利率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</si>
  <si>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各期票據的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年期殖利率：未找到</t>
    </r>
  </si>
  <si>
    <t xml:space="preserve">kd</t>
  </si>
  <si>
    <r>
      <rPr>
        <sz val="11"/>
        <color theme="1"/>
        <rFont val="Noto Sans CJK SC"/>
        <family val="2"/>
      </rPr>
      <t xml:space="preserve">稅前債務成本（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用）＝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</t>
    </r>
  </si>
  <si>
    <t xml:space="preserve">tax</t>
  </si>
  <si>
    <r>
      <rPr>
        <sz val="11"/>
        <color theme="1"/>
        <rFont val="Noto Sans CJK SC"/>
        <family val="2"/>
      </rPr>
      <t xml:space="preserve">稅率（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有效稅率平均）</t>
    </r>
  </si>
  <si>
    <t xml:space="preserve">S01</t>
  </si>
  <si>
    <r>
      <rPr>
        <sz val="11"/>
        <color theme="1"/>
        <rFont val="Calibri"/>
        <family val="2"/>
        <charset val="1"/>
      </rPr>
      <t xml:space="preserve">18.96%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19.61%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評價利益的遞延稅）</t>
    </r>
  </si>
  <si>
    <t xml:space="preserve">debt_q3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</si>
  <si>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，推導：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面額 </t>
    </r>
    <r>
      <rPr>
        <sz val="11"/>
        <color theme="1"/>
        <rFont val="Calibri"/>
        <family val="2"/>
        <charset val="1"/>
      </rPr>
      <t xml:space="preserve">133.0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長期借款收入 </t>
    </r>
    <r>
      <rPr>
        <sz val="11"/>
        <color theme="1"/>
        <rFont val="Calibri"/>
        <family val="2"/>
        <charset val="1"/>
      </rPr>
      <t xml:space="preserve">48.1 − </t>
    </r>
    <r>
      <rPr>
        <sz val="11"/>
        <color theme="1"/>
        <rFont val="Noto Sans CJK SC"/>
        <family val="2"/>
      </rPr>
      <t xml:space="preserve">償還）</t>
    </r>
  </si>
  <si>
    <t xml:space="preserve">US$bn</t>
  </si>
  <si>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S13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</si>
  <si>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附註未取得；帳面法（長期債帳面變動）為 </t>
    </r>
    <r>
      <rPr>
        <sz val="11"/>
        <color theme="1"/>
        <rFont val="Calibri"/>
        <family val="2"/>
        <charset val="1"/>
      </rPr>
      <t xml:space="preserve">177.2</t>
    </r>
    <r>
      <rPr>
        <sz val="11"/>
        <color theme="1"/>
        <rFont val="Noto Sans CJK SC"/>
        <family val="2"/>
      </rPr>
      <t xml:space="preserve">，差額主要是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年到期票據轉入流動部分</t>
    </r>
  </si>
  <si>
    <t xml:space="preserve">fl_pv</t>
  </si>
  <si>
    <r>
      <rPr>
        <sz val="11"/>
        <color theme="1"/>
        <rFont val="Noto Sans CJK SC"/>
        <family val="2"/>
      </rPr>
      <t xml:space="preserve">融資租賃負債現值（沿用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</si>
  <si>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新增融資租賃取得 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、本金償還 </t>
    </r>
    <r>
      <rPr>
        <sz val="11"/>
        <color theme="1"/>
        <rFont val="Calibri"/>
        <family val="2"/>
        <charset val="1"/>
      </rPr>
      <t xml:space="preserve">0.43</t>
    </r>
  </si>
  <si>
    <t xml:space="preserve">fin_obl</t>
  </si>
  <si>
    <r>
      <rPr>
        <sz val="11"/>
        <color theme="1"/>
        <rFont val="Noto Sans CJK SC"/>
        <family val="2"/>
      </rPr>
      <t xml:space="preserve">融資義務（</t>
    </r>
    <r>
      <rPr>
        <sz val="11"/>
        <color theme="1"/>
        <rFont val="Calibri"/>
        <family val="2"/>
        <charset val="1"/>
      </rPr>
      <t xml:space="preserve">financing obligations</t>
    </r>
    <r>
      <rPr>
        <sz val="11"/>
        <color theme="1"/>
        <rFont val="Noto Sans CJK SC"/>
        <family val="2"/>
      </rPr>
      <t xml:space="preserve">；沿用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</si>
  <si>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fin_debt</t>
  </si>
  <si>
    <r>
      <rPr>
        <sz val="11"/>
        <color theme="1"/>
        <rFont val="Noto Sans CJK SC"/>
        <family val="2"/>
      </rPr>
      <t xml:space="preserve">類債務（融資租賃＋融資義務；淨負債與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皆計入，模型期間持平）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</si>
  <si>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、核對第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點）</t>
    </r>
  </si>
  <si>
    <t xml:space="preserve">ke</t>
  </si>
  <si>
    <r>
      <rPr>
        <sz val="11"/>
        <color theme="1"/>
        <rFont val="Noto Sans CJK SC"/>
        <family val="2"/>
      </rPr>
      <t xml:space="preserve">股權成本＝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</si>
  <si>
    <t xml:space="preserve">CAPM</t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</si>
  <si>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</si>
  <si>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</si>
  <si>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</si>
  <si>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Sens</t>
  </si>
  <si>
    <t xml:space="preserve">wacc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</si>
  <si>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E/(D+E) × ke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D/(D+E)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稅率）＋調整；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＝評價用股價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＝債務面額＋類債務</t>
    </r>
  </si>
  <si>
    <t xml:space="preserve">tg</t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</si>
  <si>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</si>
  <si>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）</t>
    </r>
  </si>
  <si>
    <t xml:space="preserve">ronic</t>
  </si>
  <si>
    <r>
      <rPr>
        <sz val="11"/>
        <color theme="1"/>
        <rFont val="Noto Sans CJK SC"/>
        <family val="2"/>
      </rPr>
      <t xml:space="preserve">永續期新投資報酬率（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；預設＝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：永續成長不創造價值）</t>
    </r>
  </si>
  <si>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</si>
  <si>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高值＝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</si>
  <si>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</si>
  <si>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</si>
  <si>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</si>
  <si>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可改；低／高只用於 </t>
    </r>
    <r>
      <rPr>
        <sz val="11"/>
        <color theme="1"/>
        <rFont val="Calibri"/>
        <family val="2"/>
        <charset val="1"/>
      </rPr>
      <t xml:space="preserve">Sens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</si>
  <si>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</si>
  <si>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</si>
  <si>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</si>
  <si>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 </t>
    </r>
    <r>
      <rPr>
        <sz val="11"/>
        <color theme="1"/>
        <rFont val="Calibri"/>
        <family val="2"/>
        <charset val="1"/>
      </rPr>
      <t xml:space="preserve">100%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</si>
  <si>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</si>
  <si>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</si>
  <si>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</si>
  <si>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</si>
  <si>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t xml:space="preserve">tp_yf</t>
  </si>
  <si>
    <r>
      <rPr>
        <sz val="11"/>
        <color theme="1"/>
        <rFont val="Noto Sans CJK SC"/>
        <family val="2"/>
      </rPr>
      <t xml:space="preserve">目標價時點（</t>
    </r>
    <r>
      <rPr>
        <sz val="11"/>
        <color theme="1"/>
        <rFont val="Calibri"/>
        <family val="2"/>
        <charset val="1"/>
      </rPr>
      <t xml:space="preserve">2027-10-31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個月後）距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基準日（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）年數</t>
    </r>
  </si>
  <si>
    <t xml:space="preserve">年</t>
  </si>
  <si>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</si>
  <si>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推到目標價時點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</si>
  <si>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AWS AI</t>
    </r>
    <r>
      <rPr>
        <b val="true"/>
        <sz val="11"/>
        <rFont val="Noto Sans CJK SC"/>
        <family val="2"/>
      </rPr>
      <t xml:space="preserve">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年收入）</t>
    </r>
  </si>
  <si>
    <t xml:space="preserve">mw_ye23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</si>
  <si>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</si>
  <si>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</si>
  <si>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</si>
  <si>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；只用於歷史分拆與折舊年份</t>
    </r>
  </si>
  <si>
    <t xml:space="preserve">mw_ye24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</si>
  <si>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年底）</t>
    </r>
  </si>
  <si>
    <t xml:space="preserve">同上</t>
  </si>
  <si>
    <t xml:space="preserve">mw_ye25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</si>
  <si>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</si>
  <si>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Trainium2 1.4M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× 0.871 kW ≈ 1,220 MW-IT</t>
    </r>
    <r>
      <rPr>
        <sz val="11"/>
        <color theme="1"/>
        <rFont val="Noto Sans CJK SC"/>
        <family val="2"/>
      </rPr>
      <t xml:space="preserve">（事實總帳 </t>
    </r>
    <r>
      <rPr>
        <sz val="11"/>
        <color theme="1"/>
        <rFont val="Calibri"/>
        <family val="2"/>
        <charset val="1"/>
      </rPr>
      <t xml:space="preserve">chip.trn2.mwFromLanded</t>
    </r>
    <r>
      <rPr>
        <sz val="11"/>
        <color theme="1"/>
        <rFont val="Noto Sans CJK SC"/>
        <family val="2"/>
      </rPr>
      <t xml:space="preserve">）</t>
    </r>
  </si>
  <si>
    <t xml:space="preserve">mw_open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</si>
  <si>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；期初機隊錨點）＝在役 </t>
    </r>
    <r>
      <rPr>
        <sz val="11"/>
        <color theme="1"/>
        <rFont val="Calibri"/>
        <family val="2"/>
        <charset val="1"/>
      </rPr>
      <t xml:space="preserve">AI 2,600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</si>
  <si>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S24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S25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</si>
  <si>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推估；第三方估計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</si>
  <si>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</si>
  <si>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年底容量為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年兩倍」，以 </t>
    </r>
    <r>
      <rPr>
        <sz val="11"/>
        <color theme="1"/>
        <rFont val="Calibri"/>
        <family val="2"/>
        <charset val="1"/>
      </rPr>
      <t xml:space="preserve">MS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</si>
  <si>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MW/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</si>
  <si>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scenarios.mwPath.pace.high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S35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</si>
  <si>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+7 GW × AI </t>
    </r>
    <r>
      <rPr>
        <sz val="11"/>
        <color theme="1"/>
        <rFont val="Noto Sans CJK SC"/>
        <family val="2"/>
      </rPr>
      <t xml:space="preserve">占新增 </t>
    </r>
    <r>
      <rPr>
        <sz val="11"/>
        <color theme="1"/>
        <rFont val="Calibri"/>
        <family val="2"/>
        <charset val="1"/>
      </rPr>
      <t xml:space="preserve">80% ÷ PUE 1.2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80%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</si>
  <si>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</si>
  <si>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隱含的建置速度；下半年視窗）</t>
    </r>
  </si>
  <si>
    <r>
      <rPr>
        <sz val="11"/>
        <color theme="1"/>
        <rFont val="Calibri"/>
        <family val="2"/>
        <charset val="1"/>
      </rPr>
      <t xml:space="preserve">amazon/calib_pace_v031.py → data/pace_v031.json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</si>
  <si>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Noto Sans CJK SC"/>
        <family val="2"/>
      </rPr>
      <t xml:space="preserve">（指引 − 上半年實績）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公式資本支出（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）；把支出換成實體產能，不是以營收反推單價；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3,634.3</t>
    </r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</si>
  <si>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</si>
  <si>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相同：資本支出照指引投入，下檔在變現）</t>
    </r>
  </si>
  <si>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</si>
  <si>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pace_x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</si>
  <si>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速度乘數（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用；三情境同乘，評價日前實績不變）</t>
    </r>
  </si>
  <si>
    <t xml:space="preserve">mw_q3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</si>
  <si>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× 1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</si>
  <si>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速度（實績期三情境相同）</t>
    </r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</si>
  <si>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75.9</t>
    </r>
  </si>
  <si>
    <t xml:space="preserve">ext_sh</t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</si>
  <si>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中租給客戶的比例）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</si>
  <si>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r1 C23</t>
    </r>
    <r>
      <rPr>
        <sz val="11"/>
        <color theme="1"/>
        <rFont val="Noto Sans CJK SC"/>
        <family val="2"/>
      </rPr>
      <t xml:space="preserve">：公司未揭露、最大不確定）</t>
    </r>
  </si>
  <si>
    <t xml:space="preserve">Sens ±20pt</t>
  </si>
  <si>
    <t xml:space="preserve">long_sh</t>
  </si>
  <si>
    <t xml:space="preserve">長約占對外容量比例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</si>
  <si>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pricing.longShare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</si>
  <si>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Trainium2 </t>
    </r>
    <r>
      <rPr>
        <sz val="11"/>
        <color theme="1"/>
        <rFont val="Noto Sans CJK SC"/>
        <family val="2"/>
      </rPr>
      <t xml:space="preserve">三站＋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兩筆占多數</t>
    </r>
  </si>
  <si>
    <t xml:space="preserve">p_spot</t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</si>
  <si>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現貨價（</t>
    </r>
    <r>
      <rPr>
        <sz val="11"/>
        <color theme="1"/>
        <rFont val="Calibri"/>
        <family val="2"/>
        <charset val="1"/>
      </rPr>
      <t xml:space="preserve">Silicon Data </t>
    </r>
    <r>
      <rPr>
        <sz val="11"/>
        <color theme="1"/>
        <rFont val="Noto Sans CJK SC"/>
        <family val="2"/>
      </rPr>
      <t xml:space="preserve">指數）</t>
    </r>
  </si>
  <si>
    <t xml:space="preserve">US$/GPU-hr</t>
  </si>
  <si>
    <t xml:space="preserve">S23</t>
  </si>
  <si>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三家共用（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</si>
  <si>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t xml:space="preserve">p_list</t>
  </si>
  <si>
    <r>
      <rPr>
        <sz val="11"/>
        <color theme="1"/>
        <rFont val="Calibri"/>
        <family val="2"/>
        <charset val="1"/>
      </rPr>
      <t xml:space="preserve">AWS p5.48xlarge </t>
    </r>
    <r>
      <rPr>
        <sz val="11"/>
        <color theme="1"/>
        <rFont val="Noto Sans CJK SC"/>
        <family val="2"/>
      </rPr>
      <t xml:space="preserve">隨需（每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小時）</t>
    </r>
  </si>
  <si>
    <r>
      <rPr>
        <sz val="11"/>
        <color theme="1"/>
        <rFont val="Noto Sans CJK SC"/>
        <family val="2"/>
      </rPr>
      <t xml:space="preserve">公開牌價（賣價，非成交價）；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高軸</t>
    </r>
  </si>
  <si>
    <t xml:space="preserve">p_long</t>
  </si>
  <si>
    <r>
      <rPr>
        <sz val="11"/>
        <color theme="1"/>
        <rFont val="Noto Sans CJK SC"/>
        <family val="2"/>
      </rPr>
      <t xml:space="preserve">長約等值價格（判斷倍數 </t>
    </r>
    <r>
      <rPr>
        <sz val="11"/>
        <color theme="1"/>
        <rFont val="Calibri"/>
        <family val="2"/>
        <charset val="1"/>
      </rPr>
      <t xml:space="preserve">0.75 × v5.27 VR200 </t>
    </r>
    <r>
      <rPr>
        <sz val="11"/>
        <color theme="1"/>
        <rFont val="Noto Sans CJK SC"/>
        <family val="2"/>
      </rPr>
      <t xml:space="preserve">成本 </t>
    </r>
    <r>
      <rPr>
        <sz val="11"/>
        <color theme="1"/>
        <rFont val="Calibri"/>
        <family val="2"/>
        <charset val="1"/>
      </rPr>
      <t xml:space="preserve">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</si>
  <si>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</si>
  <si>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long.base</t>
    </r>
    <r>
      <rPr>
        <sz val="11"/>
        <color theme="1"/>
        <rFont val="Noto Sans CJK SC"/>
        <family val="2"/>
      </rPr>
      <t xml:space="preserve">）</t>
    </r>
  </si>
  <si>
    <t xml:space="preserve">判斷值，不是觀察到的市場價格</t>
  </si>
  <si>
    <t xml:space="preserve">p_long_lo</t>
  </si>
  <si>
    <r>
      <rPr>
        <sz val="11"/>
        <color theme="1"/>
        <rFont val="Noto Sans CJK SC"/>
        <family val="2"/>
      </rPr>
      <t xml:space="preserve">長約等值價格下緣（判斷倍數 </t>
    </r>
    <r>
      <rPr>
        <sz val="11"/>
        <color theme="1"/>
        <rFont val="Calibri"/>
        <family val="2"/>
        <charset val="1"/>
      </rPr>
      <t xml:space="preserve">0.55 × 12.762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</si>
  <si>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legacy_v0.2/kspec.py long.low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</si>
  <si>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下限 </t>
    </r>
    <r>
      <rPr>
        <sz val="11"/>
        <color theme="1"/>
        <rFont val="Calibri"/>
        <family val="2"/>
        <charset val="1"/>
      </rPr>
      <t xml:space="preserve">0.22–0.45 </t>
    </r>
    <r>
      <rPr>
        <sz val="11"/>
        <color theme="1"/>
        <rFont val="Noto Sans CJK SC"/>
        <family val="2"/>
      </rPr>
      <t xml:space="preserve">只作對照</t>
    </r>
  </si>
  <si>
    <t xml:space="preserve">tk_he_h100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</si>
  <si>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</si>
  <si>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S21</t>
  </si>
  <si>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下的打平持有成本；低／高＝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四世代同時，鍵 </t>
    </r>
    <r>
      <rPr>
        <sz val="11"/>
        <color theme="1"/>
        <rFont val="Calibri"/>
        <family val="2"/>
        <charset val="1"/>
      </rPr>
      <t xml:space="preserve">he_all</t>
    </r>
    <r>
      <rPr>
        <sz val="11"/>
        <color theme="1"/>
        <rFont val="Noto Sans CJK SC"/>
        <family val="2"/>
      </rPr>
      <t xml:space="preserve">）</t>
    </r>
  </si>
  <si>
    <t xml:space="preserve">tk_he_gb200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</si>
  <si>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</si>
  <si>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tk_he_gb300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</si>
  <si>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</si>
  <si>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tk_he_vr200</t>
  </si>
  <si>
    <r>
      <rPr>
        <sz val="11"/>
        <color theme="1"/>
        <rFont val="Calibri"/>
        <family val="2"/>
        <charset val="1"/>
      </rPr>
      <t xml:space="preserve">Tokenomics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年持有成本，經濟口徑）</t>
    </r>
  </si>
  <si>
    <t xml:space="preserve">tk_cx_h100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</si>
  <si>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</si>
  <si>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</si>
  <si>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tk_cx_gb200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</si>
  <si>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</si>
  <si>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tk_cx_gb300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</si>
  <si>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</si>
  <si>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tk_cx_vr200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</si>
  <si>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</si>
  <si>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tk_ox_h100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</si>
  <si>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</si>
  <si>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</si>
  <si>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</si>
  <si>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tk_ox_gb300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</si>
  <si>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</si>
  <si>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tk_ox_vr200</t>
  </si>
  <si>
    <r>
      <rPr>
        <sz val="11"/>
        <color theme="1"/>
        <rFont val="Calibri"/>
        <family val="2"/>
        <charset val="1"/>
      </rPr>
      <t xml:space="preserve">Tokenomics 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年營運費用，不含折舊、含電費）</t>
    </r>
  </si>
  <si>
    <t xml:space="preserve">tk_gpuhr</t>
  </si>
  <si>
    <r>
      <rPr>
        <sz val="11"/>
        <color theme="1"/>
        <rFont val="Calibri"/>
        <family val="2"/>
        <charset val="1"/>
      </rPr>
      <t xml:space="preserve">Tokenomics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小時持有成本）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</si>
  <si>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</si>
  <si>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tk_fac</t>
  </si>
  <si>
    <r>
      <rPr>
        <sz val="11"/>
        <color theme="1"/>
        <rFont val="Calibri"/>
        <family val="2"/>
        <charset val="1"/>
      </rPr>
      <t xml:space="preserve">Tokenomics L1_FacCapexMW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</si>
  <si>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tk_life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</si>
  <si>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設備折舊年限（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</si>
  <si>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管理層：伺服器使用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法說）</t>
    </r>
  </si>
  <si>
    <t xml:space="preserve">fac_life</t>
  </si>
  <si>
    <t xml:space="preserve">機房折舊年限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</si>
  <si>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</si>
  <si>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管理層：資料中心建築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年以上</t>
    </r>
  </si>
  <si>
    <t xml:space="preserve">tk_pq</t>
  </si>
  <si>
    <r>
      <rPr>
        <sz val="11"/>
        <color theme="1"/>
        <rFont val="Calibri"/>
        <family val="2"/>
        <charset val="1"/>
      </rPr>
      <t xml:space="preserve">Tokenomics L1_RevGW_PQ_VR200</t>
    </r>
    <r>
      <rPr>
        <sz val="11"/>
        <color theme="1"/>
        <rFont val="Noto Sans CJK SC"/>
        <family val="2"/>
      </rPr>
      <t xml:space="preserve">（模型商每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年實收 </t>
    </r>
    <r>
      <rPr>
        <sz val="11"/>
        <color theme="1"/>
        <rFont val="Calibri"/>
        <family val="2"/>
        <charset val="1"/>
      </rPr>
      <t xml:space="preserve">P×Q</t>
    </r>
    <r>
      <rPr>
        <sz val="11"/>
        <color theme="1"/>
        <rFont val="Noto Sans CJK SC"/>
        <family val="2"/>
      </rPr>
      <t xml:space="preserve">；只作上限檢查）</t>
    </r>
  </si>
  <si>
    <t xml:space="preserve">上限，不得作預測</t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</si>
  <si>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</si>
  <si>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長約＝長約等值價格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VR200 IF_HoldEcon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</si>
  <si>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（隨目前快照重算）</t>
    </r>
  </si>
  <si>
    <r>
      <rPr>
        <sz val="11"/>
        <color theme="1"/>
        <rFont val="Noto Sans CJK SC"/>
        <family val="2"/>
      </rPr>
      <t xml:space="preserve">低＝長約下緣（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</si>
  <si>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</si>
  <si>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現貨＝現貨價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</si>
  <si>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Calibri"/>
        <family val="2"/>
        <charset val="1"/>
      </rPr>
      <t xml:space="preserve">legacy_v0.2/kspec.py</t>
    </r>
    <r>
      <rPr>
        <sz val="11"/>
        <color theme="1"/>
        <rFont val="Noto Sans CJK SC"/>
        <family val="2"/>
      </rPr>
      <t xml:space="preserve">（三家一致，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</si>
  <si>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</t>
    </r>
  </si>
  <si>
    <t xml:space="preserve">k_long_lo2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</si>
  <si>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長約下緣＝長約下緣價格 </t>
    </r>
    <r>
      <rPr>
        <sz val="11"/>
        <color theme="1"/>
        <rFont val="Calibri"/>
        <family val="2"/>
        <charset val="1"/>
      </rPr>
      <t xml:space="preserve">÷ VR200 IF_HoldEcon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</si>
  <si>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：情境值改用專屬列（原則第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節，不讀敏感度欄）</t>
    </r>
  </si>
  <si>
    <t xml:space="preserve">k_spot_lst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</si>
  <si>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牌價）＝牌價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用）</t>
    </r>
  </si>
  <si>
    <t xml:space="preserve">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</si>
  <si>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（價格軸高：現貨改用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</si>
  <si>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pricing.kSpot.high</t>
    </r>
    <r>
      <rPr>
        <sz val="11"/>
        <color theme="1"/>
        <rFont val="Noto Sans CJK SC"/>
        <family val="2"/>
      </rPr>
      <t xml:space="preserve">）</t>
    </r>
  </si>
  <si>
    <t xml:space="preserve">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</si>
  <si>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（價格軸基準：長約 </t>
    </r>
    <r>
      <rPr>
        <sz val="11"/>
        <color theme="1"/>
        <rFont val="Calibri"/>
        <family val="2"/>
        <charset val="1"/>
      </rPr>
      <t xml:space="preserve">80% × k_</t>
    </r>
    <r>
      <rPr>
        <sz val="11"/>
        <color theme="1"/>
        <rFont val="Noto Sans CJK SC"/>
        <family val="2"/>
      </rPr>
      <t xml:space="preserve">長約＋現貨 </t>
    </r>
    <r>
      <rPr>
        <sz val="11"/>
        <color theme="1"/>
        <rFont val="Calibri"/>
        <family val="2"/>
        <charset val="1"/>
      </rPr>
      <t xml:space="preserve">20% 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</si>
  <si>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</si>
  <si>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t xml:space="preserve">期初機隊三情境皆用本列</t>
  </si>
  <si>
    <t xml:space="preserve">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</si>
  <si>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（價格軸低：長約下緣）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</si>
  <si>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價格軸（</t>
    </r>
    <r>
      <rPr>
        <sz val="11"/>
        <color theme="1"/>
        <rFont val="Calibri"/>
        <family val="2"/>
        <charset val="1"/>
      </rPr>
      <t xml:space="preserve">pricing.kLong.low</t>
    </r>
    <r>
      <rPr>
        <sz val="11"/>
        <color theme="1"/>
        <rFont val="Noto Sans CJK SC"/>
        <family val="2"/>
      </rPr>
      <t xml:space="preserve">）</t>
    </r>
  </si>
  <si>
    <t xml:space="preserve">mo_trn2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</si>
  <si>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Trainium2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計價，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；期初機隊不套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係數）</t>
    </r>
  </si>
  <si>
    <t xml:space="preserve">S25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</si>
  <si>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三站 </t>
    </r>
    <r>
      <rPr>
        <sz val="11"/>
        <color theme="1"/>
        <rFont val="Calibri"/>
        <family val="2"/>
        <charset val="1"/>
      </rPr>
      <t xml:space="preserve">1,422 ÷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NonNV </t>
    </r>
    <r>
      <rPr>
        <sz val="11"/>
        <color theme="1"/>
        <rFont val="Noto Sans CJK SC"/>
        <family val="2"/>
      </rPr>
      <t xml:space="preserve">係數只定義 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VR200</t>
    </r>
  </si>
  <si>
    <t xml:space="preserve">mo_h100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</si>
  <si>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Hopper</t>
    </r>
  </si>
  <si>
    <t xml:space="preserve">mo_gb200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</si>
  <si>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</si>
  <si>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mo_gb300</t>
  </si>
  <si>
    <r>
      <rPr>
        <sz val="11"/>
        <color theme="1"/>
        <rFont val="Noto Sans CJK SC"/>
        <family val="2"/>
      </rPr>
      <t xml:space="preserve">期初世代占比：</t>
    </r>
    <r>
      <rPr>
        <sz val="11"/>
        <color theme="1"/>
        <rFont val="Calibri"/>
        <family val="2"/>
        <charset val="1"/>
      </rPr>
      <t xml:space="preserve">GB300</t>
    </r>
  </si>
  <si>
    <t xml:space="preserve">he_open</t>
  </si>
  <si>
    <r>
      <rPr>
        <sz val="11"/>
        <color theme="1"/>
        <rFont val="Noto Sans CJK SC"/>
        <family val="2"/>
      </rPr>
      <t xml:space="preserve">期初機隊加權 </t>
    </r>
    <r>
      <rPr>
        <sz val="11"/>
        <color theme="1"/>
        <rFont val="Calibri"/>
        <family val="2"/>
        <charset val="1"/>
      </rPr>
      <t xml:space="preserve">IF_HoldEcon</t>
    </r>
  </si>
  <si>
    <t xml:space="preserve">上列加權</t>
  </si>
  <si>
    <t xml:space="preserve">ox_open</t>
  </si>
  <si>
    <t xml:space="preserve">期初機隊加權營運費用</t>
  </si>
  <si>
    <t xml:space="preserve">rpm_open</t>
  </si>
  <si>
    <r>
      <rPr>
        <sz val="11"/>
        <color theme="1"/>
        <rFont val="Noto Sans CJK SC"/>
        <family val="2"/>
      </rPr>
      <t xml:space="preserve">期初機隊每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年收入＝加權 </t>
    </r>
    <r>
      <rPr>
        <sz val="11"/>
        <color theme="1"/>
        <rFont val="Calibri"/>
        <family val="2"/>
        <charset val="1"/>
      </rPr>
      <t xml:space="preserve">IF_HoldEcon × k_B</t>
    </r>
    <r>
      <rPr>
        <sz val="11"/>
        <color theme="1"/>
        <rFont val="Noto Sans CJK SC"/>
        <family val="2"/>
      </rPr>
      <t xml:space="preserve">（收入端不乘 </t>
    </r>
    <r>
      <rPr>
        <sz val="11"/>
        <color theme="1"/>
        <rFont val="Calibri"/>
        <family val="2"/>
        <charset val="1"/>
      </rPr>
      <t xml:space="preserve">IF_Util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</si>
  <si>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</t>
    </r>
  </si>
  <si>
    <t xml:space="preserve">cust_sh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</si>
  <si>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中自研晶片（</t>
    </r>
    <r>
      <rPr>
        <sz val="11"/>
        <color theme="1"/>
        <rFont val="Calibri"/>
        <family val="2"/>
        <charset val="1"/>
      </rPr>
      <t xml:space="preserve">Trainium3 →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為錨乘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係數）比例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</si>
  <si>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pricing.chips mixAdds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</si>
  <si>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Trainium3 2026 </t>
    </r>
    <r>
      <rPr>
        <sz val="11"/>
        <color theme="1"/>
        <rFont val="Noto Sans CJK SC"/>
        <family val="2"/>
      </rPr>
      <t xml:space="preserve">年初出貨；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Trainium 2027 </t>
    </r>
    <r>
      <rPr>
        <sz val="11"/>
        <color theme="1"/>
        <rFont val="Noto Sans CJK SC"/>
        <family val="2"/>
      </rPr>
      <t xml:space="preserve">年底起對外銷售晶片（本版不建模）</t>
    </r>
  </si>
  <si>
    <t xml:space="preserve">na_vr26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</si>
  <si>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</si>
  <si>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</si>
  <si>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na_vr27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</si>
  <si>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</si>
  <si>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na_vr28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</si>
  <si>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</t>
    </r>
  </si>
  <si>
    <t xml:space="preserve">trn_hold</t>
  </si>
  <si>
    <r>
      <rPr>
        <sz val="11"/>
        <color theme="1"/>
        <rFont val="Calibri"/>
        <family val="2"/>
        <charset val="1"/>
      </rPr>
      <t xml:space="preserve">Tokenomics IF_NonNV_Hold_Trn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；低／基準／高）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</si>
  <si>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內為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v21.4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</si>
  <si>
    <t xml:space="preserve">trn_out</t>
  </si>
  <si>
    <r>
      <rPr>
        <sz val="11"/>
        <color theme="1"/>
        <rFont val="Calibri"/>
        <family val="2"/>
        <charset val="1"/>
      </rPr>
      <t xml:space="preserve">Tokenomics IF_NonNV_Out_Trn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：收入改按產出比）</t>
    </r>
  </si>
  <si>
    <r>
      <rPr>
        <sz val="11"/>
        <color theme="1"/>
        <rFont val="Calibri"/>
        <family val="2"/>
        <charset val="1"/>
      </rPr>
      <t xml:space="preserve">Tokenomics PR #172 Q1</t>
    </r>
    <r>
      <rPr>
        <sz val="11"/>
        <color theme="1"/>
        <rFont val="Noto Sans CJK SC"/>
        <family val="2"/>
      </rPr>
      <t xml:space="preserve">（收入口徑）未決</t>
    </r>
  </si>
  <si>
    <t xml:space="preserve">cf_chip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</si>
  <si>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收入係數（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：改讀 </t>
    </r>
    <r>
      <rPr>
        <sz val="11"/>
        <color theme="1"/>
        <rFont val="Calibri"/>
        <family val="2"/>
        <charset val="1"/>
      </rPr>
      <t xml:space="preserve">IF_NonNV_Hold_Trn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口徑＝同期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</si>
  <si>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S21</t>
    </r>
    <r>
      <rPr>
        <sz val="11"/>
        <color theme="1"/>
        <rFont val="Noto Sans CJK SC"/>
        <family val="2"/>
      </rPr>
      <t xml:space="preserve">；工作單第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項（權威在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</si>
  <si>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cf_cx </t>
    </r>
    <r>
      <rPr>
        <sz val="11"/>
        <color theme="1"/>
        <rFont val="Noto Sans CJK SC"/>
        <family val="2"/>
      </rPr>
      <t xml:space="preserve">同改）；比照 </t>
    </r>
    <r>
      <rPr>
        <sz val="11"/>
        <color theme="1"/>
        <rFont val="Calibri"/>
        <family val="2"/>
        <charset val="1"/>
      </rPr>
      <t xml:space="preserve">Alphabet TPU</t>
    </r>
  </si>
  <si>
    <t xml:space="preserve">cf_cx</t>
  </si>
  <si>
    <r>
      <rPr>
        <sz val="11"/>
        <color theme="1"/>
        <rFont val="Noto Sans CJK SC"/>
        <family val="2"/>
      </rPr>
      <t xml:space="preserve">自研晶片每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資本支出係數（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：改讀 </t>
    </r>
    <r>
      <rPr>
        <sz val="11"/>
        <color theme="1"/>
        <rFont val="Calibri"/>
        <family val="2"/>
        <charset val="1"/>
      </rPr>
      <t xml:space="preserve">IF_NonNV_Hold_Trn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</si>
  <si>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持有成本比同時作資本支出比（近似：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比值相對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，模型套到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錨）</t>
    </r>
  </si>
  <si>
    <t xml:space="preserve">colo_sh</t>
  </si>
  <si>
    <t xml:space="preserve">機房租用比例（第三方託管）</t>
  </si>
  <si>
    <t xml:space="preserve">S34</t>
  </si>
  <si>
    <r>
      <rPr>
        <sz val="11"/>
        <color theme="1"/>
        <rFont val="Noto Sans CJK SC"/>
        <family val="2"/>
      </rPr>
      <t xml:space="preserve">自建比例＝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本列；租用部分不計機房資本支出</t>
    </r>
  </si>
  <si>
    <t xml:space="preserve">rent_rec</t>
  </si>
  <si>
    <r>
      <rPr>
        <sz val="11"/>
        <color theme="1"/>
        <rFont val="Noto Sans CJK SC"/>
        <family val="2"/>
      </rPr>
      <t xml:space="preserve">租用機房年租金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機房資本支出（資本回收係數，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</si>
  <si>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C22</t>
    </r>
  </si>
  <si>
    <t xml:space="preserve">rent_mw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</si>
  <si>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年機房租金（攤到全部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）＝租用比例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機房成本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回收係數</t>
    </r>
  </si>
  <si>
    <t xml:space="preserve">上列</t>
  </si>
  <si>
    <t xml:space="preserve">capex_g26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</si>
  <si>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現金資本支出指引（約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，維持）</t>
    </r>
  </si>
  <si>
    <r>
      <rPr>
        <sz val="11"/>
        <color theme="1"/>
        <rFont val="Calibri"/>
        <family val="2"/>
        <charset val="1"/>
      </rPr>
      <t xml:space="preserve">S13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S14</t>
    </r>
  </si>
  <si>
    <r>
      <rPr>
        <sz val="11"/>
        <color theme="1"/>
        <rFont val="Calibri"/>
        <family val="2"/>
        <charset val="1"/>
      </rPr>
      <t xml:space="preserve">Q4 26 AI </t>
    </r>
    <r>
      <rPr>
        <sz val="11"/>
        <color theme="1"/>
        <rFont val="Noto Sans CJK SC"/>
        <family val="2"/>
      </rPr>
      <t xml:space="preserve">資本支出＝指引 −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錨定指引，修正三）；隱含 </t>
    </r>
    <r>
      <rPr>
        <sz val="11"/>
        <color theme="1"/>
        <rFont val="Calibri"/>
        <family val="2"/>
        <charset val="1"/>
      </rPr>
      <t xml:space="preserve">Q4 47.8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75.9</t>
    </r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</si>
  <si>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</si>
  <si>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主值：自用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計影子效益、價值中性；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：只計成本）</t>
    </r>
  </si>
  <si>
    <t xml:space="preserve">1/2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</si>
  <si>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；對照表 </t>
    </r>
    <r>
      <rPr>
        <sz val="11"/>
        <color theme="1"/>
        <rFont val="Calibri"/>
        <family val="2"/>
        <charset val="1"/>
      </rPr>
      <t xml:space="preserve">r1 C16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</si>
  <si>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</si>
  <si>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cip_lag</t>
  </si>
  <si>
    <r>
      <rPr>
        <sz val="11"/>
        <color theme="1"/>
        <rFont val="Noto Sans CJK SC"/>
        <family val="2"/>
      </rPr>
      <t xml:space="preserve">實績期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在建（</t>
    </r>
    <r>
      <rPr>
        <sz val="11"/>
        <color theme="1"/>
        <rFont val="Calibri"/>
        <family val="2"/>
        <charset val="1"/>
      </rPr>
      <t xml:space="preserve">CIP</t>
    </r>
    <r>
      <rPr>
        <sz val="11"/>
        <color theme="1"/>
        <rFont val="Noto Sans CJK SC"/>
        <family val="2"/>
      </rPr>
      <t xml:space="preserve">）轉入在役的延後年數</t>
    </r>
  </si>
  <si>
    <r>
      <rPr>
        <sz val="11"/>
        <color theme="1"/>
        <rFont val="Noto Sans CJK SC"/>
        <family val="2"/>
      </rPr>
      <t xml:space="preserve">修正三（獨立核對：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2024→2025→1H26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13.3→21.5→30.7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</si>
  <si>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</si>
  <si>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ai_rr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</si>
  <si>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營收年化（</t>
    </r>
    <r>
      <rPr>
        <sz val="11"/>
        <color theme="1"/>
        <rFont val="Calibri"/>
        <family val="2"/>
        <charset val="1"/>
      </rPr>
      <t xml:space="preserve">AWS AI run-rate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2026Q2 &gt;25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只說年增三位數）</t>
    </r>
  </si>
  <si>
    <t xml:space="preserve">S04</t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</si>
  <si>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驗證列（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）；不用於校準</t>
    </r>
  </si>
  <si>
    <t xml:space="preserve">aws_rr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</si>
  <si>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</si>
  <si>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</t>
    </r>
  </si>
  <si>
    <t xml:space="preserve">aws_bl</t>
  </si>
  <si>
    <r>
      <rPr>
        <sz val="11"/>
        <color theme="1"/>
        <rFont val="Calibri"/>
        <family val="2"/>
        <charset val="1"/>
      </rPr>
      <t xml:space="preserve">AWS 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</si>
  <si>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S14</t>
  </si>
  <si>
    <r>
      <rPr>
        <sz val="11"/>
        <color theme="1"/>
        <rFont val="Noto Sans CJK SC"/>
        <family val="2"/>
      </rPr>
      <t xml:space="preserve">年增三位數；只作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驗證列（不反推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</si>
  <si>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t xml:space="preserve">aws_g40</t>
  </si>
  <si>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AWS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年各成長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</si>
  <si>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驗證列（不校準）</t>
    </r>
  </si>
  <si>
    <r>
      <rPr>
        <b val="true"/>
        <sz val="11"/>
        <rFont val="Cambria"/>
        <family val="0"/>
        <charset val="1"/>
      </rPr>
      <t xml:space="preserve">D. AWS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</si>
  <si>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t xml:space="preserve">g_awso_lt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</si>
  <si>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</si>
  <si>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</si>
  <si>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）線性收斂</t>
    </r>
  </si>
  <si>
    <t xml:space="preserve">awso_g0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</si>
  <si>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其他成長起點（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規則；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年增）</t>
    </r>
  </si>
  <si>
    <t xml:space="preserve">0/1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</si>
  <si>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分拆低估時殘差成長偏高）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</si>
  <si>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 AWS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</t>
    </r>
  </si>
  <si>
    <t xml:space="preserve">cx_awso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</si>
  <si>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其他資本支出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</si>
  <si>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cx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</si>
  <si>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上緣＝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27.4%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</si>
  <si>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營收類別；北美＋國際）</t>
    </r>
  </si>
  <si>
    <t xml:space="preserve">g_os</t>
  </si>
  <si>
    <r>
      <rPr>
        <sz val="11"/>
        <color theme="1"/>
        <rFont val="Calibri"/>
        <family val="2"/>
        <charset val="1"/>
      </rPr>
      <t xml:space="preserve">Online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</si>
  <si>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校準係數（合併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營收＝指引中點）；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年增線性收斂到本列</t>
    </r>
  </si>
  <si>
    <t xml:space="preserve">g_ps</t>
  </si>
  <si>
    <r>
      <rPr>
        <sz val="11"/>
        <color theme="1"/>
        <rFont val="Calibri"/>
        <family val="2"/>
        <charset val="1"/>
      </rPr>
      <t xml:space="preserve">Physical stores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</si>
  <si>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g_sp</t>
  </si>
  <si>
    <r>
      <rPr>
        <sz val="11"/>
        <color theme="1"/>
        <rFont val="Calibri"/>
        <family val="2"/>
        <charset val="1"/>
      </rPr>
      <t xml:space="preserve">Third-party seller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</si>
  <si>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g_ad</t>
  </si>
  <si>
    <r>
      <rPr>
        <sz val="11"/>
        <color theme="1"/>
        <rFont val="Calibri"/>
        <family val="2"/>
        <charset val="1"/>
      </rPr>
      <t xml:space="preserve">Advertising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</si>
  <si>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g_sub</t>
  </si>
  <si>
    <r>
      <rPr>
        <sz val="11"/>
        <color theme="1"/>
        <rFont val="Calibri"/>
        <family val="2"/>
        <charset val="1"/>
      </rPr>
      <t xml:space="preserve">Subscription 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</si>
  <si>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g_ot</t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</si>
  <si>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</t>
    </r>
  </si>
  <si>
    <t xml:space="preserve">m_ad</t>
  </si>
  <si>
    <r>
      <rPr>
        <sz val="11"/>
        <color theme="1"/>
        <rFont val="Noto Sans CJK SC"/>
        <family val="2"/>
      </rPr>
      <t xml:space="preserve">廣告營業利益率（分攤到北美／國際的方法：見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</si>
  <si>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（廣告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，分部未揭露）</t>
    </r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</si>
  <si>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 EBITDA </t>
    </r>
    <r>
      <rPr>
        <sz val="11"/>
        <color theme="1"/>
        <rFont val="Noto Sans CJK SC"/>
        <family val="2"/>
      </rPr>
      <t xml:space="preserve">率 </t>
    </r>
    <r>
      <rPr>
        <sz val="11"/>
        <color theme="1"/>
        <rFont val="Calibri"/>
        <family val="2"/>
        <charset val="1"/>
      </rPr>
      <t xml:space="preserve">50%–60%</t>
    </r>
    <r>
      <rPr>
        <sz val="11"/>
        <color theme="1"/>
        <rFont val="Noto Sans CJK SC"/>
        <family val="2"/>
      </rPr>
      <t xml:space="preserve">；零售本業利益率＝分部利益扣廣告利潤後的殘差</t>
    </r>
  </si>
  <si>
    <t xml:space="preserve">step_na</t>
  </si>
  <si>
    <r>
      <rPr>
        <sz val="11"/>
        <color theme="1"/>
        <rFont val="Noto Sans CJK SC"/>
        <family val="2"/>
      </rPr>
      <t xml:space="preserve">北美零售本業利益率每年改善（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</si>
  <si>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</si>
  <si>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step_in</t>
  </si>
  <si>
    <r>
      <rPr>
        <sz val="11"/>
        <color theme="1"/>
        <rFont val="Noto Sans CJK SC"/>
        <family val="2"/>
      </rPr>
      <t xml:space="preserve">國際零售本業利益率每年改善（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）</t>
    </r>
  </si>
  <si>
    <t xml:space="preserve">判斷</t>
  </si>
  <si>
    <t xml:space="preserve">cx_rt</t>
  </si>
  <si>
    <r>
      <rPr>
        <sz val="11"/>
        <color theme="1"/>
        <rFont val="Noto Sans CJK SC"/>
        <family val="2"/>
      </rPr>
      <t xml:space="preserve">零售資本支出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零售營收（北美＋國際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淨增加，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</si>
  <si>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4.48%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5.84%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7.40%</t>
    </r>
    <r>
      <rPr>
        <sz val="11"/>
        <color theme="1"/>
        <rFont val="Noto Sans CJK SC"/>
        <family val="2"/>
      </rPr>
      <t xml:space="preserve">；含分攤的技術基礎設施，可能偏高（沿用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</si>
  <si>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公司層與現金</t>
    </r>
  </si>
  <si>
    <t xml:space="preserve">sbc_r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</si>
  <si>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營收（近四季 </t>
    </r>
    <r>
      <rPr>
        <sz val="11"/>
        <color theme="1"/>
        <rFont val="Calibri"/>
        <family val="2"/>
        <charset val="1"/>
      </rPr>
      <t xml:space="preserve">2025Q4–2026Q3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</si>
  <si>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計入費用；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不加回（視同現金成本）</t>
    </r>
  </si>
  <si>
    <t xml:space="preserve">oth_r</t>
  </si>
  <si>
    <r>
      <rPr>
        <sz val="11"/>
        <color theme="1"/>
        <rFont val="Noto Sans CJK SC"/>
        <family val="2"/>
      </rPr>
      <t xml:space="preserve">營運現金其他項目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營收（營運現金流 −（淨利 − 業外淨額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稅率））− 分部 </t>
    </r>
    <r>
      <rPr>
        <sz val="11"/>
        <color theme="1"/>
        <rFont val="Calibri"/>
        <family val="2"/>
        <charset val="1"/>
      </rPr>
      <t xml:space="preserve">D&amp;A − 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</si>
  <si>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2.3%</t>
    </r>
    <r>
      <rPr>
        <sz val="11"/>
        <color theme="1"/>
        <rFont val="Noto Sans CJK SC"/>
        <family val="2"/>
      </rPr>
      <t xml:space="preserve">；扣除業外（持股評價利益為非現金）</t>
    </r>
  </si>
  <si>
    <t xml:space="preserve">oth_q4</t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</si>
  <si>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其他營運項目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同期實績；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：首期營運資金用前一年度同期）</t>
    </r>
  </si>
  <si>
    <t xml:space="preserve">S06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</si>
  <si>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第四季營運資金季節性流入（應付帳款）；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以全年平均 </t>
    </r>
    <r>
      <rPr>
        <sz val="11"/>
        <color theme="1"/>
        <rFont val="Calibri"/>
        <family val="2"/>
        <charset val="1"/>
      </rPr>
      <t xml:space="preserve">oth_r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2H</t>
    </r>
  </si>
  <si>
    <t xml:space="preserve">lease_pr</t>
  </si>
  <si>
    <t xml:space="preserve">融資租賃本金償還（每年）</t>
  </si>
  <si>
    <r>
      <rPr>
        <sz val="11"/>
        <color theme="1"/>
        <rFont val="Calibri"/>
        <family val="2"/>
        <charset val="1"/>
      </rPr>
      <t xml:space="preserve">2023 4.384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2024 2.043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2025 1.557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1.296</t>
    </r>
  </si>
  <si>
    <t xml:space="preserve">sh_g</t>
  </si>
  <si>
    <r>
      <rPr>
        <sz val="11"/>
        <color theme="1"/>
        <rFont val="Noto Sans CJK SC"/>
        <family val="2"/>
      </rPr>
      <t xml:space="preserve">稀釋股數年增（無回購，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稀釋）</t>
    </r>
  </si>
  <si>
    <t xml:space="preserve">S10</t>
  </si>
  <si>
    <r>
      <rPr>
        <sz val="11"/>
        <color theme="1"/>
        <rFont val="Noto Sans CJK SC"/>
        <family val="2"/>
      </rPr>
      <t xml:space="preserve">稀釋加權股數 </t>
    </r>
    <r>
      <rPr>
        <sz val="11"/>
        <color theme="1"/>
        <rFont val="Calibri"/>
        <family val="2"/>
        <charset val="1"/>
      </rPr>
      <t xml:space="preserve">9M25→9M26 +0.8%</t>
    </r>
  </si>
  <si>
    <t xml:space="preserve">kd_book</t>
  </si>
  <si>
    <r>
      <rPr>
        <sz val="11"/>
        <color theme="1"/>
        <rFont val="Noto Sans CJK SC"/>
        <family val="2"/>
      </rPr>
      <t xml:space="preserve">既有債務平均利率（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平均債務面額）</t>
    </r>
  </si>
  <si>
    <r>
      <rPr>
        <sz val="11"/>
        <color theme="1"/>
        <rFont val="Noto Sans CJK SC"/>
        <family val="2"/>
      </rPr>
      <t xml:space="preserve">既有債務以本列計息；新增借款以 </t>
    </r>
    <r>
      <rPr>
        <sz val="11"/>
        <color theme="1"/>
        <rFont val="Calibri"/>
        <family val="2"/>
        <charset val="1"/>
      </rPr>
      <t xml:space="preserve">kd_new</t>
    </r>
  </si>
  <si>
    <t xml:space="preserve">y_cash</t>
  </si>
  <si>
    <r>
      <rPr>
        <sz val="11"/>
        <color theme="1"/>
        <rFont val="Noto Sans CJK SC"/>
        <family val="2"/>
      </rPr>
      <t xml:space="preserve">現金與有價證券收益率（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期末現金）</t>
    </r>
  </si>
  <si>
    <t xml:space="preserve">cash_q3</t>
  </si>
  <si>
    <r>
      <rPr>
        <sz val="11"/>
        <color theme="1"/>
        <rFont val="Noto Sans CJK SC"/>
        <family val="2"/>
      </rPr>
      <t xml:space="preserve">現金、約當現金與有價證券（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</si>
  <si>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55.8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6/30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123.0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</si>
  <si>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</si>
  <si>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最低現金（低於即舉債）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</si>
  <si>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minCash 50</t>
    </r>
    <r>
      <rPr>
        <sz val="11"/>
        <color theme="1"/>
        <rFont val="Noto Sans CJK SC"/>
        <family val="2"/>
      </rPr>
      <t xml:space="preserve">）</t>
    </r>
  </si>
  <si>
    <t xml:space="preserve">inv_q4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</si>
  <si>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策略投資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</si>
  <si>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收購與投資 </t>
    </r>
    <r>
      <rPr>
        <sz val="11"/>
        <color theme="1"/>
        <rFont val="Calibri"/>
        <family val="2"/>
        <charset val="1"/>
      </rPr>
      <t xml:space="preserve">24.0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承諾的期後補足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可動用額度 </t>
    </r>
    <r>
      <rPr>
        <sz val="11"/>
        <color theme="1"/>
        <rFont val="Calibri"/>
        <family val="2"/>
        <charset val="1"/>
      </rPr>
      <t xml:space="preserve">15.0 </t>
    </r>
    <r>
      <rPr>
        <sz val="11"/>
        <color theme="1"/>
        <rFont val="Noto Sans CJK SC"/>
        <family val="2"/>
      </rPr>
      <t xml:space="preserve">依里程碑，高＝全數於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動用</t>
    </r>
  </si>
  <si>
    <t xml:space="preserve">dps</t>
  </si>
  <si>
    <t xml:space="preserve">每股股利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</si>
  <si>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未發放現金股利；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無回購（現金流量表融資段無買回列）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</si>
  <si>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持股（分部加總與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都加；預測期業外評價損益設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</si>
  <si>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ant_val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</si>
  <si>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投後估值（</t>
    </r>
    <r>
      <rPr>
        <sz val="11"/>
        <color theme="1"/>
        <rFont val="Calibri"/>
        <family val="2"/>
        <charset val="1"/>
      </rPr>
      <t xml:space="preserve">Series H</t>
    </r>
    <r>
      <rPr>
        <sz val="11"/>
        <color theme="1"/>
        <rFont val="Noto Sans CJK SC"/>
        <family val="2"/>
      </rPr>
      <t xml:space="preserve">）</t>
    </r>
  </si>
  <si>
    <t xml:space="preserve">S30</t>
  </si>
  <si>
    <r>
      <rPr>
        <sz val="11"/>
        <color theme="1"/>
        <rFont val="Noto Sans CJK SC"/>
        <family val="2"/>
      </rPr>
      <t xml:space="preserve">新創自報估值；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其他業外 −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（無新評價利益）</t>
    </r>
  </si>
  <si>
    <t xml:space="preserve">ant_sh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</si>
  <si>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</si>
  <si>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S31</t>
    </r>
  </si>
  <si>
    <r>
      <rPr>
        <sz val="11"/>
        <color theme="1"/>
        <rFont val="Calibri"/>
        <family val="2"/>
        <charset val="1"/>
      </rPr>
      <t xml:space="preserve">Fortune 15%–19%</t>
    </r>
    <r>
      <rPr>
        <sz val="11"/>
        <color theme="1"/>
        <rFont val="Noto Sans CJK SC"/>
        <family val="2"/>
      </rPr>
      <t xml:space="preserve">、帳列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19.7%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</si>
  <si>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</si>
  <si>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投後估值（投前 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＋該輪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</si>
  <si>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S32</t>
  </si>
  <si>
    <t xml:space="preserve">oai_sh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</si>
  <si>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比例（投入 </t>
    </r>
    <r>
      <rPr>
        <sz val="11"/>
        <color theme="1"/>
        <rFont val="Calibri"/>
        <family val="2"/>
        <charset val="1"/>
      </rPr>
      <t xml:space="preserve">50 ÷ 840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</si>
  <si>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資本結構（</t>
    </r>
    <r>
      <rPr>
        <sz val="11"/>
        <color theme="1"/>
        <rFont val="Calibri"/>
        <family val="2"/>
        <charset val="1"/>
      </rPr>
      <t xml:space="preserve">PBC</t>
    </r>
    <r>
      <rPr>
        <sz val="11"/>
        <color theme="1"/>
        <rFont val="Noto Sans CJK SC"/>
        <family val="2"/>
      </rPr>
      <t xml:space="preserve">＋基金會）可能使比例不同</t>
    </r>
  </si>
  <si>
    <t xml:space="preserve">liq_disc</t>
  </si>
  <si>
    <t xml:space="preserve">持股流動性折價</t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</si>
  <si>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</si>
  <si>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</si>
  <si>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倍數（只在 </t>
    </r>
    <r>
      <rPr>
        <sz val="11"/>
        <color theme="1"/>
        <rFont val="Calibri"/>
        <family val="2"/>
        <charset val="1"/>
      </rPr>
      <t xml:space="preserve">ai_leg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時使用）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</si>
  <si>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</si>
  <si>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16.5×</t>
    </r>
    <r>
      <rPr>
        <sz val="11"/>
        <color theme="1"/>
        <rFont val="Noto Sans CJK SC"/>
        <family val="2"/>
      </rPr>
      <t xml:space="preserve">（只作對照）</t>
    </r>
  </si>
  <si>
    <t xml:space="preserve">sbc_ab</t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</si>
  <si>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是否加回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＝加回，與同業倍數同口徑；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＝視同成本）</t>
    </r>
  </si>
  <si>
    <r>
      <rPr>
        <sz val="11"/>
        <color theme="1"/>
        <rFont val="Noto Sans CJK SC"/>
        <family val="2"/>
      </rPr>
      <t xml:space="preserve">修正二（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敏感度）</t>
    </r>
  </si>
  <si>
    <t xml:space="preserve">ai_leg</t>
  </si>
  <si>
    <r>
      <rPr>
        <sz val="11"/>
        <color theme="1"/>
        <rFont val="Noto Sans CJK SC"/>
        <family val="2"/>
      </rPr>
      <t xml:space="preserve">分部加總中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的評價法（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倍數，對照）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</si>
  <si>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</si>
  <si>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是資本密集業務，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倍數忽略汰換與成長資本支出</t>
    </r>
  </si>
  <si>
    <t xml:space="preserve">m_x</t>
  </si>
  <si>
    <r>
      <rPr>
        <sz val="11"/>
        <color theme="1"/>
        <rFont val="Noto Sans CJK SC"/>
        <family val="2"/>
      </rPr>
      <t xml:space="preserve">分部倍數乘數（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</si>
  <si>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對照，不校準；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營收指引中點用於零售 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校準）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</si>
  <si>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</si>
  <si>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</si>
  <si>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S20</t>
  </si>
  <si>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擷取；財報後版本未取得</t>
    </r>
  </si>
  <si>
    <t xml:space="preserve">c_ebitda26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</si>
  <si>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</si>
  <si>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c_ebit26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</si>
  <si>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</si>
  <si>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</si>
  <si>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</si>
  <si>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</si>
  <si>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</si>
  <si>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c_capex26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</si>
  <si>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</si>
  <si>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c_fcf26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</si>
  <si>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</si>
  <si>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</si>
  <si>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</si>
  <si>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c_ebitda27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</si>
  <si>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</si>
  <si>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c_ebit27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</si>
  <si>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</si>
  <si>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</si>
  <si>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</si>
  <si>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</si>
  <si>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</si>
  <si>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c_capex27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</si>
  <si>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</si>
  <si>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c_fcf27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</si>
  <si>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</si>
  <si>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</si>
  <si>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</si>
  <si>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c_ebitda28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</si>
  <si>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</si>
  <si>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c_ebit28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</si>
  <si>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EBIT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</si>
  <si>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</si>
  <si>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</si>
  <si>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</si>
  <si>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</si>
  <si>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c_capex28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</si>
  <si>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</si>
  <si>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c_fcf28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</si>
  <si>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，財報前）</t>
    </r>
  </si>
  <si>
    <t xml:space="preserve">c_sprev26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</si>
  <si>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，財報前）</t>
    </r>
  </si>
  <si>
    <t xml:space="preserve">S19</t>
  </si>
  <si>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位；只作對照，不進模型</t>
    </r>
  </si>
  <si>
    <t xml:space="preserve">c_sprev27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</si>
  <si>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</si>
  <si>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c_speps26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</si>
  <si>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</si>
  <si>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評價利益）；只作對照，不進模型</t>
    </r>
  </si>
  <si>
    <t xml:space="preserve">c_speps27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</si>
  <si>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</si>
  <si>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cons_mb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</si>
  <si>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 60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</si>
  <si>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t xml:space="preserve">S18</t>
  </si>
  <si>
    <t xml:space="preserve">第二個獨立彙整（底層為各券商報告）</t>
  </si>
  <si>
    <t xml:space="preserve">g26q4_lo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</si>
  <si>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營收下緣</t>
    </r>
  </si>
  <si>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12%–16%</t>
    </r>
    <r>
      <rPr>
        <sz val="11"/>
        <color theme="1"/>
        <rFont val="Noto Sans CJK SC"/>
        <family val="2"/>
      </rPr>
      <t xml:space="preserve">；匯率約 −</t>
    </r>
    <r>
      <rPr>
        <sz val="11"/>
        <color theme="1"/>
        <rFont val="Calibri"/>
        <family val="2"/>
        <charset val="1"/>
      </rPr>
      <t xml:space="preserve">60bp</t>
    </r>
  </si>
  <si>
    <t xml:space="preserve">g26q4_hi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</si>
  <si>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營收上緣</t>
    </r>
  </si>
  <si>
    <t xml:space="preserve">g26q4_oilo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</si>
  <si>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營業利益下緣</t>
    </r>
  </si>
  <si>
    <r>
      <rPr>
        <sz val="11"/>
        <color theme="1"/>
        <rFont val="Calibri"/>
        <family val="2"/>
        <charset val="1"/>
      </rPr>
      <t xml:space="preserve">Leo </t>
    </r>
    <r>
      <rPr>
        <sz val="11"/>
        <color theme="1"/>
        <rFont val="Noto Sans CJK SC"/>
        <family val="2"/>
      </rPr>
      <t xml:space="preserve">成本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多數仍費用化（法說）</t>
    </r>
  </si>
  <si>
    <t xml:space="preserve">g26q4_oihi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</si>
  <si>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營業利益上緣</t>
    </r>
  </si>
  <si>
    <t xml:space="preserve">g26q4_mid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</si>
  <si>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營收中點（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零售營收校準目標）</t>
    </r>
  </si>
  <si>
    <r>
      <rPr>
        <b val="true"/>
        <sz val="11"/>
        <rFont val="Cambria"/>
        <family val="0"/>
        <charset val="1"/>
      </rPr>
      <t xml:space="preserve">I. v0.3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變動拆解用）</t>
    </r>
  </si>
  <si>
    <t xml:space="preserve">v03_tp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</si>
  <si>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</si>
  <si>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t xml:space="preserve">S22</t>
  </si>
  <si>
    <r>
      <rPr>
        <sz val="11"/>
        <color theme="1"/>
        <rFont val="Calibri"/>
        <family val="2"/>
        <charset val="1"/>
      </rPr>
      <t xml:space="preserve">215.578882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Val!B19</t>
    </r>
    <r>
      <rPr>
        <sz val="11"/>
        <color theme="1"/>
        <rFont val="Noto Sans CJK SC"/>
        <family val="2"/>
      </rPr>
      <t xml:space="preserve">）</t>
    </r>
  </si>
  <si>
    <t xml:space="preserve">v03_tp1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</si>
  <si>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加權目標價</t>
    </r>
  </si>
  <si>
    <t xml:space="preserve">v03_px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</si>
  <si>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</si>
  <si>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</si>
  <si>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</si>
  <si>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</si>
  <si>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</si>
  <si>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scn_pace</t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</si>
  <si>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</si>
  <si>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＝公司容量目標速度；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相同（資本支出照指引投入）</t>
    </r>
  </si>
  <si>
    <t xml:space="preserve">scn_k</t>
  </si>
  <si>
    <r>
      <rPr>
        <sz val="11"/>
        <color theme="1"/>
        <rFont val="Noto Sans CJK SC"/>
        <family val="2"/>
      </rPr>
      <t xml:space="preserve">新產能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</si>
  <si>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＝價格軸高；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＝價格軸低；期初機隊三情境皆用 </t>
    </r>
    <r>
      <rPr>
        <sz val="11"/>
        <color theme="1"/>
        <rFont val="Calibri"/>
        <family val="2"/>
        <charset val="1"/>
      </rPr>
      <t xml:space="preserve">k_B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</si>
  <si>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</si>
  <si>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</si>
  <si>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</si>
  <si>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US$bn</t>
    </r>
    <r>
      <rPr>
        <sz val="11"/>
        <color theme="1"/>
        <rFont val="Noto Sans CJK SC"/>
        <family val="2"/>
      </rPr>
      <t xml:space="preserve">；股數十億股）：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、最近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季（</t>
    </r>
    <r>
      <rPr>
        <sz val="11"/>
        <color theme="1"/>
        <rFont val="Calibri"/>
        <family val="2"/>
        <charset val="1"/>
      </rPr>
      <t xml:space="preserve">2024Q4–2026Q3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與近四季。資料取自 </t>
    </r>
    <r>
      <rPr>
        <sz val="11"/>
        <color theme="1"/>
        <rFont val="Calibri"/>
        <family val="2"/>
        <charset val="1"/>
      </rPr>
      <t xml:space="preserve">data/amazon_facts_20261008.json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、財報新聞稿逐季補充表）與 </t>
    </r>
    <r>
      <rPr>
        <sz val="11"/>
        <color theme="1"/>
        <rFont val="Calibri"/>
        <family val="2"/>
        <charset val="1"/>
      </rPr>
      <t xml:space="preserve">data/amazon_facts_2026q3.json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新聞稿，兩讀核對；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未取得），藍字＝事實值、黑字＝加總或換算</t>
    </r>
  </si>
  <si>
    <r>
      <rPr>
        <sz val="11"/>
        <color theme="1"/>
        <rFont val="Noto Sans CJK SC"/>
        <family val="2"/>
      </rPr>
      <t xml:space="preserve">核對列（綠底）：零售營收線合計＝北美＋國際、營收線合計＝合併營收、分部合計＝合併營收、分部營業利益合計＋未分攤＝合併營業利益、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＝事實總帳九個月值；實績皆須為 </t>
    </r>
    <r>
      <rPr>
        <sz val="11"/>
        <color theme="1"/>
        <rFont val="Calibri"/>
        <family val="2"/>
        <charset val="1"/>
      </rPr>
      <t xml:space="preserve">0</t>
    </r>
  </si>
  <si>
    <t xml:space="preserve">FY2023A</t>
  </si>
  <si>
    <t xml:space="preserve">FY2024A</t>
  </si>
  <si>
    <t xml:space="preserve">FY2025A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</si>
  <si>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</si>
  <si>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</si>
  <si>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</si>
  <si>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</si>
  <si>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</si>
  <si>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</si>
  <si>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</si>
  <si>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</si>
  <si>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9M25</t>
  </si>
  <si>
    <t xml:space="preserve">9M26</t>
  </si>
  <si>
    <t xml:space="preserve">1H26</t>
  </si>
  <si>
    <r>
      <rPr>
        <b val="true"/>
        <sz val="11"/>
        <rFont val="Noto Sans CJK SC"/>
        <family val="2"/>
      </rPr>
      <t xml:space="preserve">近四季（</t>
    </r>
    <r>
      <rPr>
        <b val="true"/>
        <sz val="11"/>
        <rFont val="Cambria"/>
        <family val="0"/>
        <charset val="1"/>
      </rPr>
      <t xml:space="preserve">2025Q4–2026Q3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</si>
  <si>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官方報告分部營收（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附註：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）</t>
    </r>
  </si>
  <si>
    <t xml:space="preserve">North America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</si>
  <si>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</si>
  <si>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S08</t>
    </r>
    <r>
      <rPr>
        <sz val="11"/>
        <color theme="1"/>
        <rFont val="Noto Sans CJK SC"/>
        <family val="2"/>
      </rPr>
      <t xml:space="preserve">（逐季補充表）</t>
    </r>
  </si>
  <si>
    <t xml:space="preserve">International</t>
  </si>
  <si>
    <t xml:space="preserve">AWS</t>
  </si>
  <si>
    <t xml:space="preserve">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</si>
  <si>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營收線（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營收類別；零售各線＝北美＋國際，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線＝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分部）</t>
    </r>
  </si>
  <si>
    <t xml:space="preserve">Online stores</t>
  </si>
  <si>
    <t xml:space="preserve">Physical stores</t>
  </si>
  <si>
    <t xml:space="preserve">Third-party seller services</t>
  </si>
  <si>
    <t xml:space="preserve">Advertising services</t>
  </si>
  <si>
    <t xml:space="preserve">Subscription services</t>
  </si>
  <si>
    <t xml:space="preserve">Other</t>
  </si>
  <si>
    <r>
      <rPr>
        <sz val="11"/>
        <color theme="1"/>
        <rFont val="Noto Sans CJK SC"/>
        <family val="2"/>
      </rPr>
      <t xml:space="preserve">零售營收線合計（不含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</si>
  <si>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（營收線）</t>
    </r>
  </si>
  <si>
    <r>
      <rPr>
        <sz val="11"/>
        <color theme="1"/>
        <rFont val="Noto Sans CJK SC"/>
        <family val="2"/>
      </rPr>
      <t xml:space="preserve">檢查：零售營收線合計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</si>
  <si>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</si>
  <si>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</si>
  <si>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合併營收 − 新聞稿九個月值（事實 </t>
    </r>
    <r>
      <rPr>
        <sz val="11"/>
        <color theme="1"/>
        <rFont val="Calibri"/>
        <family val="2"/>
        <charset val="1"/>
      </rPr>
      <t xml:space="preserve">is.TOT.rev.2026m9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</si>
  <si>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</si>
  <si>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</si>
  <si>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</si>
  <si>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</t>
    </r>
  </si>
  <si>
    <t xml:space="preserve">合併營業利益</t>
  </si>
  <si>
    <r>
      <rPr>
        <sz val="11"/>
        <color theme="1"/>
        <rFont val="Noto Sans CJK SC"/>
        <family val="2"/>
      </rPr>
      <t xml:space="preserve">未分攤（合併 − 分部合計；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分部已含全部費用）</t>
    </r>
  </si>
  <si>
    <t xml:space="preserve">檢查：分部營業利益合計＋未分攤 − 合併營業利益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</si>
  <si>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合併營業利益 − 新聞稿九個月值（事實 </t>
    </r>
    <r>
      <rPr>
        <sz val="11"/>
        <color theme="1"/>
        <rFont val="Calibri"/>
        <family val="2"/>
        <charset val="1"/>
      </rPr>
      <t xml:space="preserve">is.TOT.oi.2026m9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</si>
  <si>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分部折舊攤銷（不含影音內容與營業租賃資產攤銷；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季度未收；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＝全年 − 前三季；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2026Q2 × </t>
    </r>
    <r>
      <rPr>
        <b val="true"/>
        <sz val="11"/>
        <rFont val="Noto Sans CJK SC"/>
        <family val="2"/>
      </rPr>
      <t xml:space="preserve">現金流量表 </t>
    </r>
    <r>
      <rPr>
        <b val="true"/>
        <sz val="11"/>
        <rFont val="Cambria"/>
        <family val="0"/>
        <charset val="1"/>
      </rPr>
      <t xml:space="preserve">D&amp;A </t>
    </r>
    <r>
      <rPr>
        <b val="true"/>
        <sz val="11"/>
        <rFont val="Noto Sans CJK SC"/>
        <family val="2"/>
      </rPr>
      <t xml:space="preserve">季增比〔推導，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未取得〕）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</si>
  <si>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</si>
  <si>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</si>
  <si>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S03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</si>
  <si>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</si>
  <si>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</t>
    </r>
  </si>
  <si>
    <t xml:space="preserve">分部折舊攤銷合計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</si>
  <si>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損益（業外、稅、淨利）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</si>
  <si>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</si>
  <si>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S13</t>
    </r>
  </si>
  <si>
    <t xml:space="preserve">利息收入</t>
  </si>
  <si>
    <t xml:space="preserve">稅前淨利</t>
  </si>
  <si>
    <t xml:space="preserve">所得稅</t>
  </si>
  <si>
    <t xml:space="preserve">淨利</t>
  </si>
  <si>
    <r>
      <rPr>
        <sz val="11"/>
        <color theme="1"/>
        <rFont val="Noto Sans CJK SC"/>
        <family val="2"/>
      </rPr>
      <t xml:space="preserve">業外淨額（稅前 − 營業利益＋利息費用；含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等持股評價利益）</t>
    </r>
  </si>
  <si>
    <t xml:space="preserve">有效稅率</t>
  </si>
  <si>
    <t xml:space="preserve">稀釋加權股數</t>
  </si>
  <si>
    <r>
      <rPr>
        <sz val="11"/>
        <color theme="1"/>
        <rFont val="Calibri"/>
        <family val="2"/>
        <charset val="1"/>
      </rPr>
      <t xml:space="preserve">S10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S13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</si>
  <si>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稀釋加權股數）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</si>
  <si>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現金流量、資本支出與股東回饋</t>
    </r>
  </si>
  <si>
    <t xml:space="preserve">營運現金流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</si>
  <si>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S07</t>
    </r>
  </si>
  <si>
    <r>
      <rPr>
        <sz val="11"/>
        <color theme="1"/>
        <rFont val="Noto Sans CJK SC"/>
        <family val="2"/>
      </rPr>
      <t xml:space="preserve">資本支出（購置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，總額）</t>
    </r>
  </si>
  <si>
    <t xml:space="preserve">資本支出（現金，淨額＝購置 − 出售及獎勵）</t>
  </si>
  <si>
    <t xml:space="preserve">由同季新聞稿現金流量表換算</t>
  </si>
  <si>
    <t xml:space="preserve">折舊攤銷（現金流量表；含影音內容與營業租賃資產）</t>
  </si>
  <si>
    <t xml:space="preserve">股份基礎給付</t>
  </si>
  <si>
    <t xml:space="preserve">自由現金流（公司口徑＝營運現金流 − 資本支出淨額）</t>
  </si>
  <si>
    <t xml:space="preserve">融資租賃本金償還</t>
  </si>
  <si>
    <t xml:space="preserve">買回庫藏股</t>
  </si>
  <si>
    <t xml:space="preserve">現金股利</t>
  </si>
  <si>
    <r>
      <rPr>
        <sz val="11"/>
        <color theme="1"/>
        <rFont val="Noto Sans CJK SC"/>
        <family val="2"/>
      </rPr>
      <t xml:space="preserve">策略投資（收購與非上市投資淨額；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</si>
  <si>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資本支出分布（</t>
    </r>
    <r>
      <rPr>
        <b val="true"/>
        <sz val="11"/>
        <rFont val="Cambria"/>
        <family val="0"/>
        <charset val="1"/>
      </rPr>
      <t xml:space="preserve">PP&amp;E </t>
    </r>
    <r>
      <rPr>
        <b val="true"/>
        <sz val="11"/>
        <rFont val="Noto Sans CJK SC"/>
        <family val="2"/>
      </rPr>
      <t xml:space="preserve">淨增加，含融資租賃取得與已取得未付款；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10-Q </t>
    </r>
    <r>
      <rPr>
        <b val="true"/>
        <sz val="11"/>
        <rFont val="Noto Sans CJK SC"/>
        <family val="2"/>
      </rPr>
      <t xml:space="preserve">分部附註；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未取得）</t>
    </r>
  </si>
  <si>
    <r>
      <rPr>
        <sz val="11"/>
        <color theme="1"/>
        <rFont val="Calibri"/>
        <family val="2"/>
        <charset val="1"/>
      </rPr>
      <t xml:space="preserve">North America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</si>
  <si>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</si>
  <si>
    <r>
      <rPr>
        <sz val="11"/>
        <color theme="1"/>
        <rFont val="Calibri"/>
        <family val="2"/>
        <charset val="1"/>
      </rPr>
      <t xml:space="preserve">International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</si>
  <si>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AWS 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</si>
  <si>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Noto Sans CJK SC"/>
        <family val="2"/>
      </rPr>
      <t xml:space="preserve">公司層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</si>
  <si>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淨增加合計</t>
    </r>
  </si>
  <si>
    <r>
      <rPr>
        <b val="true"/>
        <sz val="11"/>
        <rFont val="Cambria"/>
        <family val="0"/>
        <charset val="1"/>
      </rPr>
      <t xml:space="preserve">8. </t>
    </r>
    <r>
      <rPr>
        <b val="true"/>
        <sz val="11"/>
        <rFont val="Noto Sans CJK SC"/>
        <family val="2"/>
      </rPr>
      <t xml:space="preserve">期末餘額</t>
    </r>
  </si>
  <si>
    <t xml:space="preserve">現金、約當現金與有價證券</t>
  </si>
  <si>
    <r>
      <rPr>
        <sz val="11"/>
        <color theme="1"/>
        <rFont val="Calibri"/>
        <family val="2"/>
        <charset val="1"/>
      </rPr>
      <t xml:space="preserve">S01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S02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S13</t>
    </r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</si>
  <si>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為推導值：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面額＋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長期借款收入 − 償還；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未取得）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</si>
  <si>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</si>
  <si>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Tokenomics v21.7 IF_HoldEcon × k</t>
    </r>
    <r>
      <rPr>
        <sz val="11"/>
        <color theme="1"/>
        <rFont val="Noto Sans CJK SC"/>
        <family val="2"/>
      </rPr>
      <t xml:space="preserve">；新增 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錨 </t>
    </r>
    <r>
      <rPr>
        <sz val="11"/>
        <color theme="1"/>
        <rFont val="Calibri"/>
        <family val="2"/>
        <charset val="1"/>
      </rPr>
      <t xml:space="preserve">× IF_NonNV_Hold_Trn 0.61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資本支出（含自用）→ </t>
    </r>
    <r>
      <rPr>
        <sz val="11"/>
        <color theme="1"/>
        <rFont val="Calibri"/>
        <family val="2"/>
        <charset val="1"/>
      </rPr>
      <t xml:space="preserve">IT 6 </t>
    </r>
    <r>
      <rPr>
        <sz val="11"/>
        <color theme="1"/>
        <rFont val="Noto Sans CJK SC"/>
        <family val="2"/>
      </rPr>
      <t xml:space="preserve">年／機房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年折舊（次年起提列）→ 對外部分進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營業利益、自用部分進北美／國際營業利益。三情境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依序排列</t>
    </r>
  </si>
  <si>
    <r>
      <rPr>
        <sz val="11"/>
        <color theme="1"/>
        <rFont val="Noto Sans CJK SC"/>
        <family val="2"/>
      </rPr>
      <t xml:space="preserve">情境差異集中在命題驅動（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＝公司容量目標速度＋新產能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價格軸高；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＝資本支出指引隱含速度（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，下半年視窗）＋基準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同速度（資本支出照指引）＋新產能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價格軸低。非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業務三情境相同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</si>
  <si>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</si>
  <si>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t xml:space="preserve">9M26A</t>
  </si>
  <si>
    <t xml:space="preserve">Q4 26E</t>
  </si>
  <si>
    <r>
      <rPr>
        <b val="true"/>
        <sz val="11"/>
        <rFont val="Cambria"/>
        <family val="0"/>
        <charset val="1"/>
      </rPr>
      <t xml:space="preserve">FY2026E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9M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模型）</t>
    </r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</si>
  <si>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</si>
  <si>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</si>
  <si>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</si>
  <si>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</si>
  <si>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</si>
  <si>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</si>
  <si>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9M25A</t>
  </si>
  <si>
    <t xml:space="preserve">Q4 25A</t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</si>
  <si>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容量（對外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 </t>
    </r>
    <r>
      <rPr>
        <b val="true"/>
        <sz val="11"/>
        <rFont val="Cambria"/>
        <family val="0"/>
        <charset val="1"/>
      </rPr>
      <t xml:space="preserve">MW-IT</t>
    </r>
    <r>
      <rPr>
        <b val="true"/>
        <sz val="11"/>
        <rFont val="Noto Sans CJK SC"/>
        <family val="2"/>
      </rPr>
      <t xml:space="preserve">；期末）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</si>
  <si>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MW 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</si>
  <si>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終值不落在建置高峰（共同修正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</si>
  <si>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</si>
  <si>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mw_q3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機隊＋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速度一季）；之後每年新增＝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（情境）</t>
    </r>
    <r>
      <rPr>
        <sz val="11"/>
        <color theme="1"/>
        <rFont val="Calibri"/>
        <family val="2"/>
        <charset val="1"/>
      </rPr>
      <t xml:space="preserve">× pace_x</t>
    </r>
    <r>
      <rPr>
        <sz val="11"/>
        <color theme="1"/>
        <rFont val="Noto Sans CJK SC"/>
        <family val="2"/>
      </rPr>
      <t xml:space="preserve">；歷史年底值只用於分拆與折舊年份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</si>
  <si>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</si>
  <si>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t xml:space="preserve">期間長度</t>
  </si>
  <si>
    <r>
      <rPr>
        <sz val="11"/>
        <color theme="1"/>
        <rFont val="Noto Sans CJK SC"/>
        <family val="2"/>
      </rPr>
      <t xml:space="preserve">新增對外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</si>
  <si>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（含自用＝對外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</si>
  <si>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Calibri"/>
        <family val="2"/>
        <charset val="1"/>
      </rPr>
      <t xml:space="preserve">R–AA </t>
    </r>
    <r>
      <rPr>
        <sz val="11"/>
        <color theme="1"/>
        <rFont val="Noto Sans CJK SC"/>
        <family val="2"/>
      </rPr>
      <t xml:space="preserve">欄：依年份（折舊與汰換用）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</si>
  <si>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新增產能的世代與單位經濟（</t>
    </r>
    <r>
      <rPr>
        <b val="true"/>
        <sz val="11"/>
        <rFont val="Cambria"/>
        <family val="0"/>
        <charset val="1"/>
      </rPr>
      <t xml:space="preserve">Tokenomics v21.7 </t>
    </r>
    <r>
      <rPr>
        <b val="true"/>
        <sz val="11"/>
        <rFont val="Noto Sans CJK SC"/>
        <family val="2"/>
      </rPr>
      <t xml:space="preserve">基準成本；自研晶片＝</t>
    </r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錨 </t>
    </r>
    <r>
      <rPr>
        <b val="true"/>
        <sz val="11"/>
        <rFont val="Cambria"/>
        <family val="0"/>
        <charset val="1"/>
      </rPr>
      <t xml:space="preserve">× IF_NonNV_Hold_Trn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</si>
  <si>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新增中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</si>
  <si>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（含自研晶片係數）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</si>
  <si>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加權營運費用（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</si>
  <si>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；含自研晶片資本支出係數）</t>
    </r>
  </si>
  <si>
    <r>
      <rPr>
        <sz val="11"/>
        <color theme="1"/>
        <rFont val="Noto Sans CJK SC"/>
        <family val="2"/>
      </rPr>
      <t xml:space="preserve">期初後新增對外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累計（期末）</t>
    </r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</si>
  <si>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HoldEcon</t>
    </r>
  </si>
  <si>
    <t xml:space="preserve">US$m</t>
  </si>
  <si>
    <r>
      <rPr>
        <sz val="11"/>
        <color theme="1"/>
        <rFont val="Calibri"/>
        <family val="2"/>
        <charset val="1"/>
      </rPr>
      <t xml:space="preserve">  Σ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</si>
  <si>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color theme="1"/>
        <rFont val="Noto Sans CJK SC"/>
        <family val="2"/>
      </rPr>
      <t xml:space="preserve">新增機隊加權 </t>
    </r>
    <r>
      <rPr>
        <sz val="11"/>
        <color theme="1"/>
        <rFont val="Calibri"/>
        <family val="2"/>
        <charset val="1"/>
      </rPr>
      <t xml:space="preserve">HoldEcon</t>
    </r>
  </si>
  <si>
    <t xml:space="preserve">新增機隊加權營運費用</t>
  </si>
  <si>
    <r>
      <rPr>
        <sz val="11"/>
        <color theme="1"/>
        <rFont val="Noto Sans CJK SC"/>
        <family val="2"/>
      </rPr>
      <t xml:space="preserve">新增產能每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年收入＝新增機隊 </t>
    </r>
    <r>
      <rPr>
        <sz val="11"/>
        <color theme="1"/>
        <rFont val="Calibri"/>
        <family val="2"/>
        <charset val="1"/>
      </rPr>
      <t xml:space="preserve">HoldEcon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</si>
  <si>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2,080 MW </t>
    </r>
    <r>
      <rPr>
        <sz val="11"/>
        <color theme="1"/>
        <rFont val="Noto Sans CJK SC"/>
        <family val="2"/>
      </rPr>
      <t xml:space="preserve">三情境同用 </t>
    </r>
    <r>
      <rPr>
        <sz val="11"/>
        <color theme="1"/>
        <rFont val="Calibri"/>
        <family val="2"/>
        <charset val="1"/>
      </rPr>
      <t xml:space="preserve">rpm_open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之後的新產能（含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新增）</t>
    </r>
  </si>
  <si>
    <r>
      <rPr>
        <sz val="11"/>
        <color theme="1"/>
        <rFont val="Noto Sans CJK SC"/>
        <family val="2"/>
      </rPr>
      <t xml:space="preserve">新增產能平均在役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（期間）</t>
    </r>
  </si>
  <si>
    <r>
      <rPr>
        <b val="true"/>
        <sz val="11"/>
        <rFont val="Cambria"/>
        <family val="0"/>
        <charset val="1"/>
      </rPr>
      <t xml:space="preserve">3. AWS AI </t>
    </r>
    <r>
      <rPr>
        <b val="true"/>
        <sz val="11"/>
        <rFont val="Noto Sans CJK SC"/>
        <family val="2"/>
      </rPr>
      <t xml:space="preserve">損益（收入端不乘 </t>
    </r>
    <r>
      <rPr>
        <b val="true"/>
        <sz val="11"/>
        <rFont val="Cambria"/>
        <family val="0"/>
        <charset val="1"/>
      </rPr>
      <t xml:space="preserve">IF_Util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MW-year </t>
    </r>
    <r>
      <rPr>
        <b val="true"/>
        <sz val="11"/>
        <rFont val="Noto Sans CJK SC"/>
        <family val="2"/>
      </rPr>
      <t xml:space="preserve">計價）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</si>
  <si>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營收（命題子列）</t>
    </r>
  </si>
  <si>
    <r>
      <rPr>
        <sz val="11"/>
        <color theme="1"/>
        <rFont val="Noto Sans CJK SC"/>
        <family val="2"/>
      </rPr>
      <t xml:space="preserve">實績欄為分拆估計（期初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），不是公司揭露值</t>
    </r>
  </si>
  <si>
    <r>
      <rPr>
        <sz val="11"/>
        <color theme="1"/>
        <rFont val="Noto Sans CJK SC"/>
        <family val="2"/>
      </rPr>
      <t xml:space="preserve">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</si>
  <si>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營運成本（含自用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、租用機房租金 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</si>
  <si>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</si>
  <si>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其他營收（非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</si>
  <si>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分拆估計（殘差，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</si>
  <si>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其他年增</t>
    </r>
  </si>
  <si>
    <r>
      <rPr>
        <sz val="11"/>
        <color theme="1"/>
        <rFont val="Noto Sans CJK SC"/>
        <family val="2"/>
      </rPr>
      <t xml:space="preserve">起點＝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awso_g0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分拆低估影響偏高，只列不用（</t>
    </r>
    <r>
      <rPr>
        <sz val="11"/>
        <color theme="1"/>
        <rFont val="Calibri"/>
        <family val="2"/>
        <charset val="1"/>
      </rPr>
      <t xml:space="preserve">awso_g0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時改用，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g_awso_lt</t>
    </r>
  </si>
  <si>
    <r>
      <rPr>
        <b val="true"/>
        <sz val="11"/>
        <rFont val="Cambria"/>
        <family val="0"/>
        <charset val="1"/>
      </rPr>
      <t xml:space="preserve">4. AI </t>
    </r>
    <r>
      <rPr>
        <b val="true"/>
        <sz val="11"/>
        <rFont val="Noto Sans CJK SC"/>
        <family val="2"/>
      </rPr>
      <t xml:space="preserve">資本支出（現金）→ 折舊（</t>
    </r>
    <r>
      <rPr>
        <b val="true"/>
        <sz val="11"/>
        <rFont val="Cambria"/>
        <family val="0"/>
        <charset val="1"/>
      </rPr>
      <t xml:space="preserve">IT 6 </t>
    </r>
    <r>
      <rPr>
        <b val="true"/>
        <sz val="11"/>
        <rFont val="Noto Sans CJK SC"/>
        <family val="2"/>
      </rPr>
      <t xml:space="preserve">年、機房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年；次年起提列）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</si>
  <si>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資本支出（零售＋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</si>
  <si>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比例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</si>
  <si>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資本支出（現金，含自用）</t>
    </r>
  </si>
  <si>
    <r>
      <rPr>
        <sz val="11"/>
        <color theme="1"/>
        <rFont val="Noto Sans CJK SC"/>
        <family val="2"/>
      </rPr>
      <t xml:space="preserve">實績＝公司資本支出淨額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（零售 </t>
    </r>
    <r>
      <rPr>
        <sz val="11"/>
        <color theme="1"/>
        <rFont val="Calibri"/>
        <family val="2"/>
        <charset val="1"/>
      </rPr>
      <t xml:space="preserve">cx_rt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cx_awso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＝指引 </t>
    </r>
    <r>
      <rPr>
        <sz val="11"/>
        <color theme="1"/>
        <rFont val="Calibri"/>
        <family val="2"/>
        <charset val="1"/>
      </rPr>
      <t xml:space="preserve">220 − 9M </t>
    </r>
    <r>
      <rPr>
        <sz val="11"/>
        <color theme="1"/>
        <rFont val="Noto Sans CJK SC"/>
        <family val="2"/>
      </rPr>
      <t xml:space="preserve">實績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（修正三：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現金資本支出錨定指引；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部分由已投入的在建資本支出支應）；之後＝新增 </t>
    </r>
    <r>
      <rPr>
        <sz val="11"/>
        <color theme="1"/>
        <rFont val="Calibri"/>
        <family val="2"/>
        <charset val="1"/>
      </rPr>
      <t xml:space="preserve">MW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＋自建機房）＋汰換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</si>
  <si>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26 AI </t>
    </r>
    <r>
      <rPr>
        <sz val="11"/>
        <color theme="1"/>
        <rFont val="Noto Sans CJK SC"/>
        <family val="2"/>
      </rPr>
      <t xml:space="preserve">資本支出公式值＝新增總 </t>
    </r>
    <r>
      <rPr>
        <sz val="11"/>
        <color theme="1"/>
        <rFont val="Calibri"/>
        <family val="2"/>
        <charset val="1"/>
      </rPr>
      <t xml:space="preserve">MW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＋自建機房）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</si>
  <si>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對帳（下半年視窗）：（指引 − 上半年實績）</t>
    </r>
    <r>
      <rPr>
        <sz val="11"/>
        <color theme="1"/>
        <rFont val="Calibri"/>
        <family val="2"/>
        <charset val="1"/>
      </rPr>
      <t xml:space="preserve">÷ 2 −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</si>
  <si>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calib_pace_v031.py </t>
    </r>
    <r>
      <rPr>
        <sz val="11"/>
        <color theme="1"/>
        <rFont val="Noto Sans CJK SC"/>
        <family val="2"/>
      </rPr>
      <t xml:space="preserve">解 </t>
    </r>
    <r>
      <rPr>
        <sz val="11"/>
        <color theme="1"/>
        <rFont val="Calibri"/>
        <family val="2"/>
        <charset val="1"/>
      </rPr>
      <t xml:space="preserve">pace_B </t>
    </r>
    <r>
      <rPr>
        <sz val="11"/>
        <color theme="1"/>
        <rFont val="Noto Sans CJK SC"/>
        <family val="2"/>
      </rPr>
      <t xml:space="preserve">使本列＝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情境速度不同，本列不為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</si>
  <si>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指引補足額＝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錨定值 −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公式值（負值＝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公式高於指引隱含）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</si>
  <si>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汰換（折舊年限前新增的總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</si>
  <si>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資本支出：折舊基礎（實績期以新增在役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成本為上限）</t>
    </r>
  </si>
  <si>
    <r>
      <rPr>
        <sz val="11"/>
        <color theme="1"/>
        <rFont val="Noto Sans CJK SC"/>
        <family val="2"/>
      </rPr>
      <t xml:space="preserve">實績期以新增在役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成本為上限；超出部分見下列在建（修正三：延後轉入在役後提列折舊）</t>
    </r>
  </si>
  <si>
    <r>
      <rPr>
        <sz val="11"/>
        <color theme="1"/>
        <rFont val="Noto Sans CJK SC"/>
        <family val="2"/>
      </rPr>
      <t xml:space="preserve">  在建（</t>
    </r>
    <r>
      <rPr>
        <sz val="11"/>
        <color theme="1"/>
        <rFont val="Calibri"/>
        <family val="2"/>
        <charset val="1"/>
      </rPr>
      <t xml:space="preserve">CIP</t>
    </r>
    <r>
      <rPr>
        <sz val="11"/>
        <color theme="1"/>
        <rFont val="Noto Sans CJK SC"/>
        <family val="2"/>
      </rPr>
      <t xml:space="preserve">）：實績期超出新增在役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</si>
  <si>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修正三：視為在建，延後 </t>
    </r>
    <r>
      <rPr>
        <sz val="11"/>
        <color theme="1"/>
        <rFont val="Calibri"/>
        <family val="2"/>
        <charset val="1"/>
      </rPr>
      <t xml:space="preserve">cip_lag </t>
    </r>
    <r>
      <rPr>
        <sz val="11"/>
        <color theme="1"/>
        <rFont val="Noto Sans CJK SC"/>
        <family val="2"/>
      </rPr>
      <t xml:space="preserve">年轉入在役後提列折舊（仍計入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投入資本）；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分部折舊 </t>
    </r>
    <r>
      <rPr>
        <sz val="11"/>
        <color theme="1"/>
        <rFont val="Calibri"/>
        <family val="2"/>
        <charset val="1"/>
      </rPr>
      <t xml:space="preserve">2024→2025→1H26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13.3→21.5→30.7 </t>
    </r>
    <r>
      <rPr>
        <sz val="11"/>
        <color theme="1"/>
        <rFont val="Noto Sans CJK SC"/>
        <family val="2"/>
      </rPr>
      <t xml:space="preserve">支持此處理</t>
    </r>
  </si>
  <si>
    <r>
      <rPr>
        <sz val="11"/>
        <color theme="1"/>
        <rFont val="Noto Sans CJK SC"/>
        <family val="2"/>
      </rPr>
      <t xml:space="preserve">  在建中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設備（依支出年份）</t>
    </r>
  </si>
  <si>
    <r>
      <rPr>
        <sz val="11"/>
        <color theme="1"/>
        <rFont val="Noto Sans CJK SC"/>
        <family val="2"/>
      </rPr>
      <t xml:space="preserve">  在建轉入在役：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（依轉入年份）</t>
    </r>
  </si>
  <si>
    <t xml:space="preserve">  在建轉入在役：機房（依轉入年份）</t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</si>
  <si>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</t>
    </r>
  </si>
  <si>
    <t xml:space="preserve">  其中機房（自建部分）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</si>
  <si>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資本支出占公司資本支出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</si>
  <si>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折舊（含在建轉入）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</si>
  <si>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機房折舊（含在建轉入）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</si>
  <si>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折舊合計（對外 → 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；自用 → 零售分部）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</si>
  <si>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（期末）</t>
    </r>
  </si>
  <si>
    <r>
      <rPr>
        <b val="true"/>
        <sz val="11"/>
        <rFont val="Cambria"/>
        <family val="0"/>
        <charset val="1"/>
      </rPr>
      <t xml:space="preserve">5. AWS AI </t>
    </r>
    <r>
      <rPr>
        <b val="true"/>
        <sz val="11"/>
        <rFont val="Noto Sans CJK SC"/>
        <family val="2"/>
      </rPr>
      <t xml:space="preserve">營業利益、自用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成本、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</si>
  <si>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AWS AI EBITDA</t>
    </r>
    <r>
      <rPr>
        <sz val="11"/>
        <color theme="1"/>
        <rFont val="Noto Sans CJK SC"/>
        <family val="2"/>
      </rPr>
      <t xml:space="preserve">＝營收 − 對外比例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</si>
  <si>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營業利益＝</t>
    </r>
    <r>
      <rPr>
        <b val="true"/>
        <sz val="11"/>
        <rFont val="Cambria"/>
        <family val="0"/>
        <charset val="1"/>
      </rPr>
      <t xml:space="preserve">EBITDA − </t>
    </r>
    <r>
      <rPr>
        <b val="true"/>
        <sz val="11"/>
        <rFont val="Noto Sans CJK SC"/>
        <family val="2"/>
      </rPr>
      <t xml:space="preserve">對外比例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</si>
  <si>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  AWS AI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</si>
  <si>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HoldEcon × 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；非財報營收）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</si>
  <si>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（主值）；只進評價口徑（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評價口徑、分部加總零售本業）；實績欄為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</si>
  <si>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成本（營運＋折舊；分攤到北美／國際，財報口徑）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</si>
  <si>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營業利益（實績，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</si>
  <si>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其他營業利益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</si>
  <si>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營業利益（殘差）</t>
    </r>
  </si>
  <si>
    <r>
      <rPr>
        <sz val="11"/>
        <color theme="1"/>
        <rFont val="Calibri"/>
        <family val="2"/>
        <charset val="1"/>
      </rPr>
      <t xml:space="preserve">  AWS </t>
    </r>
    <r>
      <rPr>
        <sz val="11"/>
        <color theme="1"/>
        <rFont val="Noto Sans CJK SC"/>
        <family val="2"/>
      </rPr>
      <t xml:space="preserve">其他營業利益率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</si>
  <si>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起固定為近四季（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9M26</t>
    </r>
    <r>
      <rPr>
        <sz val="11"/>
        <color theme="1"/>
        <rFont val="Noto Sans CJK SC"/>
        <family val="2"/>
      </rPr>
      <t xml:space="preserve">）殘差利益率（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</si>
  <si>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AWS </t>
    </r>
    <r>
      <rPr>
        <sz val="11"/>
        <color theme="1"/>
        <rFont val="Noto Sans CJK SC"/>
        <family val="2"/>
      </rPr>
      <t xml:space="preserve">其他營收（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</si>
  <si>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折舊攤銷（分部）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</si>
  <si>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命題指標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</si>
  <si>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對外分攤的平均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淨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</si>
  <si>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C11</t>
    </r>
    <r>
      <rPr>
        <sz val="11"/>
        <color theme="1"/>
        <rFont val="Noto Sans CJK SC"/>
        <family val="2"/>
      </rPr>
      <t xml:space="preserve">：分子分母同口徑（對外）</t>
    </r>
  </si>
  <si>
    <r>
      <rPr>
        <sz val="11"/>
        <color theme="1"/>
        <rFont val="Noto Sans CJK SC"/>
        <family val="2"/>
      </rPr>
      <t xml:space="preserve">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</si>
  <si>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打平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所需的機隊平均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</si>
  <si>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上限檢查：全機隊每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</si>
  <si>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上限，不得作預測；只作檢查</t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</si>
  <si>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</si>
  <si>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</si>
  <si>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營收線 </t>
    </r>
    <r>
      <rPr>
        <sz val="11"/>
        <color theme="1"/>
        <rFont val="Calibri"/>
        <family val="2"/>
        <charset val="1"/>
      </rPr>
      <t xml:space="preserve">Online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Physical stores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Third-party seller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Advertising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Subscription services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（零售各線合計＝北美＋國際）與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（命題子列，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其他。核對列（綠底）每情境每年度皆須為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</si>
  <si>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</si>
  <si>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零售各營收線（</t>
    </r>
    <r>
      <rPr>
        <b val="true"/>
        <sz val="11"/>
        <rFont val="Cambria"/>
        <family val="0"/>
        <charset val="1"/>
      </rPr>
      <t xml:space="preserve">Q4 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Q4 25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9M26 </t>
    </r>
    <r>
      <rPr>
        <b val="true"/>
        <sz val="11"/>
        <rFont val="Noto Sans CJK SC"/>
        <family val="2"/>
      </rPr>
      <t xml:space="preserve">年增）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校準係數；</t>
    </r>
    <r>
      <rPr>
        <b val="true"/>
        <sz val="11"/>
        <rFont val="Cambria"/>
        <family val="0"/>
        <charset val="1"/>
      </rPr>
      <t xml:space="preserve">2027–2030 </t>
    </r>
    <r>
      <rPr>
        <b val="true"/>
        <sz val="11"/>
        <rFont val="Noto Sans CJK SC"/>
        <family val="2"/>
      </rPr>
      <t xml:space="preserve">年增由 </t>
    </r>
    <r>
      <rPr>
        <b val="true"/>
        <sz val="11"/>
        <rFont val="Cambria"/>
        <family val="0"/>
        <charset val="1"/>
      </rPr>
      <t xml:space="preserve">9M26 </t>
    </r>
    <r>
      <rPr>
        <b val="true"/>
        <sz val="11"/>
        <rFont val="Noto Sans CJK SC"/>
        <family val="2"/>
      </rPr>
      <t xml:space="preserve">年增線性收斂到長期值；</t>
    </r>
    <r>
      <rPr>
        <b val="true"/>
        <sz val="11"/>
        <rFont val="Cambria"/>
        <family val="0"/>
        <charset val="1"/>
      </rPr>
      <t xml:space="preserve">2031–2032</t>
    </r>
    <r>
      <rPr>
        <b val="true"/>
        <sz val="11"/>
        <rFont val="Noto Sans CJK SC"/>
        <family val="2"/>
      </rPr>
      <t xml:space="preserve">＝長期值）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</si>
  <si>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頁實績；預測＝前期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</si>
  <si>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r>
      <rPr>
        <sz val="11"/>
        <color theme="1"/>
        <rFont val="Calibri"/>
        <family val="2"/>
        <charset val="1"/>
      </rPr>
      <t xml:space="preserve">  Online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</si>
  <si>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g_os</t>
    </r>
  </si>
  <si>
    <r>
      <rPr>
        <sz val="11"/>
        <color theme="1"/>
        <rFont val="Calibri"/>
        <family val="2"/>
        <charset val="1"/>
      </rPr>
      <t xml:space="preserve">  Physical stores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</si>
  <si>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g_ps</t>
    </r>
  </si>
  <si>
    <r>
      <rPr>
        <sz val="11"/>
        <color theme="1"/>
        <rFont val="Calibri"/>
        <family val="2"/>
        <charset val="1"/>
      </rPr>
      <t xml:space="preserve">  Third-party seller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</si>
  <si>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g_sp</t>
    </r>
  </si>
  <si>
    <r>
      <rPr>
        <sz val="11"/>
        <color theme="1"/>
        <rFont val="Calibri"/>
        <family val="2"/>
        <charset val="1"/>
      </rPr>
      <t xml:space="preserve">  Advertising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</si>
  <si>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g_ad</t>
    </r>
  </si>
  <si>
    <r>
      <rPr>
        <sz val="11"/>
        <color theme="1"/>
        <rFont val="Calibri"/>
        <family val="2"/>
        <charset val="1"/>
      </rPr>
      <t xml:space="preserve">  Subscription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</si>
  <si>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g_sub</t>
    </r>
  </si>
  <si>
    <r>
      <rPr>
        <sz val="11"/>
        <color theme="1"/>
        <rFont val="Calibri"/>
        <family val="2"/>
        <charset val="1"/>
      </rPr>
      <t xml:space="preserve">  Other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</si>
  <si>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9M25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Prime Day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的時點影響在九個月內抵銷）；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成長基準＝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g_ot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</si>
  <si>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零售營收校準係數（使情境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合併營收＝指引中點）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</si>
  <si>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合併營收目標＝指引中點 </t>
    </r>
    <r>
      <rPr>
        <sz val="11"/>
        <color theme="1"/>
        <rFont val="Calibri"/>
        <family val="2"/>
        <charset val="1"/>
      </rPr>
      <t xml:space="preserve">243.5 − </t>
    </r>
    <r>
      <rPr>
        <sz val="11"/>
        <color theme="1"/>
        <rFont val="Noto Sans CJK SC"/>
        <family val="2"/>
      </rPr>
      <t xml:space="preserve">主頁情境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AWS Q4 26</t>
    </r>
    <r>
      <rPr>
        <sz val="11"/>
        <color theme="1"/>
        <rFont val="Noto Sans CJK SC"/>
        <family val="2"/>
      </rPr>
      <t xml:space="preserve">；三情境共用同一係數（修正二），零售不隨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分拆變動</t>
    </r>
  </si>
  <si>
    <r>
      <rPr>
        <b val="true"/>
        <sz val="11"/>
        <rFont val="Noto Sans CJK SC"/>
        <family val="2"/>
      </rPr>
      <t xml:space="preserve">零售營收線合計（＝</t>
    </r>
    <r>
      <rPr>
        <b val="true"/>
        <sz val="11"/>
        <rFont val="Cambria"/>
        <family val="0"/>
        <charset val="1"/>
      </rPr>
      <t xml:space="preserve">North America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International</t>
    </r>
    <r>
      <rPr>
        <b val="true"/>
        <sz val="11"/>
        <rFont val="Noto Sans CJK SC"/>
        <family val="2"/>
      </rPr>
      <t xml:space="preserve">）</t>
    </r>
  </si>
  <si>
    <t xml:space="preserve">北美占零售營收比例（地區分攤）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</si>
  <si>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25 </t>
    </r>
    <r>
      <rPr>
        <sz val="11"/>
        <color theme="1"/>
        <rFont val="Noto Sans CJK SC"/>
        <family val="2"/>
      </rPr>
      <t xml:space="preserve">比例；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起固定為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）；各營收線不分地區揭露，故以本列分攤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</si>
  <si>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</t>
    </r>
  </si>
  <si>
    <r>
      <rPr>
        <sz val="11"/>
        <color theme="1"/>
        <rFont val="Noto Sans CJK SC"/>
        <family val="2"/>
      </rPr>
      <t xml:space="preserve">官方分部；預測＝零售營收線合計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</si>
  <si>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廣告營收歸北美（＝廣告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北美比例）</t>
    </r>
  </si>
  <si>
    <r>
      <rPr>
        <sz val="11"/>
        <color theme="1"/>
        <rFont val="Noto Sans CJK SC"/>
        <family val="2"/>
      </rPr>
      <t xml:space="preserve">廣告營收依零售營收的地區比例分攤（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；公司未分地區揭露）</t>
    </r>
  </si>
  <si>
    <t xml:space="preserve">廣告營收歸國際</t>
  </si>
  <si>
    <r>
      <rPr>
        <b val="true"/>
        <sz val="11"/>
        <rFont val="Cambria"/>
        <family val="0"/>
        <charset val="1"/>
      </rPr>
      <t xml:space="preserve">2. AWS</t>
    </r>
    <r>
      <rPr>
        <b val="true"/>
        <sz val="11"/>
        <rFont val="Noto Sans CJK SC"/>
        <family val="2"/>
      </rPr>
      <t xml:space="preserve">（命題子列＋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其他）與合併營收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</si>
  <si>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</si>
  <si>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</si>
  <si>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</si>
  <si>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官方分部＝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營收線</t>
    </r>
  </si>
  <si>
    <t xml:space="preserve">合併營收（實績＝公司揭露；預測＝營收線加總）</t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</si>
  <si>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</si>
  <si>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</si>
  <si>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）：分部合計 − 合併營收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</si>
  <si>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</si>
  <si>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占合併營收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</si>
  <si>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</si>
  <si>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</si>
  <si>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</si>
  <si>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</si>
  <si>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</si>
  <si>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</si>
  <si>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）：零售營收線合計 − </t>
    </r>
    <r>
      <rPr>
        <sz val="11"/>
        <color theme="1"/>
        <rFont val="Calibri"/>
        <family val="2"/>
        <charset val="1"/>
      </rPr>
      <t xml:space="preserve">(North America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International)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</si>
  <si>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</si>
  <si>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）：分部合計 − 合併營收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</si>
  <si>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 → 合併營業利益 → 業外、稅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。廣告利潤率 </t>
    </r>
    <r>
      <rPr>
        <sz val="11"/>
        <color theme="1"/>
        <rFont val="Calibri"/>
        <family val="2"/>
        <charset val="1"/>
      </rPr>
      <t xml:space="preserve">m_ad </t>
    </r>
    <r>
      <rPr>
        <sz val="11"/>
        <color theme="1"/>
        <rFont val="Noto Sans CJK SC"/>
        <family val="2"/>
      </rPr>
      <t xml:space="preserve">驅動北美／國際利益率（廣告營收依零售地區比例分攤；零售本業利益率＝分部利益扣廣告利潤後的殘差）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</si>
  <si>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4–10 </t>
    </r>
    <r>
      <rPr>
        <sz val="11"/>
        <color theme="1"/>
        <rFont val="Noto Sans CJK SC"/>
        <family val="2"/>
      </rPr>
      <t xml:space="preserve">列：跨情境核對（三情境絕對值合計；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讀本區）；實績欄為公司揭露值的核對</t>
    </r>
  </si>
  <si>
    <r>
      <rPr>
        <b val="true"/>
        <sz val="11"/>
        <rFont val="Noto Sans CJK SC"/>
        <family val="2"/>
      </rPr>
      <t xml:space="preserve">跨情境核對（三情境絕對值合計；應全為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</si>
  <si>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 − </t>
    </r>
    <r>
      <rPr>
        <sz val="11"/>
        <color theme="1"/>
        <rFont val="Calibri"/>
        <family val="2"/>
        <charset val="1"/>
      </rPr>
      <t xml:space="preserve">AWS</t>
    </r>
  </si>
  <si>
    <t xml:space="preserve">檢查：分部營業利益合計 − 合併營業利益</t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</si>
  <si>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</si>
  <si>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營收線與官方分部）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</si>
  <si>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（營收線＝分部）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</si>
  <si>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</si>
  <si>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分部營業利益（廣告利潤率 </t>
    </r>
    <r>
      <rPr>
        <b val="true"/>
        <sz val="11"/>
        <rFont val="Cambria"/>
        <family val="0"/>
        <charset val="1"/>
      </rPr>
      <t xml:space="preserve">m_ad </t>
    </r>
    <r>
      <rPr>
        <b val="true"/>
        <sz val="11"/>
        <rFont val="Noto Sans CJK SC"/>
        <family val="2"/>
      </rPr>
      <t xml:space="preserve">計入北美／國際；零售本業利益率＝殘差；自用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成本按北美比例分攤）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</si>
  <si>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</si>
  <si>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</si>
  <si>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</si>
  <si>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North America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</si>
  <si>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(9M26 − 9M25)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每年＋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step</t>
    </r>
    <r>
      <rPr>
        <sz val="11"/>
        <color theme="1"/>
        <rFont val="Noto Sans CJK SC"/>
        <family val="2"/>
      </rPr>
      <t xml:space="preserve">；之後持平</t>
    </r>
  </si>
  <si>
    <r>
      <rPr>
        <b val="true"/>
        <sz val="11"/>
        <rFont val="Cambria"/>
        <family val="0"/>
        <charset val="1"/>
      </rPr>
      <t xml:space="preserve">North America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</si>
  <si>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：廣告利潤（廣告營收 </t>
    </r>
    <r>
      <rPr>
        <sz val="11"/>
        <color theme="1"/>
        <rFont val="Calibri"/>
        <family val="2"/>
        <charset val="1"/>
      </rPr>
      <t xml:space="preserve">× m_ad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</si>
  <si>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：零售本業營收（分部 − 廣告）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</si>
  <si>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成本淨額分攤</t>
    </r>
  </si>
  <si>
    <r>
      <rPr>
        <sz val="11"/>
        <color theme="1"/>
        <rFont val="Calibri"/>
        <family val="2"/>
        <charset val="1"/>
      </rPr>
      <t xml:space="preserve">International</t>
    </r>
    <r>
      <rPr>
        <sz val="11"/>
        <color theme="1"/>
        <rFont val="Noto Sans CJK SC"/>
        <family val="2"/>
      </rPr>
      <t xml:space="preserve">：零售本業利益率（實績＝殘差，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</si>
  <si>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International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</si>
  <si>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營業利益（命題子列）</t>
    </r>
  </si>
  <si>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</si>
  <si>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未分攤（公司層；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</si>
  <si>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</si>
  <si>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；非財報營收；按北美比例分攤到北美／國際）</t>
    </r>
  </si>
  <si>
    <t xml:space="preserve">營收列與分部對帳不動</t>
  </si>
  <si>
    <r>
      <rPr>
        <sz val="11"/>
        <color theme="1"/>
        <rFont val="Noto Sans CJK SC"/>
        <family val="2"/>
      </rPr>
      <t xml:space="preserve">營業利益（評價口徑＝合併營業利益＋自用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</si>
  <si>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Calibri"/>
        <family val="2"/>
        <charset val="1"/>
      </rPr>
      <t xml:space="preserve">North America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</si>
  <si>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International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</si>
  <si>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</si>
  <si>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營業利益率</t>
    </r>
  </si>
  <si>
    <t xml:space="preserve">合併營業利益率</t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</si>
  <si>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分部折舊攤銷（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（分部加總評價用）</t>
    </r>
  </si>
  <si>
    <r>
      <rPr>
        <sz val="11"/>
        <color theme="1"/>
        <rFont val="Noto Sans CJK SC"/>
        <family val="2"/>
      </rPr>
      <t xml:space="preserve">零售非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零售營收（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</si>
  <si>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分部折舊攤銷合計（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；不含影音內容與營業租賃資產）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</si>
  <si>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：廣告（＝廣告利潤，未分攤折舊）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</si>
  <si>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：零售本業（北美＋國際 營業利益＋折舊 − 廣告利潤；含自用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成本）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</si>
  <si>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</si>
  <si>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AI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</si>
  <si>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（營業利益＋分部折舊攤銷）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</si>
  <si>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業外、稅、淨利、</t>
    </r>
    <r>
      <rPr>
        <b val="true"/>
        <sz val="11"/>
        <rFont val="Cambria"/>
        <family val="0"/>
        <charset val="1"/>
      </rPr>
      <t xml:space="preserve">EPS</t>
    </r>
  </si>
  <si>
    <t xml:space="preserve">利息收入（預測；實績含在業外其他）</t>
  </si>
  <si>
    <r>
      <rPr>
        <sz val="11"/>
        <color theme="1"/>
        <rFont val="Noto Sans CJK SC"/>
        <family val="2"/>
      </rPr>
      <t xml:space="preserve">業外其他（含利息收入與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等持股評價損益；預測期設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</si>
  <si>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持股價值另在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頁加入（不重複計算）</t>
    </r>
  </si>
  <si>
    <r>
      <rPr>
        <sz val="11"/>
        <color theme="1"/>
        <rFont val="Noto Sans CJK SC"/>
        <family val="2"/>
      </rPr>
      <t xml:space="preserve">無回購；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稀釋每年 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</si>
  <si>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Noto Sans CJK SC"/>
        <family val="2"/>
      </rPr>
      <t xml:space="preserve">淨利（評價口徑＝淨利＋影子效益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</si>
  <si>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（評價口徑，稀釋）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</si>
  <si>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（財報口徑，稀釋）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</si>
  <si>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（不含業外其他，近似：扣除業外其他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</si>
  <si>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業外含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評價利益約 </t>
    </r>
    <r>
      <rPr>
        <sz val="11"/>
        <color theme="1"/>
        <rFont val="Calibri"/>
        <family val="2"/>
        <charset val="1"/>
      </rPr>
      <t xml:space="preserve">68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</si>
  <si>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</si>
  <si>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</si>
  <si>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</si>
  <si>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</si>
  <si>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</si>
  <si>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）：營收線合計（含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）− 合併營收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</si>
  <si>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）：分部營業利益合計 − 合併營業利益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</si>
  <si>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營運現金（淨利＋分部折舊＋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＋其他）−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其他＋零售）− 融資租賃本金 → 自由現金流；股利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、回購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無）；現金低於最低現金即舉債。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</t>
    </r>
  </si>
  <si>
    <t xml:space="preserve">收支關卡（地圖讀取；列標籤固定）</t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</si>
  <si>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</si>
  <si>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</si>
  <si>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</si>
  <si>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情境加權</t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</si>
  <si>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</si>
  <si>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FY2026–FY2030</t>
    </r>
    <r>
      <rPr>
        <sz val="11"/>
        <color theme="1"/>
        <rFont val="Noto Sans CJK SC"/>
        <family val="2"/>
      </rPr>
      <t xml:space="preserve">（首年起五年；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模型）自由現金流扣股利合計；負值＝入不敷出（地圖收支關卡）</t>
    </r>
  </si>
  <si>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新增借款合計（不含已發行債券）</t>
    </r>
  </si>
  <si>
    <t xml:space="preserve">是否需要舉債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</si>
  <si>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已發行債券（長期借款收入 </t>
    </r>
    <r>
      <rPr>
        <sz val="11"/>
        <color theme="1"/>
        <rFont val="Calibri"/>
        <family val="2"/>
        <charset val="1"/>
      </rPr>
      <t xml:space="preserve">115.1</t>
    </r>
    <r>
      <rPr>
        <sz val="11"/>
        <color theme="1"/>
        <rFont val="Noto Sans CJK SC"/>
        <family val="2"/>
      </rPr>
      <t xml:space="preserve">）在實績期內，不計；現金低於最低現金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時舉債</t>
    </r>
  </si>
  <si>
    <t xml:space="preserve">回購是否需停止</t>
  </si>
  <si>
    <r>
      <rPr>
        <sz val="11"/>
        <color theme="1"/>
        <rFont val="Noto Sans CJK SC"/>
        <family val="2"/>
      </rPr>
      <t xml:space="preserve">無回購可減（</t>
    </r>
    <r>
      <rPr>
        <sz val="11"/>
        <color theme="1"/>
        <rFont val="Calibri"/>
        <family val="2"/>
        <charset val="1"/>
      </rPr>
      <t xml:space="preserve">2023–9M26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</si>
  <si>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自由現金流（扣股利）</t>
    </r>
  </si>
  <si>
    <t xml:space="preserve">檢查：收支關卡＝首年起五年自由現金流扣股利（逐欄加總；三情境絕對值合計）</t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</si>
  <si>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</si>
  <si>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分部折舊攤銷（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）</t>
    </r>
  </si>
  <si>
    <t xml:space="preserve">股份基礎給付（加回）</t>
  </si>
  <si>
    <t xml:space="preserve">其他營運項目（營運資金、影音內容與租賃現金支出、非現金業外）</t>
  </si>
  <si>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oth_q4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同期比例，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oth_r</t>
    </r>
    <r>
      <rPr>
        <sz val="11"/>
        <color theme="1"/>
        <rFont val="Noto Sans CJK SC"/>
        <family val="2"/>
      </rPr>
      <t xml:space="preserve">（已含營運資金）；實績含持股評價利益的扣除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</si>
  <si>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</si>
  <si>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cx_awso × AWS </t>
    </r>
    <r>
      <rPr>
        <sz val="11"/>
        <color theme="1"/>
        <rFont val="Noto Sans CJK SC"/>
        <family val="2"/>
      </rPr>
      <t xml:space="preserve">其他營收）</t>
    </r>
  </si>
  <si>
    <r>
      <rPr>
        <sz val="11"/>
        <color theme="1"/>
        <rFont val="Noto Sans CJK SC"/>
        <family val="2"/>
      </rPr>
      <t xml:space="preserve">資本支出：零售（</t>
    </r>
    <r>
      <rPr>
        <sz val="11"/>
        <color theme="1"/>
        <rFont val="Calibri"/>
        <family val="2"/>
        <charset val="1"/>
      </rPr>
      <t xml:space="preserve">cx_rt × </t>
    </r>
    <r>
      <rPr>
        <sz val="11"/>
        <color theme="1"/>
        <rFont val="Noto Sans CJK SC"/>
        <family val="2"/>
      </rPr>
      <t xml:space="preserve">零售營收）</t>
    </r>
  </si>
  <si>
    <t xml:space="preserve">資本支出（現金，淨額）</t>
  </si>
  <si>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1.296</t>
    </r>
    <r>
      <rPr>
        <sz val="11"/>
        <color theme="1"/>
        <rFont val="Noto Sans CJK SC"/>
        <family val="2"/>
      </rPr>
      <t xml:space="preserve">（新聞稿現金流量表）；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＝全年 </t>
    </r>
    <r>
      <rPr>
        <sz val="11"/>
        <color theme="1"/>
        <rFont val="Calibri"/>
        <family val="2"/>
        <charset val="1"/>
      </rPr>
      <t xml:space="preserve">÷ 4</t>
    </r>
  </si>
  <si>
    <t xml:space="preserve">自由現金流（營運現金流 − 資本支出 − 融資租賃本金）</t>
  </si>
  <si>
    <t xml:space="preserve">股利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</si>
  <si>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未配息</t>
    </r>
  </si>
  <si>
    <t xml:space="preserve">回購</t>
  </si>
  <si>
    <r>
      <rPr>
        <sz val="11"/>
        <color theme="1"/>
        <rFont val="Calibri"/>
        <family val="2"/>
        <charset val="1"/>
      </rPr>
      <t xml:space="preserve">2023–9M26 </t>
    </r>
    <r>
      <rPr>
        <sz val="11"/>
        <color theme="1"/>
        <rFont val="Noto Sans CJK SC"/>
        <family val="2"/>
      </rPr>
      <t xml:space="preserve">無回購；模型不設回購（無可減的回購）</t>
    </r>
  </si>
  <si>
    <t xml:space="preserve">自由現金流扣股利</t>
  </si>
  <si>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</si>
  <si>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實績）</t>
    </r>
  </si>
  <si>
    <t xml:space="preserve">借款前現金</t>
  </si>
  <si>
    <t xml:space="preserve">新增借款（現金低於最低現金時）</t>
  </si>
  <si>
    <r>
      <rPr>
        <sz val="11"/>
        <color theme="1"/>
        <rFont val="Noto Sans CJK SC"/>
        <family val="2"/>
      </rPr>
      <t xml:space="preserve">到期債務假設全數再融資（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</si>
  <si>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期末現金與有價證券</t>
  </si>
  <si>
    <t xml:space="preserve">期末債務面額</t>
  </si>
  <si>
    <t xml:space="preserve">淨負債（債務 − 現金；負值＝淨現金）</t>
  </si>
  <si>
    <r>
      <rPr>
        <sz val="11"/>
        <color theme="1"/>
        <rFont val="Noto Sans CJK SC"/>
        <family val="2"/>
      </rPr>
      <t xml:space="preserve">利息費用（既有債務 </t>
    </r>
    <r>
      <rPr>
        <sz val="11"/>
        <color theme="1"/>
        <rFont val="Calibri"/>
        <family val="2"/>
        <charset val="1"/>
      </rPr>
      <t xml:space="preserve">× kd_book</t>
    </r>
    <r>
      <rPr>
        <sz val="11"/>
        <color theme="1"/>
        <rFont val="Noto Sans CJK SC"/>
        <family val="2"/>
      </rPr>
      <t xml:space="preserve">＋新增債務 </t>
    </r>
    <r>
      <rPr>
        <sz val="11"/>
        <color theme="1"/>
        <rFont val="Calibri"/>
        <family val="2"/>
        <charset val="1"/>
      </rPr>
      <t xml:space="preserve">× kd_new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</si>
  <si>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利息收入（期初現金 </t>
    </r>
    <r>
      <rPr>
        <sz val="11"/>
        <color theme="1"/>
        <rFont val="Calibri"/>
        <family val="2"/>
        <charset val="1"/>
      </rPr>
      <t xml:space="preserve">× y_cash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</si>
  <si>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收支關卡（本情境）：自由現金流扣股利 </t>
    </r>
    <r>
      <rPr>
        <b val="true"/>
        <sz val="11"/>
        <rFont val="Cambria"/>
        <family val="0"/>
        <charset val="1"/>
      </rPr>
      <t xml:space="preserve">FY2026–FY2030 </t>
    </r>
    <r>
      <rPr>
        <b val="true"/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</si>
  <si>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</si>
  <si>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</si>
  <si>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</si>
  <si>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（保守）：營運現金 − 資本支出 − 租賃本金 → 自由現金流；股利、回購、借款與淨現金</t>
    </r>
  </si>
  <si>
    <r>
      <rPr>
        <sz val="11"/>
        <color theme="1"/>
        <rFont val="Noto Sans CJK SC"/>
        <family val="2"/>
      </rPr>
      <t xml:space="preserve">檢查（情境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）：收支關卡＝首年起五年自由現金流扣股利（逐欄加總）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</si>
  <si>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＋分部加總（同業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；五級投資建議</t>
    </r>
  </si>
  <si>
    <r>
      <rPr>
        <b val="true"/>
        <sz val="12"/>
        <rFont val="Cambria"/>
        <family val="0"/>
        <charset val="1"/>
      </rPr>
      <t xml:space="preserve">0. </t>
    </r>
    <r>
      <rPr>
        <b val="true"/>
        <sz val="12"/>
        <rFont val="Noto Sans CJK SC"/>
        <family val="2"/>
      </rPr>
      <t xml:space="preserve">目標價（工作單第 </t>
    </r>
    <r>
      <rPr>
        <b val="true"/>
        <sz val="12"/>
        <rFont val="Cambria"/>
        <family val="0"/>
        <charset val="1"/>
      </rPr>
      <t xml:space="preserve">2 </t>
    </r>
    <r>
      <rPr>
        <b val="true"/>
        <sz val="12"/>
        <rFont val="Noto Sans CJK SC"/>
        <family val="2"/>
      </rPr>
      <t xml:space="preserve">節；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半導體 </t>
    </r>
    <r>
      <rPr>
        <b val="true"/>
        <sz val="12"/>
        <rFont val="Cambria"/>
        <family val="0"/>
        <charset val="1"/>
      </rPr>
      <t xml:space="preserve">v2 </t>
    </r>
    <r>
      <rPr>
        <b val="true"/>
        <sz val="12"/>
        <rFont val="Noto Sans CJK SC"/>
        <family val="2"/>
      </rPr>
      <t xml:space="preserve">口徑：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＋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各半，</t>
    </r>
    <r>
      <rPr>
        <b val="true"/>
        <sz val="12"/>
        <rFont val="Cambria"/>
        <family val="0"/>
        <charset val="1"/>
      </rPr>
      <t xml:space="preserve">Comparable </t>
    </r>
    <r>
      <rPr>
        <b val="true"/>
        <sz val="12"/>
        <rFont val="Noto Sans CJK SC"/>
        <family val="2"/>
      </rPr>
      <t xml:space="preserve">在分部層做＝分部加總）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</si>
  <si>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</si>
  <si>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sz val="11"/>
        <color theme="1"/>
        <rFont val="Calibri"/>
        <family val="2"/>
        <charset val="1"/>
      </rPr>
      <t xml:space="preserve">FCFF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折到 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，再以 </t>
    </r>
    <r>
      <rPr>
        <sz val="11"/>
        <color theme="1"/>
        <rFont val="Calibri"/>
        <family val="2"/>
        <charset val="1"/>
      </rPr>
      <t xml:space="preserve">ke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2027-10-31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</si>
  <si>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（分部加總）情境價值</t>
    </r>
  </si>
  <si>
    <r>
      <rPr>
        <sz val="11"/>
        <color theme="1"/>
        <rFont val="Noto Sans CJK SC"/>
        <family val="2"/>
      </rPr>
      <t xml:space="preserve">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各乘同業倍數；＋持股 − 淨負債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</si>
  <si>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</si>
  <si>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</t>
    </r>
  </si>
  <si>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</t>
    </r>
  </si>
  <si>
    <t xml:space="preserve">核心問題（一）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</si>
  <si>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自由現金流扣股利</t>
    </r>
  </si>
  <si>
    <t xml:space="preserve">核心問題（二）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</si>
  <si>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ROIC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</si>
  <si>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</si>
  <si>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t xml:space="preserve">FY2028 EPS</t>
  </si>
  <si>
    <r>
      <rPr>
        <sz val="11"/>
        <color theme="1"/>
        <rFont val="Noto Sans CJK SC"/>
        <family val="2"/>
      </rPr>
      <t xml:space="preserve">收支關卡（各情境）：自由現金流扣股利 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</si>
  <si>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</si>
  <si>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</si>
  <si>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</si>
  <si>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</si>
  <si>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分部加總（工作單：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</si>
  <si>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</si>
  <si>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情境目標價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</si>
  <si>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</si>
  <si>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MarketChameleon </t>
    </r>
    <r>
      <rPr>
        <sz val="11"/>
        <color theme="1"/>
        <rFont val="Noto Sans CJK SC"/>
        <family val="2"/>
      </rPr>
      <t xml:space="preserve">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</si>
  <si>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</si>
  <si>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</si>
  <si>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</si>
  <si>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</si>
  <si>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</si>
  <si>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</si>
  <si>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Koyfin 60 </t>
    </r>
    <r>
      <rPr>
        <sz val="11"/>
        <color theme="1"/>
        <rFont val="Noto Sans CJK SC"/>
        <family val="2"/>
      </rPr>
      <t xml:space="preserve">位平均（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，財報後）；</t>
    </r>
    <r>
      <rPr>
        <sz val="11"/>
        <color theme="1"/>
        <rFont val="Calibri"/>
        <family val="2"/>
        <charset val="1"/>
      </rPr>
      <t xml:space="preserve">MarketBeat 325.12</t>
    </r>
  </si>
  <si>
    <t xml:space="preserve">上檔空間：市場共識目標價</t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</si>
  <si>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</si>
  <si>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</si>
  <si>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</si>
  <si>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收支關卡（引用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頁）：自由現金流扣股利五年合計（情境加權）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</si>
  <si>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</si>
  <si>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</si>
  <si>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FCFF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（評價口徑，含讀法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影子效益）＋分部折舊 − 資本支出＋其他營運項目（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不加回、股數用流通股數；融資租賃負債列淨負債；另以融資租賃本金代理非現金取得的租賃資產扣除），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β Blume </t>
    </r>
    <r>
      <rPr>
        <sz val="11"/>
        <color theme="1"/>
        <rFont val="Noto Sans CJK SC"/>
        <family val="2"/>
      </rPr>
      <t xml:space="preserve">調整、</t>
    </r>
    <r>
      <rPr>
        <sz val="11"/>
        <color theme="1"/>
        <rFont val="Calibri"/>
        <family val="2"/>
        <charset val="1"/>
      </rPr>
      <t xml:space="preserve">rf 2026-10-28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利差、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含類債務），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期中折現，永續價值＝</t>
    </r>
    <r>
      <rPr>
        <sz val="11"/>
        <color theme="1"/>
        <rFont val="Calibri"/>
        <family val="2"/>
        <charset val="1"/>
      </rPr>
      <t xml:space="preserve">FY2033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；淨負債含融資租賃與融資義務；持股加回。分部加總：廣告、零售本業、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加回口徑，與同業倍數一致）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EV/EBITDA </t>
    </r>
    <r>
      <rPr>
        <sz val="11"/>
        <color theme="1"/>
        <rFont val="Noto Sans CJK SC"/>
        <family val="2"/>
      </rPr>
      <t xml:space="preserve">中位數；</t>
    </r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＝自身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資本支出含汰換；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年底淨負債中）；減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年底淨負債（含類債務）、加持股，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稀釋股數。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</si>
  <si>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只計成本）情境目標價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</si>
  <si>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區塊；主值為讀法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</si>
  <si>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：加權目標價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</si>
  <si>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：上檔空間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</si>
  <si>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：投資建議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</si>
  <si>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讀法（主值）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</si>
  <si>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（價值中性）；讀法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容量越大目標價越低，讀法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下容量對目標價大致中性</t>
    </r>
  </si>
  <si>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StockAnalysis EV ÷ MarketScreener NTM EBITDA </t>
    </r>
    <r>
      <rPr>
        <b val="true"/>
        <sz val="11"/>
        <rFont val="Noto Sans CJK SC"/>
        <family val="2"/>
      </rPr>
      <t xml:space="preserve">共識，</t>
    </r>
    <r>
      <rPr>
        <b val="true"/>
        <sz val="11"/>
        <rFont val="Cambria"/>
        <family val="0"/>
        <charset val="1"/>
      </rPr>
      <t xml:space="preserve">2026-10-07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共用同業檔，本輪未更新）</t>
    </r>
  </si>
  <si>
    <t xml:space="preserve">同業</t>
  </si>
  <si>
    <t xml:space="preserve">代號</t>
  </si>
  <si>
    <t xml:space="preserve">NTM EV/EBITDA</t>
  </si>
  <si>
    <t xml:space="preserve">組別</t>
  </si>
  <si>
    <t xml:space="preserve">Walmart</t>
  </si>
  <si>
    <t xml:space="preserve">WMT</t>
  </si>
  <si>
    <t xml:space="preserve">零售</t>
  </si>
  <si>
    <t xml:space="preserve">S29</t>
  </si>
  <si>
    <t xml:space="preserve">Costco</t>
  </si>
  <si>
    <t xml:space="preserve">COST</t>
  </si>
  <si>
    <t xml:space="preserve">Target</t>
  </si>
  <si>
    <t xml:space="preserve">TGT</t>
  </si>
  <si>
    <t xml:space="preserve">Meta</t>
  </si>
  <si>
    <t xml:space="preserve">META</t>
  </si>
  <si>
    <r>
      <rPr>
        <sz val="11"/>
        <color theme="1"/>
        <rFont val="Noto Sans CJK SC"/>
        <family val="2"/>
      </rPr>
      <t xml:space="preserve">數位廣告（</t>
    </r>
    <r>
      <rPr>
        <sz val="11"/>
        <color theme="1"/>
        <rFont val="Calibri"/>
        <family val="2"/>
        <charset val="1"/>
      </rPr>
      <t xml:space="preserve">C18 </t>
    </r>
    <r>
      <rPr>
        <sz val="11"/>
        <color theme="1"/>
        <rFont val="Noto Sans CJK SC"/>
        <family val="2"/>
      </rPr>
      <t xml:space="preserve">共用組）</t>
    </r>
  </si>
  <si>
    <t xml:space="preserve">S28</t>
  </si>
  <si>
    <t xml:space="preserve">Pinterest</t>
  </si>
  <si>
    <t xml:space="preserve">PINS</t>
  </si>
  <si>
    <t xml:space="preserve">The Trade Desk</t>
  </si>
  <si>
    <t xml:space="preserve">TTD</t>
  </si>
  <si>
    <t xml:space="preserve">AppLovin</t>
  </si>
  <si>
    <t xml:space="preserve">APP</t>
  </si>
  <si>
    <t xml:space="preserve">Reddit</t>
  </si>
  <si>
    <t xml:space="preserve">RDDT</t>
  </si>
  <si>
    <t xml:space="preserve">Snap</t>
  </si>
  <si>
    <t xml:space="preserve">SNAP</t>
  </si>
  <si>
    <t xml:space="preserve">Oracle</t>
  </si>
  <si>
    <t xml:space="preserve">ORCL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</si>
  <si>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雲端（</t>
    </r>
    <r>
      <rPr>
        <sz val="11"/>
        <color theme="1"/>
        <rFont val="Calibri"/>
        <family val="2"/>
        <charset val="1"/>
      </rPr>
      <t xml:space="preserve">C12 </t>
    </r>
    <r>
      <rPr>
        <sz val="11"/>
        <color theme="1"/>
        <rFont val="Noto Sans CJK SC"/>
        <family val="2"/>
      </rPr>
      <t xml:space="preserve">共用組）</t>
    </r>
  </si>
  <si>
    <t xml:space="preserve">S27</t>
  </si>
  <si>
    <t xml:space="preserve">IBM</t>
  </si>
  <si>
    <t xml:space="preserve">SAP</t>
  </si>
  <si>
    <t xml:space="preserve">Salesforce</t>
  </si>
  <si>
    <t xml:space="preserve">CRM</t>
  </si>
  <si>
    <t xml:space="preserve">ServiceNow</t>
  </si>
  <si>
    <t xml:space="preserve">NOW</t>
  </si>
  <si>
    <t xml:space="preserve">Akamai</t>
  </si>
  <si>
    <t xml:space="preserve">AKAM</t>
  </si>
  <si>
    <t xml:space="preserve">Equinix</t>
  </si>
  <si>
    <t xml:space="preserve">EQIX</t>
  </si>
  <si>
    <t xml:space="preserve">DigitalOcean</t>
  </si>
  <si>
    <t xml:space="preserve">DOCN</t>
  </si>
  <si>
    <t xml:space="preserve">零售 中位數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</si>
  <si>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</t>
    </r>
  </si>
  <si>
    <t xml:space="preserve">數位廣告 中位數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</si>
  <si>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</si>
  <si>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雲端 中位數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</si>
  <si>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</si>
  <si>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m_ai</t>
    </r>
    <r>
      <rPr>
        <sz val="11"/>
        <color theme="1"/>
        <rFont val="Noto Sans CJK SC"/>
        <family val="2"/>
      </rPr>
      <t xml:space="preserve">，對照表 </t>
    </r>
    <r>
      <rPr>
        <sz val="11"/>
        <color theme="1"/>
        <rFont val="Calibri"/>
        <family val="2"/>
        <charset val="1"/>
      </rPr>
      <t xml:space="preserve">D6</t>
    </r>
    <r>
      <rPr>
        <sz val="11"/>
        <color theme="1"/>
        <rFont val="Noto Sans CJK SC"/>
        <family val="2"/>
      </rPr>
      <t xml:space="preserve">）；對照 </t>
    </r>
    <r>
      <rPr>
        <sz val="11"/>
        <color theme="1"/>
        <rFont val="Calibri"/>
        <family val="2"/>
        <charset val="1"/>
      </rPr>
      <t xml:space="preserve">CRWV TTM 25.0×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 TTM 16.5×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260×</t>
    </r>
    <r>
      <rPr>
        <sz val="11"/>
        <color theme="1"/>
        <rFont val="Noto Sans CJK SC"/>
        <family val="2"/>
      </rPr>
      <t xml:space="preserve">（只作對照）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</si>
  <si>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</si>
  <si>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（基準日 </t>
    </r>
    <r>
      <rPr>
        <b val="true"/>
        <sz val="11"/>
        <rFont val="Cambria"/>
        <family val="0"/>
        <charset val="1"/>
      </rPr>
      <t xml:space="preserve">2026-12-31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期中折現；永續價值＝</t>
    </r>
    <r>
      <rPr>
        <b val="true"/>
        <sz val="11"/>
        <rFont val="Cambria"/>
        <family val="0"/>
        <charset val="1"/>
      </rPr>
      <t xml:space="preserve">FY2033 NOPAT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g ÷ RONIC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WACC − g</t>
    </r>
    <r>
      <rPr>
        <b val="true"/>
        <sz val="1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</si>
  <si>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＝營業利益（評價口徑，含自用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</si>
  <si>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t xml:space="preserve">＋分部折舊攤銷</t>
  </si>
  <si>
    <t xml:space="preserve">− 資本支出</t>
  </si>
  <si>
    <t xml:space="preserve">− 新增融資租賃資產（以融資租賃本金代理；非現金取得，修正三）</t>
  </si>
  <si>
    <t xml:space="preserve">＋其他營運項目</t>
  </si>
  <si>
    <r>
      <rPr>
        <b val="true"/>
        <sz val="11"/>
        <rFont val="Cambria"/>
        <family val="0"/>
        <charset val="1"/>
      </rPr>
      <t xml:space="preserve">FCFF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不加回，視同現金成本）</t>
    </r>
  </si>
  <si>
    <t xml:space="preserve">折現因子（期中）</t>
  </si>
  <si>
    <t xml:space="preserve">現值</t>
  </si>
  <si>
    <t xml:space="preserve">明確期現值合計</t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</si>
  <si>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</si>
  <si>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</si>
  <si>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</si>
  <si>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永續價值占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</si>
  <si>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年底，含融資租賃與融資義務）</t>
    </r>
  </si>
  <si>
    <r>
      <rPr>
        <sz val="11"/>
        <color theme="1"/>
        <rFont val="Noto Sans CJK SC"/>
        <family val="2"/>
      </rPr>
      <t xml:space="preserve">＋持股：</t>
    </r>
    <r>
      <rPr>
        <sz val="11"/>
        <color theme="1"/>
        <rFont val="Calibri"/>
        <family val="2"/>
        <charset val="1"/>
      </rPr>
      <t xml:space="preserve">(Anthropic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</t>
    </r>
  </si>
  <si>
    <t xml:space="preserve">股權價值</t>
  </si>
  <si>
    <r>
      <rPr>
        <sz val="11"/>
        <color theme="1"/>
        <rFont val="Noto Sans CJK SC"/>
        <family val="2"/>
      </rPr>
      <t xml:space="preserve">每股價值（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sh_out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已視為現金成本，不另計稀釋）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</si>
  <si>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情境價值推到目標價時點（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ke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^tp_yf − </t>
    </r>
    <r>
      <rPr>
        <b val="true"/>
        <sz val="11"/>
        <rFont val="Noto Sans CJK SC"/>
        <family val="2"/>
      </rPr>
      <t xml:space="preserve">期間股利）</t>
    </r>
  </si>
  <si>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）：目標價時點的未來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 </t>
    </r>
    <r>
      <rPr>
        <b val="true"/>
        <sz val="11"/>
        <rFont val="Cambria"/>
        <family val="0"/>
        <charset val="1"/>
      </rPr>
      <t xml:space="preserve">EBITDA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1 − tp_yf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tp_yf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EBITDA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加回口徑（與同業倍數同口徑，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按營收比例分攤）；</t>
    </r>
    <r>
      <rPr>
        <b val="true"/>
        <sz val="11"/>
        <rFont val="Cambria"/>
        <family val="0"/>
        <charset val="1"/>
      </rPr>
      <t xml:space="preserve">AWS AI </t>
    </r>
    <r>
      <rPr>
        <b val="true"/>
        <sz val="11"/>
        <rFont val="Noto Sans CJK SC"/>
        <family val="2"/>
      </rPr>
      <t xml:space="preserve">用自身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F3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</si>
  <si>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廣告：未來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</si>
  <si>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t xml:space="preserve">廣告：倍數</t>
  </si>
  <si>
    <r>
      <rPr>
        <sz val="11"/>
        <color theme="1"/>
        <rFont val="Noto Sans CJK SC"/>
        <family val="2"/>
      </rPr>
      <t xml:space="preserve">廣告：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</si>
  <si>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</si>
  <si>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價值中性）：倍數</t>
    </r>
  </si>
  <si>
    <r>
      <rPr>
        <sz val="11"/>
        <color theme="1"/>
        <rFont val="Noto Sans CJK SC"/>
        <family val="2"/>
      </rPr>
      <t xml:space="preserve">零售本業（讀法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：加回自用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營運成本，自用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</si>
  <si>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</si>
  <si>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雲端）：倍數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</si>
  <si>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</si>
  <si>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自由現金流＝</t>
    </r>
    <r>
      <rPr>
        <sz val="11"/>
        <color theme="1"/>
        <rFont val="Calibri"/>
        <family val="2"/>
        <charset val="1"/>
      </rPr>
      <t xml:space="preserve">AI 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營業利益 − 對外比例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</si>
  <si>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Noto Sans CJK SC"/>
        <family val="2"/>
      </rPr>
      <t xml:space="preserve">  現值（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，期中）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</si>
  <si>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年底）＝</t>
    </r>
    <r>
      <rPr>
        <sz val="11"/>
        <color theme="1"/>
        <rFont val="Calibri"/>
        <family val="2"/>
        <charset val="1"/>
      </rPr>
      <t xml:space="preserve">FY2033 AI 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RONIC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</si>
  <si>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起的現金流推到目標價時點；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現金流已在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年底淨負債中）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</si>
  <si>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</si>
  <si>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AWS AI 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× m_ai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</si>
  <si>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Calibri"/>
        <family val="2"/>
        <charset val="1"/>
      </rPr>
      <t xml:space="preserve">AWS AI</t>
    </r>
    <r>
      <rPr>
        <sz val="11"/>
        <color theme="1"/>
        <rFont val="Noto Sans CJK SC"/>
        <family val="2"/>
      </rPr>
      <t xml:space="preserve">：採用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ai_leg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：倍數）</t>
    </r>
  </si>
  <si>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</si>
  <si>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− 淨負債（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年底，含融資租賃與融資義務）</t>
    </r>
  </si>
  <si>
    <t xml:space="preserve">股權價值（＋持股）</t>
  </si>
  <si>
    <t xml:space="preserve">分部加總每股價值（目標價時點）</t>
  </si>
  <si>
    <r>
      <rPr>
        <b val="true"/>
        <sz val="11"/>
        <rFont val="Noto Sans CJK SC"/>
        <family val="2"/>
      </rPr>
      <t xml:space="preserve">情境目標價＝</t>
    </r>
    <r>
      <rPr>
        <b val="true"/>
        <sz val="11"/>
        <rFont val="Cambria"/>
        <family val="0"/>
        <charset val="1"/>
      </rPr>
      <t xml:space="preserve">w_dcf × DCF</t>
    </r>
    <r>
      <rPr>
        <b val="true"/>
        <sz val="11"/>
        <rFont val="Noto Sans CJK SC"/>
        <family val="2"/>
      </rPr>
      <t xml:space="preserve">＋（</t>
    </r>
    <r>
      <rPr>
        <b val="true"/>
        <sz val="11"/>
        <rFont val="Cambria"/>
        <family val="0"/>
        <charset val="1"/>
      </rPr>
      <t xml:space="preserve">1 − w_dcf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分部加總</t>
    </r>
  </si>
  <si>
    <r>
      <rPr>
        <sz val="11"/>
        <color theme="1"/>
        <rFont val="Noto Sans CJK SC"/>
        <family val="2"/>
      </rPr>
      <t xml:space="preserve">對照：分部加總每股價值（</t>
    </r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</si>
  <si>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</si>
  <si>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</si>
  <si>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市場共識、公司指引與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。只作事後對照，不為對上數字而調參數（共同規則第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</si>
  <si>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</si>
  <si>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</si>
  <si>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</si>
  <si>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</si>
  <si>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差距（</t>
    </r>
    <r>
      <rPr>
        <b val="true"/>
        <sz val="11"/>
        <rFont val="Cambria"/>
        <family val="0"/>
        <charset val="1"/>
      </rPr>
      <t xml:space="preserve">B ÷ </t>
    </r>
    <r>
      <rPr>
        <b val="true"/>
        <sz val="11"/>
        <rFont val="Noto Sans CJK SC"/>
        <family val="2"/>
      </rPr>
      <t xml:space="preserve">對照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</si>
  <si>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合併共識（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S&amp;P Global 2026-10-26</t>
    </r>
    <r>
      <rPr>
        <b val="true"/>
        <sz val="11"/>
        <rFont val="Noto Sans CJK SC"/>
        <family val="2"/>
      </rPr>
      <t xml:space="preserve">；皆為財報前，財報後版本未取得）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</si>
  <si>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</si>
  <si>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</si>
  <si>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模型含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</si>
  <si>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</si>
  <si>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</si>
  <si>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FY2026 EBITDA</t>
  </si>
  <si>
    <r>
      <rPr>
        <sz val="11"/>
        <color theme="1"/>
        <rFont val="Noto Sans CJK SC"/>
        <family val="2"/>
      </rPr>
      <t xml:space="preserve">模型＝營業利益（財報口徑）＋分部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折舊；差距約一半是折舊口徑（不含影音內容與營業租賃資產攤銷），約一半是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（供應商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</si>
  <si>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</si>
  <si>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</si>
  <si>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財報口徑；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Anthropic </t>
    </r>
    <r>
      <rPr>
        <sz val="11"/>
        <color theme="1"/>
        <rFont val="Noto Sans CJK SC"/>
        <family val="2"/>
      </rPr>
      <t xml:space="preserve">評價利益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</si>
  <si>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</si>
  <si>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</si>
  <si>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</si>
  <si>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模型扣除業外其他（近似）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</si>
  <si>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</si>
  <si>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自由現金流</t>
    </r>
  </si>
  <si>
    <t xml:space="preserve">模型扣融資租賃本金；供應商口徑未揭露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</si>
  <si>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</si>
  <si>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</si>
  <si>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t xml:space="preserve">FY2027 EBITDA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</si>
  <si>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</si>
  <si>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</si>
  <si>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</si>
  <si>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（調整後，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模型不含業外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</si>
  <si>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</si>
  <si>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</si>
  <si>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</si>
  <si>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FY2028 EBITDA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</si>
  <si>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</si>
  <si>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</si>
  <si>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模型財報口徑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</si>
  <si>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</si>
  <si>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</si>
  <si>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</si>
  <si>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</si>
  <si>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Koyfin 332.41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</si>
  <si>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分部與營收線共識（逐分部）</t>
    </r>
  </si>
  <si>
    <t xml:space="preserve">FY2026 North America</t>
  </si>
  <si>
    <t xml:space="preserve">未找到</t>
  </si>
  <si>
    <t xml:space="preserve">未找到：本輪未取得公開的分部共識（免費來源只有合併數）</t>
  </si>
  <si>
    <t xml:space="preserve">FY2027 North America</t>
  </si>
  <si>
    <t xml:space="preserve">FY2026 International</t>
  </si>
  <si>
    <t xml:space="preserve">FY2027 International</t>
  </si>
  <si>
    <t xml:space="preserve">FY2026 AWS</t>
  </si>
  <si>
    <t xml:space="preserve">FY2027 AWS</t>
  </si>
  <si>
    <t xml:space="preserve">FY2026 Advertising services</t>
  </si>
  <si>
    <t xml:space="preserve">FY2027 Advertising services</t>
  </si>
  <si>
    <r>
      <rPr>
        <sz val="11"/>
        <color theme="1"/>
        <rFont val="Calibri"/>
        <family val="2"/>
        <charset val="1"/>
      </rPr>
      <t xml:space="preserve">FY2026 AWS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</si>
  <si>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</si>
  <si>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AWS AI</t>
    </r>
    <r>
      <rPr>
        <sz val="11"/>
        <color theme="1"/>
        <rFont val="Noto Sans CJK SC"/>
        <family val="2"/>
      </rPr>
      <t xml:space="preserve">（命題子列）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</si>
  <si>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公司指引與說法（驗證列；不用於校準，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營收中點除外）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</si>
  <si>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</si>
  <si>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新聞稿與法說</t>
    </r>
  </si>
  <si>
    <r>
      <rPr>
        <sz val="11"/>
        <color theme="1"/>
        <rFont val="Calibri"/>
        <family val="2"/>
        <charset val="1"/>
      </rPr>
      <t xml:space="preserve">Q4 26 AI </t>
    </r>
    <r>
      <rPr>
        <sz val="11"/>
        <color theme="1"/>
        <rFont val="Noto Sans CJK SC"/>
        <family val="2"/>
      </rPr>
      <t xml:space="preserve">資本支出錨定指引（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172.2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Q4 47.8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</si>
  <si>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營收指引中點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</si>
  <si>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</si>
  <si>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240–247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以零售校準係數對齊中點（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不同）</t>
    </r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</si>
  <si>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營業利益指引中點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Q4 26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</si>
  <si>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28.5–33.5</t>
    </r>
    <r>
      <rPr>
        <sz val="11"/>
        <color theme="1"/>
        <rFont val="Noto Sans CJK SC"/>
        <family val="2"/>
      </rPr>
      <t xml:space="preserve">；只作驗證列（不校準）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</si>
  <si>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對帳（下半年視窗；情境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</si>
  <si>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（指引 − 上半年實績）</t>
    </r>
    <r>
      <rPr>
        <sz val="11"/>
        <color theme="1"/>
        <rFont val="Calibri"/>
        <family val="2"/>
        <charset val="1"/>
      </rPr>
      <t xml:space="preserve">÷ 2 −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</si>
  <si>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指引補足額（錨定值 − 公式值）</t>
    </r>
  </si>
  <si>
    <r>
      <rPr>
        <sz val="11"/>
        <color theme="1"/>
        <rFont val="Noto Sans CJK SC"/>
        <family val="2"/>
      </rPr>
      <t xml:space="preserve">負值＝指引隱含的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支出低於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速度的公式值（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部分由已投入的在建支應）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</si>
  <si>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&gt;40%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</si>
  <si>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引述、法說</t>
    </r>
  </si>
  <si>
    <r>
      <rPr>
        <sz val="11"/>
        <color theme="1"/>
        <rFont val="Noto Sans CJK SC"/>
        <family val="2"/>
      </rPr>
      <t xml:space="preserve">只作驗證列：不回頭改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其他成長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</si>
  <si>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&gt;40%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</si>
  <si>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年化營收 </t>
    </r>
    <r>
      <rPr>
        <sz val="11"/>
        <color theme="1"/>
        <rFont val="Calibri"/>
        <family val="2"/>
        <charset val="1"/>
      </rPr>
      <t xml:space="preserve">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26 ×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2026Q3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184</t>
    </r>
  </si>
  <si>
    <r>
      <rPr>
        <sz val="11"/>
        <color theme="1"/>
        <rFont val="Calibri"/>
        <family val="2"/>
        <charset val="1"/>
      </rPr>
      <t xml:space="preserve">AWS backlog 578 vs </t>
    </r>
    <r>
      <rPr>
        <sz val="11"/>
        <color theme="1"/>
        <rFont val="Noto Sans CJK SC"/>
        <family val="2"/>
      </rPr>
      <t xml:space="preserve">模型未來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Q4 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</si>
  <si>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</si>
  <si>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backlog </t>
    </r>
    <r>
      <rPr>
        <sz val="11"/>
        <color theme="1"/>
        <rFont val="Noto Sans CJK SC"/>
        <family val="2"/>
      </rPr>
      <t xml:space="preserve">認列期間未揭露（</t>
    </r>
    <r>
      <rPr>
        <sz val="11"/>
        <color theme="1"/>
        <rFont val="Calibri"/>
        <family val="2"/>
        <charset val="1"/>
      </rPr>
      <t xml:space="preserve">Q2 RPO </t>
    </r>
    <r>
      <rPr>
        <sz val="11"/>
        <color theme="1"/>
        <rFont val="Noto Sans CJK SC"/>
        <family val="2"/>
      </rPr>
      <t xml:space="preserve">加權剩餘 </t>
    </r>
    <r>
      <rPr>
        <sz val="11"/>
        <color theme="1"/>
        <rFont val="Calibri"/>
        <family val="2"/>
        <charset val="1"/>
      </rPr>
      <t xml:space="preserve">6.4 </t>
    </r>
    <r>
      <rPr>
        <sz val="11"/>
        <color theme="1"/>
        <rFont val="Noto Sans CJK SC"/>
        <family val="2"/>
      </rPr>
      <t xml:space="preserve">年）；只作驗證列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</si>
  <si>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年化營收（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</si>
  <si>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</si>
  <si>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：不回頭改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，差距本身是發現</t>
    </r>
  </si>
  <si>
    <r>
      <rPr>
        <sz val="11"/>
        <color theme="1"/>
        <rFont val="Noto Sans CJK SC"/>
        <family val="2"/>
      </rPr>
      <t xml:space="preserve">要對上公司說法：所需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</si>
  <si>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</si>
  <si>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要對上公司說法：所需對外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不變）</t>
    </r>
  </si>
  <si>
    <r>
      <rPr>
        <sz val="11"/>
        <color theme="1"/>
        <rFont val="Noto Sans CJK SC"/>
        <family val="2"/>
      </rPr>
      <t xml:space="preserve">對照期初 </t>
    </r>
    <r>
      <rPr>
        <sz val="11"/>
        <color theme="1"/>
        <rFont val="Calibri"/>
        <family val="2"/>
        <charset val="1"/>
      </rPr>
      <t xml:space="preserve">2,080 MW</t>
    </r>
  </si>
  <si>
    <r>
      <rPr>
        <sz val="11"/>
        <color theme="1"/>
        <rFont val="Noto Sans CJK SC"/>
        <family val="2"/>
      </rPr>
      <t xml:space="preserve">替代：期初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run-rate </t>
    </r>
    <r>
      <rPr>
        <sz val="11"/>
        <color theme="1"/>
        <rFont val="Noto Sans CJK SC"/>
        <family val="2"/>
      </rPr>
      <t xml:space="preserve">時的加權目標價變動（每股）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</si>
  <si>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頁案例</t>
    </r>
  </si>
  <si>
    <r>
      <rPr>
        <sz val="11"/>
        <color theme="1"/>
        <rFont val="Noto Sans CJK SC"/>
        <family val="2"/>
      </rPr>
      <t xml:space="preserve">不作主值（共同規則第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節：不以公司說法反推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</si>
  <si>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上限檢查：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 </t>
    </r>
    <r>
      <rPr>
        <sz val="11"/>
        <color theme="1"/>
        <rFont val="Calibri"/>
        <family val="2"/>
        <charset val="1"/>
      </rPr>
      <t xml:space="preserve">÷ Tokenomics P×Q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</si>
  <si>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Tokenomics v21.7</t>
  </si>
  <si>
    <r>
      <rPr>
        <b val="true"/>
        <sz val="11"/>
        <rFont val="Cambria"/>
        <family val="0"/>
        <charset val="1"/>
      </rPr>
      <t xml:space="preserve">D. v0.3 → v0.3.1</t>
    </r>
    <r>
      <rPr>
        <b val="true"/>
        <sz val="11"/>
        <rFont val="Noto Sans CJK SC"/>
        <family val="2"/>
      </rPr>
      <t xml:space="preserve">：加權目標價變動拆解（</t>
    </r>
    <r>
      <rPr>
        <b val="true"/>
        <sz val="11"/>
        <rFont val="Cambria"/>
        <family val="0"/>
        <charset val="1"/>
      </rPr>
      <t xml:space="preserve">(a)–(d) </t>
    </r>
    <r>
      <rPr>
        <b val="true"/>
        <sz val="11"/>
        <rFont val="Noto Sans CJK SC"/>
        <family val="2"/>
      </rPr>
      <t xml:space="preserve">為整本重算快照：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頁基準差＝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時有效；</t>
    </r>
    <r>
      <rPr>
        <b val="true"/>
        <sz val="11"/>
        <rFont val="Cambria"/>
        <family val="0"/>
        <charset val="1"/>
      </rPr>
      <t xml:space="preserve">(e) </t>
    </r>
    <r>
      <rPr>
        <b val="true"/>
        <sz val="11"/>
        <rFont val="Noto Sans CJK SC"/>
        <family val="2"/>
      </rPr>
      <t xml:space="preserve">不影響目標價；</t>
    </r>
    <r>
      <rPr>
        <b val="true"/>
        <sz val="11"/>
        <rFont val="Cambria"/>
        <family val="0"/>
        <charset val="1"/>
      </rPr>
      <t xml:space="preserve">(f) </t>
    </r>
    <r>
      <rPr>
        <b val="true"/>
        <sz val="11"/>
        <rFont val="Noto Sans CJK SC"/>
        <family val="2"/>
      </rPr>
      <t xml:space="preserve">為活公式）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</si>
  <si>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</si>
  <si>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Val!B19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</si>
  <si>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時間推移與期間結構：評價日 </t>
    </r>
    <r>
      <rPr>
        <sz val="11"/>
        <color theme="1"/>
        <rFont val="Calibri"/>
        <family val="2"/>
        <charset val="1"/>
      </rPr>
      <t xml:space="preserve">2026-06-30 → 09-30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模型）、目標日 </t>
    </r>
    <r>
      <rPr>
        <sz val="11"/>
        <color theme="1"/>
        <rFont val="Calibri"/>
        <family val="2"/>
        <charset val="1"/>
      </rPr>
      <t xml:space="preserve">2027-10-27 → 10-31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自己的模型值</t>
    </r>
  </si>
  <si>
    <r>
      <rPr>
        <sz val="11"/>
        <color theme="1"/>
        <rFont val="Noto Sans CJK SC"/>
        <family val="2"/>
      </rPr>
      <t xml:space="preserve">重算快照 </t>
    </r>
    <r>
      <rPr>
        <sz val="11"/>
        <color theme="1"/>
        <rFont val="Calibri"/>
        <family val="2"/>
        <charset val="1"/>
      </rPr>
      <t xml:space="preserve">chain|S1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217.0315</t>
    </r>
  </si>
  <si>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oth_q4==oth_r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cf_chip=1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cf_cx=1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pace_B=3634.3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g26q4_lo=235.971093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g26q4_hi=235.971093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__q3v03=1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</si>
  <si>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實績取代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的模型值（分部營收與利益、營收線、利息、稅、淨利、現金流、資本支出、現金、債務、股數、策略投資）</t>
    </r>
  </si>
  <si>
    <r>
      <rPr>
        <sz val="11"/>
        <color theme="1"/>
        <rFont val="Noto Sans CJK SC"/>
        <family val="2"/>
      </rPr>
      <t xml:space="preserve">重算快照 </t>
    </r>
    <r>
      <rPr>
        <sz val="11"/>
        <color theme="1"/>
        <rFont val="Calibri"/>
        <family val="2"/>
        <charset val="1"/>
      </rPr>
      <t xml:space="preserve">chain|S2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224.4203</t>
    </r>
  </si>
  <si>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oth_q4==oth_r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cf_chip=1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cf_cx=1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pace_B=3634.3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g26q4_lo=235.971093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g26q4_hi=235.971093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</si>
  <si>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26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240–247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改為指引中點）、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維持 →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速度重解（下半年視窗；舊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</si>
  <si>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重算快照 </t>
    </r>
    <r>
      <rPr>
        <sz val="11"/>
        <color theme="1"/>
        <rFont val="Calibri"/>
        <family val="2"/>
        <charset val="1"/>
      </rPr>
      <t xml:space="preserve">chain|S3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226.3826</t>
    </r>
  </si>
  <si>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oth_q4==oth_r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cf_chip=1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cf_cx=1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pace_B=3227.6</t>
    </r>
  </si>
  <si>
    <r>
      <rPr>
        <sz val="11"/>
        <color theme="1"/>
        <rFont val="Calibri"/>
        <family val="2"/>
        <charset val="1"/>
      </rPr>
      <t xml:space="preserve">(d) Tokenomics v21.4 → v21.7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1.0 → IF_NonNV_Hold_Trn 0.61</t>
    </r>
    <r>
      <rPr>
        <sz val="11"/>
        <color theme="1"/>
        <rFont val="Noto Sans CJK SC"/>
        <family val="2"/>
      </rPr>
      <t xml:space="preserve">（收入與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速度依新係數重解）</t>
    </r>
  </si>
  <si>
    <r>
      <rPr>
        <sz val="11"/>
        <color theme="1"/>
        <rFont val="Noto Sans CJK SC"/>
        <family val="2"/>
      </rPr>
      <t xml:space="preserve">重算快照 </t>
    </r>
    <r>
      <rPr>
        <sz val="11"/>
        <color theme="1"/>
        <rFont val="Calibri"/>
        <family val="2"/>
        <charset val="1"/>
      </rPr>
      <t xml:space="preserve">chain|S4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215.6156</t>
    </r>
  </si>
  <si>
    <r>
      <rPr>
        <sz val="11"/>
        <color theme="1"/>
        <rFont val="Calibri"/>
        <family val="2"/>
        <charset val="1"/>
      </rPr>
      <t xml:space="preserve">rf=0.05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px_val=249.09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oth_q4==oth_r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</si>
  <si>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現價與共識：現價 </t>
    </r>
    <r>
      <rPr>
        <sz val="11"/>
        <color theme="1"/>
        <rFont val="Calibri"/>
        <family val="2"/>
        <charset val="1"/>
      </rPr>
      <t xml:space="preserve">249.09 → 240.35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）、共識 </t>
    </r>
    <r>
      <rPr>
        <sz val="11"/>
        <color theme="1"/>
        <rFont val="Calibri"/>
        <family val="2"/>
        <charset val="1"/>
      </rPr>
      <t xml:space="preserve">332.24 → 332.41</t>
    </r>
    <r>
      <rPr>
        <sz val="11"/>
        <color theme="1"/>
        <rFont val="Noto Sans CJK SC"/>
        <family val="2"/>
      </rPr>
      <t xml:space="preserve">；只影響上檔空間與評等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</si>
  <si>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其他：無風險利率 </t>
    </r>
    <r>
      <rPr>
        <sz val="11"/>
        <color theme="1"/>
        <rFont val="Calibri"/>
        <family val="2"/>
        <charset val="1"/>
      </rPr>
      <t xml:space="preserve">5.00% → 4.99%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權益權重股價 </t>
    </r>
    <r>
      <rPr>
        <sz val="11"/>
        <color theme="1"/>
        <rFont val="Calibri"/>
        <family val="2"/>
        <charset val="1"/>
      </rPr>
      <t xml:space="preserve">249.09 → 240.35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其他營運項目改用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同期比例（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</si>
  <si>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活公式＝本版 − </t>
    </r>
    <r>
      <rPr>
        <sz val="11"/>
        <color theme="1"/>
        <rFont val="Calibri"/>
        <family val="2"/>
        <charset val="1"/>
      </rPr>
      <t xml:space="preserve">chain|S4</t>
    </r>
  </si>
  <si>
    <r>
      <rPr>
        <sz val="11"/>
        <color theme="1"/>
        <rFont val="Noto Sans CJK SC"/>
        <family val="2"/>
      </rPr>
      <t xml:space="preserve">拆解合計（</t>
    </r>
    <r>
      <rPr>
        <sz val="11"/>
        <color theme="1"/>
        <rFont val="Calibri"/>
        <family val="2"/>
        <charset val="1"/>
      </rPr>
      <t xml:space="preserve">(a)–(f)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</si>
  <si>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總變動＝</t>
    </r>
    <r>
      <rPr>
        <sz val="11"/>
        <color theme="1"/>
        <rFont val="Calibri"/>
        <family val="2"/>
        <charset val="1"/>
      </rPr>
      <t xml:space="preserve">v0.3.1 − v0.3</t>
    </r>
  </si>
  <si>
    <r>
      <rPr>
        <sz val="11"/>
        <color theme="1"/>
        <rFont val="Noto Sans CJK SC"/>
        <family val="2"/>
      </rPr>
      <t xml:space="preserve">檢查：拆解合計 − 總變動（應為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</si>
  <si>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另列：讀法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v0.3 → v0.3.1</t>
    </r>
  </si>
  <si>
    <r>
      <rPr>
        <sz val="11"/>
        <color theme="1"/>
        <rFont val="Noto Sans CJK SC"/>
        <family val="2"/>
      </rPr>
      <t xml:space="preserve">另列：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上檔空間（當時現價 </t>
    </r>
    <r>
      <rPr>
        <sz val="11"/>
        <color theme="1"/>
        <rFont val="Calibri"/>
        <family val="2"/>
        <charset val="1"/>
      </rPr>
      <t xml:space="preserve">249.09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</si>
  <si>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評等：中立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</si>
  <si>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一次改一個輸入（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頁敏感度低／高），整本活頁簿以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重算後的加權目標價（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頁「目標價（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加權）」）與投資建議；由 </t>
    </r>
    <r>
      <rPr>
        <sz val="11"/>
        <color theme="1"/>
        <rFont val="Calibri"/>
        <family val="2"/>
        <charset val="1"/>
      </rPr>
      <t xml:space="preserve">amazon/sens_v031.py </t>
    </r>
    <r>
      <rPr>
        <sz val="11"/>
        <color theme="1"/>
        <rFont val="Noto Sans CJK SC"/>
        <family val="2"/>
      </rPr>
      <t xml:space="preserve">產生，建置時寫入（數值）。另列情境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目標價、</t>
    </r>
    <r>
      <rPr>
        <sz val="11"/>
        <color theme="1"/>
        <rFont val="Calibri"/>
        <family val="2"/>
        <charset val="1"/>
      </rPr>
      <t xml:space="preserve">FY2028 AWS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）與收支關卡</t>
    </r>
  </si>
  <si>
    <r>
      <rPr>
        <sz val="11"/>
        <color theme="1"/>
        <rFont val="Noto Sans CJK SC"/>
        <family val="2"/>
      </rPr>
      <t xml:space="preserve">相對基準＝加權目標價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基準加權目標價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；龍捲風依絕對值排序（</t>
    </r>
    <r>
      <rPr>
        <sz val="11"/>
        <color theme="1"/>
        <rFont val="Calibri"/>
        <family val="2"/>
        <charset val="1"/>
      </rPr>
      <t xml:space="preserve">HTML</t>
    </r>
    <r>
      <rPr>
        <sz val="11"/>
        <color theme="1"/>
        <rFont val="Noto Sans CJK SC"/>
        <family val="2"/>
      </rPr>
      <t xml:space="preserve">）。基準與各案例的其他輸入相同。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起依個股模型原則第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頁每個有低／高的鍵都有案例（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欄「鍵」），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四世代同時一案（</t>
    </r>
    <r>
      <rPr>
        <sz val="11"/>
        <color theme="1"/>
        <rFont val="Calibri"/>
        <family val="2"/>
        <charset val="1"/>
      </rPr>
      <t xml:space="preserve">he_all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cons_tp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c_sprev26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c_speps26</t>
    </r>
    <r>
      <rPr>
        <sz val="11"/>
        <color theme="1"/>
        <rFont val="Noto Sans CJK SC"/>
        <family val="2"/>
      </rPr>
      <t xml:space="preserve">（市場共識）只作對照，不進模型（只被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顯示格引用），故無案例。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的判斷替代（視窗、指引 </t>
    </r>
    <r>
      <rPr>
        <sz val="11"/>
        <color theme="1"/>
        <rFont val="Calibri"/>
        <family val="2"/>
        <charset val="1"/>
      </rPr>
      <t xml:space="preserve">±10</t>
    </r>
    <r>
      <rPr>
        <sz val="11"/>
        <color theme="1"/>
        <rFont val="Noto Sans CJK SC"/>
        <family val="2"/>
      </rPr>
      <t xml:space="preserve">）另列兩案，速度依 </t>
    </r>
    <r>
      <rPr>
        <sz val="11"/>
        <color theme="1"/>
        <rFont val="Calibri"/>
        <family val="2"/>
        <charset val="1"/>
      </rPr>
      <t xml:space="preserve">calib_pace_v031.py </t>
    </r>
    <r>
      <rPr>
        <sz val="11"/>
        <color theme="1"/>
        <rFont val="Noto Sans CJK SC"/>
        <family val="2"/>
      </rPr>
      <t xml:space="preserve">重解</t>
    </r>
  </si>
  <si>
    <t xml:space="preserve">驅動</t>
  </si>
  <si>
    <t xml:space="preserve">設定</t>
  </si>
  <si>
    <t xml:space="preserve">方向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</si>
  <si>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</si>
  <si>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</si>
  <si>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</si>
  <si>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FY2028 AWS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</si>
  <si>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收支關卡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（五年）</t>
    </r>
  </si>
  <si>
    <t xml:space="preserve">收支關卡（加權）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</si>
  <si>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</si>
  <si>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（只計成本；</t>
    </r>
    <r>
      <rPr>
        <sz val="11"/>
        <color theme="1"/>
        <rFont val="Calibri"/>
        <family val="2"/>
        <charset val="1"/>
      </rPr>
      <t xml:space="preserve">C16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</si>
  <si>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→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</si>
  <si>
    <t xml:space="preserve">低</t>
  </si>
  <si>
    <t xml:space="preserve">中立</t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</si>
  <si>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長約的分母同步變動）：低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</si>
  <si>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低成本／高成本欄（</t>
    </r>
    <r>
      <rPr>
        <sz val="11"/>
        <color theme="1"/>
        <rFont val="Calibri"/>
        <family val="2"/>
        <charset val="1"/>
      </rPr>
      <t xml:space="preserve">tk_he_h100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tk_he_gb200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tk_he_gb300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tk_he_vr200 </t>
    </r>
    <r>
      <rPr>
        <sz val="11"/>
        <color theme="1"/>
        <rFont val="Noto Sans CJK SC"/>
        <family val="2"/>
      </rPr>
      <t xml:space="preserve">同時；</t>
    </r>
    <r>
      <rPr>
        <sz val="11"/>
        <color theme="1"/>
        <rFont val="Calibri"/>
        <family val="2"/>
        <charset val="1"/>
      </rPr>
      <t xml:space="preserve">GB300 10.89 → 8.43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18.53</t>
    </r>
    <r>
      <rPr>
        <sz val="11"/>
        <color theme="1"/>
        <rFont val="Noto Sans CJK SC"/>
        <family val="2"/>
      </rPr>
      <t xml:space="preserve">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</si>
  <si>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</si>
  <si>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四世代同時取低／高（每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長約的分母同步變動）：高</t>
    </r>
  </si>
  <si>
    <t xml:space="preserve">高</t>
  </si>
  <si>
    <r>
      <rPr>
        <sz val="11"/>
        <color theme="1"/>
        <rFont val="Calibri"/>
        <family val="2"/>
        <charset val="1"/>
      </rPr>
      <t xml:space="preserve">Tokenomics IF_NonNV_Hold_Trn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cf_chip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cf_cx </t>
    </r>
    <r>
      <rPr>
        <sz val="11"/>
        <color theme="1"/>
        <rFont val="Noto Sans CJK SC"/>
        <family val="2"/>
      </rPr>
      <t xml:space="preserve">同時跟隨）：低</t>
    </r>
  </si>
  <si>
    <r>
      <rPr>
        <sz val="11"/>
        <color theme="1"/>
        <rFont val="Calibri"/>
        <family val="2"/>
        <charset val="1"/>
      </rPr>
      <t xml:space="preserve">0.61 → 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速度沿用基準）</t>
    </r>
  </si>
  <si>
    <r>
      <rPr>
        <sz val="11"/>
        <color theme="1"/>
        <rFont val="Calibri"/>
        <family val="2"/>
        <charset val="1"/>
      </rPr>
      <t xml:space="preserve">Tokenomics IF_NonNV_Hold_Trn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cf_chip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cf_cx </t>
    </r>
    <r>
      <rPr>
        <sz val="11"/>
        <color theme="1"/>
        <rFont val="Noto Sans CJK SC"/>
        <family val="2"/>
      </rPr>
      <t xml:space="preserve">同時跟隨）：高</t>
    </r>
  </si>
  <si>
    <r>
      <rPr>
        <sz val="11"/>
        <color theme="1"/>
        <rFont val="Noto Sans CJK SC"/>
        <family val="2"/>
      </rPr>
      <t xml:space="preserve">自研晶片係數改回舊 </t>
    </r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（收入與資本支出）：高</t>
    </r>
  </si>
  <si>
    <r>
      <rPr>
        <sz val="11"/>
        <color theme="1"/>
        <rFont val="Calibri"/>
        <family val="2"/>
        <charset val="1"/>
      </rPr>
      <t xml:space="preserve">0.61 → 1.0</t>
    </r>
    <r>
      <rPr>
        <sz val="11"/>
        <color theme="1"/>
        <rFont val="Noto Sans CJK SC"/>
        <family val="2"/>
      </rPr>
      <t xml:space="preserve">（同時改 </t>
    </r>
    <r>
      <rPr>
        <sz val="11"/>
        <color theme="1"/>
        <rFont val="Calibri"/>
        <family val="2"/>
        <charset val="1"/>
      </rPr>
      <t xml:space="preserve">cf_cx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速度沿用基準）</t>
    </r>
  </si>
  <si>
    <t xml:space="preserve">cf_chip cf_cx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</si>
  <si>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收入係數改用產出比 </t>
    </r>
    <r>
      <rPr>
        <sz val="11"/>
        <color theme="1"/>
        <rFont val="Calibri"/>
        <family val="2"/>
        <charset val="1"/>
      </rPr>
      <t xml:space="preserve">IF_NonNV_Out_Trn</t>
    </r>
    <r>
      <rPr>
        <sz val="11"/>
        <color theme="1"/>
        <rFont val="Noto Sans CJK SC"/>
        <family val="2"/>
      </rPr>
      <t xml:space="preserve">（資本支出仍用持有比）</t>
    </r>
  </si>
  <si>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0.61 → 0.5</t>
    </r>
    <r>
      <rPr>
        <sz val="11"/>
        <color theme="1"/>
        <rFont val="Noto Sans CJK SC"/>
        <family val="2"/>
      </rPr>
      <t xml:space="preserve">（基準產出比）／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</si>
  <si>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trn_out cf_chip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</si>
  <si>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收入係數改用產出比 </t>
    </r>
    <r>
      <rPr>
        <sz val="11"/>
        <color theme="1"/>
        <rFont val="Calibri"/>
        <family val="2"/>
        <charset val="1"/>
      </rPr>
      <t xml:space="preserve">IF_NonNV_Out_Trn</t>
    </r>
    <r>
      <rPr>
        <sz val="11"/>
        <color theme="1"/>
        <rFont val="Noto Sans CJK SC"/>
        <family val="2"/>
      </rPr>
      <t xml:space="preserve">（資本支出仍用持有比）：低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</si>
  <si>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收入係數改用產出比 </t>
    </r>
    <r>
      <rPr>
        <sz val="11"/>
        <color theme="1"/>
        <rFont val="Calibri"/>
        <family val="2"/>
        <charset val="1"/>
      </rPr>
      <t xml:space="preserve">IF_NonNV_Out_Trn</t>
    </r>
    <r>
      <rPr>
        <sz val="11"/>
        <color theme="1"/>
        <rFont val="Noto Sans CJK SC"/>
        <family val="2"/>
      </rPr>
      <t xml:space="preserve">（資本支出仍用持有比）：高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</si>
  <si>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校準視窗（基準＝下半年：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公式＝（指引 − 上半年）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</si>
  <si>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Noto Sans CJK SC"/>
        <family val="2"/>
      </rPr>
      <t xml:space="preserve">低＝只校準 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（速度 </t>
    </r>
    <r>
      <rPr>
        <sz val="11"/>
        <color theme="1"/>
        <rFont val="Calibri"/>
        <family val="2"/>
        <charset val="1"/>
      </rPr>
      <t xml:space="preserve">2,539.2</t>
    </r>
    <r>
      <rPr>
        <sz val="11"/>
        <color theme="1"/>
        <rFont val="Noto Sans CJK SC"/>
        <family val="2"/>
      </rPr>
      <t xml:space="preserve">）；高＝全年平均（指引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；速度 </t>
    </r>
    <r>
      <rPr>
        <sz val="11"/>
        <color theme="1"/>
        <rFont val="Calibri"/>
        <family val="2"/>
        <charset val="1"/>
      </rPr>
      <t xml:space="preserve">3,179.4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</si>
  <si>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校準視窗（基準＝下半年：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公式＝（指引 − 上半年）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</si>
  <si>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±10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220 → 210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速度隨之重解）：低</t>
    </r>
  </si>
  <si>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3,343.7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4,234.2</t>
    </r>
  </si>
  <si>
    <t xml:space="preserve">capex_g26 pace_B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</si>
  <si>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±10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220 → 210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速度隨之重解）：高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</si>
  <si>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速度乘數（三情境同乘）：低</t>
    </r>
  </si>
  <si>
    <r>
      <rPr>
        <sz val="11"/>
        <color theme="1"/>
        <rFont val="Calibri"/>
        <family val="2"/>
        <charset val="1"/>
      </rPr>
      <t xml:space="preserve">1 → 0.75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</si>
  <si>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速度乘數（三情境同乘）：高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</si>
  <si>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</si>
  <si>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80% →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（總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隨之變動）</t>
    </r>
  </si>
  <si>
    <r>
      <rPr>
        <sz val="11"/>
        <color theme="1"/>
        <rFont val="Noto Sans CJK SC"/>
        <family val="2"/>
      </rPr>
      <t xml:space="preserve">對外比例（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</si>
  <si>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長約改用長約下緣價格（新產能與期初機隊）：低</t>
    </r>
  </si>
  <si>
    <t xml:space="preserve">p_long/tk_he_vr200 → p_long_lo/tk_he_vr200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</si>
  <si>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現貨改用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牌價：高</t>
    </r>
  </si>
  <si>
    <t xml:space="preserve">p_spot/tk_gpuhr → p_list/tk_gpuhr</t>
  </si>
  <si>
    <t xml:space="preserve">長約占比：低</t>
  </si>
  <si>
    <r>
      <rPr>
        <sz val="11"/>
        <color theme="1"/>
        <rFont val="Calibri"/>
        <family val="2"/>
        <charset val="1"/>
      </rPr>
      <t xml:space="preserve">80% →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</si>
  <si>
    <t xml:space="preserve">長約占比：高</t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</si>
  <si>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對上公司 </t>
    </r>
    <r>
      <rPr>
        <sz val="11"/>
        <color theme="1"/>
        <rFont val="Calibri"/>
        <family val="2"/>
        <charset val="1"/>
      </rPr>
      <t xml:space="preserve">AI run-rate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&gt;25</t>
    </r>
    <r>
      <rPr>
        <sz val="11"/>
        <color theme="1"/>
        <rFont val="Noto Sans CJK SC"/>
        <family val="2"/>
      </rPr>
      <t xml:space="preserve">）；只作對照：高</t>
    </r>
  </si>
  <si>
    <r>
      <rPr>
        <sz val="11"/>
        <color theme="1"/>
        <rFont val="Noto Sans CJK SC"/>
        <family val="2"/>
      </rPr>
      <t xml:space="preserve">期初每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</t>
    </r>
    <r>
      <rPr>
        <sz val="11"/>
        <color theme="1"/>
        <rFont val="Calibri"/>
        <family val="2"/>
        <charset val="1"/>
      </rPr>
      <t xml:space="preserve">ai_rr ÷ </t>
    </r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</si>
  <si>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年底）：低</t>
    </r>
  </si>
  <si>
    <r>
      <rPr>
        <sz val="11"/>
        <color theme="1"/>
        <rFont val="Calibri"/>
        <family val="2"/>
        <charset val="1"/>
      </rPr>
      <t xml:space="preserve">1,440 → 1,100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1,800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</si>
  <si>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年底）：高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</si>
  <si>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速度沿用基準）：低</t>
    </r>
  </si>
  <si>
    <r>
      <rPr>
        <sz val="11"/>
        <color theme="1"/>
        <rFont val="Calibri"/>
        <family val="2"/>
        <charset val="1"/>
      </rPr>
      <t xml:space="preserve">2,080 → 1,400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2,970</t>
    </r>
  </si>
  <si>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速度沿用基準）：高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</si>
  <si>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中自研晶片比例：低</t>
    </r>
  </si>
  <si>
    <r>
      <rPr>
        <sz val="11"/>
        <color theme="1"/>
        <rFont val="Calibri"/>
        <family val="2"/>
        <charset val="1"/>
      </rPr>
      <t xml:space="preserve">50% → 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</si>
  <si>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中自研晶片比例：高</t>
    </r>
  </si>
  <si>
    <t xml:space="preserve">機房租用比例：低</t>
  </si>
  <si>
    <r>
      <rPr>
        <sz val="11"/>
        <color theme="1"/>
        <rFont val="Calibri"/>
        <family val="2"/>
        <charset val="1"/>
      </rPr>
      <t xml:space="preserve">20% → 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</si>
  <si>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t xml:space="preserve">機房租用比例：高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</si>
  <si>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折舊年限：低</t>
    </r>
  </si>
  <si>
    <r>
      <rPr>
        <sz val="11"/>
        <color theme="1"/>
        <rFont val="Calibri"/>
        <family val="2"/>
        <charset val="1"/>
      </rPr>
      <t xml:space="preserve">6 →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</si>
  <si>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折舊年限：高</t>
    </r>
  </si>
  <si>
    <t xml:space="preserve">機房折舊年限：低</t>
  </si>
  <si>
    <r>
      <rPr>
        <sz val="11"/>
        <color theme="1"/>
        <rFont val="Calibri"/>
        <family val="2"/>
        <charset val="1"/>
      </rPr>
      <t xml:space="preserve">20 → 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</si>
  <si>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t xml:space="preserve">機房折舊年限：高</t>
  </si>
  <si>
    <r>
      <rPr>
        <sz val="11"/>
        <color theme="1"/>
        <rFont val="Noto Sans CJK SC"/>
        <family val="2"/>
      </rPr>
      <t xml:space="preserve">實績期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在建延後轉入在役：高</t>
    </r>
  </si>
  <si>
    <t xml:space="preserve">1 → 2</t>
  </si>
  <si>
    <r>
      <rPr>
        <sz val="11"/>
        <color theme="1"/>
        <rFont val="Calibri"/>
        <family val="2"/>
        <charset val="1"/>
      </rPr>
      <t xml:space="preserve">Tokenomics P×Q </t>
    </r>
    <r>
      <rPr>
        <sz val="11"/>
        <color theme="1"/>
        <rFont val="Noto Sans CJK SC"/>
        <family val="2"/>
      </rPr>
      <t xml:space="preserve">上限（只進上限檢查列）：低</t>
    </r>
  </si>
  <si>
    <r>
      <rPr>
        <sz val="11"/>
        <color theme="1"/>
        <rFont val="Calibri"/>
        <family val="2"/>
        <charset val="1"/>
      </rPr>
      <t xml:space="preserve">49.51 → 36.23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78.5</t>
    </r>
  </si>
  <si>
    <r>
      <rPr>
        <sz val="11"/>
        <color theme="1"/>
        <rFont val="Calibri"/>
        <family val="2"/>
        <charset val="1"/>
      </rPr>
      <t xml:space="preserve">Tokenomics P×Q </t>
    </r>
    <r>
      <rPr>
        <sz val="11"/>
        <color theme="1"/>
        <rFont val="Noto Sans CJK SC"/>
        <family val="2"/>
      </rPr>
      <t xml:space="preserve">上限（只進上限檢查列）：高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</si>
  <si>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其他長期成長：低</t>
    </r>
  </si>
  <si>
    <r>
      <rPr>
        <sz val="11"/>
        <color theme="1"/>
        <rFont val="Calibri"/>
        <family val="2"/>
        <charset val="1"/>
      </rPr>
      <t xml:space="preserve">8%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</si>
  <si>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其他長期成長：高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</si>
  <si>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其他資本支出率：低</t>
    </r>
  </si>
  <si>
    <r>
      <rPr>
        <sz val="11"/>
        <color theme="1"/>
        <rFont val="Calibri"/>
        <family val="2"/>
        <charset val="1"/>
      </rPr>
      <t xml:space="preserve">20% → 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</si>
  <si>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其他資本支出率：高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</si>
  <si>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其他成長起點改用 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年增：高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</si>
  <si>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 → 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</si>
  <si>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Online stores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</si>
  <si>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 → 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</si>
  <si>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Online stores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</si>
  <si>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Physical stores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</si>
  <si>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3% → 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</si>
  <si>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Physical stores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</si>
  <si>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Third-party seller services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</si>
  <si>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7% → 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</si>
  <si>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Calibri"/>
        <family val="2"/>
        <charset val="1"/>
      </rPr>
      <t xml:space="preserve">Third-party seller services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</si>
  <si>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Advertising services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</si>
  <si>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10% → 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</si>
  <si>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Advertising services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</si>
  <si>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Subscription services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</si>
  <si>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Subscription services </t>
    </r>
    <r>
      <rPr>
        <sz val="11"/>
        <color theme="1"/>
        <rFont val="Noto Sans CJK SC"/>
        <family val="2"/>
      </rPr>
      <t xml:space="preserve">長期成長：高</t>
    </r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</si>
  <si>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長期成長：低</t>
    </r>
  </si>
  <si>
    <r>
      <rPr>
        <sz val="11"/>
        <color theme="1"/>
        <rFont val="Calibri"/>
        <family val="2"/>
        <charset val="1"/>
      </rPr>
      <t xml:space="preserve">5% → 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</si>
  <si>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長期成長：高</t>
    </r>
  </si>
  <si>
    <t xml:space="preserve">廣告營業利益率：低</t>
  </si>
  <si>
    <t xml:space="preserve">廣告營業利益率：高</t>
  </si>
  <si>
    <t xml:space="preserve">北美零售本業利益率每年改善：低</t>
  </si>
  <si>
    <r>
      <rPr>
        <sz val="11"/>
        <color theme="1"/>
        <rFont val="Calibri"/>
        <family val="2"/>
        <charset val="1"/>
      </rPr>
      <t xml:space="preserve">0.3% → 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</si>
  <si>
    <t xml:space="preserve">北美零售本業利益率每年改善：高</t>
  </si>
  <si>
    <t xml:space="preserve">國際零售本業利益率每年改善：低</t>
  </si>
  <si>
    <r>
      <rPr>
        <sz val="11"/>
        <color theme="1"/>
        <rFont val="Calibri"/>
        <family val="2"/>
        <charset val="1"/>
      </rPr>
      <t xml:space="preserve">0% → -0.3%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0.3%</t>
    </r>
  </si>
  <si>
    <t xml:space="preserve">國際零售本業利益率每年改善：高</t>
  </si>
  <si>
    <r>
      <rPr>
        <sz val="11"/>
        <color theme="1"/>
        <rFont val="Noto Sans CJK SC"/>
        <family val="2"/>
      </rPr>
      <t xml:space="preserve">其他營運項目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起）：低</t>
    </r>
  </si>
  <si>
    <r>
      <rPr>
        <sz val="11"/>
        <color theme="1"/>
        <rFont val="Calibri"/>
        <family val="2"/>
        <charset val="1"/>
      </rPr>
      <t xml:space="preserve">AVERAGE((Q!$C$46-(Q!$C$40-Q!$C$41*(1-Q!$C$42))-Q!$C$34-Q!$C$50)/Q!$C$8,(Q!$D$46-(Q!$D$40-Q!$D$41*(1-Q!$D$42))-Q!$D$34-Q!$D$50)/Q!$D$8,(Q!$E$46-(Q!$E$40-Q!$E$41*(1-Q!$E$42))-Q!$E$34-Q!$E$50)/Q!$E$8) → -0.5%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</si>
  <si>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其他營運項目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起）：高</t>
    </r>
  </si>
  <si>
    <t xml:space="preserve">融資租賃本金償還：低</t>
  </si>
  <si>
    <r>
      <rPr>
        <sz val="11"/>
        <color theme="1"/>
        <rFont val="Calibri"/>
        <family val="2"/>
        <charset val="1"/>
      </rPr>
      <t xml:space="preserve">1.6 →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</si>
  <si>
    <t xml:space="preserve">融資租賃本金償還：高</t>
  </si>
  <si>
    <t xml:space="preserve">稀釋股數年增：低</t>
  </si>
  <si>
    <r>
      <rPr>
        <sz val="11"/>
        <color theme="1"/>
        <rFont val="Calibri"/>
        <family val="2"/>
        <charset val="1"/>
      </rPr>
      <t xml:space="preserve">0.8% → 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1.5%</t>
    </r>
  </si>
  <si>
    <t xml:space="preserve">稀釋股數年增：高</t>
  </si>
  <si>
    <t xml:space="preserve">最低現金：低</t>
  </si>
  <si>
    <r>
      <rPr>
        <sz val="11"/>
        <color theme="1"/>
        <rFont val="Calibri"/>
        <family val="2"/>
        <charset val="1"/>
      </rPr>
      <t xml:space="preserve">50 → 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</si>
  <si>
    <t xml:space="preserve">最低現金：高</t>
  </si>
  <si>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策略投資（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額度）：高</t>
    </r>
  </si>
  <si>
    <t xml:space="preserve">0 → 15</t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</si>
  <si>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</si>
  <si>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</si>
  <si>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</si>
  <si>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調整後的單一來源）：低</t>
    </r>
  </si>
  <si>
    <r>
      <rPr>
        <sz val="11"/>
        <color theme="1"/>
        <rFont val="Calibri"/>
        <family val="2"/>
        <charset val="1"/>
      </rPr>
      <t xml:space="preserve">MEDIAN(0.67*beta_sa+0.33,0.67*beta_gf+0.33) → MIN(0.67*beta_sa+0.33,0.67*beta_gf+0.33)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MAX(0.67*beta_sa+0.33,0.67*beta_gf+0.33)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</si>
  <si>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調整後的單一來源）：高</t>
    </r>
  </si>
  <si>
    <t xml:space="preserve">股權風險溢酬：低</t>
  </si>
  <si>
    <r>
      <rPr>
        <sz val="11"/>
        <color theme="1"/>
        <rFont val="Calibri"/>
        <family val="2"/>
        <charset val="1"/>
      </rPr>
      <t xml:space="preserve">5% → 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</si>
  <si>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股權風險溢酬：高</t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</si>
  <si>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公司債利差（債務成本）：低</t>
    </r>
  </si>
  <si>
    <r>
      <rPr>
        <sz val="11"/>
        <color theme="1"/>
        <rFont val="Calibri"/>
        <family val="2"/>
        <charset val="1"/>
      </rPr>
      <t xml:space="preserve">0.65% → 0.5%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1%</t>
    </r>
  </si>
  <si>
    <r>
      <rPr>
        <sz val="11"/>
        <color theme="1"/>
        <rFont val="Calibri"/>
        <family val="2"/>
        <charset val="1"/>
      </rPr>
      <t xml:space="preserve">AA </t>
    </r>
    <r>
      <rPr>
        <sz val="11"/>
        <color theme="1"/>
        <rFont val="Noto Sans CJK SC"/>
        <family val="2"/>
      </rPr>
      <t xml:space="preserve">公司債利差（債務成本）：高</t>
    </r>
  </si>
  <si>
    <t xml:space="preserve">稅率：低</t>
  </si>
  <si>
    <r>
      <rPr>
        <sz val="11"/>
        <color theme="1"/>
        <rFont val="Calibri"/>
        <family val="2"/>
        <charset val="1"/>
      </rPr>
      <t xml:space="preserve">AVERAGE(Q!$C$42,Q!$D$42,Q!$E$42) → 13.5%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</si>
  <si>
    <t xml:space="preserve">稅率：高</t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</si>
  <si>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</si>
  <si>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3% → 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</si>
  <si>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</si>
  <si>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</si>
  <si>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→ 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</si>
  <si>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分部倍數乘數（零售、廣告、非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雲端）：低</t>
    </r>
  </si>
  <si>
    <r>
      <rPr>
        <sz val="11"/>
        <color theme="1"/>
        <rFont val="Calibri"/>
        <family val="2"/>
        <charset val="1"/>
      </rPr>
      <t xml:space="preserve">1 → 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</si>
  <si>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分部倍數乘數（零售、廣告、非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雲端）：高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</si>
  <si>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</si>
  <si>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EBITDA × m_ai</t>
    </r>
  </si>
  <si>
    <t xml:space="preserve">ai_leg m_ai</t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</si>
  <si>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  <r>
      <rPr>
        <sz val="11"/>
        <color theme="1"/>
        <rFont val="Noto Sans CJK SC"/>
        <family val="2"/>
      </rPr>
      <t xml:space="preserve">）：低</t>
    </r>
  </si>
  <si>
    <r>
      <rPr>
        <sz val="11"/>
        <color theme="1"/>
        <rFont val="Calibri"/>
        <family val="2"/>
        <charset val="1"/>
      </rPr>
      <t xml:space="preserve">AWS AI </t>
    </r>
    <r>
      <rPr>
        <sz val="11"/>
        <color theme="1"/>
        <rFont val="Noto Sans CJK SC"/>
        <family val="2"/>
      </rPr>
      <t xml:space="preserve">腿改用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10×</t>
    </r>
    <r>
      <rPr>
        <sz val="11"/>
        <color theme="1"/>
        <rFont val="Noto Sans CJK SC"/>
        <family val="2"/>
      </rPr>
      <t xml:space="preserve">）：高</t>
    </r>
  </si>
  <si>
    <r>
      <rPr>
        <sz val="11"/>
        <color theme="1"/>
        <rFont val="Noto Sans CJK SC"/>
        <family val="2"/>
      </rPr>
      <t xml:space="preserve">分部加總計入未來授予的稀釋（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不加回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）：低</t>
    </r>
  </si>
  <si>
    <t xml:space="preserve">加回 → 不加回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</si>
  <si>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持股比例：低</t>
    </r>
  </si>
  <si>
    <r>
      <rPr>
        <sz val="11"/>
        <color theme="1"/>
        <rFont val="Calibri"/>
        <family val="2"/>
        <charset val="1"/>
      </rPr>
      <t xml:space="preserve">18% → 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</si>
  <si>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持股比例：高</t>
    </r>
  </si>
  <si>
    <t xml:space="preserve">持股流動性折價：低</t>
  </si>
  <si>
    <r>
      <rPr>
        <sz val="11"/>
        <color theme="1"/>
        <rFont val="Calibri"/>
        <family val="2"/>
        <charset val="1"/>
      </rPr>
      <t xml:space="preserve">20% → 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</si>
  <si>
    <t xml:space="preserve">持股流動性折價：高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</si>
  <si>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權重：低</t>
    </r>
  </si>
  <si>
    <r>
      <rPr>
        <sz val="11"/>
        <color theme="1"/>
        <rFont val="Calibri"/>
        <family val="2"/>
        <charset val="1"/>
      </rPr>
      <t xml:space="preserve">50% → 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</si>
  <si>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權重：高</t>
    </r>
  </si>
  <si>
    <r>
      <rPr>
        <sz val="11"/>
        <color theme="1"/>
        <rFont val="Noto Sans CJK SC"/>
        <family val="2"/>
      </rPr>
      <t xml:space="preserve">基準加權目標價（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</si>
  <si>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敏感度重算時的基準值（應與上一列相同；不同表示敏感度已過期）</t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</si>
  <si>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三情境」逐案明細（活公式；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節引用）</t>
    </r>
  </si>
  <si>
    <r>
      <rPr>
        <b val="true"/>
        <sz val="11"/>
        <rFont val="Noto Sans CJK SC"/>
        <family val="2"/>
      </rPr>
      <t xml:space="preserve">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（只計成本）三情境（主值為讀法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</si>
  <si>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</si>
  <si>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情境價</t>
  </si>
  <si>
    <t xml:space="preserve">DCF</t>
  </si>
  <si>
    <t xml:space="preserve">分部加總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</si>
  <si>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</si>
  <si>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</si>
  <si>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（保守）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</si>
  <si>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</si>
  <si>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</si>
  <si>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</si>
  <si>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</si>
  <si>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（樂觀）｜讀法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</si>
  <si>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</si>
  <si>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</si>
  <si>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</si>
  <si>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</si>
  <si>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（基準）｜讀法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</si>
  <si>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Seg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：營收分部層（官方分部 </t>
    </r>
    <r>
      <rPr>
        <b val="true"/>
        <sz val="12"/>
        <rFont val="Cambria"/>
        <family val="0"/>
        <charset val="1"/>
      </rPr>
      <t xml:space="preserve">North America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International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AWS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10-K </t>
    </r>
    <r>
      <rPr>
        <b val="true"/>
        <sz val="12"/>
        <rFont val="Noto Sans CJK SC"/>
        <family val="2"/>
      </rPr>
      <t xml:space="preserve">營收線）</t>
    </r>
  </si>
  <si>
    <r>
      <rPr>
        <b val="true"/>
        <sz val="12"/>
        <rFont val="Cambria"/>
        <family val="0"/>
        <charset val="1"/>
      </rPr>
      <t xml:space="preserve">Thesis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：命題模組 </t>
    </r>
    <r>
      <rPr>
        <b val="true"/>
        <sz val="12"/>
        <rFont val="Cambria"/>
        <family val="0"/>
        <charset val="1"/>
      </rPr>
      <t xml:space="preserve">AWS AI</t>
    </r>
    <r>
      <rPr>
        <b val="true"/>
        <sz val="12"/>
        <rFont val="Noto Sans CJK SC"/>
        <family val="2"/>
      </rPr>
      <t xml:space="preserve">＝對外 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在役 </t>
    </r>
    <r>
      <rPr>
        <b val="true"/>
        <sz val="12"/>
        <rFont val="Cambria"/>
        <family val="0"/>
        <charset val="1"/>
      </rPr>
      <t xml:space="preserve">MW ×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年收入（</t>
    </r>
    <r>
      <rPr>
        <b val="true"/>
        <sz val="12"/>
        <rFont val="Cambria"/>
        <family val="0"/>
        <charset val="1"/>
      </rPr>
      <t xml:space="preserve">Tokenomics </t>
    </r>
    <r>
      <rPr>
        <b val="true"/>
        <sz val="12"/>
        <rFont val="Noto Sans CJK SC"/>
        <family val="2"/>
      </rPr>
      <t xml:space="preserve">持有成本 </t>
    </r>
    <r>
      <rPr>
        <b val="true"/>
        <sz val="12"/>
        <rFont val="Cambria"/>
        <family val="0"/>
        <charset val="1"/>
      </rPr>
      <t xml:space="preserve">× k</t>
    </r>
    <r>
      <rPr>
        <b val="true"/>
        <sz val="12"/>
        <rFont val="Noto Sans CJK SC"/>
        <family val="2"/>
      </rPr>
      <t xml:space="preserve">）；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 → 折舊 → 分部營業利益</t>
    </r>
  </si>
  <si>
    <r>
      <rPr>
        <b val="true"/>
        <sz val="12"/>
        <rFont val="Cambria"/>
        <family val="0"/>
        <charset val="1"/>
      </rPr>
      <t xml:space="preserve">PL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：分部營收 → 分部營業利益 → 合併營業利益 → 業外、稅 → 淨利 → </t>
    </r>
    <r>
      <rPr>
        <b val="true"/>
        <sz val="12"/>
        <rFont val="Cambria"/>
        <family val="0"/>
        <charset val="1"/>
      </rPr>
      <t xml:space="preserve">EPS</t>
    </r>
  </si>
  <si>
    <r>
      <rPr>
        <b val="true"/>
        <sz val="12"/>
        <rFont val="Cambria"/>
        <family val="0"/>
        <charset val="1"/>
      </rPr>
      <t xml:space="preserve">CF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：營運現金 − 資本支出 − 租賃本金 → 自由現金流；股利、回購、借款與淨現金</t>
    </r>
  </si>
  <si>
    <r>
      <rPr>
        <b val="true"/>
        <sz val="12"/>
        <rFont val="Cambria"/>
        <family val="0"/>
        <charset val="1"/>
      </rPr>
      <t xml:space="preserve">Val</t>
    </r>
    <r>
      <rPr>
        <b val="true"/>
        <sz val="12"/>
        <rFont val="Noto Sans CJK SC"/>
        <family val="2"/>
      </rPr>
      <t xml:space="preserve">｜情境 </t>
    </r>
    <r>
      <rPr>
        <b val="true"/>
        <sz val="12"/>
        <rFont val="Cambria"/>
        <family val="0"/>
        <charset val="1"/>
      </rPr>
      <t xml:space="preserve">C</t>
    </r>
    <r>
      <rPr>
        <b val="true"/>
        <sz val="12"/>
        <rFont val="Noto Sans CJK SC"/>
        <family val="2"/>
      </rPr>
      <t xml:space="preserve">（保守）｜讀法 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：</t>
    </r>
    <r>
      <rPr>
        <b val="true"/>
        <sz val="12"/>
        <rFont val="Cambria"/>
        <family val="0"/>
        <charset val="1"/>
      </rPr>
      <t xml:space="preserve">DCF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FCFF</t>
    </r>
    <r>
      <rPr>
        <b val="true"/>
        <sz val="12"/>
        <rFont val="Noto Sans CJK SC"/>
        <family val="2"/>
      </rPr>
      <t xml:space="preserve">，</t>
    </r>
    <r>
      <rPr>
        <b val="true"/>
        <sz val="12"/>
        <rFont val="Cambria"/>
        <family val="0"/>
        <charset val="1"/>
      </rPr>
      <t xml:space="preserve">WACC</t>
    </r>
    <r>
      <rPr>
        <b val="true"/>
        <sz val="12"/>
        <rFont val="Noto Sans CJK SC"/>
        <family val="2"/>
      </rPr>
      <t xml:space="preserve">）與分部加總（</t>
    </r>
    <r>
      <rPr>
        <b val="true"/>
        <sz val="12"/>
        <rFont val="Cambria"/>
        <family val="0"/>
        <charset val="1"/>
      </rPr>
      <t xml:space="preserve">SOTP</t>
    </r>
    <r>
      <rPr>
        <b val="true"/>
        <sz val="12"/>
        <rFont val="Noto Sans CJK SC"/>
        <family val="2"/>
      </rPr>
      <t xml:space="preserve">，同業 </t>
    </r>
    <r>
      <rPr>
        <b val="true"/>
        <sz val="12"/>
        <rFont val="Cambria"/>
        <family val="0"/>
        <charset val="1"/>
      </rPr>
      <t xml:space="preserve">EV/EBITDA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</si>
  <si>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Sources — </t>
    </r>
    <r>
      <rPr>
        <b val="true"/>
        <sz val="11"/>
        <rFont val="Noto Sans CJK SC"/>
        <family val="2"/>
      </rPr>
      <t xml:space="preserve">每個來源一列（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頁、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頁以編號引用）。公司新聞稿與法說屬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（經查核）與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（核閱）為 </t>
    </r>
    <r>
      <rPr>
        <b val="true"/>
        <sz val="11"/>
        <rFont val="Cambria"/>
        <family val="0"/>
        <charset val="1"/>
      </rPr>
      <t xml:space="preserve">Verified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SemiAnalysis </t>
    </r>
    <r>
      <rPr>
        <b val="true"/>
        <sz val="11"/>
        <rFont val="Noto Sans CJK SC"/>
        <family val="2"/>
      </rPr>
      <t xml:space="preserve">未使用</t>
    </r>
  </si>
  <si>
    <t xml:space="preserve">編號</t>
  </si>
  <si>
    <t xml:space="preserve">文件</t>
  </si>
  <si>
    <t xml:space="preserve">日期</t>
  </si>
  <si>
    <t xml:space="preserve">網址</t>
  </si>
  <si>
    <r>
      <rPr>
        <sz val="11"/>
        <color theme="1"/>
        <rFont val="Calibri"/>
        <family val="2"/>
        <charset val="1"/>
      </rPr>
      <t xml:space="preserve">Form 10-K 2025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，經查核）</t>
    </r>
  </si>
  <si>
    <t xml:space="preserve">2026-02-06</t>
  </si>
  <si>
    <t xml:space="preserve">https://www.sec.gov/Archives/edgar/data/1018724/000101872426000004/amzn-20251231.htm</t>
  </si>
  <si>
    <r>
      <rPr>
        <sz val="11"/>
        <color theme="1"/>
        <rFont val="Calibri"/>
        <family val="2"/>
        <charset val="1"/>
      </rPr>
      <t xml:space="preserve">Form 10-Q 2026Q2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，核閱未查核）</t>
    </r>
  </si>
  <si>
    <t xml:space="preserve">2026-07-31</t>
  </si>
  <si>
    <t xml:space="preserve">https://www.sec.gov/Archives/edgar/data/1018724/000101872426000026/amzn-20260630.htm</t>
  </si>
  <si>
    <t xml:space="preserve">S03</t>
  </si>
  <si>
    <r>
      <rPr>
        <sz val="11"/>
        <color theme="1"/>
        <rFont val="Calibri"/>
        <family val="2"/>
        <charset val="1"/>
      </rPr>
      <t xml:space="preserve">Form 10-Q 2025Q3</t>
    </r>
    <r>
      <rPr>
        <sz val="11"/>
        <color theme="1"/>
        <rFont val="Noto Sans CJK SC"/>
        <family val="2"/>
      </rPr>
      <t xml:space="preserve">（分部 </t>
    </r>
    <r>
      <rPr>
        <sz val="11"/>
        <color theme="1"/>
        <rFont val="Calibri"/>
        <family val="2"/>
        <charset val="1"/>
      </rPr>
      <t xml:space="preserve">D&amp;A </t>
    </r>
    <r>
      <rPr>
        <sz val="11"/>
        <color theme="1"/>
        <rFont val="Noto Sans CJK SC"/>
        <family val="2"/>
      </rPr>
      <t xml:space="preserve">前九個月）</t>
    </r>
  </si>
  <si>
    <t xml:space="preserve">2025-10-31</t>
  </si>
  <si>
    <t xml:space="preserve">https://www.sec.gov/Archives/edgar/data/1018724/000101872425000123/amzn-20250930.htm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</si>
  <si>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；逐季補充表、指引）</t>
    </r>
  </si>
  <si>
    <t xml:space="preserve">2026-07-30</t>
  </si>
  <si>
    <t xml:space="preserve">https://www.sec.gov/Archives/edgar/data/1018724/000101872426000024/amzn-20260630xex991.htm</t>
  </si>
  <si>
    <t xml:space="preserve">S05</t>
  </si>
  <si>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</si>
  <si>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2026-04-29</t>
  </si>
  <si>
    <t xml:space="preserve">https://www.sec.gov/Archives/edgar/data/1018724/000101872426000012/amzn-20260331xex991.htm</t>
  </si>
  <si>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</si>
  <si>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2026-02-05</t>
  </si>
  <si>
    <t xml:space="preserve">https://www.sec.gov/Archives/edgar/data/1018724/000101872426000002/amzn-20251231xex991.htm</t>
  </si>
  <si>
    <t xml:space="preserve">S07</t>
  </si>
  <si>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</si>
  <si>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2025-10-30</t>
  </si>
  <si>
    <t xml:space="preserve">https://www.sec.gov/Archives/edgar/data/1018724/000101872425000121/amzn-20250930xex991.htm</t>
  </si>
  <si>
    <t xml:space="preserve">S08</t>
  </si>
  <si>
    <r>
      <rPr>
        <sz val="11"/>
        <color theme="1"/>
        <rFont val="Calibri"/>
        <family val="2"/>
        <charset val="1"/>
      </rPr>
      <t xml:space="preserve">2024Q4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；逐季補充表）</t>
    </r>
  </si>
  <si>
    <t xml:space="preserve">2025-02-06</t>
  </si>
  <si>
    <t xml:space="preserve">https://www.sec.gov/Archives/edgar/data/1018724/000101872425000002/amzn-20241231xex991.htm</t>
  </si>
  <si>
    <t xml:space="preserve">S09</t>
  </si>
  <si>
    <r>
      <rPr>
        <sz val="11"/>
        <color theme="1"/>
        <rFont val="Calibri"/>
        <family val="2"/>
        <charset val="1"/>
      </rPr>
      <t xml:space="preserve">2024Q3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</si>
  <si>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2024-10-31</t>
  </si>
  <si>
    <t xml:space="preserve">https://www.sec.gov/Archives/edgar/data/1018724/000101872424000158/amzn-20240930xex991.htm</t>
  </si>
  <si>
    <r>
      <rPr>
        <sz val="11"/>
        <color theme="1"/>
        <rFont val="Calibri"/>
        <family val="2"/>
        <charset val="1"/>
      </rPr>
      <t xml:space="preserve">SEC XBRL companyfacts</t>
    </r>
    <r>
      <rPr>
        <sz val="11"/>
        <color theme="1"/>
        <rFont val="Noto Sans CJK SC"/>
        <family val="2"/>
      </rPr>
      <t xml:space="preserve">（稀釋加權股數）</t>
    </r>
  </si>
  <si>
    <t xml:space="preserve">2026-10-08</t>
  </si>
  <si>
    <t xml:space="preserve">https://data.sec.gov/api/xbrl/companyfacts/CIK0001018724.json</t>
  </si>
  <si>
    <t xml:space="preserve">S11</t>
  </si>
  <si>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法說會逐字稿（二手轉錄：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</si>
  <si>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https://www.webull.com/news/15364638750483456</t>
  </si>
  <si>
    <t xml:space="preserve">S12</t>
  </si>
  <si>
    <r>
      <rPr>
        <sz val="11"/>
        <color theme="1"/>
        <rFont val="Calibri"/>
        <family val="2"/>
        <charset val="1"/>
      </rPr>
      <t xml:space="preserve">424B5 </t>
    </r>
    <r>
      <rPr>
        <sz val="11"/>
        <color theme="1"/>
        <rFont val="Noto Sans CJK SC"/>
        <family val="2"/>
      </rPr>
      <t xml:space="preserve">英鎊票據公開說明書補充（</t>
    </r>
    <r>
      <rPr>
        <sz val="11"/>
        <color theme="1"/>
        <rFont val="Calibri"/>
        <family val="2"/>
        <charset val="1"/>
      </rPr>
      <t xml:space="preserve">£3.25B</t>
    </r>
    <r>
      <rPr>
        <sz val="11"/>
        <color theme="1"/>
        <rFont val="Noto Sans CJK SC"/>
        <family val="2"/>
      </rPr>
      <t xml:space="preserve">）</t>
    </r>
  </si>
  <si>
    <t xml:space="preserve">2026-09-11</t>
  </si>
  <si>
    <t xml:space="preserve">https://www.sec.gov/Archives/edgar/data/1018724/000110465926107122/tm2624614-3_424b5.htm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</si>
  <si>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逐列轉錄 </t>
    </r>
    <r>
      <rPr>
        <sz val="11"/>
        <color theme="1"/>
        <rFont val="Calibri"/>
        <family val="2"/>
        <charset val="1"/>
      </rPr>
      <t xml:space="preserve">mag/extract/docs/2026Q3/amazon_2026Q3_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網頁第二讀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項一致）</t>
    </r>
  </si>
  <si>
    <t xml:space="preserve">2026-10-29</t>
  </si>
  <si>
    <t xml:space="preserve">https://s2.q4cdn.com/299287126/files/doc_earnings/2026/q3/earnings-result/AMZN-Q3-2026-Earnings-Release.pdf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</si>
  <si>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法說會逐字稿（不入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；只引用數字與短語：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meaningfully more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backlog 578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run-rate 184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2027–2028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&gt;40%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</si>
  <si>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https://ir.aboutamazon.com/</t>
    </r>
    <r>
      <rPr>
        <sz val="11"/>
        <color theme="1"/>
        <rFont val="Noto Sans CJK SC"/>
        <family val="2"/>
      </rPr>
      <t xml:space="preserve">（法說 </t>
    </r>
    <r>
      <rPr>
        <sz val="11"/>
        <color theme="1"/>
        <rFont val="Calibri"/>
        <family val="2"/>
        <charset val="1"/>
      </rPr>
      <t xml:space="preserve">webcast</t>
    </r>
    <r>
      <rPr>
        <sz val="11"/>
        <color theme="1"/>
        <rFont val="Noto Sans CJK SC"/>
        <family val="2"/>
      </rPr>
      <t xml:space="preserve">；逐字稿由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</si>
  <si>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Stock Market Today, Oct. 30</t>
    </r>
    <r>
      <rPr>
        <sz val="11"/>
        <color theme="1"/>
        <rFont val="Noto Sans CJK SC"/>
        <family val="2"/>
      </rPr>
      <t xml:space="preserve">」：</t>
    </r>
    <r>
      <rPr>
        <sz val="11"/>
        <color theme="1"/>
        <rFont val="Calibri"/>
        <family val="2"/>
        <charset val="1"/>
      </rPr>
      <t xml:space="preserve">AMZN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240.35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</t>
    </r>
  </si>
  <si>
    <t xml:space="preserve">2026-10-30</t>
  </si>
  <si>
    <t xml:space="preserve">https://finance.yahoo.com/markets/stocks/articles/stock-market-today-oct-30-213502210.html</t>
  </si>
  <si>
    <t xml:space="preserve">S16</t>
  </si>
  <si>
    <r>
      <rPr>
        <sz val="11"/>
        <color theme="1"/>
        <rFont val="Calibri"/>
        <family val="2"/>
        <charset val="1"/>
      </rPr>
      <t xml:space="preserve">MarketChameleon AMZN </t>
    </r>
    <r>
      <rPr>
        <sz val="11"/>
        <color theme="1"/>
        <rFont val="Noto Sans CJK SC"/>
        <family val="2"/>
      </rPr>
      <t xml:space="preserve">概覽：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240.35</t>
    </r>
  </si>
  <si>
    <t xml:space="preserve">https://marketchameleon.com/Overview/AMZN</t>
  </si>
  <si>
    <t xml:space="preserve">S17</t>
  </si>
  <si>
    <r>
      <rPr>
        <sz val="11"/>
        <color theme="1"/>
        <rFont val="Calibri"/>
        <family val="2"/>
        <charset val="1"/>
      </rPr>
      <t xml:space="preserve">BigGo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Koyfin </t>
    </r>
    <r>
      <rPr>
        <sz val="11"/>
        <color theme="1"/>
        <rFont val="Noto Sans CJK SC"/>
        <family val="2"/>
      </rPr>
      <t xml:space="preserve">彙整：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位平均目標價 </t>
    </r>
    <r>
      <rPr>
        <sz val="11"/>
        <color theme="1"/>
        <rFont val="Calibri"/>
        <family val="2"/>
        <charset val="1"/>
      </rPr>
      <t xml:space="preserve">332.41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230–405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TD Cowen 340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352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Mizuho 335 </t>
    </r>
    <r>
      <rPr>
        <sz val="11"/>
        <color theme="1"/>
        <rFont val="Noto Sans CJK SC"/>
        <family val="2"/>
      </rPr>
      <t xml:space="preserve">等財報後調整）</t>
    </r>
  </si>
  <si>
    <t xml:space="preserve">https://finance.biggo.com/news/41346e0c-47f7-4ab6-adb0-e12aeffbd88f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</si>
  <si>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位共識目標價 </t>
    </r>
    <r>
      <rPr>
        <sz val="11"/>
        <color theme="1"/>
        <rFont val="Calibri"/>
        <family val="2"/>
        <charset val="1"/>
      </rPr>
      <t xml:space="preserve">325.12</t>
    </r>
    <r>
      <rPr>
        <sz val="11"/>
        <color theme="1"/>
        <rFont val="Noto Sans CJK SC"/>
        <family val="2"/>
      </rPr>
      <t xml:space="preserve">；最近更新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收盤後）</t>
    </r>
  </si>
  <si>
    <t xml:space="preserve">https://www.marketbeat.com/stocks/NASDAQ/AMZN/Forecast/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</si>
  <si>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：營收與調整後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共識；財報前）</t>
    </r>
  </si>
  <si>
    <t xml:space="preserve">2026-10-26</t>
  </si>
  <si>
    <t xml:space="preserve">https://stockanalysis.com/stocks/amzn/forecast/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</si>
  <si>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年度共識（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系；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EBIT</t>
    </r>
    <r>
      <rPr>
        <sz val="11"/>
        <color theme="1"/>
        <rFont val="Noto Sans CJK SC"/>
        <family val="2"/>
      </rPr>
      <t xml:space="preserve">、淨利、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FCF</t>
    </r>
    <r>
      <rPr>
        <sz val="11"/>
        <color theme="1"/>
        <rFont val="Noto Sans CJK SC"/>
        <family val="2"/>
      </rPr>
      <t xml:space="preserve">；財報前，本輪未能更新）</t>
    </r>
  </si>
  <si>
    <t xml:space="preserve">https://www.marketscreener.com/quote/stock/AMAZON-COM-INC-12864605/finances/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</si>
  <si>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amazon/data/tokenomics_snapshot_v21.7.json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90f7deb</t>
    </r>
    <r>
      <rPr>
        <sz val="11"/>
        <color theme="1"/>
        <rFont val="Noto Sans CJK SC"/>
        <family val="2"/>
      </rPr>
      <t xml:space="preserve">）</t>
    </r>
  </si>
  <si>
    <t xml:space="preserve">2026-10-31</t>
  </si>
  <si>
    <t xml:space="preserve">amazon/data/tokenomics_snapshot_v21.7.json</t>
  </si>
  <si>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成品與報告（加權目標價 </t>
    </r>
    <r>
      <rPr>
        <sz val="11"/>
        <color theme="1"/>
        <rFont val="Calibri"/>
        <family val="2"/>
        <charset val="1"/>
      </rPr>
      <t xml:space="preserve">215.58</t>
    </r>
    <r>
      <rPr>
        <sz val="11"/>
        <color theme="1"/>
        <rFont val="Noto Sans CJK SC"/>
        <family val="2"/>
      </rPr>
      <t xml:space="preserve">；拆解起點）</t>
    </r>
  </si>
  <si>
    <t xml:space="preserve">2026-10-27</t>
  </si>
  <si>
    <r>
      <rPr>
        <sz val="11"/>
        <color theme="1"/>
        <rFont val="Calibri"/>
        <family val="2"/>
        <charset val="1"/>
      </rPr>
      <t xml:space="preserve">amazon/dist/_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amazon/docs/reports/20261027_amazon_v0.3_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</si>
  <si>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amazon/data/kevidence_amazon_20261008.json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AWS p5 </t>
    </r>
    <r>
      <rPr>
        <sz val="11"/>
        <color theme="1"/>
        <rFont val="Noto Sans CJK SC"/>
        <family val="2"/>
      </rPr>
      <t xml:space="preserve">牌價）</t>
    </r>
  </si>
  <si>
    <t xml:space="preserve">amazon/data/kevidence_amazon_20261008.json</t>
  </si>
  <si>
    <t xml:space="preserve">S24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</si>
  <si>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資料中心目錄（</t>
    </r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）</t>
    </r>
  </si>
  <si>
    <t xml:space="preserve">2026-10-05</t>
  </si>
  <si>
    <t xml:space="preserve">https://epoch.ai/data/ai-data-centers/directory/</t>
  </si>
  <si>
    <t xml:space="preserve">Analogy</t>
  </si>
  <si>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資料報告（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、對外比例、世代占比的推導）</t>
    </r>
  </si>
  <si>
    <r>
      <rPr>
        <sz val="11"/>
        <color theme="1"/>
        <rFont val="Calibri"/>
        <family val="2"/>
        <charset val="1"/>
      </rPr>
      <t xml:space="preserve">amazon/docs/reports/20261008_amazon_v0.1a_</t>
    </r>
    <r>
      <rPr>
        <sz val="11"/>
        <color theme="1"/>
        <rFont val="Noto Sans CJK SC"/>
        <family val="2"/>
      </rPr>
      <t xml:space="preserve">資料</t>
    </r>
    <r>
      <rPr>
        <sz val="11"/>
        <color theme="1"/>
        <rFont val="Calibri"/>
        <family val="2"/>
        <charset val="1"/>
      </rPr>
      <t xml:space="preserve">.md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</si>
  <si>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</si>
  <si>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交接檔（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規格、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、持股、同業倍數；本版沿用）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</si>
  <si>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</si>
  <si>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amazon/docs/handoff/20261025_Amazon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；引擎 </t>
    </r>
    <r>
      <rPr>
        <sz val="11"/>
        <color theme="1"/>
        <rFont val="Calibri"/>
        <family val="2"/>
        <charset val="1"/>
      </rPr>
      <t xml:space="preserve">amazon/legacy_v0.2/</t>
    </r>
  </si>
  <si>
    <r>
      <rPr>
        <sz val="11"/>
        <color theme="1"/>
        <rFont val="Noto Sans CJK SC"/>
        <family val="2"/>
      </rPr>
      <t xml:space="preserve">共用非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雲端同業檔（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EV ÷ MarketScreener NTM EBITDA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</si>
  <si>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</si>
  <si>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amazon/data/peers_cloud_20261008.json</t>
  </si>
  <si>
    <r>
      <rPr>
        <sz val="11"/>
        <color theme="1"/>
        <rFont val="Noto Sans CJK SC"/>
        <family val="2"/>
      </rPr>
      <t xml:space="preserve">共用數位廣告同業檔（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</t>
    </r>
    <r>
      <rPr>
        <sz val="11"/>
        <color theme="1"/>
        <rFont val="Noto Sans CJK SC"/>
        <family val="2"/>
      </rPr>
      <t xml:space="preserve">）</t>
    </r>
  </si>
  <si>
    <t xml:space="preserve">amazon/data/peers_ads_20261009.json</t>
  </si>
  <si>
    <r>
      <rPr>
        <sz val="11"/>
        <color theme="1"/>
        <rFont val="Noto Sans CJK SC"/>
        <family val="2"/>
      </rPr>
      <t xml:space="preserve">零售同業（</t>
    </r>
    <r>
      <rPr>
        <sz val="11"/>
        <color theme="1"/>
        <rFont val="Calibri"/>
        <family val="2"/>
        <charset val="1"/>
      </rPr>
      <t xml:space="preserve">WMT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</t>
    </r>
    <r>
      <rPr>
        <sz val="11"/>
        <color theme="1"/>
        <rFont val="Noto Sans CJK SC"/>
        <family val="2"/>
      </rPr>
      <t xml:space="preserve">；事實總帳 </t>
    </r>
    <r>
      <rPr>
        <sz val="11"/>
        <color theme="1"/>
        <rFont val="Calibri"/>
        <family val="2"/>
        <charset val="1"/>
      </rPr>
      <t xml:space="preserve">val.peer.retail.*</t>
    </r>
    <r>
      <rPr>
        <sz val="11"/>
        <color theme="1"/>
        <rFont val="Noto Sans CJK SC"/>
        <family val="2"/>
      </rPr>
      <t xml:space="preserve">）</t>
    </r>
  </si>
  <si>
    <t xml:space="preserve">amazon/data/amazon_facts_20261008.json</t>
  </si>
  <si>
    <r>
      <rPr>
        <sz val="11"/>
        <color theme="1"/>
        <rFont val="Calibri"/>
        <family val="2"/>
        <charset val="1"/>
      </rPr>
      <t xml:space="preserve">Anthropic Series H </t>
    </r>
    <r>
      <rPr>
        <sz val="11"/>
        <color theme="1"/>
        <rFont val="Noto Sans CJK SC"/>
        <family val="2"/>
      </rPr>
      <t xml:space="preserve">投後估值 </t>
    </r>
    <r>
      <rPr>
        <sz val="11"/>
        <color theme="1"/>
        <rFont val="Calibri"/>
        <family val="2"/>
        <charset val="1"/>
      </rPr>
      <t xml:space="preserve">965B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W.Media</t>
    </r>
    <r>
      <rPr>
        <sz val="11"/>
        <color theme="1"/>
        <rFont val="Noto Sans CJK SC"/>
        <family val="2"/>
      </rPr>
      <t xml:space="preserve">）</t>
    </r>
  </si>
  <si>
    <t xml:space="preserve">2026-06-01</t>
  </si>
  <si>
    <t xml:space="preserve">https://w.media/anthropic-valuation-touches-us-965-billion-surpassing-openai/</t>
  </si>
  <si>
    <t xml:space="preserve">S31</t>
  </si>
  <si>
    <r>
      <rPr>
        <sz val="11"/>
        <color theme="1"/>
        <rFont val="Calibri"/>
        <family val="2"/>
        <charset val="1"/>
      </rPr>
      <t xml:space="preserve">Fortune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mid-to-high teens</t>
    </r>
  </si>
  <si>
    <t xml:space="preserve">2026-06-04</t>
  </si>
  <si>
    <t xml:space="preserve">https://www.fortune.com/2026/06/04/amazon-google-billions-anthropic-ipo/</t>
  </si>
  <si>
    <r>
      <rPr>
        <sz val="11"/>
        <color theme="1"/>
        <rFont val="Calibri"/>
        <family val="2"/>
        <charset val="1"/>
      </rPr>
      <t xml:space="preserve">GeekWire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 50B</t>
    </r>
    <r>
      <rPr>
        <sz val="11"/>
        <color theme="1"/>
        <rFont val="Noto Sans CJK SC"/>
        <family val="2"/>
      </rPr>
      <t xml:space="preserve">、投前 </t>
    </r>
    <r>
      <rPr>
        <sz val="11"/>
        <color theme="1"/>
        <rFont val="Calibri"/>
        <family val="2"/>
        <charset val="1"/>
      </rPr>
      <t xml:space="preserve">730B</t>
    </r>
  </si>
  <si>
    <t xml:space="preserve">2026-02-27</t>
  </si>
  <si>
    <t xml:space="preserve">https://www.geekwire.com/2026/amazon-invests-50b-in-openai-deepens-aws-partnership-with-expanded-100b-cloud-deal/</t>
  </si>
  <si>
    <r>
      <rPr>
        <sz val="11"/>
        <color theme="1"/>
        <rFont val="Noto Sans CJK SC"/>
        <family val="2"/>
      </rPr>
      <t xml:space="preserve">美國財政部每日殖利率曲線（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4.99%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Alphabet v0.3.1 </t>
    </r>
    <r>
      <rPr>
        <sz val="11"/>
        <color theme="1"/>
        <rFont val="Noto Sans CJK SC"/>
        <family val="2"/>
      </rPr>
      <t xml:space="preserve">同日同源；</t>
    </r>
    <r>
      <rPr>
        <sz val="11"/>
        <color theme="1"/>
        <rFont val="Calibri"/>
        <family val="2"/>
        <charset val="1"/>
      </rPr>
      <t xml:space="preserve">Mortgage News Daily 10-28 4.996% </t>
    </r>
    <r>
      <rPr>
        <sz val="11"/>
        <color theme="1"/>
        <rFont val="Noto Sans CJK SC"/>
        <family val="2"/>
      </rPr>
      <t xml:space="preserve">佐證）</t>
    </r>
  </si>
  <si>
    <t xml:space="preserve">2026-10-28</t>
  </si>
  <si>
    <t xml:space="preserve">https://home.treasury.gov/resource-center/data-chart-center/interest-rates/TextView?type=daily_treasury_par_yield_curve_rates</t>
  </si>
  <si>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SourceMaterial</t>
    </r>
    <r>
      <rPr>
        <sz val="11"/>
        <color theme="1"/>
        <rFont val="Noto Sans CJK SC"/>
        <family val="2"/>
      </rPr>
      <t xml:space="preserve">：第三方託管約占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運算力五分之一（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</si>
  <si>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2025-11-24</t>
  </si>
  <si>
    <t xml:space="preserve">amazon/data/amazon_facts_20261008.json → mw.colo.share</t>
  </si>
  <si>
    <t xml:space="preserve">S35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</si>
  <si>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Brian Nowak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2026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</si>
  <si>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t xml:space="preserve">2026-08-18</t>
  </si>
  <si>
    <t xml:space="preserve">https://invezz.com/news/2026/08/18/could-amazon-stock-double-by-end-of-next-year-heres-what-morgan-stanley-says/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</si>
</sst>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0##"/>
    <numFmt numFmtId="166" formatCode="0.0%"/>
    <numFmt numFmtId="167" formatCode="#,##0.0000"/>
    <numFmt numFmtId="168" formatCode="#,##0.0"/>
    <numFmt numFmtId="169" formatCode="0.000"/>
    <numFmt numFmtId="170" formatCode="0%"/>
    <numFmt numFmtId="171" formatCode="#,##0.000"/>
    <numFmt numFmtId="172" formatCode="0.00%"/>
    <numFmt numFmtId="173" formatCode="0.00"/>
    <numFmt numFmtId="174" formatCode="#,##0"/>
    <numFmt numFmtId="175" formatCode="#,##0.00"/>
    <numFmt numFmtId="176" formatCode="0.0000"/>
    <numFmt numFmtId="177" formatCode="@"/>
    <numFmt numFmtId="178" formatCode="0"/>
    <numFmt numFmtId="179" formatCode="0.000000"/>
    <numFmt numFmtId="180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7.15" hidden="false" customHeight="false" outlineLevel="0" collapsed="false">
      <c r="A5" s="1" t="str">
        <f aca="false">"投資建議："&amp;Val!B24&amp;"（加權目標價 US$"&amp;TEXT(Val!B19,"0.00")&amp;"，現價 US$"&amp;TEXT(px,"0.00")&amp;"〔2026-10-30〕，上檔空間 "&amp;TEXT(Val!B21,"+0.0%;-0.0%")&amp;"；依五級固定規則）"</f>
        <v>投資建議：中立（加權目標價 US$217.65，現價 US$240.35〔2026-10-30〕，上檔空間 -9.4%；依五級固定規則）</v>
      </c>
    </row>
    <row r="6" customFormat="false" ht="17.15" hidden="false" customHeight="false" outlineLevel="0" collapsed="false">
      <c r="A6" s="2" t="str">
        <f aca="false">"命題答案（情境 B）：FY2028 對外 AI ROIC "&amp;TEXT(Thesis!$I$130,"0.0%")&amp;"，WACC "&amp;TEXT(wacc,"0.0%")&amp;"；打平所需機隊平均 k "&amp;TEXT(Thesis!$I$132,"0.00")&amp;"，模型 k "&amp;TEXT(Thesis!$I$131,"0.00")&amp;"。FY2028 AWS 營業利益率 "&amp;TEXT(PL!$I$123,"0.0%")&amp;"（FY2025 "&amp;TEXT(PL!$D$123,"0.0%")&amp;"）；FY2028 自由現金流扣股利 "&amp;TEXT(CF!$I$59,"#,##0.0")&amp;"；收支關卡（FY2026–FY2030 合計，情境加權）"&amp;TEXT(CF!E6,"#,##0.0")&amp;"。"</f>
        <v>命題答案（情境 B）：FY2028 對外 AI ROIC 4.9%，WACC 11.2%；打平所需機隊平均 k 1.30，模型 k 0.99。FY2028 AWS 營業利益率 32.8%（FY2025 35.4%）；FY2028 自由現金流扣股利 0.6；收支關卡（FY2026–FY2030 合計，情境加權）118.8。</v>
      </c>
    </row>
    <row r="7" customFormat="false" ht="17.15" hidden="false" customHeight="false" outlineLevel="0" collapsed="false">
      <c r="A7" s="2" t="str">
        <f aca="false">"重點觀察 1：目標價 US$"&amp;TEXT(Val!B19,"0.00")&amp;"＝DCF "&amp;TEXT(Val!B17,"0.00")&amp;"（永續價值占 EV "&amp;TEXT(Val!C8,"0%")&amp;"）與分部加總 "&amp;TEXT(Val!B18,"0.00")&amp;" 各半；DCF 低是因為 WACC "&amp;TEXT(wacc,"0.0%")&amp;" 下，2027–2029 的 AI 資本支出（情境 B FY2027 "&amp;TEXT(CF!$H$54,"#,##0")&amp;"）讓 FCFF 偏低，而 AI 增量報酬接近資金成本。"</f>
        <v>重點觀察 1：目標價 US$217.65＝DCF 147.30（永續價值占 EV 77%）與分部加總 288.00 各半；DCF 低是因為 WACC 11.2% 下，2027–2029 的 AI 資本支出（情境 B FY2027 253）讓 FCFF 偏低，而 AI 增量報酬接近資金成本。</v>
      </c>
    </row>
    <row r="8" customFormat="false" ht="17.15" hidden="false" customHeight="false" outlineLevel="0" collapsed="false">
      <c r="A8" s="2" t="str">
        <f aca="false">"重點觀察 2：分部加總中 AWS 其他（非 AI 雲端）占 "&amp;TEXT(Val!$C$166/Val!$C$174,"0%")&amp;"、廣告占 "&amp;TEXT(Val!$C$160/Val!$C$174,"0%")&amp;"；零售本業未來 12 個月 EBITDA（SBC 加回）"&amp;TEXT(Val!$C$161,"#,##0")&amp;"；AWS AI 以自身 DCF 計 "&amp;TEXT(Val!$C$173,"#,##0")&amp;"。"</f>
        <v>重點觀察 2：分部加總中 AWS 其他（非 AI 雲端）占 47%、廣告占 17%；零售本業未來 12 個月 EBITDA（SBC 加回）58；AWS AI 以自身 DCF 計 58。</v>
      </c>
    </row>
    <row r="9" customFormat="false" ht="17.15" hidden="false" customHeight="false" outlineLevel="0" collapsed="false">
      <c r="A9" s="2" t="str">
        <f aca="false">"重點觀察 3：三情境目標價 A "&amp;TEXT(Val!B7,"0")&amp;"／B "&amp;TEXT(Val!C7,"0")&amp;"／C "&amp;TEXT(Val!D7,"0")&amp;"（差異來自新產能 k 與 MW 速度，In 頁 J 節）；讀法 1 加權 "&amp;TEXT(Val!B33,"0.00")&amp;"；市場共識目標價 "&amp;TEXT(cons_tp,"0")&amp;"；v0.3 加權目標價 "&amp;TEXT(v03_tp,"0.00")&amp;"（拆解見 Recon D 節）。"</f>
        <v>重點觀察 3：三情境目標價 A 263／B 208／C 191（差異來自新產能 k 與 MW 速度，In 頁 J 節）；讀法 1 加權 198.51；市場共識目標價 332；v0.3 加權目標價 215.58（拆解見 Recon D 節）。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</row>
    <row r="13" customFormat="false" ht="17.15" hidden="false" customHeight="false" outlineLevel="0" collapsed="false">
      <c r="A13" s="4" t="s">
        <v>6</v>
      </c>
    </row>
    <row r="14" customFormat="false" ht="17.15" hidden="false" customHeight="false" outlineLevel="0" collapsed="false">
      <c r="A14" s="4" t="s">
        <v>7</v>
      </c>
    </row>
    <row r="15" customFormat="false" ht="17.15" hidden="false" customHeight="false" outlineLevel="0" collapsed="false">
      <c r="A15" s="4" t="s">
        <v>8</v>
      </c>
    </row>
    <row r="16" customFormat="false" ht="17.15" hidden="false" customHeight="false" outlineLevel="0" collapsed="false">
      <c r="A16" s="4" t="s">
        <v>9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10</v>
      </c>
    </row>
    <row r="19" customFormat="false" ht="17.15" hidden="false" customHeight="false" outlineLevel="0" collapsed="false">
      <c r="A19" s="2" t="s">
        <v>11</v>
      </c>
    </row>
    <row r="20" customFormat="false" ht="17.15" hidden="false" customHeight="false" outlineLevel="0" collapsed="false">
      <c r="A20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240.35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240.35</v>
      </c>
      <c r="G6" s="8" t="s">
        <v>28</v>
      </c>
      <c r="H6" s="8" t="s">
        <v>33</v>
      </c>
      <c r="I6" s="5" t="s">
        <v>34</v>
      </c>
    </row>
    <row r="7" customFormat="false" ht="17.15" hidden="false" customHeight="false" outlineLevel="0" collapsed="false">
      <c r="A7" s="0" t="s">
        <v>35</v>
      </c>
      <c r="B7" s="5" t="s">
        <v>36</v>
      </c>
      <c r="C7" s="5" t="s">
        <v>37</v>
      </c>
      <c r="E7" s="7" t="n">
        <v>10.811</v>
      </c>
      <c r="G7" s="8" t="s">
        <v>38</v>
      </c>
      <c r="H7" s="8" t="s">
        <v>39</v>
      </c>
      <c r="I7" s="8" t="s">
        <v>40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5" t="s">
        <v>37</v>
      </c>
      <c r="E8" s="7" t="n">
        <v>0.223</v>
      </c>
      <c r="G8" s="8" t="s">
        <v>38</v>
      </c>
      <c r="H8" s="8" t="s">
        <v>39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5" t="s">
        <v>45</v>
      </c>
      <c r="C9" s="5" t="s">
        <v>37</v>
      </c>
      <c r="E9" s="9" t="n">
        <f aca="false">sh_out+sh_awd</f>
        <v>11.034</v>
      </c>
      <c r="G9" s="8" t="s">
        <v>46</v>
      </c>
      <c r="H9" s="5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5" t="s">
        <v>50</v>
      </c>
      <c r="C10" s="0" t="s">
        <v>27</v>
      </c>
      <c r="D10" s="7" t="n">
        <v>230</v>
      </c>
      <c r="E10" s="7" t="n">
        <v>332.41</v>
      </c>
      <c r="F10" s="7" t="n">
        <v>405</v>
      </c>
      <c r="G10" s="8" t="s">
        <v>38</v>
      </c>
      <c r="H10" s="8" t="s">
        <v>51</v>
      </c>
      <c r="I10" s="8" t="s">
        <v>52</v>
      </c>
    </row>
    <row r="11" customFormat="false" ht="17.15" hidden="false" customHeight="false" outlineLevel="0" collapsed="false">
      <c r="A11" s="1" t="s">
        <v>53</v>
      </c>
    </row>
    <row r="12" customFormat="false" ht="17.15" hidden="false" customHeight="false" outlineLevel="0" collapsed="false">
      <c r="A12" s="0" t="s">
        <v>54</v>
      </c>
      <c r="B12" s="5" t="s">
        <v>55</v>
      </c>
      <c r="C12" s="0" t="s">
        <v>56</v>
      </c>
      <c r="E12" s="10" t="n">
        <v>0.0499</v>
      </c>
      <c r="G12" s="8" t="s">
        <v>28</v>
      </c>
      <c r="H12" s="8" t="s">
        <v>57</v>
      </c>
      <c r="I12" s="8" t="s">
        <v>58</v>
      </c>
    </row>
    <row r="13" customFormat="false" ht="17.15" hidden="false" customHeight="false" outlineLevel="0" collapsed="false">
      <c r="A13" s="0" t="s">
        <v>59</v>
      </c>
      <c r="B13" s="5" t="s">
        <v>60</v>
      </c>
      <c r="C13" s="0" t="s">
        <v>61</v>
      </c>
      <c r="E13" s="11" t="n">
        <v>1.46</v>
      </c>
      <c r="G13" s="8" t="s">
        <v>28</v>
      </c>
      <c r="H13" s="5" t="s">
        <v>62</v>
      </c>
    </row>
    <row r="14" customFormat="false" ht="17.15" hidden="false" customHeight="false" outlineLevel="0" collapsed="false">
      <c r="A14" s="0" t="s">
        <v>63</v>
      </c>
      <c r="B14" s="5" t="s">
        <v>64</v>
      </c>
      <c r="C14" s="0" t="s">
        <v>61</v>
      </c>
      <c r="E14" s="11" t="n">
        <v>1.567</v>
      </c>
      <c r="G14" s="8" t="s">
        <v>28</v>
      </c>
      <c r="H14" s="5" t="s">
        <v>65</v>
      </c>
      <c r="I14" s="5" t="s">
        <v>66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0" t="s">
        <v>61</v>
      </c>
      <c r="D15" s="12" t="n">
        <f aca="false">MIN(0.67*beta_sa+0.33,0.67*beta_gf+0.33)</f>
        <v>1.3082</v>
      </c>
      <c r="E15" s="12" t="n">
        <f aca="false">MEDIAN(0.67*beta_sa+0.33,0.67*beta_gf+0.33)</f>
        <v>1.344045</v>
      </c>
      <c r="F15" s="12" t="n">
        <f aca="false">MAX(0.67*beta_sa+0.33,0.67*beta_gf+0.33)</f>
        <v>1.37989</v>
      </c>
      <c r="G15" s="8" t="s">
        <v>46</v>
      </c>
      <c r="H15" s="5" t="s">
        <v>69</v>
      </c>
      <c r="I15" s="5" t="s">
        <v>70</v>
      </c>
    </row>
    <row r="16" customFormat="false" ht="17.15" hidden="false" customHeight="false" outlineLevel="0" collapsed="false">
      <c r="A16" s="0" t="s">
        <v>71</v>
      </c>
      <c r="B16" s="5" t="s">
        <v>72</v>
      </c>
      <c r="C16" s="0" t="s">
        <v>56</v>
      </c>
      <c r="D16" s="10" t="n">
        <v>0.04</v>
      </c>
      <c r="E16" s="10" t="n">
        <v>0.05</v>
      </c>
      <c r="F16" s="10" t="n">
        <v>0.06</v>
      </c>
      <c r="G16" s="8" t="s">
        <v>73</v>
      </c>
      <c r="H16" s="5" t="s">
        <v>74</v>
      </c>
    </row>
    <row r="17" customFormat="false" ht="17.15" hidden="false" customHeight="false" outlineLevel="0" collapsed="false">
      <c r="A17" s="0" t="s">
        <v>75</v>
      </c>
      <c r="B17" s="5" t="s">
        <v>76</v>
      </c>
      <c r="C17" s="0" t="s">
        <v>56</v>
      </c>
      <c r="E17" s="10" t="n">
        <v>0.0633</v>
      </c>
      <c r="G17" s="8" t="s">
        <v>38</v>
      </c>
      <c r="H17" s="8" t="s">
        <v>77</v>
      </c>
      <c r="I17" s="5" t="s">
        <v>78</v>
      </c>
    </row>
    <row r="18" customFormat="false" ht="17.15" hidden="false" customHeight="false" outlineLevel="0" collapsed="false">
      <c r="A18" s="0" t="s">
        <v>79</v>
      </c>
      <c r="B18" s="0" t="s">
        <v>80</v>
      </c>
      <c r="C18" s="0" t="s">
        <v>56</v>
      </c>
      <c r="D18" s="10" t="n">
        <v>0.005</v>
      </c>
      <c r="E18" s="10" t="n">
        <v>0.0065</v>
      </c>
      <c r="F18" s="10" t="n">
        <v>0.01</v>
      </c>
      <c r="G18" s="8" t="s">
        <v>73</v>
      </c>
      <c r="H18" s="5" t="s">
        <v>81</v>
      </c>
      <c r="I18" s="8" t="s">
        <v>82</v>
      </c>
    </row>
    <row r="19" customFormat="false" ht="17.15" hidden="false" customHeight="false" outlineLevel="0" collapsed="false">
      <c r="A19" s="0" t="s">
        <v>83</v>
      </c>
      <c r="B19" s="5" t="s">
        <v>84</v>
      </c>
      <c r="C19" s="0" t="s">
        <v>56</v>
      </c>
      <c r="E19" s="13" t="n">
        <f aca="false">rf+kd_spr</f>
        <v>0.0564</v>
      </c>
      <c r="G19" s="8" t="s">
        <v>46</v>
      </c>
      <c r="H19" s="5" t="s">
        <v>69</v>
      </c>
    </row>
    <row r="20" customFormat="false" ht="17.15" hidden="false" customHeight="false" outlineLevel="0" collapsed="false">
      <c r="A20" s="0" t="s">
        <v>85</v>
      </c>
      <c r="B20" s="5" t="s">
        <v>86</v>
      </c>
      <c r="C20" s="0" t="s">
        <v>56</v>
      </c>
      <c r="D20" s="10" t="n">
        <v>0.135</v>
      </c>
      <c r="E20" s="13" t="n">
        <f aca="false">AVERAGE(Q!$C$42,Q!$D$42,Q!$E$42)</f>
        <v>0.173584526621026</v>
      </c>
      <c r="F20" s="10" t="n">
        <v>0.23</v>
      </c>
      <c r="G20" s="8" t="s">
        <v>46</v>
      </c>
      <c r="H20" s="8" t="s">
        <v>87</v>
      </c>
      <c r="I20" s="8" t="s">
        <v>88</v>
      </c>
    </row>
    <row r="21" customFormat="false" ht="17.15" hidden="false" customHeight="false" outlineLevel="0" collapsed="false">
      <c r="A21" s="0" t="s">
        <v>89</v>
      </c>
      <c r="B21" s="5" t="s">
        <v>90</v>
      </c>
      <c r="C21" s="0" t="s">
        <v>91</v>
      </c>
      <c r="E21" s="7" t="n">
        <v>181.09</v>
      </c>
      <c r="G21" s="8" t="s">
        <v>46</v>
      </c>
      <c r="H21" s="8" t="s">
        <v>92</v>
      </c>
      <c r="I21" s="8" t="s">
        <v>93</v>
      </c>
    </row>
    <row r="22" customFormat="false" ht="17.15" hidden="false" customHeight="false" outlineLevel="0" collapsed="false">
      <c r="A22" s="0" t="s">
        <v>94</v>
      </c>
      <c r="B22" s="5" t="s">
        <v>95</v>
      </c>
      <c r="C22" s="0" t="s">
        <v>91</v>
      </c>
      <c r="E22" s="7" t="n">
        <v>13.451</v>
      </c>
      <c r="G22" s="8" t="s">
        <v>28</v>
      </c>
      <c r="H22" s="8" t="s">
        <v>77</v>
      </c>
      <c r="I22" s="5" t="s">
        <v>96</v>
      </c>
    </row>
    <row r="23" customFormat="false" ht="17.15" hidden="false" customHeight="false" outlineLevel="0" collapsed="false">
      <c r="A23" s="0" t="s">
        <v>97</v>
      </c>
      <c r="B23" s="5" t="s">
        <v>98</v>
      </c>
      <c r="C23" s="0" t="s">
        <v>91</v>
      </c>
      <c r="E23" s="7" t="n">
        <v>11.07</v>
      </c>
      <c r="G23" s="8" t="s">
        <v>28</v>
      </c>
      <c r="H23" s="8" t="s">
        <v>77</v>
      </c>
    </row>
    <row r="24" customFormat="false" ht="17.15" hidden="false" customHeight="false" outlineLevel="0" collapsed="false">
      <c r="A24" s="0" t="s">
        <v>99</v>
      </c>
      <c r="B24" s="5" t="s">
        <v>100</v>
      </c>
      <c r="C24" s="0" t="s">
        <v>91</v>
      </c>
      <c r="E24" s="9" t="n">
        <f aca="false">fl_pv+fin_obl</f>
        <v>24.521</v>
      </c>
      <c r="G24" s="8" t="s">
        <v>46</v>
      </c>
      <c r="H24" s="5" t="s">
        <v>101</v>
      </c>
    </row>
    <row r="25" customFormat="false" ht="17.15" hidden="false" customHeight="false" outlineLevel="0" collapsed="false">
      <c r="A25" s="0" t="s">
        <v>102</v>
      </c>
      <c r="B25" s="5" t="s">
        <v>103</v>
      </c>
      <c r="C25" s="0" t="s">
        <v>56</v>
      </c>
      <c r="E25" s="13" t="n">
        <f aca="false">rf+beta*erp</f>
        <v>0.11710225</v>
      </c>
      <c r="G25" s="8" t="s">
        <v>46</v>
      </c>
      <c r="H25" s="8" t="s">
        <v>104</v>
      </c>
    </row>
    <row r="26" customFormat="false" ht="17.15" hidden="false" customHeight="false" outlineLevel="0" collapsed="false">
      <c r="A26" s="0" t="s">
        <v>105</v>
      </c>
      <c r="B26" s="0" t="s">
        <v>106</v>
      </c>
      <c r="C26" s="0" t="s">
        <v>107</v>
      </c>
      <c r="D26" s="10" t="n">
        <v>-0.01</v>
      </c>
      <c r="E26" s="10" t="n">
        <v>0</v>
      </c>
      <c r="F26" s="10" t="n">
        <v>0.01</v>
      </c>
      <c r="G26" s="8" t="s">
        <v>73</v>
      </c>
      <c r="H26" s="8" t="s">
        <v>108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56</v>
      </c>
      <c r="E27" s="13" t="n">
        <f aca="false">px_val*sh_out/(px_val*sh_out+debt_q3+fin_debt)*ke+(debt_q3+fin_debt)/(px_val*sh_out+debt_q3+fin_debt)*kd*(1-tax)+wacc_adj</f>
        <v>0.111933264167401</v>
      </c>
      <c r="G27" s="8" t="s">
        <v>46</v>
      </c>
      <c r="H27" s="5" t="s">
        <v>69</v>
      </c>
    </row>
    <row r="28" customFormat="false" ht="17.15" hidden="false" customHeight="false" outlineLevel="0" collapsed="false">
      <c r="A28" s="14" t="s">
        <v>111</v>
      </c>
      <c r="B28" s="15" t="s">
        <v>112</v>
      </c>
      <c r="C28" s="14" t="s">
        <v>56</v>
      </c>
      <c r="D28" s="16" t="n">
        <v>0.02</v>
      </c>
      <c r="E28" s="16" t="n">
        <v>0.03</v>
      </c>
      <c r="F28" s="16" t="n">
        <v>0.04</v>
      </c>
      <c r="G28" s="14" t="s">
        <v>73</v>
      </c>
      <c r="H28" s="15" t="s">
        <v>113</v>
      </c>
      <c r="I28" s="14"/>
    </row>
    <row r="29" customFormat="false" ht="17.15" hidden="false" customHeight="false" outlineLevel="0" collapsed="false">
      <c r="A29" s="14" t="s">
        <v>114</v>
      </c>
      <c r="B29" s="15" t="s">
        <v>115</v>
      </c>
      <c r="C29" s="14" t="s">
        <v>56</v>
      </c>
      <c r="D29" s="14"/>
      <c r="E29" s="17" t="n">
        <f aca="false">wacc</f>
        <v>0.111933264167401</v>
      </c>
      <c r="F29" s="17" t="n">
        <f aca="false">wacc+0.05</f>
        <v>0.161933264167401</v>
      </c>
      <c r="G29" s="14" t="s">
        <v>73</v>
      </c>
      <c r="H29" s="15" t="s">
        <v>116</v>
      </c>
      <c r="I29" s="15" t="s">
        <v>117</v>
      </c>
    </row>
    <row r="30" customFormat="false" ht="17.15" hidden="false" customHeight="false" outlineLevel="0" collapsed="false">
      <c r="A30" s="14" t="s">
        <v>118</v>
      </c>
      <c r="B30" s="15" t="s">
        <v>119</v>
      </c>
      <c r="C30" s="14" t="s">
        <v>56</v>
      </c>
      <c r="D30" s="16" t="n">
        <v>0.3</v>
      </c>
      <c r="E30" s="16" t="n">
        <v>0.5</v>
      </c>
      <c r="F30" s="16" t="n">
        <v>0.7</v>
      </c>
      <c r="G30" s="14" t="s">
        <v>73</v>
      </c>
      <c r="H30" s="15" t="s">
        <v>120</v>
      </c>
      <c r="I30" s="14" t="s">
        <v>121</v>
      </c>
    </row>
    <row r="31" customFormat="false" ht="17.15" hidden="false" customHeight="false" outlineLevel="0" collapsed="false">
      <c r="A31" s="14" t="s">
        <v>122</v>
      </c>
      <c r="B31" s="15" t="s">
        <v>123</v>
      </c>
      <c r="C31" s="14" t="s">
        <v>56</v>
      </c>
      <c r="D31" s="14"/>
      <c r="E31" s="16" t="n">
        <v>0.25</v>
      </c>
      <c r="F31" s="14"/>
      <c r="G31" s="14" t="s">
        <v>73</v>
      </c>
      <c r="H31" s="15" t="s">
        <v>124</v>
      </c>
      <c r="I31" s="15" t="s">
        <v>125</v>
      </c>
    </row>
    <row r="32" customFormat="false" ht="17.15" hidden="false" customHeight="false" outlineLevel="0" collapsed="false">
      <c r="A32" s="14" t="s">
        <v>126</v>
      </c>
      <c r="B32" s="15" t="s">
        <v>127</v>
      </c>
      <c r="C32" s="14" t="s">
        <v>56</v>
      </c>
      <c r="D32" s="14"/>
      <c r="E32" s="16" t="n">
        <v>0.5</v>
      </c>
      <c r="F32" s="14"/>
      <c r="G32" s="14" t="s">
        <v>73</v>
      </c>
      <c r="H32" s="15" t="s">
        <v>124</v>
      </c>
      <c r="I32" s="15" t="s">
        <v>125</v>
      </c>
    </row>
    <row r="33" customFormat="false" ht="17.15" hidden="false" customHeight="false" outlineLevel="0" collapsed="false">
      <c r="A33" s="14" t="s">
        <v>128</v>
      </c>
      <c r="B33" s="15" t="s">
        <v>129</v>
      </c>
      <c r="C33" s="14" t="s">
        <v>56</v>
      </c>
      <c r="D33" s="14"/>
      <c r="E33" s="16" t="n">
        <v>0.25</v>
      </c>
      <c r="F33" s="14"/>
      <c r="G33" s="14" t="s">
        <v>73</v>
      </c>
      <c r="H33" s="15" t="s">
        <v>124</v>
      </c>
      <c r="I33" s="15" t="s">
        <v>125</v>
      </c>
    </row>
    <row r="34" customFormat="false" ht="17.15" hidden="false" customHeight="false" outlineLevel="0" collapsed="false">
      <c r="A34" s="0" t="s">
        <v>130</v>
      </c>
      <c r="B34" s="5" t="s">
        <v>131</v>
      </c>
      <c r="C34" s="5" t="s">
        <v>132</v>
      </c>
      <c r="E34" s="9" t="n">
        <f aca="false">(DATE(2027,10,31)-DATE(2026,12,31))/365</f>
        <v>0.832876712328767</v>
      </c>
      <c r="G34" s="8" t="s">
        <v>46</v>
      </c>
      <c r="H34" s="5" t="s">
        <v>133</v>
      </c>
      <c r="I34" s="8" t="s">
        <v>134</v>
      </c>
    </row>
    <row r="35" customFormat="false" ht="17.15" hidden="false" customHeight="false" outlineLevel="0" collapsed="false">
      <c r="A35" s="1" t="s">
        <v>135</v>
      </c>
    </row>
    <row r="36" customFormat="false" ht="17.15" hidden="false" customHeight="false" outlineLevel="0" collapsed="false">
      <c r="A36" s="0" t="s">
        <v>136</v>
      </c>
      <c r="B36" s="5" t="s">
        <v>137</v>
      </c>
      <c r="C36" s="0" t="s">
        <v>138</v>
      </c>
      <c r="E36" s="7" t="n">
        <v>120</v>
      </c>
      <c r="G36" s="8" t="s">
        <v>73</v>
      </c>
      <c r="H36" s="5" t="s">
        <v>139</v>
      </c>
      <c r="I36" s="5" t="s">
        <v>140</v>
      </c>
    </row>
    <row r="37" customFormat="false" ht="17.15" hidden="false" customHeight="false" outlineLevel="0" collapsed="false">
      <c r="A37" s="0" t="s">
        <v>141</v>
      </c>
      <c r="B37" s="5" t="s">
        <v>142</v>
      </c>
      <c r="C37" s="0" t="s">
        <v>138</v>
      </c>
      <c r="E37" s="7" t="n">
        <v>360</v>
      </c>
      <c r="G37" s="8" t="s">
        <v>73</v>
      </c>
      <c r="H37" s="5" t="s">
        <v>139</v>
      </c>
      <c r="I37" s="5" t="s">
        <v>143</v>
      </c>
    </row>
    <row r="38" customFormat="false" ht="17.15" hidden="false" customHeight="false" outlineLevel="0" collapsed="false">
      <c r="A38" s="0" t="s">
        <v>144</v>
      </c>
      <c r="B38" s="5" t="s">
        <v>145</v>
      </c>
      <c r="C38" s="0" t="s">
        <v>138</v>
      </c>
      <c r="D38" s="7" t="n">
        <v>1100</v>
      </c>
      <c r="E38" s="7" t="n">
        <v>1440</v>
      </c>
      <c r="F38" s="7" t="n">
        <v>1800</v>
      </c>
      <c r="G38" s="8" t="s">
        <v>73</v>
      </c>
      <c r="H38" s="5" t="s">
        <v>139</v>
      </c>
      <c r="I38" s="8" t="s">
        <v>146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138</v>
      </c>
      <c r="D39" s="7" t="n">
        <v>1400</v>
      </c>
      <c r="E39" s="7" t="n">
        <v>2080</v>
      </c>
      <c r="F39" s="7" t="n">
        <v>2970</v>
      </c>
      <c r="G39" s="8" t="s">
        <v>46</v>
      </c>
      <c r="H39" s="8" t="s">
        <v>149</v>
      </c>
      <c r="I39" s="8" t="s">
        <v>150</v>
      </c>
    </row>
    <row r="40" customFormat="false" ht="17.15" hidden="false" customHeight="false" outlineLevel="0" collapsed="false">
      <c r="A40" s="14" t="s">
        <v>151</v>
      </c>
      <c r="B40" s="15" t="s">
        <v>152</v>
      </c>
      <c r="C40" s="14" t="s">
        <v>153</v>
      </c>
      <c r="D40" s="14"/>
      <c r="E40" s="18" t="n">
        <v>3733</v>
      </c>
      <c r="F40" s="14"/>
      <c r="G40" s="14" t="s">
        <v>46</v>
      </c>
      <c r="H40" s="15" t="s">
        <v>154</v>
      </c>
      <c r="I40" s="15" t="s">
        <v>155</v>
      </c>
    </row>
    <row r="41" customFormat="false" ht="17.15" hidden="false" customHeight="false" outlineLevel="0" collapsed="false">
      <c r="A41" s="14" t="s">
        <v>156</v>
      </c>
      <c r="B41" s="15" t="s">
        <v>157</v>
      </c>
      <c r="C41" s="14" t="s">
        <v>153</v>
      </c>
      <c r="D41" s="14"/>
      <c r="E41" s="18" t="n">
        <v>3788.9</v>
      </c>
      <c r="F41" s="14"/>
      <c r="G41" s="14" t="s">
        <v>46</v>
      </c>
      <c r="H41" s="14" t="s">
        <v>158</v>
      </c>
      <c r="I41" s="15" t="s">
        <v>159</v>
      </c>
    </row>
    <row r="42" customFormat="false" ht="17.15" hidden="false" customHeight="false" outlineLevel="0" collapsed="false">
      <c r="A42" s="14" t="s">
        <v>160</v>
      </c>
      <c r="B42" s="15" t="s">
        <v>161</v>
      </c>
      <c r="C42" s="14" t="s">
        <v>153</v>
      </c>
      <c r="D42" s="14"/>
      <c r="E42" s="19" t="n">
        <f aca="false">pace_B</f>
        <v>3788.9</v>
      </c>
      <c r="F42" s="14"/>
      <c r="G42" s="14" t="s">
        <v>73</v>
      </c>
      <c r="H42" s="15" t="s">
        <v>162</v>
      </c>
      <c r="I42" s="14"/>
    </row>
    <row r="43" customFormat="false" ht="17.15" hidden="false" customHeight="false" outlineLevel="0" collapsed="false">
      <c r="A43" s="0" t="s">
        <v>163</v>
      </c>
      <c r="B43" s="0" t="s">
        <v>164</v>
      </c>
      <c r="C43" s="0" t="s">
        <v>61</v>
      </c>
      <c r="D43" s="11" t="n">
        <v>0.75</v>
      </c>
      <c r="E43" s="11" t="n">
        <v>1</v>
      </c>
      <c r="F43" s="11" t="n">
        <v>1.25</v>
      </c>
      <c r="G43" s="8" t="s">
        <v>73</v>
      </c>
      <c r="H43" s="8" t="s">
        <v>108</v>
      </c>
    </row>
    <row r="44" customFormat="false" ht="17.15" hidden="false" customHeight="false" outlineLevel="0" collapsed="false">
      <c r="A44" s="0" t="s">
        <v>165</v>
      </c>
      <c r="B44" s="5" t="s">
        <v>166</v>
      </c>
      <c r="C44" s="0" t="s">
        <v>138</v>
      </c>
      <c r="E44" s="9" t="n">
        <f aca="false">mw_open+pace_B*0.25</f>
        <v>3027.225</v>
      </c>
      <c r="G44" s="8" t="s">
        <v>46</v>
      </c>
      <c r="H44" s="8" t="s">
        <v>167</v>
      </c>
      <c r="I44" s="5" t="s">
        <v>168</v>
      </c>
    </row>
    <row r="45" customFormat="false" ht="17.15" hidden="false" customHeight="false" outlineLevel="0" collapsed="false">
      <c r="A45" s="14" t="s">
        <v>169</v>
      </c>
      <c r="B45" s="15" t="s">
        <v>170</v>
      </c>
      <c r="C45" s="14" t="s">
        <v>56</v>
      </c>
      <c r="D45" s="16" t="n">
        <v>0.6</v>
      </c>
      <c r="E45" s="16" t="n">
        <v>0.8</v>
      </c>
      <c r="F45" s="16" t="n">
        <v>1</v>
      </c>
      <c r="G45" s="14" t="s">
        <v>73</v>
      </c>
      <c r="H45" s="15" t="s">
        <v>171</v>
      </c>
      <c r="I45" s="14" t="s">
        <v>172</v>
      </c>
    </row>
    <row r="46" customFormat="false" ht="17.15" hidden="false" customHeight="false" outlineLevel="0" collapsed="false">
      <c r="A46" s="0" t="s">
        <v>173</v>
      </c>
      <c r="B46" s="5" t="s">
        <v>174</v>
      </c>
      <c r="C46" s="0" t="s">
        <v>56</v>
      </c>
      <c r="D46" s="10" t="n">
        <v>0.7</v>
      </c>
      <c r="E46" s="10" t="n">
        <v>0.8</v>
      </c>
      <c r="F46" s="10" t="n">
        <v>0.9</v>
      </c>
      <c r="G46" s="8" t="s">
        <v>73</v>
      </c>
      <c r="H46" s="5" t="s">
        <v>175</v>
      </c>
      <c r="I46" s="8" t="s">
        <v>176</v>
      </c>
    </row>
    <row r="47" customFormat="false" ht="17.15" hidden="false" customHeight="false" outlineLevel="0" collapsed="false">
      <c r="A47" s="0" t="s">
        <v>177</v>
      </c>
      <c r="B47" s="0" t="s">
        <v>178</v>
      </c>
      <c r="C47" s="0" t="s">
        <v>179</v>
      </c>
      <c r="E47" s="7" t="n">
        <v>2.82</v>
      </c>
      <c r="G47" s="8" t="s">
        <v>28</v>
      </c>
      <c r="H47" s="8" t="s">
        <v>180</v>
      </c>
      <c r="I47" s="8" t="s">
        <v>181</v>
      </c>
    </row>
    <row r="48" customFormat="false" ht="17.15" hidden="false" customHeight="false" outlineLevel="0" collapsed="false">
      <c r="A48" s="0" t="s">
        <v>182</v>
      </c>
      <c r="B48" s="0" t="s">
        <v>183</v>
      </c>
      <c r="C48" s="0" t="s">
        <v>179</v>
      </c>
      <c r="E48" s="7" t="n">
        <v>6.88</v>
      </c>
      <c r="G48" s="8" t="s">
        <v>28</v>
      </c>
      <c r="H48" s="8" t="s">
        <v>180</v>
      </c>
      <c r="I48" s="5" t="s">
        <v>184</v>
      </c>
    </row>
    <row r="49" customFormat="false" ht="17.15" hidden="false" customHeight="false" outlineLevel="0" collapsed="false">
      <c r="A49" s="0" t="s">
        <v>185</v>
      </c>
      <c r="B49" s="5" t="s">
        <v>186</v>
      </c>
      <c r="C49" s="0" t="s">
        <v>187</v>
      </c>
      <c r="E49" s="7" t="n">
        <v>9.5715</v>
      </c>
      <c r="G49" s="8" t="s">
        <v>73</v>
      </c>
      <c r="H49" s="5" t="s">
        <v>188</v>
      </c>
      <c r="I49" s="5" t="s">
        <v>189</v>
      </c>
    </row>
    <row r="50" customFormat="false" ht="17.15" hidden="false" customHeight="false" outlineLevel="0" collapsed="false">
      <c r="A50" s="0" t="s">
        <v>190</v>
      </c>
      <c r="B50" s="5" t="s">
        <v>191</v>
      </c>
      <c r="C50" s="0" t="s">
        <v>187</v>
      </c>
      <c r="E50" s="7" t="n">
        <v>7.0191</v>
      </c>
      <c r="G50" s="8" t="s">
        <v>73</v>
      </c>
      <c r="H50" s="5" t="s">
        <v>192</v>
      </c>
      <c r="I50" s="8" t="s">
        <v>193</v>
      </c>
    </row>
    <row r="51" customFormat="false" ht="17.15" hidden="false" customHeight="false" outlineLevel="0" collapsed="false">
      <c r="A51" s="0" t="s">
        <v>194</v>
      </c>
      <c r="B51" s="0" t="s">
        <v>195</v>
      </c>
      <c r="C51" s="0" t="s">
        <v>187</v>
      </c>
      <c r="D51" s="7" t="n">
        <v>6.79107465326444</v>
      </c>
      <c r="E51" s="7" t="n">
        <v>9.70308728611469</v>
      </c>
      <c r="F51" s="7" t="n">
        <v>16.6637697337026</v>
      </c>
      <c r="G51" s="8" t="s">
        <v>46</v>
      </c>
      <c r="H51" s="8" t="s">
        <v>196</v>
      </c>
      <c r="I51" s="8" t="s">
        <v>197</v>
      </c>
    </row>
    <row r="52" customFormat="false" ht="17.15" hidden="false" customHeight="false" outlineLevel="0" collapsed="false">
      <c r="A52" s="0" t="s">
        <v>198</v>
      </c>
      <c r="B52" s="0" t="s">
        <v>199</v>
      </c>
      <c r="C52" s="0" t="s">
        <v>187</v>
      </c>
      <c r="D52" s="7" t="n">
        <v>6.6118162762144</v>
      </c>
      <c r="E52" s="7" t="n">
        <v>8.82816556596761</v>
      </c>
      <c r="F52" s="7" t="n">
        <v>14.3185748619737</v>
      </c>
      <c r="G52" s="8" t="s">
        <v>46</v>
      </c>
      <c r="H52" s="8" t="s">
        <v>196</v>
      </c>
      <c r="I52" s="8" t="s">
        <v>197</v>
      </c>
    </row>
    <row r="53" customFormat="false" ht="17.15" hidden="false" customHeight="false" outlineLevel="0" collapsed="false">
      <c r="A53" s="0" t="s">
        <v>200</v>
      </c>
      <c r="B53" s="0" t="s">
        <v>201</v>
      </c>
      <c r="C53" s="0" t="s">
        <v>187</v>
      </c>
      <c r="D53" s="7" t="n">
        <v>8.42889912085495</v>
      </c>
      <c r="E53" s="7" t="n">
        <v>10.8864110021101</v>
      </c>
      <c r="F53" s="7" t="n">
        <v>18.5346455040469</v>
      </c>
      <c r="G53" s="8" t="s">
        <v>46</v>
      </c>
      <c r="H53" s="8" t="s">
        <v>196</v>
      </c>
      <c r="I53" s="8" t="s">
        <v>197</v>
      </c>
    </row>
    <row r="54" customFormat="false" ht="17.15" hidden="false" customHeight="false" outlineLevel="0" collapsed="false">
      <c r="A54" s="0" t="s">
        <v>202</v>
      </c>
      <c r="B54" s="0" t="s">
        <v>203</v>
      </c>
      <c r="C54" s="0" t="s">
        <v>187</v>
      </c>
      <c r="D54" s="7" t="n">
        <v>9.21907146281596</v>
      </c>
      <c r="E54" s="7" t="n">
        <v>12.2254710045841</v>
      </c>
      <c r="F54" s="7" t="n">
        <v>19.7506269894487</v>
      </c>
      <c r="G54" s="8" t="s">
        <v>46</v>
      </c>
      <c r="H54" s="8" t="s">
        <v>196</v>
      </c>
      <c r="I54" s="8" t="s">
        <v>197</v>
      </c>
    </row>
    <row r="55" customFormat="false" ht="17.15" hidden="false" customHeight="false" outlineLevel="0" collapsed="false">
      <c r="A55" s="0" t="s">
        <v>204</v>
      </c>
      <c r="B55" s="0" t="s">
        <v>205</v>
      </c>
      <c r="C55" s="0" t="s">
        <v>206</v>
      </c>
      <c r="E55" s="7" t="n">
        <v>27.510214</v>
      </c>
      <c r="G55" s="8" t="s">
        <v>46</v>
      </c>
      <c r="H55" s="8" t="s">
        <v>196</v>
      </c>
    </row>
    <row r="56" customFormat="false" ht="17.15" hidden="false" customHeight="false" outlineLevel="0" collapsed="false">
      <c r="A56" s="0" t="s">
        <v>207</v>
      </c>
      <c r="B56" s="0" t="s">
        <v>208</v>
      </c>
      <c r="C56" s="0" t="s">
        <v>206</v>
      </c>
      <c r="E56" s="7" t="n">
        <v>24.015174</v>
      </c>
      <c r="G56" s="8" t="s">
        <v>46</v>
      </c>
      <c r="H56" s="8" t="s">
        <v>196</v>
      </c>
    </row>
    <row r="57" customFormat="false" ht="17.15" hidden="false" customHeight="false" outlineLevel="0" collapsed="false">
      <c r="A57" s="0" t="s">
        <v>209</v>
      </c>
      <c r="B57" s="0" t="s">
        <v>210</v>
      </c>
      <c r="C57" s="0" t="s">
        <v>206</v>
      </c>
      <c r="E57" s="7" t="n">
        <v>32.237224</v>
      </c>
      <c r="G57" s="8" t="s">
        <v>46</v>
      </c>
      <c r="H57" s="8" t="s">
        <v>196</v>
      </c>
    </row>
    <row r="58" customFormat="false" ht="17.15" hidden="false" customHeight="false" outlineLevel="0" collapsed="false">
      <c r="A58" s="0" t="s">
        <v>211</v>
      </c>
      <c r="B58" s="0" t="s">
        <v>212</v>
      </c>
      <c r="C58" s="0" t="s">
        <v>206</v>
      </c>
      <c r="E58" s="7" t="n">
        <v>37.586352</v>
      </c>
      <c r="G58" s="8" t="s">
        <v>46</v>
      </c>
      <c r="H58" s="8" t="s">
        <v>196</v>
      </c>
    </row>
    <row r="59" customFormat="false" ht="17.15" hidden="false" customHeight="false" outlineLevel="0" collapsed="false">
      <c r="A59" s="0" t="s">
        <v>213</v>
      </c>
      <c r="B59" s="0" t="s">
        <v>214</v>
      </c>
      <c r="C59" s="0" t="s">
        <v>187</v>
      </c>
      <c r="E59" s="7" t="n">
        <v>1.88466748019734</v>
      </c>
      <c r="G59" s="8" t="s">
        <v>46</v>
      </c>
      <c r="H59" s="8" t="s">
        <v>196</v>
      </c>
    </row>
    <row r="60" customFormat="false" ht="17.15" hidden="false" customHeight="false" outlineLevel="0" collapsed="false">
      <c r="A60" s="0" t="s">
        <v>215</v>
      </c>
      <c r="B60" s="0" t="s">
        <v>216</v>
      </c>
      <c r="C60" s="0" t="s">
        <v>187</v>
      </c>
      <c r="E60" s="7" t="n">
        <v>1.812232738713</v>
      </c>
      <c r="G60" s="8" t="s">
        <v>46</v>
      </c>
      <c r="H60" s="8" t="s">
        <v>196</v>
      </c>
    </row>
    <row r="61" customFormat="false" ht="17.15" hidden="false" customHeight="false" outlineLevel="0" collapsed="false">
      <c r="A61" s="0" t="s">
        <v>217</v>
      </c>
      <c r="B61" s="0" t="s">
        <v>218</v>
      </c>
      <c r="C61" s="0" t="s">
        <v>187</v>
      </c>
      <c r="E61" s="7" t="n">
        <v>1.98263481314457</v>
      </c>
      <c r="G61" s="8" t="s">
        <v>46</v>
      </c>
      <c r="H61" s="8" t="s">
        <v>196</v>
      </c>
    </row>
    <row r="62" customFormat="false" ht="17.15" hidden="false" customHeight="false" outlineLevel="0" collapsed="false">
      <c r="A62" s="0" t="s">
        <v>219</v>
      </c>
      <c r="B62" s="0" t="s">
        <v>220</v>
      </c>
      <c r="C62" s="0" t="s">
        <v>187</v>
      </c>
      <c r="E62" s="7" t="n">
        <v>2.09349554831403</v>
      </c>
      <c r="G62" s="8" t="s">
        <v>46</v>
      </c>
      <c r="H62" s="8" t="s">
        <v>196</v>
      </c>
    </row>
    <row r="63" customFormat="false" ht="17.15" hidden="false" customHeight="false" outlineLevel="0" collapsed="false">
      <c r="A63" s="0" t="s">
        <v>221</v>
      </c>
      <c r="B63" s="0" t="s">
        <v>222</v>
      </c>
      <c r="C63" s="0" t="s">
        <v>179</v>
      </c>
      <c r="E63" s="7" t="n">
        <v>1.54259654785589</v>
      </c>
      <c r="G63" s="8" t="s">
        <v>46</v>
      </c>
      <c r="H63" s="8" t="s">
        <v>196</v>
      </c>
      <c r="I63" s="8" t="s">
        <v>223</v>
      </c>
    </row>
    <row r="64" customFormat="false" ht="17.15" hidden="false" customHeight="false" outlineLevel="0" collapsed="false">
      <c r="A64" s="0" t="s">
        <v>224</v>
      </c>
      <c r="B64" s="0" t="s">
        <v>225</v>
      </c>
      <c r="C64" s="0" t="s">
        <v>206</v>
      </c>
      <c r="E64" s="7" t="n">
        <v>12.67</v>
      </c>
      <c r="G64" s="8" t="s">
        <v>46</v>
      </c>
      <c r="H64" s="8" t="s">
        <v>196</v>
      </c>
    </row>
    <row r="65" customFormat="false" ht="17.15" hidden="false" customHeight="false" outlineLevel="0" collapsed="false">
      <c r="A65" s="0" t="s">
        <v>226</v>
      </c>
      <c r="B65" s="0" t="s">
        <v>227</v>
      </c>
      <c r="C65" s="5" t="s">
        <v>132</v>
      </c>
      <c r="D65" s="7" t="n">
        <v>5</v>
      </c>
      <c r="E65" s="7" t="n">
        <v>6</v>
      </c>
      <c r="F65" s="7" t="n">
        <v>7</v>
      </c>
      <c r="G65" s="8" t="s">
        <v>46</v>
      </c>
      <c r="H65" s="8" t="s">
        <v>196</v>
      </c>
      <c r="I65" s="5" t="s">
        <v>228</v>
      </c>
    </row>
    <row r="66" customFormat="false" ht="17.15" hidden="false" customHeight="false" outlineLevel="0" collapsed="false">
      <c r="A66" s="0" t="s">
        <v>229</v>
      </c>
      <c r="B66" s="5" t="s">
        <v>230</v>
      </c>
      <c r="C66" s="5" t="s">
        <v>132</v>
      </c>
      <c r="D66" s="7" t="n">
        <v>15</v>
      </c>
      <c r="E66" s="7" t="n">
        <v>20</v>
      </c>
      <c r="F66" s="7" t="n">
        <v>30</v>
      </c>
      <c r="G66" s="8" t="s">
        <v>73</v>
      </c>
      <c r="H66" s="5" t="s">
        <v>231</v>
      </c>
      <c r="I66" s="5" t="s">
        <v>232</v>
      </c>
    </row>
    <row r="67" customFormat="false" ht="17.15" hidden="false" customHeight="false" outlineLevel="0" collapsed="false">
      <c r="A67" s="0" t="s">
        <v>233</v>
      </c>
      <c r="B67" s="0" t="s">
        <v>234</v>
      </c>
      <c r="C67" s="0" t="s">
        <v>187</v>
      </c>
      <c r="D67" s="7" t="n">
        <v>36.2296</v>
      </c>
      <c r="E67" s="7" t="n">
        <v>49.5137840363362</v>
      </c>
      <c r="F67" s="7" t="n">
        <v>78.4975</v>
      </c>
      <c r="G67" s="8" t="s">
        <v>46</v>
      </c>
      <c r="H67" s="8" t="s">
        <v>196</v>
      </c>
      <c r="I67" s="5" t="s">
        <v>235</v>
      </c>
    </row>
    <row r="68" customFormat="false" ht="17.15" hidden="false" customHeight="false" outlineLevel="0" collapsed="false">
      <c r="A68" s="0" t="s">
        <v>236</v>
      </c>
      <c r="B68" s="0" t="s">
        <v>237</v>
      </c>
      <c r="C68" s="0" t="s">
        <v>61</v>
      </c>
      <c r="D68" s="12" t="n">
        <f aca="false">p_long_lo/tk_he_vr200</f>
        <v>0.574137388847276</v>
      </c>
      <c r="E68" s="12" t="n">
        <f aca="false">p_long/tk_he_vr200</f>
        <v>0.782914621155376</v>
      </c>
      <c r="G68" s="8" t="s">
        <v>46</v>
      </c>
      <c r="H68" s="8" t="s">
        <v>238</v>
      </c>
      <c r="I68" s="5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61</v>
      </c>
      <c r="E69" s="12" t="n">
        <f aca="false">p_spot/tk_gpuhr</f>
        <v>1.82808654921445</v>
      </c>
      <c r="F69" s="12" t="n">
        <f aca="false">p_list/tk_gpuhr</f>
        <v>4.46001257397001</v>
      </c>
      <c r="G69" s="8" t="s">
        <v>46</v>
      </c>
      <c r="H69" s="8" t="s">
        <v>242</v>
      </c>
      <c r="I69" s="5" t="s">
        <v>243</v>
      </c>
    </row>
    <row r="70" customFormat="false" ht="17.15" hidden="false" customHeight="false" outlineLevel="0" collapsed="false">
      <c r="A70" s="0" t="s">
        <v>244</v>
      </c>
      <c r="B70" s="0" t="s">
        <v>245</v>
      </c>
      <c r="C70" s="0" t="s">
        <v>61</v>
      </c>
      <c r="E70" s="12" t="n">
        <f aca="false">p_long_lo/tk_he_vr200</f>
        <v>0.574137388847276</v>
      </c>
      <c r="G70" s="8" t="s">
        <v>46</v>
      </c>
      <c r="H70" s="8" t="s">
        <v>246</v>
      </c>
    </row>
    <row r="71" customFormat="false" ht="17.15" hidden="false" customHeight="false" outlineLevel="0" collapsed="false">
      <c r="A71" s="0" t="s">
        <v>247</v>
      </c>
      <c r="B71" s="0" t="s">
        <v>248</v>
      </c>
      <c r="C71" s="0" t="s">
        <v>61</v>
      </c>
      <c r="E71" s="12" t="n">
        <f aca="false">p_list/tk_gpuhr</f>
        <v>4.46001257397001</v>
      </c>
      <c r="G71" s="8" t="s">
        <v>46</v>
      </c>
      <c r="H71" s="5" t="s">
        <v>143</v>
      </c>
    </row>
    <row r="72" customFormat="false" ht="17.15" hidden="false" customHeight="false" outlineLevel="0" collapsed="false">
      <c r="A72" s="0" t="s">
        <v>249</v>
      </c>
      <c r="B72" s="5" t="s">
        <v>250</v>
      </c>
      <c r="C72" s="0" t="s">
        <v>61</v>
      </c>
      <c r="E72" s="12" t="n">
        <f aca="false">long_sh*k_long+(1-long_sh)*k_spot_lst</f>
        <v>1.5183342117183</v>
      </c>
      <c r="G72" s="8" t="s">
        <v>46</v>
      </c>
      <c r="H72" s="5" t="s">
        <v>251</v>
      </c>
    </row>
    <row r="73" customFormat="false" ht="17.15" hidden="false" customHeight="false" outlineLevel="0" collapsed="false">
      <c r="A73" s="0" t="s">
        <v>252</v>
      </c>
      <c r="B73" s="5" t="s">
        <v>253</v>
      </c>
      <c r="C73" s="0" t="s">
        <v>61</v>
      </c>
      <c r="E73" s="12" t="n">
        <f aca="false">long_sh*k_long+(1-long_sh)*k_spot</f>
        <v>0.991949006767191</v>
      </c>
      <c r="G73" s="8" t="s">
        <v>46</v>
      </c>
      <c r="H73" s="5" t="s">
        <v>254</v>
      </c>
      <c r="I73" s="5" t="s">
        <v>255</v>
      </c>
    </row>
    <row r="74" customFormat="false" ht="17.15" hidden="false" customHeight="false" outlineLevel="0" collapsed="false">
      <c r="A74" s="0" t="s">
        <v>256</v>
      </c>
      <c r="B74" s="5" t="s">
        <v>257</v>
      </c>
      <c r="C74" s="0" t="s">
        <v>61</v>
      </c>
      <c r="E74" s="12" t="n">
        <f aca="false">long_sh*k_long_lo2+(1-long_sh)*k_spot</f>
        <v>0.824927220920711</v>
      </c>
      <c r="G74" s="8" t="s">
        <v>46</v>
      </c>
      <c r="H74" s="5" t="s">
        <v>258</v>
      </c>
    </row>
    <row r="75" customFormat="false" ht="17.15" hidden="false" customHeight="false" outlineLevel="0" collapsed="false">
      <c r="A75" s="0" t="s">
        <v>259</v>
      </c>
      <c r="B75" s="5" t="s">
        <v>260</v>
      </c>
      <c r="C75" s="0" t="s">
        <v>56</v>
      </c>
      <c r="E75" s="10" t="n">
        <v>0.55</v>
      </c>
      <c r="G75" s="8" t="s">
        <v>73</v>
      </c>
      <c r="H75" s="8" t="s">
        <v>261</v>
      </c>
      <c r="I75" s="8" t="s">
        <v>262</v>
      </c>
    </row>
    <row r="76" customFormat="false" ht="17.15" hidden="false" customHeight="false" outlineLevel="0" collapsed="false">
      <c r="A76" s="0" t="s">
        <v>263</v>
      </c>
      <c r="B76" s="5" t="s">
        <v>264</v>
      </c>
      <c r="C76" s="0" t="s">
        <v>56</v>
      </c>
      <c r="E76" s="10" t="n">
        <v>0.15</v>
      </c>
      <c r="G76" s="8" t="s">
        <v>73</v>
      </c>
      <c r="H76" s="8" t="s">
        <v>261</v>
      </c>
    </row>
    <row r="77" customFormat="false" ht="17.15" hidden="false" customHeight="false" outlineLevel="0" collapsed="false">
      <c r="A77" s="0" t="s">
        <v>265</v>
      </c>
      <c r="B77" s="5" t="s">
        <v>266</v>
      </c>
      <c r="C77" s="0" t="s">
        <v>56</v>
      </c>
      <c r="E77" s="10" t="n">
        <v>0.15</v>
      </c>
      <c r="G77" s="8" t="s">
        <v>73</v>
      </c>
      <c r="H77" s="8" t="s">
        <v>261</v>
      </c>
    </row>
    <row r="78" customFormat="false" ht="17.15" hidden="false" customHeight="false" outlineLevel="0" collapsed="false">
      <c r="A78" s="0" t="s">
        <v>267</v>
      </c>
      <c r="B78" s="5" t="s">
        <v>268</v>
      </c>
      <c r="C78" s="0" t="s">
        <v>56</v>
      </c>
      <c r="E78" s="10" t="n">
        <v>0.15</v>
      </c>
      <c r="G78" s="8" t="s">
        <v>73</v>
      </c>
      <c r="H78" s="8" t="s">
        <v>261</v>
      </c>
    </row>
    <row r="79" customFormat="false" ht="17.15" hidden="false" customHeight="false" outlineLevel="0" collapsed="false">
      <c r="A79" s="0" t="s">
        <v>269</v>
      </c>
      <c r="B79" s="5" t="s">
        <v>270</v>
      </c>
      <c r="C79" s="0" t="s">
        <v>187</v>
      </c>
      <c r="E79" s="9" t="n">
        <f aca="false">(mo_trn2+mo_h100)*tk_he_h100+mo_gb200*tk_he_gb200+mo_gb300*tk_he_gb300</f>
        <v>9.74934758549194</v>
      </c>
      <c r="G79" s="8" t="s">
        <v>46</v>
      </c>
      <c r="H79" s="5" t="s">
        <v>271</v>
      </c>
    </row>
    <row r="80" customFormat="false" ht="17.15" hidden="false" customHeight="false" outlineLevel="0" collapsed="false">
      <c r="A80" s="0" t="s">
        <v>272</v>
      </c>
      <c r="B80" s="5" t="s">
        <v>273</v>
      </c>
      <c r="C80" s="0" t="s">
        <v>187</v>
      </c>
      <c r="E80" s="9" t="n">
        <f aca="false">(mo_trn2+mo_h100)*tk_ox_h100+mo_gb200*tk_ox_gb200+mo_gb300*tk_ox_gb300</f>
        <v>1.88849736891677</v>
      </c>
      <c r="G80" s="8" t="s">
        <v>46</v>
      </c>
      <c r="H80" s="5" t="s">
        <v>271</v>
      </c>
    </row>
    <row r="81" customFormat="false" ht="17.15" hidden="false" customHeight="false" outlineLevel="0" collapsed="false">
      <c r="A81" s="0" t="s">
        <v>274</v>
      </c>
      <c r="B81" s="5" t="s">
        <v>275</v>
      </c>
      <c r="C81" s="0" t="s">
        <v>187</v>
      </c>
      <c r="E81" s="9" t="n">
        <f aca="false">he_open*k_B</f>
        <v>9.67085565405685</v>
      </c>
      <c r="G81" s="8" t="s">
        <v>46</v>
      </c>
      <c r="H81" s="5" t="s">
        <v>276</v>
      </c>
    </row>
    <row r="82" customFormat="false" ht="17.15" hidden="false" customHeight="false" outlineLevel="0" collapsed="false">
      <c r="A82" s="0" t="s">
        <v>277</v>
      </c>
      <c r="B82" s="5" t="s">
        <v>278</v>
      </c>
      <c r="C82" s="0" t="s">
        <v>56</v>
      </c>
      <c r="D82" s="10" t="n">
        <v>0.4</v>
      </c>
      <c r="E82" s="10" t="n">
        <v>0.5</v>
      </c>
      <c r="F82" s="10" t="n">
        <v>0.6</v>
      </c>
      <c r="G82" s="8" t="s">
        <v>73</v>
      </c>
      <c r="H82" s="5" t="s">
        <v>279</v>
      </c>
      <c r="I82" s="8" t="s">
        <v>280</v>
      </c>
    </row>
    <row r="83" customFormat="false" ht="17.15" hidden="false" customHeight="false" outlineLevel="0" collapsed="false">
      <c r="A83" s="0" t="s">
        <v>281</v>
      </c>
      <c r="B83" s="0" t="s">
        <v>282</v>
      </c>
      <c r="C83" s="0" t="s">
        <v>56</v>
      </c>
      <c r="E83" s="10" t="n">
        <v>0</v>
      </c>
      <c r="G83" s="8" t="s">
        <v>73</v>
      </c>
      <c r="H83" s="5" t="s">
        <v>283</v>
      </c>
    </row>
    <row r="84" customFormat="false" ht="17.15" hidden="false" customHeight="false" outlineLevel="0" collapsed="false">
      <c r="A84" s="0" t="s">
        <v>284</v>
      </c>
      <c r="B84" s="0" t="s">
        <v>285</v>
      </c>
      <c r="C84" s="0" t="s">
        <v>56</v>
      </c>
      <c r="E84" s="10" t="n">
        <v>0.5</v>
      </c>
      <c r="G84" s="8" t="s">
        <v>73</v>
      </c>
      <c r="H84" s="5" t="s">
        <v>283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56</v>
      </c>
      <c r="E85" s="10" t="n">
        <v>1</v>
      </c>
      <c r="G85" s="8" t="s">
        <v>73</v>
      </c>
      <c r="H85" s="5" t="s">
        <v>283</v>
      </c>
    </row>
    <row r="86" customFormat="false" ht="17.15" hidden="false" customHeight="false" outlineLevel="0" collapsed="false">
      <c r="A86" s="0" t="s">
        <v>288</v>
      </c>
      <c r="B86" s="0" t="s">
        <v>289</v>
      </c>
      <c r="C86" s="0" t="s">
        <v>61</v>
      </c>
      <c r="D86" s="11" t="n">
        <v>0.45</v>
      </c>
      <c r="E86" s="11" t="n">
        <v>0.61</v>
      </c>
      <c r="F86" s="11" t="n">
        <v>0.7</v>
      </c>
      <c r="G86" s="8" t="s">
        <v>73</v>
      </c>
      <c r="H86" s="8" t="s">
        <v>196</v>
      </c>
      <c r="I86" s="8" t="s">
        <v>290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61</v>
      </c>
      <c r="D87" s="11" t="n">
        <v>0.3</v>
      </c>
      <c r="E87" s="11" t="n">
        <v>0.5</v>
      </c>
      <c r="F87" s="11" t="n">
        <v>0.8</v>
      </c>
      <c r="G87" s="8" t="s">
        <v>73</v>
      </c>
      <c r="H87" s="8" t="s">
        <v>196</v>
      </c>
      <c r="I87" s="8" t="s">
        <v>293</v>
      </c>
    </row>
    <row r="88" customFormat="false" ht="17.15" hidden="false" customHeight="false" outlineLevel="0" collapsed="false">
      <c r="A88" s="0" t="s">
        <v>294</v>
      </c>
      <c r="B88" s="5" t="s">
        <v>295</v>
      </c>
      <c r="C88" s="0" t="s">
        <v>61</v>
      </c>
      <c r="E88" s="12" t="n">
        <f aca="false">trn_hold</f>
        <v>0.61</v>
      </c>
      <c r="F88" s="11" t="n">
        <v>1</v>
      </c>
      <c r="G88" s="8" t="s">
        <v>46</v>
      </c>
      <c r="H88" s="8" t="s">
        <v>296</v>
      </c>
      <c r="I88" s="5" t="s">
        <v>297</v>
      </c>
    </row>
    <row r="89" customFormat="false" ht="17.15" hidden="false" customHeight="false" outlineLevel="0" collapsed="false">
      <c r="A89" s="0" t="s">
        <v>298</v>
      </c>
      <c r="B89" s="5" t="s">
        <v>299</v>
      </c>
      <c r="C89" s="0" t="s">
        <v>61</v>
      </c>
      <c r="E89" s="12" t="n">
        <f aca="false">trn_hold</f>
        <v>0.61</v>
      </c>
      <c r="F89" s="11" t="n">
        <v>1</v>
      </c>
      <c r="G89" s="8" t="s">
        <v>46</v>
      </c>
      <c r="H89" s="8" t="s">
        <v>196</v>
      </c>
      <c r="I89" s="5" t="s">
        <v>300</v>
      </c>
    </row>
    <row r="90" customFormat="false" ht="17.15" hidden="false" customHeight="false" outlineLevel="0" collapsed="false">
      <c r="A90" s="0" t="s">
        <v>301</v>
      </c>
      <c r="B90" s="5" t="s">
        <v>302</v>
      </c>
      <c r="C90" s="0" t="s">
        <v>56</v>
      </c>
      <c r="D90" s="10" t="n">
        <v>0.1</v>
      </c>
      <c r="E90" s="10" t="n">
        <v>0.2</v>
      </c>
      <c r="F90" s="10" t="n">
        <v>0.3</v>
      </c>
      <c r="G90" s="8" t="s">
        <v>38</v>
      </c>
      <c r="H90" s="8" t="s">
        <v>303</v>
      </c>
      <c r="I90" s="5" t="s">
        <v>304</v>
      </c>
    </row>
    <row r="91" customFormat="false" ht="17.15" hidden="false" customHeight="false" outlineLevel="0" collapsed="false">
      <c r="A91" s="0" t="s">
        <v>305</v>
      </c>
      <c r="B91" s="5" t="s">
        <v>306</v>
      </c>
      <c r="C91" s="0" t="s">
        <v>56</v>
      </c>
      <c r="E91" s="10" t="n">
        <v>0.1</v>
      </c>
      <c r="G91" s="8" t="s">
        <v>73</v>
      </c>
      <c r="H91" s="5" t="s">
        <v>307</v>
      </c>
    </row>
    <row r="92" customFormat="false" ht="17.15" hidden="false" customHeight="false" outlineLevel="0" collapsed="false">
      <c r="A92" s="0" t="s">
        <v>308</v>
      </c>
      <c r="B92" s="5" t="s">
        <v>309</v>
      </c>
      <c r="C92" s="0" t="s">
        <v>187</v>
      </c>
      <c r="E92" s="9" t="n">
        <f aca="false">colo_sh*tk_fac*rent_rec</f>
        <v>0.2534</v>
      </c>
      <c r="G92" s="8" t="s">
        <v>46</v>
      </c>
      <c r="H92" s="5" t="s">
        <v>310</v>
      </c>
    </row>
    <row r="93" customFormat="false" ht="17.15" hidden="false" customHeight="false" outlineLevel="0" collapsed="false">
      <c r="A93" s="0" t="s">
        <v>311</v>
      </c>
      <c r="B93" s="0" t="s">
        <v>312</v>
      </c>
      <c r="C93" s="0" t="s">
        <v>91</v>
      </c>
      <c r="E93" s="7" t="n">
        <v>220</v>
      </c>
      <c r="G93" s="8" t="s">
        <v>38</v>
      </c>
      <c r="H93" s="8" t="s">
        <v>313</v>
      </c>
      <c r="I93" s="8" t="s">
        <v>314</v>
      </c>
    </row>
    <row r="94" customFormat="false" ht="17.15" hidden="false" customHeight="false" outlineLevel="0" collapsed="false">
      <c r="A94" s="0" t="s">
        <v>315</v>
      </c>
      <c r="B94" s="5" t="s">
        <v>316</v>
      </c>
      <c r="C94" s="0" t="s">
        <v>317</v>
      </c>
      <c r="D94" s="7" t="n">
        <v>1</v>
      </c>
      <c r="E94" s="7" t="n">
        <v>2</v>
      </c>
      <c r="G94" s="8" t="s">
        <v>73</v>
      </c>
      <c r="H94" s="5" t="s">
        <v>318</v>
      </c>
      <c r="I94" s="5" t="s">
        <v>319</v>
      </c>
    </row>
    <row r="95" customFormat="false" ht="17.15" hidden="false" customHeight="false" outlineLevel="0" collapsed="false">
      <c r="A95" s="0" t="s">
        <v>320</v>
      </c>
      <c r="B95" s="5" t="s">
        <v>321</v>
      </c>
      <c r="C95" s="5" t="s">
        <v>132</v>
      </c>
      <c r="E95" s="7" t="n">
        <v>1</v>
      </c>
      <c r="F95" s="7" t="n">
        <v>2</v>
      </c>
      <c r="G95" s="8" t="s">
        <v>73</v>
      </c>
      <c r="H95" s="5" t="s">
        <v>322</v>
      </c>
      <c r="I95" s="8" t="s">
        <v>323</v>
      </c>
    </row>
    <row r="96" customFormat="false" ht="17.15" hidden="false" customHeight="false" outlineLevel="0" collapsed="false">
      <c r="A96" s="0" t="s">
        <v>324</v>
      </c>
      <c r="B96" s="5" t="s">
        <v>325</v>
      </c>
      <c r="C96" s="0" t="s">
        <v>91</v>
      </c>
      <c r="E96" s="7" t="n">
        <v>25</v>
      </c>
      <c r="G96" s="8" t="s">
        <v>38</v>
      </c>
      <c r="H96" s="8" t="s">
        <v>326</v>
      </c>
      <c r="I96" s="5" t="s">
        <v>327</v>
      </c>
    </row>
    <row r="97" customFormat="false" ht="17.15" hidden="false" customHeight="false" outlineLevel="0" collapsed="false">
      <c r="A97" s="0" t="s">
        <v>328</v>
      </c>
      <c r="B97" s="0" t="s">
        <v>329</v>
      </c>
      <c r="C97" s="0" t="s">
        <v>91</v>
      </c>
      <c r="E97" s="7" t="n">
        <v>184</v>
      </c>
      <c r="G97" s="8" t="s">
        <v>38</v>
      </c>
      <c r="H97" s="8" t="s">
        <v>313</v>
      </c>
      <c r="I97" s="5" t="s">
        <v>330</v>
      </c>
    </row>
    <row r="98" customFormat="false" ht="17.15" hidden="false" customHeight="false" outlineLevel="0" collapsed="false">
      <c r="A98" s="0" t="s">
        <v>331</v>
      </c>
      <c r="B98" s="0" t="s">
        <v>332</v>
      </c>
      <c r="C98" s="0" t="s">
        <v>91</v>
      </c>
      <c r="E98" s="7" t="n">
        <v>578</v>
      </c>
      <c r="G98" s="8" t="s">
        <v>38</v>
      </c>
      <c r="H98" s="8" t="s">
        <v>333</v>
      </c>
      <c r="I98" s="5" t="s">
        <v>334</v>
      </c>
    </row>
    <row r="99" customFormat="false" ht="17.15" hidden="false" customHeight="false" outlineLevel="0" collapsed="false">
      <c r="A99" s="0" t="s">
        <v>335</v>
      </c>
      <c r="B99" s="5" t="s">
        <v>336</v>
      </c>
      <c r="C99" s="0" t="s">
        <v>56</v>
      </c>
      <c r="E99" s="10" t="n">
        <v>0.4</v>
      </c>
      <c r="G99" s="8" t="s">
        <v>38</v>
      </c>
      <c r="H99" s="8" t="s">
        <v>313</v>
      </c>
      <c r="I99" s="5" t="s">
        <v>337</v>
      </c>
    </row>
    <row r="100" customFormat="false" ht="17.15" hidden="false" customHeight="false" outlineLevel="0" collapsed="false">
      <c r="A100" s="1" t="s">
        <v>338</v>
      </c>
    </row>
    <row r="101" customFormat="false" ht="17.15" hidden="false" customHeight="false" outlineLevel="0" collapsed="false">
      <c r="A101" s="0" t="s">
        <v>339</v>
      </c>
      <c r="B101" s="0" t="s">
        <v>340</v>
      </c>
      <c r="C101" s="0" t="s">
        <v>56</v>
      </c>
      <c r="D101" s="10" t="n">
        <v>0.05</v>
      </c>
      <c r="E101" s="10" t="n">
        <v>0.08</v>
      </c>
      <c r="F101" s="10" t="n">
        <v>0.11</v>
      </c>
      <c r="G101" s="8" t="s">
        <v>73</v>
      </c>
      <c r="H101" s="5" t="s">
        <v>341</v>
      </c>
      <c r="I101" s="8" t="s">
        <v>342</v>
      </c>
    </row>
    <row r="102" customFormat="false" ht="17.15" hidden="false" customHeight="false" outlineLevel="0" collapsed="false">
      <c r="A102" s="0" t="s">
        <v>343</v>
      </c>
      <c r="B102" s="0" t="s">
        <v>344</v>
      </c>
      <c r="C102" s="0" t="s">
        <v>345</v>
      </c>
      <c r="E102" s="7" t="n">
        <v>0</v>
      </c>
      <c r="F102" s="7" t="n">
        <v>1</v>
      </c>
      <c r="G102" s="8" t="s">
        <v>73</v>
      </c>
      <c r="H102" s="8" t="s">
        <v>346</v>
      </c>
      <c r="I102" s="5" t="s">
        <v>347</v>
      </c>
    </row>
    <row r="103" customFormat="false" ht="17.15" hidden="false" customHeight="false" outlineLevel="0" collapsed="false">
      <c r="A103" s="0" t="s">
        <v>348</v>
      </c>
      <c r="B103" s="0" t="s">
        <v>349</v>
      </c>
      <c r="C103" s="0" t="s">
        <v>56</v>
      </c>
      <c r="D103" s="10" t="n">
        <v>0.15</v>
      </c>
      <c r="E103" s="10" t="n">
        <v>0.2</v>
      </c>
      <c r="F103" s="10" t="n">
        <v>0.27</v>
      </c>
      <c r="G103" s="8" t="s">
        <v>73</v>
      </c>
      <c r="H103" s="5" t="s">
        <v>350</v>
      </c>
      <c r="I103" s="5" t="s">
        <v>351</v>
      </c>
    </row>
    <row r="104" customFormat="false" ht="17.15" hidden="false" customHeight="false" outlineLevel="0" collapsed="false">
      <c r="A104" s="1" t="s">
        <v>352</v>
      </c>
    </row>
    <row r="105" customFormat="false" ht="17.15" hidden="false" customHeight="false" outlineLevel="0" collapsed="false">
      <c r="A105" s="0" t="s">
        <v>353</v>
      </c>
      <c r="B105" s="0" t="s">
        <v>354</v>
      </c>
      <c r="C105" s="0" t="s">
        <v>56</v>
      </c>
      <c r="D105" s="10" t="n">
        <v>0.03</v>
      </c>
      <c r="E105" s="10" t="n">
        <v>0.05</v>
      </c>
      <c r="F105" s="10" t="n">
        <v>0.07</v>
      </c>
      <c r="G105" s="8" t="s">
        <v>73</v>
      </c>
      <c r="H105" s="5" t="s">
        <v>162</v>
      </c>
      <c r="I105" s="8" t="s">
        <v>355</v>
      </c>
    </row>
    <row r="106" customFormat="false" ht="17.15" hidden="false" customHeight="false" outlineLevel="0" collapsed="false">
      <c r="A106" s="0" t="s">
        <v>356</v>
      </c>
      <c r="B106" s="0" t="s">
        <v>357</v>
      </c>
      <c r="C106" s="0" t="s">
        <v>56</v>
      </c>
      <c r="D106" s="10" t="n">
        <v>0.01</v>
      </c>
      <c r="E106" s="10" t="n">
        <v>0.03</v>
      </c>
      <c r="F106" s="10" t="n">
        <v>0.05</v>
      </c>
      <c r="G106" s="8" t="s">
        <v>73</v>
      </c>
      <c r="H106" s="5" t="s">
        <v>162</v>
      </c>
      <c r="I106" s="8" t="s">
        <v>355</v>
      </c>
    </row>
    <row r="107" customFormat="false" ht="17.15" hidden="false" customHeight="false" outlineLevel="0" collapsed="false">
      <c r="A107" s="0" t="s">
        <v>358</v>
      </c>
      <c r="B107" s="0" t="s">
        <v>359</v>
      </c>
      <c r="C107" s="0" t="s">
        <v>56</v>
      </c>
      <c r="D107" s="10" t="n">
        <v>0.05</v>
      </c>
      <c r="E107" s="10" t="n">
        <v>0.07</v>
      </c>
      <c r="F107" s="10" t="n">
        <v>0.09</v>
      </c>
      <c r="G107" s="8" t="s">
        <v>73</v>
      </c>
      <c r="H107" s="5" t="s">
        <v>162</v>
      </c>
      <c r="I107" s="8" t="s">
        <v>355</v>
      </c>
    </row>
    <row r="108" customFormat="false" ht="17.15" hidden="false" customHeight="false" outlineLevel="0" collapsed="false">
      <c r="A108" s="0" t="s">
        <v>360</v>
      </c>
      <c r="B108" s="0" t="s">
        <v>361</v>
      </c>
      <c r="C108" s="0" t="s">
        <v>56</v>
      </c>
      <c r="D108" s="10" t="n">
        <v>0.07</v>
      </c>
      <c r="E108" s="10" t="n">
        <v>0.1</v>
      </c>
      <c r="F108" s="10" t="n">
        <v>0.13</v>
      </c>
      <c r="G108" s="8" t="s">
        <v>73</v>
      </c>
      <c r="H108" s="5" t="s">
        <v>162</v>
      </c>
      <c r="I108" s="8" t="s">
        <v>355</v>
      </c>
    </row>
    <row r="109" customFormat="false" ht="17.15" hidden="false" customHeight="false" outlineLevel="0" collapsed="false">
      <c r="A109" s="0" t="s">
        <v>362</v>
      </c>
      <c r="B109" s="0" t="s">
        <v>363</v>
      </c>
      <c r="C109" s="0" t="s">
        <v>56</v>
      </c>
      <c r="D109" s="10" t="n">
        <v>0.05</v>
      </c>
      <c r="E109" s="10" t="n">
        <v>0.07</v>
      </c>
      <c r="F109" s="10" t="n">
        <v>0.09</v>
      </c>
      <c r="G109" s="8" t="s">
        <v>73</v>
      </c>
      <c r="H109" s="5" t="s">
        <v>162</v>
      </c>
      <c r="I109" s="8" t="s">
        <v>355</v>
      </c>
    </row>
    <row r="110" customFormat="false" ht="17.15" hidden="false" customHeight="false" outlineLevel="0" collapsed="false">
      <c r="A110" s="0" t="s">
        <v>364</v>
      </c>
      <c r="B110" s="0" t="s">
        <v>365</v>
      </c>
      <c r="C110" s="0" t="s">
        <v>56</v>
      </c>
      <c r="D110" s="10" t="n">
        <v>0.02</v>
      </c>
      <c r="E110" s="10" t="n">
        <v>0.05</v>
      </c>
      <c r="F110" s="10" t="n">
        <v>0.08</v>
      </c>
      <c r="G110" s="8" t="s">
        <v>73</v>
      </c>
      <c r="H110" s="5" t="s">
        <v>162</v>
      </c>
      <c r="I110" s="8" t="s">
        <v>355</v>
      </c>
    </row>
    <row r="111" customFormat="false" ht="17.15" hidden="false" customHeight="false" outlineLevel="0" collapsed="false">
      <c r="A111" s="0" t="s">
        <v>366</v>
      </c>
      <c r="B111" s="5" t="s">
        <v>367</v>
      </c>
      <c r="C111" s="0" t="s">
        <v>56</v>
      </c>
      <c r="D111" s="10" t="n">
        <v>0.4</v>
      </c>
      <c r="E111" s="10" t="n">
        <v>0.5</v>
      </c>
      <c r="F111" s="10" t="n">
        <v>0.6</v>
      </c>
      <c r="G111" s="8" t="s">
        <v>73</v>
      </c>
      <c r="H111" s="5" t="s">
        <v>368</v>
      </c>
      <c r="I111" s="5" t="s">
        <v>369</v>
      </c>
    </row>
    <row r="112" customFormat="false" ht="17.15" hidden="false" customHeight="false" outlineLevel="0" collapsed="false">
      <c r="A112" s="0" t="s">
        <v>370</v>
      </c>
      <c r="B112" s="5" t="s">
        <v>371</v>
      </c>
      <c r="C112" s="0" t="s">
        <v>107</v>
      </c>
      <c r="D112" s="10" t="n">
        <v>0</v>
      </c>
      <c r="E112" s="10" t="n">
        <v>0.003</v>
      </c>
      <c r="F112" s="10" t="n">
        <v>0.006</v>
      </c>
      <c r="G112" s="8" t="s">
        <v>73</v>
      </c>
      <c r="H112" s="5" t="s">
        <v>372</v>
      </c>
    </row>
    <row r="113" customFormat="false" ht="17.15" hidden="false" customHeight="false" outlineLevel="0" collapsed="false">
      <c r="A113" s="0" t="s">
        <v>373</v>
      </c>
      <c r="B113" s="5" t="s">
        <v>374</v>
      </c>
      <c r="C113" s="0" t="s">
        <v>107</v>
      </c>
      <c r="D113" s="10" t="n">
        <v>-0.003</v>
      </c>
      <c r="E113" s="10" t="n">
        <v>0</v>
      </c>
      <c r="F113" s="10" t="n">
        <v>0.003</v>
      </c>
      <c r="G113" s="8" t="s">
        <v>73</v>
      </c>
      <c r="H113" s="5" t="s">
        <v>375</v>
      </c>
    </row>
    <row r="114" customFormat="false" ht="17.15" hidden="false" customHeight="false" outlineLevel="0" collapsed="false">
      <c r="A114" s="0" t="s">
        <v>376</v>
      </c>
      <c r="B114" s="5" t="s">
        <v>377</v>
      </c>
      <c r="C114" s="0" t="s">
        <v>56</v>
      </c>
      <c r="E114" s="13" t="n">
        <f aca="false">AVERAGE((Q!$C$57+Q!$C$58)/(Q!$C$5+Q!$C$6),(Q!$D$57+Q!$D$58)/(Q!$D$5+Q!$D$6),(Q!$E$57+Q!$E$58)/(Q!$E$5+Q!$E$6))</f>
        <v>0.0590737529079913</v>
      </c>
      <c r="G114" s="8" t="s">
        <v>46</v>
      </c>
      <c r="H114" s="8" t="s">
        <v>87</v>
      </c>
      <c r="I114" s="8" t="s">
        <v>378</v>
      </c>
    </row>
    <row r="115" customFormat="false" ht="17.15" hidden="false" customHeight="false" outlineLevel="0" collapsed="false">
      <c r="A115" s="1" t="s">
        <v>379</v>
      </c>
    </row>
    <row r="116" customFormat="false" ht="17.15" hidden="false" customHeight="false" outlineLevel="0" collapsed="false">
      <c r="A116" s="0" t="s">
        <v>380</v>
      </c>
      <c r="B116" s="5" t="s">
        <v>381</v>
      </c>
      <c r="C116" s="0" t="s">
        <v>56</v>
      </c>
      <c r="E116" s="13" t="n">
        <f aca="false">Q!$Q$50/Q!$Q$8</f>
        <v>0.0249205284310714</v>
      </c>
      <c r="G116" s="8" t="s">
        <v>46</v>
      </c>
      <c r="H116" s="8" t="s">
        <v>39</v>
      </c>
      <c r="I116" s="8" t="s">
        <v>382</v>
      </c>
    </row>
    <row r="117" customFormat="false" ht="17.15" hidden="false" customHeight="false" outlineLevel="0" collapsed="false">
      <c r="A117" s="0" t="s">
        <v>383</v>
      </c>
      <c r="B117" s="5" t="s">
        <v>384</v>
      </c>
      <c r="C117" s="0" t="s">
        <v>56</v>
      </c>
      <c r="D117" s="10" t="n">
        <v>-0.005</v>
      </c>
      <c r="E117" s="13" t="n">
        <f aca="false">AVERAGE((Q!$C$46-(Q!$C$40-Q!$C$41*(1-Q!$C$42))-Q!$C$34-Q!$C$50)/Q!$C$8,(Q!$D$46-(Q!$D$40-Q!$D$41*(1-Q!$D$42))-Q!$D$34-Q!$D$50)/Q!$D$8,(Q!$E$46-(Q!$E$40-Q!$E$41*(1-Q!$E$42))-Q!$E$34-Q!$E$50)/Q!$E$8)</f>
        <v>0.0119845812666467</v>
      </c>
      <c r="F117" s="10" t="n">
        <v>0.02</v>
      </c>
      <c r="G117" s="8" t="s">
        <v>46</v>
      </c>
      <c r="H117" s="8" t="s">
        <v>87</v>
      </c>
      <c r="I117" s="8" t="s">
        <v>385</v>
      </c>
    </row>
    <row r="118" customFormat="false" ht="17.15" hidden="false" customHeight="false" outlineLevel="0" collapsed="false">
      <c r="A118" s="0" t="s">
        <v>386</v>
      </c>
      <c r="B118" s="0" t="s">
        <v>387</v>
      </c>
      <c r="C118" s="0" t="s">
        <v>56</v>
      </c>
      <c r="E118" s="13" t="n">
        <f aca="false">(Q!$J$46-(Q!$J$40-Q!$J$41*(1-Q!$E$42))-Q!$J$34-Q!$J$50)/Q!$J$8</f>
        <v>0.0872198506553703</v>
      </c>
      <c r="G118" s="8" t="s">
        <v>46</v>
      </c>
      <c r="H118" s="8" t="s">
        <v>388</v>
      </c>
      <c r="I118" s="8" t="s">
        <v>389</v>
      </c>
    </row>
    <row r="119" customFormat="false" ht="17.15" hidden="false" customHeight="false" outlineLevel="0" collapsed="false">
      <c r="A119" s="0" t="s">
        <v>390</v>
      </c>
      <c r="B119" s="5" t="s">
        <v>391</v>
      </c>
      <c r="C119" s="0" t="s">
        <v>91</v>
      </c>
      <c r="D119" s="7" t="n">
        <v>1.5</v>
      </c>
      <c r="E119" s="7" t="n">
        <v>1.6</v>
      </c>
      <c r="F119" s="7" t="n">
        <v>3</v>
      </c>
      <c r="G119" s="8" t="s">
        <v>73</v>
      </c>
      <c r="H119" s="8" t="s">
        <v>87</v>
      </c>
      <c r="I119" s="8" t="s">
        <v>392</v>
      </c>
    </row>
    <row r="120" customFormat="false" ht="17.15" hidden="false" customHeight="false" outlineLevel="0" collapsed="false">
      <c r="A120" s="0" t="s">
        <v>393</v>
      </c>
      <c r="B120" s="5" t="s">
        <v>394</v>
      </c>
      <c r="C120" s="0" t="s">
        <v>56</v>
      </c>
      <c r="D120" s="10" t="n">
        <v>0</v>
      </c>
      <c r="E120" s="10" t="n">
        <v>0.008</v>
      </c>
      <c r="F120" s="10" t="n">
        <v>0.015</v>
      </c>
      <c r="G120" s="8" t="s">
        <v>46</v>
      </c>
      <c r="H120" s="8" t="s">
        <v>395</v>
      </c>
      <c r="I120" s="5" t="s">
        <v>396</v>
      </c>
    </row>
    <row r="121" customFormat="false" ht="17.15" hidden="false" customHeight="false" outlineLevel="0" collapsed="false">
      <c r="A121" s="0" t="s">
        <v>397</v>
      </c>
      <c r="B121" s="5" t="s">
        <v>398</v>
      </c>
      <c r="C121" s="0" t="s">
        <v>56</v>
      </c>
      <c r="E121" s="13" t="n">
        <f aca="false">Q!$M$36*4/((Q!$L$64+Q!$M$64)/2)</f>
        <v>0.0430711431618829</v>
      </c>
      <c r="G121" s="8" t="s">
        <v>46</v>
      </c>
      <c r="H121" s="8" t="s">
        <v>39</v>
      </c>
      <c r="I121" s="5" t="s">
        <v>399</v>
      </c>
    </row>
    <row r="122" customFormat="false" ht="17.15" hidden="false" customHeight="false" outlineLevel="0" collapsed="false">
      <c r="A122" s="0" t="s">
        <v>400</v>
      </c>
      <c r="B122" s="5" t="s">
        <v>401</v>
      </c>
      <c r="C122" s="0" t="s">
        <v>56</v>
      </c>
      <c r="E122" s="13" t="n">
        <f aca="false">Q!$M$37*4/Q!$M$63</f>
        <v>0.041566718610474</v>
      </c>
      <c r="G122" s="8" t="s">
        <v>46</v>
      </c>
      <c r="H122" s="8" t="s">
        <v>39</v>
      </c>
    </row>
    <row r="123" customFormat="false" ht="17.15" hidden="false" customHeight="false" outlineLevel="0" collapsed="false">
      <c r="A123" s="0" t="s">
        <v>402</v>
      </c>
      <c r="B123" s="5" t="s">
        <v>403</v>
      </c>
      <c r="C123" s="0" t="s">
        <v>91</v>
      </c>
      <c r="E123" s="7" t="n">
        <v>114.226</v>
      </c>
      <c r="G123" s="8" t="s">
        <v>38</v>
      </c>
      <c r="H123" s="8" t="s">
        <v>39</v>
      </c>
      <c r="I123" s="8" t="s">
        <v>404</v>
      </c>
    </row>
    <row r="124" customFormat="false" ht="17.15" hidden="false" customHeight="false" outlineLevel="0" collapsed="false">
      <c r="A124" s="0" t="s">
        <v>405</v>
      </c>
      <c r="B124" s="5" t="s">
        <v>406</v>
      </c>
      <c r="C124" s="0" t="s">
        <v>91</v>
      </c>
      <c r="D124" s="7" t="n">
        <v>30</v>
      </c>
      <c r="E124" s="7" t="n">
        <v>50</v>
      </c>
      <c r="F124" s="7" t="n">
        <v>80</v>
      </c>
      <c r="G124" s="8" t="s">
        <v>73</v>
      </c>
      <c r="H124" s="5" t="s">
        <v>407</v>
      </c>
    </row>
    <row r="125" customFormat="false" ht="17.15" hidden="false" customHeight="false" outlineLevel="0" collapsed="false">
      <c r="A125" s="0" t="s">
        <v>408</v>
      </c>
      <c r="B125" s="0" t="s">
        <v>409</v>
      </c>
      <c r="C125" s="0" t="s">
        <v>91</v>
      </c>
      <c r="E125" s="7" t="n">
        <v>0</v>
      </c>
      <c r="F125" s="7" t="n">
        <v>15</v>
      </c>
      <c r="G125" s="8" t="s">
        <v>73</v>
      </c>
      <c r="H125" s="8" t="s">
        <v>92</v>
      </c>
      <c r="I125" s="8" t="s">
        <v>410</v>
      </c>
    </row>
    <row r="126" customFormat="false" ht="17.15" hidden="false" customHeight="false" outlineLevel="0" collapsed="false">
      <c r="A126" s="0" t="s">
        <v>411</v>
      </c>
      <c r="B126" s="5" t="s">
        <v>412</v>
      </c>
      <c r="C126" s="0" t="s">
        <v>27</v>
      </c>
      <c r="E126" s="7" t="n">
        <v>0</v>
      </c>
      <c r="G126" s="8" t="s">
        <v>28</v>
      </c>
      <c r="H126" s="8" t="s">
        <v>39</v>
      </c>
      <c r="I126" s="8" t="s">
        <v>413</v>
      </c>
    </row>
    <row r="127" customFormat="false" ht="17.15" hidden="false" customHeight="false" outlineLevel="0" collapsed="false">
      <c r="A127" s="1" t="s">
        <v>414</v>
      </c>
    </row>
    <row r="128" customFormat="false" ht="17.15" hidden="false" customHeight="false" outlineLevel="0" collapsed="false">
      <c r="A128" s="0" t="s">
        <v>415</v>
      </c>
      <c r="B128" s="0" t="s">
        <v>416</v>
      </c>
      <c r="C128" s="0" t="s">
        <v>91</v>
      </c>
      <c r="E128" s="7" t="n">
        <v>965</v>
      </c>
      <c r="G128" s="8" t="s">
        <v>38</v>
      </c>
      <c r="H128" s="8" t="s">
        <v>417</v>
      </c>
      <c r="I128" s="5" t="s">
        <v>418</v>
      </c>
    </row>
    <row r="129" customFormat="false" ht="17.15" hidden="false" customHeight="false" outlineLevel="0" collapsed="false">
      <c r="A129" s="0" t="s">
        <v>419</v>
      </c>
      <c r="B129" s="0" t="s">
        <v>420</v>
      </c>
      <c r="C129" s="0" t="s">
        <v>56</v>
      </c>
      <c r="D129" s="10" t="n">
        <v>0.15</v>
      </c>
      <c r="E129" s="10" t="n">
        <v>0.18</v>
      </c>
      <c r="F129" s="10" t="n">
        <v>0.21</v>
      </c>
      <c r="G129" s="8" t="s">
        <v>73</v>
      </c>
      <c r="H129" s="5" t="s">
        <v>421</v>
      </c>
      <c r="I129" s="8" t="s">
        <v>422</v>
      </c>
    </row>
    <row r="130" customFormat="false" ht="17.15" hidden="false" customHeight="false" outlineLevel="0" collapsed="false">
      <c r="A130" s="0" t="s">
        <v>423</v>
      </c>
      <c r="B130" s="0" t="s">
        <v>424</v>
      </c>
      <c r="C130" s="0" t="s">
        <v>91</v>
      </c>
      <c r="E130" s="7" t="n">
        <v>840</v>
      </c>
      <c r="G130" s="8" t="s">
        <v>46</v>
      </c>
      <c r="H130" s="8" t="s">
        <v>425</v>
      </c>
    </row>
    <row r="131" customFormat="false" ht="17.15" hidden="false" customHeight="false" outlineLevel="0" collapsed="false">
      <c r="A131" s="0" t="s">
        <v>426</v>
      </c>
      <c r="B131" s="0" t="s">
        <v>427</v>
      </c>
      <c r="C131" s="0" t="s">
        <v>56</v>
      </c>
      <c r="E131" s="10" t="n">
        <v>0.0595</v>
      </c>
      <c r="G131" s="8" t="s">
        <v>46</v>
      </c>
      <c r="H131" s="5" t="s">
        <v>283</v>
      </c>
      <c r="I131" s="5" t="s">
        <v>428</v>
      </c>
    </row>
    <row r="132" customFormat="false" ht="17.15" hidden="false" customHeight="false" outlineLevel="0" collapsed="false">
      <c r="A132" s="0" t="s">
        <v>429</v>
      </c>
      <c r="B132" s="5" t="s">
        <v>430</v>
      </c>
      <c r="C132" s="0" t="s">
        <v>56</v>
      </c>
      <c r="D132" s="10" t="n">
        <v>0</v>
      </c>
      <c r="E132" s="10" t="n">
        <v>0.2</v>
      </c>
      <c r="F132" s="10" t="n">
        <v>0.4</v>
      </c>
      <c r="G132" s="8" t="s">
        <v>73</v>
      </c>
      <c r="H132" s="5" t="s">
        <v>431</v>
      </c>
    </row>
    <row r="133" customFormat="false" ht="17.15" hidden="false" customHeight="false" outlineLevel="0" collapsed="false">
      <c r="A133" s="0" t="s">
        <v>432</v>
      </c>
      <c r="B133" s="0" t="s">
        <v>433</v>
      </c>
      <c r="C133" s="0" t="s">
        <v>61</v>
      </c>
      <c r="D133" s="11" t="n">
        <v>4</v>
      </c>
      <c r="E133" s="11" t="n">
        <v>6</v>
      </c>
      <c r="F133" s="11" t="n">
        <v>10</v>
      </c>
      <c r="G133" s="8" t="s">
        <v>73</v>
      </c>
      <c r="H133" s="5" t="s">
        <v>434</v>
      </c>
      <c r="I133" s="8" t="s">
        <v>435</v>
      </c>
    </row>
    <row r="134" customFormat="false" ht="17.15" hidden="false" customHeight="false" outlineLevel="0" collapsed="false">
      <c r="A134" s="0" t="s">
        <v>436</v>
      </c>
      <c r="B134" s="5" t="s">
        <v>437</v>
      </c>
      <c r="C134" s="0" t="s">
        <v>345</v>
      </c>
      <c r="D134" s="7" t="n">
        <v>0</v>
      </c>
      <c r="E134" s="7" t="n">
        <v>1</v>
      </c>
      <c r="G134" s="8" t="s">
        <v>73</v>
      </c>
      <c r="H134" s="5" t="s">
        <v>438</v>
      </c>
    </row>
    <row r="135" customFormat="false" ht="17.15" hidden="false" customHeight="false" outlineLevel="0" collapsed="false">
      <c r="A135" s="0" t="s">
        <v>439</v>
      </c>
      <c r="B135" s="5" t="s">
        <v>440</v>
      </c>
      <c r="C135" s="0" t="s">
        <v>345</v>
      </c>
      <c r="D135" s="7" t="n">
        <v>0</v>
      </c>
      <c r="E135" s="7" t="n">
        <v>1</v>
      </c>
      <c r="G135" s="8" t="s">
        <v>73</v>
      </c>
      <c r="H135" s="5" t="s">
        <v>441</v>
      </c>
      <c r="I135" s="8" t="s">
        <v>442</v>
      </c>
    </row>
    <row r="136" customFormat="false" ht="17.15" hidden="false" customHeight="false" outlineLevel="0" collapsed="false">
      <c r="A136" s="0" t="s">
        <v>443</v>
      </c>
      <c r="B136" s="5" t="s">
        <v>444</v>
      </c>
      <c r="C136" s="0" t="s">
        <v>61</v>
      </c>
      <c r="D136" s="11" t="n">
        <v>0.8</v>
      </c>
      <c r="E136" s="11" t="n">
        <v>1</v>
      </c>
      <c r="F136" s="11" t="n">
        <v>1.2</v>
      </c>
      <c r="G136" s="8" t="s">
        <v>73</v>
      </c>
      <c r="H136" s="8" t="s">
        <v>108</v>
      </c>
    </row>
    <row r="137" customFormat="false" ht="17.15" hidden="false" customHeight="false" outlineLevel="0" collapsed="false">
      <c r="A137" s="1" t="s">
        <v>445</v>
      </c>
    </row>
    <row r="138" customFormat="false" ht="17.15" hidden="false" customHeight="false" outlineLevel="0" collapsed="false">
      <c r="A138" s="0" t="s">
        <v>446</v>
      </c>
      <c r="B138" s="5" t="s">
        <v>447</v>
      </c>
      <c r="C138" s="0" t="s">
        <v>91</v>
      </c>
      <c r="E138" s="7" t="n">
        <v>828.285</v>
      </c>
      <c r="G138" s="8" t="s">
        <v>38</v>
      </c>
      <c r="H138" s="8" t="s">
        <v>448</v>
      </c>
      <c r="I138" s="8" t="s">
        <v>449</v>
      </c>
    </row>
    <row r="139" customFormat="false" ht="17.15" hidden="false" customHeight="false" outlineLevel="0" collapsed="false">
      <c r="A139" s="0" t="s">
        <v>450</v>
      </c>
      <c r="B139" s="5" t="s">
        <v>451</v>
      </c>
      <c r="C139" s="0" t="s">
        <v>91</v>
      </c>
      <c r="E139" s="7" t="n">
        <v>216.957</v>
      </c>
      <c r="G139" s="8" t="s">
        <v>38</v>
      </c>
      <c r="H139" s="8" t="s">
        <v>448</v>
      </c>
      <c r="I139" s="8" t="s">
        <v>449</v>
      </c>
    </row>
    <row r="140" customFormat="false" ht="17.15" hidden="false" customHeight="false" outlineLevel="0" collapsed="false">
      <c r="A140" s="0" t="s">
        <v>452</v>
      </c>
      <c r="B140" s="5" t="s">
        <v>453</v>
      </c>
      <c r="C140" s="0" t="s">
        <v>91</v>
      </c>
      <c r="E140" s="7" t="n">
        <v>109.867</v>
      </c>
      <c r="G140" s="8" t="s">
        <v>38</v>
      </c>
      <c r="H140" s="8" t="s">
        <v>448</v>
      </c>
      <c r="I140" s="8" t="s">
        <v>449</v>
      </c>
    </row>
    <row r="141" customFormat="false" ht="17.15" hidden="false" customHeight="false" outlineLevel="0" collapsed="false">
      <c r="A141" s="0" t="s">
        <v>454</v>
      </c>
      <c r="B141" s="5" t="s">
        <v>455</v>
      </c>
      <c r="C141" s="0" t="s">
        <v>91</v>
      </c>
      <c r="E141" s="7" t="n">
        <v>140.133</v>
      </c>
      <c r="G141" s="8" t="s">
        <v>38</v>
      </c>
      <c r="H141" s="8" t="s">
        <v>448</v>
      </c>
      <c r="I141" s="8" t="s">
        <v>449</v>
      </c>
    </row>
    <row r="142" customFormat="false" ht="17.15" hidden="false" customHeight="false" outlineLevel="0" collapsed="false">
      <c r="A142" s="0" t="s">
        <v>456</v>
      </c>
      <c r="B142" s="5" t="s">
        <v>457</v>
      </c>
      <c r="C142" s="0" t="s">
        <v>27</v>
      </c>
      <c r="E142" s="7" t="n">
        <v>12.88</v>
      </c>
      <c r="G142" s="8" t="s">
        <v>38</v>
      </c>
      <c r="H142" s="8" t="s">
        <v>448</v>
      </c>
      <c r="I142" s="8" t="s">
        <v>449</v>
      </c>
    </row>
    <row r="143" customFormat="false" ht="17.15" hidden="false" customHeight="false" outlineLevel="0" collapsed="false">
      <c r="A143" s="0" t="s">
        <v>458</v>
      </c>
      <c r="B143" s="5" t="s">
        <v>459</v>
      </c>
      <c r="C143" s="0" t="s">
        <v>91</v>
      </c>
      <c r="E143" s="7" t="n">
        <v>220.5</v>
      </c>
      <c r="G143" s="8" t="s">
        <v>38</v>
      </c>
      <c r="H143" s="8" t="s">
        <v>448</v>
      </c>
      <c r="I143" s="8" t="s">
        <v>449</v>
      </c>
    </row>
    <row r="144" customFormat="false" ht="17.15" hidden="false" customHeight="false" outlineLevel="0" collapsed="false">
      <c r="A144" s="0" t="s">
        <v>460</v>
      </c>
      <c r="B144" s="5" t="s">
        <v>461</v>
      </c>
      <c r="C144" s="0" t="s">
        <v>91</v>
      </c>
      <c r="E144" s="7" t="n">
        <v>-34.027</v>
      </c>
      <c r="G144" s="8" t="s">
        <v>38</v>
      </c>
      <c r="H144" s="8" t="s">
        <v>448</v>
      </c>
      <c r="I144" s="8" t="s">
        <v>449</v>
      </c>
    </row>
    <row r="145" customFormat="false" ht="17.15" hidden="false" customHeight="false" outlineLevel="0" collapsed="false">
      <c r="A145" s="0" t="s">
        <v>462</v>
      </c>
      <c r="B145" s="5" t="s">
        <v>463</v>
      </c>
      <c r="C145" s="0" t="s">
        <v>91</v>
      </c>
      <c r="E145" s="7" t="n">
        <v>947.853</v>
      </c>
      <c r="G145" s="8" t="s">
        <v>38</v>
      </c>
      <c r="H145" s="8" t="s">
        <v>448</v>
      </c>
      <c r="I145" s="8" t="s">
        <v>449</v>
      </c>
    </row>
    <row r="146" customFormat="false" ht="17.15" hidden="false" customHeight="false" outlineLevel="0" collapsed="false">
      <c r="A146" s="0" t="s">
        <v>464</v>
      </c>
      <c r="B146" s="5" t="s">
        <v>465</v>
      </c>
      <c r="C146" s="0" t="s">
        <v>91</v>
      </c>
      <c r="E146" s="7" t="n">
        <v>273.452</v>
      </c>
      <c r="G146" s="8" t="s">
        <v>38</v>
      </c>
      <c r="H146" s="8" t="s">
        <v>448</v>
      </c>
      <c r="I146" s="8" t="s">
        <v>449</v>
      </c>
    </row>
    <row r="147" customFormat="false" ht="17.15" hidden="false" customHeight="false" outlineLevel="0" collapsed="false">
      <c r="A147" s="0" t="s">
        <v>466</v>
      </c>
      <c r="B147" s="5" t="s">
        <v>467</v>
      </c>
      <c r="C147" s="0" t="s">
        <v>91</v>
      </c>
      <c r="E147" s="7" t="n">
        <v>140.372</v>
      </c>
      <c r="G147" s="8" t="s">
        <v>38</v>
      </c>
      <c r="H147" s="8" t="s">
        <v>448</v>
      </c>
      <c r="I147" s="8" t="s">
        <v>449</v>
      </c>
    </row>
    <row r="148" customFormat="false" ht="17.15" hidden="false" customHeight="false" outlineLevel="0" collapsed="false">
      <c r="A148" s="0" t="s">
        <v>468</v>
      </c>
      <c r="B148" s="5" t="s">
        <v>469</v>
      </c>
      <c r="C148" s="0" t="s">
        <v>91</v>
      </c>
      <c r="E148" s="7" t="n">
        <v>115.541</v>
      </c>
      <c r="G148" s="8" t="s">
        <v>38</v>
      </c>
      <c r="H148" s="8" t="s">
        <v>448</v>
      </c>
      <c r="I148" s="8" t="s">
        <v>449</v>
      </c>
    </row>
    <row r="149" customFormat="false" ht="17.15" hidden="false" customHeight="false" outlineLevel="0" collapsed="false">
      <c r="A149" s="0" t="s">
        <v>470</v>
      </c>
      <c r="B149" s="5" t="s">
        <v>471</v>
      </c>
      <c r="C149" s="0" t="s">
        <v>27</v>
      </c>
      <c r="E149" s="7" t="n">
        <v>10.51</v>
      </c>
      <c r="G149" s="8" t="s">
        <v>38</v>
      </c>
      <c r="H149" s="8" t="s">
        <v>448</v>
      </c>
      <c r="I149" s="8" t="s">
        <v>449</v>
      </c>
    </row>
    <row r="150" customFormat="false" ht="17.15" hidden="false" customHeight="false" outlineLevel="0" collapsed="false">
      <c r="A150" s="0" t="s">
        <v>472</v>
      </c>
      <c r="B150" s="5" t="s">
        <v>473</v>
      </c>
      <c r="C150" s="0" t="s">
        <v>91</v>
      </c>
      <c r="E150" s="7" t="n">
        <v>275.063</v>
      </c>
      <c r="G150" s="8" t="s">
        <v>38</v>
      </c>
      <c r="H150" s="8" t="s">
        <v>448</v>
      </c>
      <c r="I150" s="8" t="s">
        <v>449</v>
      </c>
    </row>
    <row r="151" customFormat="false" ht="17.15" hidden="false" customHeight="false" outlineLevel="0" collapsed="false">
      <c r="A151" s="0" t="s">
        <v>474</v>
      </c>
      <c r="B151" s="5" t="s">
        <v>475</v>
      </c>
      <c r="C151" s="0" t="s">
        <v>91</v>
      </c>
      <c r="E151" s="7" t="n">
        <v>-5.631</v>
      </c>
      <c r="G151" s="8" t="s">
        <v>38</v>
      </c>
      <c r="H151" s="8" t="s">
        <v>448</v>
      </c>
      <c r="I151" s="8" t="s">
        <v>449</v>
      </c>
    </row>
    <row r="152" customFormat="false" ht="17.15" hidden="false" customHeight="false" outlineLevel="0" collapsed="false">
      <c r="A152" s="0" t="s">
        <v>476</v>
      </c>
      <c r="B152" s="5" t="s">
        <v>477</v>
      </c>
      <c r="C152" s="0" t="s">
        <v>91</v>
      </c>
      <c r="E152" s="7" t="n">
        <v>1097.389</v>
      </c>
      <c r="G152" s="8" t="s">
        <v>38</v>
      </c>
      <c r="H152" s="8" t="s">
        <v>448</v>
      </c>
      <c r="I152" s="8" t="s">
        <v>449</v>
      </c>
    </row>
    <row r="153" customFormat="false" ht="17.15" hidden="false" customHeight="false" outlineLevel="0" collapsed="false">
      <c r="A153" s="0" t="s">
        <v>478</v>
      </c>
      <c r="B153" s="5" t="s">
        <v>479</v>
      </c>
      <c r="C153" s="0" t="s">
        <v>91</v>
      </c>
      <c r="E153" s="7" t="n">
        <v>355.29</v>
      </c>
      <c r="G153" s="8" t="s">
        <v>38</v>
      </c>
      <c r="H153" s="8" t="s">
        <v>448</v>
      </c>
      <c r="I153" s="8" t="s">
        <v>449</v>
      </c>
    </row>
    <row r="154" customFormat="false" ht="17.15" hidden="false" customHeight="false" outlineLevel="0" collapsed="false">
      <c r="A154" s="0" t="s">
        <v>480</v>
      </c>
      <c r="B154" s="5" t="s">
        <v>481</v>
      </c>
      <c r="C154" s="0" t="s">
        <v>91</v>
      </c>
      <c r="E154" s="7" t="n">
        <v>182.749</v>
      </c>
      <c r="G154" s="8" t="s">
        <v>38</v>
      </c>
      <c r="H154" s="8" t="s">
        <v>448</v>
      </c>
      <c r="I154" s="8" t="s">
        <v>449</v>
      </c>
    </row>
    <row r="155" customFormat="false" ht="17.15" hidden="false" customHeight="false" outlineLevel="0" collapsed="false">
      <c r="A155" s="0" t="s">
        <v>482</v>
      </c>
      <c r="B155" s="5" t="s">
        <v>483</v>
      </c>
      <c r="C155" s="0" t="s">
        <v>91</v>
      </c>
      <c r="E155" s="7" t="n">
        <v>147.701</v>
      </c>
      <c r="G155" s="8" t="s">
        <v>38</v>
      </c>
      <c r="H155" s="8" t="s">
        <v>448</v>
      </c>
      <c r="I155" s="8" t="s">
        <v>449</v>
      </c>
    </row>
    <row r="156" customFormat="false" ht="17.15" hidden="false" customHeight="false" outlineLevel="0" collapsed="false">
      <c r="A156" s="0" t="s">
        <v>484</v>
      </c>
      <c r="B156" s="5" t="s">
        <v>485</v>
      </c>
      <c r="C156" s="0" t="s">
        <v>27</v>
      </c>
      <c r="E156" s="7" t="n">
        <v>13.81</v>
      </c>
      <c r="G156" s="8" t="s">
        <v>38</v>
      </c>
      <c r="H156" s="8" t="s">
        <v>448</v>
      </c>
      <c r="I156" s="8" t="s">
        <v>449</v>
      </c>
    </row>
    <row r="157" customFormat="false" ht="17.15" hidden="false" customHeight="false" outlineLevel="0" collapsed="false">
      <c r="A157" s="0" t="s">
        <v>486</v>
      </c>
      <c r="B157" s="5" t="s">
        <v>487</v>
      </c>
      <c r="C157" s="0" t="s">
        <v>91</v>
      </c>
      <c r="E157" s="7" t="n">
        <v>292.927</v>
      </c>
      <c r="G157" s="8" t="s">
        <v>38</v>
      </c>
      <c r="H157" s="8" t="s">
        <v>448</v>
      </c>
      <c r="I157" s="8" t="s">
        <v>449</v>
      </c>
    </row>
    <row r="158" customFormat="false" ht="17.15" hidden="false" customHeight="false" outlineLevel="0" collapsed="false">
      <c r="A158" s="0" t="s">
        <v>488</v>
      </c>
      <c r="B158" s="5" t="s">
        <v>489</v>
      </c>
      <c r="C158" s="0" t="s">
        <v>91</v>
      </c>
      <c r="E158" s="7" t="n">
        <v>41.402</v>
      </c>
      <c r="G158" s="8" t="s">
        <v>38</v>
      </c>
      <c r="H158" s="8" t="s">
        <v>448</v>
      </c>
      <c r="I158" s="8" t="s">
        <v>449</v>
      </c>
    </row>
    <row r="159" customFormat="false" ht="17.15" hidden="false" customHeight="false" outlineLevel="0" collapsed="false">
      <c r="A159" s="0" t="s">
        <v>490</v>
      </c>
      <c r="B159" s="5" t="s">
        <v>491</v>
      </c>
      <c r="C159" s="0" t="s">
        <v>91</v>
      </c>
      <c r="D159" s="7" t="n">
        <v>815.9</v>
      </c>
      <c r="E159" s="7" t="n">
        <v>828.74</v>
      </c>
      <c r="F159" s="7" t="n">
        <v>842</v>
      </c>
      <c r="G159" s="8" t="s">
        <v>38</v>
      </c>
      <c r="H159" s="8" t="s">
        <v>492</v>
      </c>
      <c r="I159" s="8" t="s">
        <v>493</v>
      </c>
    </row>
    <row r="160" customFormat="false" ht="17.15" hidden="false" customHeight="false" outlineLevel="0" collapsed="false">
      <c r="A160" s="0" t="s">
        <v>494</v>
      </c>
      <c r="B160" s="5" t="s">
        <v>495</v>
      </c>
      <c r="C160" s="0" t="s">
        <v>91</v>
      </c>
      <c r="E160" s="7" t="n">
        <v>949.92</v>
      </c>
      <c r="G160" s="8" t="s">
        <v>38</v>
      </c>
      <c r="H160" s="8" t="s">
        <v>492</v>
      </c>
    </row>
    <row r="161" customFormat="false" ht="17.15" hidden="false" customHeight="false" outlineLevel="0" collapsed="false">
      <c r="A161" s="0" t="s">
        <v>496</v>
      </c>
      <c r="B161" s="5" t="s">
        <v>497</v>
      </c>
      <c r="C161" s="0" t="s">
        <v>27</v>
      </c>
      <c r="D161" s="7" t="n">
        <v>7.65</v>
      </c>
      <c r="E161" s="7" t="n">
        <v>7.92</v>
      </c>
      <c r="F161" s="7" t="n">
        <v>8.3</v>
      </c>
      <c r="G161" s="8" t="s">
        <v>38</v>
      </c>
      <c r="H161" s="8" t="s">
        <v>492</v>
      </c>
      <c r="I161" s="8" t="s">
        <v>498</v>
      </c>
    </row>
    <row r="162" customFormat="false" ht="17.15" hidden="false" customHeight="false" outlineLevel="0" collapsed="false">
      <c r="A162" s="0" t="s">
        <v>499</v>
      </c>
      <c r="B162" s="5" t="s">
        <v>500</v>
      </c>
      <c r="C162" s="0" t="s">
        <v>27</v>
      </c>
      <c r="E162" s="7" t="n">
        <v>10.43</v>
      </c>
      <c r="G162" s="8" t="s">
        <v>38</v>
      </c>
      <c r="H162" s="8" t="s">
        <v>492</v>
      </c>
    </row>
    <row r="163" customFormat="false" ht="17.15" hidden="false" customHeight="false" outlineLevel="0" collapsed="false">
      <c r="A163" s="0" t="s">
        <v>501</v>
      </c>
      <c r="B163" s="5" t="s">
        <v>502</v>
      </c>
      <c r="C163" s="0" t="s">
        <v>27</v>
      </c>
      <c r="E163" s="7" t="n">
        <v>325.12</v>
      </c>
      <c r="G163" s="8" t="s">
        <v>38</v>
      </c>
      <c r="H163" s="8" t="s">
        <v>503</v>
      </c>
      <c r="I163" s="5" t="s">
        <v>504</v>
      </c>
    </row>
    <row r="164" customFormat="false" ht="17.15" hidden="false" customHeight="false" outlineLevel="0" collapsed="false">
      <c r="A164" s="0" t="s">
        <v>505</v>
      </c>
      <c r="B164" s="5" t="s">
        <v>506</v>
      </c>
      <c r="C164" s="0" t="s">
        <v>91</v>
      </c>
      <c r="E164" s="7" t="n">
        <v>240</v>
      </c>
      <c r="G164" s="8" t="s">
        <v>38</v>
      </c>
      <c r="H164" s="8" t="s">
        <v>39</v>
      </c>
      <c r="I164" s="5" t="s">
        <v>507</v>
      </c>
    </row>
    <row r="165" customFormat="false" ht="17.15" hidden="false" customHeight="false" outlineLevel="0" collapsed="false">
      <c r="A165" s="0" t="s">
        <v>508</v>
      </c>
      <c r="B165" s="5" t="s">
        <v>509</v>
      </c>
      <c r="C165" s="0" t="s">
        <v>91</v>
      </c>
      <c r="E165" s="7" t="n">
        <v>247</v>
      </c>
      <c r="G165" s="8" t="s">
        <v>38</v>
      </c>
      <c r="H165" s="8" t="s">
        <v>39</v>
      </c>
    </row>
    <row r="166" customFormat="false" ht="17.15" hidden="false" customHeight="false" outlineLevel="0" collapsed="false">
      <c r="A166" s="0" t="s">
        <v>510</v>
      </c>
      <c r="B166" s="5" t="s">
        <v>511</v>
      </c>
      <c r="C166" s="0" t="s">
        <v>91</v>
      </c>
      <c r="E166" s="7" t="n">
        <v>28.5</v>
      </c>
      <c r="G166" s="8" t="s">
        <v>38</v>
      </c>
      <c r="H166" s="8" t="s">
        <v>39</v>
      </c>
      <c r="I166" s="8" t="s">
        <v>512</v>
      </c>
    </row>
    <row r="167" customFormat="false" ht="17.15" hidden="false" customHeight="false" outlineLevel="0" collapsed="false">
      <c r="A167" s="0" t="s">
        <v>513</v>
      </c>
      <c r="B167" s="5" t="s">
        <v>514</v>
      </c>
      <c r="C167" s="0" t="s">
        <v>91</v>
      </c>
      <c r="E167" s="7" t="n">
        <v>33.5</v>
      </c>
      <c r="G167" s="8" t="s">
        <v>38</v>
      </c>
      <c r="H167" s="8" t="s">
        <v>39</v>
      </c>
    </row>
    <row r="168" customFormat="false" ht="17.15" hidden="false" customHeight="false" outlineLevel="0" collapsed="false">
      <c r="A168" s="0" t="s">
        <v>515</v>
      </c>
      <c r="B168" s="5" t="s">
        <v>516</v>
      </c>
      <c r="C168" s="0" t="s">
        <v>91</v>
      </c>
      <c r="E168" s="9" t="n">
        <f aca="false">(g26q4_lo+g26q4_hi)/2</f>
        <v>243.5</v>
      </c>
      <c r="G168" s="8" t="s">
        <v>46</v>
      </c>
      <c r="H168" s="8" t="s">
        <v>39</v>
      </c>
    </row>
    <row r="169" customFormat="false" ht="17.15" hidden="false" customHeight="false" outlineLevel="0" collapsed="false">
      <c r="A169" s="1" t="s">
        <v>517</v>
      </c>
    </row>
    <row r="170" customFormat="false" ht="17.15" hidden="false" customHeight="false" outlineLevel="0" collapsed="false">
      <c r="A170" s="0" t="s">
        <v>518</v>
      </c>
      <c r="B170" s="0" t="s">
        <v>519</v>
      </c>
      <c r="C170" s="0" t="s">
        <v>27</v>
      </c>
      <c r="E170" s="7" t="n">
        <v>215.578882385843</v>
      </c>
      <c r="G170" s="8" t="s">
        <v>46</v>
      </c>
      <c r="H170" s="8" t="s">
        <v>520</v>
      </c>
      <c r="I170" s="8" t="s">
        <v>521</v>
      </c>
    </row>
    <row r="171" customFormat="false" ht="17.15" hidden="false" customHeight="false" outlineLevel="0" collapsed="false">
      <c r="A171" s="0" t="s">
        <v>522</v>
      </c>
      <c r="B171" s="0" t="s">
        <v>523</v>
      </c>
      <c r="C171" s="0" t="s">
        <v>27</v>
      </c>
      <c r="E171" s="7" t="n">
        <v>194.26</v>
      </c>
      <c r="G171" s="8" t="s">
        <v>46</v>
      </c>
      <c r="H171" s="8" t="s">
        <v>520</v>
      </c>
    </row>
    <row r="172" customFormat="false" ht="17.15" hidden="false" customHeight="false" outlineLevel="0" collapsed="false">
      <c r="A172" s="0" t="s">
        <v>524</v>
      </c>
      <c r="B172" s="0" t="s">
        <v>525</v>
      </c>
      <c r="C172" s="0" t="s">
        <v>27</v>
      </c>
      <c r="E172" s="7" t="n">
        <v>249.09</v>
      </c>
      <c r="G172" s="8" t="s">
        <v>28</v>
      </c>
      <c r="H172" s="8" t="s">
        <v>520</v>
      </c>
    </row>
    <row r="174" customFormat="false" ht="17.15" hidden="false" customHeight="false" outlineLevel="0" collapsed="false">
      <c r="A174" s="1" t="s">
        <v>526</v>
      </c>
    </row>
    <row r="175" customFormat="false" ht="17.15" hidden="false" customHeight="false" outlineLevel="0" collapsed="false">
      <c r="A175" s="6" t="s">
        <v>15</v>
      </c>
      <c r="B175" s="6" t="s">
        <v>16</v>
      </c>
      <c r="C175" s="6" t="s">
        <v>17</v>
      </c>
      <c r="D175" s="6" t="s">
        <v>527</v>
      </c>
      <c r="E175" s="6" t="s">
        <v>528</v>
      </c>
      <c r="F175" s="6" t="s">
        <v>529</v>
      </c>
      <c r="G175" s="6" t="s">
        <v>21</v>
      </c>
      <c r="H175" s="6" t="s">
        <v>23</v>
      </c>
    </row>
    <row r="176" customFormat="false" ht="17.15" hidden="false" customHeight="false" outlineLevel="0" collapsed="false">
      <c r="A176" s="0" t="s">
        <v>530</v>
      </c>
      <c r="B176" s="5" t="s">
        <v>531</v>
      </c>
      <c r="C176" s="0" t="s">
        <v>153</v>
      </c>
      <c r="D176" s="20" t="n">
        <f aca="false">E40</f>
        <v>3733</v>
      </c>
      <c r="E176" s="20" t="n">
        <f aca="false">E41</f>
        <v>3788.9</v>
      </c>
      <c r="F176" s="20" t="n">
        <f aca="false">E42</f>
        <v>3788.9</v>
      </c>
      <c r="G176" s="8" t="s">
        <v>46</v>
      </c>
      <c r="H176" s="5" t="s">
        <v>532</v>
      </c>
    </row>
    <row r="177" customFormat="false" ht="17.15" hidden="false" customHeight="false" outlineLevel="0" collapsed="false">
      <c r="A177" s="0" t="s">
        <v>533</v>
      </c>
      <c r="B177" s="5" t="s">
        <v>534</v>
      </c>
      <c r="C177" s="0" t="s">
        <v>61</v>
      </c>
      <c r="D177" s="21" t="n">
        <f aca="false">E72</f>
        <v>1.5183342117183</v>
      </c>
      <c r="E177" s="21" t="n">
        <f aca="false">E73</f>
        <v>0.991949006767191</v>
      </c>
      <c r="F177" s="21" t="n">
        <f aca="false">E74</f>
        <v>0.824927220920711</v>
      </c>
      <c r="G177" s="8" t="s">
        <v>46</v>
      </c>
      <c r="H177" s="5" t="s">
        <v>535</v>
      </c>
    </row>
    <row r="178" customFormat="false" ht="17.15" hidden="false" customHeight="false" outlineLevel="0" collapsed="false">
      <c r="A178" s="0" t="s">
        <v>536</v>
      </c>
      <c r="B178" s="5" t="s">
        <v>537</v>
      </c>
      <c r="C178" s="0" t="s">
        <v>56</v>
      </c>
      <c r="D178" s="22" t="n">
        <f aca="false">E31</f>
        <v>0.25</v>
      </c>
      <c r="E178" s="22" t="n">
        <f aca="false">E32</f>
        <v>0.5</v>
      </c>
      <c r="F178" s="22" t="n">
        <f aca="false">E33</f>
        <v>0.25</v>
      </c>
      <c r="G178" s="8" t="s">
        <v>46</v>
      </c>
      <c r="H178" s="5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7" min="3" style="0" width="11"/>
    <col collapsed="false" customWidth="true" hidden="false" outlineLevel="0" max="18" min="18" style="0" width="22"/>
    <col collapsed="false" customWidth="true" hidden="false" outlineLevel="0" max="19" min="19" style="0" width="60"/>
  </cols>
  <sheetData>
    <row r="1" customFormat="false" ht="17.15" hidden="false" customHeight="false" outlineLevel="0" collapsed="false">
      <c r="A1" s="0" t="s">
        <v>539</v>
      </c>
    </row>
    <row r="2" customFormat="false" ht="17.15" hidden="false" customHeight="false" outlineLevel="0" collapsed="false">
      <c r="A2" s="5" t="s">
        <v>540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23" t="s">
        <v>541</v>
      </c>
      <c r="D3" s="23" t="s">
        <v>542</v>
      </c>
      <c r="E3" s="23" t="s">
        <v>543</v>
      </c>
      <c r="F3" s="23" t="s">
        <v>544</v>
      </c>
      <c r="G3" s="23" t="s">
        <v>545</v>
      </c>
      <c r="H3" s="23" t="s">
        <v>546</v>
      </c>
      <c r="I3" s="23" t="s">
        <v>547</v>
      </c>
      <c r="J3" s="23" t="s">
        <v>548</v>
      </c>
      <c r="K3" s="23" t="s">
        <v>549</v>
      </c>
      <c r="L3" s="23" t="s">
        <v>550</v>
      </c>
      <c r="M3" s="23" t="s">
        <v>551</v>
      </c>
      <c r="N3" s="23" t="s">
        <v>552</v>
      </c>
      <c r="O3" s="23" t="s">
        <v>553</v>
      </c>
      <c r="P3" s="23" t="s">
        <v>554</v>
      </c>
      <c r="Q3" s="6" t="s">
        <v>555</v>
      </c>
      <c r="R3" s="6" t="s">
        <v>21</v>
      </c>
      <c r="S3" s="6" t="s">
        <v>22</v>
      </c>
    </row>
    <row r="4" customFormat="false" ht="17.15" hidden="false" customHeight="false" outlineLevel="0" collapsed="false">
      <c r="A4" s="1" t="s">
        <v>556</v>
      </c>
    </row>
    <row r="5" customFormat="false" ht="17.15" hidden="false" customHeight="false" outlineLevel="0" collapsed="false">
      <c r="A5" s="0" t="s">
        <v>557</v>
      </c>
      <c r="B5" s="0" t="s">
        <v>91</v>
      </c>
      <c r="C5" s="24" t="n">
        <v>352.828</v>
      </c>
      <c r="D5" s="24" t="n">
        <v>387.497</v>
      </c>
      <c r="E5" s="24" t="n">
        <v>426.305</v>
      </c>
      <c r="F5" s="24" t="n">
        <v>115.586</v>
      </c>
      <c r="G5" s="24" t="n">
        <v>92.887</v>
      </c>
      <c r="H5" s="24" t="n">
        <v>100.068</v>
      </c>
      <c r="I5" s="24" t="n">
        <v>106.267</v>
      </c>
      <c r="J5" s="24" t="n">
        <v>127.083</v>
      </c>
      <c r="K5" s="24" t="n">
        <v>104.143</v>
      </c>
      <c r="L5" s="24" t="n">
        <v>116.177</v>
      </c>
      <c r="M5" s="24" t="n">
        <v>112.852</v>
      </c>
      <c r="N5" s="25" t="n">
        <f aca="false">G5+H5+I5</f>
        <v>299.222</v>
      </c>
      <c r="O5" s="25" t="n">
        <f aca="false">K5+L5+M5</f>
        <v>333.172</v>
      </c>
      <c r="P5" s="25" t="n">
        <f aca="false">K5+L5</f>
        <v>220.32</v>
      </c>
      <c r="Q5" s="25" t="n">
        <f aca="false">J5+K5+L5+M5</f>
        <v>460.255</v>
      </c>
      <c r="R5" s="8" t="s">
        <v>558</v>
      </c>
      <c r="S5" s="8" t="s">
        <v>559</v>
      </c>
    </row>
    <row r="6" customFormat="false" ht="17.15" hidden="false" customHeight="false" outlineLevel="0" collapsed="false">
      <c r="A6" s="0" t="s">
        <v>560</v>
      </c>
      <c r="B6" s="0" t="s">
        <v>91</v>
      </c>
      <c r="C6" s="24" t="n">
        <v>131.2</v>
      </c>
      <c r="D6" s="24" t="n">
        <v>142.906</v>
      </c>
      <c r="E6" s="24" t="n">
        <v>161.894</v>
      </c>
      <c r="F6" s="24" t="n">
        <v>43.42</v>
      </c>
      <c r="G6" s="24" t="n">
        <v>33.513</v>
      </c>
      <c r="H6" s="24" t="n">
        <v>36.761</v>
      </c>
      <c r="I6" s="24" t="n">
        <v>40.896</v>
      </c>
      <c r="J6" s="24" t="n">
        <v>50.724</v>
      </c>
      <c r="K6" s="24" t="n">
        <v>39.789</v>
      </c>
      <c r="L6" s="24" t="n">
        <v>42.197</v>
      </c>
      <c r="M6" s="24" t="n">
        <v>43.108</v>
      </c>
      <c r="N6" s="25" t="n">
        <f aca="false">G6+H6+I6</f>
        <v>111.17</v>
      </c>
      <c r="O6" s="25" t="n">
        <f aca="false">K6+L6+M6</f>
        <v>125.094</v>
      </c>
      <c r="P6" s="25" t="n">
        <f aca="false">K6+L6</f>
        <v>81.986</v>
      </c>
      <c r="Q6" s="25" t="n">
        <f aca="false">J6+K6+L6+M6</f>
        <v>175.818</v>
      </c>
      <c r="R6" s="8" t="s">
        <v>558</v>
      </c>
      <c r="S6" s="8" t="s">
        <v>559</v>
      </c>
    </row>
    <row r="7" customFormat="false" ht="17.15" hidden="false" customHeight="false" outlineLevel="0" collapsed="false">
      <c r="A7" s="0" t="s">
        <v>561</v>
      </c>
      <c r="B7" s="0" t="s">
        <v>91</v>
      </c>
      <c r="C7" s="24" t="n">
        <v>90.757</v>
      </c>
      <c r="D7" s="24" t="n">
        <v>107.556</v>
      </c>
      <c r="E7" s="24" t="n">
        <v>128.725</v>
      </c>
      <c r="F7" s="24" t="n">
        <v>28.786</v>
      </c>
      <c r="G7" s="24" t="n">
        <v>29.267</v>
      </c>
      <c r="H7" s="24" t="n">
        <v>30.873</v>
      </c>
      <c r="I7" s="24" t="n">
        <v>33.006</v>
      </c>
      <c r="J7" s="24" t="n">
        <v>35.579</v>
      </c>
      <c r="K7" s="24" t="n">
        <v>37.587</v>
      </c>
      <c r="L7" s="24" t="n">
        <v>42.232</v>
      </c>
      <c r="M7" s="24" t="n">
        <v>45.984</v>
      </c>
      <c r="N7" s="25" t="n">
        <f aca="false">G7+H7+I7</f>
        <v>93.146</v>
      </c>
      <c r="O7" s="25" t="n">
        <f aca="false">K7+L7+M7</f>
        <v>125.803</v>
      </c>
      <c r="P7" s="25" t="n">
        <f aca="false">K7+L7</f>
        <v>79.819</v>
      </c>
      <c r="Q7" s="25" t="n">
        <f aca="false">J7+K7+L7+M7</f>
        <v>161.382</v>
      </c>
      <c r="R7" s="8" t="s">
        <v>558</v>
      </c>
      <c r="S7" s="8" t="s">
        <v>559</v>
      </c>
    </row>
    <row r="8" customFormat="false" ht="17.15" hidden="false" customHeight="false" outlineLevel="0" collapsed="false">
      <c r="A8" s="5" t="s">
        <v>562</v>
      </c>
      <c r="B8" s="0" t="s">
        <v>91</v>
      </c>
      <c r="C8" s="24" t="n">
        <v>574.785</v>
      </c>
      <c r="D8" s="24" t="n">
        <v>637.959</v>
      </c>
      <c r="E8" s="24" t="n">
        <v>716.924</v>
      </c>
      <c r="F8" s="24" t="n">
        <v>187.792</v>
      </c>
      <c r="G8" s="24" t="n">
        <v>155.667</v>
      </c>
      <c r="H8" s="24" t="n">
        <v>167.702</v>
      </c>
      <c r="I8" s="24" t="n">
        <v>180.169</v>
      </c>
      <c r="J8" s="24" t="n">
        <v>213.386</v>
      </c>
      <c r="K8" s="24" t="n">
        <v>181.519</v>
      </c>
      <c r="L8" s="24" t="n">
        <v>200.606</v>
      </c>
      <c r="M8" s="24" t="n">
        <v>201.944</v>
      </c>
      <c r="N8" s="25" t="n">
        <f aca="false">G8+H8+I8</f>
        <v>503.538</v>
      </c>
      <c r="O8" s="25" t="n">
        <f aca="false">K8+L8+M8</f>
        <v>584.069</v>
      </c>
      <c r="P8" s="25" t="n">
        <f aca="false">K8+L8</f>
        <v>382.125</v>
      </c>
      <c r="Q8" s="25" t="n">
        <f aca="false">J8+K8+L8+M8</f>
        <v>797.455</v>
      </c>
      <c r="R8" s="8" t="s">
        <v>558</v>
      </c>
      <c r="S8" s="8" t="s">
        <v>559</v>
      </c>
    </row>
    <row r="9" customFormat="false" ht="17.15" hidden="false" customHeight="false" outlineLevel="0" collapsed="false">
      <c r="A9" s="1" t="s">
        <v>563</v>
      </c>
    </row>
    <row r="10" customFormat="false" ht="17.15" hidden="false" customHeight="false" outlineLevel="0" collapsed="false">
      <c r="A10" s="0" t="s">
        <v>564</v>
      </c>
      <c r="B10" s="0" t="s">
        <v>91</v>
      </c>
      <c r="C10" s="24" t="n">
        <v>231.872</v>
      </c>
      <c r="D10" s="24" t="n">
        <v>247.029</v>
      </c>
      <c r="E10" s="24" t="n">
        <v>269.287</v>
      </c>
      <c r="F10" s="24" t="n">
        <v>75.556</v>
      </c>
      <c r="G10" s="24" t="n">
        <v>57.407</v>
      </c>
      <c r="H10" s="24" t="n">
        <v>61.485</v>
      </c>
      <c r="I10" s="24" t="n">
        <v>67.407</v>
      </c>
      <c r="J10" s="24" t="n">
        <v>82.988</v>
      </c>
      <c r="K10" s="24" t="n">
        <v>64.254</v>
      </c>
      <c r="L10" s="24" t="n">
        <v>70.432</v>
      </c>
      <c r="M10" s="24" t="n">
        <v>68.47</v>
      </c>
      <c r="N10" s="25" t="n">
        <f aca="false">G10+H10+I10</f>
        <v>186.299</v>
      </c>
      <c r="O10" s="25" t="n">
        <f aca="false">K10+L10+M10</f>
        <v>203.156</v>
      </c>
      <c r="P10" s="25" t="n">
        <f aca="false">K10+L10</f>
        <v>134.686</v>
      </c>
      <c r="Q10" s="25" t="n">
        <f aca="false">J10+K10+L10+M10</f>
        <v>286.144</v>
      </c>
      <c r="R10" s="8" t="s">
        <v>558</v>
      </c>
      <c r="S10" s="8" t="s">
        <v>559</v>
      </c>
    </row>
    <row r="11" customFormat="false" ht="17.15" hidden="false" customHeight="false" outlineLevel="0" collapsed="false">
      <c r="A11" s="0" t="s">
        <v>565</v>
      </c>
      <c r="B11" s="0" t="s">
        <v>91</v>
      </c>
      <c r="C11" s="24" t="n">
        <v>20.03</v>
      </c>
      <c r="D11" s="24" t="n">
        <v>21.215</v>
      </c>
      <c r="E11" s="24" t="n">
        <v>22.561</v>
      </c>
      <c r="F11" s="24" t="n">
        <v>5.579</v>
      </c>
      <c r="G11" s="24" t="n">
        <v>5.533</v>
      </c>
      <c r="H11" s="24" t="n">
        <v>5.595</v>
      </c>
      <c r="I11" s="24" t="n">
        <v>5.578</v>
      </c>
      <c r="J11" s="24" t="n">
        <v>5.855</v>
      </c>
      <c r="K11" s="24" t="n">
        <v>5.785</v>
      </c>
      <c r="L11" s="24" t="n">
        <v>5.794</v>
      </c>
      <c r="M11" s="24" t="n">
        <v>5.71</v>
      </c>
      <c r="N11" s="25" t="n">
        <f aca="false">G11+H11+I11</f>
        <v>16.706</v>
      </c>
      <c r="O11" s="25" t="n">
        <f aca="false">K11+L11+M11</f>
        <v>17.289</v>
      </c>
      <c r="P11" s="25" t="n">
        <f aca="false">K11+L11</f>
        <v>11.579</v>
      </c>
      <c r="Q11" s="25" t="n">
        <f aca="false">J11+K11+L11+M11</f>
        <v>23.144</v>
      </c>
      <c r="R11" s="8" t="s">
        <v>558</v>
      </c>
      <c r="S11" s="8" t="s">
        <v>559</v>
      </c>
    </row>
    <row r="12" customFormat="false" ht="17.15" hidden="false" customHeight="false" outlineLevel="0" collapsed="false">
      <c r="A12" s="0" t="s">
        <v>566</v>
      </c>
      <c r="B12" s="0" t="s">
        <v>91</v>
      </c>
      <c r="C12" s="24" t="n">
        <v>140.053</v>
      </c>
      <c r="D12" s="24" t="n">
        <v>156.146</v>
      </c>
      <c r="E12" s="24" t="n">
        <v>172.162</v>
      </c>
      <c r="F12" s="24" t="n">
        <v>47.485</v>
      </c>
      <c r="G12" s="24" t="n">
        <v>36.512</v>
      </c>
      <c r="H12" s="24" t="n">
        <v>40.348</v>
      </c>
      <c r="I12" s="24" t="n">
        <v>42.486</v>
      </c>
      <c r="J12" s="24" t="n">
        <v>52.816</v>
      </c>
      <c r="K12" s="24" t="n">
        <v>41.578</v>
      </c>
      <c r="L12" s="24" t="n">
        <v>46.78</v>
      </c>
      <c r="M12" s="24" t="n">
        <v>46.492</v>
      </c>
      <c r="N12" s="25" t="n">
        <f aca="false">G12+H12+I12</f>
        <v>119.346</v>
      </c>
      <c r="O12" s="25" t="n">
        <f aca="false">K12+L12+M12</f>
        <v>134.85</v>
      </c>
      <c r="P12" s="25" t="n">
        <f aca="false">K12+L12</f>
        <v>88.358</v>
      </c>
      <c r="Q12" s="25" t="n">
        <f aca="false">J12+K12+L12+M12</f>
        <v>187.666</v>
      </c>
      <c r="R12" s="8" t="s">
        <v>558</v>
      </c>
      <c r="S12" s="8" t="s">
        <v>559</v>
      </c>
    </row>
    <row r="13" customFormat="false" ht="17.15" hidden="false" customHeight="false" outlineLevel="0" collapsed="false">
      <c r="A13" s="0" t="s">
        <v>567</v>
      </c>
      <c r="B13" s="0" t="s">
        <v>91</v>
      </c>
      <c r="C13" s="24" t="n">
        <v>46.906</v>
      </c>
      <c r="D13" s="24" t="n">
        <v>56.214</v>
      </c>
      <c r="E13" s="24" t="n">
        <v>68.635</v>
      </c>
      <c r="F13" s="24" t="n">
        <v>17.288</v>
      </c>
      <c r="G13" s="24" t="n">
        <v>13.921</v>
      </c>
      <c r="H13" s="24" t="n">
        <v>15.694</v>
      </c>
      <c r="I13" s="24" t="n">
        <v>17.703</v>
      </c>
      <c r="J13" s="24" t="n">
        <v>21.317</v>
      </c>
      <c r="K13" s="24" t="n">
        <v>17.243</v>
      </c>
      <c r="L13" s="24" t="n">
        <v>19.809</v>
      </c>
      <c r="M13" s="24" t="n">
        <v>19.637</v>
      </c>
      <c r="N13" s="25" t="n">
        <f aca="false">G13+H13+I13</f>
        <v>47.318</v>
      </c>
      <c r="O13" s="25" t="n">
        <f aca="false">K13+L13+M13</f>
        <v>56.689</v>
      </c>
      <c r="P13" s="25" t="n">
        <f aca="false">K13+L13</f>
        <v>37.052</v>
      </c>
      <c r="Q13" s="25" t="n">
        <f aca="false">J13+K13+L13+M13</f>
        <v>78.006</v>
      </c>
      <c r="R13" s="8" t="s">
        <v>558</v>
      </c>
      <c r="S13" s="8" t="s">
        <v>559</v>
      </c>
    </row>
    <row r="14" customFormat="false" ht="17.15" hidden="false" customHeight="false" outlineLevel="0" collapsed="false">
      <c r="A14" s="0" t="s">
        <v>568</v>
      </c>
      <c r="B14" s="0" t="s">
        <v>91</v>
      </c>
      <c r="C14" s="24" t="n">
        <v>40.209</v>
      </c>
      <c r="D14" s="24" t="n">
        <v>44.374</v>
      </c>
      <c r="E14" s="24" t="n">
        <v>49.619</v>
      </c>
      <c r="F14" s="24" t="n">
        <v>11.508</v>
      </c>
      <c r="G14" s="24" t="n">
        <v>11.715</v>
      </c>
      <c r="H14" s="24" t="n">
        <v>12.208</v>
      </c>
      <c r="I14" s="24" t="n">
        <v>12.574</v>
      </c>
      <c r="J14" s="24" t="n">
        <v>13.122</v>
      </c>
      <c r="K14" s="24" t="n">
        <v>13.427</v>
      </c>
      <c r="L14" s="24" t="n">
        <v>13.73</v>
      </c>
      <c r="M14" s="24" t="n">
        <v>14.006</v>
      </c>
      <c r="N14" s="25" t="n">
        <f aca="false">G14+H14+I14</f>
        <v>36.497</v>
      </c>
      <c r="O14" s="25" t="n">
        <f aca="false">K14+L14+M14</f>
        <v>41.163</v>
      </c>
      <c r="P14" s="25" t="n">
        <f aca="false">K14+L14</f>
        <v>27.157</v>
      </c>
      <c r="Q14" s="25" t="n">
        <f aca="false">J14+K14+L14+M14</f>
        <v>54.285</v>
      </c>
      <c r="R14" s="8" t="s">
        <v>558</v>
      </c>
      <c r="S14" s="8" t="s">
        <v>559</v>
      </c>
    </row>
    <row r="15" customFormat="false" ht="17.15" hidden="false" customHeight="false" outlineLevel="0" collapsed="false">
      <c r="A15" s="0" t="s">
        <v>569</v>
      </c>
      <c r="B15" s="0" t="s">
        <v>91</v>
      </c>
      <c r="C15" s="24" t="n">
        <v>4.958</v>
      </c>
      <c r="D15" s="24" t="n">
        <v>5.425</v>
      </c>
      <c r="E15" s="24" t="n">
        <v>5.935</v>
      </c>
      <c r="F15" s="24" t="n">
        <v>1.59</v>
      </c>
      <c r="G15" s="24" t="n">
        <v>1.312</v>
      </c>
      <c r="H15" s="24" t="n">
        <v>1.499</v>
      </c>
      <c r="I15" s="24" t="n">
        <v>1.415</v>
      </c>
      <c r="J15" s="24" t="n">
        <v>1.709</v>
      </c>
      <c r="K15" s="24" t="n">
        <v>1.645</v>
      </c>
      <c r="L15" s="24" t="n">
        <v>1.829</v>
      </c>
      <c r="M15" s="24" t="n">
        <v>1.645</v>
      </c>
      <c r="N15" s="25" t="n">
        <f aca="false">G15+H15+I15</f>
        <v>4.226</v>
      </c>
      <c r="O15" s="25" t="n">
        <f aca="false">K15+L15+M15</f>
        <v>5.119</v>
      </c>
      <c r="P15" s="25" t="n">
        <f aca="false">K15+L15</f>
        <v>3.474</v>
      </c>
      <c r="Q15" s="25" t="n">
        <f aca="false">J15+K15+L15+M15</f>
        <v>6.828</v>
      </c>
      <c r="R15" s="8" t="s">
        <v>558</v>
      </c>
      <c r="S15" s="8" t="s">
        <v>559</v>
      </c>
    </row>
    <row r="16" customFormat="false" ht="17.15" hidden="false" customHeight="false" outlineLevel="0" collapsed="false">
      <c r="A16" s="5" t="s">
        <v>570</v>
      </c>
      <c r="B16" s="0" t="s">
        <v>91</v>
      </c>
      <c r="C16" s="26" t="n">
        <f aca="false">C10+C11+C12+C13+C14+C15</f>
        <v>484.028</v>
      </c>
      <c r="D16" s="26" t="n">
        <f aca="false">D10+D11+D12+D13+D14+D15</f>
        <v>530.403</v>
      </c>
      <c r="E16" s="26" t="n">
        <f aca="false">E10+E11+E12+E13+E14+E15</f>
        <v>588.199</v>
      </c>
      <c r="F16" s="26" t="n">
        <f aca="false">F10+F11+F12+F13+F14+F15</f>
        <v>159.006</v>
      </c>
      <c r="G16" s="26" t="n">
        <f aca="false">G10+G11+G12+G13+G14+G15</f>
        <v>126.4</v>
      </c>
      <c r="H16" s="26" t="n">
        <f aca="false">H10+H11+H12+H13+H14+H15</f>
        <v>136.829</v>
      </c>
      <c r="I16" s="26" t="n">
        <f aca="false">I10+I11+I12+I13+I14+I15</f>
        <v>147.163</v>
      </c>
      <c r="J16" s="26" t="n">
        <f aca="false">J10+J11+J12+J13+J14+J15</f>
        <v>177.807</v>
      </c>
      <c r="K16" s="26" t="n">
        <f aca="false">K10+K11+K12+K13+K14+K15</f>
        <v>143.932</v>
      </c>
      <c r="L16" s="26" t="n">
        <f aca="false">L10+L11+L12+L13+L14+L15</f>
        <v>158.374</v>
      </c>
      <c r="M16" s="26" t="n">
        <f aca="false">M10+M11+M12+M13+M14+M15</f>
        <v>155.96</v>
      </c>
      <c r="N16" s="26" t="n">
        <f aca="false">N10+N11+N12+N13+N14+N15</f>
        <v>410.392</v>
      </c>
      <c r="O16" s="26" t="n">
        <f aca="false">O10+O11+O12+O13+O14+O15</f>
        <v>458.266</v>
      </c>
      <c r="P16" s="26" t="n">
        <f aca="false">P10+P11+P12+P13+P14+P15</f>
        <v>302.306</v>
      </c>
      <c r="Q16" s="26" t="n">
        <f aca="false">Q10+Q11+Q12+Q13+Q14+Q15</f>
        <v>636.073</v>
      </c>
      <c r="R16" s="8" t="s">
        <v>46</v>
      </c>
    </row>
    <row r="17" customFormat="false" ht="17.15" hidden="false" customHeight="false" outlineLevel="0" collapsed="false">
      <c r="A17" s="0" t="s">
        <v>571</v>
      </c>
      <c r="B17" s="0" t="s">
        <v>91</v>
      </c>
      <c r="C17" s="26" t="n">
        <f aca="false">C7</f>
        <v>90.757</v>
      </c>
      <c r="D17" s="26" t="n">
        <f aca="false">D7</f>
        <v>107.556</v>
      </c>
      <c r="E17" s="26" t="n">
        <f aca="false">E7</f>
        <v>128.725</v>
      </c>
      <c r="F17" s="26" t="n">
        <f aca="false">F7</f>
        <v>28.786</v>
      </c>
      <c r="G17" s="26" t="n">
        <f aca="false">G7</f>
        <v>29.267</v>
      </c>
      <c r="H17" s="26" t="n">
        <f aca="false">H7</f>
        <v>30.873</v>
      </c>
      <c r="I17" s="26" t="n">
        <f aca="false">I7</f>
        <v>33.006</v>
      </c>
      <c r="J17" s="26" t="n">
        <f aca="false">J7</f>
        <v>35.579</v>
      </c>
      <c r="K17" s="26" t="n">
        <f aca="false">K7</f>
        <v>37.587</v>
      </c>
      <c r="L17" s="26" t="n">
        <f aca="false">L7</f>
        <v>42.232</v>
      </c>
      <c r="M17" s="26" t="n">
        <f aca="false">M7</f>
        <v>45.984</v>
      </c>
      <c r="N17" s="26" t="n">
        <f aca="false">N7</f>
        <v>93.146</v>
      </c>
      <c r="O17" s="26" t="n">
        <f aca="false">O7</f>
        <v>125.803</v>
      </c>
      <c r="P17" s="26" t="n">
        <f aca="false">P7</f>
        <v>79.819</v>
      </c>
      <c r="Q17" s="26" t="n">
        <f aca="false">Q7</f>
        <v>161.382</v>
      </c>
      <c r="R17" s="8" t="s">
        <v>46</v>
      </c>
    </row>
    <row r="18" customFormat="false" ht="17.15" hidden="false" customHeight="false" outlineLevel="0" collapsed="false">
      <c r="A18" s="27" t="s">
        <v>572</v>
      </c>
      <c r="B18" s="28" t="s">
        <v>91</v>
      </c>
      <c r="C18" s="29" t="n">
        <f aca="false">C16-(C5+C6)</f>
        <v>0</v>
      </c>
      <c r="D18" s="29" t="n">
        <f aca="false">D16-(D5+D6)</f>
        <v>0</v>
      </c>
      <c r="E18" s="29" t="n">
        <f aca="false">E16-(E5+E6)</f>
        <v>0</v>
      </c>
      <c r="F18" s="29" t="n">
        <f aca="false">F16-(F5+F6)</f>
        <v>0</v>
      </c>
      <c r="G18" s="29" t="n">
        <f aca="false">G16-(G5+G6)</f>
        <v>0</v>
      </c>
      <c r="H18" s="29" t="n">
        <f aca="false">H16-(H5+H6)</f>
        <v>0</v>
      </c>
      <c r="I18" s="29" t="n">
        <f aca="false">I16-(I5+I6)</f>
        <v>0</v>
      </c>
      <c r="J18" s="29" t="n">
        <f aca="false">J16-(J5+J6)</f>
        <v>0</v>
      </c>
      <c r="K18" s="29" t="n">
        <f aca="false">K16-(K5+K6)</f>
        <v>0</v>
      </c>
      <c r="L18" s="29" t="n">
        <f aca="false">L16-(L5+L6)</f>
        <v>0</v>
      </c>
      <c r="M18" s="29" t="n">
        <f aca="false">M16-(M5+M6)</f>
        <v>0</v>
      </c>
      <c r="N18" s="29" t="n">
        <f aca="false">N16-(N5+N6)</f>
        <v>0</v>
      </c>
      <c r="O18" s="29" t="n">
        <f aca="false">O16-(O5+O6)</f>
        <v>0</v>
      </c>
      <c r="P18" s="29" t="n">
        <f aca="false">P16-(P5+P6)</f>
        <v>0</v>
      </c>
      <c r="Q18" s="29" t="n">
        <f aca="false">Q16-(Q5+Q6)</f>
        <v>0</v>
      </c>
      <c r="R18" s="8" t="s">
        <v>46</v>
      </c>
    </row>
    <row r="19" customFormat="false" ht="17.15" hidden="false" customHeight="false" outlineLevel="0" collapsed="false">
      <c r="A19" s="27" t="s">
        <v>573</v>
      </c>
      <c r="B19" s="28" t="s">
        <v>91</v>
      </c>
      <c r="C19" s="29" t="n">
        <f aca="false">C16+C17-C8</f>
        <v>0</v>
      </c>
      <c r="D19" s="29" t="n">
        <f aca="false">D16+D17-D8</f>
        <v>0</v>
      </c>
      <c r="E19" s="29" t="n">
        <f aca="false">E16+E17-E8</f>
        <v>0</v>
      </c>
      <c r="F19" s="29" t="n">
        <f aca="false">F16+F17-F8</f>
        <v>0</v>
      </c>
      <c r="G19" s="29" t="n">
        <f aca="false">G16+G17-G8</f>
        <v>0</v>
      </c>
      <c r="H19" s="29" t="n">
        <f aca="false">H16+H17-H8</f>
        <v>0</v>
      </c>
      <c r="I19" s="29" t="n">
        <f aca="false">I16+I17-I8</f>
        <v>0</v>
      </c>
      <c r="J19" s="29" t="n">
        <f aca="false">J16+J17-J8</f>
        <v>0</v>
      </c>
      <c r="K19" s="29" t="n">
        <f aca="false">K16+K17-K8</f>
        <v>0</v>
      </c>
      <c r="L19" s="29" t="n">
        <f aca="false">L16+L17-L8</f>
        <v>0</v>
      </c>
      <c r="M19" s="29" t="n">
        <f aca="false">M16+M17-M8</f>
        <v>0</v>
      </c>
      <c r="N19" s="29" t="n">
        <f aca="false">N16+N17-N8</f>
        <v>0</v>
      </c>
      <c r="O19" s="29" t="n">
        <f aca="false">O16+O17-O8</f>
        <v>0</v>
      </c>
      <c r="P19" s="29" t="n">
        <f aca="false">P16+P17-P8</f>
        <v>0</v>
      </c>
      <c r="Q19" s="29" t="n">
        <f aca="false">Q16+Q17-Q8</f>
        <v>0</v>
      </c>
      <c r="R19" s="8" t="s">
        <v>46</v>
      </c>
    </row>
    <row r="20" customFormat="false" ht="15" hidden="false" customHeight="false" outlineLevel="0" collapsed="false">
      <c r="A20" s="27" t="s">
        <v>574</v>
      </c>
      <c r="B20" s="28" t="s">
        <v>91</v>
      </c>
      <c r="C20" s="29" t="n">
        <f aca="false">C5+C6+C7-C8</f>
        <v>0</v>
      </c>
      <c r="D20" s="29" t="n">
        <f aca="false">D5+D6+D7-D8</f>
        <v>0</v>
      </c>
      <c r="E20" s="29" t="n">
        <f aca="false">E5+E6+E7-E8</f>
        <v>0</v>
      </c>
      <c r="F20" s="29" t="n">
        <f aca="false">F5+F6+F7-F8</f>
        <v>0</v>
      </c>
      <c r="G20" s="29" t="n">
        <f aca="false">G5+G6+G7-G8</f>
        <v>0</v>
      </c>
      <c r="H20" s="29" t="n">
        <f aca="false">H5+H6+H7-H8</f>
        <v>0</v>
      </c>
      <c r="I20" s="29" t="n">
        <f aca="false">I5+I6+I7-I8</f>
        <v>0</v>
      </c>
      <c r="J20" s="29" t="n">
        <f aca="false">J5+J6+J7-J8</f>
        <v>0</v>
      </c>
      <c r="K20" s="29" t="n">
        <f aca="false">K5+K6+K7-K8</f>
        <v>0</v>
      </c>
      <c r="L20" s="29" t="n">
        <f aca="false">L5+L6+L7-L8</f>
        <v>0</v>
      </c>
      <c r="M20" s="29" t="n">
        <f aca="false">M5+M6+M7-M8</f>
        <v>0</v>
      </c>
      <c r="N20" s="29" t="n">
        <f aca="false">N5+N6+N7-N8</f>
        <v>0</v>
      </c>
      <c r="O20" s="29" t="n">
        <f aca="false">O5+O6+O7-O8</f>
        <v>0</v>
      </c>
      <c r="P20" s="29" t="n">
        <f aca="false">P5+P6+P7-P8</f>
        <v>0</v>
      </c>
      <c r="Q20" s="29" t="n">
        <f aca="false">Q5+Q6+Q7-Q8</f>
        <v>0</v>
      </c>
      <c r="R20" s="8" t="s">
        <v>46</v>
      </c>
    </row>
    <row r="21" customFormat="false" ht="17.15" hidden="false" customHeight="false" outlineLevel="0" collapsed="false">
      <c r="A21" s="27" t="s">
        <v>575</v>
      </c>
      <c r="B21" s="28" t="s">
        <v>91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9" t="n">
        <f aca="false">O8-584.069</f>
        <v>0</v>
      </c>
      <c r="P21" s="30"/>
      <c r="Q21" s="30"/>
      <c r="R21" s="8" t="s">
        <v>46</v>
      </c>
    </row>
    <row r="22" customFormat="false" ht="17.15" hidden="false" customHeight="false" outlineLevel="0" collapsed="false">
      <c r="A22" s="1" t="s">
        <v>576</v>
      </c>
    </row>
    <row r="23" customFormat="false" ht="17.15" hidden="false" customHeight="false" outlineLevel="0" collapsed="false">
      <c r="A23" s="0" t="s">
        <v>577</v>
      </c>
      <c r="B23" s="0" t="s">
        <v>91</v>
      </c>
      <c r="C23" s="24" t="n">
        <v>14.877</v>
      </c>
      <c r="D23" s="24" t="n">
        <v>24.967</v>
      </c>
      <c r="E23" s="24" t="n">
        <v>29.619</v>
      </c>
      <c r="F23" s="24" t="n">
        <v>9.256</v>
      </c>
      <c r="G23" s="24" t="n">
        <v>5.841</v>
      </c>
      <c r="H23" s="24" t="n">
        <v>7.517</v>
      </c>
      <c r="I23" s="24" t="n">
        <v>4.789</v>
      </c>
      <c r="J23" s="24" t="n">
        <v>11.472</v>
      </c>
      <c r="K23" s="24" t="n">
        <v>8.267</v>
      </c>
      <c r="L23" s="24" t="n">
        <v>9.123</v>
      </c>
      <c r="M23" s="24" t="n">
        <v>8.723</v>
      </c>
      <c r="N23" s="25" t="n">
        <f aca="false">G23+H23+I23</f>
        <v>18.147</v>
      </c>
      <c r="O23" s="25" t="n">
        <f aca="false">K23+L23+M23</f>
        <v>26.113</v>
      </c>
      <c r="P23" s="25" t="n">
        <f aca="false">K23+L23</f>
        <v>17.39</v>
      </c>
      <c r="Q23" s="25" t="n">
        <f aca="false">J23+K23+L23+M23</f>
        <v>37.585</v>
      </c>
      <c r="R23" s="8" t="s">
        <v>558</v>
      </c>
      <c r="S23" s="8" t="s">
        <v>559</v>
      </c>
    </row>
    <row r="24" customFormat="false" ht="17.15" hidden="false" customHeight="false" outlineLevel="0" collapsed="false">
      <c r="A24" s="0" t="s">
        <v>578</v>
      </c>
      <c r="B24" s="0" t="s">
        <v>91</v>
      </c>
      <c r="C24" s="24" t="n">
        <v>-2.656</v>
      </c>
      <c r="D24" s="24" t="n">
        <v>3.792</v>
      </c>
      <c r="E24" s="24" t="n">
        <v>4.75</v>
      </c>
      <c r="F24" s="24" t="n">
        <v>1.315</v>
      </c>
      <c r="G24" s="24" t="n">
        <v>1.017</v>
      </c>
      <c r="H24" s="24" t="n">
        <v>1.494</v>
      </c>
      <c r="I24" s="24" t="n">
        <v>1.199</v>
      </c>
      <c r="J24" s="24" t="n">
        <v>1.04</v>
      </c>
      <c r="K24" s="24" t="n">
        <v>1.424</v>
      </c>
      <c r="L24" s="24" t="n">
        <v>1.717</v>
      </c>
      <c r="M24" s="24" t="n">
        <v>1.58</v>
      </c>
      <c r="N24" s="25" t="n">
        <f aca="false">G24+H24+I24</f>
        <v>3.71</v>
      </c>
      <c r="O24" s="25" t="n">
        <f aca="false">K24+L24+M24</f>
        <v>4.721</v>
      </c>
      <c r="P24" s="25" t="n">
        <f aca="false">K24+L24</f>
        <v>3.141</v>
      </c>
      <c r="Q24" s="25" t="n">
        <f aca="false">J24+K24+L24+M24</f>
        <v>5.761</v>
      </c>
      <c r="R24" s="8" t="s">
        <v>558</v>
      </c>
      <c r="S24" s="8" t="s">
        <v>559</v>
      </c>
    </row>
    <row r="25" customFormat="false" ht="17.15" hidden="false" customHeight="false" outlineLevel="0" collapsed="false">
      <c r="A25" s="0" t="s">
        <v>579</v>
      </c>
      <c r="B25" s="0" t="s">
        <v>91</v>
      </c>
      <c r="C25" s="24" t="n">
        <v>24.631</v>
      </c>
      <c r="D25" s="24" t="n">
        <v>39.834</v>
      </c>
      <c r="E25" s="24" t="n">
        <v>45.606</v>
      </c>
      <c r="F25" s="24" t="n">
        <v>10.632</v>
      </c>
      <c r="G25" s="24" t="n">
        <v>11.547</v>
      </c>
      <c r="H25" s="24" t="n">
        <v>10.16</v>
      </c>
      <c r="I25" s="24" t="n">
        <v>11.434</v>
      </c>
      <c r="J25" s="24" t="n">
        <v>12.465</v>
      </c>
      <c r="K25" s="24" t="n">
        <v>14.161</v>
      </c>
      <c r="L25" s="24" t="n">
        <v>16.621</v>
      </c>
      <c r="M25" s="24" t="n">
        <v>17.773</v>
      </c>
      <c r="N25" s="25" t="n">
        <f aca="false">G25+H25+I25</f>
        <v>33.141</v>
      </c>
      <c r="O25" s="25" t="n">
        <f aca="false">K25+L25+M25</f>
        <v>48.555</v>
      </c>
      <c r="P25" s="25" t="n">
        <f aca="false">K25+L25</f>
        <v>30.782</v>
      </c>
      <c r="Q25" s="25" t="n">
        <f aca="false">J25+K25+L25+M25</f>
        <v>61.02</v>
      </c>
      <c r="R25" s="8" t="s">
        <v>558</v>
      </c>
      <c r="S25" s="8" t="s">
        <v>559</v>
      </c>
    </row>
    <row r="26" customFormat="false" ht="17.15" hidden="false" customHeight="false" outlineLevel="0" collapsed="false">
      <c r="A26" s="5" t="s">
        <v>580</v>
      </c>
      <c r="B26" s="0" t="s">
        <v>91</v>
      </c>
      <c r="C26" s="24" t="n">
        <v>36.852</v>
      </c>
      <c r="D26" s="24" t="n">
        <v>68.593</v>
      </c>
      <c r="E26" s="24" t="n">
        <v>79.975</v>
      </c>
      <c r="F26" s="24" t="n">
        <v>21.203</v>
      </c>
      <c r="G26" s="24" t="n">
        <v>18.405</v>
      </c>
      <c r="H26" s="24" t="n">
        <v>19.171</v>
      </c>
      <c r="I26" s="24" t="n">
        <v>17.422</v>
      </c>
      <c r="J26" s="24" t="n">
        <v>24.977</v>
      </c>
      <c r="K26" s="24" t="n">
        <v>23.852</v>
      </c>
      <c r="L26" s="24" t="n">
        <v>27.461</v>
      </c>
      <c r="M26" s="24" t="n">
        <v>28.076</v>
      </c>
      <c r="N26" s="25" t="n">
        <f aca="false">G26+H26+I26</f>
        <v>54.998</v>
      </c>
      <c r="O26" s="25" t="n">
        <f aca="false">K26+L26+M26</f>
        <v>79.389</v>
      </c>
      <c r="P26" s="25" t="n">
        <f aca="false">K26+L26</f>
        <v>51.313</v>
      </c>
      <c r="Q26" s="25" t="n">
        <f aca="false">J26+K26+L26+M26</f>
        <v>104.366</v>
      </c>
      <c r="R26" s="8" t="s">
        <v>558</v>
      </c>
      <c r="S26" s="8" t="s">
        <v>559</v>
      </c>
    </row>
    <row r="27" customFormat="false" ht="17.15" hidden="false" customHeight="false" outlineLevel="0" collapsed="false">
      <c r="A27" s="5" t="s">
        <v>581</v>
      </c>
      <c r="B27" s="0" t="s">
        <v>91</v>
      </c>
      <c r="C27" s="26" t="n">
        <f aca="false">C26-(C23+C24+C25)</f>
        <v>0</v>
      </c>
      <c r="D27" s="26" t="n">
        <f aca="false">D26-(D23+D24+D25)</f>
        <v>0</v>
      </c>
      <c r="E27" s="26" t="n">
        <f aca="false">E26-(E23+E24+E25)</f>
        <v>0</v>
      </c>
      <c r="F27" s="26" t="n">
        <f aca="false">F26-(F23+F24+F25)</f>
        <v>0</v>
      </c>
      <c r="G27" s="26" t="n">
        <f aca="false">G26-(G23+G24+G25)</f>
        <v>0</v>
      </c>
      <c r="H27" s="26" t="n">
        <f aca="false">H26-(H23+H24+H25)</f>
        <v>0</v>
      </c>
      <c r="I27" s="26" t="n">
        <f aca="false">I26-(I23+I24+I25)</f>
        <v>0</v>
      </c>
      <c r="J27" s="26" t="n">
        <f aca="false">J26-(J23+J24+J25)</f>
        <v>0</v>
      </c>
      <c r="K27" s="26" t="n">
        <f aca="false">K26-(K23+K24+K25)</f>
        <v>0</v>
      </c>
      <c r="L27" s="26" t="n">
        <f aca="false">L26-(L23+L24+L25)</f>
        <v>0</v>
      </c>
      <c r="M27" s="26" t="n">
        <f aca="false">M26-(M23+M24+M25)</f>
        <v>0</v>
      </c>
      <c r="N27" s="26" t="n">
        <f aca="false">N26-(N23+N24+N25)</f>
        <v>0</v>
      </c>
      <c r="O27" s="26" t="n">
        <f aca="false">O26-(O23+O24+O25)</f>
        <v>0</v>
      </c>
      <c r="P27" s="26" t="n">
        <f aca="false">P26-(P23+P24+P25)</f>
        <v>0</v>
      </c>
      <c r="Q27" s="26" t="n">
        <f aca="false">Q26-(Q23+Q24+Q25)</f>
        <v>0</v>
      </c>
      <c r="R27" s="8" t="s">
        <v>46</v>
      </c>
    </row>
    <row r="28" customFormat="false" ht="15" hidden="false" customHeight="false" outlineLevel="0" collapsed="false">
      <c r="A28" s="27" t="s">
        <v>582</v>
      </c>
      <c r="B28" s="28" t="s">
        <v>91</v>
      </c>
      <c r="C28" s="29" t="n">
        <f aca="false">C23+C24+C25+C27-C26</f>
        <v>0</v>
      </c>
      <c r="D28" s="29" t="n">
        <f aca="false">D23+D24+D25+D27-D26</f>
        <v>0</v>
      </c>
      <c r="E28" s="29" t="n">
        <f aca="false">E23+E24+E25+E27-E26</f>
        <v>0</v>
      </c>
      <c r="F28" s="29" t="n">
        <f aca="false">F23+F24+F25+F27-F26</f>
        <v>0</v>
      </c>
      <c r="G28" s="29" t="n">
        <f aca="false">G23+G24+G25+G27-G26</f>
        <v>0</v>
      </c>
      <c r="H28" s="29" t="n">
        <f aca="false">H23+H24+H25+H27-H26</f>
        <v>0</v>
      </c>
      <c r="I28" s="29" t="n">
        <f aca="false">I23+I24+I25+I27-I26</f>
        <v>0</v>
      </c>
      <c r="J28" s="29" t="n">
        <f aca="false">J23+J24+J25+J27-J26</f>
        <v>0</v>
      </c>
      <c r="K28" s="29" t="n">
        <f aca="false">K23+K24+K25+K27-K26</f>
        <v>0</v>
      </c>
      <c r="L28" s="29" t="n">
        <f aca="false">L23+L24+L25+L27-L26</f>
        <v>0</v>
      </c>
      <c r="M28" s="29" t="n">
        <f aca="false">M23+M24+M25+M27-M26</f>
        <v>0</v>
      </c>
      <c r="N28" s="29" t="n">
        <f aca="false">N23+N24+N25+N27-N26</f>
        <v>0</v>
      </c>
      <c r="O28" s="29" t="n">
        <f aca="false">O23+O24+O25+O27-O26</f>
        <v>0</v>
      </c>
      <c r="P28" s="29" t="n">
        <f aca="false">P23+P24+P25+P27-P26</f>
        <v>0</v>
      </c>
      <c r="Q28" s="29" t="n">
        <f aca="false">Q23+Q24+Q25+Q27-Q26</f>
        <v>0</v>
      </c>
      <c r="R28" s="8" t="s">
        <v>46</v>
      </c>
    </row>
    <row r="29" customFormat="false" ht="17.15" hidden="false" customHeight="false" outlineLevel="0" collapsed="false">
      <c r="A29" s="27" t="s">
        <v>583</v>
      </c>
      <c r="B29" s="28" t="s">
        <v>91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29" t="n">
        <f aca="false">O26-79.389</f>
        <v>0</v>
      </c>
      <c r="P29" s="30"/>
      <c r="Q29" s="30"/>
      <c r="R29" s="8" t="s">
        <v>46</v>
      </c>
    </row>
    <row r="30" customFormat="false" ht="17.15" hidden="false" customHeight="false" outlineLevel="0" collapsed="false">
      <c r="A30" s="1" t="s">
        <v>584</v>
      </c>
    </row>
    <row r="31" customFormat="false" ht="17.15" hidden="false" customHeight="false" outlineLevel="0" collapsed="false">
      <c r="A31" s="0" t="s">
        <v>585</v>
      </c>
      <c r="B31" s="0" t="s">
        <v>91</v>
      </c>
      <c r="C31" s="24" t="n">
        <v>13.678</v>
      </c>
      <c r="D31" s="24" t="n">
        <v>14.285</v>
      </c>
      <c r="E31" s="24" t="n">
        <v>15.503</v>
      </c>
      <c r="F31" s="25"/>
      <c r="G31" s="24" t="n">
        <v>3.53</v>
      </c>
      <c r="H31" s="24" t="n">
        <v>3.742</v>
      </c>
      <c r="I31" s="24" t="n">
        <v>4.001</v>
      </c>
      <c r="J31" s="26" t="n">
        <f aca="false">E31-G31-H31-I31</f>
        <v>4.23</v>
      </c>
      <c r="K31" s="24" t="n">
        <v>4.28</v>
      </c>
      <c r="L31" s="24" t="n">
        <v>4.5</v>
      </c>
      <c r="M31" s="26" t="n">
        <f aca="false">L31*M49/L49</f>
        <v>4.71635481288773</v>
      </c>
      <c r="N31" s="25" t="n">
        <f aca="false">G31+H31+I31</f>
        <v>11.273</v>
      </c>
      <c r="O31" s="25" t="n">
        <f aca="false">K31+L31+M31</f>
        <v>13.4963548128877</v>
      </c>
      <c r="P31" s="25" t="n">
        <f aca="false">K31+L31</f>
        <v>8.78</v>
      </c>
      <c r="Q31" s="25" t="n">
        <f aca="false">J31+K31+L31+M31</f>
        <v>17.7263548128877</v>
      </c>
      <c r="R31" s="8" t="s">
        <v>586</v>
      </c>
      <c r="S31" s="8" t="s">
        <v>587</v>
      </c>
    </row>
    <row r="32" customFormat="false" ht="17.15" hidden="false" customHeight="false" outlineLevel="0" collapsed="false">
      <c r="A32" s="0" t="s">
        <v>588</v>
      </c>
      <c r="B32" s="0" t="s">
        <v>91</v>
      </c>
      <c r="C32" s="24" t="n">
        <v>4.016</v>
      </c>
      <c r="D32" s="24" t="n">
        <v>4.462</v>
      </c>
      <c r="E32" s="24" t="n">
        <v>4.907</v>
      </c>
      <c r="F32" s="25"/>
      <c r="G32" s="24" t="n">
        <v>1.136</v>
      </c>
      <c r="H32" s="24" t="n">
        <v>1.18</v>
      </c>
      <c r="I32" s="24" t="n">
        <v>1.276</v>
      </c>
      <c r="J32" s="26" t="n">
        <f aca="false">E32-G32-H32-I32</f>
        <v>1.315</v>
      </c>
      <c r="K32" s="24" t="n">
        <v>1.277</v>
      </c>
      <c r="L32" s="24" t="n">
        <v>1.293</v>
      </c>
      <c r="M32" s="26" t="n">
        <f aca="false">L32*M49/L49</f>
        <v>1.35516594956974</v>
      </c>
      <c r="N32" s="25" t="n">
        <f aca="false">G32+H32+I32</f>
        <v>3.592</v>
      </c>
      <c r="O32" s="25" t="n">
        <f aca="false">K32+L32+M32</f>
        <v>3.92516594956974</v>
      </c>
      <c r="P32" s="25" t="n">
        <f aca="false">K32+L32</f>
        <v>2.57</v>
      </c>
      <c r="Q32" s="25" t="n">
        <f aca="false">J32+K32+L32+M32</f>
        <v>5.24016594956974</v>
      </c>
      <c r="R32" s="8" t="s">
        <v>586</v>
      </c>
      <c r="S32" s="8" t="s">
        <v>587</v>
      </c>
    </row>
    <row r="33" customFormat="false" ht="17.15" hidden="false" customHeight="false" outlineLevel="0" collapsed="false">
      <c r="A33" s="0" t="s">
        <v>589</v>
      </c>
      <c r="B33" s="0" t="s">
        <v>91</v>
      </c>
      <c r="C33" s="24" t="n">
        <v>12.531</v>
      </c>
      <c r="D33" s="24" t="n">
        <v>13.32</v>
      </c>
      <c r="E33" s="24" t="n">
        <v>21.45</v>
      </c>
      <c r="F33" s="25"/>
      <c r="G33" s="24" t="n">
        <v>4.39</v>
      </c>
      <c r="H33" s="24" t="n">
        <v>4.844</v>
      </c>
      <c r="I33" s="24" t="n">
        <v>5.648</v>
      </c>
      <c r="J33" s="26" t="n">
        <f aca="false">E33-G33-H33-I33</f>
        <v>6.568</v>
      </c>
      <c r="K33" s="24" t="n">
        <v>7.277</v>
      </c>
      <c r="L33" s="24" t="n">
        <v>8.076</v>
      </c>
      <c r="M33" s="26" t="n">
        <f aca="false">L33*M49/L49</f>
        <v>8.46428477086252</v>
      </c>
      <c r="N33" s="25" t="n">
        <f aca="false">G33+H33+I33</f>
        <v>14.882</v>
      </c>
      <c r="O33" s="25" t="n">
        <f aca="false">K33+L33+M33</f>
        <v>23.8172847708625</v>
      </c>
      <c r="P33" s="25" t="n">
        <f aca="false">K33+L33</f>
        <v>15.353</v>
      </c>
      <c r="Q33" s="25" t="n">
        <f aca="false">J33+K33+L33+M33</f>
        <v>30.3852847708625</v>
      </c>
      <c r="R33" s="8" t="s">
        <v>586</v>
      </c>
      <c r="S33" s="8" t="s">
        <v>587</v>
      </c>
    </row>
    <row r="34" customFormat="false" ht="15" hidden="false" customHeight="false" outlineLevel="0" collapsed="false">
      <c r="A34" s="5" t="s">
        <v>590</v>
      </c>
      <c r="B34" s="0" t="s">
        <v>91</v>
      </c>
      <c r="C34" s="26" t="n">
        <f aca="false">IF(COUNT(C31:C33)=3,C31+C32+C33,"")</f>
        <v>30.225</v>
      </c>
      <c r="D34" s="26" t="n">
        <f aca="false">IF(COUNT(D31:D33)=3,D31+D32+D33,"")</f>
        <v>32.067</v>
      </c>
      <c r="E34" s="26" t="n">
        <f aca="false">IF(COUNT(E31:E33)=3,E31+E32+E33,"")</f>
        <v>41.86</v>
      </c>
      <c r="F34" s="26" t="str">
        <f aca="false">IF(COUNT(F31:F33)=3,F31+F32+F33,"")</f>
        <v/>
      </c>
      <c r="G34" s="26" t="n">
        <f aca="false">IF(COUNT(G31:G33)=3,G31+G32+G33,"")</f>
        <v>9.056</v>
      </c>
      <c r="H34" s="26" t="n">
        <f aca="false">IF(COUNT(H31:H33)=3,H31+H32+H33,"")</f>
        <v>9.766</v>
      </c>
      <c r="I34" s="26" t="n">
        <f aca="false">IF(COUNT(I31:I33)=3,I31+I32+I33,"")</f>
        <v>10.925</v>
      </c>
      <c r="J34" s="26" t="n">
        <f aca="false">IF(COUNT(J31:J33)=3,J31+J32+J33,"")</f>
        <v>12.113</v>
      </c>
      <c r="K34" s="26" t="n">
        <f aca="false">IF(COUNT(K31:K33)=3,K31+K32+K33,"")</f>
        <v>12.834</v>
      </c>
      <c r="L34" s="26" t="n">
        <f aca="false">IF(COUNT(L31:L33)=3,L31+L32+L33,"")</f>
        <v>13.869</v>
      </c>
      <c r="M34" s="26" t="n">
        <f aca="false">IF(COUNT(M31:M33)=3,M31+M32+M33,"")</f>
        <v>14.53580553332</v>
      </c>
      <c r="N34" s="26" t="n">
        <f aca="false">IF(COUNT(N31:N33)=3,N31+N32+N33,"")</f>
        <v>29.747</v>
      </c>
      <c r="O34" s="26" t="n">
        <f aca="false">IF(COUNT(O31:O33)=3,O31+O32+O33,"")</f>
        <v>41.23880553332</v>
      </c>
      <c r="P34" s="26" t="n">
        <f aca="false">IF(COUNT(P31:P33)=3,P31+P32+P33,"")</f>
        <v>26.703</v>
      </c>
      <c r="Q34" s="26" t="n">
        <f aca="false">IF(COUNT(Q31:Q33)=3,Q31+Q32+Q33,"")</f>
        <v>53.35180553332</v>
      </c>
      <c r="R34" s="8" t="s">
        <v>46</v>
      </c>
    </row>
    <row r="35" customFormat="false" ht="17.15" hidden="false" customHeight="false" outlineLevel="0" collapsed="false">
      <c r="A35" s="1" t="s">
        <v>591</v>
      </c>
    </row>
    <row r="36" customFormat="false" ht="17.15" hidden="false" customHeight="false" outlineLevel="0" collapsed="false">
      <c r="A36" s="5" t="s">
        <v>592</v>
      </c>
      <c r="B36" s="0" t="s">
        <v>91</v>
      </c>
      <c r="C36" s="24" t="n">
        <v>3.182</v>
      </c>
      <c r="D36" s="24" t="n">
        <v>2.406</v>
      </c>
      <c r="E36" s="24" t="n">
        <v>2.274</v>
      </c>
      <c r="F36" s="24" t="n">
        <v>0.57</v>
      </c>
      <c r="G36" s="24" t="n">
        <v>0.541</v>
      </c>
      <c r="H36" s="24" t="n">
        <v>0.516</v>
      </c>
      <c r="I36" s="24" t="n">
        <v>0.538</v>
      </c>
      <c r="J36" s="24" t="n">
        <v>0.679</v>
      </c>
      <c r="K36" s="24" t="n">
        <v>0.8</v>
      </c>
      <c r="L36" s="24" t="n">
        <v>1.314</v>
      </c>
      <c r="M36" s="24" t="n">
        <v>1.691</v>
      </c>
      <c r="N36" s="25" t="n">
        <f aca="false">G36+H36+I36</f>
        <v>1.595</v>
      </c>
      <c r="O36" s="25" t="n">
        <f aca="false">K36+L36+M36</f>
        <v>3.805</v>
      </c>
      <c r="P36" s="25" t="n">
        <f aca="false">K36+L36</f>
        <v>2.114</v>
      </c>
      <c r="Q36" s="25" t="n">
        <f aca="false">J36+K36+L36+M36</f>
        <v>4.484</v>
      </c>
      <c r="R36" s="8" t="s">
        <v>558</v>
      </c>
      <c r="S36" s="8" t="s">
        <v>593</v>
      </c>
    </row>
    <row r="37" customFormat="false" ht="17.15" hidden="false" customHeight="false" outlineLevel="0" collapsed="false">
      <c r="A37" s="5" t="s">
        <v>594</v>
      </c>
      <c r="B37" s="0" t="s">
        <v>91</v>
      </c>
      <c r="C37" s="25"/>
      <c r="D37" s="25"/>
      <c r="E37" s="25"/>
      <c r="F37" s="25"/>
      <c r="G37" s="25"/>
      <c r="H37" s="25"/>
      <c r="I37" s="25"/>
      <c r="J37" s="25"/>
      <c r="K37" s="25"/>
      <c r="L37" s="24" t="n">
        <v>1.295</v>
      </c>
      <c r="M37" s="24" t="n">
        <v>1.187</v>
      </c>
      <c r="N37" s="25"/>
      <c r="O37" s="25"/>
      <c r="P37" s="25"/>
      <c r="Q37" s="25"/>
      <c r="R37" s="8" t="s">
        <v>38</v>
      </c>
      <c r="S37" s="8" t="s">
        <v>92</v>
      </c>
    </row>
    <row r="38" customFormat="false" ht="17.15" hidden="false" customHeight="false" outlineLevel="0" collapsed="false">
      <c r="A38" s="5" t="s">
        <v>595</v>
      </c>
      <c r="B38" s="0" t="s">
        <v>91</v>
      </c>
      <c r="C38" s="24" t="n">
        <v>37.557</v>
      </c>
      <c r="D38" s="24" t="n">
        <v>68.614</v>
      </c>
      <c r="E38" s="24" t="n">
        <v>97.311</v>
      </c>
      <c r="F38" s="24" t="n">
        <v>22.349</v>
      </c>
      <c r="G38" s="24" t="n">
        <v>21.679</v>
      </c>
      <c r="H38" s="24" t="n">
        <v>20.857</v>
      </c>
      <c r="I38" s="24" t="n">
        <v>28.17</v>
      </c>
      <c r="J38" s="24" t="n">
        <v>26.605</v>
      </c>
      <c r="K38" s="24" t="n">
        <v>39.834</v>
      </c>
      <c r="L38" s="24" t="n">
        <v>80.857</v>
      </c>
      <c r="M38" s="24" t="n">
        <v>26.869</v>
      </c>
      <c r="N38" s="25" t="n">
        <f aca="false">G38+H38+I38</f>
        <v>70.706</v>
      </c>
      <c r="O38" s="25" t="n">
        <f aca="false">K38+L38+M38</f>
        <v>147.56</v>
      </c>
      <c r="P38" s="25" t="n">
        <f aca="false">K38+L38</f>
        <v>120.691</v>
      </c>
      <c r="Q38" s="25" t="n">
        <f aca="false">J38+K38+L38+M38</f>
        <v>174.165</v>
      </c>
      <c r="R38" s="8" t="s">
        <v>558</v>
      </c>
      <c r="S38" s="8" t="s">
        <v>593</v>
      </c>
    </row>
    <row r="39" customFormat="false" ht="17.15" hidden="false" customHeight="false" outlineLevel="0" collapsed="false">
      <c r="A39" s="5" t="s">
        <v>596</v>
      </c>
      <c r="B39" s="0" t="s">
        <v>91</v>
      </c>
      <c r="C39" s="24" t="n">
        <v>7.12</v>
      </c>
      <c r="D39" s="24" t="n">
        <v>9.265</v>
      </c>
      <c r="E39" s="24" t="n">
        <v>19.087</v>
      </c>
      <c r="F39" s="24" t="n">
        <v>2.325</v>
      </c>
      <c r="G39" s="24" t="n">
        <v>4.553</v>
      </c>
      <c r="H39" s="24" t="n">
        <v>2.678</v>
      </c>
      <c r="I39" s="24" t="n">
        <v>6.91</v>
      </c>
      <c r="J39" s="24" t="n">
        <v>4.946</v>
      </c>
      <c r="K39" s="24" t="n">
        <v>9.56</v>
      </c>
      <c r="L39" s="24" t="n">
        <v>18.199</v>
      </c>
      <c r="M39" s="24" t="n">
        <v>6.18</v>
      </c>
      <c r="N39" s="25" t="n">
        <f aca="false">G39+H39+I39</f>
        <v>14.141</v>
      </c>
      <c r="O39" s="25" t="n">
        <f aca="false">K39+L39+M39</f>
        <v>33.939</v>
      </c>
      <c r="P39" s="25" t="n">
        <f aca="false">K39+L39</f>
        <v>27.759</v>
      </c>
      <c r="Q39" s="25" t="n">
        <f aca="false">J39+K39+L39+M39</f>
        <v>38.885</v>
      </c>
      <c r="R39" s="8" t="s">
        <v>558</v>
      </c>
      <c r="S39" s="8" t="s">
        <v>593</v>
      </c>
    </row>
    <row r="40" customFormat="false" ht="17.15" hidden="false" customHeight="false" outlineLevel="0" collapsed="false">
      <c r="A40" s="5" t="s">
        <v>597</v>
      </c>
      <c r="B40" s="0" t="s">
        <v>91</v>
      </c>
      <c r="C40" s="24" t="n">
        <v>30.425</v>
      </c>
      <c r="D40" s="24" t="n">
        <v>59.248</v>
      </c>
      <c r="E40" s="24" t="n">
        <v>77.67</v>
      </c>
      <c r="F40" s="24" t="n">
        <v>20.004</v>
      </c>
      <c r="G40" s="24" t="n">
        <v>17.127</v>
      </c>
      <c r="H40" s="24" t="n">
        <v>18.164</v>
      </c>
      <c r="I40" s="24" t="n">
        <v>21.187</v>
      </c>
      <c r="J40" s="24" t="n">
        <v>21.192</v>
      </c>
      <c r="K40" s="24" t="n">
        <v>30.255</v>
      </c>
      <c r="L40" s="24" t="n">
        <v>62.647</v>
      </c>
      <c r="M40" s="24" t="n">
        <v>20.685</v>
      </c>
      <c r="N40" s="25" t="n">
        <f aca="false">G40+H40+I40</f>
        <v>56.478</v>
      </c>
      <c r="O40" s="25" t="n">
        <f aca="false">K40+L40+M40</f>
        <v>113.587</v>
      </c>
      <c r="P40" s="25" t="n">
        <f aca="false">K40+L40</f>
        <v>92.902</v>
      </c>
      <c r="Q40" s="25" t="n">
        <f aca="false">J40+K40+L40+M40</f>
        <v>134.779</v>
      </c>
      <c r="R40" s="8" t="s">
        <v>558</v>
      </c>
      <c r="S40" s="8" t="s">
        <v>593</v>
      </c>
    </row>
    <row r="41" customFormat="false" ht="17.15" hidden="false" customHeight="false" outlineLevel="0" collapsed="false">
      <c r="A41" s="5" t="s">
        <v>598</v>
      </c>
      <c r="B41" s="0" t="s">
        <v>91</v>
      </c>
      <c r="C41" s="26" t="n">
        <f aca="false">IF(AND(ISNUMBER(C38),ISNUMBER(C36)),C38-C26+C36,"")</f>
        <v>3.88700000000001</v>
      </c>
      <c r="D41" s="26" t="n">
        <f aca="false">IF(AND(ISNUMBER(D38),ISNUMBER(D36)),D38-D26+D36,"")</f>
        <v>2.427</v>
      </c>
      <c r="E41" s="26" t="n">
        <f aca="false">IF(AND(ISNUMBER(E38),ISNUMBER(E36)),E38-E26+E36,"")</f>
        <v>19.61</v>
      </c>
      <c r="F41" s="26" t="n">
        <f aca="false">IF(AND(ISNUMBER(F38),ISNUMBER(F36)),F38-F26+F36,"")</f>
        <v>1.716</v>
      </c>
      <c r="G41" s="26" t="n">
        <f aca="false">IF(AND(ISNUMBER(G38),ISNUMBER(G36)),G38-G26+G36,"")</f>
        <v>3.815</v>
      </c>
      <c r="H41" s="26" t="n">
        <f aca="false">IF(AND(ISNUMBER(H38),ISNUMBER(H36)),H38-H26+H36,"")</f>
        <v>2.202</v>
      </c>
      <c r="I41" s="26" t="n">
        <f aca="false">IF(AND(ISNUMBER(I38),ISNUMBER(I36)),I38-I26+I36,"")</f>
        <v>11.286</v>
      </c>
      <c r="J41" s="26" t="n">
        <f aca="false">IF(AND(ISNUMBER(J38),ISNUMBER(J36)),J38-J26+J36,"")</f>
        <v>2.307</v>
      </c>
      <c r="K41" s="26" t="n">
        <f aca="false">IF(AND(ISNUMBER(K38),ISNUMBER(K36)),K38-K26+K36,"")</f>
        <v>16.782</v>
      </c>
      <c r="L41" s="26" t="n">
        <f aca="false">IF(AND(ISNUMBER(L38),ISNUMBER(L36)),L38-L26+L36,"")</f>
        <v>54.71</v>
      </c>
      <c r="M41" s="26" t="n">
        <f aca="false">IF(AND(ISNUMBER(M38),ISNUMBER(M36)),M38-M26+M36,"")</f>
        <v>0.483999999999999</v>
      </c>
      <c r="N41" s="26" t="n">
        <f aca="false">IF(AND(ISNUMBER(N38),ISNUMBER(N36)),N38-N26+N36,"")</f>
        <v>17.303</v>
      </c>
      <c r="O41" s="26" t="n">
        <f aca="false">IF(AND(ISNUMBER(O38),ISNUMBER(O36)),O38-O26+O36,"")</f>
        <v>71.976</v>
      </c>
      <c r="P41" s="26" t="n">
        <f aca="false">IF(AND(ISNUMBER(P38),ISNUMBER(P36)),P38-P26+P36,"")</f>
        <v>71.492</v>
      </c>
      <c r="Q41" s="26" t="n">
        <f aca="false">IF(AND(ISNUMBER(Q38),ISNUMBER(Q36)),Q38-Q26+Q36,"")</f>
        <v>74.283</v>
      </c>
      <c r="R41" s="8" t="s">
        <v>46</v>
      </c>
    </row>
    <row r="42" customFormat="false" ht="15" hidden="false" customHeight="false" outlineLevel="0" collapsed="false">
      <c r="A42" s="5" t="s">
        <v>599</v>
      </c>
      <c r="B42" s="0" t="s">
        <v>91</v>
      </c>
      <c r="C42" s="31" t="n">
        <f aca="false">C39/C38</f>
        <v>0.189578507335517</v>
      </c>
      <c r="D42" s="31" t="n">
        <f aca="false">D39/D38</f>
        <v>0.135030751741627</v>
      </c>
      <c r="E42" s="31" t="n">
        <f aca="false">E39/E38</f>
        <v>0.196144320785934</v>
      </c>
      <c r="F42" s="32"/>
      <c r="G42" s="32"/>
      <c r="H42" s="32"/>
      <c r="I42" s="32"/>
      <c r="J42" s="32"/>
      <c r="K42" s="32"/>
      <c r="L42" s="32"/>
      <c r="M42" s="32"/>
      <c r="N42" s="32"/>
      <c r="O42" s="31" t="n">
        <f aca="false">O39/O38</f>
        <v>0.230001355380862</v>
      </c>
      <c r="P42" s="32"/>
      <c r="Q42" s="32"/>
      <c r="R42" s="8" t="s">
        <v>46</v>
      </c>
    </row>
    <row r="43" customFormat="false" ht="17.15" hidden="false" customHeight="false" outlineLevel="0" collapsed="false">
      <c r="A43" s="5" t="s">
        <v>600</v>
      </c>
      <c r="B43" s="5" t="s">
        <v>37</v>
      </c>
      <c r="C43" s="24" t="n">
        <v>10.492</v>
      </c>
      <c r="D43" s="24" t="n">
        <v>10.721</v>
      </c>
      <c r="E43" s="24" t="n">
        <v>10.827</v>
      </c>
      <c r="F43" s="25"/>
      <c r="G43" s="24" t="n">
        <v>10.793</v>
      </c>
      <c r="H43" s="24" t="n">
        <v>10.806</v>
      </c>
      <c r="I43" s="24" t="n">
        <v>10.845</v>
      </c>
      <c r="J43" s="25"/>
      <c r="K43" s="24" t="n">
        <v>10.874</v>
      </c>
      <c r="L43" s="24" t="n">
        <v>10.903</v>
      </c>
      <c r="M43" s="24" t="n">
        <v>10.929</v>
      </c>
      <c r="N43" s="24" t="n">
        <v>10.815</v>
      </c>
      <c r="O43" s="24" t="n">
        <v>10.903</v>
      </c>
      <c r="P43" s="25"/>
      <c r="Q43" s="25"/>
      <c r="R43" s="8" t="s">
        <v>558</v>
      </c>
      <c r="S43" s="8" t="s">
        <v>601</v>
      </c>
    </row>
    <row r="44" customFormat="false" ht="17.15" hidden="false" customHeight="false" outlineLevel="0" collapsed="false">
      <c r="A44" s="5" t="s">
        <v>602</v>
      </c>
      <c r="B44" s="0" t="s">
        <v>27</v>
      </c>
      <c r="C44" s="33" t="n">
        <f aca="false">IF(ISNUMBER(C43),C40/C43,"")</f>
        <v>2.89982844071674</v>
      </c>
      <c r="D44" s="33" t="n">
        <f aca="false">IF(ISNUMBER(D43),D40/D43,"")</f>
        <v>5.52635015390355</v>
      </c>
      <c r="E44" s="33" t="n">
        <f aca="false">IF(ISNUMBER(E43),E40/E43,"")</f>
        <v>7.1737323358271</v>
      </c>
      <c r="F44" s="33" t="str">
        <f aca="false">IF(ISNUMBER(F43),F40/F43,"")</f>
        <v/>
      </c>
      <c r="G44" s="33" t="n">
        <f aca="false">IF(ISNUMBER(G43),G40/G43,"")</f>
        <v>1.58686185490596</v>
      </c>
      <c r="H44" s="33" t="n">
        <f aca="false">IF(ISNUMBER(H43),H40/H43,"")</f>
        <v>1.68091800851379</v>
      </c>
      <c r="I44" s="33" t="n">
        <f aca="false">IF(ISNUMBER(I43),I40/I43,"")</f>
        <v>1.95361917934532</v>
      </c>
      <c r="J44" s="33" t="str">
        <f aca="false">IF(ISNUMBER(J43),J40/J43,"")</f>
        <v/>
      </c>
      <c r="K44" s="33" t="n">
        <f aca="false">IF(ISNUMBER(K43),K40/K43,"")</f>
        <v>2.78232481147692</v>
      </c>
      <c r="L44" s="33" t="n">
        <f aca="false">IF(ISNUMBER(L43),L40/L43,"")</f>
        <v>5.74584976611942</v>
      </c>
      <c r="M44" s="33" t="n">
        <f aca="false">IF(ISNUMBER(M43),M40/M43,"")</f>
        <v>1.89267087565194</v>
      </c>
      <c r="N44" s="33" t="n">
        <f aca="false">IF(ISNUMBER(N43),N40/N43,"")</f>
        <v>5.22219140083218</v>
      </c>
      <c r="O44" s="33" t="n">
        <f aca="false">IF(ISNUMBER(O43),O40/O43,"")</f>
        <v>10.4179583600844</v>
      </c>
      <c r="P44" s="34"/>
      <c r="Q44" s="34"/>
      <c r="R44" s="8" t="s">
        <v>46</v>
      </c>
    </row>
    <row r="45" customFormat="false" ht="17.15" hidden="false" customHeight="false" outlineLevel="0" collapsed="false">
      <c r="A45" s="1" t="s">
        <v>603</v>
      </c>
    </row>
    <row r="46" customFormat="false" ht="17.15" hidden="false" customHeight="false" outlineLevel="0" collapsed="false">
      <c r="A46" s="5" t="s">
        <v>604</v>
      </c>
      <c r="B46" s="0" t="s">
        <v>91</v>
      </c>
      <c r="C46" s="24" t="n">
        <v>84.946</v>
      </c>
      <c r="D46" s="24" t="n">
        <v>115.877</v>
      </c>
      <c r="E46" s="24" t="n">
        <v>139.514</v>
      </c>
      <c r="F46" s="24" t="n">
        <v>45.636</v>
      </c>
      <c r="G46" s="24" t="n">
        <v>17.015</v>
      </c>
      <c r="H46" s="24" t="n">
        <v>32.515</v>
      </c>
      <c r="I46" s="24" t="n">
        <v>35.525</v>
      </c>
      <c r="J46" s="24" t="n">
        <v>54.459</v>
      </c>
      <c r="K46" s="24" t="n">
        <v>26.032</v>
      </c>
      <c r="L46" s="24" t="n">
        <v>45.387</v>
      </c>
      <c r="M46" s="24" t="n">
        <v>42.422</v>
      </c>
      <c r="N46" s="25" t="n">
        <f aca="false">G46+H46+I46</f>
        <v>85.055</v>
      </c>
      <c r="O46" s="25" t="n">
        <f aca="false">K46+L46+M46</f>
        <v>113.841</v>
      </c>
      <c r="P46" s="25" t="n">
        <f aca="false">K46+L46</f>
        <v>71.419</v>
      </c>
      <c r="Q46" s="25" t="n">
        <f aca="false">J46+K46+L46+M46</f>
        <v>168.3</v>
      </c>
      <c r="R46" s="8" t="s">
        <v>558</v>
      </c>
      <c r="S46" s="8" t="s">
        <v>605</v>
      </c>
    </row>
    <row r="47" customFormat="false" ht="17.15" hidden="false" customHeight="false" outlineLevel="0" collapsed="false">
      <c r="A47" s="5" t="s">
        <v>606</v>
      </c>
      <c r="B47" s="0" t="s">
        <v>91</v>
      </c>
      <c r="C47" s="24" t="n">
        <v>52.729</v>
      </c>
      <c r="D47" s="24" t="n">
        <v>82.999</v>
      </c>
      <c r="E47" s="24" t="n">
        <v>131.819</v>
      </c>
      <c r="F47" s="24" t="n">
        <v>27.834</v>
      </c>
      <c r="G47" s="24" t="n">
        <v>25.019</v>
      </c>
      <c r="H47" s="24" t="n">
        <v>32.183</v>
      </c>
      <c r="I47" s="24" t="n">
        <v>35.095</v>
      </c>
      <c r="J47" s="24" t="n">
        <v>39.522</v>
      </c>
      <c r="K47" s="24" t="n">
        <v>44.203</v>
      </c>
      <c r="L47" s="24" t="n">
        <v>54.208</v>
      </c>
      <c r="M47" s="24" t="n">
        <v>77.259</v>
      </c>
      <c r="N47" s="25" t="n">
        <f aca="false">G47+H47+I47</f>
        <v>92.297</v>
      </c>
      <c r="O47" s="25" t="n">
        <f aca="false">K47+L47+M47</f>
        <v>175.67</v>
      </c>
      <c r="P47" s="25" t="n">
        <f aca="false">K47+L47</f>
        <v>98.411</v>
      </c>
      <c r="Q47" s="25" t="n">
        <f aca="false">J47+K47+L47+M47</f>
        <v>215.192</v>
      </c>
      <c r="R47" s="8" t="s">
        <v>558</v>
      </c>
      <c r="S47" s="8" t="s">
        <v>593</v>
      </c>
    </row>
    <row r="48" customFormat="false" ht="15" hidden="false" customHeight="false" outlineLevel="0" collapsed="false">
      <c r="A48" s="5" t="s">
        <v>607</v>
      </c>
      <c r="B48" s="0" t="s">
        <v>91</v>
      </c>
      <c r="C48" s="24" t="n">
        <v>48.133</v>
      </c>
      <c r="D48" s="24" t="n">
        <v>77.658</v>
      </c>
      <c r="E48" s="24" t="n">
        <v>128.32</v>
      </c>
      <c r="F48" s="24" t="n">
        <v>26.052</v>
      </c>
      <c r="G48" s="24" t="n">
        <v>24.255</v>
      </c>
      <c r="H48" s="24" t="n">
        <v>31.368</v>
      </c>
      <c r="I48" s="24" t="n">
        <v>34.228</v>
      </c>
      <c r="J48" s="24" t="n">
        <v>38.469</v>
      </c>
      <c r="K48" s="24" t="n">
        <v>43.234</v>
      </c>
      <c r="L48" s="24" t="n">
        <v>53.076</v>
      </c>
      <c r="M48" s="24" t="n">
        <v>75.878</v>
      </c>
      <c r="N48" s="25" t="n">
        <f aca="false">G48+H48+I48</f>
        <v>89.851</v>
      </c>
      <c r="O48" s="25" t="n">
        <f aca="false">K48+L48+M48</f>
        <v>172.188</v>
      </c>
      <c r="P48" s="25" t="n">
        <f aca="false">K48+L48</f>
        <v>96.31</v>
      </c>
      <c r="Q48" s="25" t="n">
        <f aca="false">J48+K48+L48+M48</f>
        <v>210.657</v>
      </c>
      <c r="R48" s="8" t="s">
        <v>46</v>
      </c>
      <c r="S48" s="5" t="s">
        <v>608</v>
      </c>
    </row>
    <row r="49" customFormat="false" ht="17.15" hidden="false" customHeight="false" outlineLevel="0" collapsed="false">
      <c r="A49" s="5" t="s">
        <v>609</v>
      </c>
      <c r="B49" s="0" t="s">
        <v>91</v>
      </c>
      <c r="C49" s="24" t="n">
        <v>48.663</v>
      </c>
      <c r="D49" s="24" t="n">
        <v>52.795</v>
      </c>
      <c r="E49" s="24" t="n">
        <v>65.756</v>
      </c>
      <c r="F49" s="24" t="n">
        <v>15.631</v>
      </c>
      <c r="G49" s="24" t="n">
        <v>14.262</v>
      </c>
      <c r="H49" s="24" t="n">
        <v>15.227</v>
      </c>
      <c r="I49" s="24" t="n">
        <v>16.796</v>
      </c>
      <c r="J49" s="24" t="n">
        <v>19.471</v>
      </c>
      <c r="K49" s="24" t="n">
        <v>18.945</v>
      </c>
      <c r="L49" s="24" t="n">
        <v>19.988</v>
      </c>
      <c r="M49" s="24" t="n">
        <v>20.949</v>
      </c>
      <c r="N49" s="25" t="n">
        <f aca="false">G49+H49+I49</f>
        <v>46.285</v>
      </c>
      <c r="O49" s="25" t="n">
        <f aca="false">K49+L49+M49</f>
        <v>59.882</v>
      </c>
      <c r="P49" s="25" t="n">
        <f aca="false">K49+L49</f>
        <v>38.933</v>
      </c>
      <c r="Q49" s="25" t="n">
        <f aca="false">J49+K49+L49+M49</f>
        <v>79.353</v>
      </c>
      <c r="R49" s="8" t="s">
        <v>558</v>
      </c>
      <c r="S49" s="8" t="s">
        <v>593</v>
      </c>
    </row>
    <row r="50" customFormat="false" ht="17.15" hidden="false" customHeight="false" outlineLevel="0" collapsed="false">
      <c r="A50" s="5" t="s">
        <v>610</v>
      </c>
      <c r="B50" s="0" t="s">
        <v>91</v>
      </c>
      <c r="C50" s="24" t="n">
        <v>24.023</v>
      </c>
      <c r="D50" s="24" t="n">
        <v>22.011</v>
      </c>
      <c r="E50" s="24" t="n">
        <v>19.467</v>
      </c>
      <c r="F50" s="24" t="n">
        <v>4.995</v>
      </c>
      <c r="G50" s="24" t="n">
        <v>3.689</v>
      </c>
      <c r="H50" s="24" t="n">
        <v>6.534</v>
      </c>
      <c r="I50" s="24" t="n">
        <v>4.847</v>
      </c>
      <c r="J50" s="24" t="n">
        <v>4.397</v>
      </c>
      <c r="K50" s="24" t="n">
        <v>4.032</v>
      </c>
      <c r="L50" s="24" t="n">
        <v>6.038</v>
      </c>
      <c r="M50" s="24" t="n">
        <v>5.406</v>
      </c>
      <c r="N50" s="25" t="n">
        <f aca="false">G50+H50+I50</f>
        <v>15.07</v>
      </c>
      <c r="O50" s="25" t="n">
        <f aca="false">K50+L50+M50</f>
        <v>15.476</v>
      </c>
      <c r="P50" s="25" t="n">
        <f aca="false">K50+L50</f>
        <v>10.07</v>
      </c>
      <c r="Q50" s="25" t="n">
        <f aca="false">J50+K50+L50+M50</f>
        <v>19.873</v>
      </c>
      <c r="R50" s="8" t="s">
        <v>558</v>
      </c>
      <c r="S50" s="8" t="s">
        <v>593</v>
      </c>
    </row>
    <row r="51" customFormat="false" ht="15" hidden="false" customHeight="false" outlineLevel="0" collapsed="false">
      <c r="A51" s="5" t="s">
        <v>611</v>
      </c>
      <c r="B51" s="0" t="s">
        <v>91</v>
      </c>
      <c r="C51" s="26" t="n">
        <f aca="false">C46-C48</f>
        <v>36.813</v>
      </c>
      <c r="D51" s="26" t="n">
        <f aca="false">D46-D48</f>
        <v>38.219</v>
      </c>
      <c r="E51" s="26" t="n">
        <f aca="false">E46-E48</f>
        <v>11.194</v>
      </c>
      <c r="F51" s="26" t="n">
        <f aca="false">F46-F48</f>
        <v>19.584</v>
      </c>
      <c r="G51" s="26" t="n">
        <f aca="false">G46-G48</f>
        <v>-7.24</v>
      </c>
      <c r="H51" s="26" t="n">
        <f aca="false">H46-H48</f>
        <v>1.147</v>
      </c>
      <c r="I51" s="26" t="n">
        <f aca="false">I46-I48</f>
        <v>1.297</v>
      </c>
      <c r="J51" s="26" t="n">
        <f aca="false">J46-J48</f>
        <v>15.99</v>
      </c>
      <c r="K51" s="26" t="n">
        <f aca="false">K46-K48</f>
        <v>-17.202</v>
      </c>
      <c r="L51" s="26" t="n">
        <f aca="false">L46-L48</f>
        <v>-7.689</v>
      </c>
      <c r="M51" s="26" t="n">
        <f aca="false">M46-M48</f>
        <v>-33.456</v>
      </c>
      <c r="N51" s="26" t="n">
        <f aca="false">N46-N48</f>
        <v>-4.79599999999999</v>
      </c>
      <c r="O51" s="26" t="n">
        <f aca="false">O46-O48</f>
        <v>-58.347</v>
      </c>
      <c r="P51" s="26" t="n">
        <f aca="false">P46-P48</f>
        <v>-24.891</v>
      </c>
      <c r="Q51" s="26" t="n">
        <f aca="false">Q46-Q48</f>
        <v>-42.357</v>
      </c>
      <c r="R51" s="8" t="s">
        <v>46</v>
      </c>
    </row>
    <row r="52" customFormat="false" ht="17.15" hidden="false" customHeight="false" outlineLevel="0" collapsed="false">
      <c r="A52" s="5" t="s">
        <v>612</v>
      </c>
      <c r="B52" s="0" t="s">
        <v>91</v>
      </c>
      <c r="C52" s="24" t="n">
        <v>4.384</v>
      </c>
      <c r="D52" s="24" t="n">
        <v>2.043</v>
      </c>
      <c r="E52" s="24" t="n">
        <v>1.557</v>
      </c>
      <c r="F52" s="25"/>
      <c r="G52" s="25"/>
      <c r="H52" s="25"/>
      <c r="I52" s="25"/>
      <c r="J52" s="25"/>
      <c r="K52" s="25"/>
      <c r="L52" s="25"/>
      <c r="M52" s="24" t="n">
        <v>0.433</v>
      </c>
      <c r="N52" s="24" t="n">
        <v>1.172</v>
      </c>
      <c r="O52" s="24" t="n">
        <v>1.296</v>
      </c>
      <c r="P52" s="25"/>
      <c r="Q52" s="25"/>
      <c r="R52" s="8" t="s">
        <v>558</v>
      </c>
      <c r="S52" s="8" t="s">
        <v>593</v>
      </c>
    </row>
    <row r="53" customFormat="false" ht="17.15" hidden="false" customHeight="false" outlineLevel="0" collapsed="false">
      <c r="A53" s="5" t="s">
        <v>613</v>
      </c>
      <c r="B53" s="0" t="s">
        <v>91</v>
      </c>
      <c r="C53" s="24" t="n">
        <v>0</v>
      </c>
      <c r="D53" s="24" t="n">
        <v>0</v>
      </c>
      <c r="E53" s="24" t="n">
        <v>0</v>
      </c>
      <c r="F53" s="25"/>
      <c r="G53" s="25"/>
      <c r="H53" s="25"/>
      <c r="I53" s="25"/>
      <c r="J53" s="25"/>
      <c r="K53" s="25"/>
      <c r="L53" s="25"/>
      <c r="M53" s="25"/>
      <c r="N53" s="25"/>
      <c r="O53" s="24" t="n">
        <v>0</v>
      </c>
      <c r="P53" s="25"/>
      <c r="Q53" s="25"/>
      <c r="R53" s="8" t="s">
        <v>28</v>
      </c>
      <c r="S53" s="8" t="s">
        <v>593</v>
      </c>
    </row>
    <row r="54" customFormat="false" ht="17.15" hidden="false" customHeight="false" outlineLevel="0" collapsed="false">
      <c r="A54" s="5" t="s">
        <v>614</v>
      </c>
      <c r="B54" s="0" t="s">
        <v>91</v>
      </c>
      <c r="C54" s="24" t="n">
        <v>0</v>
      </c>
      <c r="D54" s="24" t="n">
        <v>0</v>
      </c>
      <c r="E54" s="24" t="n">
        <v>0</v>
      </c>
      <c r="F54" s="25"/>
      <c r="G54" s="25"/>
      <c r="H54" s="25"/>
      <c r="I54" s="25"/>
      <c r="J54" s="25"/>
      <c r="K54" s="25"/>
      <c r="L54" s="25"/>
      <c r="M54" s="25"/>
      <c r="N54" s="25"/>
      <c r="O54" s="24" t="n">
        <v>0</v>
      </c>
      <c r="P54" s="25"/>
      <c r="Q54" s="25"/>
      <c r="R54" s="8" t="s">
        <v>28</v>
      </c>
      <c r="S54" s="8" t="s">
        <v>593</v>
      </c>
    </row>
    <row r="55" customFormat="false" ht="17.15" hidden="false" customHeight="false" outlineLevel="0" collapsed="false">
      <c r="A55" s="5" t="s">
        <v>615</v>
      </c>
      <c r="B55" s="0" t="s">
        <v>91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4" t="n">
        <v>63.753</v>
      </c>
      <c r="P55" s="24" t="n">
        <v>39.767</v>
      </c>
      <c r="Q55" s="25"/>
      <c r="R55" s="8" t="s">
        <v>38</v>
      </c>
      <c r="S55" s="8" t="s">
        <v>92</v>
      </c>
    </row>
    <row r="56" customFormat="false" ht="17.15" hidden="false" customHeight="false" outlineLevel="0" collapsed="false">
      <c r="A56" s="1" t="s">
        <v>616</v>
      </c>
    </row>
    <row r="57" customFormat="false" ht="17.15" hidden="false" customHeight="false" outlineLevel="0" collapsed="false">
      <c r="A57" s="0" t="s">
        <v>617</v>
      </c>
      <c r="B57" s="0" t="s">
        <v>91</v>
      </c>
      <c r="C57" s="24" t="n">
        <v>17.529</v>
      </c>
      <c r="D57" s="24" t="n">
        <v>24.348</v>
      </c>
      <c r="E57" s="24" t="n">
        <v>35.919</v>
      </c>
      <c r="F57" s="25"/>
      <c r="G57" s="25"/>
      <c r="H57" s="25"/>
      <c r="I57" s="25"/>
      <c r="J57" s="25"/>
      <c r="K57" s="25"/>
      <c r="L57" s="24"/>
      <c r="M57" s="25"/>
      <c r="N57" s="25"/>
      <c r="O57" s="25"/>
      <c r="P57" s="24" t="n">
        <v>23.265</v>
      </c>
      <c r="Q57" s="25"/>
      <c r="R57" s="8" t="s">
        <v>28</v>
      </c>
      <c r="S57" s="8" t="s">
        <v>618</v>
      </c>
    </row>
    <row r="58" customFormat="false" ht="17.15" hidden="false" customHeight="false" outlineLevel="0" collapsed="false">
      <c r="A58" s="0" t="s">
        <v>619</v>
      </c>
      <c r="B58" s="0" t="s">
        <v>91</v>
      </c>
      <c r="C58" s="24" t="n">
        <v>4.144</v>
      </c>
      <c r="D58" s="24" t="n">
        <v>6.643</v>
      </c>
      <c r="E58" s="24" t="n">
        <v>7.617</v>
      </c>
      <c r="F58" s="25"/>
      <c r="G58" s="25"/>
      <c r="H58" s="25"/>
      <c r="I58" s="25"/>
      <c r="J58" s="25"/>
      <c r="K58" s="25"/>
      <c r="L58" s="24"/>
      <c r="M58" s="25"/>
      <c r="N58" s="25"/>
      <c r="O58" s="25"/>
      <c r="P58" s="24" t="n">
        <v>4.267</v>
      </c>
      <c r="Q58" s="25"/>
      <c r="R58" s="8" t="s">
        <v>28</v>
      </c>
      <c r="S58" s="8" t="s">
        <v>618</v>
      </c>
    </row>
    <row r="59" customFormat="false" ht="17.15" hidden="false" customHeight="false" outlineLevel="0" collapsed="false">
      <c r="A59" s="0" t="s">
        <v>620</v>
      </c>
      <c r="B59" s="0" t="s">
        <v>91</v>
      </c>
      <c r="C59" s="24" t="n">
        <v>24.843</v>
      </c>
      <c r="D59" s="24" t="n">
        <v>53.267</v>
      </c>
      <c r="E59" s="24" t="n">
        <v>96.496</v>
      </c>
      <c r="F59" s="25"/>
      <c r="G59" s="25"/>
      <c r="H59" s="25"/>
      <c r="I59" s="25"/>
      <c r="J59" s="25"/>
      <c r="K59" s="25"/>
      <c r="L59" s="24"/>
      <c r="M59" s="25"/>
      <c r="N59" s="25"/>
      <c r="O59" s="25"/>
      <c r="P59" s="24" t="n">
        <v>90.12</v>
      </c>
      <c r="Q59" s="25"/>
      <c r="R59" s="8" t="s">
        <v>28</v>
      </c>
      <c r="S59" s="8" t="s">
        <v>618</v>
      </c>
    </row>
    <row r="60" customFormat="false" ht="17.15" hidden="false" customHeight="false" outlineLevel="0" collapsed="false">
      <c r="A60" s="5" t="s">
        <v>621</v>
      </c>
      <c r="B60" s="0" t="s">
        <v>91</v>
      </c>
      <c r="C60" s="24" t="n">
        <v>1.828</v>
      </c>
      <c r="D60" s="24" t="n">
        <v>1.494</v>
      </c>
      <c r="E60" s="24" t="n">
        <v>2.32</v>
      </c>
      <c r="F60" s="25"/>
      <c r="G60" s="25"/>
      <c r="H60" s="25"/>
      <c r="I60" s="25"/>
      <c r="J60" s="25"/>
      <c r="K60" s="25"/>
      <c r="L60" s="24"/>
      <c r="M60" s="25"/>
      <c r="N60" s="25"/>
      <c r="O60" s="25"/>
      <c r="P60" s="24" t="n">
        <v>0.996</v>
      </c>
      <c r="Q60" s="25"/>
      <c r="R60" s="8" t="s">
        <v>28</v>
      </c>
      <c r="S60" s="8" t="s">
        <v>618</v>
      </c>
    </row>
    <row r="61" customFormat="false" ht="17.15" hidden="false" customHeight="false" outlineLevel="0" collapsed="false">
      <c r="A61" s="0" t="s">
        <v>622</v>
      </c>
      <c r="B61" s="0" t="s">
        <v>91</v>
      </c>
      <c r="C61" s="24" t="n">
        <v>48.344</v>
      </c>
      <c r="D61" s="24" t="n">
        <v>85.752</v>
      </c>
      <c r="E61" s="24" t="n">
        <v>142.352</v>
      </c>
      <c r="F61" s="25"/>
      <c r="G61" s="25"/>
      <c r="H61" s="25"/>
      <c r="I61" s="25"/>
      <c r="J61" s="25"/>
      <c r="K61" s="25"/>
      <c r="L61" s="24"/>
      <c r="M61" s="25"/>
      <c r="N61" s="25"/>
      <c r="O61" s="25"/>
      <c r="P61" s="24" t="n">
        <v>118.648</v>
      </c>
      <c r="Q61" s="25"/>
      <c r="R61" s="8" t="s">
        <v>28</v>
      </c>
      <c r="S61" s="8" t="s">
        <v>618</v>
      </c>
    </row>
    <row r="62" customFormat="false" ht="17.15" hidden="false" customHeight="false" outlineLevel="0" collapsed="false">
      <c r="A62" s="1" t="s">
        <v>623</v>
      </c>
    </row>
    <row r="63" customFormat="false" ht="17.15" hidden="false" customHeight="false" outlineLevel="0" collapsed="false">
      <c r="A63" s="5" t="s">
        <v>624</v>
      </c>
      <c r="B63" s="0" t="s">
        <v>91</v>
      </c>
      <c r="C63" s="25"/>
      <c r="D63" s="25"/>
      <c r="E63" s="24" t="n">
        <v>123.029</v>
      </c>
      <c r="F63" s="25"/>
      <c r="G63" s="25"/>
      <c r="H63" s="25"/>
      <c r="I63" s="25"/>
      <c r="J63" s="25"/>
      <c r="K63" s="25"/>
      <c r="L63" s="24" t="n">
        <v>122.988</v>
      </c>
      <c r="M63" s="24" t="n">
        <v>114.226</v>
      </c>
      <c r="N63" s="25"/>
      <c r="O63" s="25"/>
      <c r="P63" s="25"/>
      <c r="Q63" s="25"/>
      <c r="R63" s="8" t="s">
        <v>558</v>
      </c>
      <c r="S63" s="8" t="s">
        <v>625</v>
      </c>
    </row>
    <row r="64" customFormat="false" ht="17.15" hidden="false" customHeight="false" outlineLevel="0" collapsed="false">
      <c r="A64" s="5" t="s">
        <v>626</v>
      </c>
      <c r="B64" s="0" t="s">
        <v>91</v>
      </c>
      <c r="C64" s="25"/>
      <c r="D64" s="25"/>
      <c r="E64" s="24" t="n">
        <v>68.836</v>
      </c>
      <c r="F64" s="25"/>
      <c r="G64" s="25"/>
      <c r="H64" s="25"/>
      <c r="I64" s="25"/>
      <c r="J64" s="25"/>
      <c r="K64" s="25"/>
      <c r="L64" s="24" t="n">
        <v>132.995</v>
      </c>
      <c r="M64" s="24" t="n">
        <v>181.09</v>
      </c>
      <c r="N64" s="25"/>
      <c r="O64" s="25"/>
      <c r="P64" s="25"/>
      <c r="Q64" s="25"/>
      <c r="R64" s="8" t="s">
        <v>627</v>
      </c>
      <c r="S64" s="8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628</v>
      </c>
    </row>
    <row r="2" customFormat="false" ht="17.15" hidden="false" customHeight="false" outlineLevel="0" collapsed="false">
      <c r="A2" s="5" t="s">
        <v>629</v>
      </c>
    </row>
    <row r="4" customFormat="false" ht="19.4" hidden="false" customHeight="false" outlineLevel="0" collapsed="false">
      <c r="A4" s="35" t="s">
        <v>630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3" t="s">
        <v>542</v>
      </c>
      <c r="D5" s="23" t="s">
        <v>543</v>
      </c>
      <c r="E5" s="23" t="s">
        <v>631</v>
      </c>
      <c r="F5" s="23" t="s">
        <v>632</v>
      </c>
      <c r="G5" s="23" t="s">
        <v>633</v>
      </c>
      <c r="H5" s="23" t="s">
        <v>634</v>
      </c>
      <c r="I5" s="23" t="s">
        <v>635</v>
      </c>
      <c r="J5" s="23" t="s">
        <v>636</v>
      </c>
      <c r="K5" s="23" t="s">
        <v>637</v>
      </c>
      <c r="L5" s="23" t="s">
        <v>638</v>
      </c>
      <c r="M5" s="23" t="s">
        <v>639</v>
      </c>
      <c r="N5" s="23" t="s">
        <v>640</v>
      </c>
      <c r="O5" s="23" t="s">
        <v>641</v>
      </c>
      <c r="P5" s="6" t="s">
        <v>23</v>
      </c>
      <c r="R5" s="23" t="n">
        <v>2023</v>
      </c>
      <c r="S5" s="23" t="n">
        <v>2024</v>
      </c>
      <c r="T5" s="23" t="n">
        <v>2025</v>
      </c>
      <c r="U5" s="23" t="n">
        <v>2026</v>
      </c>
      <c r="V5" s="23" t="n">
        <v>2027</v>
      </c>
      <c r="W5" s="23" t="n">
        <v>2028</v>
      </c>
      <c r="X5" s="23" t="n">
        <v>2029</v>
      </c>
      <c r="Y5" s="23" t="n">
        <v>2030</v>
      </c>
      <c r="Z5" s="23" t="n">
        <v>2031</v>
      </c>
      <c r="AA5" s="23" t="n">
        <v>2032</v>
      </c>
    </row>
    <row r="6" customFormat="false" ht="17.15" hidden="false" customHeight="false" outlineLevel="0" collapsed="false">
      <c r="A6" s="1" t="s">
        <v>642</v>
      </c>
    </row>
    <row r="7" customFormat="false" ht="17.15" hidden="false" customHeight="false" outlineLevel="0" collapsed="false">
      <c r="A7" s="5" t="s">
        <v>643</v>
      </c>
      <c r="B7" s="0" t="s">
        <v>153</v>
      </c>
      <c r="H7" s="36" t="n">
        <f aca="false">(pace_A*pace_x)</f>
        <v>3733</v>
      </c>
      <c r="I7" s="36" t="n">
        <f aca="false">(pace_A*pace_x)</f>
        <v>3733</v>
      </c>
      <c r="J7" s="36" t="n">
        <f aca="false">(pace_A*pace_x)</f>
        <v>3733</v>
      </c>
      <c r="K7" s="36" t="n">
        <f aca="false">(pace_A*pace_x)+(Thesis!$J$8*tg-(pace_A*pace_x))*1/3</f>
        <v>2640.26141666667</v>
      </c>
      <c r="L7" s="36" t="n">
        <f aca="false">(pace_A*pace_x)+(Thesis!$J$8*tg-(pace_A*pace_x))*2/3</f>
        <v>1547.52283333333</v>
      </c>
      <c r="M7" s="36" t="n">
        <f aca="false">(pace_A*pace_x)+(Thesis!$J$8*tg-(pace_A*pace_x))*3/3</f>
        <v>454.78425</v>
      </c>
      <c r="P7" s="5" t="s">
        <v>644</v>
      </c>
    </row>
    <row r="8" customFormat="false" ht="17.15" hidden="false" customHeight="false" outlineLevel="0" collapsed="false">
      <c r="A8" s="15" t="s">
        <v>645</v>
      </c>
      <c r="B8" s="14" t="s">
        <v>138</v>
      </c>
      <c r="C8" s="37" t="n">
        <f aca="false">mw_ye24</f>
        <v>360</v>
      </c>
      <c r="D8" s="37" t="n">
        <f aca="false">mw_ye25</f>
        <v>1440</v>
      </c>
      <c r="E8" s="37" t="n">
        <f aca="false">mw_q3</f>
        <v>3027.225</v>
      </c>
      <c r="F8" s="37" t="n">
        <f aca="false">Thesis!$E$8+(pace_A*pace_x)*0.25</f>
        <v>3960.475</v>
      </c>
      <c r="G8" s="37" t="n">
        <f aca="false">Thesis!$F$8</f>
        <v>3960.475</v>
      </c>
      <c r="H8" s="37" t="n">
        <f aca="false">Thesis!$G$8+Thesis!$H$7</f>
        <v>7693.475</v>
      </c>
      <c r="I8" s="37" t="n">
        <f aca="false">Thesis!$H$8+Thesis!$I$7</f>
        <v>11426.475</v>
      </c>
      <c r="J8" s="37" t="n">
        <f aca="false">Thesis!$I$8+Thesis!$J$7</f>
        <v>15159.475</v>
      </c>
      <c r="K8" s="37" t="n">
        <f aca="false">Thesis!$J$8+Thesis!$K$7</f>
        <v>17799.7364166667</v>
      </c>
      <c r="L8" s="37" t="n">
        <f aca="false">Thesis!$K$8+Thesis!$L$7</f>
        <v>19347.25925</v>
      </c>
      <c r="M8" s="37" t="n">
        <f aca="false">Thesis!$L$8+Thesis!$M$7</f>
        <v>19802.0435</v>
      </c>
      <c r="N8" s="37" t="n">
        <f aca="false">mw_ye24+(mw_ye25-mw_ye24)*0.75</f>
        <v>1170</v>
      </c>
      <c r="O8" s="37" t="n">
        <f aca="false">mw_ye25</f>
        <v>1440</v>
      </c>
      <c r="P8" s="5" t="s">
        <v>646</v>
      </c>
    </row>
    <row r="9" customFormat="false" ht="17.15" hidden="false" customHeight="false" outlineLevel="0" collapsed="false">
      <c r="A9" s="5" t="s">
        <v>647</v>
      </c>
      <c r="B9" s="0" t="s">
        <v>138</v>
      </c>
      <c r="C9" s="36" t="n">
        <f aca="false">(mw_ye23+mw_ye24)/2</f>
        <v>240</v>
      </c>
      <c r="D9" s="36" t="n">
        <f aca="false">(Thesis!$C$8+Thesis!$D$8)/2</f>
        <v>900</v>
      </c>
      <c r="E9" s="36" t="n">
        <f aca="false">(Thesis!$D$8+Thesis!$E$8)/2</f>
        <v>2233.6125</v>
      </c>
      <c r="F9" s="36" t="n">
        <f aca="false">(Thesis!$E$8+Thesis!$F$8)/2</f>
        <v>3493.85</v>
      </c>
      <c r="G9" s="36" t="n">
        <f aca="false">Thesis!$E$9*0.75+Thesis!$F$9*0.25</f>
        <v>2548.671875</v>
      </c>
      <c r="H9" s="36" t="n">
        <f aca="false">(Thesis!$G$8+Thesis!$H$8)/2</f>
        <v>5826.975</v>
      </c>
      <c r="I9" s="36" t="n">
        <f aca="false">(Thesis!$H$8+Thesis!$I$8)/2</f>
        <v>9559.975</v>
      </c>
      <c r="J9" s="36" t="n">
        <f aca="false">(Thesis!$I$8+Thesis!$J$8)/2</f>
        <v>13292.975</v>
      </c>
      <c r="K9" s="36" t="n">
        <f aca="false">(Thesis!$J$8+Thesis!$K$8)/2</f>
        <v>16479.6057083333</v>
      </c>
      <c r="L9" s="36" t="n">
        <f aca="false">(Thesis!$K$8+Thesis!$L$8)/2</f>
        <v>18573.4978333333</v>
      </c>
      <c r="M9" s="36" t="n">
        <f aca="false">(Thesis!$L$8+Thesis!$M$8)/2</f>
        <v>19574.651375</v>
      </c>
      <c r="N9" s="36" t="n">
        <f aca="false">(Thesis!$C$8+Thesis!$N$8)/2</f>
        <v>765</v>
      </c>
      <c r="O9" s="36" t="n">
        <f aca="false">(Thesis!$N$8+Thesis!$O$8)/2</f>
        <v>1305</v>
      </c>
    </row>
    <row r="10" customFormat="false" ht="15" hidden="false" customHeight="false" outlineLevel="0" collapsed="false">
      <c r="A10" s="5" t="s">
        <v>648</v>
      </c>
      <c r="B10" s="5" t="s">
        <v>132</v>
      </c>
      <c r="C10" s="38" t="n">
        <v>1</v>
      </c>
      <c r="D10" s="38" t="n">
        <v>1</v>
      </c>
      <c r="E10" s="38" t="n">
        <v>0.75</v>
      </c>
      <c r="F10" s="38" t="n">
        <v>0.25</v>
      </c>
      <c r="G10" s="38" t="n">
        <v>1</v>
      </c>
      <c r="H10" s="38" t="n">
        <v>1</v>
      </c>
      <c r="I10" s="38" t="n">
        <v>1</v>
      </c>
      <c r="J10" s="38" t="n">
        <v>1</v>
      </c>
      <c r="K10" s="38" t="n">
        <v>1</v>
      </c>
      <c r="L10" s="38" t="n">
        <v>1</v>
      </c>
      <c r="M10" s="38" t="n">
        <v>1</v>
      </c>
      <c r="N10" s="38" t="n">
        <v>0.75</v>
      </c>
      <c r="O10" s="38" t="n">
        <v>0.25</v>
      </c>
    </row>
    <row r="11" customFormat="false" ht="17.15" hidden="false" customHeight="false" outlineLevel="0" collapsed="false">
      <c r="A11" s="5" t="s">
        <v>649</v>
      </c>
      <c r="B11" s="0" t="s">
        <v>138</v>
      </c>
      <c r="C11" s="36" t="n">
        <f aca="false">Thesis!$C$8-mw_ye23</f>
        <v>240</v>
      </c>
      <c r="D11" s="36" t="n">
        <f aca="false">Thesis!$D$8-Thesis!$C$8</f>
        <v>1080</v>
      </c>
      <c r="E11" s="36" t="n">
        <f aca="false">Thesis!$E$8-Thesis!$D$8</f>
        <v>1587.225</v>
      </c>
      <c r="F11" s="36" t="n">
        <f aca="false">Thesis!$F$8-Thesis!$E$8</f>
        <v>933.25</v>
      </c>
      <c r="G11" s="36" t="n">
        <f aca="false">Thesis!$E$11+Thesis!$F$11</f>
        <v>2520.475</v>
      </c>
      <c r="H11" s="36" t="n">
        <f aca="false">Thesis!$H$8-Thesis!$G$8</f>
        <v>3733</v>
      </c>
      <c r="I11" s="36" t="n">
        <f aca="false">Thesis!$I$8-Thesis!$H$8</f>
        <v>3733</v>
      </c>
      <c r="J11" s="36" t="n">
        <f aca="false">Thesis!$J$8-Thesis!$I$8</f>
        <v>3733</v>
      </c>
      <c r="K11" s="36" t="n">
        <f aca="false">Thesis!$K$8-Thesis!$J$8</f>
        <v>2640.26141666667</v>
      </c>
      <c r="L11" s="36" t="n">
        <f aca="false">Thesis!$L$8-Thesis!$K$8</f>
        <v>1547.52283333333</v>
      </c>
      <c r="M11" s="36" t="n">
        <f aca="false">Thesis!$M$8-Thesis!$L$8</f>
        <v>454.784250000001</v>
      </c>
      <c r="N11" s="36" t="n">
        <f aca="false">Thesis!$N$8-Thesis!$C$8</f>
        <v>810</v>
      </c>
      <c r="O11" s="36" t="n">
        <f aca="false">Thesis!$O$8-Thesis!$N$8</f>
        <v>270</v>
      </c>
    </row>
    <row r="12" customFormat="false" ht="17.15" hidden="false" customHeight="false" outlineLevel="0" collapsed="false">
      <c r="A12" s="5" t="s">
        <v>650</v>
      </c>
      <c r="B12" s="0" t="s">
        <v>138</v>
      </c>
      <c r="C12" s="36" t="n">
        <f aca="false">Thesis!$C$11/ext_sh</f>
        <v>300</v>
      </c>
      <c r="D12" s="36" t="n">
        <f aca="false">Thesis!$D$11/ext_sh</f>
        <v>1350</v>
      </c>
      <c r="E12" s="36" t="n">
        <f aca="false">Thesis!$E$11/ext_sh</f>
        <v>1984.03125</v>
      </c>
      <c r="F12" s="36" t="n">
        <f aca="false">Thesis!$F$11/ext_sh</f>
        <v>1166.5625</v>
      </c>
      <c r="G12" s="36" t="n">
        <f aca="false">Thesis!$G$11/ext_sh</f>
        <v>3150.59375</v>
      </c>
      <c r="H12" s="36" t="n">
        <f aca="false">Thesis!$H$11/ext_sh</f>
        <v>4666.25</v>
      </c>
      <c r="I12" s="36" t="n">
        <f aca="false">Thesis!$I$11/ext_sh</f>
        <v>4666.25</v>
      </c>
      <c r="J12" s="36" t="n">
        <f aca="false">Thesis!$J$11/ext_sh</f>
        <v>4666.25</v>
      </c>
      <c r="K12" s="36" t="n">
        <f aca="false">Thesis!$K$11/ext_sh</f>
        <v>3300.32677083333</v>
      </c>
      <c r="L12" s="36" t="n">
        <f aca="false">Thesis!$L$11/ext_sh</f>
        <v>1934.40354166667</v>
      </c>
      <c r="M12" s="36" t="n">
        <f aca="false">Thesis!$M$11/ext_sh</f>
        <v>568.480312500001</v>
      </c>
      <c r="N12" s="36" t="n">
        <f aca="false">Thesis!$N$11/ext_sh</f>
        <v>1012.5</v>
      </c>
      <c r="O12" s="36" t="n">
        <f aca="false">Thesis!$O$11/ext_sh</f>
        <v>337.5</v>
      </c>
      <c r="P12" s="8" t="s">
        <v>651</v>
      </c>
      <c r="R12" s="36" t="n">
        <f aca="false">mw_ye23/ext_sh</f>
        <v>150</v>
      </c>
      <c r="S12" s="36" t="n">
        <f aca="false">Thesis!$C$12</f>
        <v>300</v>
      </c>
      <c r="T12" s="36" t="n">
        <f aca="false">Thesis!$D$12</f>
        <v>1350</v>
      </c>
      <c r="U12" s="36" t="n">
        <f aca="false">Thesis!$G$12</f>
        <v>3150.59375</v>
      </c>
      <c r="V12" s="36" t="n">
        <f aca="false">Thesis!$H$12</f>
        <v>4666.25</v>
      </c>
      <c r="W12" s="36" t="n">
        <f aca="false">Thesis!$I$12</f>
        <v>4666.25</v>
      </c>
      <c r="X12" s="36" t="n">
        <f aca="false">Thesis!$J$12</f>
        <v>4666.25</v>
      </c>
      <c r="Y12" s="36" t="n">
        <f aca="false">Thesis!$K$12</f>
        <v>3300.32677083333</v>
      </c>
      <c r="Z12" s="36" t="n">
        <f aca="false">Thesis!$L$12</f>
        <v>1934.40354166667</v>
      </c>
      <c r="AA12" s="36" t="n">
        <f aca="false">Thesis!$M$12</f>
        <v>568.480312500001</v>
      </c>
    </row>
    <row r="13" customFormat="false" ht="17.15" hidden="false" customHeight="false" outlineLevel="0" collapsed="false">
      <c r="A13" s="1" t="s">
        <v>652</v>
      </c>
    </row>
    <row r="14" customFormat="false" ht="17.15" hidden="false" customHeight="false" outlineLevel="0" collapsed="false">
      <c r="A14" s="0" t="s">
        <v>653</v>
      </c>
      <c r="B14" s="0" t="s">
        <v>56</v>
      </c>
      <c r="F14" s="22" t="n">
        <f aca="false">na_vr26</f>
        <v>0</v>
      </c>
      <c r="G14" s="22" t="n">
        <f aca="false">na_vr26</f>
        <v>0</v>
      </c>
      <c r="H14" s="22" t="n">
        <f aca="false">na_vr27</f>
        <v>0.5</v>
      </c>
      <c r="I14" s="22" t="n">
        <f aca="false">na_vr28</f>
        <v>1</v>
      </c>
      <c r="J14" s="22" t="n">
        <f aca="false">na_vr28</f>
        <v>1</v>
      </c>
      <c r="K14" s="22" t="n">
        <f aca="false">na_vr28</f>
        <v>1</v>
      </c>
      <c r="L14" s="22" t="n">
        <f aca="false">na_vr28</f>
        <v>1</v>
      </c>
      <c r="M14" s="22" t="n">
        <f aca="false">na_vr28</f>
        <v>1</v>
      </c>
    </row>
    <row r="15" customFormat="false" ht="17.15" hidden="false" customHeight="false" outlineLevel="0" collapsed="false">
      <c r="A15" s="5" t="s">
        <v>654</v>
      </c>
      <c r="B15" s="0" t="s">
        <v>187</v>
      </c>
      <c r="F15" s="21" t="n">
        <f aca="false">cust_sh*tk_he_gb300*cf_chip+(1-cust_sh)*((1-Thesis!$F$14)*tk_he_gb300+Thesis!$F$14*tk_he_vr200)</f>
        <v>8.76356085669863</v>
      </c>
      <c r="G15" s="21" t="n">
        <f aca="false">cust_sh*tk_he_gb300*cf_chip+(1-cust_sh)*((1-Thesis!$G$14)*tk_he_gb300+Thesis!$G$14*tk_he_vr200)</f>
        <v>8.76356085669863</v>
      </c>
      <c r="H15" s="21" t="n">
        <f aca="false">cust_sh*tk_he_gb300*cf_chip+(1-cust_sh)*((1-Thesis!$H$14)*tk_he_gb300+Thesis!$H$14*tk_he_vr200)</f>
        <v>9.09832585731713</v>
      </c>
      <c r="I15" s="21" t="n">
        <f aca="false">cust_sh*tk_he_gb300*cf_chip+(1-cust_sh)*((1-Thesis!$I$14)*tk_he_gb300+Thesis!$I$14*tk_he_vr200)</f>
        <v>9.43309085793563</v>
      </c>
      <c r="J15" s="21" t="n">
        <f aca="false">cust_sh*tk_he_gb300*cf_chip+(1-cust_sh)*((1-Thesis!$J$14)*tk_he_gb300+Thesis!$J$14*tk_he_vr200)</f>
        <v>9.43309085793563</v>
      </c>
      <c r="K15" s="21" t="n">
        <f aca="false">cust_sh*tk_he_gb300*cf_chip+(1-cust_sh)*((1-Thesis!$K$14)*tk_he_gb300+Thesis!$K$14*tk_he_vr200)</f>
        <v>9.43309085793563</v>
      </c>
      <c r="L15" s="21" t="n">
        <f aca="false">cust_sh*tk_he_gb300*cf_chip+(1-cust_sh)*((1-Thesis!$L$14)*tk_he_gb300+Thesis!$L$14*tk_he_vr200)</f>
        <v>9.43309085793563</v>
      </c>
      <c r="M15" s="21" t="n">
        <f aca="false">cust_sh*tk_he_gb300*cf_chip+(1-cust_sh)*((1-Thesis!$M$14)*tk_he_gb300+Thesis!$M$14*tk_he_vr200)</f>
        <v>9.43309085793563</v>
      </c>
    </row>
    <row r="16" customFormat="false" ht="17.15" hidden="false" customHeight="false" outlineLevel="0" collapsed="false">
      <c r="A16" s="5" t="s">
        <v>655</v>
      </c>
      <c r="B16" s="0" t="s">
        <v>187</v>
      </c>
      <c r="F16" s="21" t="n">
        <f aca="false">cust_sh*tk_ox_gb300+(1-cust_sh)*((1-Thesis!$F$14)*tk_ox_gb300+Thesis!$F$14*tk_ox_vr200)</f>
        <v>1.98263481314457</v>
      </c>
      <c r="G16" s="21" t="n">
        <f aca="false">cust_sh*tk_ox_gb300+(1-cust_sh)*((1-Thesis!$G$14)*tk_ox_gb300+Thesis!$G$14*tk_ox_vr200)</f>
        <v>1.98263481314457</v>
      </c>
      <c r="H16" s="21" t="n">
        <f aca="false">cust_sh*tk_ox_gb300+(1-cust_sh)*((1-Thesis!$H$14)*tk_ox_gb300+Thesis!$H$14*tk_ox_vr200)</f>
        <v>2.01034999693694</v>
      </c>
      <c r="I16" s="21" t="n">
        <f aca="false">cust_sh*tk_ox_gb300+(1-cust_sh)*((1-Thesis!$I$14)*tk_ox_gb300+Thesis!$I$14*tk_ox_vr200)</f>
        <v>2.0380651807293</v>
      </c>
      <c r="J16" s="21" t="n">
        <f aca="false">cust_sh*tk_ox_gb300+(1-cust_sh)*((1-Thesis!$J$14)*tk_ox_gb300+Thesis!$J$14*tk_ox_vr200)</f>
        <v>2.0380651807293</v>
      </c>
      <c r="K16" s="21" t="n">
        <f aca="false">cust_sh*tk_ox_gb300+(1-cust_sh)*((1-Thesis!$K$14)*tk_ox_gb300+Thesis!$K$14*tk_ox_vr200)</f>
        <v>2.0380651807293</v>
      </c>
      <c r="L16" s="21" t="n">
        <f aca="false">cust_sh*tk_ox_gb300+(1-cust_sh)*((1-Thesis!$L$14)*tk_ox_gb300+Thesis!$L$14*tk_ox_vr200)</f>
        <v>2.0380651807293</v>
      </c>
      <c r="M16" s="21" t="n">
        <f aca="false">cust_sh*tk_ox_gb300+(1-cust_sh)*((1-Thesis!$M$14)*tk_ox_gb300+Thesis!$M$14*tk_ox_vr200)</f>
        <v>2.0380651807293</v>
      </c>
    </row>
    <row r="17" customFormat="false" ht="17.15" hidden="false" customHeight="false" outlineLevel="0" collapsed="false">
      <c r="A17" s="5" t="s">
        <v>656</v>
      </c>
      <c r="B17" s="0" t="s">
        <v>206</v>
      </c>
      <c r="F17" s="21" t="n">
        <f aca="false">cust_sh*tk_cx_gb300*cf_cx+(1-cust_sh)*((1-Thesis!$F$14)*tk_cx_gb300+Thesis!$F$14*tk_cx_vr200)</f>
        <v>25.95096532</v>
      </c>
      <c r="G17" s="21" t="n">
        <f aca="false">cust_sh*tk_cx_gb300*cf_cx+(1-cust_sh)*((1-Thesis!$G$14)*tk_cx_gb300+Thesis!$G$14*tk_cx_vr200)</f>
        <v>25.95096532</v>
      </c>
      <c r="H17" s="21" t="n">
        <f aca="false">cust_sh*tk_cx_gb300*cf_cx+(1-cust_sh)*((1-Thesis!$H$14)*tk_cx_gb300+Thesis!$H$14*tk_cx_vr200)</f>
        <v>27.28824732</v>
      </c>
      <c r="I17" s="21" t="n">
        <f aca="false">cust_sh*tk_cx_gb300*cf_cx+(1-cust_sh)*((1-Thesis!$I$14)*tk_cx_gb300+Thesis!$I$14*tk_cx_vr200)</f>
        <v>28.62552932</v>
      </c>
      <c r="J17" s="21" t="n">
        <f aca="false">cust_sh*tk_cx_gb300*cf_cx+(1-cust_sh)*((1-Thesis!$J$14)*tk_cx_gb300+Thesis!$J$14*tk_cx_vr200)</f>
        <v>28.62552932</v>
      </c>
      <c r="K17" s="21" t="n">
        <f aca="false">cust_sh*tk_cx_gb300*cf_cx+(1-cust_sh)*((1-Thesis!$K$14)*tk_cx_gb300+Thesis!$K$14*tk_cx_vr200)</f>
        <v>28.62552932</v>
      </c>
      <c r="L17" s="21" t="n">
        <f aca="false">cust_sh*tk_cx_gb300*cf_cx+(1-cust_sh)*((1-Thesis!$L$14)*tk_cx_gb300+Thesis!$L$14*tk_cx_vr200)</f>
        <v>28.62552932</v>
      </c>
      <c r="M17" s="21" t="n">
        <f aca="false">cust_sh*tk_cx_gb300*cf_cx+(1-cust_sh)*((1-Thesis!$M$14)*tk_cx_gb300+Thesis!$M$14*tk_cx_vr200)</f>
        <v>28.62552932</v>
      </c>
    </row>
    <row r="18" customFormat="false" ht="17.15" hidden="false" customHeight="false" outlineLevel="0" collapsed="false">
      <c r="A18" s="5" t="s">
        <v>657</v>
      </c>
      <c r="B18" s="0" t="s">
        <v>138</v>
      </c>
      <c r="E18" s="36" t="n">
        <f aca="false">Thesis!$E$8-mw_open</f>
        <v>947.225</v>
      </c>
      <c r="F18" s="36" t="n">
        <f aca="false">Thesis!$F$8-mw_open</f>
        <v>1880.475</v>
      </c>
      <c r="G18" s="36" t="n">
        <f aca="false">Thesis!$F$18</f>
        <v>1880.475</v>
      </c>
      <c r="H18" s="36" t="n">
        <f aca="false">Thesis!$H$8-mw_open</f>
        <v>5613.475</v>
      </c>
      <c r="I18" s="36" t="n">
        <f aca="false">Thesis!$I$8-mw_open</f>
        <v>9346.475</v>
      </c>
      <c r="J18" s="36" t="n">
        <f aca="false">Thesis!$J$8-mw_open</f>
        <v>13079.475</v>
      </c>
      <c r="K18" s="36" t="n">
        <f aca="false">Thesis!$K$8-mw_open</f>
        <v>15719.7364166667</v>
      </c>
      <c r="L18" s="36" t="n">
        <f aca="false">Thesis!$L$8-mw_open</f>
        <v>17267.25925</v>
      </c>
      <c r="M18" s="36" t="n">
        <f aca="false">Thesis!$M$8-mw_open</f>
        <v>17722.0435</v>
      </c>
    </row>
    <row r="19" customFormat="false" ht="17.15" hidden="false" customHeight="false" outlineLevel="0" collapsed="false">
      <c r="A19" s="0" t="s">
        <v>658</v>
      </c>
      <c r="B19" s="0" t="s">
        <v>659</v>
      </c>
      <c r="E19" s="36" t="n">
        <f aca="false">Thesis!$E$18*Thesis!$F$15</f>
        <v>8301.06393248636</v>
      </c>
      <c r="F19" s="36" t="n">
        <f aca="false">Thesis!$E$19+Thesis!$F$11*Thesis!$F$15</f>
        <v>16479.6571020004</v>
      </c>
      <c r="G19" s="36" t="n">
        <f aca="false">Thesis!$F$19</f>
        <v>16479.6571020004</v>
      </c>
      <c r="H19" s="36" t="n">
        <f aca="false">Thesis!$G$19+Thesis!$H$11*Thesis!$H$15</f>
        <v>50443.7075273652</v>
      </c>
      <c r="I19" s="36" t="n">
        <f aca="false">Thesis!$H$19+Thesis!$I$11*Thesis!$I$15</f>
        <v>85657.4357000389</v>
      </c>
      <c r="J19" s="36" t="n">
        <f aca="false">Thesis!$I$19+Thesis!$J$11*Thesis!$J$15</f>
        <v>120871.163872713</v>
      </c>
      <c r="K19" s="36" t="n">
        <f aca="false">Thesis!$J$19+Thesis!$K$11*Thesis!$K$15</f>
        <v>145776.989704831</v>
      </c>
      <c r="L19" s="36" t="n">
        <f aca="false">Thesis!$K$19+Thesis!$L$11*Thesis!$L$15</f>
        <v>160374.913196394</v>
      </c>
      <c r="M19" s="36" t="n">
        <f aca="false">Thesis!$L$19+Thesis!$M$11*Thesis!$M$15</f>
        <v>164664.934347403</v>
      </c>
    </row>
    <row r="20" customFormat="false" ht="17.15" hidden="false" customHeight="false" outlineLevel="0" collapsed="false">
      <c r="A20" s="0" t="s">
        <v>660</v>
      </c>
      <c r="B20" s="0" t="s">
        <v>659</v>
      </c>
      <c r="E20" s="36" t="n">
        <f aca="false">Thesis!$E$18*Thesis!$F$16</f>
        <v>1878.00126088087</v>
      </c>
      <c r="F20" s="36" t="n">
        <f aca="false">Thesis!$E$20+Thesis!$F$11*Thesis!$F$16</f>
        <v>3728.29520024804</v>
      </c>
      <c r="G20" s="36" t="n">
        <f aca="false">Thesis!$F$20</f>
        <v>3728.29520024804</v>
      </c>
      <c r="H20" s="36" t="n">
        <f aca="false">Thesis!$G$20+Thesis!$H$11*Thesis!$H$16</f>
        <v>11232.9317388136</v>
      </c>
      <c r="I20" s="36" t="n">
        <f aca="false">Thesis!$H$20+Thesis!$I$11*Thesis!$I$16</f>
        <v>18841.0290584761</v>
      </c>
      <c r="J20" s="36" t="n">
        <f aca="false">Thesis!$I$20+Thesis!$J$11*Thesis!$J$16</f>
        <v>26449.1263781386</v>
      </c>
      <c r="K20" s="36" t="n">
        <f aca="false">Thesis!$J$20+Thesis!$K$11*Thesis!$K$16</f>
        <v>31830.1512394699</v>
      </c>
      <c r="L20" s="36" t="n">
        <f aca="false">Thesis!$K$20+Thesis!$L$11*Thesis!$L$16</f>
        <v>34984.1036424701</v>
      </c>
      <c r="M20" s="36" t="n">
        <f aca="false">Thesis!$L$20+Thesis!$M$11*Thesis!$M$16</f>
        <v>35910.9835871392</v>
      </c>
    </row>
    <row r="21" customFormat="false" ht="17.15" hidden="false" customHeight="false" outlineLevel="0" collapsed="false">
      <c r="A21" s="5" t="s">
        <v>661</v>
      </c>
      <c r="B21" s="0" t="s">
        <v>187</v>
      </c>
      <c r="F21" s="21" t="n">
        <f aca="false">IF(Thesis!$F$18&gt;0,Thesis!$F$19/Thesis!$F$18,Thesis!$F$15)</f>
        <v>8.76356085669863</v>
      </c>
      <c r="G21" s="21" t="n">
        <f aca="false">IF(Thesis!$G$18&gt;0,Thesis!$G$19/Thesis!$G$18,Thesis!$G$15)</f>
        <v>8.76356085669863</v>
      </c>
      <c r="H21" s="21" t="n">
        <f aca="false">IF(Thesis!$H$18&gt;0,Thesis!$H$19/Thesis!$H$18,Thesis!$H$15)</f>
        <v>8.98618191536708</v>
      </c>
      <c r="I21" s="21" t="n">
        <f aca="false">IF(Thesis!$I$18&gt;0,Thesis!$I$19/Thesis!$I$18,Thesis!$I$15)</f>
        <v>9.16467820221409</v>
      </c>
      <c r="J21" s="21" t="n">
        <f aca="false">IF(Thesis!$J$18&gt;0,Thesis!$J$19/Thesis!$J$18,Thesis!$J$15)</f>
        <v>9.24128559232787</v>
      </c>
      <c r="K21" s="21" t="n">
        <f aca="false">IF(Thesis!$K$18&gt;0,Thesis!$K$19/Thesis!$K$18,Thesis!$K$15)</f>
        <v>9.27350089345473</v>
      </c>
      <c r="L21" s="21" t="n">
        <f aca="false">IF(Thesis!$L$18&gt;0,Thesis!$L$19/Thesis!$L$18,Thesis!$L$15)</f>
        <v>9.28780363313271</v>
      </c>
      <c r="M21" s="21" t="n">
        <f aca="false">IF(Thesis!$M$18&gt;0,Thesis!$M$19/Thesis!$M$18,Thesis!$M$15)</f>
        <v>9.29153200348496</v>
      </c>
    </row>
    <row r="22" customFormat="false" ht="17.15" hidden="false" customHeight="false" outlineLevel="0" collapsed="false">
      <c r="A22" s="5" t="s">
        <v>662</v>
      </c>
      <c r="B22" s="0" t="s">
        <v>187</v>
      </c>
      <c r="F22" s="21" t="n">
        <f aca="false">IF(Thesis!$F$18&gt;0,Thesis!$F$20/Thesis!$F$18,Thesis!$F$16)</f>
        <v>1.98263481314457</v>
      </c>
      <c r="G22" s="21" t="n">
        <f aca="false">IF(Thesis!$G$18&gt;0,Thesis!$G$20/Thesis!$G$18,Thesis!$G$16)</f>
        <v>1.98263481314457</v>
      </c>
      <c r="H22" s="21" t="n">
        <f aca="false">IF(Thesis!$H$18&gt;0,Thesis!$H$20/Thesis!$H$18,Thesis!$H$16)</f>
        <v>2.00106560353678</v>
      </c>
      <c r="I22" s="21" t="n">
        <f aca="false">IF(Thesis!$I$18&gt;0,Thesis!$I$20/Thesis!$I$18,Thesis!$I$16)</f>
        <v>2.01584330546822</v>
      </c>
      <c r="J22" s="21" t="n">
        <f aca="false">IF(Thesis!$J$18&gt;0,Thesis!$J$20/Thesis!$J$18,Thesis!$J$16)</f>
        <v>2.02218562886802</v>
      </c>
      <c r="K22" s="21" t="n">
        <f aca="false">IF(Thesis!$K$18&gt;0,Thesis!$K$20/Thesis!$K$18,Thesis!$K$16)</f>
        <v>2.0248527326274</v>
      </c>
      <c r="L22" s="21" t="n">
        <f aca="false">IF(Thesis!$L$18&gt;0,Thesis!$L$20/Thesis!$L$18,Thesis!$L$16)</f>
        <v>2.02603685599208</v>
      </c>
      <c r="M22" s="21" t="n">
        <f aca="false">IF(Thesis!$M$18&gt;0,Thesis!$M$20/Thesis!$M$18,Thesis!$M$16)</f>
        <v>2.02634552765539</v>
      </c>
    </row>
    <row r="23" customFormat="false" ht="17.15" hidden="false" customHeight="false" outlineLevel="0" collapsed="false">
      <c r="A23" s="15" t="s">
        <v>663</v>
      </c>
      <c r="B23" s="14" t="s">
        <v>187</v>
      </c>
      <c r="C23" s="14"/>
      <c r="D23" s="14"/>
      <c r="E23" s="14"/>
      <c r="F23" s="39" t="n">
        <f aca="false">Thesis!$F$21*k_A</f>
        <v>13.3060142652009</v>
      </c>
      <c r="G23" s="39" t="n">
        <f aca="false">Thesis!$G$21*k_A</f>
        <v>13.3060142652009</v>
      </c>
      <c r="H23" s="39" t="n">
        <f aca="false">Thesis!$H$21*k_A</f>
        <v>13.6440274348261</v>
      </c>
      <c r="I23" s="39" t="n">
        <f aca="false">Thesis!$I$21*k_A</f>
        <v>13.9150444538106</v>
      </c>
      <c r="J23" s="39" t="n">
        <f aca="false">Thesis!$J$21*k_A</f>
        <v>14.0313600750909</v>
      </c>
      <c r="K23" s="39" t="n">
        <f aca="false">Thesis!$K$21*k_A</f>
        <v>14.0802736689326</v>
      </c>
      <c r="L23" s="39" t="n">
        <f aca="false">Thesis!$L$21*k_A</f>
        <v>14.1019900079069</v>
      </c>
      <c r="M23" s="39" t="n">
        <f aca="false">Thesis!$M$21*k_A</f>
        <v>14.1076509201667</v>
      </c>
      <c r="N23" s="14"/>
      <c r="O23" s="14"/>
      <c r="P23" s="8" t="s">
        <v>664</v>
      </c>
    </row>
    <row r="24" customFormat="false" ht="17.15" hidden="false" customHeight="false" outlineLevel="0" collapsed="false">
      <c r="A24" s="5" t="s">
        <v>665</v>
      </c>
      <c r="B24" s="0" t="s">
        <v>138</v>
      </c>
      <c r="F24" s="36" t="n">
        <f aca="false">(Thesis!$E$18+Thesis!$F$18)/2</f>
        <v>1413.85</v>
      </c>
      <c r="H24" s="36" t="n">
        <f aca="false">(Thesis!$G$18+Thesis!$H$18)/2</f>
        <v>3746.975</v>
      </c>
      <c r="I24" s="36" t="n">
        <f aca="false">(Thesis!$H$18+Thesis!$I$18)/2</f>
        <v>7479.975</v>
      </c>
      <c r="J24" s="36" t="n">
        <f aca="false">(Thesis!$I$18+Thesis!$J$18)/2</f>
        <v>11212.975</v>
      </c>
      <c r="K24" s="36" t="n">
        <f aca="false">(Thesis!$J$18+Thesis!$K$18)/2</f>
        <v>14399.6057083333</v>
      </c>
      <c r="L24" s="36" t="n">
        <f aca="false">(Thesis!$K$18+Thesis!$L$18)/2</f>
        <v>16493.4978333333</v>
      </c>
      <c r="M24" s="36" t="n">
        <f aca="false">(Thesis!$L$18+Thesis!$M$18)/2</f>
        <v>17494.651375</v>
      </c>
    </row>
    <row r="25" customFormat="false" ht="17.15" hidden="false" customHeight="false" outlineLevel="0" collapsed="false">
      <c r="A25" s="1" t="s">
        <v>666</v>
      </c>
    </row>
    <row r="26" customFormat="false" ht="17.15" hidden="false" customHeight="false" outlineLevel="0" collapsed="false">
      <c r="A26" s="1" t="s">
        <v>667</v>
      </c>
      <c r="B26" s="8" t="s">
        <v>91</v>
      </c>
      <c r="C26" s="40" t="n">
        <f aca="false">Thesis!$C$9*rpm_open*Thesis!$C$10/1000</f>
        <v>2.32100535697364</v>
      </c>
      <c r="D26" s="40" t="n">
        <f aca="false">Thesis!$D$9*rpm_open*Thesis!$D$10/1000</f>
        <v>8.70377008865116</v>
      </c>
      <c r="E26" s="40" t="n">
        <f aca="false">Thesis!$E$9*rpm_open*Thesis!$E$10/1000</f>
        <v>16.2007080559478</v>
      </c>
      <c r="F26" s="40" t="n">
        <f aca="false">(mw_open*rpm_open+Thesis!$F$24*Thesis!$F$23)*Thesis!$F$10/1000</f>
        <v>9.73202200732313</v>
      </c>
      <c r="G26" s="40" t="n">
        <f aca="false">Thesis!$E$26+Thesis!$F$26</f>
        <v>25.9327300632709</v>
      </c>
      <c r="H26" s="40" t="n">
        <f aca="false">(mw_open*rpm_open+Thesis!$H$24*Thesis!$H$23)/1000</f>
        <v>71.2392094580459</v>
      </c>
      <c r="I26" s="40" t="n">
        <f aca="false">(mw_open*rpm_open+Thesis!$I$24*Thesis!$I$23)/1000</f>
        <v>124.19956439883</v>
      </c>
      <c r="J26" s="40" t="n">
        <f aca="false">(mw_open*rpm_open+Thesis!$J$24*Thesis!$J$23)/1000</f>
        <v>177.44866949843</v>
      </c>
      <c r="K26" s="40" t="n">
        <f aca="false">(mw_open*rpm_open+Thesis!$K$24*Thesis!$K$23)/1000</f>
        <v>222.865768858495</v>
      </c>
      <c r="L26" s="40" t="n">
        <f aca="false">(mw_open*rpm_open+Thesis!$L$24*Thesis!$L$23)/1000</f>
        <v>252.70652140154</v>
      </c>
      <c r="M26" s="40" t="n">
        <f aca="false">(mw_open*rpm_open+Thesis!$M$24*Thesis!$M$23)/1000</f>
        <v>266.923814328953</v>
      </c>
      <c r="N26" s="40" t="n">
        <f aca="false">Thesis!$N$9*rpm_open*Thesis!$N$10/1000</f>
        <v>5.54865343151512</v>
      </c>
      <c r="O26" s="40" t="n">
        <f aca="false">Thesis!$O$9*rpm_open*Thesis!$O$10/1000</f>
        <v>3.15511665713605</v>
      </c>
      <c r="P26" s="5" t="s">
        <v>668</v>
      </c>
    </row>
    <row r="27" customFormat="false" ht="17.15" hidden="false" customHeight="false" outlineLevel="0" collapsed="false">
      <c r="A27" s="5" t="s">
        <v>669</v>
      </c>
      <c r="B27" s="0" t="s">
        <v>187</v>
      </c>
      <c r="C27" s="21" t="n">
        <f aca="false">Thesis!$C$26*1000/(Thesis!$C$9*Thesis!$C$10)</f>
        <v>9.67085565405685</v>
      </c>
      <c r="D27" s="21" t="n">
        <f aca="false">Thesis!$D$26*1000/(Thesis!$D$9*Thesis!$D$10)</f>
        <v>9.67085565405685</v>
      </c>
      <c r="E27" s="21" t="n">
        <f aca="false">Thesis!$E$26*1000/(Thesis!$E$9*Thesis!$E$10)</f>
        <v>9.67085565405684</v>
      </c>
      <c r="F27" s="21" t="n">
        <f aca="false">Thesis!$F$26*1000/(Thesis!$F$9*Thesis!$F$10)</f>
        <v>11.1418887557544</v>
      </c>
      <c r="G27" s="21" t="n">
        <f aca="false">Thesis!$G$26*1000/(Thesis!$G$9*Thesis!$G$10)</f>
        <v>10.1749975419142</v>
      </c>
      <c r="H27" s="21" t="n">
        <f aca="false">Thesis!$H$26*1000/(Thesis!$H$9*Thesis!$H$10)</f>
        <v>12.2257619876601</v>
      </c>
      <c r="I27" s="21" t="n">
        <f aca="false">Thesis!$I$26*1000/(Thesis!$I$9*Thesis!$I$10)</f>
        <v>12.9916202080895</v>
      </c>
      <c r="J27" s="21" t="n">
        <f aca="false">Thesis!$J$26*1000/(Thesis!$J$9*Thesis!$J$10)</f>
        <v>13.349056136676</v>
      </c>
      <c r="K27" s="21" t="n">
        <f aca="false">Thesis!$K$26*1000/(Thesis!$K$9*Thesis!$K$10)</f>
        <v>13.5237318660966</v>
      </c>
      <c r="L27" s="21" t="n">
        <f aca="false">Thesis!$L$26*1000/(Thesis!$L$9*Thesis!$L$10)</f>
        <v>13.6057582513087</v>
      </c>
      <c r="M27" s="21" t="n">
        <f aca="false">Thesis!$M$26*1000/(Thesis!$M$9*Thesis!$M$10)</f>
        <v>13.6361976116651</v>
      </c>
      <c r="N27" s="21" t="n">
        <f aca="false">Thesis!$N$26*1000/(Thesis!$N$9*Thesis!$N$10)</f>
        <v>9.67085565405685</v>
      </c>
      <c r="O27" s="21" t="n">
        <f aca="false">Thesis!$O$26*1000/(Thesis!$O$9*Thesis!$O$10)</f>
        <v>9.67085565405685</v>
      </c>
    </row>
    <row r="28" customFormat="false" ht="17.15" hidden="false" customHeight="false" outlineLevel="0" collapsed="false">
      <c r="A28" s="0" t="s">
        <v>670</v>
      </c>
      <c r="B28" s="0" t="s">
        <v>91</v>
      </c>
      <c r="C28" s="40" t="n">
        <f aca="false">Thesis!$C$9/ext_sh*(ox_open+rent_mw)*Thesis!$C$10/1000</f>
        <v>0.642569210675032</v>
      </c>
      <c r="D28" s="40" t="n">
        <f aca="false">Thesis!$D$9/ext_sh*(ox_open+rent_mw)*Thesis!$D$10/1000</f>
        <v>2.40963454003137</v>
      </c>
      <c r="E28" s="40" t="n">
        <f aca="false">Thesis!$E$9/ext_sh*(ox_open+rent_mw)*Thesis!$E$10/1000</f>
        <v>4.48515819087152</v>
      </c>
      <c r="F28" s="40" t="n">
        <f aca="false">((mw_open*ox_open+Thesis!$F$24*Thesis!$F$22)/ext_sh+Thesis!$F$9/ext_sh*rent_mw)*Thesis!$F$10/1000</f>
        <v>2.38017635872229</v>
      </c>
      <c r="G28" s="40" t="n">
        <f aca="false">Thesis!$E$28+Thesis!$F$28</f>
        <v>6.86533454959381</v>
      </c>
      <c r="H28" s="40" t="n">
        <f aca="false">((mw_open*ox_open+Thesis!$H$24*Thesis!$H$22)/ext_sh+Thesis!$H$9/ext_sh*rent_mw)*Thesis!$H$10/1000</f>
        <v>16.1282159776989</v>
      </c>
      <c r="I28" s="40" t="n">
        <f aca="false">((mw_open*ox_open+Thesis!$I$24*Thesis!$I$22)/ext_sh+Thesis!$I$9/ext_sh*rent_mw)*Thesis!$I$10/1000</f>
        <v>26.7862871514582</v>
      </c>
      <c r="J28" s="40" t="n">
        <f aca="false">((mw_open*ox_open+Thesis!$J$24*Thesis!$J$22)/ext_sh+Thesis!$J$9/ext_sh*rent_mw)*Thesis!$J$10/1000</f>
        <v>37.4640391177541</v>
      </c>
      <c r="K28" s="40" t="n">
        <f aca="false">((mw_open*ox_open+Thesis!$K$24*Thesis!$K$22)/ext_sh+Thesis!$K$9/ext_sh*rent_mw)*Thesis!$K$10/1000</f>
        <v>46.576359476393</v>
      </c>
      <c r="L28" s="40" t="n">
        <f aca="false">((mw_open*ox_open+Thesis!$L$24*Thesis!$L$22)/ext_sh+Thesis!$L$9/ext_sh*rent_mw)*Thesis!$L$10/1000</f>
        <v>52.5637917160905</v>
      </c>
      <c r="M28" s="40" t="n">
        <f aca="false">((mw_open*ox_open+Thesis!$M$24*Thesis!$M$22)/ext_sh+Thesis!$M$9/ext_sh*rent_mw)*Thesis!$M$10/1000</f>
        <v>55.4231246967416</v>
      </c>
      <c r="N28" s="40" t="n">
        <f aca="false">Thesis!$N$9/ext_sh*(ox_open+rent_mw)*Thesis!$N$10/1000</f>
        <v>1.53614201927</v>
      </c>
      <c r="O28" s="40" t="n">
        <f aca="false">Thesis!$O$9/ext_sh*(ox_open+rent_mw)*Thesis!$O$10/1000</f>
        <v>0.873492520761372</v>
      </c>
    </row>
    <row r="29" customFormat="false" ht="17.15" hidden="false" customHeight="false" outlineLevel="0" collapsed="false">
      <c r="A29" s="0" t="s">
        <v>671</v>
      </c>
      <c r="B29" s="0" t="s">
        <v>91</v>
      </c>
      <c r="C29" s="40" t="n">
        <f aca="false">Q!$D$7</f>
        <v>107.556</v>
      </c>
      <c r="D29" s="40" t="n">
        <f aca="false">Q!$E$7</f>
        <v>128.725</v>
      </c>
      <c r="E29" s="40" t="n">
        <f aca="false">Q!$O$7</f>
        <v>125.803</v>
      </c>
      <c r="N29" s="40" t="n">
        <f aca="false">Q!$N$7</f>
        <v>93.146</v>
      </c>
      <c r="O29" s="40" t="n">
        <f aca="false">Q!$J$7</f>
        <v>35.579</v>
      </c>
    </row>
    <row r="30" customFormat="false" ht="17.15" hidden="false" customHeight="false" outlineLevel="0" collapsed="false">
      <c r="A30" s="1" t="s">
        <v>672</v>
      </c>
      <c r="B30" s="8" t="s">
        <v>91</v>
      </c>
      <c r="C30" s="40" t="n">
        <f aca="false">Thesis!$C$29-Thesis!$C$26</f>
        <v>105.234994643026</v>
      </c>
      <c r="D30" s="40" t="n">
        <f aca="false">Thesis!$D$29-Thesis!$D$26</f>
        <v>120.021229911349</v>
      </c>
      <c r="E30" s="40" t="n">
        <f aca="false">Thesis!$E$29-Thesis!$E$26</f>
        <v>109.602291944052</v>
      </c>
      <c r="F30" s="40" t="n">
        <f aca="false">Thesis!$O$30*(1+Thesis!$F$31)</f>
        <v>36.9796603355509</v>
      </c>
      <c r="G30" s="40" t="n">
        <f aca="false">Thesis!$E$30+Thesis!$F$30</f>
        <v>146.581952279603</v>
      </c>
      <c r="H30" s="40" t="n">
        <f aca="false">Thesis!$G$30*(1+Thesis!$H$31)</f>
        <v>164.960415168217</v>
      </c>
      <c r="I30" s="40" t="n">
        <f aca="false">Thesis!$H$30*(1+Thesis!$I$31)</f>
        <v>183.1478640969</v>
      </c>
      <c r="J30" s="40" t="n">
        <f aca="false">Thesis!$I$30*(1+Thesis!$J$31)</f>
        <v>200.570117292268</v>
      </c>
      <c r="K30" s="40" t="n">
        <f aca="false">Thesis!$J$30*(1+Thesis!$K$31)</f>
        <v>216.615726675649</v>
      </c>
      <c r="L30" s="40" t="n">
        <f aca="false">Thesis!$K$30*(1+Thesis!$L$31)</f>
        <v>233.944984809701</v>
      </c>
      <c r="M30" s="40" t="n">
        <f aca="false">Thesis!$L$30*(1+Thesis!$M$31)</f>
        <v>252.660583594477</v>
      </c>
      <c r="N30" s="40" t="n">
        <f aca="false">Thesis!$N$29-Thesis!$N$26</f>
        <v>87.5973465684849</v>
      </c>
      <c r="O30" s="40" t="n">
        <f aca="false">Thesis!$O$29-Thesis!$O$26</f>
        <v>32.423883342864</v>
      </c>
      <c r="P30" s="5" t="s">
        <v>673</v>
      </c>
    </row>
    <row r="31" customFormat="false" ht="17.15" hidden="false" customHeight="false" outlineLevel="0" collapsed="false">
      <c r="A31" s="0" t="s">
        <v>674</v>
      </c>
      <c r="B31" s="0" t="s">
        <v>56</v>
      </c>
      <c r="D31" s="13" t="n">
        <f aca="false">Thesis!$D$30/Thesis!$C$30-1</f>
        <v>0.140506827776062</v>
      </c>
      <c r="E31" s="13" t="n">
        <f aca="false">Thesis!$E$30/Thesis!$N$30-1</f>
        <v>0.251205615667405</v>
      </c>
      <c r="F31" s="13" t="n">
        <f aca="false">IF(awso_g0=1,Thesis!$E$31,Thesis!$D$31)</f>
        <v>0.140506827776062</v>
      </c>
      <c r="G31" s="13" t="n">
        <f aca="false">Thesis!$G$30/Thesis!$D$30-1</f>
        <v>0.221300201538284</v>
      </c>
      <c r="H31" s="13" t="n">
        <f aca="false">Thesis!$F$31+(g_awso_lt-Thesis!$F$31)*1/4</f>
        <v>0.125380120832046</v>
      </c>
      <c r="I31" s="13" t="n">
        <f aca="false">Thesis!$F$31+(g_awso_lt-Thesis!$F$31)*2/4</f>
        <v>0.110253413888031</v>
      </c>
      <c r="J31" s="13" t="n">
        <f aca="false">Thesis!$F$31+(g_awso_lt-Thesis!$F$31)*3/4</f>
        <v>0.0951267069440154</v>
      </c>
      <c r="K31" s="13" t="n">
        <f aca="false">Thesis!$F$31+(g_awso_lt-Thesis!$F$31)*4/4</f>
        <v>0.08</v>
      </c>
      <c r="L31" s="13" t="n">
        <f aca="false">g_awso_lt</f>
        <v>0.08</v>
      </c>
      <c r="M31" s="13" t="n">
        <f aca="false">g_awso_lt</f>
        <v>0.08</v>
      </c>
      <c r="P31" s="5" t="s">
        <v>675</v>
      </c>
    </row>
    <row r="32" customFormat="false" ht="17.15" hidden="false" customHeight="false" outlineLevel="0" collapsed="false">
      <c r="A32" s="1" t="s">
        <v>676</v>
      </c>
    </row>
    <row r="33" customFormat="false" ht="17.15" hidden="false" customHeight="false" outlineLevel="0" collapsed="false">
      <c r="A33" s="0" t="s">
        <v>677</v>
      </c>
      <c r="B33" s="0" t="s">
        <v>91</v>
      </c>
      <c r="F33" s="40" t="n">
        <f aca="false">cx_rt*Seg!$F$20+cx_awso*Thesis!$F$30</f>
        <v>19.116380716836</v>
      </c>
    </row>
    <row r="34" customFormat="false" ht="17.15" hidden="false" customHeight="false" outlineLevel="0" collapsed="false">
      <c r="A34" s="0" t="s">
        <v>678</v>
      </c>
      <c r="B34" s="0" t="s">
        <v>56</v>
      </c>
      <c r="C34" s="13" t="n">
        <f aca="false">tk_cx_h100/(tk_cx_h100+tk_fac*(1-colo_sh))</f>
        <v>0.730756458006641</v>
      </c>
      <c r="D34" s="13" t="n">
        <f aca="false">tk_cx_h100/(tk_cx_h100+tk_fac*(1-colo_sh))</f>
        <v>0.730756458006641</v>
      </c>
      <c r="E34" s="13" t="n">
        <f aca="false">Thesis!$F$34</f>
        <v>0.719122960046118</v>
      </c>
      <c r="F34" s="13" t="n">
        <f aca="false">Thesis!$F$17/(Thesis!$F$17+tk_fac*(1-colo_sh))</f>
        <v>0.719122960046118</v>
      </c>
      <c r="G34" s="13" t="n">
        <f aca="false">Thesis!$G$17/(Thesis!$G$17+tk_fac*(1-colo_sh))</f>
        <v>0.719122960046118</v>
      </c>
      <c r="H34" s="13" t="n">
        <f aca="false">Thesis!$H$17/(Thesis!$H$17+tk_fac*(1-colo_sh))</f>
        <v>0.729159549600796</v>
      </c>
      <c r="I34" s="13" t="n">
        <f aca="false">Thesis!$I$17/(Thesis!$I$17+tk_fac*(1-colo_sh))</f>
        <v>0.738503609691941</v>
      </c>
      <c r="J34" s="13" t="n">
        <f aca="false">Thesis!$J$17/(Thesis!$J$17+tk_fac*(1-colo_sh))</f>
        <v>0.738503609691941</v>
      </c>
      <c r="K34" s="13" t="n">
        <f aca="false">Thesis!$K$17/(Thesis!$K$17+tk_fac*(1-colo_sh))</f>
        <v>0.738503609691941</v>
      </c>
      <c r="L34" s="13" t="n">
        <f aca="false">Thesis!$L$17/(Thesis!$L$17+tk_fac*(1-colo_sh))</f>
        <v>0.738503609691941</v>
      </c>
      <c r="M34" s="13" t="n">
        <f aca="false">Thesis!$M$17/(Thesis!$M$17+tk_fac*(1-colo_sh))</f>
        <v>0.738503609691941</v>
      </c>
    </row>
    <row r="35" customFormat="false" ht="17.15" hidden="false" customHeight="false" outlineLevel="0" collapsed="false">
      <c r="A35" s="1" t="s">
        <v>679</v>
      </c>
      <c r="B35" s="8" t="s">
        <v>91</v>
      </c>
      <c r="C35" s="40" t="n">
        <f aca="false">Q!$D$48-cx_rt*Q!$D$16-cx_awso*Thesis!$C$30</f>
        <v>25.2781053077374</v>
      </c>
      <c r="D35" s="40" t="n">
        <f aca="false">Q!$E$48-cx_rt*Q!$E$16-cx_awso*Thesis!$D$30</f>
        <v>69.5686316310026</v>
      </c>
      <c r="E35" s="40" t="n">
        <f aca="false">Q!$O$48-cx_rt*Q!$O$16-cx_awso*Thesis!$E$30</f>
        <v>123.196049161056</v>
      </c>
      <c r="F35" s="40" t="n">
        <f aca="false">capex_g26-Q!$O$48-Thesis!$F$33</f>
        <v>28.695619283164</v>
      </c>
      <c r="G35" s="40" t="n">
        <f aca="false">Thesis!$E$35+Thesis!$F$35</f>
        <v>151.89166844422</v>
      </c>
      <c r="H35" s="40" t="n">
        <f aca="false">Thesis!$H$12*(Thesis!$H$17+tk_fac*(1-colo_sh))/1000+Thesis!$H$39</f>
        <v>174.63089405695</v>
      </c>
      <c r="I35" s="40" t="n">
        <f aca="false">Thesis!$I$12*(Thesis!$I$17+tk_fac*(1-colo_sh))/1000+Thesis!$I$39</f>
        <v>180.87098618945</v>
      </c>
      <c r="J35" s="40" t="n">
        <f aca="false">Thesis!$J$12*(Thesis!$J$17+tk_fac*(1-colo_sh))/1000+Thesis!$J$39</f>
        <v>185.16481558745</v>
      </c>
      <c r="K35" s="40" t="n">
        <f aca="false">Thesis!$K$12*(Thesis!$K$17+tk_fac*(1-colo_sh))/1000+Thesis!$K$39</f>
        <v>136.513371689237</v>
      </c>
      <c r="L35" s="40" t="n">
        <f aca="false">Thesis!$L$12*(Thesis!$L$17+tk_fac*(1-colo_sh))/1000+Thesis!$L$39</f>
        <v>113.624904179024</v>
      </c>
      <c r="M35" s="40" t="n">
        <f aca="false">Thesis!$M$12*(Thesis!$M$17+tk_fac*(1-colo_sh))/1000+Thesis!$M$39</f>
        <v>112.222580066845</v>
      </c>
      <c r="P35" s="5" t="s">
        <v>680</v>
      </c>
      <c r="R35" s="40" t="n">
        <f aca="false">Q!$C$48-cx_rt*Q!$C$16-cx_awso*(Q!$C$7-mw_ye23/2*rpm_open/1000)</f>
        <v>1.50429979529945</v>
      </c>
      <c r="S35" s="40" t="n">
        <f aca="false">Thesis!$C$35</f>
        <v>25.2781053077374</v>
      </c>
      <c r="T35" s="40" t="n">
        <f aca="false">Thesis!$D$35</f>
        <v>69.5686316310026</v>
      </c>
      <c r="U35" s="40" t="n">
        <f aca="false">Thesis!$G$35</f>
        <v>151.89166844422</v>
      </c>
      <c r="V35" s="40" t="n">
        <f aca="false">Thesis!$H$35</f>
        <v>174.63089405695</v>
      </c>
      <c r="W35" s="40" t="n">
        <f aca="false">Thesis!$I$35</f>
        <v>180.87098618945</v>
      </c>
      <c r="X35" s="40" t="n">
        <f aca="false">Thesis!$J$35</f>
        <v>185.16481558745</v>
      </c>
      <c r="Y35" s="40" t="n">
        <f aca="false">Thesis!$K$35</f>
        <v>136.513371689237</v>
      </c>
      <c r="Z35" s="40" t="n">
        <f aca="false">Thesis!$L$35</f>
        <v>113.624904179024</v>
      </c>
      <c r="AA35" s="40" t="n">
        <f aca="false">Thesis!$M$35</f>
        <v>112.222580066845</v>
      </c>
    </row>
    <row r="36" customFormat="false" ht="17.15" hidden="false" customHeight="false" outlineLevel="0" collapsed="false">
      <c r="A36" s="0" t="s">
        <v>681</v>
      </c>
      <c r="B36" s="0" t="s">
        <v>91</v>
      </c>
      <c r="F36" s="40" t="n">
        <f aca="false">Thesis!$F$12*(Thesis!$F$17+tk_fac*(1-colo_sh))/1000</f>
        <v>42.0977004811125</v>
      </c>
    </row>
    <row r="37" customFormat="false" ht="17.15" hidden="false" customHeight="false" outlineLevel="0" collapsed="false">
      <c r="A37" s="0" t="s">
        <v>682</v>
      </c>
      <c r="B37" s="0" t="s">
        <v>91</v>
      </c>
      <c r="F37" s="40" t="n">
        <f aca="false">(capex_g26-Q!$P$48)/2-(Thesis!$F$36+Thesis!$F$33)</f>
        <v>0.630918802051482</v>
      </c>
      <c r="P37" s="5" t="s">
        <v>683</v>
      </c>
    </row>
    <row r="38" customFormat="false" ht="17.15" hidden="false" customHeight="false" outlineLevel="0" collapsed="false">
      <c r="A38" s="5" t="s">
        <v>684</v>
      </c>
      <c r="B38" s="0" t="s">
        <v>91</v>
      </c>
      <c r="F38" s="40" t="n">
        <f aca="false">Thesis!$F$35-Thesis!$F$36</f>
        <v>-13.4020811979485</v>
      </c>
    </row>
    <row r="39" customFormat="false" ht="17.15" hidden="false" customHeight="false" outlineLevel="0" collapsed="false">
      <c r="A39" s="0" t="s">
        <v>685</v>
      </c>
      <c r="B39" s="0" t="s">
        <v>91</v>
      </c>
      <c r="H39" s="40" t="n">
        <f aca="false">SUMPRODUCT(--(Thesis!$R$5:$AA$5=2027-tk_life),Thesis!$R$12:$AA$12)*Thesis!$H$17/1000</f>
        <v>0</v>
      </c>
      <c r="I39" s="40" t="n">
        <f aca="false">SUMPRODUCT(--(Thesis!$R$5:$AA$5=2028-tk_life),Thesis!$R$12:$AA$12)*Thesis!$I$17/1000</f>
        <v>0</v>
      </c>
      <c r="J39" s="40" t="n">
        <f aca="false">SUMPRODUCT(--(Thesis!$R$5:$AA$5=2029-tk_life),Thesis!$R$12:$AA$12)*Thesis!$J$17/1000</f>
        <v>4.293829398</v>
      </c>
      <c r="K39" s="40" t="n">
        <f aca="false">SUMPRODUCT(--(Thesis!$R$5:$AA$5=2030-tk_life),Thesis!$R$12:$AA$12)*Thesis!$K$17/1000</f>
        <v>8.587658796</v>
      </c>
      <c r="L39" s="40" t="n">
        <f aca="false">SUMPRODUCT(--(Thesis!$R$5:$AA$5=2031-tk_life),Thesis!$R$12:$AA$12)*Thesis!$L$17/1000</f>
        <v>38.644464582</v>
      </c>
      <c r="M39" s="40" t="n">
        <f aca="false">SUMPRODUCT(--(Thesis!$R$5:$AA$5=2032-tk_life),Thesis!$R$12:$AA$12)*Thesis!$M$17/1000</f>
        <v>90.1874137660337</v>
      </c>
    </row>
    <row r="40" customFormat="false" ht="17.15" hidden="false" customHeight="false" outlineLevel="0" collapsed="false">
      <c r="A40" s="0" t="s">
        <v>686</v>
      </c>
      <c r="B40" s="0" t="s">
        <v>91</v>
      </c>
      <c r="C40" s="40" t="n">
        <f aca="false">MIN(Thesis!$C$35,Thesis!$C$12*(tk_cx_h100+tk_fac*(1-colo_sh))/1000)</f>
        <v>11.2938642</v>
      </c>
      <c r="D40" s="40" t="n">
        <f aca="false">MIN(Thesis!$D$35,Thesis!$D$12*(tk_cx_h100+tk_fac*(1-colo_sh))/1000)</f>
        <v>50.8223889</v>
      </c>
      <c r="E40" s="40" t="n">
        <f aca="false">MIN(Thesis!$E$35,Thesis!$E$12*(Thesis!$F$17+tk_fac*(1-colo_sh))/1000)</f>
        <v>71.5976669125462</v>
      </c>
      <c r="F40" s="40" t="n">
        <f aca="false">Thesis!$F$35</f>
        <v>28.695619283164</v>
      </c>
      <c r="G40" s="40" t="n">
        <f aca="false">Thesis!$E$40+Thesis!$F$40</f>
        <v>100.29328619571</v>
      </c>
      <c r="H40" s="40" t="n">
        <f aca="false">Thesis!$H$35</f>
        <v>174.63089405695</v>
      </c>
      <c r="I40" s="40" t="n">
        <f aca="false">Thesis!$I$35</f>
        <v>180.87098618945</v>
      </c>
      <c r="J40" s="40" t="n">
        <f aca="false">Thesis!$J$35</f>
        <v>185.16481558745</v>
      </c>
      <c r="K40" s="40" t="n">
        <f aca="false">Thesis!$K$35</f>
        <v>136.513371689237</v>
      </c>
      <c r="L40" s="40" t="n">
        <f aca="false">Thesis!$L$35</f>
        <v>113.624904179024</v>
      </c>
      <c r="M40" s="40" t="n">
        <f aca="false">Thesis!$M$35</f>
        <v>112.222580066845</v>
      </c>
      <c r="P40" s="5" t="s">
        <v>687</v>
      </c>
      <c r="R40" s="40" t="n">
        <f aca="false">MIN(Thesis!$R$35,Thesis!$R$12*(tk_cx_h100+tk_fac*(1-colo_sh))/1000)</f>
        <v>1.50429979529945</v>
      </c>
      <c r="S40" s="40" t="n">
        <f aca="false">Thesis!$C$40</f>
        <v>11.2938642</v>
      </c>
      <c r="T40" s="40" t="n">
        <f aca="false">Thesis!$D$40</f>
        <v>50.8223889</v>
      </c>
      <c r="U40" s="40" t="n">
        <f aca="false">Thesis!$G$40</f>
        <v>100.29328619571</v>
      </c>
      <c r="V40" s="40" t="n">
        <f aca="false">Thesis!$H$40</f>
        <v>174.63089405695</v>
      </c>
      <c r="W40" s="40" t="n">
        <f aca="false">Thesis!$I$40</f>
        <v>180.87098618945</v>
      </c>
      <c r="X40" s="40" t="n">
        <f aca="false">Thesis!$J$40</f>
        <v>185.16481558745</v>
      </c>
      <c r="Y40" s="40" t="n">
        <f aca="false">Thesis!$K$40</f>
        <v>136.513371689237</v>
      </c>
      <c r="Z40" s="40" t="n">
        <f aca="false">Thesis!$L$40</f>
        <v>113.624904179024</v>
      </c>
      <c r="AA40" s="40" t="n">
        <f aca="false">Thesis!$M$40</f>
        <v>112.222580066845</v>
      </c>
    </row>
    <row r="41" customFormat="false" ht="17.15" hidden="false" customHeight="false" outlineLevel="0" collapsed="false">
      <c r="A41" s="5" t="s">
        <v>688</v>
      </c>
      <c r="B41" s="0" t="s">
        <v>91</v>
      </c>
      <c r="C41" s="40" t="n">
        <f aca="false">Thesis!$C$35-Thesis!$C$40</f>
        <v>13.9842411077374</v>
      </c>
      <c r="D41" s="40" t="n">
        <f aca="false">Thesis!$D$35-Thesis!$D$40</f>
        <v>18.7462427310026</v>
      </c>
      <c r="E41" s="40" t="n">
        <f aca="false">Thesis!$E$35-Thesis!$E$40</f>
        <v>51.5983822485098</v>
      </c>
      <c r="F41" s="40" t="n">
        <f aca="false">Thesis!$F$35-Thesis!$F$40</f>
        <v>0</v>
      </c>
      <c r="G41" s="40" t="n">
        <f aca="false">Thesis!$G$35-Thesis!$G$40</f>
        <v>51.5983822485098</v>
      </c>
      <c r="H41" s="40" t="n">
        <f aca="false">Thesis!$H$35-Thesis!$H$40</f>
        <v>0</v>
      </c>
      <c r="I41" s="40" t="n">
        <f aca="false">Thesis!$I$35-Thesis!$I$40</f>
        <v>0</v>
      </c>
      <c r="J41" s="40" t="n">
        <f aca="false">Thesis!$J$35-Thesis!$J$40</f>
        <v>0</v>
      </c>
      <c r="K41" s="40" t="n">
        <f aca="false">Thesis!$K$35-Thesis!$K$40</f>
        <v>0</v>
      </c>
      <c r="L41" s="40" t="n">
        <f aca="false">Thesis!$L$35-Thesis!$L$40</f>
        <v>0</v>
      </c>
      <c r="M41" s="40" t="n">
        <f aca="false">Thesis!$M$35-Thesis!$M$40</f>
        <v>0</v>
      </c>
      <c r="P41" s="5" t="s">
        <v>689</v>
      </c>
      <c r="R41" s="40" t="n">
        <f aca="false">Thesis!$R$35-Thesis!$R$40</f>
        <v>0</v>
      </c>
      <c r="S41" s="40" t="n">
        <f aca="false">Thesis!$S$35-Thesis!$S$40</f>
        <v>13.9842411077374</v>
      </c>
      <c r="T41" s="40" t="n">
        <f aca="false">Thesis!$T$35-Thesis!$T$40</f>
        <v>18.7462427310026</v>
      </c>
      <c r="U41" s="40" t="n">
        <f aca="false">Thesis!$U$35-Thesis!$U$40</f>
        <v>51.5983822485098</v>
      </c>
      <c r="V41" s="40" t="n">
        <f aca="false">Thesis!$V$35-Thesis!$V$40</f>
        <v>0</v>
      </c>
      <c r="W41" s="40" t="n">
        <f aca="false">Thesis!$W$35-Thesis!$W$40</f>
        <v>0</v>
      </c>
      <c r="X41" s="40" t="n">
        <f aca="false">Thesis!$X$35-Thesis!$X$40</f>
        <v>0</v>
      </c>
      <c r="Y41" s="40" t="n">
        <f aca="false">Thesis!$Y$35-Thesis!$Y$40</f>
        <v>0</v>
      </c>
      <c r="Z41" s="40" t="n">
        <f aca="false">Thesis!$Z$35-Thesis!$Z$40</f>
        <v>0</v>
      </c>
      <c r="AA41" s="40" t="n">
        <f aca="false">Thesis!$AA$35-Thesis!$AA$40</f>
        <v>0</v>
      </c>
    </row>
    <row r="42" customFormat="false" ht="17.15" hidden="false" customHeight="false" outlineLevel="0" collapsed="false">
      <c r="A42" s="5" t="s">
        <v>690</v>
      </c>
      <c r="B42" s="0" t="s">
        <v>91</v>
      </c>
      <c r="R42" s="40" t="n">
        <f aca="false">Thesis!$R$41*Thesis!$C$34</f>
        <v>0</v>
      </c>
      <c r="S42" s="40" t="n">
        <f aca="false">Thesis!$S$41*Thesis!$C$34</f>
        <v>10.219074499801</v>
      </c>
      <c r="T42" s="40" t="n">
        <f aca="false">Thesis!$T$41*Thesis!$C$34</f>
        <v>13.6989379390402</v>
      </c>
      <c r="U42" s="40" t="n">
        <f aca="false">Thesis!$U$41*Thesis!$E$34</f>
        <v>37.1055813761394</v>
      </c>
      <c r="V42" s="40" t="n">
        <f aca="false">Thesis!$V$41*Thesis!$E$34</f>
        <v>0</v>
      </c>
      <c r="W42" s="40" t="n">
        <f aca="false">Thesis!$W$41*Thesis!$E$34</f>
        <v>0</v>
      </c>
      <c r="X42" s="40" t="n">
        <f aca="false">Thesis!$X$41*Thesis!$E$34</f>
        <v>0</v>
      </c>
      <c r="Y42" s="40" t="n">
        <f aca="false">Thesis!$Y$41*Thesis!$E$34</f>
        <v>0</v>
      </c>
      <c r="Z42" s="40" t="n">
        <f aca="false">Thesis!$Z$41*Thesis!$E$34</f>
        <v>0</v>
      </c>
      <c r="AA42" s="40" t="n">
        <f aca="false">Thesis!$AA$41*Thesis!$E$34</f>
        <v>0</v>
      </c>
    </row>
    <row r="43" customFormat="false" ht="17.15" hidden="false" customHeight="false" outlineLevel="0" collapsed="false">
      <c r="A43" s="5" t="s">
        <v>691</v>
      </c>
      <c r="B43" s="0" t="s">
        <v>91</v>
      </c>
      <c r="R43" s="40" t="n">
        <f aca="false">SUMPRODUCT(--(Thesis!$R$5:$AA$5=2023-cip_lag),Thesis!$R$42:$AA$42)</f>
        <v>0</v>
      </c>
      <c r="S43" s="40" t="n">
        <f aca="false">SUMPRODUCT(--(Thesis!$R$5:$AA$5=2024-cip_lag),Thesis!$R$42:$AA$42)</f>
        <v>0</v>
      </c>
      <c r="T43" s="40" t="n">
        <f aca="false">SUMPRODUCT(--(Thesis!$R$5:$AA$5=2025-cip_lag),Thesis!$R$42:$AA$42)</f>
        <v>10.219074499801</v>
      </c>
      <c r="U43" s="40" t="n">
        <f aca="false">SUMPRODUCT(--(Thesis!$R$5:$AA$5=2026-cip_lag),Thesis!$R$42:$AA$42)</f>
        <v>13.6989379390402</v>
      </c>
      <c r="V43" s="40" t="n">
        <f aca="false">SUMPRODUCT(--(Thesis!$R$5:$AA$5=2027-cip_lag),Thesis!$R$42:$AA$42)</f>
        <v>37.1055813761394</v>
      </c>
      <c r="W43" s="40" t="n">
        <f aca="false">SUMPRODUCT(--(Thesis!$R$5:$AA$5=2028-cip_lag),Thesis!$R$42:$AA$42)</f>
        <v>0</v>
      </c>
      <c r="X43" s="40" t="n">
        <f aca="false">SUMPRODUCT(--(Thesis!$R$5:$AA$5=2029-cip_lag),Thesis!$R$42:$AA$42)</f>
        <v>0</v>
      </c>
      <c r="Y43" s="40" t="n">
        <f aca="false">SUMPRODUCT(--(Thesis!$R$5:$AA$5=2030-cip_lag),Thesis!$R$42:$AA$42)</f>
        <v>0</v>
      </c>
      <c r="Z43" s="40" t="n">
        <f aca="false">SUMPRODUCT(--(Thesis!$R$5:$AA$5=2031-cip_lag),Thesis!$R$42:$AA$42)</f>
        <v>0</v>
      </c>
      <c r="AA43" s="40" t="n">
        <f aca="false">SUMPRODUCT(--(Thesis!$R$5:$AA$5=2032-cip_lag),Thesis!$R$42:$AA$42)</f>
        <v>0</v>
      </c>
    </row>
    <row r="44" customFormat="false" ht="15" hidden="false" customHeight="false" outlineLevel="0" collapsed="false">
      <c r="A44" s="5" t="s">
        <v>692</v>
      </c>
      <c r="B44" s="0" t="s">
        <v>91</v>
      </c>
      <c r="R44" s="40" t="n">
        <f aca="false">SUMPRODUCT(--(Thesis!$R$5:$AA$5=2023-cip_lag),Thesis!$R$41:$AA$41)-Thesis!$R$43</f>
        <v>0</v>
      </c>
      <c r="S44" s="40" t="n">
        <f aca="false">SUMPRODUCT(--(Thesis!$R$5:$AA$5=2024-cip_lag),Thesis!$R$41:$AA$41)-Thesis!$S$43</f>
        <v>0</v>
      </c>
      <c r="T44" s="40" t="n">
        <f aca="false">SUMPRODUCT(--(Thesis!$R$5:$AA$5=2025-cip_lag),Thesis!$R$41:$AA$41)-Thesis!$T$43</f>
        <v>3.76516660793636</v>
      </c>
      <c r="U44" s="40" t="n">
        <f aca="false">SUMPRODUCT(--(Thesis!$R$5:$AA$5=2026-cip_lag),Thesis!$R$41:$AA$41)-Thesis!$U$43</f>
        <v>5.04730479196242</v>
      </c>
      <c r="V44" s="40" t="n">
        <f aca="false">SUMPRODUCT(--(Thesis!$R$5:$AA$5=2027-cip_lag),Thesis!$R$41:$AA$41)-Thesis!$V$43</f>
        <v>14.4928008723704</v>
      </c>
      <c r="W44" s="40" t="n">
        <f aca="false">SUMPRODUCT(--(Thesis!$R$5:$AA$5=2028-cip_lag),Thesis!$R$41:$AA$41)-Thesis!$W$43</f>
        <v>0</v>
      </c>
      <c r="X44" s="40" t="n">
        <f aca="false">SUMPRODUCT(--(Thesis!$R$5:$AA$5=2029-cip_lag),Thesis!$R$41:$AA$41)-Thesis!$X$43</f>
        <v>0</v>
      </c>
      <c r="Y44" s="40" t="n">
        <f aca="false">SUMPRODUCT(--(Thesis!$R$5:$AA$5=2030-cip_lag),Thesis!$R$41:$AA$41)-Thesis!$Y$43</f>
        <v>0</v>
      </c>
      <c r="Z44" s="40" t="n">
        <f aca="false">SUMPRODUCT(--(Thesis!$R$5:$AA$5=2031-cip_lag),Thesis!$R$41:$AA$41)-Thesis!$Z$43</f>
        <v>0</v>
      </c>
      <c r="AA44" s="40" t="n">
        <f aca="false">SUMPRODUCT(--(Thesis!$R$5:$AA$5=2032-cip_lag),Thesis!$R$41:$AA$41)-Thesis!$AA$43</f>
        <v>0</v>
      </c>
    </row>
    <row r="45" customFormat="false" ht="17.15" hidden="false" customHeight="false" outlineLevel="0" collapsed="false">
      <c r="A45" s="5" t="s">
        <v>693</v>
      </c>
      <c r="B45" s="0" t="s">
        <v>91</v>
      </c>
      <c r="C45" s="40" t="n">
        <f aca="false">Thesis!$C$40*Thesis!$C$34</f>
        <v>8.2530642</v>
      </c>
      <c r="D45" s="40" t="n">
        <f aca="false">Thesis!$D$40*Thesis!$D$34</f>
        <v>37.1387889</v>
      </c>
      <c r="E45" s="40" t="n">
        <f aca="false">Thesis!$E$40*Thesis!$E$34</f>
        <v>51.4875261625462</v>
      </c>
      <c r="F45" s="40" t="n">
        <f aca="false">Thesis!$F$40*Thesis!$F$34</f>
        <v>20.6356786792653</v>
      </c>
      <c r="G45" s="40" t="n">
        <f aca="false">Thesis!$E$45+Thesis!$F$45</f>
        <v>72.1232048418116</v>
      </c>
      <c r="H45" s="40" t="n">
        <f aca="false">(Thesis!$H$40-Thesis!$H$39)*Thesis!$H$34+Thesis!$H$39</f>
        <v>127.33378405695</v>
      </c>
      <c r="I45" s="40" t="n">
        <f aca="false">(Thesis!$I$40-Thesis!$I$39)*Thesis!$I$34+Thesis!$I$39</f>
        <v>133.57387618945</v>
      </c>
      <c r="J45" s="40" t="n">
        <f aca="false">(Thesis!$J$40-Thesis!$J$39)*Thesis!$J$34+Thesis!$J$39</f>
        <v>137.86770558745</v>
      </c>
      <c r="K45" s="40" t="n">
        <f aca="false">(Thesis!$K$40-Thesis!$K$39)*Thesis!$K$34+Thesis!$K$39</f>
        <v>103.06125954007</v>
      </c>
      <c r="L45" s="40" t="n">
        <f aca="false">(Thesis!$L$40-Thesis!$L$39)*Thesis!$L$34+Thesis!$L$39</f>
        <v>94.017789880691</v>
      </c>
      <c r="M45" s="40" t="n">
        <f aca="false">(Thesis!$M$40-Thesis!$M$39)*Thesis!$M$34+Thesis!$M$39</f>
        <v>106.460463619345</v>
      </c>
      <c r="R45" s="40" t="n">
        <f aca="false">Thesis!$R$40*Thesis!$C$34</f>
        <v>1.09927679019314</v>
      </c>
      <c r="S45" s="40" t="n">
        <f aca="false">Thesis!$C$45</f>
        <v>8.2530642</v>
      </c>
      <c r="T45" s="40" t="n">
        <f aca="false">Thesis!$D$45</f>
        <v>37.1387889</v>
      </c>
      <c r="U45" s="40" t="n">
        <f aca="false">Thesis!$G$45</f>
        <v>72.1232048418116</v>
      </c>
      <c r="V45" s="40" t="n">
        <f aca="false">Thesis!$H$45</f>
        <v>127.33378405695</v>
      </c>
      <c r="W45" s="40" t="n">
        <f aca="false">Thesis!$I$45</f>
        <v>133.57387618945</v>
      </c>
      <c r="X45" s="40" t="n">
        <f aca="false">Thesis!$J$45</f>
        <v>137.86770558745</v>
      </c>
      <c r="Y45" s="40" t="n">
        <f aca="false">Thesis!$K$45</f>
        <v>103.06125954007</v>
      </c>
      <c r="Z45" s="40" t="n">
        <f aca="false">Thesis!$L$45</f>
        <v>94.017789880691</v>
      </c>
      <c r="AA45" s="40" t="n">
        <f aca="false">Thesis!$M$45</f>
        <v>106.460463619345</v>
      </c>
    </row>
    <row r="46" customFormat="false" ht="15" hidden="false" customHeight="false" outlineLevel="0" collapsed="false">
      <c r="A46" s="5" t="s">
        <v>694</v>
      </c>
      <c r="B46" s="0" t="s">
        <v>91</v>
      </c>
      <c r="C46" s="40" t="n">
        <f aca="false">Thesis!$C$40-Thesis!$C$45</f>
        <v>3.0408</v>
      </c>
      <c r="D46" s="40" t="n">
        <f aca="false">Thesis!$D$40-Thesis!$D$45</f>
        <v>13.6836</v>
      </c>
      <c r="E46" s="40" t="n">
        <f aca="false">Thesis!$E$40-Thesis!$E$45</f>
        <v>20.11014075</v>
      </c>
      <c r="F46" s="40" t="n">
        <f aca="false">Thesis!$F$40-Thesis!$F$45</f>
        <v>8.05994060389864</v>
      </c>
      <c r="G46" s="40" t="n">
        <f aca="false">Thesis!$G$40-Thesis!$G$45</f>
        <v>28.1700813538986</v>
      </c>
      <c r="H46" s="40" t="n">
        <f aca="false">Thesis!$H$40-Thesis!$H$45</f>
        <v>47.29711</v>
      </c>
      <c r="I46" s="40" t="n">
        <f aca="false">Thesis!$I$40-Thesis!$I$45</f>
        <v>47.29711</v>
      </c>
      <c r="J46" s="40" t="n">
        <f aca="false">Thesis!$J$40-Thesis!$J$45</f>
        <v>47.29711</v>
      </c>
      <c r="K46" s="40" t="n">
        <f aca="false">Thesis!$K$40-Thesis!$K$45</f>
        <v>33.4521121491667</v>
      </c>
      <c r="L46" s="40" t="n">
        <f aca="false">Thesis!$L$40-Thesis!$L$45</f>
        <v>19.6071142983333</v>
      </c>
      <c r="M46" s="40" t="n">
        <f aca="false">Thesis!$M$40-Thesis!$M$45</f>
        <v>5.76211644750001</v>
      </c>
      <c r="R46" s="40" t="n">
        <f aca="false">Thesis!$R$40-Thesis!$R$45</f>
        <v>0.405023005106309</v>
      </c>
      <c r="S46" s="40" t="n">
        <f aca="false">Thesis!$S$40-Thesis!$S$45</f>
        <v>3.0408</v>
      </c>
      <c r="T46" s="40" t="n">
        <f aca="false">Thesis!$T$40-Thesis!$T$45</f>
        <v>13.6836</v>
      </c>
      <c r="U46" s="40" t="n">
        <f aca="false">Thesis!$U$40-Thesis!$U$45</f>
        <v>28.1700813538986</v>
      </c>
      <c r="V46" s="40" t="n">
        <f aca="false">Thesis!$V$40-Thesis!$V$45</f>
        <v>47.29711</v>
      </c>
      <c r="W46" s="40" t="n">
        <f aca="false">Thesis!$W$40-Thesis!$W$45</f>
        <v>47.29711</v>
      </c>
      <c r="X46" s="40" t="n">
        <f aca="false">Thesis!$X$40-Thesis!$X$45</f>
        <v>47.29711</v>
      </c>
      <c r="Y46" s="40" t="n">
        <f aca="false">Thesis!$Y$40-Thesis!$Y$45</f>
        <v>33.4521121491667</v>
      </c>
      <c r="Z46" s="40" t="n">
        <f aca="false">Thesis!$Z$40-Thesis!$Z$45</f>
        <v>19.6071142983333</v>
      </c>
      <c r="AA46" s="40" t="n">
        <f aca="false">Thesis!$AA$40-Thesis!$AA$45</f>
        <v>5.76211644750001</v>
      </c>
    </row>
    <row r="47" customFormat="false" ht="17.15" hidden="false" customHeight="false" outlineLevel="0" collapsed="false">
      <c r="A47" s="0" t="s">
        <v>695</v>
      </c>
      <c r="B47" s="0" t="s">
        <v>56</v>
      </c>
      <c r="C47" s="13" t="n">
        <f aca="false">Thesis!$C$35/CF!$C$24</f>
        <v>0.325505489553393</v>
      </c>
      <c r="D47" s="13" t="n">
        <f aca="false">Thesis!$D$35/CF!$D$24</f>
        <v>0.54214956071542</v>
      </c>
      <c r="E47" s="13" t="n">
        <f aca="false">Thesis!$E$35/CF!$E$24</f>
        <v>0.715474069976166</v>
      </c>
      <c r="F47" s="13" t="n">
        <f aca="false">Thesis!$F$35/CF!$F$24</f>
        <v>0.600176091423994</v>
      </c>
      <c r="G47" s="13" t="n">
        <f aca="false">Thesis!$G$35/CF!$G$24</f>
        <v>0.690416674746455</v>
      </c>
      <c r="H47" s="13" t="n">
        <f aca="false">Thesis!$H$35/CF!$H$24</f>
        <v>0.69722654808191</v>
      </c>
      <c r="I47" s="13" t="n">
        <f aca="false">Thesis!$I$35/CF!$I$24</f>
        <v>0.684435253074618</v>
      </c>
      <c r="J47" s="13" t="n">
        <f aca="false">Thesis!$J$35/CF!$J$24</f>
        <v>0.671623297854004</v>
      </c>
      <c r="K47" s="13" t="n">
        <f aca="false">Thesis!$K$35/CF!$K$24</f>
        <v>0.584621634885143</v>
      </c>
      <c r="L47" s="13" t="n">
        <f aca="false">Thesis!$L$35/CF!$L$24</f>
        <v>0.522262649297437</v>
      </c>
      <c r="M47" s="13" t="n">
        <f aca="false">Thesis!$M$35/CF!$M$24</f>
        <v>0.501834577458528</v>
      </c>
    </row>
    <row r="48" customFormat="false" ht="17.15" hidden="false" customHeight="false" outlineLevel="0" collapsed="false">
      <c r="A48" s="0" t="s">
        <v>696</v>
      </c>
      <c r="B48" s="0" t="s">
        <v>91</v>
      </c>
      <c r="C48" s="40" t="n">
        <f aca="false">Thesis!$S$48</f>
        <v>0.183212798365523</v>
      </c>
      <c r="D48" s="40" t="n">
        <f aca="false">Thesis!$T$48</f>
        <v>1.55872349836552</v>
      </c>
      <c r="E48" s="40" t="n">
        <f aca="false">Thesis!$G$48*0.75</f>
        <v>7.08877554874927</v>
      </c>
      <c r="F48" s="40" t="n">
        <f aca="false">Thesis!$G$48*0.25</f>
        <v>2.36292518291642</v>
      </c>
      <c r="G48" s="40" t="n">
        <f aca="false">Thesis!$U$48</f>
        <v>9.4517007316657</v>
      </c>
      <c r="H48" s="40" t="n">
        <f aca="false">Thesis!$V$48</f>
        <v>23.755391195141</v>
      </c>
      <c r="I48" s="40" t="n">
        <f aca="false">Thesis!$W$48</f>
        <v>51.1619521006559</v>
      </c>
      <c r="J48" s="40" t="n">
        <f aca="false">Thesis!$X$48</f>
        <v>73.4242647988976</v>
      </c>
      <c r="K48" s="40" t="n">
        <f aca="false">Thesis!$Y$48</f>
        <v>96.2190029317737</v>
      </c>
      <c r="L48" s="40" t="n">
        <f aca="false">Thesis!$Z$48</f>
        <v>112.020368821785</v>
      </c>
      <c r="M48" s="40" t="n">
        <f aca="false">Thesis!$AA$48</f>
        <v>119.797023235267</v>
      </c>
      <c r="N48" s="40" t="n">
        <f aca="false">Thesis!$D$48*0.75</f>
        <v>1.16904262377414</v>
      </c>
      <c r="O48" s="40" t="n">
        <f aca="false">Thesis!$D$48*0.25</f>
        <v>0.389680874591381</v>
      </c>
      <c r="R48" s="40" t="n">
        <f aca="false">(SUMPRODUCT(--(Thesis!$R$5:$AA$5&lt;Thesis!R$5),--(Thesis!$R$5:$AA$5&gt;=Thesis!R$5-tk_life),Thesis!$R$45:$AA$45)+SUMPRODUCT(--(Thesis!$R$5:$AA$5&lt;Thesis!R$5),--(Thesis!$R$5:$AA$5&gt;=Thesis!R$5-tk_life),Thesis!$R$43:$AA$43))/tk_life</f>
        <v>0</v>
      </c>
      <c r="S48" s="40" t="n">
        <f aca="false">(SUMPRODUCT(--(Thesis!$R$5:$AA$5&lt;Thesis!S$5),--(Thesis!$R$5:$AA$5&gt;=Thesis!S$5-tk_life),Thesis!$R$45:$AA$45)+SUMPRODUCT(--(Thesis!$R$5:$AA$5&lt;Thesis!S$5),--(Thesis!$R$5:$AA$5&gt;=Thesis!S$5-tk_life),Thesis!$R$43:$AA$43))/tk_life</f>
        <v>0.183212798365523</v>
      </c>
      <c r="T48" s="40" t="n">
        <f aca="false">(SUMPRODUCT(--(Thesis!$R$5:$AA$5&lt;Thesis!T$5),--(Thesis!$R$5:$AA$5&gt;=Thesis!T$5-tk_life),Thesis!$R$45:$AA$45)+SUMPRODUCT(--(Thesis!$R$5:$AA$5&lt;Thesis!T$5),--(Thesis!$R$5:$AA$5&gt;=Thesis!T$5-tk_life),Thesis!$R$43:$AA$43))/tk_life</f>
        <v>1.55872349836552</v>
      </c>
      <c r="U48" s="40" t="n">
        <f aca="false">(SUMPRODUCT(--(Thesis!$R$5:$AA$5&lt;Thesis!U$5),--(Thesis!$R$5:$AA$5&gt;=Thesis!U$5-tk_life),Thesis!$R$45:$AA$45)+SUMPRODUCT(--(Thesis!$R$5:$AA$5&lt;Thesis!U$5),--(Thesis!$R$5:$AA$5&gt;=Thesis!U$5-tk_life),Thesis!$R$43:$AA$43))/tk_life</f>
        <v>9.4517007316657</v>
      </c>
      <c r="V48" s="40" t="n">
        <f aca="false">(SUMPRODUCT(--(Thesis!$R$5:$AA$5&lt;Thesis!V$5),--(Thesis!$R$5:$AA$5&gt;=Thesis!V$5-tk_life),Thesis!$R$45:$AA$45)+SUMPRODUCT(--(Thesis!$R$5:$AA$5&lt;Thesis!V$5),--(Thesis!$R$5:$AA$5&gt;=Thesis!V$5-tk_life),Thesis!$R$43:$AA$43))/tk_life</f>
        <v>23.755391195141</v>
      </c>
      <c r="W48" s="40" t="n">
        <f aca="false">(SUMPRODUCT(--(Thesis!$R$5:$AA$5&lt;Thesis!W$5),--(Thesis!$R$5:$AA$5&gt;=Thesis!W$5-tk_life),Thesis!$R$45:$AA$45)+SUMPRODUCT(--(Thesis!$R$5:$AA$5&lt;Thesis!W$5),--(Thesis!$R$5:$AA$5&gt;=Thesis!W$5-tk_life),Thesis!$R$43:$AA$43))/tk_life</f>
        <v>51.1619521006559</v>
      </c>
      <c r="X48" s="40" t="n">
        <f aca="false">(SUMPRODUCT(--(Thesis!$R$5:$AA$5&lt;Thesis!X$5),--(Thesis!$R$5:$AA$5&gt;=Thesis!X$5-tk_life),Thesis!$R$45:$AA$45)+SUMPRODUCT(--(Thesis!$R$5:$AA$5&lt;Thesis!X$5),--(Thesis!$R$5:$AA$5&gt;=Thesis!X$5-tk_life),Thesis!$R$43:$AA$43))/tk_life</f>
        <v>73.4242647988976</v>
      </c>
      <c r="Y48" s="40" t="n">
        <f aca="false">(SUMPRODUCT(--(Thesis!$R$5:$AA$5&lt;Thesis!Y$5),--(Thesis!$R$5:$AA$5&gt;=Thesis!Y$5-tk_life),Thesis!$R$45:$AA$45)+SUMPRODUCT(--(Thesis!$R$5:$AA$5&lt;Thesis!Y$5),--(Thesis!$R$5:$AA$5&gt;=Thesis!Y$5-tk_life),Thesis!$R$43:$AA$43))/tk_life</f>
        <v>96.2190029317737</v>
      </c>
      <c r="Z48" s="40" t="n">
        <f aca="false">(SUMPRODUCT(--(Thesis!$R$5:$AA$5&lt;Thesis!Z$5),--(Thesis!$R$5:$AA$5&gt;=Thesis!Z$5-tk_life),Thesis!$R$45:$AA$45)+SUMPRODUCT(--(Thesis!$R$5:$AA$5&lt;Thesis!Z$5),--(Thesis!$R$5:$AA$5&gt;=Thesis!Z$5-tk_life),Thesis!$R$43:$AA$43))/tk_life</f>
        <v>112.020368821785</v>
      </c>
      <c r="AA48" s="40" t="n">
        <f aca="false">(SUMPRODUCT(--(Thesis!$R$5:$AA$5&lt;Thesis!AA$5),--(Thesis!$R$5:$AA$5&gt;=Thesis!AA$5-tk_life),Thesis!$R$45:$AA$45)+SUMPRODUCT(--(Thesis!$R$5:$AA$5&lt;Thesis!AA$5),--(Thesis!$R$5:$AA$5&gt;=Thesis!AA$5-tk_life),Thesis!$R$43:$AA$43))/tk_life</f>
        <v>119.797023235267</v>
      </c>
    </row>
    <row r="49" customFormat="false" ht="17.15" hidden="false" customHeight="false" outlineLevel="0" collapsed="false">
      <c r="A49" s="0" t="s">
        <v>697</v>
      </c>
      <c r="B49" s="0" t="s">
        <v>91</v>
      </c>
      <c r="C49" s="40" t="n">
        <f aca="false">Thesis!$S$49</f>
        <v>0.0202511502553155</v>
      </c>
      <c r="D49" s="40" t="n">
        <f aca="false">Thesis!$T$49</f>
        <v>0.172291150255315</v>
      </c>
      <c r="E49" s="40" t="n">
        <f aca="false">Thesis!$G$49*0.75</f>
        <v>0.7835471104891</v>
      </c>
      <c r="F49" s="40" t="n">
        <f aca="false">Thesis!$G$49*0.25</f>
        <v>0.261182370163033</v>
      </c>
      <c r="G49" s="40" t="n">
        <f aca="false">Thesis!$U$49</f>
        <v>1.04472948065213</v>
      </c>
      <c r="H49" s="40" t="n">
        <f aca="false">Thesis!$V$49</f>
        <v>2.70559878794519</v>
      </c>
      <c r="I49" s="40" t="n">
        <f aca="false">Thesis!$W$49</f>
        <v>5.7950943315637</v>
      </c>
      <c r="J49" s="40" t="n">
        <f aca="false">Thesis!$X$49</f>
        <v>8.1599498315637</v>
      </c>
      <c r="K49" s="40" t="n">
        <f aca="false">Thesis!$Y$49</f>
        <v>10.5248053315637</v>
      </c>
      <c r="L49" s="40" t="n">
        <f aca="false">Thesis!$Z$49</f>
        <v>12.197410939022</v>
      </c>
      <c r="M49" s="40" t="n">
        <f aca="false">Thesis!$AA$49</f>
        <v>13.1777666539387</v>
      </c>
      <c r="N49" s="40" t="n">
        <f aca="false">Thesis!$D$49*0.75</f>
        <v>0.129218362691487</v>
      </c>
      <c r="O49" s="40" t="n">
        <f aca="false">Thesis!$D$49*0.25</f>
        <v>0.0430727875638289</v>
      </c>
      <c r="R49" s="40" t="n">
        <f aca="false">(SUMPRODUCT(--(Thesis!$R$5:$AA$5&lt;Thesis!R$5),Thesis!$R$46:$AA$46)+SUMPRODUCT(--(Thesis!$R$5:$AA$5&lt;Thesis!R$5),Thesis!$R$44:$AA$44))/fac_life</f>
        <v>0</v>
      </c>
      <c r="S49" s="40" t="n">
        <f aca="false">(SUMPRODUCT(--(Thesis!$R$5:$AA$5&lt;Thesis!S$5),Thesis!$R$46:$AA$46)+SUMPRODUCT(--(Thesis!$R$5:$AA$5&lt;Thesis!S$5),Thesis!$R$44:$AA$44))/fac_life</f>
        <v>0.0202511502553155</v>
      </c>
      <c r="T49" s="40" t="n">
        <f aca="false">(SUMPRODUCT(--(Thesis!$R$5:$AA$5&lt;Thesis!T$5),Thesis!$R$46:$AA$46)+SUMPRODUCT(--(Thesis!$R$5:$AA$5&lt;Thesis!T$5),Thesis!$R$44:$AA$44))/fac_life</f>
        <v>0.172291150255315</v>
      </c>
      <c r="U49" s="40" t="n">
        <f aca="false">(SUMPRODUCT(--(Thesis!$R$5:$AA$5&lt;Thesis!U$5),Thesis!$R$46:$AA$46)+SUMPRODUCT(--(Thesis!$R$5:$AA$5&lt;Thesis!U$5),Thesis!$R$44:$AA$44))/fac_life</f>
        <v>1.04472948065213</v>
      </c>
      <c r="V49" s="40" t="n">
        <f aca="false">(SUMPRODUCT(--(Thesis!$R$5:$AA$5&lt;Thesis!V$5),Thesis!$R$46:$AA$46)+SUMPRODUCT(--(Thesis!$R$5:$AA$5&lt;Thesis!V$5),Thesis!$R$44:$AA$44))/fac_life</f>
        <v>2.70559878794519</v>
      </c>
      <c r="W49" s="40" t="n">
        <f aca="false">(SUMPRODUCT(--(Thesis!$R$5:$AA$5&lt;Thesis!W$5),Thesis!$R$46:$AA$46)+SUMPRODUCT(--(Thesis!$R$5:$AA$5&lt;Thesis!W$5),Thesis!$R$44:$AA$44))/fac_life</f>
        <v>5.7950943315637</v>
      </c>
      <c r="X49" s="40" t="n">
        <f aca="false">(SUMPRODUCT(--(Thesis!$R$5:$AA$5&lt;Thesis!X$5),Thesis!$R$46:$AA$46)+SUMPRODUCT(--(Thesis!$R$5:$AA$5&lt;Thesis!X$5),Thesis!$R$44:$AA$44))/fac_life</f>
        <v>8.1599498315637</v>
      </c>
      <c r="Y49" s="40" t="n">
        <f aca="false">(SUMPRODUCT(--(Thesis!$R$5:$AA$5&lt;Thesis!Y$5),Thesis!$R$46:$AA$46)+SUMPRODUCT(--(Thesis!$R$5:$AA$5&lt;Thesis!Y$5),Thesis!$R$44:$AA$44))/fac_life</f>
        <v>10.5248053315637</v>
      </c>
      <c r="Z49" s="40" t="n">
        <f aca="false">(SUMPRODUCT(--(Thesis!$R$5:$AA$5&lt;Thesis!Z$5),Thesis!$R$46:$AA$46)+SUMPRODUCT(--(Thesis!$R$5:$AA$5&lt;Thesis!Z$5),Thesis!$R$44:$AA$44))/fac_life</f>
        <v>12.197410939022</v>
      </c>
      <c r="AA49" s="40" t="n">
        <f aca="false">(SUMPRODUCT(--(Thesis!$R$5:$AA$5&lt;Thesis!AA$5),Thesis!$R$46:$AA$46)+SUMPRODUCT(--(Thesis!$R$5:$AA$5&lt;Thesis!AA$5),Thesis!$R$44:$AA$44))/fac_life</f>
        <v>13.1777666539387</v>
      </c>
    </row>
    <row r="50" customFormat="false" ht="17.15" hidden="false" customHeight="false" outlineLevel="0" collapsed="false">
      <c r="A50" s="1" t="s">
        <v>698</v>
      </c>
      <c r="B50" s="8" t="s">
        <v>91</v>
      </c>
      <c r="C50" s="40" t="n">
        <f aca="false">Thesis!$C$48+Thesis!$C$49</f>
        <v>0.203463948620839</v>
      </c>
      <c r="D50" s="40" t="n">
        <f aca="false">Thesis!$D$48+Thesis!$D$49</f>
        <v>1.73101464862084</v>
      </c>
      <c r="E50" s="40" t="n">
        <f aca="false">Thesis!$E$48+Thesis!$E$49</f>
        <v>7.87232265923837</v>
      </c>
      <c r="F50" s="40" t="n">
        <f aca="false">Thesis!$F$48+Thesis!$F$49</f>
        <v>2.62410755307946</v>
      </c>
      <c r="G50" s="40" t="n">
        <f aca="false">Thesis!$G$48+Thesis!$G$49</f>
        <v>10.4964302123178</v>
      </c>
      <c r="H50" s="40" t="n">
        <f aca="false">Thesis!$H$48+Thesis!$H$49</f>
        <v>26.4609899830862</v>
      </c>
      <c r="I50" s="40" t="n">
        <f aca="false">Thesis!$I$48+Thesis!$I$49</f>
        <v>56.9570464322196</v>
      </c>
      <c r="J50" s="40" t="n">
        <f aca="false">Thesis!$J$48+Thesis!$J$49</f>
        <v>81.5842146304613</v>
      </c>
      <c r="K50" s="40" t="n">
        <f aca="false">Thesis!$K$48+Thesis!$K$49</f>
        <v>106.743808263337</v>
      </c>
      <c r="L50" s="40" t="n">
        <f aca="false">Thesis!$L$48+Thesis!$L$49</f>
        <v>124.217779760807</v>
      </c>
      <c r="M50" s="40" t="n">
        <f aca="false">Thesis!$M$48+Thesis!$M$49</f>
        <v>132.974789889206</v>
      </c>
      <c r="N50" s="40" t="n">
        <f aca="false">Thesis!$N$48+Thesis!$N$49</f>
        <v>1.29826098646563</v>
      </c>
      <c r="O50" s="40" t="n">
        <f aca="false">Thesis!$O$48+Thesis!$O$49</f>
        <v>0.43275366215521</v>
      </c>
      <c r="R50" s="40" t="n">
        <f aca="false">Thesis!$R$48+Thesis!$R$49</f>
        <v>0</v>
      </c>
      <c r="S50" s="40" t="n">
        <f aca="false">Thesis!$S$48+Thesis!$S$49</f>
        <v>0.203463948620839</v>
      </c>
      <c r="T50" s="40" t="n">
        <f aca="false">Thesis!$T$48+Thesis!$T$49</f>
        <v>1.73101464862084</v>
      </c>
      <c r="U50" s="40" t="n">
        <f aca="false">Thesis!$U$48+Thesis!$U$49</f>
        <v>10.4964302123178</v>
      </c>
      <c r="V50" s="40" t="n">
        <f aca="false">Thesis!$V$48+Thesis!$V$49</f>
        <v>26.4609899830862</v>
      </c>
      <c r="W50" s="40" t="n">
        <f aca="false">Thesis!$W$48+Thesis!$W$49</f>
        <v>56.9570464322196</v>
      </c>
      <c r="X50" s="40" t="n">
        <f aca="false">Thesis!$X$48+Thesis!$X$49</f>
        <v>81.5842146304613</v>
      </c>
      <c r="Y50" s="40" t="n">
        <f aca="false">Thesis!$Y$48+Thesis!$Y$49</f>
        <v>106.743808263337</v>
      </c>
      <c r="Z50" s="40" t="n">
        <f aca="false">Thesis!$Z$48+Thesis!$Z$49</f>
        <v>124.217779760807</v>
      </c>
      <c r="AA50" s="40" t="n">
        <f aca="false">Thesis!$AA$48+Thesis!$AA$49</f>
        <v>132.974789889206</v>
      </c>
    </row>
    <row r="51" customFormat="false" ht="17.15" hidden="false" customHeight="false" outlineLevel="0" collapsed="false">
      <c r="A51" s="0" t="s">
        <v>699</v>
      </c>
      <c r="B51" s="0" t="s">
        <v>91</v>
      </c>
      <c r="C51" s="40" t="n">
        <f aca="false">Thesis!$S$51</f>
        <v>26.578941154416</v>
      </c>
      <c r="D51" s="40" t="n">
        <f aca="false">Thesis!$T$51</f>
        <v>94.4165581367978</v>
      </c>
      <c r="G51" s="40" t="n">
        <f aca="false">Thesis!$U$51</f>
        <v>235.8117963687</v>
      </c>
      <c r="H51" s="40" t="n">
        <f aca="false">Thesis!$V$51</f>
        <v>383.981700442564</v>
      </c>
      <c r="I51" s="40" t="n">
        <f aca="false">Thesis!$W$51</f>
        <v>507.895640199794</v>
      </c>
      <c r="J51" s="40" t="n">
        <f aca="false">Thesis!$X$51</f>
        <v>611.476241156783</v>
      </c>
      <c r="K51" s="40" t="n">
        <f aca="false">Thesis!$Y$51</f>
        <v>641.245804582683</v>
      </c>
      <c r="L51" s="40" t="n">
        <f aca="false">Thesis!$Z$51</f>
        <v>630.6529290009</v>
      </c>
      <c r="M51" s="40" t="n">
        <f aca="false">Thesis!$AA$51</f>
        <v>609.900719178539</v>
      </c>
      <c r="R51" s="40" t="n">
        <f aca="false">SUM(Thesis!$R$35:$R$35)-SUM(Thesis!$R$50:$R$50)</f>
        <v>1.50429979529945</v>
      </c>
      <c r="S51" s="40" t="n">
        <f aca="false">SUM(Thesis!$R$35:$S$35)-SUM(Thesis!$R$50:$S$50)</f>
        <v>26.578941154416</v>
      </c>
      <c r="T51" s="40" t="n">
        <f aca="false">SUM(Thesis!$R$35:$T$35)-SUM(Thesis!$R$50:$T$50)</f>
        <v>94.4165581367978</v>
      </c>
      <c r="U51" s="40" t="n">
        <f aca="false">SUM(Thesis!$R$35:$U$35)-SUM(Thesis!$R$50:$U$50)</f>
        <v>235.8117963687</v>
      </c>
      <c r="V51" s="40" t="n">
        <f aca="false">SUM(Thesis!$R$35:$V$35)-SUM(Thesis!$R$50:$V$50)</f>
        <v>383.981700442564</v>
      </c>
      <c r="W51" s="40" t="n">
        <f aca="false">SUM(Thesis!$R$35:$W$35)-SUM(Thesis!$R$50:$W$50)</f>
        <v>507.895640199794</v>
      </c>
      <c r="X51" s="40" t="n">
        <f aca="false">SUM(Thesis!$R$35:$X$35)-SUM(Thesis!$R$50:$X$50)</f>
        <v>611.476241156783</v>
      </c>
      <c r="Y51" s="40" t="n">
        <f aca="false">SUM(Thesis!$R$35:$Y$35)-SUM(Thesis!$R$50:$Y$50)</f>
        <v>641.245804582683</v>
      </c>
      <c r="Z51" s="40" t="n">
        <f aca="false">SUM(Thesis!$R$35:$Z$35)-SUM(Thesis!$R$50:$Z$50)</f>
        <v>630.6529290009</v>
      </c>
      <c r="AA51" s="40" t="n">
        <f aca="false">SUM(Thesis!$R$35:$AA$35)-SUM(Thesis!$R$50:$AA$50)</f>
        <v>609.900719178539</v>
      </c>
    </row>
    <row r="52" customFormat="false" ht="17.15" hidden="false" customHeight="false" outlineLevel="0" collapsed="false">
      <c r="A52" s="1" t="s">
        <v>700</v>
      </c>
    </row>
    <row r="53" customFormat="false" ht="17.15" hidden="false" customHeight="false" outlineLevel="0" collapsed="false">
      <c r="A53" s="0" t="s">
        <v>701</v>
      </c>
      <c r="B53" s="0" t="s">
        <v>91</v>
      </c>
      <c r="C53" s="40" t="n">
        <f aca="false">Thesis!$C$26-ext_sh*Thesis!$C$28</f>
        <v>1.80694998843362</v>
      </c>
      <c r="D53" s="40" t="n">
        <f aca="false">Thesis!$D$26-ext_sh*Thesis!$D$28</f>
        <v>6.77606245662607</v>
      </c>
      <c r="E53" s="40" t="n">
        <f aca="false">Thesis!$E$26-ext_sh*Thesis!$E$28</f>
        <v>12.6125815032506</v>
      </c>
      <c r="F53" s="40" t="n">
        <f aca="false">Thesis!$F$26-ext_sh*Thesis!$F$28</f>
        <v>7.82788092034529</v>
      </c>
      <c r="G53" s="40" t="n">
        <f aca="false">Thesis!$G$26-ext_sh*Thesis!$G$28</f>
        <v>20.4404624235959</v>
      </c>
      <c r="H53" s="40" t="n">
        <f aca="false">Thesis!$H$26-ext_sh*Thesis!$H$28</f>
        <v>58.3366366758868</v>
      </c>
      <c r="I53" s="40" t="n">
        <f aca="false">Thesis!$I$26-ext_sh*Thesis!$I$28</f>
        <v>102.770534677664</v>
      </c>
      <c r="J53" s="40" t="n">
        <f aca="false">Thesis!$J$26-ext_sh*Thesis!$J$28</f>
        <v>147.477438204227</v>
      </c>
      <c r="K53" s="40" t="n">
        <f aca="false">Thesis!$K$26-ext_sh*Thesis!$K$28</f>
        <v>185.604681277381</v>
      </c>
      <c r="L53" s="40" t="n">
        <f aca="false">Thesis!$L$26-ext_sh*Thesis!$L$28</f>
        <v>210.655488028667</v>
      </c>
      <c r="M53" s="40" t="n">
        <f aca="false">Thesis!$M$26-ext_sh*Thesis!$M$28</f>
        <v>222.58531457156</v>
      </c>
      <c r="N53" s="40" t="n">
        <f aca="false">Thesis!$N$26-ext_sh*Thesis!$N$28</f>
        <v>4.31973981609912</v>
      </c>
      <c r="O53" s="40" t="n">
        <f aca="false">Thesis!$O$26-ext_sh*Thesis!$O$28</f>
        <v>2.45632264052695</v>
      </c>
    </row>
    <row r="54" customFormat="false" ht="17.15" hidden="false" customHeight="false" outlineLevel="0" collapsed="false">
      <c r="A54" s="1" t="s">
        <v>702</v>
      </c>
      <c r="B54" s="8" t="s">
        <v>91</v>
      </c>
      <c r="C54" s="40" t="n">
        <f aca="false">Thesis!$C$53-ext_sh*Thesis!$C$50</f>
        <v>1.64417882953695</v>
      </c>
      <c r="D54" s="40" t="n">
        <f aca="false">Thesis!$D$53-ext_sh*Thesis!$D$50</f>
        <v>5.39125073772939</v>
      </c>
      <c r="E54" s="40" t="n">
        <f aca="false">Thesis!$E$53-ext_sh*Thesis!$E$50</f>
        <v>6.31472337585987</v>
      </c>
      <c r="F54" s="40" t="n">
        <f aca="false">Thesis!$F$53-ext_sh*Thesis!$F$50</f>
        <v>5.72859487788173</v>
      </c>
      <c r="G54" s="40" t="n">
        <f aca="false">Thesis!$G$53-ext_sh*Thesis!$G$50</f>
        <v>12.0433182537416</v>
      </c>
      <c r="H54" s="40" t="n">
        <f aca="false">Thesis!$H$53-ext_sh*Thesis!$H$50</f>
        <v>37.1678446894179</v>
      </c>
      <c r="I54" s="40" t="n">
        <f aca="false">Thesis!$I$53-ext_sh*Thesis!$I$50</f>
        <v>57.2048975318883</v>
      </c>
      <c r="J54" s="40" t="n">
        <f aca="false">Thesis!$J$53-ext_sh*Thesis!$J$50</f>
        <v>82.2100664998577</v>
      </c>
      <c r="K54" s="40" t="n">
        <f aca="false">Thesis!$K$53-ext_sh*Thesis!$K$50</f>
        <v>100.209634666711</v>
      </c>
      <c r="L54" s="40" t="n">
        <f aca="false">Thesis!$L$53-ext_sh*Thesis!$L$50</f>
        <v>111.281264220021</v>
      </c>
      <c r="M54" s="40" t="n">
        <f aca="false">Thesis!$M$53-ext_sh*Thesis!$M$50</f>
        <v>116.205482660195</v>
      </c>
      <c r="N54" s="40" t="n">
        <f aca="false">Thesis!$N$53-ext_sh*Thesis!$N$50</f>
        <v>3.28113102692661</v>
      </c>
      <c r="O54" s="40" t="n">
        <f aca="false">Thesis!$O$53-ext_sh*Thesis!$O$50</f>
        <v>2.11011971080278</v>
      </c>
    </row>
    <row r="55" customFormat="false" ht="17.15" hidden="false" customHeight="false" outlineLevel="0" collapsed="false">
      <c r="A55" s="0" t="s">
        <v>703</v>
      </c>
      <c r="B55" s="0" t="s">
        <v>56</v>
      </c>
      <c r="C55" s="13" t="n">
        <f aca="false">Thesis!$C$54/Thesis!$C$26</f>
        <v>0.708390794789371</v>
      </c>
      <c r="D55" s="13" t="n">
        <f aca="false">Thesis!$D$54/Thesis!$D$26</f>
        <v>0.619415573115729</v>
      </c>
      <c r="E55" s="13" t="n">
        <f aca="false">Thesis!$E$54/Thesis!$E$26</f>
        <v>0.38978070304412</v>
      </c>
      <c r="F55" s="13" t="n">
        <f aca="false">Thesis!$F$54/Thesis!$F$26</f>
        <v>0.588633572095407</v>
      </c>
      <c r="G55" s="13" t="n">
        <f aca="false">Thesis!$G$54/Thesis!$G$26</f>
        <v>0.464406108587804</v>
      </c>
      <c r="H55" s="13" t="n">
        <f aca="false">Thesis!$H$54/Thesis!$H$26</f>
        <v>0.521732975031211</v>
      </c>
      <c r="I55" s="13" t="n">
        <f aca="false">Thesis!$I$54/Thesis!$I$26</f>
        <v>0.460588552051531</v>
      </c>
      <c r="J55" s="13" t="n">
        <f aca="false">Thesis!$J$54/Thesis!$J$26</f>
        <v>0.463289280963502</v>
      </c>
      <c r="K55" s="13" t="n">
        <f aca="false">Thesis!$K$54/Thesis!$K$26</f>
        <v>0.449641213094224</v>
      </c>
      <c r="L55" s="13" t="n">
        <f aca="false">Thesis!$L$54/Thesis!$L$26</f>
        <v>0.440357706650555</v>
      </c>
      <c r="M55" s="13" t="n">
        <f aca="false">Thesis!$M$54/Thesis!$M$26</f>
        <v>0.435350749622456</v>
      </c>
      <c r="N55" s="13" t="n">
        <f aca="false">Thesis!$N$54/Thesis!$N$26</f>
        <v>0.591338253041814</v>
      </c>
      <c r="O55" s="13" t="n">
        <f aca="false">Thesis!$O$54/Thesis!$O$26</f>
        <v>0.668792929107785</v>
      </c>
    </row>
    <row r="56" customFormat="false" ht="17.15" hidden="false" customHeight="false" outlineLevel="0" collapsed="false">
      <c r="A56" s="5" t="s">
        <v>704</v>
      </c>
      <c r="B56" s="0" t="s">
        <v>91</v>
      </c>
      <c r="C56" s="41" t="n">
        <v>0</v>
      </c>
      <c r="D56" s="41" t="n">
        <v>0</v>
      </c>
      <c r="E56" s="41" t="n">
        <v>0</v>
      </c>
      <c r="F56" s="40" t="n">
        <f aca="false">IF(internal_ai_reading=2,1,0)*(1-ext_sh)/ext_sh*(mw_open*he_open+Thesis!$F$24*Thesis!$F$21)*Thesis!$F$10/1000</f>
        <v>2.04181271844166</v>
      </c>
      <c r="G56" s="40" t="n">
        <f aca="false">Thesis!$E$56+Thesis!$F$56</f>
        <v>2.04181271844166</v>
      </c>
      <c r="H56" s="40" t="n">
        <f aca="false">IF(internal_ai_reading=2,1,0)*(1-ext_sh)/ext_sh*(mw_open*he_open+Thesis!$H$24*Thesis!$H$21)*Thesis!$H$10/1000</f>
        <v>13.4874104900389</v>
      </c>
      <c r="I56" s="40" t="n">
        <f aca="false">IF(internal_ai_reading=2,1,0)*(1-ext_sh)/ext_sh*(mw_open*he_open+Thesis!$I$24*Thesis!$I$21)*Thesis!$I$10/1000</f>
        <v>22.2075517033574</v>
      </c>
      <c r="J56" s="40" t="n">
        <f aca="false">IF(internal_ai_reading=2,1,0)*(1-ext_sh)/ext_sh*(mw_open*he_open+Thesis!$J$24*Thesis!$J$21)*Thesis!$J$10/1000</f>
        <v>30.975236823114</v>
      </c>
      <c r="K56" s="40" t="n">
        <f aca="false">IF(internal_ai_reading=2,1,0)*(1-ext_sh)/ext_sh*(mw_open*he_open+Thesis!$K$24*Thesis!$K$21)*Thesis!$K$10/1000</f>
        <v>38.453349844862</v>
      </c>
      <c r="L56" s="40" t="n">
        <f aca="false">IF(internal_ai_reading=2,1,0)*(1-ext_sh)/ext_sh*(mw_open*he_open+Thesis!$L$24*Thesis!$L$21)*Thesis!$L$10/1000</f>
        <v>43.3667530193308</v>
      </c>
      <c r="M56" s="40" t="n">
        <f aca="false">IF(internal_ai_reading=2,1,0)*(1-ext_sh)/ext_sh*(mw_open*he_open+Thesis!$M$24*Thesis!$M$21)*Thesis!$M$10/1000</f>
        <v>45.707689029612</v>
      </c>
      <c r="N56" s="41" t="n">
        <v>0</v>
      </c>
      <c r="O56" s="41" t="n">
        <v>0</v>
      </c>
      <c r="P56" s="8" t="s">
        <v>705</v>
      </c>
    </row>
    <row r="57" customFormat="false" ht="17.15" hidden="false" customHeight="false" outlineLevel="0" collapsed="false">
      <c r="A57" s="5" t="s">
        <v>706</v>
      </c>
      <c r="B57" s="0" t="s">
        <v>91</v>
      </c>
      <c r="C57" s="40" t="n">
        <f aca="false">(1-ext_sh)*(Thesis!$C$28+Thesis!$C$50)</f>
        <v>0.169206631859174</v>
      </c>
      <c r="D57" s="40" t="n">
        <f aca="false">(1-ext_sh)*(Thesis!$D$28+Thesis!$D$50)</f>
        <v>0.828129837730442</v>
      </c>
      <c r="E57" s="40" t="n">
        <f aca="false">(1-ext_sh)*(Thesis!$E$28+Thesis!$E$50)</f>
        <v>2.47149617002198</v>
      </c>
      <c r="F57" s="40" t="n">
        <f aca="false">(1-ext_sh)*(Thesis!$F$28+Thesis!$F$50)</f>
        <v>1.00085678236035</v>
      </c>
      <c r="G57" s="40" t="n">
        <f aca="false">(1-ext_sh)*(Thesis!$G$28+Thesis!$G$50)</f>
        <v>3.47235295238233</v>
      </c>
      <c r="H57" s="40" t="n">
        <f aca="false">(1-ext_sh)*(Thesis!$H$28+Thesis!$H$50)</f>
        <v>8.51784119215701</v>
      </c>
      <c r="I57" s="40" t="n">
        <f aca="false">(1-ext_sh)*(Thesis!$I$28+Thesis!$I$50)</f>
        <v>16.7486667167356</v>
      </c>
      <c r="J57" s="40" t="n">
        <f aca="false">(1-ext_sh)*(Thesis!$J$28+Thesis!$J$50)</f>
        <v>23.8096507496431</v>
      </c>
      <c r="K57" s="40" t="n">
        <f aca="false">(1-ext_sh)*(Thesis!$K$28+Thesis!$K$50)</f>
        <v>30.6640335479461</v>
      </c>
      <c r="L57" s="40" t="n">
        <f aca="false">(1-ext_sh)*(Thesis!$L$28+Thesis!$L$50)</f>
        <v>35.3563142953796</v>
      </c>
      <c r="M57" s="40" t="n">
        <f aca="false">(1-ext_sh)*(Thesis!$M$28+Thesis!$M$50)</f>
        <v>37.6795829171895</v>
      </c>
      <c r="N57" s="40" t="n">
        <f aca="false">(1-ext_sh)*(Thesis!$N$28+Thesis!$N$50)</f>
        <v>0.566880601147126</v>
      </c>
      <c r="O57" s="40" t="n">
        <f aca="false">(1-ext_sh)*(Thesis!$O$28+Thesis!$O$50)</f>
        <v>0.261249236583316</v>
      </c>
    </row>
    <row r="58" customFormat="false" ht="17.15" hidden="false" customHeight="false" outlineLevel="0" collapsed="false">
      <c r="A58" s="0" t="s">
        <v>707</v>
      </c>
      <c r="B58" s="0" t="s">
        <v>91</v>
      </c>
      <c r="C58" s="40" t="n">
        <f aca="false">Q!$D$25</f>
        <v>39.834</v>
      </c>
      <c r="D58" s="40" t="n">
        <f aca="false">Q!$E$25</f>
        <v>45.606</v>
      </c>
      <c r="E58" s="40" t="n">
        <f aca="false">Q!$O$25</f>
        <v>48.555</v>
      </c>
      <c r="N58" s="40" t="n">
        <f aca="false">Q!$N$25</f>
        <v>33.141</v>
      </c>
      <c r="O58" s="40" t="n">
        <f aca="false">Q!$J$25</f>
        <v>12.465</v>
      </c>
    </row>
    <row r="59" customFormat="false" ht="17.15" hidden="false" customHeight="false" outlineLevel="0" collapsed="false">
      <c r="A59" s="0" t="s">
        <v>708</v>
      </c>
      <c r="B59" s="0" t="s">
        <v>91</v>
      </c>
      <c r="C59" s="40" t="n">
        <f aca="false">Thesis!$C$58-Thesis!$C$54</f>
        <v>38.1898211704631</v>
      </c>
      <c r="D59" s="40" t="n">
        <f aca="false">Thesis!$D$58-Thesis!$D$54</f>
        <v>40.2147492622706</v>
      </c>
      <c r="E59" s="40" t="n">
        <f aca="false">Thesis!$E$58-Thesis!$E$54</f>
        <v>42.2402766241401</v>
      </c>
      <c r="F59" s="40" t="n">
        <f aca="false">Thesis!$F$30*Thesis!$F$60</f>
        <v>13.6943139813566</v>
      </c>
      <c r="G59" s="40" t="n">
        <f aca="false">Thesis!$E$59+Thesis!$F$59</f>
        <v>55.9345906054967</v>
      </c>
      <c r="H59" s="40" t="n">
        <f aca="false">Thesis!$H$30*Thesis!$H$60</f>
        <v>61.088168450178</v>
      </c>
      <c r="I59" s="40" t="n">
        <f aca="false">Thesis!$I$30*Thesis!$I$60</f>
        <v>67.8233475699772</v>
      </c>
      <c r="J59" s="40" t="n">
        <f aca="false">Thesis!$J$30*Thesis!$J$60</f>
        <v>74.2751592782286</v>
      </c>
      <c r="K59" s="40" t="n">
        <f aca="false">Thesis!$K$30*Thesis!$K$60</f>
        <v>80.2171720204868</v>
      </c>
      <c r="L59" s="40" t="n">
        <f aca="false">Thesis!$L$30*Thesis!$L$60</f>
        <v>86.6345457821258</v>
      </c>
      <c r="M59" s="40" t="n">
        <f aca="false">Thesis!$M$30*Thesis!$M$60</f>
        <v>93.5653094446959</v>
      </c>
      <c r="N59" s="40" t="n">
        <f aca="false">Thesis!$N$58-Thesis!$N$54</f>
        <v>29.8598689730734</v>
      </c>
      <c r="O59" s="40" t="n">
        <f aca="false">Thesis!$O$58-Thesis!$O$54</f>
        <v>10.3548802891972</v>
      </c>
      <c r="P59" s="5" t="s">
        <v>709</v>
      </c>
    </row>
    <row r="60" customFormat="false" ht="17.15" hidden="false" customHeight="false" outlineLevel="0" collapsed="false">
      <c r="A60" s="0" t="s">
        <v>710</v>
      </c>
      <c r="B60" s="0" t="s">
        <v>56</v>
      </c>
      <c r="C60" s="13" t="n">
        <f aca="false">Thesis!$C$59/Thesis!$C$30</f>
        <v>0.362900395443635</v>
      </c>
      <c r="D60" s="13" t="n">
        <f aca="false">Thesis!$D$59/Thesis!$D$30</f>
        <v>0.335063632425483</v>
      </c>
      <c r="E60" s="13" t="n">
        <f aca="false">Thesis!$E$59/Thesis!$E$30</f>
        <v>0.385395924436527</v>
      </c>
      <c r="F60" s="13" t="n">
        <f aca="false">(Thesis!$O$59+Thesis!$E$59)/(Thesis!$O$30+Thesis!$E$30)</f>
        <v>0.37032016673748</v>
      </c>
      <c r="G60" s="13" t="n">
        <f aca="false">Thesis!$G$59/Thesis!$G$30</f>
        <v>0.381592615841289</v>
      </c>
      <c r="H60" s="13" t="n">
        <f aca="false">Thesis!$F$60</f>
        <v>0.37032016673748</v>
      </c>
      <c r="I60" s="13" t="n">
        <f aca="false">Thesis!$F$60</f>
        <v>0.37032016673748</v>
      </c>
      <c r="J60" s="13" t="n">
        <f aca="false">Thesis!$F$60</f>
        <v>0.37032016673748</v>
      </c>
      <c r="K60" s="13" t="n">
        <f aca="false">Thesis!$F$60</f>
        <v>0.37032016673748</v>
      </c>
      <c r="L60" s="13" t="n">
        <f aca="false">Thesis!$F$60</f>
        <v>0.37032016673748</v>
      </c>
      <c r="M60" s="13" t="n">
        <f aca="false">Thesis!$F$60</f>
        <v>0.37032016673748</v>
      </c>
      <c r="N60" s="13" t="n">
        <f aca="false">Thesis!$N$59/Thesis!$N$30</f>
        <v>0.340876409421015</v>
      </c>
      <c r="O60" s="13" t="n">
        <f aca="false">Thesis!$O$59/Thesis!$O$30</f>
        <v>0.319359657808422</v>
      </c>
      <c r="P60" s="8" t="s">
        <v>711</v>
      </c>
    </row>
    <row r="61" customFormat="false" ht="17.15" hidden="false" customHeight="false" outlineLevel="0" collapsed="false">
      <c r="A61" s="0" t="s">
        <v>712</v>
      </c>
      <c r="B61" s="0" t="s">
        <v>56</v>
      </c>
      <c r="D61" s="13" t="n">
        <f aca="false">(Q!$E$33-ext_sh*Thesis!$D$50)/Thesis!$D$30</f>
        <v>0.167180325480118</v>
      </c>
    </row>
    <row r="62" customFormat="false" ht="17.15" hidden="false" customHeight="false" outlineLevel="0" collapsed="false">
      <c r="A62" s="0" t="s">
        <v>713</v>
      </c>
      <c r="B62" s="0" t="s">
        <v>91</v>
      </c>
      <c r="C62" s="40" t="n">
        <f aca="false">Q!$D$33</f>
        <v>13.32</v>
      </c>
      <c r="D62" s="40" t="n">
        <f aca="false">Q!$E$33</f>
        <v>21.45</v>
      </c>
      <c r="E62" s="40" t="n">
        <f aca="false">Q!$O$33</f>
        <v>23.8172847708625</v>
      </c>
      <c r="F62" s="40" t="n">
        <f aca="false">ext_sh*Thesis!$F$50+Thesis!$D$61*Thesis!$F$30</f>
        <v>8.28155769350516</v>
      </c>
      <c r="G62" s="40" t="n">
        <f aca="false">Thesis!$E$62+Thesis!$F$62</f>
        <v>32.0988424643677</v>
      </c>
      <c r="H62" s="40" t="n">
        <f aca="false">ext_sh*Thesis!$H$50+Thesis!$D$61*Thesis!$H$30</f>
        <v>48.7469278856268</v>
      </c>
      <c r="I62" s="40" t="n">
        <f aca="false">ext_sh*Thesis!$I$50+Thesis!$D$61*Thesis!$I$30</f>
        <v>76.1843566764837</v>
      </c>
      <c r="J62" s="40" t="n">
        <f aca="false">ext_sh*Thesis!$J$50+Thesis!$D$61*Thesis!$J$30</f>
        <v>98.7987491948757</v>
      </c>
      <c r="K62" s="40" t="n">
        <f aca="false">ext_sh*Thesis!$K$50+Thesis!$D$61*Thesis!$K$30</f>
        <v>121.608934300417</v>
      </c>
      <c r="L62" s="40" t="n">
        <f aca="false">ext_sh*Thesis!$L$50+Thesis!$D$61*Thesis!$L$30</f>
        <v>138.485222513573</v>
      </c>
      <c r="M62" s="40" t="n">
        <f aca="false">ext_sh*Thesis!$M$50+Thesis!$D$61*Thesis!$M$30</f>
        <v>148.619710512686</v>
      </c>
      <c r="N62" s="40" t="n">
        <f aca="false">Q!$N$33</f>
        <v>14.882</v>
      </c>
      <c r="O62" s="40" t="n">
        <f aca="false">Q!$J$33</f>
        <v>6.568</v>
      </c>
    </row>
    <row r="63" customFormat="false" ht="17.15" hidden="false" customHeight="false" outlineLevel="0" collapsed="false">
      <c r="A63" s="1" t="s">
        <v>714</v>
      </c>
    </row>
    <row r="64" customFormat="false" ht="17.15" hidden="false" customHeight="false" outlineLevel="0" collapsed="false">
      <c r="A64" s="15" t="s">
        <v>715</v>
      </c>
      <c r="B64" s="14" t="s">
        <v>56</v>
      </c>
      <c r="C64" s="14"/>
      <c r="D64" s="14"/>
      <c r="E64" s="14"/>
      <c r="F64" s="14"/>
      <c r="G64" s="17" t="n">
        <f aca="false">Thesis!$G$54*(1-tax)/(ext_sh*(Thesis!$D$51+Thesis!$G$51)/2)</f>
        <v>0.0753477436138347</v>
      </c>
      <c r="H64" s="17" t="n">
        <f aca="false">Thesis!$H$54*(1-tax)/(ext_sh*(Thesis!$G$51+Thesis!$H$51)/2)</f>
        <v>0.123896435351091</v>
      </c>
      <c r="I64" s="17" t="n">
        <f aca="false">Thesis!$I$54*(1-tax)/(ext_sh*(Thesis!$H$51+Thesis!$I$51)/2)</f>
        <v>0.132515454533698</v>
      </c>
      <c r="J64" s="17" t="n">
        <f aca="false">Thesis!$J$54*(1-tax)/(ext_sh*(Thesis!$I$51+Thesis!$J$51)/2)</f>
        <v>0.151736148090169</v>
      </c>
      <c r="K64" s="17" t="n">
        <f aca="false">Thesis!$K$54*(1-tax)/(ext_sh*(Thesis!$J$51+Thesis!$K$51)/2)</f>
        <v>0.165269688020337</v>
      </c>
      <c r="L64" s="17" t="n">
        <f aca="false">Thesis!$L$54*(1-tax)/(ext_sh*(Thesis!$K$51+Thesis!$L$51)/2)</f>
        <v>0.18076234416377</v>
      </c>
      <c r="M64" s="17" t="n">
        <f aca="false">Thesis!$M$54*(1-tax)/(ext_sh*(Thesis!$L$51+Thesis!$M$51)/2)</f>
        <v>0.193530544009102</v>
      </c>
      <c r="N64" s="14"/>
      <c r="O64" s="14"/>
      <c r="P64" s="8" t="s">
        <v>716</v>
      </c>
    </row>
    <row r="65" customFormat="false" ht="17.15" hidden="false" customHeight="false" outlineLevel="0" collapsed="false">
      <c r="A65" s="5" t="s">
        <v>717</v>
      </c>
      <c r="B65" s="0" t="s">
        <v>61</v>
      </c>
      <c r="H65" s="21" t="n">
        <f aca="false">Thesis!$H$26*1000/(mw_open*he_open+Thesis!$H$24*Thesis!$H$21)</f>
        <v>1.32047603783282</v>
      </c>
      <c r="I65" s="21" t="n">
        <f aca="false">Thesis!$I$26*1000/(mw_open*he_open+Thesis!$I$24*Thesis!$I$21)</f>
        <v>1.39816813282544</v>
      </c>
      <c r="J65" s="21" t="n">
        <f aca="false">Thesis!$J$26*1000/(mw_open*he_open+Thesis!$J$24*Thesis!$J$21)</f>
        <v>1.43218170140039</v>
      </c>
      <c r="K65" s="21" t="n">
        <f aca="false">Thesis!$K$26*1000/(mw_open*he_open+Thesis!$K$24*Thesis!$K$21)</f>
        <v>1.44893598189517</v>
      </c>
      <c r="L65" s="21" t="n">
        <f aca="false">Thesis!$L$26*1000/(mw_open*he_open+Thesis!$L$24*Thesis!$L$21)</f>
        <v>1.45679872141278</v>
      </c>
      <c r="M65" s="21" t="n">
        <f aca="false">Thesis!$M$26*1000/(mw_open*he_open+Thesis!$M$24*Thesis!$M$21)</f>
        <v>1.4599502840541</v>
      </c>
    </row>
    <row r="66" customFormat="false" ht="17.15" hidden="false" customHeight="false" outlineLevel="0" collapsed="false">
      <c r="A66" s="5" t="s">
        <v>718</v>
      </c>
      <c r="B66" s="0" t="s">
        <v>61</v>
      </c>
      <c r="H66" s="21" t="n">
        <f aca="false">Thesis!$H$65*(Thesis!$H$26+wacc*ext_sh*(Thesis!$G$51+Thesis!$H$51)/2/(1-tax)-Thesis!$H$54)/Thesis!$H$26</f>
        <v>1.25395388178086</v>
      </c>
      <c r="I66" s="21" t="n">
        <f aca="false">Thesis!$I$65*(Thesis!$I$26+wacc*ext_sh*(Thesis!$H$51+Thesis!$I$51)/2/(1-tax)-Thesis!$I$54)/Thesis!$I$26</f>
        <v>1.29814565731513</v>
      </c>
      <c r="J66" s="21" t="n">
        <f aca="false">Thesis!$J$65*(Thesis!$J$26+wacc*ext_sh*(Thesis!$I$51+Thesis!$J$51)/2/(1-tax)-Thesis!$J$54)/Thesis!$J$26</f>
        <v>1.25813096796156</v>
      </c>
      <c r="K66" s="21" t="n">
        <f aca="false">Thesis!$K$65*(Thesis!$K$26+wacc*ext_sh*(Thesis!$J$51+Thesis!$K$51)/2/(1-tax)-Thesis!$K$54)/Thesis!$K$26</f>
        <v>1.23868114549846</v>
      </c>
      <c r="L66" s="21" t="n">
        <f aca="false">Thesis!$L$65*(Thesis!$L$26+wacc*ext_sh*(Thesis!$K$51+Thesis!$L$51)/2/(1-tax)-Thesis!$L$54)/Thesis!$L$26</f>
        <v>1.21252927240339</v>
      </c>
      <c r="M66" s="21" t="n">
        <f aca="false">Thesis!$M$65*(Thesis!$M$26+wacc*ext_sh*(Thesis!$L$51+Thesis!$M$51)/2/(1-tax)-Thesis!$M$54)/Thesis!$M$26</f>
        <v>1.19196957782615</v>
      </c>
    </row>
    <row r="67" customFormat="false" ht="17.15" hidden="false" customHeight="false" outlineLevel="0" collapsed="false">
      <c r="A67" s="5" t="s">
        <v>719</v>
      </c>
      <c r="B67" s="0" t="s">
        <v>56</v>
      </c>
      <c r="C67" s="13" t="n">
        <f aca="false">Thesis!$C$27/tk_pq</f>
        <v>0.195316432429398</v>
      </c>
      <c r="D67" s="13" t="n">
        <f aca="false">Thesis!$D$27/tk_pq</f>
        <v>0.195316432429398</v>
      </c>
      <c r="E67" s="13" t="n">
        <f aca="false">Thesis!$E$27/tk_pq</f>
        <v>0.195316432429398</v>
      </c>
      <c r="F67" s="13" t="n">
        <f aca="false">Thesis!$F$27/tk_pq</f>
        <v>0.225025999781754</v>
      </c>
      <c r="G67" s="13" t="n">
        <f aca="false">Thesis!$G$27/tk_pq</f>
        <v>0.205498281740034</v>
      </c>
      <c r="H67" s="13" t="n">
        <f aca="false">Thesis!$H$27/tk_pq</f>
        <v>0.24691633300917</v>
      </c>
      <c r="I67" s="13" t="n">
        <f aca="false">Thesis!$I$27/tk_pq</f>
        <v>0.262383909065715</v>
      </c>
      <c r="J67" s="13" t="n">
        <f aca="false">Thesis!$J$27/tk_pq</f>
        <v>0.269602826697301</v>
      </c>
      <c r="K67" s="13" t="n">
        <f aca="false">Thesis!$K$27/tk_pq</f>
        <v>0.273130646936055</v>
      </c>
      <c r="L67" s="13" t="n">
        <f aca="false">Thesis!$L$27/tk_pq</f>
        <v>0.274787284311052</v>
      </c>
      <c r="M67" s="13" t="n">
        <f aca="false">Thesis!$M$27/tk_pq</f>
        <v>0.275402049693033</v>
      </c>
      <c r="N67" s="13" t="n">
        <f aca="false">Thesis!$N$27/tk_pq</f>
        <v>0.195316432429398</v>
      </c>
      <c r="O67" s="13" t="n">
        <f aca="false">Thesis!$O$27/tk_pq</f>
        <v>0.195316432429398</v>
      </c>
      <c r="P67" s="5" t="s">
        <v>720</v>
      </c>
    </row>
    <row r="70" customFormat="false" ht="19.4" hidden="false" customHeight="false" outlineLevel="0" collapsed="false">
      <c r="A70" s="35" t="s">
        <v>721</v>
      </c>
    </row>
    <row r="71" customFormat="false" ht="17.15" hidden="false" customHeight="false" outlineLevel="0" collapsed="false">
      <c r="A71" s="6" t="s">
        <v>16</v>
      </c>
      <c r="B71" s="6" t="s">
        <v>17</v>
      </c>
      <c r="C71" s="23" t="s">
        <v>542</v>
      </c>
      <c r="D71" s="23" t="s">
        <v>543</v>
      </c>
      <c r="E71" s="23" t="s">
        <v>631</v>
      </c>
      <c r="F71" s="23" t="s">
        <v>632</v>
      </c>
      <c r="G71" s="23" t="s">
        <v>633</v>
      </c>
      <c r="H71" s="23" t="s">
        <v>634</v>
      </c>
      <c r="I71" s="23" t="s">
        <v>635</v>
      </c>
      <c r="J71" s="23" t="s">
        <v>636</v>
      </c>
      <c r="K71" s="23" t="s">
        <v>637</v>
      </c>
      <c r="L71" s="23" t="s">
        <v>638</v>
      </c>
      <c r="M71" s="23" t="s">
        <v>639</v>
      </c>
      <c r="N71" s="23" t="s">
        <v>640</v>
      </c>
      <c r="O71" s="23" t="s">
        <v>641</v>
      </c>
      <c r="P71" s="6" t="s">
        <v>23</v>
      </c>
      <c r="R71" s="23" t="n">
        <v>2023</v>
      </c>
      <c r="S71" s="23" t="n">
        <v>2024</v>
      </c>
      <c r="T71" s="23" t="n">
        <v>2025</v>
      </c>
      <c r="U71" s="23" t="n">
        <v>2026</v>
      </c>
      <c r="V71" s="23" t="n">
        <v>2027</v>
      </c>
      <c r="W71" s="23" t="n">
        <v>2028</v>
      </c>
      <c r="X71" s="23" t="n">
        <v>2029</v>
      </c>
      <c r="Y71" s="23" t="n">
        <v>2030</v>
      </c>
      <c r="Z71" s="23" t="n">
        <v>2031</v>
      </c>
      <c r="AA71" s="23" t="n">
        <v>2032</v>
      </c>
    </row>
    <row r="72" customFormat="false" ht="17.15" hidden="false" customHeight="false" outlineLevel="0" collapsed="false">
      <c r="A72" s="1" t="s">
        <v>642</v>
      </c>
    </row>
    <row r="73" customFormat="false" ht="17.15" hidden="false" customHeight="false" outlineLevel="0" collapsed="false">
      <c r="A73" s="5" t="s">
        <v>643</v>
      </c>
      <c r="B73" s="0" t="s">
        <v>153</v>
      </c>
      <c r="H73" s="36" t="n">
        <f aca="false">(pace_B*pace_x)</f>
        <v>3788.9</v>
      </c>
      <c r="I73" s="36" t="n">
        <f aca="false">(pace_B*pace_x)</f>
        <v>3788.9</v>
      </c>
      <c r="J73" s="36" t="n">
        <f aca="false">(pace_B*pace_x)</f>
        <v>3788.9</v>
      </c>
      <c r="K73" s="36" t="n">
        <f aca="false">(pace_B*pace_x)+(Thesis!$J$74*tg-(pace_B*pace_x))*1/3</f>
        <v>2679.34483333333</v>
      </c>
      <c r="L73" s="36" t="n">
        <f aca="false">(pace_B*pace_x)+(Thesis!$J$74*tg-(pace_B*pace_x))*2/3</f>
        <v>1569.78966666667</v>
      </c>
      <c r="M73" s="36" t="n">
        <f aca="false">(pace_B*pace_x)+(Thesis!$J$74*tg-(pace_B*pace_x))*3/3</f>
        <v>460.2345</v>
      </c>
      <c r="P73" s="5" t="s">
        <v>644</v>
      </c>
    </row>
    <row r="74" customFormat="false" ht="17.15" hidden="false" customHeight="false" outlineLevel="0" collapsed="false">
      <c r="A74" s="15" t="s">
        <v>645</v>
      </c>
      <c r="B74" s="14" t="s">
        <v>138</v>
      </c>
      <c r="C74" s="37" t="n">
        <f aca="false">mw_ye24</f>
        <v>360</v>
      </c>
      <c r="D74" s="37" t="n">
        <f aca="false">mw_ye25</f>
        <v>1440</v>
      </c>
      <c r="E74" s="37" t="n">
        <f aca="false">mw_q3</f>
        <v>3027.225</v>
      </c>
      <c r="F74" s="37" t="n">
        <f aca="false">Thesis!$E$74+(pace_B*pace_x)*0.25</f>
        <v>3974.45</v>
      </c>
      <c r="G74" s="37" t="n">
        <f aca="false">Thesis!$F$74</f>
        <v>3974.45</v>
      </c>
      <c r="H74" s="37" t="n">
        <f aca="false">Thesis!$G$74+Thesis!$H$73</f>
        <v>7763.35</v>
      </c>
      <c r="I74" s="37" t="n">
        <f aca="false">Thesis!$H$74+Thesis!$I$73</f>
        <v>11552.25</v>
      </c>
      <c r="J74" s="37" t="n">
        <f aca="false">Thesis!$I$74+Thesis!$J$73</f>
        <v>15341.15</v>
      </c>
      <c r="K74" s="37" t="n">
        <f aca="false">Thesis!$J$74+Thesis!$K$73</f>
        <v>18020.4948333333</v>
      </c>
      <c r="L74" s="37" t="n">
        <f aca="false">Thesis!$K$74+Thesis!$L$73</f>
        <v>19590.2845</v>
      </c>
      <c r="M74" s="37" t="n">
        <f aca="false">Thesis!$L$74+Thesis!$M$73</f>
        <v>20050.519</v>
      </c>
      <c r="N74" s="37" t="n">
        <f aca="false">mw_ye24+(mw_ye25-mw_ye24)*0.75</f>
        <v>1170</v>
      </c>
      <c r="O74" s="37" t="n">
        <f aca="false">mw_ye25</f>
        <v>1440</v>
      </c>
      <c r="P74" s="5" t="s">
        <v>646</v>
      </c>
    </row>
    <row r="75" customFormat="false" ht="17.15" hidden="false" customHeight="false" outlineLevel="0" collapsed="false">
      <c r="A75" s="5" t="s">
        <v>647</v>
      </c>
      <c r="B75" s="0" t="s">
        <v>138</v>
      </c>
      <c r="C75" s="36" t="n">
        <f aca="false">(mw_ye23+mw_ye24)/2</f>
        <v>240</v>
      </c>
      <c r="D75" s="36" t="n">
        <f aca="false">(Thesis!$C$74+Thesis!$D$74)/2</f>
        <v>900</v>
      </c>
      <c r="E75" s="36" t="n">
        <f aca="false">(Thesis!$D$74+Thesis!$E$74)/2</f>
        <v>2233.6125</v>
      </c>
      <c r="F75" s="36" t="n">
        <f aca="false">(Thesis!$E$74+Thesis!$F$74)/2</f>
        <v>3500.8375</v>
      </c>
      <c r="G75" s="36" t="n">
        <f aca="false">Thesis!$E$75*0.75+Thesis!$F$75*0.25</f>
        <v>2550.41875</v>
      </c>
      <c r="H75" s="36" t="n">
        <f aca="false">(Thesis!$G$74+Thesis!$H$74)/2</f>
        <v>5868.9</v>
      </c>
      <c r="I75" s="36" t="n">
        <f aca="false">(Thesis!$H$74+Thesis!$I$74)/2</f>
        <v>9657.8</v>
      </c>
      <c r="J75" s="36" t="n">
        <f aca="false">(Thesis!$I$74+Thesis!$J$74)/2</f>
        <v>13446.7</v>
      </c>
      <c r="K75" s="36" t="n">
        <f aca="false">(Thesis!$J$74+Thesis!$K$74)/2</f>
        <v>16680.8224166667</v>
      </c>
      <c r="L75" s="36" t="n">
        <f aca="false">(Thesis!$K$74+Thesis!$L$74)/2</f>
        <v>18805.3896666667</v>
      </c>
      <c r="M75" s="36" t="n">
        <f aca="false">(Thesis!$L$74+Thesis!$M$74)/2</f>
        <v>19820.40175</v>
      </c>
      <c r="N75" s="36" t="n">
        <f aca="false">(Thesis!$C$74+Thesis!$N$74)/2</f>
        <v>765</v>
      </c>
      <c r="O75" s="36" t="n">
        <f aca="false">(Thesis!$N$74+Thesis!$O$74)/2</f>
        <v>1305</v>
      </c>
    </row>
    <row r="76" customFormat="false" ht="15" hidden="false" customHeight="false" outlineLevel="0" collapsed="false">
      <c r="A76" s="5" t="s">
        <v>648</v>
      </c>
      <c r="B76" s="5" t="s">
        <v>132</v>
      </c>
      <c r="C76" s="38" t="n">
        <v>1</v>
      </c>
      <c r="D76" s="38" t="n">
        <v>1</v>
      </c>
      <c r="E76" s="38" t="n">
        <v>0.75</v>
      </c>
      <c r="F76" s="38" t="n">
        <v>0.25</v>
      </c>
      <c r="G76" s="38" t="n">
        <v>1</v>
      </c>
      <c r="H76" s="38" t="n">
        <v>1</v>
      </c>
      <c r="I76" s="38" t="n">
        <v>1</v>
      </c>
      <c r="J76" s="38" t="n">
        <v>1</v>
      </c>
      <c r="K76" s="38" t="n">
        <v>1</v>
      </c>
      <c r="L76" s="38" t="n">
        <v>1</v>
      </c>
      <c r="M76" s="38" t="n">
        <v>1</v>
      </c>
      <c r="N76" s="38" t="n">
        <v>0.75</v>
      </c>
      <c r="O76" s="38" t="n">
        <v>0.25</v>
      </c>
    </row>
    <row r="77" customFormat="false" ht="17.15" hidden="false" customHeight="false" outlineLevel="0" collapsed="false">
      <c r="A77" s="5" t="s">
        <v>649</v>
      </c>
      <c r="B77" s="0" t="s">
        <v>138</v>
      </c>
      <c r="C77" s="36" t="n">
        <f aca="false">Thesis!$C$74-mw_ye23</f>
        <v>240</v>
      </c>
      <c r="D77" s="36" t="n">
        <f aca="false">Thesis!$D$74-Thesis!$C$74</f>
        <v>1080</v>
      </c>
      <c r="E77" s="36" t="n">
        <f aca="false">Thesis!$E$74-Thesis!$D$74</f>
        <v>1587.225</v>
      </c>
      <c r="F77" s="36" t="n">
        <f aca="false">Thesis!$F$74-Thesis!$E$74</f>
        <v>947.225</v>
      </c>
      <c r="G77" s="36" t="n">
        <f aca="false">Thesis!$E$77+Thesis!$F$77</f>
        <v>2534.45</v>
      </c>
      <c r="H77" s="36" t="n">
        <f aca="false">Thesis!$H$74-Thesis!$G$74</f>
        <v>3788.9</v>
      </c>
      <c r="I77" s="36" t="n">
        <f aca="false">Thesis!$I$74-Thesis!$H$74</f>
        <v>3788.9</v>
      </c>
      <c r="J77" s="36" t="n">
        <f aca="false">Thesis!$J$74-Thesis!$I$74</f>
        <v>3788.9</v>
      </c>
      <c r="K77" s="36" t="n">
        <f aca="false">Thesis!$K$74-Thesis!$J$74</f>
        <v>2679.34483333333</v>
      </c>
      <c r="L77" s="36" t="n">
        <f aca="false">Thesis!$L$74-Thesis!$K$74</f>
        <v>1569.78966666667</v>
      </c>
      <c r="M77" s="36" t="n">
        <f aca="false">Thesis!$M$74-Thesis!$L$74</f>
        <v>460.234499999999</v>
      </c>
      <c r="N77" s="36" t="n">
        <f aca="false">Thesis!$N$74-Thesis!$C$74</f>
        <v>810</v>
      </c>
      <c r="O77" s="36" t="n">
        <f aca="false">Thesis!$O$74-Thesis!$N$74</f>
        <v>270</v>
      </c>
    </row>
    <row r="78" customFormat="false" ht="17.15" hidden="false" customHeight="false" outlineLevel="0" collapsed="false">
      <c r="A78" s="5" t="s">
        <v>650</v>
      </c>
      <c r="B78" s="0" t="s">
        <v>138</v>
      </c>
      <c r="C78" s="36" t="n">
        <f aca="false">Thesis!$C$77/ext_sh</f>
        <v>300</v>
      </c>
      <c r="D78" s="36" t="n">
        <f aca="false">Thesis!$D$77/ext_sh</f>
        <v>1350</v>
      </c>
      <c r="E78" s="36" t="n">
        <f aca="false">Thesis!$E$77/ext_sh</f>
        <v>1984.03125</v>
      </c>
      <c r="F78" s="36" t="n">
        <f aca="false">Thesis!$F$77/ext_sh</f>
        <v>1184.03125</v>
      </c>
      <c r="G78" s="36" t="n">
        <f aca="false">Thesis!$G$77/ext_sh</f>
        <v>3168.0625</v>
      </c>
      <c r="H78" s="36" t="n">
        <f aca="false">Thesis!$H$77/ext_sh</f>
        <v>4736.125</v>
      </c>
      <c r="I78" s="36" t="n">
        <f aca="false">Thesis!$I$77/ext_sh</f>
        <v>4736.125</v>
      </c>
      <c r="J78" s="36" t="n">
        <f aca="false">Thesis!$J$77/ext_sh</f>
        <v>4736.125</v>
      </c>
      <c r="K78" s="36" t="n">
        <f aca="false">Thesis!$K$77/ext_sh</f>
        <v>3349.18104166667</v>
      </c>
      <c r="L78" s="36" t="n">
        <f aca="false">Thesis!$L$77/ext_sh</f>
        <v>1962.23708333333</v>
      </c>
      <c r="M78" s="36" t="n">
        <f aca="false">Thesis!$M$77/ext_sh</f>
        <v>575.293124999998</v>
      </c>
      <c r="N78" s="36" t="n">
        <f aca="false">Thesis!$N$77/ext_sh</f>
        <v>1012.5</v>
      </c>
      <c r="O78" s="36" t="n">
        <f aca="false">Thesis!$O$77/ext_sh</f>
        <v>337.5</v>
      </c>
      <c r="P78" s="8" t="s">
        <v>651</v>
      </c>
      <c r="R78" s="36" t="n">
        <f aca="false">mw_ye23/ext_sh</f>
        <v>150</v>
      </c>
      <c r="S78" s="36" t="n">
        <f aca="false">Thesis!$C$78</f>
        <v>300</v>
      </c>
      <c r="T78" s="36" t="n">
        <f aca="false">Thesis!$D$78</f>
        <v>1350</v>
      </c>
      <c r="U78" s="36" t="n">
        <f aca="false">Thesis!$G$78</f>
        <v>3168.0625</v>
      </c>
      <c r="V78" s="36" t="n">
        <f aca="false">Thesis!$H$78</f>
        <v>4736.125</v>
      </c>
      <c r="W78" s="36" t="n">
        <f aca="false">Thesis!$I$78</f>
        <v>4736.125</v>
      </c>
      <c r="X78" s="36" t="n">
        <f aca="false">Thesis!$J$78</f>
        <v>4736.125</v>
      </c>
      <c r="Y78" s="36" t="n">
        <f aca="false">Thesis!$K$78</f>
        <v>3349.18104166667</v>
      </c>
      <c r="Z78" s="36" t="n">
        <f aca="false">Thesis!$L$78</f>
        <v>1962.23708333333</v>
      </c>
      <c r="AA78" s="36" t="n">
        <f aca="false">Thesis!$M$78</f>
        <v>575.293124999998</v>
      </c>
    </row>
    <row r="79" customFormat="false" ht="17.15" hidden="false" customHeight="false" outlineLevel="0" collapsed="false">
      <c r="A79" s="1" t="s">
        <v>652</v>
      </c>
    </row>
    <row r="80" customFormat="false" ht="17.15" hidden="false" customHeight="false" outlineLevel="0" collapsed="false">
      <c r="A80" s="0" t="s">
        <v>653</v>
      </c>
      <c r="B80" s="0" t="s">
        <v>56</v>
      </c>
      <c r="F80" s="22" t="n">
        <f aca="false">na_vr26</f>
        <v>0</v>
      </c>
      <c r="G80" s="22" t="n">
        <f aca="false">na_vr26</f>
        <v>0</v>
      </c>
      <c r="H80" s="22" t="n">
        <f aca="false">na_vr27</f>
        <v>0.5</v>
      </c>
      <c r="I80" s="22" t="n">
        <f aca="false">na_vr28</f>
        <v>1</v>
      </c>
      <c r="J80" s="22" t="n">
        <f aca="false">na_vr28</f>
        <v>1</v>
      </c>
      <c r="K80" s="22" t="n">
        <f aca="false">na_vr28</f>
        <v>1</v>
      </c>
      <c r="L80" s="22" t="n">
        <f aca="false">na_vr28</f>
        <v>1</v>
      </c>
      <c r="M80" s="22" t="n">
        <f aca="false">na_vr28</f>
        <v>1</v>
      </c>
    </row>
    <row r="81" customFormat="false" ht="17.15" hidden="false" customHeight="false" outlineLevel="0" collapsed="false">
      <c r="A81" s="5" t="s">
        <v>654</v>
      </c>
      <c r="B81" s="0" t="s">
        <v>187</v>
      </c>
      <c r="F81" s="21" t="n">
        <f aca="false">cust_sh*tk_he_gb300*cf_chip+(1-cust_sh)*((1-Thesis!$F$80)*tk_he_gb300+Thesis!$F$80*tk_he_vr200)</f>
        <v>8.76356085669863</v>
      </c>
      <c r="G81" s="21" t="n">
        <f aca="false">cust_sh*tk_he_gb300*cf_chip+(1-cust_sh)*((1-Thesis!$G$80)*tk_he_gb300+Thesis!$G$80*tk_he_vr200)</f>
        <v>8.76356085669863</v>
      </c>
      <c r="H81" s="21" t="n">
        <f aca="false">cust_sh*tk_he_gb300*cf_chip+(1-cust_sh)*((1-Thesis!$H$80)*tk_he_gb300+Thesis!$H$80*tk_he_vr200)</f>
        <v>9.09832585731713</v>
      </c>
      <c r="I81" s="21" t="n">
        <f aca="false">cust_sh*tk_he_gb300*cf_chip+(1-cust_sh)*((1-Thesis!$I$80)*tk_he_gb300+Thesis!$I$80*tk_he_vr200)</f>
        <v>9.43309085793563</v>
      </c>
      <c r="J81" s="21" t="n">
        <f aca="false">cust_sh*tk_he_gb300*cf_chip+(1-cust_sh)*((1-Thesis!$J$80)*tk_he_gb300+Thesis!$J$80*tk_he_vr200)</f>
        <v>9.43309085793563</v>
      </c>
      <c r="K81" s="21" t="n">
        <f aca="false">cust_sh*tk_he_gb300*cf_chip+(1-cust_sh)*((1-Thesis!$K$80)*tk_he_gb300+Thesis!$K$80*tk_he_vr200)</f>
        <v>9.43309085793563</v>
      </c>
      <c r="L81" s="21" t="n">
        <f aca="false">cust_sh*tk_he_gb300*cf_chip+(1-cust_sh)*((1-Thesis!$L$80)*tk_he_gb300+Thesis!$L$80*tk_he_vr200)</f>
        <v>9.43309085793563</v>
      </c>
      <c r="M81" s="21" t="n">
        <f aca="false">cust_sh*tk_he_gb300*cf_chip+(1-cust_sh)*((1-Thesis!$M$80)*tk_he_gb300+Thesis!$M$80*tk_he_vr200)</f>
        <v>9.43309085793563</v>
      </c>
    </row>
    <row r="82" customFormat="false" ht="17.15" hidden="false" customHeight="false" outlineLevel="0" collapsed="false">
      <c r="A82" s="5" t="s">
        <v>655</v>
      </c>
      <c r="B82" s="0" t="s">
        <v>187</v>
      </c>
      <c r="F82" s="21" t="n">
        <f aca="false">cust_sh*tk_ox_gb300+(1-cust_sh)*((1-Thesis!$F$80)*tk_ox_gb300+Thesis!$F$80*tk_ox_vr200)</f>
        <v>1.98263481314457</v>
      </c>
      <c r="G82" s="21" t="n">
        <f aca="false">cust_sh*tk_ox_gb300+(1-cust_sh)*((1-Thesis!$G$80)*tk_ox_gb300+Thesis!$G$80*tk_ox_vr200)</f>
        <v>1.98263481314457</v>
      </c>
      <c r="H82" s="21" t="n">
        <f aca="false">cust_sh*tk_ox_gb300+(1-cust_sh)*((1-Thesis!$H$80)*tk_ox_gb300+Thesis!$H$80*tk_ox_vr200)</f>
        <v>2.01034999693694</v>
      </c>
      <c r="I82" s="21" t="n">
        <f aca="false">cust_sh*tk_ox_gb300+(1-cust_sh)*((1-Thesis!$I$80)*tk_ox_gb300+Thesis!$I$80*tk_ox_vr200)</f>
        <v>2.0380651807293</v>
      </c>
      <c r="J82" s="21" t="n">
        <f aca="false">cust_sh*tk_ox_gb300+(1-cust_sh)*((1-Thesis!$J$80)*tk_ox_gb300+Thesis!$J$80*tk_ox_vr200)</f>
        <v>2.0380651807293</v>
      </c>
      <c r="K82" s="21" t="n">
        <f aca="false">cust_sh*tk_ox_gb300+(1-cust_sh)*((1-Thesis!$K$80)*tk_ox_gb300+Thesis!$K$80*tk_ox_vr200)</f>
        <v>2.0380651807293</v>
      </c>
      <c r="L82" s="21" t="n">
        <f aca="false">cust_sh*tk_ox_gb300+(1-cust_sh)*((1-Thesis!$L$80)*tk_ox_gb300+Thesis!$L$80*tk_ox_vr200)</f>
        <v>2.0380651807293</v>
      </c>
      <c r="M82" s="21" t="n">
        <f aca="false">cust_sh*tk_ox_gb300+(1-cust_sh)*((1-Thesis!$M$80)*tk_ox_gb300+Thesis!$M$80*tk_ox_vr200)</f>
        <v>2.0380651807293</v>
      </c>
    </row>
    <row r="83" customFormat="false" ht="17.15" hidden="false" customHeight="false" outlineLevel="0" collapsed="false">
      <c r="A83" s="5" t="s">
        <v>656</v>
      </c>
      <c r="B83" s="0" t="s">
        <v>206</v>
      </c>
      <c r="F83" s="21" t="n">
        <f aca="false">cust_sh*tk_cx_gb300*cf_cx+(1-cust_sh)*((1-Thesis!$F$80)*tk_cx_gb300+Thesis!$F$80*tk_cx_vr200)</f>
        <v>25.95096532</v>
      </c>
      <c r="G83" s="21" t="n">
        <f aca="false">cust_sh*tk_cx_gb300*cf_cx+(1-cust_sh)*((1-Thesis!$G$80)*tk_cx_gb300+Thesis!$G$80*tk_cx_vr200)</f>
        <v>25.95096532</v>
      </c>
      <c r="H83" s="21" t="n">
        <f aca="false">cust_sh*tk_cx_gb300*cf_cx+(1-cust_sh)*((1-Thesis!$H$80)*tk_cx_gb300+Thesis!$H$80*tk_cx_vr200)</f>
        <v>27.28824732</v>
      </c>
      <c r="I83" s="21" t="n">
        <f aca="false">cust_sh*tk_cx_gb300*cf_cx+(1-cust_sh)*((1-Thesis!$I$80)*tk_cx_gb300+Thesis!$I$80*tk_cx_vr200)</f>
        <v>28.62552932</v>
      </c>
      <c r="J83" s="21" t="n">
        <f aca="false">cust_sh*tk_cx_gb300*cf_cx+(1-cust_sh)*((1-Thesis!$J$80)*tk_cx_gb300+Thesis!$J$80*tk_cx_vr200)</f>
        <v>28.62552932</v>
      </c>
      <c r="K83" s="21" t="n">
        <f aca="false">cust_sh*tk_cx_gb300*cf_cx+(1-cust_sh)*((1-Thesis!$K$80)*tk_cx_gb300+Thesis!$K$80*tk_cx_vr200)</f>
        <v>28.62552932</v>
      </c>
      <c r="L83" s="21" t="n">
        <f aca="false">cust_sh*tk_cx_gb300*cf_cx+(1-cust_sh)*((1-Thesis!$L$80)*tk_cx_gb300+Thesis!$L$80*tk_cx_vr200)</f>
        <v>28.62552932</v>
      </c>
      <c r="M83" s="21" t="n">
        <f aca="false">cust_sh*tk_cx_gb300*cf_cx+(1-cust_sh)*((1-Thesis!$M$80)*tk_cx_gb300+Thesis!$M$80*tk_cx_vr200)</f>
        <v>28.62552932</v>
      </c>
    </row>
    <row r="84" customFormat="false" ht="17.15" hidden="false" customHeight="false" outlineLevel="0" collapsed="false">
      <c r="A84" s="5" t="s">
        <v>657</v>
      </c>
      <c r="B84" s="0" t="s">
        <v>138</v>
      </c>
      <c r="E84" s="36" t="n">
        <f aca="false">Thesis!$E$74-mw_open</f>
        <v>947.225</v>
      </c>
      <c r="F84" s="36" t="n">
        <f aca="false">Thesis!$F$74-mw_open</f>
        <v>1894.45</v>
      </c>
      <c r="G84" s="36" t="n">
        <f aca="false">Thesis!$F$84</f>
        <v>1894.45</v>
      </c>
      <c r="H84" s="36" t="n">
        <f aca="false">Thesis!$H$74-mw_open</f>
        <v>5683.35</v>
      </c>
      <c r="I84" s="36" t="n">
        <f aca="false">Thesis!$I$74-mw_open</f>
        <v>9472.25</v>
      </c>
      <c r="J84" s="36" t="n">
        <f aca="false">Thesis!$J$74-mw_open</f>
        <v>13261.15</v>
      </c>
      <c r="K84" s="36" t="n">
        <f aca="false">Thesis!$K$74-mw_open</f>
        <v>15940.4948333333</v>
      </c>
      <c r="L84" s="36" t="n">
        <f aca="false">Thesis!$L$74-mw_open</f>
        <v>17510.2845</v>
      </c>
      <c r="M84" s="36" t="n">
        <f aca="false">Thesis!$M$74-mw_open</f>
        <v>17970.519</v>
      </c>
    </row>
    <row r="85" customFormat="false" ht="17.15" hidden="false" customHeight="false" outlineLevel="0" collapsed="false">
      <c r="A85" s="0" t="s">
        <v>658</v>
      </c>
      <c r="B85" s="0" t="s">
        <v>659</v>
      </c>
      <c r="E85" s="36" t="n">
        <f aca="false">Thesis!$E$84*Thesis!$F$81</f>
        <v>8301.06393248636</v>
      </c>
      <c r="F85" s="36" t="n">
        <f aca="false">Thesis!$E$85+Thesis!$F$77*Thesis!$F$81</f>
        <v>16602.1278649727</v>
      </c>
      <c r="G85" s="36" t="n">
        <f aca="false">Thesis!$F$85</f>
        <v>16602.1278649727</v>
      </c>
      <c r="H85" s="36" t="n">
        <f aca="false">Thesis!$G$85+Thesis!$H$77*Thesis!$H$81</f>
        <v>51074.7747057616</v>
      </c>
      <c r="I85" s="36" t="n">
        <f aca="false">Thesis!$H$85+Thesis!$I$77*Thesis!$I$81</f>
        <v>86815.8126573939</v>
      </c>
      <c r="J85" s="36" t="n">
        <f aca="false">Thesis!$I$85+Thesis!$J$77*Thesis!$J$81</f>
        <v>122556.850609026</v>
      </c>
      <c r="K85" s="36" t="n">
        <f aca="false">Thesis!$J$85+Thesis!$K$77*Thesis!$K$81</f>
        <v>147831.3538616</v>
      </c>
      <c r="L85" s="36" t="n">
        <f aca="false">Thesis!$K$85+Thesis!$L$77*Thesis!$L$81</f>
        <v>162639.322415115</v>
      </c>
      <c r="M85" s="36" t="n">
        <f aca="false">Thesis!$L$85+Thesis!$M$77*Thesis!$M$81</f>
        <v>166980.756269572</v>
      </c>
    </row>
    <row r="86" customFormat="false" ht="17.15" hidden="false" customHeight="false" outlineLevel="0" collapsed="false">
      <c r="A86" s="0" t="s">
        <v>660</v>
      </c>
      <c r="B86" s="0" t="s">
        <v>659</v>
      </c>
      <c r="E86" s="36" t="n">
        <f aca="false">Thesis!$E$84*Thesis!$F$82</f>
        <v>1878.00126088087</v>
      </c>
      <c r="F86" s="36" t="n">
        <f aca="false">Thesis!$E$86+Thesis!$F$77*Thesis!$F$82</f>
        <v>3756.00252176173</v>
      </c>
      <c r="G86" s="36" t="n">
        <f aca="false">Thesis!$F$86</f>
        <v>3756.00252176173</v>
      </c>
      <c r="H86" s="36" t="n">
        <f aca="false">Thesis!$G$86+Thesis!$H$77*Thesis!$H$82</f>
        <v>11373.0176251561</v>
      </c>
      <c r="I86" s="36" t="n">
        <f aca="false">Thesis!$H$86+Thesis!$I$77*Thesis!$I$82</f>
        <v>19095.0427884213</v>
      </c>
      <c r="J86" s="36" t="n">
        <f aca="false">Thesis!$I$86+Thesis!$J$77*Thesis!$J$82</f>
        <v>26817.0679516866</v>
      </c>
      <c r="K86" s="36" t="n">
        <f aca="false">Thesis!$J$86+Thesis!$K$77*Thesis!$K$82</f>
        <v>32277.7473636702</v>
      </c>
      <c r="L86" s="36" t="n">
        <f aca="false">Thesis!$K$86+Thesis!$L$77*Thesis!$L$82</f>
        <v>35477.0810243722</v>
      </c>
      <c r="M86" s="36" t="n">
        <f aca="false">Thesis!$L$86+Thesis!$M$77*Thesis!$M$82</f>
        <v>36415.0689337925</v>
      </c>
    </row>
    <row r="87" customFormat="false" ht="17.15" hidden="false" customHeight="false" outlineLevel="0" collapsed="false">
      <c r="A87" s="5" t="s">
        <v>661</v>
      </c>
      <c r="B87" s="0" t="s">
        <v>187</v>
      </c>
      <c r="F87" s="21" t="n">
        <f aca="false">IF(Thesis!$F$84&gt;0,Thesis!$F$85/Thesis!$F$84,Thesis!$F$81)</f>
        <v>8.76356085669863</v>
      </c>
      <c r="G87" s="21" t="n">
        <f aca="false">IF(Thesis!$G$84&gt;0,Thesis!$G$85/Thesis!$G$84,Thesis!$G$81)</f>
        <v>8.76356085669863</v>
      </c>
      <c r="H87" s="21" t="n">
        <f aca="false">IF(Thesis!$H$84&gt;0,Thesis!$H$85/Thesis!$H$84,Thesis!$H$81)</f>
        <v>8.98673752377763</v>
      </c>
      <c r="I87" s="21" t="n">
        <f aca="false">IF(Thesis!$I$84&gt;0,Thesis!$I$85/Thesis!$I$84,Thesis!$I$81)</f>
        <v>9.16527885744083</v>
      </c>
      <c r="J87" s="21" t="n">
        <f aca="false">IF(Thesis!$J$84&gt;0,Thesis!$J$85/Thesis!$J$84,Thesis!$J$81)</f>
        <v>9.24179657186792</v>
      </c>
      <c r="K87" s="21" t="n">
        <f aca="false">IF(Thesis!$K$84&gt;0,Thesis!$K$85/Thesis!$K$84,Thesis!$K$81)</f>
        <v>9.27395011304594</v>
      </c>
      <c r="L87" s="21" t="n">
        <f aca="false">IF(Thesis!$L$84&gt;0,Thesis!$L$85/Thesis!$L$84,Thesis!$L$81)</f>
        <v>9.28821701412762</v>
      </c>
      <c r="M87" s="21" t="n">
        <f aca="false">IF(Thesis!$M$84&gt;0,Thesis!$M$85/Thesis!$M$84,Thesis!$M$81)</f>
        <v>9.29192730992197</v>
      </c>
    </row>
    <row r="88" customFormat="false" ht="17.15" hidden="false" customHeight="false" outlineLevel="0" collapsed="false">
      <c r="A88" s="5" t="s">
        <v>662</v>
      </c>
      <c r="B88" s="0" t="s">
        <v>187</v>
      </c>
      <c r="F88" s="21" t="n">
        <f aca="false">IF(Thesis!$F$84&gt;0,Thesis!$F$86/Thesis!$F$84,Thesis!$F$82)</f>
        <v>1.98263481314457</v>
      </c>
      <c r="G88" s="21" t="n">
        <f aca="false">IF(Thesis!$G$84&gt;0,Thesis!$G$86/Thesis!$G$84,Thesis!$G$82)</f>
        <v>1.98263481314457</v>
      </c>
      <c r="H88" s="21" t="n">
        <f aca="false">IF(Thesis!$H$84&gt;0,Thesis!$H$86/Thesis!$H$84,Thesis!$H$82)</f>
        <v>2.00111160233948</v>
      </c>
      <c r="I88" s="21" t="n">
        <f aca="false">IF(Thesis!$I$84&gt;0,Thesis!$I$86/Thesis!$I$84,Thesis!$I$82)</f>
        <v>2.01589303369541</v>
      </c>
      <c r="J88" s="21" t="n">
        <f aca="false">IF(Thesis!$J$84&gt;0,Thesis!$J$86/Thesis!$J$84,Thesis!$J$82)</f>
        <v>2.02222793284795</v>
      </c>
      <c r="K88" s="21" t="n">
        <f aca="false">IF(Thesis!$K$84&gt;0,Thesis!$K$86/Thesis!$K$84,Thesis!$K$82)</f>
        <v>2.02488992350312</v>
      </c>
      <c r="L88" s="21" t="n">
        <f aca="false">IF(Thesis!$L$84&gt;0,Thesis!$L$86/Thesis!$L$84,Thesis!$L$82)</f>
        <v>2.02607107979155</v>
      </c>
      <c r="M88" s="21" t="n">
        <f aca="false">IF(Thesis!$M$84&gt;0,Thesis!$M$86/Thesis!$M$84,Thesis!$M$82)</f>
        <v>2.02637825506278</v>
      </c>
    </row>
    <row r="89" customFormat="false" ht="17.15" hidden="false" customHeight="false" outlineLevel="0" collapsed="false">
      <c r="A89" s="15" t="s">
        <v>663</v>
      </c>
      <c r="B89" s="14" t="s">
        <v>187</v>
      </c>
      <c r="C89" s="14"/>
      <c r="D89" s="14"/>
      <c r="E89" s="14"/>
      <c r="F89" s="39" t="n">
        <f aca="false">Thesis!$F$87*k_B</f>
        <v>8.69300548754604</v>
      </c>
      <c r="G89" s="39" t="n">
        <f aca="false">Thesis!$G$87*k_B</f>
        <v>8.69300548754604</v>
      </c>
      <c r="H89" s="39" t="n">
        <f aca="false">Thesis!$H$87*k_B</f>
        <v>8.91438536078867</v>
      </c>
      <c r="I89" s="39" t="n">
        <f aca="false">Thesis!$I$87*k_B</f>
        <v>9.09148925938277</v>
      </c>
      <c r="J89" s="39" t="n">
        <f aca="false">Thesis!$J$87*k_B</f>
        <v>9.16739093020881</v>
      </c>
      <c r="K89" s="39" t="n">
        <f aca="false">Thesis!$K$87*k_B</f>
        <v>9.19928560344441</v>
      </c>
      <c r="L89" s="39" t="n">
        <f aca="false">Thesis!$L$87*k_B</f>
        <v>9.21343764180202</v>
      </c>
      <c r="M89" s="39" t="n">
        <f aca="false">Thesis!$M$87*k_B</f>
        <v>9.21711806603004</v>
      </c>
      <c r="N89" s="14"/>
      <c r="O89" s="14"/>
      <c r="P89" s="8" t="s">
        <v>664</v>
      </c>
    </row>
    <row r="90" customFormat="false" ht="17.15" hidden="false" customHeight="false" outlineLevel="0" collapsed="false">
      <c r="A90" s="5" t="s">
        <v>665</v>
      </c>
      <c r="B90" s="0" t="s">
        <v>138</v>
      </c>
      <c r="F90" s="36" t="n">
        <f aca="false">(Thesis!$E$84+Thesis!$F$84)/2</f>
        <v>1420.8375</v>
      </c>
      <c r="H90" s="36" t="n">
        <f aca="false">(Thesis!$G$84+Thesis!$H$84)/2</f>
        <v>3788.9</v>
      </c>
      <c r="I90" s="36" t="n">
        <f aca="false">(Thesis!$H$84+Thesis!$I$84)/2</f>
        <v>7577.8</v>
      </c>
      <c r="J90" s="36" t="n">
        <f aca="false">(Thesis!$I$84+Thesis!$J$84)/2</f>
        <v>11366.7</v>
      </c>
      <c r="K90" s="36" t="n">
        <f aca="false">(Thesis!$J$84+Thesis!$K$84)/2</f>
        <v>14600.8224166667</v>
      </c>
      <c r="L90" s="36" t="n">
        <f aca="false">(Thesis!$K$84+Thesis!$L$84)/2</f>
        <v>16725.3896666667</v>
      </c>
      <c r="M90" s="36" t="n">
        <f aca="false">(Thesis!$L$84+Thesis!$M$84)/2</f>
        <v>17740.40175</v>
      </c>
    </row>
    <row r="91" customFormat="false" ht="17.15" hidden="false" customHeight="false" outlineLevel="0" collapsed="false">
      <c r="A91" s="1" t="s">
        <v>666</v>
      </c>
    </row>
    <row r="92" customFormat="false" ht="17.15" hidden="false" customHeight="false" outlineLevel="0" collapsed="false">
      <c r="A92" s="1" t="s">
        <v>667</v>
      </c>
      <c r="B92" s="8" t="s">
        <v>91</v>
      </c>
      <c r="C92" s="40" t="n">
        <f aca="false">Thesis!$C$75*rpm_open*Thesis!$C$76/1000</f>
        <v>2.32100535697364</v>
      </c>
      <c r="D92" s="40" t="n">
        <f aca="false">Thesis!$D$75*rpm_open*Thesis!$D$76/1000</f>
        <v>8.70377008865116</v>
      </c>
      <c r="E92" s="40" t="n">
        <f aca="false">Thesis!$E$75*rpm_open*Thesis!$E$76/1000</f>
        <v>16.2007080559478</v>
      </c>
      <c r="F92" s="40" t="n">
        <f aca="false">(mw_open*rpm_open+Thesis!$F$90*Thesis!$F$89)*Thesis!$F$76/1000</f>
        <v>8.11668198621236</v>
      </c>
      <c r="G92" s="40" t="n">
        <f aca="false">Thesis!$E$92+Thesis!$F$92</f>
        <v>24.3173900421601</v>
      </c>
      <c r="H92" s="40" t="n">
        <f aca="false">(mw_open*rpm_open+Thesis!$H$90*Thesis!$H$89)/1000</f>
        <v>53.8910944539304</v>
      </c>
      <c r="I92" s="40" t="n">
        <f aca="false">(mw_open*rpm_open+Thesis!$I$90*Thesis!$I$89)/1000</f>
        <v>89.008867070189</v>
      </c>
      <c r="J92" s="40" t="n">
        <f aca="false">(mw_open*rpm_open+Thesis!$J$90*Thesis!$J$89)/1000</f>
        <v>124.318362246843</v>
      </c>
      <c r="K92" s="40" t="n">
        <f aca="false">(mw_open*rpm_open+Thesis!$K$90*Thesis!$K$89)/1000</f>
        <v>154.432515216528</v>
      </c>
      <c r="L92" s="40" t="n">
        <f aca="false">(mw_open*rpm_open+Thesis!$L$90*Thesis!$L$89)/1000</f>
        <v>174.213714489111</v>
      </c>
      <c r="M92" s="40" t="n">
        <f aca="false">(mw_open*rpm_open+Thesis!$M$90*Thesis!$M$89)/1000</f>
        <v>183.630757228994</v>
      </c>
      <c r="N92" s="40" t="n">
        <f aca="false">Thesis!$N$75*rpm_open*Thesis!$N$76/1000</f>
        <v>5.54865343151512</v>
      </c>
      <c r="O92" s="40" t="n">
        <f aca="false">Thesis!$O$75*rpm_open*Thesis!$O$76/1000</f>
        <v>3.15511665713605</v>
      </c>
      <c r="P92" s="5" t="s">
        <v>668</v>
      </c>
    </row>
    <row r="93" customFormat="false" ht="17.15" hidden="false" customHeight="false" outlineLevel="0" collapsed="false">
      <c r="A93" s="5" t="s">
        <v>669</v>
      </c>
      <c r="B93" s="0" t="s">
        <v>187</v>
      </c>
      <c r="C93" s="21" t="n">
        <f aca="false">Thesis!$C$92*1000/(Thesis!$C$75*Thesis!$C$76)</f>
        <v>9.67085565405685</v>
      </c>
      <c r="D93" s="21" t="n">
        <f aca="false">Thesis!$D$92*1000/(Thesis!$D$75*Thesis!$D$76)</f>
        <v>9.67085565405685</v>
      </c>
      <c r="E93" s="21" t="n">
        <f aca="false">Thesis!$E$92*1000/(Thesis!$E$75*Thesis!$E$76)</f>
        <v>9.67085565405684</v>
      </c>
      <c r="F93" s="21" t="n">
        <f aca="false">Thesis!$F$92*1000/(Thesis!$F$75*Thesis!$F$76)</f>
        <v>9.27398885119616</v>
      </c>
      <c r="G93" s="21" t="n">
        <f aca="false">Thesis!$G$92*1000/(Thesis!$G$75*Thesis!$G$76)</f>
        <v>9.53466564741972</v>
      </c>
      <c r="H93" s="21" t="n">
        <f aca="false">Thesis!$H$92*1000/(Thesis!$H$75*Thesis!$H$76)</f>
        <v>9.18248640357315</v>
      </c>
      <c r="I93" s="21" t="n">
        <f aca="false">Thesis!$I$92*1000/(Thesis!$I$75*Thesis!$I$76)</f>
        <v>9.21626737664779</v>
      </c>
      <c r="J93" s="21" t="n">
        <f aca="false">Thesis!$J$92*1000/(Thesis!$J$75*Thesis!$J$76)</f>
        <v>9.24526926657416</v>
      </c>
      <c r="K93" s="21" t="n">
        <f aca="false">Thesis!$K$92*1000/(Thesis!$K$75*Thesis!$K$76)</f>
        <v>9.25808760257689</v>
      </c>
      <c r="L93" s="21" t="n">
        <f aca="false">Thesis!$L$92*1000/(Thesis!$L$75*Thesis!$L$76)</f>
        <v>9.26403108774249</v>
      </c>
      <c r="M93" s="21" t="n">
        <f aca="false">Thesis!$M$92*1000/(Thesis!$M$75*Thesis!$M$76)</f>
        <v>9.26473436538662</v>
      </c>
      <c r="N93" s="21" t="n">
        <f aca="false">Thesis!$N$92*1000/(Thesis!$N$75*Thesis!$N$76)</f>
        <v>9.67085565405685</v>
      </c>
      <c r="O93" s="21" t="n">
        <f aca="false">Thesis!$O$92*1000/(Thesis!$O$75*Thesis!$O$76)</f>
        <v>9.67085565405685</v>
      </c>
    </row>
    <row r="94" customFormat="false" ht="17.15" hidden="false" customHeight="false" outlineLevel="0" collapsed="false">
      <c r="A94" s="0" t="s">
        <v>670</v>
      </c>
      <c r="B94" s="0" t="s">
        <v>91</v>
      </c>
      <c r="C94" s="40" t="n">
        <f aca="false">Thesis!$C$75/ext_sh*(ox_open+rent_mw)*Thesis!$C$76/1000</f>
        <v>0.642569210675032</v>
      </c>
      <c r="D94" s="40" t="n">
        <f aca="false">Thesis!$D$75/ext_sh*(ox_open+rent_mw)*Thesis!$D$76/1000</f>
        <v>2.40963454003137</v>
      </c>
      <c r="E94" s="40" t="n">
        <f aca="false">Thesis!$E$75/ext_sh*(ox_open+rent_mw)*Thesis!$E$76/1000</f>
        <v>4.48515819087152</v>
      </c>
      <c r="F94" s="40" t="n">
        <f aca="false">((mw_open*ox_open+Thesis!$F$90*Thesis!$F$88)/ext_sh+Thesis!$F$75/ext_sh*rent_mw)*Thesis!$F$76/1000</f>
        <v>2.38505895036506</v>
      </c>
      <c r="G94" s="40" t="n">
        <f aca="false">Thesis!$E$94+Thesis!$F$94</f>
        <v>6.87021714123658</v>
      </c>
      <c r="H94" s="40" t="n">
        <f aca="false">((mw_open*ox_open+Thesis!$H$90*Thesis!$H$88)/ext_sh+Thesis!$H$75/ext_sh*rent_mw)*Thesis!$H$76/1000</f>
        <v>16.2465819218137</v>
      </c>
      <c r="I94" s="40" t="n">
        <f aca="false">((mw_open*ox_open+Thesis!$I$90*Thesis!$I$88)/ext_sh+Thesis!$I$75/ext_sh*rent_mw)*Thesis!$I$76/1000</f>
        <v>27.0642440976049</v>
      </c>
      <c r="J94" s="40" t="n">
        <f aca="false">((mw_open*ox_open+Thesis!$J$90*Thesis!$J$88)/ext_sh+Thesis!$J$75/ext_sh*rent_mw)*Thesis!$J$76/1000</f>
        <v>37.9019081895621</v>
      </c>
      <c r="K94" s="40" t="n">
        <f aca="false">((mw_open*ox_open+Thesis!$K$90*Thesis!$K$88)/ext_sh+Thesis!$K$75/ext_sh*rent_mw)*Thesis!$K$76/1000</f>
        <v>47.1500663926213</v>
      </c>
      <c r="L94" s="40" t="n">
        <f aca="false">((mw_open*ox_open+Thesis!$L$90*Thesis!$L$88)/ext_sh+Thesis!$L$75/ext_sh*rent_mw)*Thesis!$L$76/1000</f>
        <v>53.2252357134474</v>
      </c>
      <c r="M94" s="40" t="n">
        <f aca="false">((mw_open*ox_open+Thesis!$M$90*Thesis!$M$88)/ext_sh+Thesis!$M$75/ext_sh*rent_mw)*Thesis!$M$76/1000</f>
        <v>56.1241608413432</v>
      </c>
      <c r="N94" s="40" t="n">
        <f aca="false">Thesis!$N$75/ext_sh*(ox_open+rent_mw)*Thesis!$N$76/1000</f>
        <v>1.53614201927</v>
      </c>
      <c r="O94" s="40" t="n">
        <f aca="false">Thesis!$O$75/ext_sh*(ox_open+rent_mw)*Thesis!$O$76/1000</f>
        <v>0.873492520761372</v>
      </c>
    </row>
    <row r="95" customFormat="false" ht="17.15" hidden="false" customHeight="false" outlineLevel="0" collapsed="false">
      <c r="A95" s="0" t="s">
        <v>671</v>
      </c>
      <c r="B95" s="0" t="s">
        <v>91</v>
      </c>
      <c r="C95" s="40" t="n">
        <f aca="false">Q!$D$7</f>
        <v>107.556</v>
      </c>
      <c r="D95" s="40" t="n">
        <f aca="false">Q!$E$7</f>
        <v>128.725</v>
      </c>
      <c r="E95" s="40" t="n">
        <f aca="false">Q!$O$7</f>
        <v>125.803</v>
      </c>
      <c r="N95" s="40" t="n">
        <f aca="false">Q!$N$7</f>
        <v>93.146</v>
      </c>
      <c r="O95" s="40" t="n">
        <f aca="false">Q!$J$7</f>
        <v>35.579</v>
      </c>
    </row>
    <row r="96" customFormat="false" ht="17.15" hidden="false" customHeight="false" outlineLevel="0" collapsed="false">
      <c r="A96" s="1" t="s">
        <v>672</v>
      </c>
      <c r="B96" s="8" t="s">
        <v>91</v>
      </c>
      <c r="C96" s="40" t="n">
        <f aca="false">Thesis!$C$95-Thesis!$C$92</f>
        <v>105.234994643026</v>
      </c>
      <c r="D96" s="40" t="n">
        <f aca="false">Thesis!$D$95-Thesis!$D$92</f>
        <v>120.021229911349</v>
      </c>
      <c r="E96" s="40" t="n">
        <f aca="false">Thesis!$E$95-Thesis!$E$92</f>
        <v>109.602291944052</v>
      </c>
      <c r="F96" s="40" t="n">
        <f aca="false">Thesis!$O$96*(1+Thesis!$F$97)</f>
        <v>36.9796603355509</v>
      </c>
      <c r="G96" s="40" t="n">
        <f aca="false">Thesis!$E$96+Thesis!$F$96</f>
        <v>146.581952279603</v>
      </c>
      <c r="H96" s="40" t="n">
        <f aca="false">Thesis!$G$96*(1+Thesis!$H$97)</f>
        <v>164.960415168217</v>
      </c>
      <c r="I96" s="40" t="n">
        <f aca="false">Thesis!$H$96*(1+Thesis!$I$97)</f>
        <v>183.1478640969</v>
      </c>
      <c r="J96" s="40" t="n">
        <f aca="false">Thesis!$I$96*(1+Thesis!$J$97)</f>
        <v>200.570117292268</v>
      </c>
      <c r="K96" s="40" t="n">
        <f aca="false">Thesis!$J$96*(1+Thesis!$K$97)</f>
        <v>216.615726675649</v>
      </c>
      <c r="L96" s="40" t="n">
        <f aca="false">Thesis!$K$96*(1+Thesis!$L$97)</f>
        <v>233.944984809701</v>
      </c>
      <c r="M96" s="40" t="n">
        <f aca="false">Thesis!$L$96*(1+Thesis!$M$97)</f>
        <v>252.660583594477</v>
      </c>
      <c r="N96" s="40" t="n">
        <f aca="false">Thesis!$N$95-Thesis!$N$92</f>
        <v>87.5973465684849</v>
      </c>
      <c r="O96" s="40" t="n">
        <f aca="false">Thesis!$O$95-Thesis!$O$92</f>
        <v>32.423883342864</v>
      </c>
      <c r="P96" s="5" t="s">
        <v>673</v>
      </c>
    </row>
    <row r="97" customFormat="false" ht="17.15" hidden="false" customHeight="false" outlineLevel="0" collapsed="false">
      <c r="A97" s="0" t="s">
        <v>674</v>
      </c>
      <c r="B97" s="0" t="s">
        <v>56</v>
      </c>
      <c r="D97" s="13" t="n">
        <f aca="false">Thesis!$D$96/Thesis!$C$96-1</f>
        <v>0.140506827776062</v>
      </c>
      <c r="E97" s="13" t="n">
        <f aca="false">Thesis!$E$96/Thesis!$N$96-1</f>
        <v>0.251205615667405</v>
      </c>
      <c r="F97" s="13" t="n">
        <f aca="false">IF(awso_g0=1,Thesis!$E$97,Thesis!$D$97)</f>
        <v>0.140506827776062</v>
      </c>
      <c r="G97" s="13" t="n">
        <f aca="false">Thesis!$G$96/Thesis!$D$96-1</f>
        <v>0.221300201538284</v>
      </c>
      <c r="H97" s="13" t="n">
        <f aca="false">Thesis!$F$97+(g_awso_lt-Thesis!$F$97)*1/4</f>
        <v>0.125380120832046</v>
      </c>
      <c r="I97" s="13" t="n">
        <f aca="false">Thesis!$F$97+(g_awso_lt-Thesis!$F$97)*2/4</f>
        <v>0.110253413888031</v>
      </c>
      <c r="J97" s="13" t="n">
        <f aca="false">Thesis!$F$97+(g_awso_lt-Thesis!$F$97)*3/4</f>
        <v>0.0951267069440154</v>
      </c>
      <c r="K97" s="13" t="n">
        <f aca="false">Thesis!$F$97+(g_awso_lt-Thesis!$F$97)*4/4</f>
        <v>0.08</v>
      </c>
      <c r="L97" s="13" t="n">
        <f aca="false">g_awso_lt</f>
        <v>0.08</v>
      </c>
      <c r="M97" s="13" t="n">
        <f aca="false">g_awso_lt</f>
        <v>0.08</v>
      </c>
      <c r="P97" s="5" t="s">
        <v>675</v>
      </c>
    </row>
    <row r="98" customFormat="false" ht="17.15" hidden="false" customHeight="false" outlineLevel="0" collapsed="false">
      <c r="A98" s="1" t="s">
        <v>676</v>
      </c>
    </row>
    <row r="99" customFormat="false" ht="17.15" hidden="false" customHeight="false" outlineLevel="0" collapsed="false">
      <c r="A99" s="0" t="s">
        <v>677</v>
      </c>
      <c r="B99" s="0" t="s">
        <v>91</v>
      </c>
      <c r="F99" s="40" t="n">
        <f aca="false">cx_rt*Seg!$F$55+cx_awso*Thesis!$F$96</f>
        <v>19.116380716836</v>
      </c>
    </row>
    <row r="100" customFormat="false" ht="17.15" hidden="false" customHeight="false" outlineLevel="0" collapsed="false">
      <c r="A100" s="0" t="s">
        <v>678</v>
      </c>
      <c r="B100" s="0" t="s">
        <v>56</v>
      </c>
      <c r="C100" s="13" t="n">
        <f aca="false">tk_cx_h100/(tk_cx_h100+tk_fac*(1-colo_sh))</f>
        <v>0.730756458006641</v>
      </c>
      <c r="D100" s="13" t="n">
        <f aca="false">tk_cx_h100/(tk_cx_h100+tk_fac*(1-colo_sh))</f>
        <v>0.730756458006641</v>
      </c>
      <c r="E100" s="13" t="n">
        <f aca="false">Thesis!$F$100</f>
        <v>0.719122960046118</v>
      </c>
      <c r="F100" s="13" t="n">
        <f aca="false">Thesis!$F$83/(Thesis!$F$83+tk_fac*(1-colo_sh))</f>
        <v>0.719122960046118</v>
      </c>
      <c r="G100" s="13" t="n">
        <f aca="false">Thesis!$G$83/(Thesis!$G$83+tk_fac*(1-colo_sh))</f>
        <v>0.719122960046118</v>
      </c>
      <c r="H100" s="13" t="n">
        <f aca="false">Thesis!$H$83/(Thesis!$H$83+tk_fac*(1-colo_sh))</f>
        <v>0.729159549600796</v>
      </c>
      <c r="I100" s="13" t="n">
        <f aca="false">Thesis!$I$83/(Thesis!$I$83+tk_fac*(1-colo_sh))</f>
        <v>0.738503609691941</v>
      </c>
      <c r="J100" s="13" t="n">
        <f aca="false">Thesis!$J$83/(Thesis!$J$83+tk_fac*(1-colo_sh))</f>
        <v>0.738503609691941</v>
      </c>
      <c r="K100" s="13" t="n">
        <f aca="false">Thesis!$K$83/(Thesis!$K$83+tk_fac*(1-colo_sh))</f>
        <v>0.738503609691941</v>
      </c>
      <c r="L100" s="13" t="n">
        <f aca="false">Thesis!$L$83/(Thesis!$L$83+tk_fac*(1-colo_sh))</f>
        <v>0.738503609691941</v>
      </c>
      <c r="M100" s="13" t="n">
        <f aca="false">Thesis!$M$83/(Thesis!$M$83+tk_fac*(1-colo_sh))</f>
        <v>0.738503609691941</v>
      </c>
    </row>
    <row r="101" customFormat="false" ht="17.15" hidden="false" customHeight="false" outlineLevel="0" collapsed="false">
      <c r="A101" s="1" t="s">
        <v>679</v>
      </c>
      <c r="B101" s="8" t="s">
        <v>91</v>
      </c>
      <c r="C101" s="40" t="n">
        <f aca="false">Q!$D$48-cx_rt*Q!$D$16-cx_awso*Thesis!$C$96</f>
        <v>25.2781053077374</v>
      </c>
      <c r="D101" s="40" t="n">
        <f aca="false">Q!$E$48-cx_rt*Q!$E$16-cx_awso*Thesis!$D$96</f>
        <v>69.5686316310026</v>
      </c>
      <c r="E101" s="40" t="n">
        <f aca="false">Q!$O$48-cx_rt*Q!$O$16-cx_awso*Thesis!$E$96</f>
        <v>123.196049161056</v>
      </c>
      <c r="F101" s="40" t="n">
        <f aca="false">capex_g26-Q!$O$48-Thesis!$F$99</f>
        <v>28.695619283164</v>
      </c>
      <c r="G101" s="40" t="n">
        <f aca="false">Thesis!$E$101+Thesis!$F$101</f>
        <v>151.89166844422</v>
      </c>
      <c r="H101" s="40" t="n">
        <f aca="false">Thesis!$H$78*(Thesis!$H$83+tk_fac*(1-colo_sh))/1000+Thesis!$H$105</f>
        <v>177.245913338435</v>
      </c>
      <c r="I101" s="40" t="n">
        <f aca="false">Thesis!$I$78*(Thesis!$I$83+tk_fac*(1-colo_sh))/1000+Thesis!$I$105</f>
        <v>183.579448050685</v>
      </c>
      <c r="J101" s="40" t="n">
        <f aca="false">Thesis!$J$78*(Thesis!$J$83+tk_fac*(1-colo_sh))/1000+Thesis!$J$105</f>
        <v>187.873277448685</v>
      </c>
      <c r="K101" s="40" t="n">
        <f aca="false">Thesis!$K$78*(Thesis!$K$83+tk_fac*(1-colo_sh))/1000+Thesis!$K$105</f>
        <v>138.407037940551</v>
      </c>
      <c r="L101" s="40" t="n">
        <f aca="false">Thesis!$L$78*(Thesis!$L$83+tk_fac*(1-colo_sh))/1000+Thesis!$L$105</f>
        <v>114.703774820416</v>
      </c>
      <c r="M101" s="40" t="n">
        <f aca="false">Thesis!$M$78*(Thesis!$M$83+tk_fac*(1-colo_sh))/1000+Thesis!$M$105</f>
        <v>112.986707313624</v>
      </c>
      <c r="P101" s="5" t="s">
        <v>680</v>
      </c>
      <c r="R101" s="40" t="n">
        <f aca="false">Q!$C$48-cx_rt*Q!$C$16-cx_awso*(Q!$C$7-mw_ye23/2*rpm_open/1000)</f>
        <v>1.50429979529945</v>
      </c>
      <c r="S101" s="40" t="n">
        <f aca="false">Thesis!$C$101</f>
        <v>25.2781053077374</v>
      </c>
      <c r="T101" s="40" t="n">
        <f aca="false">Thesis!$D$101</f>
        <v>69.5686316310026</v>
      </c>
      <c r="U101" s="40" t="n">
        <f aca="false">Thesis!$G$101</f>
        <v>151.89166844422</v>
      </c>
      <c r="V101" s="40" t="n">
        <f aca="false">Thesis!$H$101</f>
        <v>177.245913338435</v>
      </c>
      <c r="W101" s="40" t="n">
        <f aca="false">Thesis!$I$101</f>
        <v>183.579448050685</v>
      </c>
      <c r="X101" s="40" t="n">
        <f aca="false">Thesis!$J$101</f>
        <v>187.873277448685</v>
      </c>
      <c r="Y101" s="40" t="n">
        <f aca="false">Thesis!$K$101</f>
        <v>138.407037940551</v>
      </c>
      <c r="Z101" s="40" t="n">
        <f aca="false">Thesis!$L$101</f>
        <v>114.703774820416</v>
      </c>
      <c r="AA101" s="40" t="n">
        <f aca="false">Thesis!$M$101</f>
        <v>112.986707313624</v>
      </c>
    </row>
    <row r="102" customFormat="false" ht="17.15" hidden="false" customHeight="false" outlineLevel="0" collapsed="false">
      <c r="A102" s="0" t="s">
        <v>681</v>
      </c>
      <c r="B102" s="0" t="s">
        <v>91</v>
      </c>
      <c r="F102" s="40" t="n">
        <f aca="false">Thesis!$F$78*(Thesis!$F$83+tk_fac*(1-colo_sh))/1000</f>
        <v>42.7280946565462</v>
      </c>
    </row>
    <row r="103" customFormat="false" ht="17.15" hidden="false" customHeight="false" outlineLevel="0" collapsed="false">
      <c r="A103" s="0" t="s">
        <v>682</v>
      </c>
      <c r="B103" s="0" t="s">
        <v>91</v>
      </c>
      <c r="F103" s="40" t="n">
        <f aca="false">(capex_g26-Q!$P$48)/2-(Thesis!$F$102+Thesis!$F$99)</f>
        <v>0.000524626617739443</v>
      </c>
      <c r="P103" s="5" t="s">
        <v>683</v>
      </c>
    </row>
    <row r="104" customFormat="false" ht="17.15" hidden="false" customHeight="false" outlineLevel="0" collapsed="false">
      <c r="A104" s="5" t="s">
        <v>684</v>
      </c>
      <c r="B104" s="0" t="s">
        <v>91</v>
      </c>
      <c r="F104" s="40" t="n">
        <f aca="false">Thesis!$F$101-Thesis!$F$102</f>
        <v>-14.0324753733822</v>
      </c>
    </row>
    <row r="105" customFormat="false" ht="17.15" hidden="false" customHeight="false" outlineLevel="0" collapsed="false">
      <c r="A105" s="0" t="s">
        <v>685</v>
      </c>
      <c r="B105" s="0" t="s">
        <v>91</v>
      </c>
      <c r="H105" s="40" t="n">
        <f aca="false">SUMPRODUCT(--(Thesis!$R$71:$AA$71=2027-tk_life),Thesis!$R$78:$AA$78)*Thesis!$H$83/1000</f>
        <v>0</v>
      </c>
      <c r="I105" s="40" t="n">
        <f aca="false">SUMPRODUCT(--(Thesis!$R$71:$AA$71=2028-tk_life),Thesis!$R$78:$AA$78)*Thesis!$I$83/1000</f>
        <v>0</v>
      </c>
      <c r="J105" s="40" t="n">
        <f aca="false">SUMPRODUCT(--(Thesis!$R$71:$AA$71=2029-tk_life),Thesis!$R$78:$AA$78)*Thesis!$J$83/1000</f>
        <v>4.293829398</v>
      </c>
      <c r="K105" s="40" t="n">
        <f aca="false">SUMPRODUCT(--(Thesis!$R$71:$AA$71=2030-tk_life),Thesis!$R$78:$AA$78)*Thesis!$K$83/1000</f>
        <v>8.587658796</v>
      </c>
      <c r="L105" s="40" t="n">
        <f aca="false">SUMPRODUCT(--(Thesis!$R$71:$AA$71=2031-tk_life),Thesis!$R$78:$AA$78)*Thesis!$L$83/1000</f>
        <v>38.644464582</v>
      </c>
      <c r="M105" s="40" t="n">
        <f aca="false">SUMPRODUCT(--(Thesis!$R$71:$AA$71=2032-tk_life),Thesis!$R$78:$AA$78)*Thesis!$M$83/1000</f>
        <v>90.6874659813425</v>
      </c>
    </row>
    <row r="106" customFormat="false" ht="17.15" hidden="false" customHeight="false" outlineLevel="0" collapsed="false">
      <c r="A106" s="0" t="s">
        <v>686</v>
      </c>
      <c r="B106" s="0" t="s">
        <v>91</v>
      </c>
      <c r="C106" s="40" t="n">
        <f aca="false">MIN(Thesis!$C$101,Thesis!$C$78*(tk_cx_h100+tk_fac*(1-colo_sh))/1000)</f>
        <v>11.2938642</v>
      </c>
      <c r="D106" s="40" t="n">
        <f aca="false">MIN(Thesis!$D$101,Thesis!$D$78*(tk_cx_h100+tk_fac*(1-colo_sh))/1000)</f>
        <v>50.8223889</v>
      </c>
      <c r="E106" s="40" t="n">
        <f aca="false">MIN(Thesis!$E$101,Thesis!$E$78*(Thesis!$F$83+tk_fac*(1-colo_sh))/1000)</f>
        <v>71.5976669125462</v>
      </c>
      <c r="F106" s="40" t="n">
        <f aca="false">Thesis!$F$101</f>
        <v>28.695619283164</v>
      </c>
      <c r="G106" s="40" t="n">
        <f aca="false">Thesis!$E$106+Thesis!$F$106</f>
        <v>100.29328619571</v>
      </c>
      <c r="H106" s="40" t="n">
        <f aca="false">Thesis!$H$101</f>
        <v>177.245913338435</v>
      </c>
      <c r="I106" s="40" t="n">
        <f aca="false">Thesis!$I$101</f>
        <v>183.579448050685</v>
      </c>
      <c r="J106" s="40" t="n">
        <f aca="false">Thesis!$J$101</f>
        <v>187.873277448685</v>
      </c>
      <c r="K106" s="40" t="n">
        <f aca="false">Thesis!$K$101</f>
        <v>138.407037940551</v>
      </c>
      <c r="L106" s="40" t="n">
        <f aca="false">Thesis!$L$101</f>
        <v>114.703774820416</v>
      </c>
      <c r="M106" s="40" t="n">
        <f aca="false">Thesis!$M$101</f>
        <v>112.986707313624</v>
      </c>
      <c r="P106" s="5" t="s">
        <v>687</v>
      </c>
      <c r="R106" s="40" t="n">
        <f aca="false">MIN(Thesis!$R$101,Thesis!$R$78*(tk_cx_h100+tk_fac*(1-colo_sh))/1000)</f>
        <v>1.50429979529945</v>
      </c>
      <c r="S106" s="40" t="n">
        <f aca="false">Thesis!$C$106</f>
        <v>11.2938642</v>
      </c>
      <c r="T106" s="40" t="n">
        <f aca="false">Thesis!$D$106</f>
        <v>50.8223889</v>
      </c>
      <c r="U106" s="40" t="n">
        <f aca="false">Thesis!$G$106</f>
        <v>100.29328619571</v>
      </c>
      <c r="V106" s="40" t="n">
        <f aca="false">Thesis!$H$106</f>
        <v>177.245913338435</v>
      </c>
      <c r="W106" s="40" t="n">
        <f aca="false">Thesis!$I$106</f>
        <v>183.579448050685</v>
      </c>
      <c r="X106" s="40" t="n">
        <f aca="false">Thesis!$J$106</f>
        <v>187.873277448685</v>
      </c>
      <c r="Y106" s="40" t="n">
        <f aca="false">Thesis!$K$106</f>
        <v>138.407037940551</v>
      </c>
      <c r="Z106" s="40" t="n">
        <f aca="false">Thesis!$L$106</f>
        <v>114.703774820416</v>
      </c>
      <c r="AA106" s="40" t="n">
        <f aca="false">Thesis!$M$106</f>
        <v>112.986707313624</v>
      </c>
    </row>
    <row r="107" customFormat="false" ht="17.15" hidden="false" customHeight="false" outlineLevel="0" collapsed="false">
      <c r="A107" s="5" t="s">
        <v>688</v>
      </c>
      <c r="B107" s="0" t="s">
        <v>91</v>
      </c>
      <c r="C107" s="40" t="n">
        <f aca="false">Thesis!$C$101-Thesis!$C$106</f>
        <v>13.9842411077374</v>
      </c>
      <c r="D107" s="40" t="n">
        <f aca="false">Thesis!$D$101-Thesis!$D$106</f>
        <v>18.7462427310026</v>
      </c>
      <c r="E107" s="40" t="n">
        <f aca="false">Thesis!$E$101-Thesis!$E$106</f>
        <v>51.5983822485098</v>
      </c>
      <c r="F107" s="40" t="n">
        <f aca="false">Thesis!$F$101-Thesis!$F$106</f>
        <v>0</v>
      </c>
      <c r="G107" s="40" t="n">
        <f aca="false">Thesis!$G$101-Thesis!$G$106</f>
        <v>51.5983822485098</v>
      </c>
      <c r="H107" s="40" t="n">
        <f aca="false">Thesis!$H$101-Thesis!$H$106</f>
        <v>0</v>
      </c>
      <c r="I107" s="40" t="n">
        <f aca="false">Thesis!$I$101-Thesis!$I$106</f>
        <v>0</v>
      </c>
      <c r="J107" s="40" t="n">
        <f aca="false">Thesis!$J$101-Thesis!$J$106</f>
        <v>0</v>
      </c>
      <c r="K107" s="40" t="n">
        <f aca="false">Thesis!$K$101-Thesis!$K$106</f>
        <v>0</v>
      </c>
      <c r="L107" s="40" t="n">
        <f aca="false">Thesis!$L$101-Thesis!$L$106</f>
        <v>0</v>
      </c>
      <c r="M107" s="40" t="n">
        <f aca="false">Thesis!$M$101-Thesis!$M$106</f>
        <v>0</v>
      </c>
      <c r="P107" s="5" t="s">
        <v>689</v>
      </c>
      <c r="R107" s="40" t="n">
        <f aca="false">Thesis!$R$101-Thesis!$R$106</f>
        <v>0</v>
      </c>
      <c r="S107" s="40" t="n">
        <f aca="false">Thesis!$S$101-Thesis!$S$106</f>
        <v>13.9842411077374</v>
      </c>
      <c r="T107" s="40" t="n">
        <f aca="false">Thesis!$T$101-Thesis!$T$106</f>
        <v>18.7462427310026</v>
      </c>
      <c r="U107" s="40" t="n">
        <f aca="false">Thesis!$U$101-Thesis!$U$106</f>
        <v>51.5983822485098</v>
      </c>
      <c r="V107" s="40" t="n">
        <f aca="false">Thesis!$V$101-Thesis!$V$106</f>
        <v>0</v>
      </c>
      <c r="W107" s="40" t="n">
        <f aca="false">Thesis!$W$101-Thesis!$W$106</f>
        <v>0</v>
      </c>
      <c r="X107" s="40" t="n">
        <f aca="false">Thesis!$X$101-Thesis!$X$106</f>
        <v>0</v>
      </c>
      <c r="Y107" s="40" t="n">
        <f aca="false">Thesis!$Y$101-Thesis!$Y$106</f>
        <v>0</v>
      </c>
      <c r="Z107" s="40" t="n">
        <f aca="false">Thesis!$Z$101-Thesis!$Z$106</f>
        <v>0</v>
      </c>
      <c r="AA107" s="40" t="n">
        <f aca="false">Thesis!$AA$101-Thesis!$AA$106</f>
        <v>0</v>
      </c>
    </row>
    <row r="108" customFormat="false" ht="17.15" hidden="false" customHeight="false" outlineLevel="0" collapsed="false">
      <c r="A108" s="5" t="s">
        <v>690</v>
      </c>
      <c r="B108" s="0" t="s">
        <v>91</v>
      </c>
      <c r="R108" s="40" t="n">
        <f aca="false">Thesis!$R$107*Thesis!$C$100</f>
        <v>0</v>
      </c>
      <c r="S108" s="40" t="n">
        <f aca="false">Thesis!$S$107*Thesis!$C$100</f>
        <v>10.219074499801</v>
      </c>
      <c r="T108" s="40" t="n">
        <f aca="false">Thesis!$T$107*Thesis!$C$100</f>
        <v>13.6989379390402</v>
      </c>
      <c r="U108" s="40" t="n">
        <f aca="false">Thesis!$U$107*Thesis!$E$100</f>
        <v>37.1055813761394</v>
      </c>
      <c r="V108" s="40" t="n">
        <f aca="false">Thesis!$V$107*Thesis!$E$100</f>
        <v>0</v>
      </c>
      <c r="W108" s="40" t="n">
        <f aca="false">Thesis!$W$107*Thesis!$E$100</f>
        <v>0</v>
      </c>
      <c r="X108" s="40" t="n">
        <f aca="false">Thesis!$X$107*Thesis!$E$100</f>
        <v>0</v>
      </c>
      <c r="Y108" s="40" t="n">
        <f aca="false">Thesis!$Y$107*Thesis!$E$100</f>
        <v>0</v>
      </c>
      <c r="Z108" s="40" t="n">
        <f aca="false">Thesis!$Z$107*Thesis!$E$100</f>
        <v>0</v>
      </c>
      <c r="AA108" s="40" t="n">
        <f aca="false">Thesis!$AA$107*Thesis!$E$100</f>
        <v>0</v>
      </c>
    </row>
    <row r="109" customFormat="false" ht="17.15" hidden="false" customHeight="false" outlineLevel="0" collapsed="false">
      <c r="A109" s="5" t="s">
        <v>691</v>
      </c>
      <c r="B109" s="0" t="s">
        <v>91</v>
      </c>
      <c r="R109" s="40" t="n">
        <f aca="false">SUMPRODUCT(--(Thesis!$R$71:$AA$71=2023-cip_lag),Thesis!$R$108:$AA$108)</f>
        <v>0</v>
      </c>
      <c r="S109" s="40" t="n">
        <f aca="false">SUMPRODUCT(--(Thesis!$R$71:$AA$71=2024-cip_lag),Thesis!$R$108:$AA$108)</f>
        <v>0</v>
      </c>
      <c r="T109" s="40" t="n">
        <f aca="false">SUMPRODUCT(--(Thesis!$R$71:$AA$71=2025-cip_lag),Thesis!$R$108:$AA$108)</f>
        <v>10.219074499801</v>
      </c>
      <c r="U109" s="40" t="n">
        <f aca="false">SUMPRODUCT(--(Thesis!$R$71:$AA$71=2026-cip_lag),Thesis!$R$108:$AA$108)</f>
        <v>13.6989379390402</v>
      </c>
      <c r="V109" s="40" t="n">
        <f aca="false">SUMPRODUCT(--(Thesis!$R$71:$AA$71=2027-cip_lag),Thesis!$R$108:$AA$108)</f>
        <v>37.1055813761394</v>
      </c>
      <c r="W109" s="40" t="n">
        <f aca="false">SUMPRODUCT(--(Thesis!$R$71:$AA$71=2028-cip_lag),Thesis!$R$108:$AA$108)</f>
        <v>0</v>
      </c>
      <c r="X109" s="40" t="n">
        <f aca="false">SUMPRODUCT(--(Thesis!$R$71:$AA$71=2029-cip_lag),Thesis!$R$108:$AA$108)</f>
        <v>0</v>
      </c>
      <c r="Y109" s="40" t="n">
        <f aca="false">SUMPRODUCT(--(Thesis!$R$71:$AA$71=2030-cip_lag),Thesis!$R$108:$AA$108)</f>
        <v>0</v>
      </c>
      <c r="Z109" s="40" t="n">
        <f aca="false">SUMPRODUCT(--(Thesis!$R$71:$AA$71=2031-cip_lag),Thesis!$R$108:$AA$108)</f>
        <v>0</v>
      </c>
      <c r="AA109" s="40" t="n">
        <f aca="false">SUMPRODUCT(--(Thesis!$R$71:$AA$71=2032-cip_lag),Thesis!$R$108:$AA$108)</f>
        <v>0</v>
      </c>
    </row>
    <row r="110" customFormat="false" ht="15" hidden="false" customHeight="false" outlineLevel="0" collapsed="false">
      <c r="A110" s="5" t="s">
        <v>692</v>
      </c>
      <c r="B110" s="0" t="s">
        <v>91</v>
      </c>
      <c r="R110" s="40" t="n">
        <f aca="false">SUMPRODUCT(--(Thesis!$R$71:$AA$71=2023-cip_lag),Thesis!$R$107:$AA$107)-Thesis!$R$109</f>
        <v>0</v>
      </c>
      <c r="S110" s="40" t="n">
        <f aca="false">SUMPRODUCT(--(Thesis!$R$71:$AA$71=2024-cip_lag),Thesis!$R$107:$AA$107)-Thesis!$S$109</f>
        <v>0</v>
      </c>
      <c r="T110" s="40" t="n">
        <f aca="false">SUMPRODUCT(--(Thesis!$R$71:$AA$71=2025-cip_lag),Thesis!$R$107:$AA$107)-Thesis!$T$109</f>
        <v>3.76516660793636</v>
      </c>
      <c r="U110" s="40" t="n">
        <f aca="false">SUMPRODUCT(--(Thesis!$R$71:$AA$71=2026-cip_lag),Thesis!$R$107:$AA$107)-Thesis!$U$109</f>
        <v>5.04730479196242</v>
      </c>
      <c r="V110" s="40" t="n">
        <f aca="false">SUMPRODUCT(--(Thesis!$R$71:$AA$71=2027-cip_lag),Thesis!$R$107:$AA$107)-Thesis!$V$109</f>
        <v>14.4928008723704</v>
      </c>
      <c r="W110" s="40" t="n">
        <f aca="false">SUMPRODUCT(--(Thesis!$R$71:$AA$71=2028-cip_lag),Thesis!$R$107:$AA$107)-Thesis!$W$109</f>
        <v>0</v>
      </c>
      <c r="X110" s="40" t="n">
        <f aca="false">SUMPRODUCT(--(Thesis!$R$71:$AA$71=2029-cip_lag),Thesis!$R$107:$AA$107)-Thesis!$X$109</f>
        <v>0</v>
      </c>
      <c r="Y110" s="40" t="n">
        <f aca="false">SUMPRODUCT(--(Thesis!$R$71:$AA$71=2030-cip_lag),Thesis!$R$107:$AA$107)-Thesis!$Y$109</f>
        <v>0</v>
      </c>
      <c r="Z110" s="40" t="n">
        <f aca="false">SUMPRODUCT(--(Thesis!$R$71:$AA$71=2031-cip_lag),Thesis!$R$107:$AA$107)-Thesis!$Z$109</f>
        <v>0</v>
      </c>
      <c r="AA110" s="40" t="n">
        <f aca="false">SUMPRODUCT(--(Thesis!$R$71:$AA$71=2032-cip_lag),Thesis!$R$107:$AA$107)-Thesis!$AA$109</f>
        <v>0</v>
      </c>
    </row>
    <row r="111" customFormat="false" ht="17.15" hidden="false" customHeight="false" outlineLevel="0" collapsed="false">
      <c r="A111" s="5" t="s">
        <v>693</v>
      </c>
      <c r="B111" s="0" t="s">
        <v>91</v>
      </c>
      <c r="C111" s="40" t="n">
        <f aca="false">Thesis!$C$106*Thesis!$C$100</f>
        <v>8.2530642</v>
      </c>
      <c r="D111" s="40" t="n">
        <f aca="false">Thesis!$D$106*Thesis!$D$100</f>
        <v>37.1387889</v>
      </c>
      <c r="E111" s="40" t="n">
        <f aca="false">Thesis!$E$106*Thesis!$E$100</f>
        <v>51.4875261625462</v>
      </c>
      <c r="F111" s="40" t="n">
        <f aca="false">Thesis!$F$106*Thesis!$F$100</f>
        <v>20.6356786792653</v>
      </c>
      <c r="G111" s="40" t="n">
        <f aca="false">Thesis!$E$111+Thesis!$F$111</f>
        <v>72.1232048418116</v>
      </c>
      <c r="H111" s="40" t="n">
        <f aca="false">(Thesis!$H$106-Thesis!$H$105)*Thesis!$H$100+Thesis!$H$105</f>
        <v>129.240550338435</v>
      </c>
      <c r="I111" s="40" t="n">
        <f aca="false">(Thesis!$I$106-Thesis!$I$105)*Thesis!$I$100+Thesis!$I$105</f>
        <v>135.574085050685</v>
      </c>
      <c r="J111" s="40" t="n">
        <f aca="false">(Thesis!$J$106-Thesis!$J$105)*Thesis!$J$100+Thesis!$J$105</f>
        <v>139.867914448685</v>
      </c>
      <c r="K111" s="40" t="n">
        <f aca="false">(Thesis!$K$106-Thesis!$K$105)*Thesis!$K$100+Thesis!$K$105</f>
        <v>104.459738902217</v>
      </c>
      <c r="L111" s="40" t="n">
        <f aca="false">(Thesis!$L$106-Thesis!$L$105)*Thesis!$L$100+Thesis!$L$105</f>
        <v>94.8145397437496</v>
      </c>
      <c r="M111" s="40" t="n">
        <f aca="false">(Thesis!$M$106-Thesis!$M$105)*Thesis!$M$100+Thesis!$M$105</f>
        <v>107.155536198624</v>
      </c>
      <c r="R111" s="40" t="n">
        <f aca="false">Thesis!$R$106*Thesis!$C$100</f>
        <v>1.09927679019314</v>
      </c>
      <c r="S111" s="40" t="n">
        <f aca="false">Thesis!$C$111</f>
        <v>8.2530642</v>
      </c>
      <c r="T111" s="40" t="n">
        <f aca="false">Thesis!$D$111</f>
        <v>37.1387889</v>
      </c>
      <c r="U111" s="40" t="n">
        <f aca="false">Thesis!$G$111</f>
        <v>72.1232048418116</v>
      </c>
      <c r="V111" s="40" t="n">
        <f aca="false">Thesis!$H$111</f>
        <v>129.240550338435</v>
      </c>
      <c r="W111" s="40" t="n">
        <f aca="false">Thesis!$I$111</f>
        <v>135.574085050685</v>
      </c>
      <c r="X111" s="40" t="n">
        <f aca="false">Thesis!$J$111</f>
        <v>139.867914448685</v>
      </c>
      <c r="Y111" s="40" t="n">
        <f aca="false">Thesis!$K$111</f>
        <v>104.459738902217</v>
      </c>
      <c r="Z111" s="40" t="n">
        <f aca="false">Thesis!$L$111</f>
        <v>94.8145397437496</v>
      </c>
      <c r="AA111" s="40" t="n">
        <f aca="false">Thesis!$M$111</f>
        <v>107.155536198624</v>
      </c>
    </row>
    <row r="112" customFormat="false" ht="15" hidden="false" customHeight="false" outlineLevel="0" collapsed="false">
      <c r="A112" s="5" t="s">
        <v>694</v>
      </c>
      <c r="B112" s="0" t="s">
        <v>91</v>
      </c>
      <c r="C112" s="40" t="n">
        <f aca="false">Thesis!$C$106-Thesis!$C$111</f>
        <v>3.0408</v>
      </c>
      <c r="D112" s="40" t="n">
        <f aca="false">Thesis!$D$106-Thesis!$D$111</f>
        <v>13.6836</v>
      </c>
      <c r="E112" s="40" t="n">
        <f aca="false">Thesis!$E$106-Thesis!$E$111</f>
        <v>20.11014075</v>
      </c>
      <c r="F112" s="40" t="n">
        <f aca="false">Thesis!$F$106-Thesis!$F$111</f>
        <v>8.05994060389864</v>
      </c>
      <c r="G112" s="40" t="n">
        <f aca="false">Thesis!$G$106-Thesis!$G$111</f>
        <v>28.1700813538986</v>
      </c>
      <c r="H112" s="40" t="n">
        <f aca="false">Thesis!$H$106-Thesis!$H$111</f>
        <v>48.005363</v>
      </c>
      <c r="I112" s="40" t="n">
        <f aca="false">Thesis!$I$106-Thesis!$I$111</f>
        <v>48.005363</v>
      </c>
      <c r="J112" s="40" t="n">
        <f aca="false">Thesis!$J$106-Thesis!$J$111</f>
        <v>48.005363</v>
      </c>
      <c r="K112" s="40" t="n">
        <f aca="false">Thesis!$K$106-Thesis!$K$111</f>
        <v>33.9472990383334</v>
      </c>
      <c r="L112" s="40" t="n">
        <f aca="false">Thesis!$L$106-Thesis!$L$111</f>
        <v>19.8892350766667</v>
      </c>
      <c r="M112" s="40" t="n">
        <f aca="false">Thesis!$M$106-Thesis!$M$111</f>
        <v>5.83117111499999</v>
      </c>
      <c r="R112" s="40" t="n">
        <f aca="false">Thesis!$R$106-Thesis!$R$111</f>
        <v>0.405023005106309</v>
      </c>
      <c r="S112" s="40" t="n">
        <f aca="false">Thesis!$S$106-Thesis!$S$111</f>
        <v>3.0408</v>
      </c>
      <c r="T112" s="40" t="n">
        <f aca="false">Thesis!$T$106-Thesis!$T$111</f>
        <v>13.6836</v>
      </c>
      <c r="U112" s="40" t="n">
        <f aca="false">Thesis!$U$106-Thesis!$U$111</f>
        <v>28.1700813538986</v>
      </c>
      <c r="V112" s="40" t="n">
        <f aca="false">Thesis!$V$106-Thesis!$V$111</f>
        <v>48.005363</v>
      </c>
      <c r="W112" s="40" t="n">
        <f aca="false">Thesis!$W$106-Thesis!$W$111</f>
        <v>48.005363</v>
      </c>
      <c r="X112" s="40" t="n">
        <f aca="false">Thesis!$X$106-Thesis!$X$111</f>
        <v>48.005363</v>
      </c>
      <c r="Y112" s="40" t="n">
        <f aca="false">Thesis!$Y$106-Thesis!$Y$111</f>
        <v>33.9472990383334</v>
      </c>
      <c r="Z112" s="40" t="n">
        <f aca="false">Thesis!$Z$106-Thesis!$Z$111</f>
        <v>19.8892350766667</v>
      </c>
      <c r="AA112" s="40" t="n">
        <f aca="false">Thesis!$AA$106-Thesis!$AA$111</f>
        <v>5.83117111499999</v>
      </c>
    </row>
    <row r="113" customFormat="false" ht="17.15" hidden="false" customHeight="false" outlineLevel="0" collapsed="false">
      <c r="A113" s="0" t="s">
        <v>695</v>
      </c>
      <c r="B113" s="0" t="s">
        <v>56</v>
      </c>
      <c r="C113" s="13" t="n">
        <f aca="false">Thesis!$C$101/CF!$C$54</f>
        <v>0.325505489553393</v>
      </c>
      <c r="D113" s="13" t="n">
        <f aca="false">Thesis!$D$101/CF!$D$54</f>
        <v>0.54214956071542</v>
      </c>
      <c r="E113" s="13" t="n">
        <f aca="false">Thesis!$E$101/CF!$E$54</f>
        <v>0.715474069976166</v>
      </c>
      <c r="F113" s="13" t="n">
        <f aca="false">Thesis!$F$101/CF!$F$54</f>
        <v>0.600176091423994</v>
      </c>
      <c r="G113" s="13" t="n">
        <f aca="false">Thesis!$G$101/CF!$G$54</f>
        <v>0.690416674746455</v>
      </c>
      <c r="H113" s="13" t="n">
        <f aca="false">Thesis!$H$101/CF!$H$54</f>
        <v>0.700355037669622</v>
      </c>
      <c r="I113" s="13" t="n">
        <f aca="false">Thesis!$I$101/CF!$I$54</f>
        <v>0.687636699157358</v>
      </c>
      <c r="J113" s="13" t="n">
        <f aca="false">Thesis!$J$101/CF!$J$54</f>
        <v>0.674817899000374</v>
      </c>
      <c r="K113" s="13" t="n">
        <f aca="false">Thesis!$K$101/CF!$K$54</f>
        <v>0.587963117620941</v>
      </c>
      <c r="L113" s="13" t="n">
        <f aca="false">Thesis!$L$101/CF!$L$54</f>
        <v>0.524620008218786</v>
      </c>
      <c r="M113" s="13" t="n">
        <f aca="false">Thesis!$M$101/CF!$M$54</f>
        <v>0.50353101603759</v>
      </c>
    </row>
    <row r="114" customFormat="false" ht="17.15" hidden="false" customHeight="false" outlineLevel="0" collapsed="false">
      <c r="A114" s="0" t="s">
        <v>696</v>
      </c>
      <c r="B114" s="0" t="s">
        <v>91</v>
      </c>
      <c r="C114" s="40" t="n">
        <f aca="false">Thesis!$S$114</f>
        <v>0.183212798365523</v>
      </c>
      <c r="D114" s="40" t="n">
        <f aca="false">Thesis!$T$114</f>
        <v>1.55872349836552</v>
      </c>
      <c r="E114" s="40" t="n">
        <f aca="false">Thesis!$G$114*0.75</f>
        <v>7.08877554874927</v>
      </c>
      <c r="F114" s="40" t="n">
        <f aca="false">Thesis!$G$114*0.25</f>
        <v>2.36292518291642</v>
      </c>
      <c r="G114" s="40" t="n">
        <f aca="false">Thesis!$U$114</f>
        <v>9.4517007316657</v>
      </c>
      <c r="H114" s="40" t="n">
        <f aca="false">Thesis!$V$114</f>
        <v>23.755391195141</v>
      </c>
      <c r="I114" s="40" t="n">
        <f aca="false">Thesis!$W$114</f>
        <v>51.4797464809034</v>
      </c>
      <c r="J114" s="40" t="n">
        <f aca="false">Thesis!$X$114</f>
        <v>74.0754273226842</v>
      </c>
      <c r="K114" s="40" t="n">
        <f aca="false">Thesis!$Y$114</f>
        <v>97.2035335990995</v>
      </c>
      <c r="L114" s="40" t="n">
        <f aca="false">Thesis!$Z$114</f>
        <v>113.237979382802</v>
      </c>
      <c r="M114" s="40" t="n">
        <f aca="false">Thesis!$AA$114</f>
        <v>121.147425440127</v>
      </c>
      <c r="N114" s="40" t="n">
        <f aca="false">Thesis!$D$114*0.75</f>
        <v>1.16904262377414</v>
      </c>
      <c r="O114" s="40" t="n">
        <f aca="false">Thesis!$D$114*0.25</f>
        <v>0.389680874591381</v>
      </c>
      <c r="R114" s="40" t="n">
        <f aca="false">(SUMPRODUCT(--(Thesis!$R$71:$AA$71&lt;Thesis!R$71),--(Thesis!$R$71:$AA$71&gt;=Thesis!R$71-tk_life),Thesis!$R$111:$AA$111)+SUMPRODUCT(--(Thesis!$R$71:$AA$71&lt;Thesis!R$71),--(Thesis!$R$71:$AA$71&gt;=Thesis!R$71-tk_life),Thesis!$R$109:$AA$109))/tk_life</f>
        <v>0</v>
      </c>
      <c r="S114" s="40" t="n">
        <f aca="false">(SUMPRODUCT(--(Thesis!$R$71:$AA$71&lt;Thesis!S$71),--(Thesis!$R$71:$AA$71&gt;=Thesis!S$71-tk_life),Thesis!$R$111:$AA$111)+SUMPRODUCT(--(Thesis!$R$71:$AA$71&lt;Thesis!S$71),--(Thesis!$R$71:$AA$71&gt;=Thesis!S$71-tk_life),Thesis!$R$109:$AA$109))/tk_life</f>
        <v>0.183212798365523</v>
      </c>
      <c r="T114" s="40" t="n">
        <f aca="false">(SUMPRODUCT(--(Thesis!$R$71:$AA$71&lt;Thesis!T$71),--(Thesis!$R$71:$AA$71&gt;=Thesis!T$71-tk_life),Thesis!$R$111:$AA$111)+SUMPRODUCT(--(Thesis!$R$71:$AA$71&lt;Thesis!T$71),--(Thesis!$R$71:$AA$71&gt;=Thesis!T$71-tk_life),Thesis!$R$109:$AA$109))/tk_life</f>
        <v>1.55872349836552</v>
      </c>
      <c r="U114" s="40" t="n">
        <f aca="false">(SUMPRODUCT(--(Thesis!$R$71:$AA$71&lt;Thesis!U$71),--(Thesis!$R$71:$AA$71&gt;=Thesis!U$71-tk_life),Thesis!$R$111:$AA$111)+SUMPRODUCT(--(Thesis!$R$71:$AA$71&lt;Thesis!U$71),--(Thesis!$R$71:$AA$71&gt;=Thesis!U$71-tk_life),Thesis!$R$109:$AA$109))/tk_life</f>
        <v>9.4517007316657</v>
      </c>
      <c r="V114" s="40" t="n">
        <f aca="false">(SUMPRODUCT(--(Thesis!$R$71:$AA$71&lt;Thesis!V$71),--(Thesis!$R$71:$AA$71&gt;=Thesis!V$71-tk_life),Thesis!$R$111:$AA$111)+SUMPRODUCT(--(Thesis!$R$71:$AA$71&lt;Thesis!V$71),--(Thesis!$R$71:$AA$71&gt;=Thesis!V$71-tk_life),Thesis!$R$109:$AA$109))/tk_life</f>
        <v>23.755391195141</v>
      </c>
      <c r="W114" s="40" t="n">
        <f aca="false">(SUMPRODUCT(--(Thesis!$R$71:$AA$71&lt;Thesis!W$71),--(Thesis!$R$71:$AA$71&gt;=Thesis!W$71-tk_life),Thesis!$R$111:$AA$111)+SUMPRODUCT(--(Thesis!$R$71:$AA$71&lt;Thesis!W$71),--(Thesis!$R$71:$AA$71&gt;=Thesis!W$71-tk_life),Thesis!$R$109:$AA$109))/tk_life</f>
        <v>51.4797464809034</v>
      </c>
      <c r="X114" s="40" t="n">
        <f aca="false">(SUMPRODUCT(--(Thesis!$R$71:$AA$71&lt;Thesis!X$71),--(Thesis!$R$71:$AA$71&gt;=Thesis!X$71-tk_life),Thesis!$R$111:$AA$111)+SUMPRODUCT(--(Thesis!$R$71:$AA$71&lt;Thesis!X$71),--(Thesis!$R$71:$AA$71&gt;=Thesis!X$71-tk_life),Thesis!$R$109:$AA$109))/tk_life</f>
        <v>74.0754273226842</v>
      </c>
      <c r="Y114" s="40" t="n">
        <f aca="false">(SUMPRODUCT(--(Thesis!$R$71:$AA$71&lt;Thesis!Y$71),--(Thesis!$R$71:$AA$71&gt;=Thesis!Y$71-tk_life),Thesis!$R$111:$AA$111)+SUMPRODUCT(--(Thesis!$R$71:$AA$71&lt;Thesis!Y$71),--(Thesis!$R$71:$AA$71&gt;=Thesis!Y$71-tk_life),Thesis!$R$109:$AA$109))/tk_life</f>
        <v>97.2035335990995</v>
      </c>
      <c r="Z114" s="40" t="n">
        <f aca="false">(SUMPRODUCT(--(Thesis!$R$71:$AA$71&lt;Thesis!Z$71),--(Thesis!$R$71:$AA$71&gt;=Thesis!Z$71-tk_life),Thesis!$R$111:$AA$111)+SUMPRODUCT(--(Thesis!$R$71:$AA$71&lt;Thesis!Z$71),--(Thesis!$R$71:$AA$71&gt;=Thesis!Z$71-tk_life),Thesis!$R$109:$AA$109))/tk_life</f>
        <v>113.237979382802</v>
      </c>
      <c r="AA114" s="40" t="n">
        <f aca="false">(SUMPRODUCT(--(Thesis!$R$71:$AA$71&lt;Thesis!AA$71),--(Thesis!$R$71:$AA$71&gt;=Thesis!AA$71-tk_life),Thesis!$R$111:$AA$111)+SUMPRODUCT(--(Thesis!$R$71:$AA$71&lt;Thesis!AA$71),--(Thesis!$R$71:$AA$71&gt;=Thesis!AA$71-tk_life),Thesis!$R$109:$AA$109))/tk_life</f>
        <v>121.147425440127</v>
      </c>
    </row>
    <row r="115" customFormat="false" ht="17.15" hidden="false" customHeight="false" outlineLevel="0" collapsed="false">
      <c r="A115" s="0" t="s">
        <v>697</v>
      </c>
      <c r="B115" s="0" t="s">
        <v>91</v>
      </c>
      <c r="C115" s="40" t="n">
        <f aca="false">Thesis!$S$115</f>
        <v>0.0202511502553155</v>
      </c>
      <c r="D115" s="40" t="n">
        <f aca="false">Thesis!$T$115</f>
        <v>0.172291150255315</v>
      </c>
      <c r="E115" s="40" t="n">
        <f aca="false">Thesis!$G$115*0.75</f>
        <v>0.7835471104891</v>
      </c>
      <c r="F115" s="40" t="n">
        <f aca="false">Thesis!$G$115*0.25</f>
        <v>0.261182370163033</v>
      </c>
      <c r="G115" s="40" t="n">
        <f aca="false">Thesis!$U$115</f>
        <v>1.04472948065213</v>
      </c>
      <c r="H115" s="40" t="n">
        <f aca="false">Thesis!$V$115</f>
        <v>2.70559878794519</v>
      </c>
      <c r="I115" s="40" t="n">
        <f aca="false">Thesis!$W$115</f>
        <v>5.8305069815637</v>
      </c>
      <c r="J115" s="40" t="n">
        <f aca="false">Thesis!$X$115</f>
        <v>8.23077513156371</v>
      </c>
      <c r="K115" s="40" t="n">
        <f aca="false">Thesis!$Y$115</f>
        <v>10.6310432815637</v>
      </c>
      <c r="L115" s="40" t="n">
        <f aca="false">Thesis!$Z$115</f>
        <v>12.3284082334804</v>
      </c>
      <c r="M115" s="40" t="n">
        <f aca="false">Thesis!$AA$115</f>
        <v>13.3228699873137</v>
      </c>
      <c r="N115" s="40" t="n">
        <f aca="false">Thesis!$D$115*0.75</f>
        <v>0.129218362691487</v>
      </c>
      <c r="O115" s="40" t="n">
        <f aca="false">Thesis!$D$115*0.25</f>
        <v>0.0430727875638289</v>
      </c>
      <c r="R115" s="40" t="n">
        <f aca="false">(SUMPRODUCT(--(Thesis!$R$71:$AA$71&lt;Thesis!R$71),Thesis!$R$112:$AA$112)+SUMPRODUCT(--(Thesis!$R$71:$AA$71&lt;Thesis!R$71),Thesis!$R$110:$AA$110))/fac_life</f>
        <v>0</v>
      </c>
      <c r="S115" s="40" t="n">
        <f aca="false">(SUMPRODUCT(--(Thesis!$R$71:$AA$71&lt;Thesis!S$71),Thesis!$R$112:$AA$112)+SUMPRODUCT(--(Thesis!$R$71:$AA$71&lt;Thesis!S$71),Thesis!$R$110:$AA$110))/fac_life</f>
        <v>0.0202511502553155</v>
      </c>
      <c r="T115" s="40" t="n">
        <f aca="false">(SUMPRODUCT(--(Thesis!$R$71:$AA$71&lt;Thesis!T$71),Thesis!$R$112:$AA$112)+SUMPRODUCT(--(Thesis!$R$71:$AA$71&lt;Thesis!T$71),Thesis!$R$110:$AA$110))/fac_life</f>
        <v>0.172291150255315</v>
      </c>
      <c r="U115" s="40" t="n">
        <f aca="false">(SUMPRODUCT(--(Thesis!$R$71:$AA$71&lt;Thesis!U$71),Thesis!$R$112:$AA$112)+SUMPRODUCT(--(Thesis!$R$71:$AA$71&lt;Thesis!U$71),Thesis!$R$110:$AA$110))/fac_life</f>
        <v>1.04472948065213</v>
      </c>
      <c r="V115" s="40" t="n">
        <f aca="false">(SUMPRODUCT(--(Thesis!$R$71:$AA$71&lt;Thesis!V$71),Thesis!$R$112:$AA$112)+SUMPRODUCT(--(Thesis!$R$71:$AA$71&lt;Thesis!V$71),Thesis!$R$110:$AA$110))/fac_life</f>
        <v>2.70559878794519</v>
      </c>
      <c r="W115" s="40" t="n">
        <f aca="false">(SUMPRODUCT(--(Thesis!$R$71:$AA$71&lt;Thesis!W$71),Thesis!$R$112:$AA$112)+SUMPRODUCT(--(Thesis!$R$71:$AA$71&lt;Thesis!W$71),Thesis!$R$110:$AA$110))/fac_life</f>
        <v>5.8305069815637</v>
      </c>
      <c r="X115" s="40" t="n">
        <f aca="false">(SUMPRODUCT(--(Thesis!$R$71:$AA$71&lt;Thesis!X$71),Thesis!$R$112:$AA$112)+SUMPRODUCT(--(Thesis!$R$71:$AA$71&lt;Thesis!X$71),Thesis!$R$110:$AA$110))/fac_life</f>
        <v>8.23077513156371</v>
      </c>
      <c r="Y115" s="40" t="n">
        <f aca="false">(SUMPRODUCT(--(Thesis!$R$71:$AA$71&lt;Thesis!Y$71),Thesis!$R$112:$AA$112)+SUMPRODUCT(--(Thesis!$R$71:$AA$71&lt;Thesis!Y$71),Thesis!$R$110:$AA$110))/fac_life</f>
        <v>10.6310432815637</v>
      </c>
      <c r="Z115" s="40" t="n">
        <f aca="false">(SUMPRODUCT(--(Thesis!$R$71:$AA$71&lt;Thesis!Z$71),Thesis!$R$112:$AA$112)+SUMPRODUCT(--(Thesis!$R$71:$AA$71&lt;Thesis!Z$71),Thesis!$R$110:$AA$110))/fac_life</f>
        <v>12.3284082334804</v>
      </c>
      <c r="AA115" s="40" t="n">
        <f aca="false">(SUMPRODUCT(--(Thesis!$R$71:$AA$71&lt;Thesis!AA$71),Thesis!$R$112:$AA$112)+SUMPRODUCT(--(Thesis!$R$71:$AA$71&lt;Thesis!AA$71),Thesis!$R$110:$AA$110))/fac_life</f>
        <v>13.3228699873137</v>
      </c>
    </row>
    <row r="116" customFormat="false" ht="17.15" hidden="false" customHeight="false" outlineLevel="0" collapsed="false">
      <c r="A116" s="1" t="s">
        <v>698</v>
      </c>
      <c r="B116" s="8" t="s">
        <v>91</v>
      </c>
      <c r="C116" s="40" t="n">
        <f aca="false">Thesis!$C$114+Thesis!$C$115</f>
        <v>0.203463948620839</v>
      </c>
      <c r="D116" s="40" t="n">
        <f aca="false">Thesis!$D$114+Thesis!$D$115</f>
        <v>1.73101464862084</v>
      </c>
      <c r="E116" s="40" t="n">
        <f aca="false">Thesis!$E$114+Thesis!$E$115</f>
        <v>7.87232265923837</v>
      </c>
      <c r="F116" s="40" t="n">
        <f aca="false">Thesis!$F$114+Thesis!$F$115</f>
        <v>2.62410755307946</v>
      </c>
      <c r="G116" s="40" t="n">
        <f aca="false">Thesis!$G$114+Thesis!$G$115</f>
        <v>10.4964302123178</v>
      </c>
      <c r="H116" s="40" t="n">
        <f aca="false">Thesis!$H$114+Thesis!$H$115</f>
        <v>26.4609899830862</v>
      </c>
      <c r="I116" s="40" t="n">
        <f aca="false">Thesis!$I$114+Thesis!$I$115</f>
        <v>57.3102534624671</v>
      </c>
      <c r="J116" s="40" t="n">
        <f aca="false">Thesis!$J$114+Thesis!$J$115</f>
        <v>82.3062024542479</v>
      </c>
      <c r="K116" s="40" t="n">
        <f aca="false">Thesis!$K$114+Thesis!$K$115</f>
        <v>107.834576880663</v>
      </c>
      <c r="L116" s="40" t="n">
        <f aca="false">Thesis!$L$114+Thesis!$L$115</f>
        <v>125.566387616283</v>
      </c>
      <c r="M116" s="40" t="n">
        <f aca="false">Thesis!$M$114+Thesis!$M$115</f>
        <v>134.470295427441</v>
      </c>
      <c r="N116" s="40" t="n">
        <f aca="false">Thesis!$N$114+Thesis!$N$115</f>
        <v>1.29826098646563</v>
      </c>
      <c r="O116" s="40" t="n">
        <f aca="false">Thesis!$O$114+Thesis!$O$115</f>
        <v>0.43275366215521</v>
      </c>
      <c r="R116" s="40" t="n">
        <f aca="false">Thesis!$R$114+Thesis!$R$115</f>
        <v>0</v>
      </c>
      <c r="S116" s="40" t="n">
        <f aca="false">Thesis!$S$114+Thesis!$S$115</f>
        <v>0.203463948620839</v>
      </c>
      <c r="T116" s="40" t="n">
        <f aca="false">Thesis!$T$114+Thesis!$T$115</f>
        <v>1.73101464862084</v>
      </c>
      <c r="U116" s="40" t="n">
        <f aca="false">Thesis!$U$114+Thesis!$U$115</f>
        <v>10.4964302123178</v>
      </c>
      <c r="V116" s="40" t="n">
        <f aca="false">Thesis!$V$114+Thesis!$V$115</f>
        <v>26.4609899830862</v>
      </c>
      <c r="W116" s="40" t="n">
        <f aca="false">Thesis!$W$114+Thesis!$W$115</f>
        <v>57.3102534624671</v>
      </c>
      <c r="X116" s="40" t="n">
        <f aca="false">Thesis!$X$114+Thesis!$X$115</f>
        <v>82.3062024542479</v>
      </c>
      <c r="Y116" s="40" t="n">
        <f aca="false">Thesis!$Y$114+Thesis!$Y$115</f>
        <v>107.834576880663</v>
      </c>
      <c r="Z116" s="40" t="n">
        <f aca="false">Thesis!$Z$114+Thesis!$Z$115</f>
        <v>125.566387616283</v>
      </c>
      <c r="AA116" s="40" t="n">
        <f aca="false">Thesis!$AA$114+Thesis!$AA$115</f>
        <v>134.470295427441</v>
      </c>
    </row>
    <row r="117" customFormat="false" ht="17.15" hidden="false" customHeight="false" outlineLevel="0" collapsed="false">
      <c r="A117" s="0" t="s">
        <v>699</v>
      </c>
      <c r="B117" s="0" t="s">
        <v>91</v>
      </c>
      <c r="C117" s="40" t="n">
        <f aca="false">Thesis!$S$117</f>
        <v>26.578941154416</v>
      </c>
      <c r="D117" s="40" t="n">
        <f aca="false">Thesis!$T$117</f>
        <v>94.4165581367978</v>
      </c>
      <c r="G117" s="40" t="n">
        <f aca="false">Thesis!$U$117</f>
        <v>235.8117963687</v>
      </c>
      <c r="H117" s="40" t="n">
        <f aca="false">Thesis!$V$117</f>
        <v>386.596719724049</v>
      </c>
      <c r="I117" s="40" t="n">
        <f aca="false">Thesis!$W$117</f>
        <v>512.865914312267</v>
      </c>
      <c r="J117" s="40" t="n">
        <f aca="false">Thesis!$X$117</f>
        <v>618.432989306704</v>
      </c>
      <c r="K117" s="40" t="n">
        <f aca="false">Thesis!$Y$117</f>
        <v>649.005450366591</v>
      </c>
      <c r="L117" s="40" t="n">
        <f aca="false">Thesis!$Z$117</f>
        <v>638.142837570725</v>
      </c>
      <c r="M117" s="40" t="n">
        <f aca="false">Thesis!$AA$117</f>
        <v>616.659249456908</v>
      </c>
      <c r="R117" s="40" t="n">
        <f aca="false">SUM(Thesis!$R$101:$R$101)-SUM(Thesis!$R$116:$R$116)</f>
        <v>1.50429979529945</v>
      </c>
      <c r="S117" s="40" t="n">
        <f aca="false">SUM(Thesis!$R$101:$S$101)-SUM(Thesis!$R$116:$S$116)</f>
        <v>26.578941154416</v>
      </c>
      <c r="T117" s="40" t="n">
        <f aca="false">SUM(Thesis!$R$101:$T$101)-SUM(Thesis!$R$116:$T$116)</f>
        <v>94.4165581367978</v>
      </c>
      <c r="U117" s="40" t="n">
        <f aca="false">SUM(Thesis!$R$101:$U$101)-SUM(Thesis!$R$116:$U$116)</f>
        <v>235.8117963687</v>
      </c>
      <c r="V117" s="40" t="n">
        <f aca="false">SUM(Thesis!$R$101:$V$101)-SUM(Thesis!$R$116:$V$116)</f>
        <v>386.596719724049</v>
      </c>
      <c r="W117" s="40" t="n">
        <f aca="false">SUM(Thesis!$R$101:$W$101)-SUM(Thesis!$R$116:$W$116)</f>
        <v>512.865914312267</v>
      </c>
      <c r="X117" s="40" t="n">
        <f aca="false">SUM(Thesis!$R$101:$X$101)-SUM(Thesis!$R$116:$X$116)</f>
        <v>618.432989306704</v>
      </c>
      <c r="Y117" s="40" t="n">
        <f aca="false">SUM(Thesis!$R$101:$Y$101)-SUM(Thesis!$R$116:$Y$116)</f>
        <v>649.005450366591</v>
      </c>
      <c r="Z117" s="40" t="n">
        <f aca="false">SUM(Thesis!$R$101:$Z$101)-SUM(Thesis!$R$116:$Z$116)</f>
        <v>638.142837570725</v>
      </c>
      <c r="AA117" s="40" t="n">
        <f aca="false">SUM(Thesis!$R$101:$AA$101)-SUM(Thesis!$R$116:$AA$116)</f>
        <v>616.659249456908</v>
      </c>
    </row>
    <row r="118" customFormat="false" ht="17.15" hidden="false" customHeight="false" outlineLevel="0" collapsed="false">
      <c r="A118" s="1" t="s">
        <v>700</v>
      </c>
    </row>
    <row r="119" customFormat="false" ht="17.15" hidden="false" customHeight="false" outlineLevel="0" collapsed="false">
      <c r="A119" s="0" t="s">
        <v>701</v>
      </c>
      <c r="B119" s="0" t="s">
        <v>91</v>
      </c>
      <c r="C119" s="40" t="n">
        <f aca="false">Thesis!$C$92-ext_sh*Thesis!$C$94</f>
        <v>1.80694998843362</v>
      </c>
      <c r="D119" s="40" t="n">
        <f aca="false">Thesis!$D$92-ext_sh*Thesis!$D$94</f>
        <v>6.77606245662607</v>
      </c>
      <c r="E119" s="40" t="n">
        <f aca="false">Thesis!$E$92-ext_sh*Thesis!$E$94</f>
        <v>12.6125815032506</v>
      </c>
      <c r="F119" s="40" t="n">
        <f aca="false">Thesis!$F$92-ext_sh*Thesis!$F$94</f>
        <v>6.20863482592031</v>
      </c>
      <c r="G119" s="40" t="n">
        <f aca="false">Thesis!$G$92-ext_sh*Thesis!$G$94</f>
        <v>18.8212163291709</v>
      </c>
      <c r="H119" s="40" t="n">
        <f aca="false">Thesis!$H$92-ext_sh*Thesis!$H$94</f>
        <v>40.8938289164795</v>
      </c>
      <c r="I119" s="40" t="n">
        <f aca="false">Thesis!$I$92-ext_sh*Thesis!$I$94</f>
        <v>67.3574717921051</v>
      </c>
      <c r="J119" s="40" t="n">
        <f aca="false">Thesis!$J$92-ext_sh*Thesis!$J$94</f>
        <v>93.9968356951931</v>
      </c>
      <c r="K119" s="40" t="n">
        <f aca="false">Thesis!$K$92-ext_sh*Thesis!$K$94</f>
        <v>116.712462102431</v>
      </c>
      <c r="L119" s="40" t="n">
        <f aca="false">Thesis!$L$92-ext_sh*Thesis!$L$94</f>
        <v>131.633525918354</v>
      </c>
      <c r="M119" s="40" t="n">
        <f aca="false">Thesis!$M$92-ext_sh*Thesis!$M$94</f>
        <v>138.73142855592</v>
      </c>
      <c r="N119" s="40" t="n">
        <f aca="false">Thesis!$N$92-ext_sh*Thesis!$N$94</f>
        <v>4.31973981609912</v>
      </c>
      <c r="O119" s="40" t="n">
        <f aca="false">Thesis!$O$92-ext_sh*Thesis!$O$94</f>
        <v>2.45632264052695</v>
      </c>
    </row>
    <row r="120" customFormat="false" ht="17.15" hidden="false" customHeight="false" outlineLevel="0" collapsed="false">
      <c r="A120" s="1" t="s">
        <v>702</v>
      </c>
      <c r="B120" s="8" t="s">
        <v>91</v>
      </c>
      <c r="C120" s="40" t="n">
        <f aca="false">Thesis!$C$119-ext_sh*Thesis!$C$116</f>
        <v>1.64417882953695</v>
      </c>
      <c r="D120" s="40" t="n">
        <f aca="false">Thesis!$D$119-ext_sh*Thesis!$D$116</f>
        <v>5.39125073772939</v>
      </c>
      <c r="E120" s="40" t="n">
        <f aca="false">Thesis!$E$119-ext_sh*Thesis!$E$116</f>
        <v>6.31472337585987</v>
      </c>
      <c r="F120" s="40" t="n">
        <f aca="false">Thesis!$F$119-ext_sh*Thesis!$F$116</f>
        <v>4.10934878345675</v>
      </c>
      <c r="G120" s="40" t="n">
        <f aca="false">Thesis!$G$119-ext_sh*Thesis!$G$116</f>
        <v>10.4240721593166</v>
      </c>
      <c r="H120" s="40" t="n">
        <f aca="false">Thesis!$H$119-ext_sh*Thesis!$H$116</f>
        <v>19.7250369300105</v>
      </c>
      <c r="I120" s="40" t="n">
        <f aca="false">Thesis!$I$119-ext_sh*Thesis!$I$116</f>
        <v>21.5092690221314</v>
      </c>
      <c r="J120" s="40" t="n">
        <f aca="false">Thesis!$J$119-ext_sh*Thesis!$J$116</f>
        <v>28.1518737317948</v>
      </c>
      <c r="K120" s="40" t="n">
        <f aca="false">Thesis!$K$119-ext_sh*Thesis!$K$116</f>
        <v>30.4448005979007</v>
      </c>
      <c r="L120" s="40" t="n">
        <f aca="false">Thesis!$L$119-ext_sh*Thesis!$L$116</f>
        <v>31.1804158253273</v>
      </c>
      <c r="M120" s="40" t="n">
        <f aca="false">Thesis!$M$119-ext_sh*Thesis!$M$116</f>
        <v>31.1551922139669</v>
      </c>
      <c r="N120" s="40" t="n">
        <f aca="false">Thesis!$N$119-ext_sh*Thesis!$N$116</f>
        <v>3.28113102692661</v>
      </c>
      <c r="O120" s="40" t="n">
        <f aca="false">Thesis!$O$119-ext_sh*Thesis!$O$116</f>
        <v>2.11011971080278</v>
      </c>
    </row>
    <row r="121" customFormat="false" ht="17.15" hidden="false" customHeight="false" outlineLevel="0" collapsed="false">
      <c r="A121" s="0" t="s">
        <v>703</v>
      </c>
      <c r="B121" s="0" t="s">
        <v>56</v>
      </c>
      <c r="C121" s="13" t="n">
        <f aca="false">Thesis!$C$120/Thesis!$C$92</f>
        <v>0.708390794789371</v>
      </c>
      <c r="D121" s="13" t="n">
        <f aca="false">Thesis!$D$120/Thesis!$D$92</f>
        <v>0.619415573115729</v>
      </c>
      <c r="E121" s="13" t="n">
        <f aca="false">Thesis!$E$120/Thesis!$E$92</f>
        <v>0.38978070304412</v>
      </c>
      <c r="F121" s="13" t="n">
        <f aca="false">Thesis!$F$120/Thesis!$F$92</f>
        <v>0.50628431549212</v>
      </c>
      <c r="G121" s="13" t="n">
        <f aca="false">Thesis!$G$120/Thesis!$G$92</f>
        <v>0.428667391576314</v>
      </c>
      <c r="H121" s="13" t="n">
        <f aca="false">Thesis!$H$120/Thesis!$H$92</f>
        <v>0.366016632801413</v>
      </c>
      <c r="I121" s="13" t="n">
        <f aca="false">Thesis!$I$120/Thesis!$I$92</f>
        <v>0.241653104124671</v>
      </c>
      <c r="J121" s="13" t="n">
        <f aca="false">Thesis!$J$120/Thesis!$J$92</f>
        <v>0.22644984395706</v>
      </c>
      <c r="K121" s="13" t="n">
        <f aca="false">Thesis!$K$120/Thesis!$K$92</f>
        <v>0.197139835190888</v>
      </c>
      <c r="L121" s="13" t="n">
        <f aca="false">Thesis!$L$120/Thesis!$L$92</f>
        <v>0.178977963455777</v>
      </c>
      <c r="M121" s="13" t="n">
        <f aca="false">Thesis!$M$120/Thesis!$M$92</f>
        <v>0.169662167079751</v>
      </c>
      <c r="N121" s="13" t="n">
        <f aca="false">Thesis!$N$120/Thesis!$N$92</f>
        <v>0.591338253041814</v>
      </c>
      <c r="O121" s="13" t="n">
        <f aca="false">Thesis!$O$120/Thesis!$O$92</f>
        <v>0.668792929107785</v>
      </c>
    </row>
    <row r="122" customFormat="false" ht="17.15" hidden="false" customHeight="false" outlineLevel="0" collapsed="false">
      <c r="A122" s="5" t="s">
        <v>704</v>
      </c>
      <c r="B122" s="0" t="s">
        <v>91</v>
      </c>
      <c r="C122" s="41" t="n">
        <v>0</v>
      </c>
      <c r="D122" s="41" t="n">
        <v>0</v>
      </c>
      <c r="E122" s="41" t="n">
        <v>0</v>
      </c>
      <c r="F122" s="40" t="n">
        <f aca="false">IF(internal_ai_reading=2,1,0)*(1-ext_sh)/ext_sh*(mw_open*he_open+Thesis!$F$90*Thesis!$F$87)*Thesis!$F$76/1000</f>
        <v>2.04563992978455</v>
      </c>
      <c r="G122" s="40" t="n">
        <f aca="false">Thesis!$E$122+Thesis!$F$122</f>
        <v>2.04563992978455</v>
      </c>
      <c r="H122" s="40" t="n">
        <f aca="false">IF(internal_ai_reading=2,1,0)*(1-ext_sh)/ext_sh*(mw_open*he_open+Thesis!$H$90*Thesis!$H$87)*Thesis!$H$76/1000</f>
        <v>13.5821231954161</v>
      </c>
      <c r="I122" s="40" t="n">
        <f aca="false">IF(internal_ai_reading=2,1,0)*(1-ext_sh)/ext_sh*(mw_open*he_open+Thesis!$I$90*Thesis!$I$87)*Thesis!$I$76/1000</f>
        <v>22.4328232759346</v>
      </c>
      <c r="J122" s="40" t="n">
        <f aca="false">IF(internal_ai_reading=2,1,0)*(1-ext_sh)/ext_sh*(mw_open*he_open+Thesis!$J$90*Thesis!$J$87)*Thesis!$J$76/1000</f>
        <v>31.3318430178186</v>
      </c>
      <c r="K122" s="40" t="n">
        <f aca="false">IF(internal_ai_reading=2,1,0)*(1-ext_sh)/ext_sh*(mw_open*he_open+Thesis!$K$90*Thesis!$K$87)*Thesis!$K$76/1000</f>
        <v>38.9214854198582</v>
      </c>
      <c r="L122" s="40" t="n">
        <f aca="false">IF(internal_ai_reading=2,1,0)*(1-ext_sh)/ext_sh*(mw_open*he_open+Thesis!$L$90*Thesis!$L$87)*Thesis!$L$76/1000</f>
        <v>43.9069229619177</v>
      </c>
      <c r="M122" s="40" t="n">
        <f aca="false">IF(internal_ai_reading=2,1,0)*(1-ext_sh)/ext_sh*(mw_open*he_open+Thesis!$M$90*Thesis!$M$87)*Thesis!$M$76/1000</f>
        <v>46.2802916219089</v>
      </c>
      <c r="N122" s="41" t="n">
        <v>0</v>
      </c>
      <c r="O122" s="41" t="n">
        <v>0</v>
      </c>
      <c r="P122" s="8" t="s">
        <v>705</v>
      </c>
    </row>
    <row r="123" customFormat="false" ht="17.15" hidden="false" customHeight="false" outlineLevel="0" collapsed="false">
      <c r="A123" s="5" t="s">
        <v>706</v>
      </c>
      <c r="B123" s="0" t="s">
        <v>91</v>
      </c>
      <c r="C123" s="40" t="n">
        <f aca="false">(1-ext_sh)*(Thesis!$C$94+Thesis!$C$116)</f>
        <v>0.169206631859174</v>
      </c>
      <c r="D123" s="40" t="n">
        <f aca="false">(1-ext_sh)*(Thesis!$D$94+Thesis!$D$116)</f>
        <v>0.828129837730442</v>
      </c>
      <c r="E123" s="40" t="n">
        <f aca="false">(1-ext_sh)*(Thesis!$E$94+Thesis!$E$116)</f>
        <v>2.47149617002198</v>
      </c>
      <c r="F123" s="40" t="n">
        <f aca="false">(1-ext_sh)*(Thesis!$F$94+Thesis!$F$116)</f>
        <v>1.0018333006889</v>
      </c>
      <c r="G123" s="40" t="n">
        <f aca="false">(1-ext_sh)*(Thesis!$G$94+Thesis!$G$116)</f>
        <v>3.47332947071088</v>
      </c>
      <c r="H123" s="40" t="n">
        <f aca="false">(1-ext_sh)*(Thesis!$H$94+Thesis!$H$116)</f>
        <v>8.54151438097997</v>
      </c>
      <c r="I123" s="40" t="n">
        <f aca="false">(1-ext_sh)*(Thesis!$I$94+Thesis!$I$116)</f>
        <v>16.8748995120144</v>
      </c>
      <c r="J123" s="40" t="n">
        <f aca="false">(1-ext_sh)*(Thesis!$J$94+Thesis!$J$116)</f>
        <v>24.041622128762</v>
      </c>
      <c r="K123" s="40" t="n">
        <f aca="false">(1-ext_sh)*(Thesis!$K$94+Thesis!$K$116)</f>
        <v>30.9969286546569</v>
      </c>
      <c r="L123" s="40" t="n">
        <f aca="false">(1-ext_sh)*(Thesis!$L$94+Thesis!$L$116)</f>
        <v>35.758324665946</v>
      </c>
      <c r="M123" s="40" t="n">
        <f aca="false">(1-ext_sh)*(Thesis!$M$94+Thesis!$M$116)</f>
        <v>38.1188912537568</v>
      </c>
      <c r="N123" s="40" t="n">
        <f aca="false">(1-ext_sh)*(Thesis!$N$94+Thesis!$N$116)</f>
        <v>0.566880601147126</v>
      </c>
      <c r="O123" s="40" t="n">
        <f aca="false">(1-ext_sh)*(Thesis!$O$94+Thesis!$O$116)</f>
        <v>0.261249236583316</v>
      </c>
    </row>
    <row r="124" customFormat="false" ht="17.15" hidden="false" customHeight="false" outlineLevel="0" collapsed="false">
      <c r="A124" s="0" t="s">
        <v>707</v>
      </c>
      <c r="B124" s="0" t="s">
        <v>91</v>
      </c>
      <c r="C124" s="40" t="n">
        <f aca="false">Q!$D$25</f>
        <v>39.834</v>
      </c>
      <c r="D124" s="40" t="n">
        <f aca="false">Q!$E$25</f>
        <v>45.606</v>
      </c>
      <c r="E124" s="40" t="n">
        <f aca="false">Q!$O$25</f>
        <v>48.555</v>
      </c>
      <c r="N124" s="40" t="n">
        <f aca="false">Q!$N$25</f>
        <v>33.141</v>
      </c>
      <c r="O124" s="40" t="n">
        <f aca="false">Q!$J$25</f>
        <v>12.465</v>
      </c>
    </row>
    <row r="125" customFormat="false" ht="17.15" hidden="false" customHeight="false" outlineLevel="0" collapsed="false">
      <c r="A125" s="0" t="s">
        <v>708</v>
      </c>
      <c r="B125" s="0" t="s">
        <v>91</v>
      </c>
      <c r="C125" s="40" t="n">
        <f aca="false">Thesis!$C$124-Thesis!$C$120</f>
        <v>38.1898211704631</v>
      </c>
      <c r="D125" s="40" t="n">
        <f aca="false">Thesis!$D$124-Thesis!$D$120</f>
        <v>40.2147492622706</v>
      </c>
      <c r="E125" s="40" t="n">
        <f aca="false">Thesis!$E$124-Thesis!$E$120</f>
        <v>42.2402766241401</v>
      </c>
      <c r="F125" s="40" t="n">
        <f aca="false">Thesis!$F$96*Thesis!$F$126</f>
        <v>13.6943139813566</v>
      </c>
      <c r="G125" s="40" t="n">
        <f aca="false">Thesis!$E$125+Thesis!$F$125</f>
        <v>55.9345906054967</v>
      </c>
      <c r="H125" s="40" t="n">
        <f aca="false">Thesis!$H$96*Thesis!$H$126</f>
        <v>61.088168450178</v>
      </c>
      <c r="I125" s="40" t="n">
        <f aca="false">Thesis!$I$96*Thesis!$I$126</f>
        <v>67.8233475699772</v>
      </c>
      <c r="J125" s="40" t="n">
        <f aca="false">Thesis!$J$96*Thesis!$J$126</f>
        <v>74.2751592782286</v>
      </c>
      <c r="K125" s="40" t="n">
        <f aca="false">Thesis!$K$96*Thesis!$K$126</f>
        <v>80.2171720204868</v>
      </c>
      <c r="L125" s="40" t="n">
        <f aca="false">Thesis!$L$96*Thesis!$L$126</f>
        <v>86.6345457821258</v>
      </c>
      <c r="M125" s="40" t="n">
        <f aca="false">Thesis!$M$96*Thesis!$M$126</f>
        <v>93.5653094446959</v>
      </c>
      <c r="N125" s="40" t="n">
        <f aca="false">Thesis!$N$124-Thesis!$N$120</f>
        <v>29.8598689730734</v>
      </c>
      <c r="O125" s="40" t="n">
        <f aca="false">Thesis!$O$124-Thesis!$O$120</f>
        <v>10.3548802891972</v>
      </c>
      <c r="P125" s="5" t="s">
        <v>709</v>
      </c>
    </row>
    <row r="126" customFormat="false" ht="17.15" hidden="false" customHeight="false" outlineLevel="0" collapsed="false">
      <c r="A126" s="0" t="s">
        <v>710</v>
      </c>
      <c r="B126" s="0" t="s">
        <v>56</v>
      </c>
      <c r="C126" s="13" t="n">
        <f aca="false">Thesis!$C$125/Thesis!$C$96</f>
        <v>0.362900395443635</v>
      </c>
      <c r="D126" s="13" t="n">
        <f aca="false">Thesis!$D$125/Thesis!$D$96</f>
        <v>0.335063632425483</v>
      </c>
      <c r="E126" s="13" t="n">
        <f aca="false">Thesis!$E$125/Thesis!$E$96</f>
        <v>0.385395924436527</v>
      </c>
      <c r="F126" s="13" t="n">
        <f aca="false">(Thesis!$O$125+Thesis!$E$125)/(Thesis!$O$96+Thesis!$E$96)</f>
        <v>0.37032016673748</v>
      </c>
      <c r="G126" s="13" t="n">
        <f aca="false">Thesis!$G$125/Thesis!$G$96</f>
        <v>0.381592615841289</v>
      </c>
      <c r="H126" s="13" t="n">
        <f aca="false">Thesis!$F$126</f>
        <v>0.37032016673748</v>
      </c>
      <c r="I126" s="13" t="n">
        <f aca="false">Thesis!$F$126</f>
        <v>0.37032016673748</v>
      </c>
      <c r="J126" s="13" t="n">
        <f aca="false">Thesis!$F$126</f>
        <v>0.37032016673748</v>
      </c>
      <c r="K126" s="13" t="n">
        <f aca="false">Thesis!$F$126</f>
        <v>0.37032016673748</v>
      </c>
      <c r="L126" s="13" t="n">
        <f aca="false">Thesis!$F$126</f>
        <v>0.37032016673748</v>
      </c>
      <c r="M126" s="13" t="n">
        <f aca="false">Thesis!$F$126</f>
        <v>0.37032016673748</v>
      </c>
      <c r="N126" s="13" t="n">
        <f aca="false">Thesis!$N$125/Thesis!$N$96</f>
        <v>0.340876409421015</v>
      </c>
      <c r="O126" s="13" t="n">
        <f aca="false">Thesis!$O$125/Thesis!$O$96</f>
        <v>0.319359657808422</v>
      </c>
      <c r="P126" s="8" t="s">
        <v>711</v>
      </c>
    </row>
    <row r="127" customFormat="false" ht="17.15" hidden="false" customHeight="false" outlineLevel="0" collapsed="false">
      <c r="A127" s="0" t="s">
        <v>712</v>
      </c>
      <c r="B127" s="0" t="s">
        <v>56</v>
      </c>
      <c r="D127" s="13" t="n">
        <f aca="false">(Q!$E$33-ext_sh*Thesis!$D$116)/Thesis!$D$96</f>
        <v>0.167180325480118</v>
      </c>
    </row>
    <row r="128" customFormat="false" ht="17.15" hidden="false" customHeight="false" outlineLevel="0" collapsed="false">
      <c r="A128" s="0" t="s">
        <v>713</v>
      </c>
      <c r="B128" s="0" t="s">
        <v>91</v>
      </c>
      <c r="C128" s="40" t="n">
        <f aca="false">Q!$D$33</f>
        <v>13.32</v>
      </c>
      <c r="D128" s="40" t="n">
        <f aca="false">Q!$E$33</f>
        <v>21.45</v>
      </c>
      <c r="E128" s="40" t="n">
        <f aca="false">Q!$O$33</f>
        <v>23.8172847708625</v>
      </c>
      <c r="F128" s="40" t="n">
        <f aca="false">ext_sh*Thesis!$F$116+Thesis!$D$127*Thesis!$F$96</f>
        <v>8.28155769350516</v>
      </c>
      <c r="G128" s="40" t="n">
        <f aca="false">Thesis!$E$128+Thesis!$F$128</f>
        <v>32.0988424643677</v>
      </c>
      <c r="H128" s="40" t="n">
        <f aca="false">ext_sh*Thesis!$H$116+Thesis!$D$127*Thesis!$H$96</f>
        <v>48.7469278856268</v>
      </c>
      <c r="I128" s="40" t="n">
        <f aca="false">ext_sh*Thesis!$I$116+Thesis!$D$127*Thesis!$I$96</f>
        <v>76.4669223006817</v>
      </c>
      <c r="J128" s="40" t="n">
        <f aca="false">ext_sh*Thesis!$J$116+Thesis!$D$127*Thesis!$J$96</f>
        <v>99.3763394539051</v>
      </c>
      <c r="K128" s="40" t="n">
        <f aca="false">ext_sh*Thesis!$K$116+Thesis!$D$127*Thesis!$K$96</f>
        <v>122.481549194278</v>
      </c>
      <c r="L128" s="40" t="n">
        <f aca="false">ext_sh*Thesis!$L$116+Thesis!$D$127*Thesis!$L$96</f>
        <v>139.564108797953</v>
      </c>
      <c r="M128" s="40" t="n">
        <f aca="false">ext_sh*Thesis!$M$116+Thesis!$D$127*Thesis!$M$96</f>
        <v>149.816114943274</v>
      </c>
      <c r="N128" s="40" t="n">
        <f aca="false">Q!$N$33</f>
        <v>14.882</v>
      </c>
      <c r="O128" s="40" t="n">
        <f aca="false">Q!$J$33</f>
        <v>6.568</v>
      </c>
    </row>
    <row r="129" customFormat="false" ht="17.15" hidden="false" customHeight="false" outlineLevel="0" collapsed="false">
      <c r="A129" s="1" t="s">
        <v>714</v>
      </c>
    </row>
    <row r="130" customFormat="false" ht="17.15" hidden="false" customHeight="false" outlineLevel="0" collapsed="false">
      <c r="A130" s="15" t="s">
        <v>715</v>
      </c>
      <c r="B130" s="14" t="s">
        <v>56</v>
      </c>
      <c r="C130" s="14"/>
      <c r="D130" s="14"/>
      <c r="E130" s="14"/>
      <c r="F130" s="14"/>
      <c r="G130" s="17" t="n">
        <f aca="false">Thesis!$G$120*(1-tax)/(ext_sh*(Thesis!$D$117+Thesis!$G$117)/2)</f>
        <v>0.0652171021245149</v>
      </c>
      <c r="H130" s="17" t="n">
        <f aca="false">Thesis!$H$120*(1-tax)/(ext_sh*(Thesis!$G$117+Thesis!$H$117)/2)</f>
        <v>0.0654757900577283</v>
      </c>
      <c r="I130" s="17" t="n">
        <f aca="false">Thesis!$I$120*(1-tax)/(ext_sh*(Thesis!$H$117+Thesis!$I$117)/2)</f>
        <v>0.0494061455927104</v>
      </c>
      <c r="J130" s="17" t="n">
        <f aca="false">Thesis!$J$120*(1-tax)/(ext_sh*(Thesis!$I$117+Thesis!$J$117)/2)</f>
        <v>0.0514124604517476</v>
      </c>
      <c r="K130" s="17" t="n">
        <f aca="false">Thesis!$K$120*(1-tax)/(ext_sh*(Thesis!$J$117+Thesis!$K$117)/2)</f>
        <v>0.0496277639814365</v>
      </c>
      <c r="L130" s="17" t="n">
        <f aca="false">Thesis!$L$120*(1-tax)/(ext_sh*(Thesis!$K$117+Thesis!$L$117)/2)</f>
        <v>0.0500485809326113</v>
      </c>
      <c r="M130" s="17" t="n">
        <f aca="false">Thesis!$M$120*(1-tax)/(ext_sh*(Thesis!$L$117+Thesis!$M$117)/2)</f>
        <v>0.0512971989525217</v>
      </c>
      <c r="N130" s="14"/>
      <c r="O130" s="14"/>
      <c r="P130" s="8" t="s">
        <v>716</v>
      </c>
    </row>
    <row r="131" customFormat="false" ht="17.15" hidden="false" customHeight="false" outlineLevel="0" collapsed="false">
      <c r="A131" s="5" t="s">
        <v>717</v>
      </c>
      <c r="B131" s="0" t="s">
        <v>61</v>
      </c>
      <c r="H131" s="21" t="n">
        <f aca="false">Thesis!$H$92*1000/(mw_open*he_open+Thesis!$H$90*Thesis!$H$87)</f>
        <v>0.991949006767191</v>
      </c>
      <c r="I131" s="21" t="n">
        <f aca="false">Thesis!$I$92*1000/(mw_open*he_open+Thesis!$I$90*Thesis!$I$87)</f>
        <v>0.991949006767191</v>
      </c>
      <c r="J131" s="21" t="n">
        <f aca="false">Thesis!$J$92*1000/(mw_open*he_open+Thesis!$J$90*Thesis!$J$87)</f>
        <v>0.991949006767192</v>
      </c>
      <c r="K131" s="21" t="n">
        <f aca="false">Thesis!$K$92*1000/(mw_open*he_open+Thesis!$K$90*Thesis!$K$87)</f>
        <v>0.991949006767191</v>
      </c>
      <c r="L131" s="21" t="n">
        <f aca="false">Thesis!$L$92*1000/(mw_open*he_open+Thesis!$L$90*Thesis!$L$87)</f>
        <v>0.991949006767191</v>
      </c>
      <c r="M131" s="21" t="n">
        <f aca="false">Thesis!$M$92*1000/(mw_open*he_open+Thesis!$M$90*Thesis!$M$87)</f>
        <v>0.991949006767191</v>
      </c>
    </row>
    <row r="132" customFormat="false" ht="17.15" hidden="false" customHeight="false" outlineLevel="0" collapsed="false">
      <c r="A132" s="5" t="s">
        <v>718</v>
      </c>
      <c r="B132" s="0" t="s">
        <v>61</v>
      </c>
      <c r="H132" s="21" t="n">
        <f aca="false">Thesis!$H$131*(Thesis!$H$92+wacc*ext_sh*(Thesis!$G$117+Thesis!$H$117)/2/(1-tax)-Thesis!$H$120)/Thesis!$H$92</f>
        <v>1.2495603691001</v>
      </c>
      <c r="I132" s="21" t="n">
        <f aca="false">Thesis!$I$131*(Thesis!$I$92+wacc*ext_sh*(Thesis!$H$117+Thesis!$I$117)/2/(1-tax)-Thesis!$I$120)/Thesis!$I$92</f>
        <v>1.29531658657202</v>
      </c>
      <c r="J132" s="21" t="n">
        <f aca="false">Thesis!$J$131*(Thesis!$J$92+wacc*ext_sh*(Thesis!$I$117+Thesis!$J$117)/2/(1-tax)-Thesis!$J$120)/Thesis!$J$92</f>
        <v>1.25637105868111</v>
      </c>
      <c r="K132" s="21" t="n">
        <f aca="false">Thesis!$K$131*(Thesis!$K$92+wacc*ext_sh*(Thesis!$J$117+Thesis!$K$117)/2/(1-tax)-Thesis!$K$120)/Thesis!$K$92</f>
        <v>1.23745687469817</v>
      </c>
      <c r="L132" s="21" t="n">
        <f aca="false">Thesis!$L$131*(Thesis!$L$92+wacc*ext_sh*(Thesis!$K$117+Thesis!$L$117)/2/(1-tax)-Thesis!$L$120)/Thesis!$L$92</f>
        <v>1.21147215032837</v>
      </c>
      <c r="M132" s="21" t="n">
        <f aca="false">Thesis!$M$131*(Thesis!$M$92+wacc*ext_sh*(Thesis!$L$117+Thesis!$M$117)/2/(1-tax)-Thesis!$M$120)/Thesis!$M$92</f>
        <v>1.19088424428048</v>
      </c>
    </row>
    <row r="133" customFormat="false" ht="17.15" hidden="false" customHeight="false" outlineLevel="0" collapsed="false">
      <c r="A133" s="5" t="s">
        <v>719</v>
      </c>
      <c r="B133" s="0" t="s">
        <v>56</v>
      </c>
      <c r="C133" s="13" t="n">
        <f aca="false">Thesis!$C$93/tk_pq</f>
        <v>0.195316432429398</v>
      </c>
      <c r="D133" s="13" t="n">
        <f aca="false">Thesis!$D$93/tk_pq</f>
        <v>0.195316432429398</v>
      </c>
      <c r="E133" s="13" t="n">
        <f aca="false">Thesis!$E$93/tk_pq</f>
        <v>0.195316432429398</v>
      </c>
      <c r="F133" s="13" t="n">
        <f aca="false">Thesis!$F$93/tk_pq</f>
        <v>0.187301153238265</v>
      </c>
      <c r="G133" s="13" t="n">
        <f aca="false">Thesis!$G$93/tk_pq</f>
        <v>0.192565885096211</v>
      </c>
      <c r="H133" s="13" t="n">
        <f aca="false">Thesis!$H$93/tk_pq</f>
        <v>0.185453133552356</v>
      </c>
      <c r="I133" s="13" t="n">
        <f aca="false">Thesis!$I$93/tk_pq</f>
        <v>0.186135387468757</v>
      </c>
      <c r="J133" s="13" t="n">
        <f aca="false">Thesis!$J$93/tk_pq</f>
        <v>0.1867211211284</v>
      </c>
      <c r="K133" s="13" t="n">
        <f aca="false">Thesis!$K$93/tk_pq</f>
        <v>0.186980005320998</v>
      </c>
      <c r="L133" s="13" t="n">
        <f aca="false">Thesis!$L$93/tk_pq</f>
        <v>0.18710004230224</v>
      </c>
      <c r="M133" s="13" t="n">
        <f aca="false">Thesis!$M$93/tk_pq</f>
        <v>0.187114245976183</v>
      </c>
      <c r="N133" s="13" t="n">
        <f aca="false">Thesis!$N$93/tk_pq</f>
        <v>0.195316432429398</v>
      </c>
      <c r="O133" s="13" t="n">
        <f aca="false">Thesis!$O$93/tk_pq</f>
        <v>0.195316432429398</v>
      </c>
      <c r="P133" s="5" t="s">
        <v>720</v>
      </c>
    </row>
    <row r="136" customFormat="false" ht="19.4" hidden="false" customHeight="false" outlineLevel="0" collapsed="false">
      <c r="A136" s="35" t="s">
        <v>722</v>
      </c>
    </row>
    <row r="137" customFormat="false" ht="17.15" hidden="false" customHeight="false" outlineLevel="0" collapsed="false">
      <c r="A137" s="6" t="s">
        <v>16</v>
      </c>
      <c r="B137" s="6" t="s">
        <v>17</v>
      </c>
      <c r="C137" s="23" t="s">
        <v>542</v>
      </c>
      <c r="D137" s="23" t="s">
        <v>543</v>
      </c>
      <c r="E137" s="23" t="s">
        <v>631</v>
      </c>
      <c r="F137" s="23" t="s">
        <v>632</v>
      </c>
      <c r="G137" s="23" t="s">
        <v>633</v>
      </c>
      <c r="H137" s="23" t="s">
        <v>634</v>
      </c>
      <c r="I137" s="23" t="s">
        <v>635</v>
      </c>
      <c r="J137" s="23" t="s">
        <v>636</v>
      </c>
      <c r="K137" s="23" t="s">
        <v>637</v>
      </c>
      <c r="L137" s="23" t="s">
        <v>638</v>
      </c>
      <c r="M137" s="23" t="s">
        <v>639</v>
      </c>
      <c r="N137" s="23" t="s">
        <v>640</v>
      </c>
      <c r="O137" s="23" t="s">
        <v>641</v>
      </c>
      <c r="P137" s="6" t="s">
        <v>23</v>
      </c>
      <c r="R137" s="23" t="n">
        <v>2023</v>
      </c>
      <c r="S137" s="23" t="n">
        <v>2024</v>
      </c>
      <c r="T137" s="23" t="n">
        <v>2025</v>
      </c>
      <c r="U137" s="23" t="n">
        <v>2026</v>
      </c>
      <c r="V137" s="23" t="n">
        <v>2027</v>
      </c>
      <c r="W137" s="23" t="n">
        <v>2028</v>
      </c>
      <c r="X137" s="23" t="n">
        <v>2029</v>
      </c>
      <c r="Y137" s="23" t="n">
        <v>2030</v>
      </c>
      <c r="Z137" s="23" t="n">
        <v>2031</v>
      </c>
      <c r="AA137" s="23" t="n">
        <v>2032</v>
      </c>
    </row>
    <row r="138" customFormat="false" ht="17.15" hidden="false" customHeight="false" outlineLevel="0" collapsed="false">
      <c r="A138" s="1" t="s">
        <v>642</v>
      </c>
    </row>
    <row r="139" customFormat="false" ht="17.15" hidden="false" customHeight="false" outlineLevel="0" collapsed="false">
      <c r="A139" s="5" t="s">
        <v>643</v>
      </c>
      <c r="B139" s="0" t="s">
        <v>153</v>
      </c>
      <c r="H139" s="36" t="n">
        <f aca="false">(pace_C*pace_x)</f>
        <v>3788.9</v>
      </c>
      <c r="I139" s="36" t="n">
        <f aca="false">(pace_C*pace_x)</f>
        <v>3788.9</v>
      </c>
      <c r="J139" s="36" t="n">
        <f aca="false">(pace_C*pace_x)</f>
        <v>3788.9</v>
      </c>
      <c r="K139" s="36" t="n">
        <f aca="false">(pace_C*pace_x)+(Thesis!$J$140*tg-(pace_C*pace_x))*1/3</f>
        <v>2679.34483333333</v>
      </c>
      <c r="L139" s="36" t="n">
        <f aca="false">(pace_C*pace_x)+(Thesis!$J$140*tg-(pace_C*pace_x))*2/3</f>
        <v>1569.78966666667</v>
      </c>
      <c r="M139" s="36" t="n">
        <f aca="false">(pace_C*pace_x)+(Thesis!$J$140*tg-(pace_C*pace_x))*3/3</f>
        <v>460.2345</v>
      </c>
      <c r="P139" s="5" t="s">
        <v>644</v>
      </c>
    </row>
    <row r="140" customFormat="false" ht="17.15" hidden="false" customHeight="false" outlineLevel="0" collapsed="false">
      <c r="A140" s="15" t="s">
        <v>645</v>
      </c>
      <c r="B140" s="14" t="s">
        <v>138</v>
      </c>
      <c r="C140" s="37" t="n">
        <f aca="false">mw_ye24</f>
        <v>360</v>
      </c>
      <c r="D140" s="37" t="n">
        <f aca="false">mw_ye25</f>
        <v>1440</v>
      </c>
      <c r="E140" s="37" t="n">
        <f aca="false">mw_q3</f>
        <v>3027.225</v>
      </c>
      <c r="F140" s="37" t="n">
        <f aca="false">Thesis!$E$140+(pace_C*pace_x)*0.25</f>
        <v>3974.45</v>
      </c>
      <c r="G140" s="37" t="n">
        <f aca="false">Thesis!$F$140</f>
        <v>3974.45</v>
      </c>
      <c r="H140" s="37" t="n">
        <f aca="false">Thesis!$G$140+Thesis!$H$139</f>
        <v>7763.35</v>
      </c>
      <c r="I140" s="37" t="n">
        <f aca="false">Thesis!$H$140+Thesis!$I$139</f>
        <v>11552.25</v>
      </c>
      <c r="J140" s="37" t="n">
        <f aca="false">Thesis!$I$140+Thesis!$J$139</f>
        <v>15341.15</v>
      </c>
      <c r="K140" s="37" t="n">
        <f aca="false">Thesis!$J$140+Thesis!$K$139</f>
        <v>18020.4948333333</v>
      </c>
      <c r="L140" s="37" t="n">
        <f aca="false">Thesis!$K$140+Thesis!$L$139</f>
        <v>19590.2845</v>
      </c>
      <c r="M140" s="37" t="n">
        <f aca="false">Thesis!$L$140+Thesis!$M$139</f>
        <v>20050.519</v>
      </c>
      <c r="N140" s="37" t="n">
        <f aca="false">mw_ye24+(mw_ye25-mw_ye24)*0.75</f>
        <v>1170</v>
      </c>
      <c r="O140" s="37" t="n">
        <f aca="false">mw_ye25</f>
        <v>1440</v>
      </c>
      <c r="P140" s="5" t="s">
        <v>646</v>
      </c>
    </row>
    <row r="141" customFormat="false" ht="17.15" hidden="false" customHeight="false" outlineLevel="0" collapsed="false">
      <c r="A141" s="5" t="s">
        <v>647</v>
      </c>
      <c r="B141" s="0" t="s">
        <v>138</v>
      </c>
      <c r="C141" s="36" t="n">
        <f aca="false">(mw_ye23+mw_ye24)/2</f>
        <v>240</v>
      </c>
      <c r="D141" s="36" t="n">
        <f aca="false">(Thesis!$C$140+Thesis!$D$140)/2</f>
        <v>900</v>
      </c>
      <c r="E141" s="36" t="n">
        <f aca="false">(Thesis!$D$140+Thesis!$E$140)/2</f>
        <v>2233.6125</v>
      </c>
      <c r="F141" s="36" t="n">
        <f aca="false">(Thesis!$E$140+Thesis!$F$140)/2</f>
        <v>3500.8375</v>
      </c>
      <c r="G141" s="36" t="n">
        <f aca="false">Thesis!$E$141*0.75+Thesis!$F$141*0.25</f>
        <v>2550.41875</v>
      </c>
      <c r="H141" s="36" t="n">
        <f aca="false">(Thesis!$G$140+Thesis!$H$140)/2</f>
        <v>5868.9</v>
      </c>
      <c r="I141" s="36" t="n">
        <f aca="false">(Thesis!$H$140+Thesis!$I$140)/2</f>
        <v>9657.8</v>
      </c>
      <c r="J141" s="36" t="n">
        <f aca="false">(Thesis!$I$140+Thesis!$J$140)/2</f>
        <v>13446.7</v>
      </c>
      <c r="K141" s="36" t="n">
        <f aca="false">(Thesis!$J$140+Thesis!$K$140)/2</f>
        <v>16680.8224166667</v>
      </c>
      <c r="L141" s="36" t="n">
        <f aca="false">(Thesis!$K$140+Thesis!$L$140)/2</f>
        <v>18805.3896666667</v>
      </c>
      <c r="M141" s="36" t="n">
        <f aca="false">(Thesis!$L$140+Thesis!$M$140)/2</f>
        <v>19820.40175</v>
      </c>
      <c r="N141" s="36" t="n">
        <f aca="false">(Thesis!$C$140+Thesis!$N$140)/2</f>
        <v>765</v>
      </c>
      <c r="O141" s="36" t="n">
        <f aca="false">(Thesis!$N$140+Thesis!$O$140)/2</f>
        <v>1305</v>
      </c>
    </row>
    <row r="142" customFormat="false" ht="15" hidden="false" customHeight="false" outlineLevel="0" collapsed="false">
      <c r="A142" s="5" t="s">
        <v>648</v>
      </c>
      <c r="B142" s="5" t="s">
        <v>132</v>
      </c>
      <c r="C142" s="38" t="n">
        <v>1</v>
      </c>
      <c r="D142" s="38" t="n">
        <v>1</v>
      </c>
      <c r="E142" s="38" t="n">
        <v>0.75</v>
      </c>
      <c r="F142" s="38" t="n">
        <v>0.25</v>
      </c>
      <c r="G142" s="38" t="n">
        <v>1</v>
      </c>
      <c r="H142" s="38" t="n">
        <v>1</v>
      </c>
      <c r="I142" s="38" t="n">
        <v>1</v>
      </c>
      <c r="J142" s="38" t="n">
        <v>1</v>
      </c>
      <c r="K142" s="38" t="n">
        <v>1</v>
      </c>
      <c r="L142" s="38" t="n">
        <v>1</v>
      </c>
      <c r="M142" s="38" t="n">
        <v>1</v>
      </c>
      <c r="N142" s="38" t="n">
        <v>0.75</v>
      </c>
      <c r="O142" s="38" t="n">
        <v>0.25</v>
      </c>
    </row>
    <row r="143" customFormat="false" ht="17.15" hidden="false" customHeight="false" outlineLevel="0" collapsed="false">
      <c r="A143" s="5" t="s">
        <v>649</v>
      </c>
      <c r="B143" s="0" t="s">
        <v>138</v>
      </c>
      <c r="C143" s="36" t="n">
        <f aca="false">Thesis!$C$140-mw_ye23</f>
        <v>240</v>
      </c>
      <c r="D143" s="36" t="n">
        <f aca="false">Thesis!$D$140-Thesis!$C$140</f>
        <v>1080</v>
      </c>
      <c r="E143" s="36" t="n">
        <f aca="false">Thesis!$E$140-Thesis!$D$140</f>
        <v>1587.225</v>
      </c>
      <c r="F143" s="36" t="n">
        <f aca="false">Thesis!$F$140-Thesis!$E$140</f>
        <v>947.225</v>
      </c>
      <c r="G143" s="36" t="n">
        <f aca="false">Thesis!$E$143+Thesis!$F$143</f>
        <v>2534.45</v>
      </c>
      <c r="H143" s="36" t="n">
        <f aca="false">Thesis!$H$140-Thesis!$G$140</f>
        <v>3788.9</v>
      </c>
      <c r="I143" s="36" t="n">
        <f aca="false">Thesis!$I$140-Thesis!$H$140</f>
        <v>3788.9</v>
      </c>
      <c r="J143" s="36" t="n">
        <f aca="false">Thesis!$J$140-Thesis!$I$140</f>
        <v>3788.9</v>
      </c>
      <c r="K143" s="36" t="n">
        <f aca="false">Thesis!$K$140-Thesis!$J$140</f>
        <v>2679.34483333333</v>
      </c>
      <c r="L143" s="36" t="n">
        <f aca="false">Thesis!$L$140-Thesis!$K$140</f>
        <v>1569.78966666667</v>
      </c>
      <c r="M143" s="36" t="n">
        <f aca="false">Thesis!$M$140-Thesis!$L$140</f>
        <v>460.234499999999</v>
      </c>
      <c r="N143" s="36" t="n">
        <f aca="false">Thesis!$N$140-Thesis!$C$140</f>
        <v>810</v>
      </c>
      <c r="O143" s="36" t="n">
        <f aca="false">Thesis!$O$140-Thesis!$N$140</f>
        <v>270</v>
      </c>
    </row>
    <row r="144" customFormat="false" ht="17.15" hidden="false" customHeight="false" outlineLevel="0" collapsed="false">
      <c r="A144" s="5" t="s">
        <v>650</v>
      </c>
      <c r="B144" s="0" t="s">
        <v>138</v>
      </c>
      <c r="C144" s="36" t="n">
        <f aca="false">Thesis!$C$143/ext_sh</f>
        <v>300</v>
      </c>
      <c r="D144" s="36" t="n">
        <f aca="false">Thesis!$D$143/ext_sh</f>
        <v>1350</v>
      </c>
      <c r="E144" s="36" t="n">
        <f aca="false">Thesis!$E$143/ext_sh</f>
        <v>1984.03125</v>
      </c>
      <c r="F144" s="36" t="n">
        <f aca="false">Thesis!$F$143/ext_sh</f>
        <v>1184.03125</v>
      </c>
      <c r="G144" s="36" t="n">
        <f aca="false">Thesis!$G$143/ext_sh</f>
        <v>3168.0625</v>
      </c>
      <c r="H144" s="36" t="n">
        <f aca="false">Thesis!$H$143/ext_sh</f>
        <v>4736.125</v>
      </c>
      <c r="I144" s="36" t="n">
        <f aca="false">Thesis!$I$143/ext_sh</f>
        <v>4736.125</v>
      </c>
      <c r="J144" s="36" t="n">
        <f aca="false">Thesis!$J$143/ext_sh</f>
        <v>4736.125</v>
      </c>
      <c r="K144" s="36" t="n">
        <f aca="false">Thesis!$K$143/ext_sh</f>
        <v>3349.18104166667</v>
      </c>
      <c r="L144" s="36" t="n">
        <f aca="false">Thesis!$L$143/ext_sh</f>
        <v>1962.23708333333</v>
      </c>
      <c r="M144" s="36" t="n">
        <f aca="false">Thesis!$M$143/ext_sh</f>
        <v>575.293124999998</v>
      </c>
      <c r="N144" s="36" t="n">
        <f aca="false">Thesis!$N$143/ext_sh</f>
        <v>1012.5</v>
      </c>
      <c r="O144" s="36" t="n">
        <f aca="false">Thesis!$O$143/ext_sh</f>
        <v>337.5</v>
      </c>
      <c r="P144" s="8" t="s">
        <v>651</v>
      </c>
      <c r="R144" s="36" t="n">
        <f aca="false">mw_ye23/ext_sh</f>
        <v>150</v>
      </c>
      <c r="S144" s="36" t="n">
        <f aca="false">Thesis!$C$144</f>
        <v>300</v>
      </c>
      <c r="T144" s="36" t="n">
        <f aca="false">Thesis!$D$144</f>
        <v>1350</v>
      </c>
      <c r="U144" s="36" t="n">
        <f aca="false">Thesis!$G$144</f>
        <v>3168.0625</v>
      </c>
      <c r="V144" s="36" t="n">
        <f aca="false">Thesis!$H$144</f>
        <v>4736.125</v>
      </c>
      <c r="W144" s="36" t="n">
        <f aca="false">Thesis!$I$144</f>
        <v>4736.125</v>
      </c>
      <c r="X144" s="36" t="n">
        <f aca="false">Thesis!$J$144</f>
        <v>4736.125</v>
      </c>
      <c r="Y144" s="36" t="n">
        <f aca="false">Thesis!$K$144</f>
        <v>3349.18104166667</v>
      </c>
      <c r="Z144" s="36" t="n">
        <f aca="false">Thesis!$L$144</f>
        <v>1962.23708333333</v>
      </c>
      <c r="AA144" s="36" t="n">
        <f aca="false">Thesis!$M$144</f>
        <v>575.293124999998</v>
      </c>
    </row>
    <row r="145" customFormat="false" ht="17.15" hidden="false" customHeight="false" outlineLevel="0" collapsed="false">
      <c r="A145" s="1" t="s">
        <v>652</v>
      </c>
    </row>
    <row r="146" customFormat="false" ht="17.15" hidden="false" customHeight="false" outlineLevel="0" collapsed="false">
      <c r="A146" s="0" t="s">
        <v>653</v>
      </c>
      <c r="B146" s="0" t="s">
        <v>56</v>
      </c>
      <c r="F146" s="22" t="n">
        <f aca="false">na_vr26</f>
        <v>0</v>
      </c>
      <c r="G146" s="22" t="n">
        <f aca="false">na_vr26</f>
        <v>0</v>
      </c>
      <c r="H146" s="22" t="n">
        <f aca="false">na_vr27</f>
        <v>0.5</v>
      </c>
      <c r="I146" s="22" t="n">
        <f aca="false">na_vr28</f>
        <v>1</v>
      </c>
      <c r="J146" s="22" t="n">
        <f aca="false">na_vr28</f>
        <v>1</v>
      </c>
      <c r="K146" s="22" t="n">
        <f aca="false">na_vr28</f>
        <v>1</v>
      </c>
      <c r="L146" s="22" t="n">
        <f aca="false">na_vr28</f>
        <v>1</v>
      </c>
      <c r="M146" s="22" t="n">
        <f aca="false">na_vr28</f>
        <v>1</v>
      </c>
    </row>
    <row r="147" customFormat="false" ht="17.15" hidden="false" customHeight="false" outlineLevel="0" collapsed="false">
      <c r="A147" s="5" t="s">
        <v>654</v>
      </c>
      <c r="B147" s="0" t="s">
        <v>187</v>
      </c>
      <c r="F147" s="21" t="n">
        <f aca="false">cust_sh*tk_he_gb300*cf_chip+(1-cust_sh)*((1-Thesis!$F$146)*tk_he_gb300+Thesis!$F$146*tk_he_vr200)</f>
        <v>8.76356085669863</v>
      </c>
      <c r="G147" s="21" t="n">
        <f aca="false">cust_sh*tk_he_gb300*cf_chip+(1-cust_sh)*((1-Thesis!$G$146)*tk_he_gb300+Thesis!$G$146*tk_he_vr200)</f>
        <v>8.76356085669863</v>
      </c>
      <c r="H147" s="21" t="n">
        <f aca="false">cust_sh*tk_he_gb300*cf_chip+(1-cust_sh)*((1-Thesis!$H$146)*tk_he_gb300+Thesis!$H$146*tk_he_vr200)</f>
        <v>9.09832585731713</v>
      </c>
      <c r="I147" s="21" t="n">
        <f aca="false">cust_sh*tk_he_gb300*cf_chip+(1-cust_sh)*((1-Thesis!$I$146)*tk_he_gb300+Thesis!$I$146*tk_he_vr200)</f>
        <v>9.43309085793563</v>
      </c>
      <c r="J147" s="21" t="n">
        <f aca="false">cust_sh*tk_he_gb300*cf_chip+(1-cust_sh)*((1-Thesis!$J$146)*tk_he_gb300+Thesis!$J$146*tk_he_vr200)</f>
        <v>9.43309085793563</v>
      </c>
      <c r="K147" s="21" t="n">
        <f aca="false">cust_sh*tk_he_gb300*cf_chip+(1-cust_sh)*((1-Thesis!$K$146)*tk_he_gb300+Thesis!$K$146*tk_he_vr200)</f>
        <v>9.43309085793563</v>
      </c>
      <c r="L147" s="21" t="n">
        <f aca="false">cust_sh*tk_he_gb300*cf_chip+(1-cust_sh)*((1-Thesis!$L$146)*tk_he_gb300+Thesis!$L$146*tk_he_vr200)</f>
        <v>9.43309085793563</v>
      </c>
      <c r="M147" s="21" t="n">
        <f aca="false">cust_sh*tk_he_gb300*cf_chip+(1-cust_sh)*((1-Thesis!$M$146)*tk_he_gb300+Thesis!$M$146*tk_he_vr200)</f>
        <v>9.43309085793563</v>
      </c>
    </row>
    <row r="148" customFormat="false" ht="17.15" hidden="false" customHeight="false" outlineLevel="0" collapsed="false">
      <c r="A148" s="5" t="s">
        <v>655</v>
      </c>
      <c r="B148" s="0" t="s">
        <v>187</v>
      </c>
      <c r="F148" s="21" t="n">
        <f aca="false">cust_sh*tk_ox_gb300+(1-cust_sh)*((1-Thesis!$F$146)*tk_ox_gb300+Thesis!$F$146*tk_ox_vr200)</f>
        <v>1.98263481314457</v>
      </c>
      <c r="G148" s="21" t="n">
        <f aca="false">cust_sh*tk_ox_gb300+(1-cust_sh)*((1-Thesis!$G$146)*tk_ox_gb300+Thesis!$G$146*tk_ox_vr200)</f>
        <v>1.98263481314457</v>
      </c>
      <c r="H148" s="21" t="n">
        <f aca="false">cust_sh*tk_ox_gb300+(1-cust_sh)*((1-Thesis!$H$146)*tk_ox_gb300+Thesis!$H$146*tk_ox_vr200)</f>
        <v>2.01034999693694</v>
      </c>
      <c r="I148" s="21" t="n">
        <f aca="false">cust_sh*tk_ox_gb300+(1-cust_sh)*((1-Thesis!$I$146)*tk_ox_gb300+Thesis!$I$146*tk_ox_vr200)</f>
        <v>2.0380651807293</v>
      </c>
      <c r="J148" s="21" t="n">
        <f aca="false">cust_sh*tk_ox_gb300+(1-cust_sh)*((1-Thesis!$J$146)*tk_ox_gb300+Thesis!$J$146*tk_ox_vr200)</f>
        <v>2.0380651807293</v>
      </c>
      <c r="K148" s="21" t="n">
        <f aca="false">cust_sh*tk_ox_gb300+(1-cust_sh)*((1-Thesis!$K$146)*tk_ox_gb300+Thesis!$K$146*tk_ox_vr200)</f>
        <v>2.0380651807293</v>
      </c>
      <c r="L148" s="21" t="n">
        <f aca="false">cust_sh*tk_ox_gb300+(1-cust_sh)*((1-Thesis!$L$146)*tk_ox_gb300+Thesis!$L$146*tk_ox_vr200)</f>
        <v>2.0380651807293</v>
      </c>
      <c r="M148" s="21" t="n">
        <f aca="false">cust_sh*tk_ox_gb300+(1-cust_sh)*((1-Thesis!$M$146)*tk_ox_gb300+Thesis!$M$146*tk_ox_vr200)</f>
        <v>2.0380651807293</v>
      </c>
    </row>
    <row r="149" customFormat="false" ht="17.15" hidden="false" customHeight="false" outlineLevel="0" collapsed="false">
      <c r="A149" s="5" t="s">
        <v>656</v>
      </c>
      <c r="B149" s="0" t="s">
        <v>206</v>
      </c>
      <c r="F149" s="21" t="n">
        <f aca="false">cust_sh*tk_cx_gb300*cf_cx+(1-cust_sh)*((1-Thesis!$F$146)*tk_cx_gb300+Thesis!$F$146*tk_cx_vr200)</f>
        <v>25.95096532</v>
      </c>
      <c r="G149" s="21" t="n">
        <f aca="false">cust_sh*tk_cx_gb300*cf_cx+(1-cust_sh)*((1-Thesis!$G$146)*tk_cx_gb300+Thesis!$G$146*tk_cx_vr200)</f>
        <v>25.95096532</v>
      </c>
      <c r="H149" s="21" t="n">
        <f aca="false">cust_sh*tk_cx_gb300*cf_cx+(1-cust_sh)*((1-Thesis!$H$146)*tk_cx_gb300+Thesis!$H$146*tk_cx_vr200)</f>
        <v>27.28824732</v>
      </c>
      <c r="I149" s="21" t="n">
        <f aca="false">cust_sh*tk_cx_gb300*cf_cx+(1-cust_sh)*((1-Thesis!$I$146)*tk_cx_gb300+Thesis!$I$146*tk_cx_vr200)</f>
        <v>28.62552932</v>
      </c>
      <c r="J149" s="21" t="n">
        <f aca="false">cust_sh*tk_cx_gb300*cf_cx+(1-cust_sh)*((1-Thesis!$J$146)*tk_cx_gb300+Thesis!$J$146*tk_cx_vr200)</f>
        <v>28.62552932</v>
      </c>
      <c r="K149" s="21" t="n">
        <f aca="false">cust_sh*tk_cx_gb300*cf_cx+(1-cust_sh)*((1-Thesis!$K$146)*tk_cx_gb300+Thesis!$K$146*tk_cx_vr200)</f>
        <v>28.62552932</v>
      </c>
      <c r="L149" s="21" t="n">
        <f aca="false">cust_sh*tk_cx_gb300*cf_cx+(1-cust_sh)*((1-Thesis!$L$146)*tk_cx_gb300+Thesis!$L$146*tk_cx_vr200)</f>
        <v>28.62552932</v>
      </c>
      <c r="M149" s="21" t="n">
        <f aca="false">cust_sh*tk_cx_gb300*cf_cx+(1-cust_sh)*((1-Thesis!$M$146)*tk_cx_gb300+Thesis!$M$146*tk_cx_vr200)</f>
        <v>28.62552932</v>
      </c>
    </row>
    <row r="150" customFormat="false" ht="17.15" hidden="false" customHeight="false" outlineLevel="0" collapsed="false">
      <c r="A150" s="5" t="s">
        <v>657</v>
      </c>
      <c r="B150" s="0" t="s">
        <v>138</v>
      </c>
      <c r="E150" s="36" t="n">
        <f aca="false">Thesis!$E$140-mw_open</f>
        <v>947.225</v>
      </c>
      <c r="F150" s="36" t="n">
        <f aca="false">Thesis!$F$140-mw_open</f>
        <v>1894.45</v>
      </c>
      <c r="G150" s="36" t="n">
        <f aca="false">Thesis!$F$150</f>
        <v>1894.45</v>
      </c>
      <c r="H150" s="36" t="n">
        <f aca="false">Thesis!$H$140-mw_open</f>
        <v>5683.35</v>
      </c>
      <c r="I150" s="36" t="n">
        <f aca="false">Thesis!$I$140-mw_open</f>
        <v>9472.25</v>
      </c>
      <c r="J150" s="36" t="n">
        <f aca="false">Thesis!$J$140-mw_open</f>
        <v>13261.15</v>
      </c>
      <c r="K150" s="36" t="n">
        <f aca="false">Thesis!$K$140-mw_open</f>
        <v>15940.4948333333</v>
      </c>
      <c r="L150" s="36" t="n">
        <f aca="false">Thesis!$L$140-mw_open</f>
        <v>17510.2845</v>
      </c>
      <c r="M150" s="36" t="n">
        <f aca="false">Thesis!$M$140-mw_open</f>
        <v>17970.519</v>
      </c>
    </row>
    <row r="151" customFormat="false" ht="17.15" hidden="false" customHeight="false" outlineLevel="0" collapsed="false">
      <c r="A151" s="0" t="s">
        <v>658</v>
      </c>
      <c r="B151" s="0" t="s">
        <v>659</v>
      </c>
      <c r="E151" s="36" t="n">
        <f aca="false">Thesis!$E$150*Thesis!$F$147</f>
        <v>8301.06393248636</v>
      </c>
      <c r="F151" s="36" t="n">
        <f aca="false">Thesis!$E$151+Thesis!$F$143*Thesis!$F$147</f>
        <v>16602.1278649727</v>
      </c>
      <c r="G151" s="36" t="n">
        <f aca="false">Thesis!$F$151</f>
        <v>16602.1278649727</v>
      </c>
      <c r="H151" s="36" t="n">
        <f aca="false">Thesis!$G$151+Thesis!$H$143*Thesis!$H$147</f>
        <v>51074.7747057616</v>
      </c>
      <c r="I151" s="36" t="n">
        <f aca="false">Thesis!$H$151+Thesis!$I$143*Thesis!$I$147</f>
        <v>86815.8126573939</v>
      </c>
      <c r="J151" s="36" t="n">
        <f aca="false">Thesis!$I$151+Thesis!$J$143*Thesis!$J$147</f>
        <v>122556.850609026</v>
      </c>
      <c r="K151" s="36" t="n">
        <f aca="false">Thesis!$J$151+Thesis!$K$143*Thesis!$K$147</f>
        <v>147831.3538616</v>
      </c>
      <c r="L151" s="36" t="n">
        <f aca="false">Thesis!$K$151+Thesis!$L$143*Thesis!$L$147</f>
        <v>162639.322415115</v>
      </c>
      <c r="M151" s="36" t="n">
        <f aca="false">Thesis!$L$151+Thesis!$M$143*Thesis!$M$147</f>
        <v>166980.756269572</v>
      </c>
    </row>
    <row r="152" customFormat="false" ht="17.15" hidden="false" customHeight="false" outlineLevel="0" collapsed="false">
      <c r="A152" s="0" t="s">
        <v>660</v>
      </c>
      <c r="B152" s="0" t="s">
        <v>659</v>
      </c>
      <c r="E152" s="36" t="n">
        <f aca="false">Thesis!$E$150*Thesis!$F$148</f>
        <v>1878.00126088087</v>
      </c>
      <c r="F152" s="36" t="n">
        <f aca="false">Thesis!$E$152+Thesis!$F$143*Thesis!$F$148</f>
        <v>3756.00252176173</v>
      </c>
      <c r="G152" s="36" t="n">
        <f aca="false">Thesis!$F$152</f>
        <v>3756.00252176173</v>
      </c>
      <c r="H152" s="36" t="n">
        <f aca="false">Thesis!$G$152+Thesis!$H$143*Thesis!$H$148</f>
        <v>11373.0176251561</v>
      </c>
      <c r="I152" s="36" t="n">
        <f aca="false">Thesis!$H$152+Thesis!$I$143*Thesis!$I$148</f>
        <v>19095.0427884213</v>
      </c>
      <c r="J152" s="36" t="n">
        <f aca="false">Thesis!$I$152+Thesis!$J$143*Thesis!$J$148</f>
        <v>26817.0679516866</v>
      </c>
      <c r="K152" s="36" t="n">
        <f aca="false">Thesis!$J$152+Thesis!$K$143*Thesis!$K$148</f>
        <v>32277.7473636702</v>
      </c>
      <c r="L152" s="36" t="n">
        <f aca="false">Thesis!$K$152+Thesis!$L$143*Thesis!$L$148</f>
        <v>35477.0810243722</v>
      </c>
      <c r="M152" s="36" t="n">
        <f aca="false">Thesis!$L$152+Thesis!$M$143*Thesis!$M$148</f>
        <v>36415.0689337925</v>
      </c>
    </row>
    <row r="153" customFormat="false" ht="17.15" hidden="false" customHeight="false" outlineLevel="0" collapsed="false">
      <c r="A153" s="5" t="s">
        <v>661</v>
      </c>
      <c r="B153" s="0" t="s">
        <v>187</v>
      </c>
      <c r="F153" s="21" t="n">
        <f aca="false">IF(Thesis!$F$150&gt;0,Thesis!$F$151/Thesis!$F$150,Thesis!$F$147)</f>
        <v>8.76356085669863</v>
      </c>
      <c r="G153" s="21" t="n">
        <f aca="false">IF(Thesis!$G$150&gt;0,Thesis!$G$151/Thesis!$G$150,Thesis!$G$147)</f>
        <v>8.76356085669863</v>
      </c>
      <c r="H153" s="21" t="n">
        <f aca="false">IF(Thesis!$H$150&gt;0,Thesis!$H$151/Thesis!$H$150,Thesis!$H$147)</f>
        <v>8.98673752377763</v>
      </c>
      <c r="I153" s="21" t="n">
        <f aca="false">IF(Thesis!$I$150&gt;0,Thesis!$I$151/Thesis!$I$150,Thesis!$I$147)</f>
        <v>9.16527885744083</v>
      </c>
      <c r="J153" s="21" t="n">
        <f aca="false">IF(Thesis!$J$150&gt;0,Thesis!$J$151/Thesis!$J$150,Thesis!$J$147)</f>
        <v>9.24179657186792</v>
      </c>
      <c r="K153" s="21" t="n">
        <f aca="false">IF(Thesis!$K$150&gt;0,Thesis!$K$151/Thesis!$K$150,Thesis!$K$147)</f>
        <v>9.27395011304594</v>
      </c>
      <c r="L153" s="21" t="n">
        <f aca="false">IF(Thesis!$L$150&gt;0,Thesis!$L$151/Thesis!$L$150,Thesis!$L$147)</f>
        <v>9.28821701412762</v>
      </c>
      <c r="M153" s="21" t="n">
        <f aca="false">IF(Thesis!$M$150&gt;0,Thesis!$M$151/Thesis!$M$150,Thesis!$M$147)</f>
        <v>9.29192730992197</v>
      </c>
    </row>
    <row r="154" customFormat="false" ht="17.15" hidden="false" customHeight="false" outlineLevel="0" collapsed="false">
      <c r="A154" s="5" t="s">
        <v>662</v>
      </c>
      <c r="B154" s="0" t="s">
        <v>187</v>
      </c>
      <c r="F154" s="21" t="n">
        <f aca="false">IF(Thesis!$F$150&gt;0,Thesis!$F$152/Thesis!$F$150,Thesis!$F$148)</f>
        <v>1.98263481314457</v>
      </c>
      <c r="G154" s="21" t="n">
        <f aca="false">IF(Thesis!$G$150&gt;0,Thesis!$G$152/Thesis!$G$150,Thesis!$G$148)</f>
        <v>1.98263481314457</v>
      </c>
      <c r="H154" s="21" t="n">
        <f aca="false">IF(Thesis!$H$150&gt;0,Thesis!$H$152/Thesis!$H$150,Thesis!$H$148)</f>
        <v>2.00111160233948</v>
      </c>
      <c r="I154" s="21" t="n">
        <f aca="false">IF(Thesis!$I$150&gt;0,Thesis!$I$152/Thesis!$I$150,Thesis!$I$148)</f>
        <v>2.01589303369541</v>
      </c>
      <c r="J154" s="21" t="n">
        <f aca="false">IF(Thesis!$J$150&gt;0,Thesis!$J$152/Thesis!$J$150,Thesis!$J$148)</f>
        <v>2.02222793284795</v>
      </c>
      <c r="K154" s="21" t="n">
        <f aca="false">IF(Thesis!$K$150&gt;0,Thesis!$K$152/Thesis!$K$150,Thesis!$K$148)</f>
        <v>2.02488992350312</v>
      </c>
      <c r="L154" s="21" t="n">
        <f aca="false">IF(Thesis!$L$150&gt;0,Thesis!$L$152/Thesis!$L$150,Thesis!$L$148)</f>
        <v>2.02607107979155</v>
      </c>
      <c r="M154" s="21" t="n">
        <f aca="false">IF(Thesis!$M$150&gt;0,Thesis!$M$152/Thesis!$M$150,Thesis!$M$148)</f>
        <v>2.02637825506278</v>
      </c>
    </row>
    <row r="155" customFormat="false" ht="17.15" hidden="false" customHeight="false" outlineLevel="0" collapsed="false">
      <c r="A155" s="15" t="s">
        <v>663</v>
      </c>
      <c r="B155" s="14" t="s">
        <v>187</v>
      </c>
      <c r="C155" s="14"/>
      <c r="D155" s="14"/>
      <c r="E155" s="14"/>
      <c r="F155" s="39" t="n">
        <f aca="false">Thesis!$F$153*k_C</f>
        <v>7.22929990288593</v>
      </c>
      <c r="G155" s="39" t="n">
        <f aca="false">Thesis!$G$153*k_C</f>
        <v>7.22929990288593</v>
      </c>
      <c r="H155" s="39" t="n">
        <f aca="false">Thesis!$H$153*k_C</f>
        <v>7.41340441063375</v>
      </c>
      <c r="I155" s="39" t="n">
        <f aca="false">Thesis!$I$153*k_C</f>
        <v>7.56068801683202</v>
      </c>
      <c r="J155" s="39" t="n">
        <f aca="false">Thesis!$J$153*k_C</f>
        <v>7.62380956234556</v>
      </c>
      <c r="K155" s="39" t="n">
        <f aca="false">Thesis!$K$153*k_C</f>
        <v>7.65033389371231</v>
      </c>
      <c r="L155" s="39" t="n">
        <f aca="false">Thesis!$L$153*k_C</f>
        <v>7.66210304877276</v>
      </c>
      <c r="M155" s="39" t="n">
        <f aca="false">Thesis!$M$153*k_C</f>
        <v>7.66516377277119</v>
      </c>
      <c r="N155" s="14"/>
      <c r="O155" s="14"/>
      <c r="P155" s="8" t="s">
        <v>664</v>
      </c>
    </row>
    <row r="156" customFormat="false" ht="17.15" hidden="false" customHeight="false" outlineLevel="0" collapsed="false">
      <c r="A156" s="5" t="s">
        <v>665</v>
      </c>
      <c r="B156" s="0" t="s">
        <v>138</v>
      </c>
      <c r="F156" s="36" t="n">
        <f aca="false">(Thesis!$E$150+Thesis!$F$150)/2</f>
        <v>1420.8375</v>
      </c>
      <c r="H156" s="36" t="n">
        <f aca="false">(Thesis!$G$150+Thesis!$H$150)/2</f>
        <v>3788.9</v>
      </c>
      <c r="I156" s="36" t="n">
        <f aca="false">(Thesis!$H$150+Thesis!$I$150)/2</f>
        <v>7577.8</v>
      </c>
      <c r="J156" s="36" t="n">
        <f aca="false">(Thesis!$I$150+Thesis!$J$150)/2</f>
        <v>11366.7</v>
      </c>
      <c r="K156" s="36" t="n">
        <f aca="false">(Thesis!$J$150+Thesis!$K$150)/2</f>
        <v>14600.8224166667</v>
      </c>
      <c r="L156" s="36" t="n">
        <f aca="false">(Thesis!$K$150+Thesis!$L$150)/2</f>
        <v>16725.3896666667</v>
      </c>
      <c r="M156" s="36" t="n">
        <f aca="false">(Thesis!$L$150+Thesis!$M$150)/2</f>
        <v>17740.40175</v>
      </c>
    </row>
    <row r="157" customFormat="false" ht="17.15" hidden="false" customHeight="false" outlineLevel="0" collapsed="false">
      <c r="A157" s="1" t="s">
        <v>666</v>
      </c>
    </row>
    <row r="158" customFormat="false" ht="17.15" hidden="false" customHeight="false" outlineLevel="0" collapsed="false">
      <c r="A158" s="1" t="s">
        <v>667</v>
      </c>
      <c r="B158" s="8" t="s">
        <v>91</v>
      </c>
      <c r="C158" s="40" t="n">
        <f aca="false">Thesis!$C$141*rpm_open*Thesis!$C$142/1000</f>
        <v>2.32100535697364</v>
      </c>
      <c r="D158" s="40" t="n">
        <f aca="false">Thesis!$D$141*rpm_open*Thesis!$D$142/1000</f>
        <v>8.70377008865116</v>
      </c>
      <c r="E158" s="40" t="n">
        <f aca="false">Thesis!$E$141*rpm_open*Thesis!$E$142/1000</f>
        <v>16.2007080559478</v>
      </c>
      <c r="F158" s="40" t="n">
        <f aca="false">(mw_open*rpm_open+Thesis!$F$156*Thesis!$F$155)*Thesis!$F$142/1000</f>
        <v>7.59676004030123</v>
      </c>
      <c r="G158" s="40" t="n">
        <f aca="false">Thesis!$E$158+Thesis!$F$158</f>
        <v>23.797468096249</v>
      </c>
      <c r="H158" s="40" t="n">
        <f aca="false">(mw_open*rpm_open+Thesis!$H$156*Thesis!$H$155)/1000</f>
        <v>48.2040277318885</v>
      </c>
      <c r="I158" s="40" t="n">
        <f aca="false">(mw_open*rpm_open+Thesis!$I$156*Thesis!$I$155)/1000</f>
        <v>77.4087614143879</v>
      </c>
      <c r="J158" s="40" t="n">
        <f aca="false">(mw_open*rpm_open+Thesis!$J$156*Thesis!$J$155)/1000</f>
        <v>106.772935912751</v>
      </c>
      <c r="K158" s="40" t="n">
        <f aca="false">(mw_open*rpm_open+Thesis!$K$156*Thesis!$K$155)/1000</f>
        <v>131.816546370738</v>
      </c>
      <c r="L158" s="40" t="n">
        <f aca="false">(mw_open*rpm_open+Thesis!$L$156*Thesis!$L$155)/1000</f>
        <v>148.267038917317</v>
      </c>
      <c r="M158" s="40" t="n">
        <f aca="false">(mw_open*rpm_open+Thesis!$M$156*Thesis!$M$155)/1000</f>
        <v>156.098464568945</v>
      </c>
      <c r="N158" s="40" t="n">
        <f aca="false">Thesis!$N$141*rpm_open*Thesis!$N$142/1000</f>
        <v>5.54865343151512</v>
      </c>
      <c r="O158" s="40" t="n">
        <f aca="false">Thesis!$O$141*rpm_open*Thesis!$O$142/1000</f>
        <v>3.15511665713605</v>
      </c>
      <c r="P158" s="5" t="s">
        <v>668</v>
      </c>
    </row>
    <row r="159" customFormat="false" ht="17.15" hidden="false" customHeight="false" outlineLevel="0" collapsed="false">
      <c r="A159" s="5" t="s">
        <v>669</v>
      </c>
      <c r="B159" s="0" t="s">
        <v>187</v>
      </c>
      <c r="C159" s="21" t="n">
        <f aca="false">Thesis!$C$158*1000/(Thesis!$C$141*Thesis!$C$142)</f>
        <v>9.67085565405685</v>
      </c>
      <c r="D159" s="21" t="n">
        <f aca="false">Thesis!$D$158*1000/(Thesis!$D$141*Thesis!$D$142)</f>
        <v>9.67085565405685</v>
      </c>
      <c r="E159" s="21" t="n">
        <f aca="false">Thesis!$E$158*1000/(Thesis!$E$141*Thesis!$E$142)</f>
        <v>9.67085565405684</v>
      </c>
      <c r="F159" s="21" t="n">
        <f aca="false">Thesis!$F$158*1000/(Thesis!$F$141*Thesis!$F$142)</f>
        <v>8.67993449030551</v>
      </c>
      <c r="G159" s="21" t="n">
        <f aca="false">Thesis!$G$158*1000/(Thesis!$G$141*Thesis!$G$142)</f>
        <v>9.33080816483529</v>
      </c>
      <c r="H159" s="21" t="n">
        <f aca="false">Thesis!$H$158*1000/(Thesis!$H$141*Thesis!$H$142)</f>
        <v>8.21346891783613</v>
      </c>
      <c r="I159" s="21" t="n">
        <f aca="false">Thesis!$I$158*1000/(Thesis!$I$141*Thesis!$I$142)</f>
        <v>8.01515473652259</v>
      </c>
      <c r="J159" s="21" t="n">
        <f aca="false">Thesis!$J$158*1000/(Thesis!$J$141*Thesis!$J$142)</f>
        <v>7.94045646238493</v>
      </c>
      <c r="K159" s="21" t="n">
        <f aca="false">Thesis!$K$158*1000/(Thesis!$K$141*Thesis!$K$142)</f>
        <v>7.90228101937186</v>
      </c>
      <c r="L159" s="21" t="n">
        <f aca="false">Thesis!$L$158*1000/(Thesis!$L$141*Thesis!$L$142)</f>
        <v>7.88428432196366</v>
      </c>
      <c r="M159" s="21" t="n">
        <f aca="false">Thesis!$M$158*1000/(Thesis!$M$141*Thesis!$M$142)</f>
        <v>7.87564583896211</v>
      </c>
      <c r="N159" s="21" t="n">
        <f aca="false">Thesis!$N$158*1000/(Thesis!$N$141*Thesis!$N$142)</f>
        <v>9.67085565405685</v>
      </c>
      <c r="O159" s="21" t="n">
        <f aca="false">Thesis!$O$158*1000/(Thesis!$O$141*Thesis!$O$142)</f>
        <v>9.67085565405685</v>
      </c>
    </row>
    <row r="160" customFormat="false" ht="17.15" hidden="false" customHeight="false" outlineLevel="0" collapsed="false">
      <c r="A160" s="0" t="s">
        <v>670</v>
      </c>
      <c r="B160" s="0" t="s">
        <v>91</v>
      </c>
      <c r="C160" s="40" t="n">
        <f aca="false">Thesis!$C$141/ext_sh*(ox_open+rent_mw)*Thesis!$C$142/1000</f>
        <v>0.642569210675032</v>
      </c>
      <c r="D160" s="40" t="n">
        <f aca="false">Thesis!$D$141/ext_sh*(ox_open+rent_mw)*Thesis!$D$142/1000</f>
        <v>2.40963454003137</v>
      </c>
      <c r="E160" s="40" t="n">
        <f aca="false">Thesis!$E$141/ext_sh*(ox_open+rent_mw)*Thesis!$E$142/1000</f>
        <v>4.48515819087152</v>
      </c>
      <c r="F160" s="40" t="n">
        <f aca="false">((mw_open*ox_open+Thesis!$F$156*Thesis!$F$154)/ext_sh+Thesis!$F$141/ext_sh*rent_mw)*Thesis!$F$142/1000</f>
        <v>2.38505895036506</v>
      </c>
      <c r="G160" s="40" t="n">
        <f aca="false">Thesis!$E$160+Thesis!$F$160</f>
        <v>6.87021714123658</v>
      </c>
      <c r="H160" s="40" t="n">
        <f aca="false">((mw_open*ox_open+Thesis!$H$156*Thesis!$H$154)/ext_sh+Thesis!$H$141/ext_sh*rent_mw)*Thesis!$H$142/1000</f>
        <v>16.2465819218137</v>
      </c>
      <c r="I160" s="40" t="n">
        <f aca="false">((mw_open*ox_open+Thesis!$I$156*Thesis!$I$154)/ext_sh+Thesis!$I$141/ext_sh*rent_mw)*Thesis!$I$142/1000</f>
        <v>27.0642440976049</v>
      </c>
      <c r="J160" s="40" t="n">
        <f aca="false">((mw_open*ox_open+Thesis!$J$156*Thesis!$J$154)/ext_sh+Thesis!$J$141/ext_sh*rent_mw)*Thesis!$J$142/1000</f>
        <v>37.9019081895621</v>
      </c>
      <c r="K160" s="40" t="n">
        <f aca="false">((mw_open*ox_open+Thesis!$K$156*Thesis!$K$154)/ext_sh+Thesis!$K$141/ext_sh*rent_mw)*Thesis!$K$142/1000</f>
        <v>47.1500663926213</v>
      </c>
      <c r="L160" s="40" t="n">
        <f aca="false">((mw_open*ox_open+Thesis!$L$156*Thesis!$L$154)/ext_sh+Thesis!$L$141/ext_sh*rent_mw)*Thesis!$L$142/1000</f>
        <v>53.2252357134474</v>
      </c>
      <c r="M160" s="40" t="n">
        <f aca="false">((mw_open*ox_open+Thesis!$M$156*Thesis!$M$154)/ext_sh+Thesis!$M$141/ext_sh*rent_mw)*Thesis!$M$142/1000</f>
        <v>56.1241608413432</v>
      </c>
      <c r="N160" s="40" t="n">
        <f aca="false">Thesis!$N$141/ext_sh*(ox_open+rent_mw)*Thesis!$N$142/1000</f>
        <v>1.53614201927</v>
      </c>
      <c r="O160" s="40" t="n">
        <f aca="false">Thesis!$O$141/ext_sh*(ox_open+rent_mw)*Thesis!$O$142/1000</f>
        <v>0.873492520761372</v>
      </c>
    </row>
    <row r="161" customFormat="false" ht="17.15" hidden="false" customHeight="false" outlineLevel="0" collapsed="false">
      <c r="A161" s="0" t="s">
        <v>671</v>
      </c>
      <c r="B161" s="0" t="s">
        <v>91</v>
      </c>
      <c r="C161" s="40" t="n">
        <f aca="false">Q!$D$7</f>
        <v>107.556</v>
      </c>
      <c r="D161" s="40" t="n">
        <f aca="false">Q!$E$7</f>
        <v>128.725</v>
      </c>
      <c r="E161" s="40" t="n">
        <f aca="false">Q!$O$7</f>
        <v>125.803</v>
      </c>
      <c r="N161" s="40" t="n">
        <f aca="false">Q!$N$7</f>
        <v>93.146</v>
      </c>
      <c r="O161" s="40" t="n">
        <f aca="false">Q!$J$7</f>
        <v>35.579</v>
      </c>
    </row>
    <row r="162" customFormat="false" ht="17.15" hidden="false" customHeight="false" outlineLevel="0" collapsed="false">
      <c r="A162" s="1" t="s">
        <v>672</v>
      </c>
      <c r="B162" s="8" t="s">
        <v>91</v>
      </c>
      <c r="C162" s="40" t="n">
        <f aca="false">Thesis!$C$161-Thesis!$C$158</f>
        <v>105.234994643026</v>
      </c>
      <c r="D162" s="40" t="n">
        <f aca="false">Thesis!$D$161-Thesis!$D$158</f>
        <v>120.021229911349</v>
      </c>
      <c r="E162" s="40" t="n">
        <f aca="false">Thesis!$E$161-Thesis!$E$158</f>
        <v>109.602291944052</v>
      </c>
      <c r="F162" s="40" t="n">
        <f aca="false">Thesis!$O$162*(1+Thesis!$F$163)</f>
        <v>36.9796603355509</v>
      </c>
      <c r="G162" s="40" t="n">
        <f aca="false">Thesis!$E$162+Thesis!$F$162</f>
        <v>146.581952279603</v>
      </c>
      <c r="H162" s="40" t="n">
        <f aca="false">Thesis!$G$162*(1+Thesis!$H$163)</f>
        <v>164.960415168217</v>
      </c>
      <c r="I162" s="40" t="n">
        <f aca="false">Thesis!$H$162*(1+Thesis!$I$163)</f>
        <v>183.1478640969</v>
      </c>
      <c r="J162" s="40" t="n">
        <f aca="false">Thesis!$I$162*(1+Thesis!$J$163)</f>
        <v>200.570117292268</v>
      </c>
      <c r="K162" s="40" t="n">
        <f aca="false">Thesis!$J$162*(1+Thesis!$K$163)</f>
        <v>216.615726675649</v>
      </c>
      <c r="L162" s="40" t="n">
        <f aca="false">Thesis!$K$162*(1+Thesis!$L$163)</f>
        <v>233.944984809701</v>
      </c>
      <c r="M162" s="40" t="n">
        <f aca="false">Thesis!$L$162*(1+Thesis!$M$163)</f>
        <v>252.660583594477</v>
      </c>
      <c r="N162" s="40" t="n">
        <f aca="false">Thesis!$N$161-Thesis!$N$158</f>
        <v>87.5973465684849</v>
      </c>
      <c r="O162" s="40" t="n">
        <f aca="false">Thesis!$O$161-Thesis!$O$158</f>
        <v>32.423883342864</v>
      </c>
      <c r="P162" s="5" t="s">
        <v>673</v>
      </c>
    </row>
    <row r="163" customFormat="false" ht="17.15" hidden="false" customHeight="false" outlineLevel="0" collapsed="false">
      <c r="A163" s="0" t="s">
        <v>674</v>
      </c>
      <c r="B163" s="0" t="s">
        <v>56</v>
      </c>
      <c r="D163" s="13" t="n">
        <f aca="false">Thesis!$D$162/Thesis!$C$162-1</f>
        <v>0.140506827776062</v>
      </c>
      <c r="E163" s="13" t="n">
        <f aca="false">Thesis!$E$162/Thesis!$N$162-1</f>
        <v>0.251205615667405</v>
      </c>
      <c r="F163" s="13" t="n">
        <f aca="false">IF(awso_g0=1,Thesis!$E$163,Thesis!$D$163)</f>
        <v>0.140506827776062</v>
      </c>
      <c r="G163" s="13" t="n">
        <f aca="false">Thesis!$G$162/Thesis!$D$162-1</f>
        <v>0.221300201538284</v>
      </c>
      <c r="H163" s="13" t="n">
        <f aca="false">Thesis!$F$163+(g_awso_lt-Thesis!$F$163)*1/4</f>
        <v>0.125380120832046</v>
      </c>
      <c r="I163" s="13" t="n">
        <f aca="false">Thesis!$F$163+(g_awso_lt-Thesis!$F$163)*2/4</f>
        <v>0.110253413888031</v>
      </c>
      <c r="J163" s="13" t="n">
        <f aca="false">Thesis!$F$163+(g_awso_lt-Thesis!$F$163)*3/4</f>
        <v>0.0951267069440154</v>
      </c>
      <c r="K163" s="13" t="n">
        <f aca="false">Thesis!$F$163+(g_awso_lt-Thesis!$F$163)*4/4</f>
        <v>0.08</v>
      </c>
      <c r="L163" s="13" t="n">
        <f aca="false">g_awso_lt</f>
        <v>0.08</v>
      </c>
      <c r="M163" s="13" t="n">
        <f aca="false">g_awso_lt</f>
        <v>0.08</v>
      </c>
      <c r="P163" s="5" t="s">
        <v>675</v>
      </c>
    </row>
    <row r="164" customFormat="false" ht="17.15" hidden="false" customHeight="false" outlineLevel="0" collapsed="false">
      <c r="A164" s="1" t="s">
        <v>676</v>
      </c>
    </row>
    <row r="165" customFormat="false" ht="17.15" hidden="false" customHeight="false" outlineLevel="0" collapsed="false">
      <c r="A165" s="0" t="s">
        <v>677</v>
      </c>
      <c r="B165" s="0" t="s">
        <v>91</v>
      </c>
      <c r="F165" s="40" t="n">
        <f aca="false">cx_rt*Seg!$F$90+cx_awso*Thesis!$F$162</f>
        <v>19.116380716836</v>
      </c>
    </row>
    <row r="166" customFormat="false" ht="17.15" hidden="false" customHeight="false" outlineLevel="0" collapsed="false">
      <c r="A166" s="0" t="s">
        <v>678</v>
      </c>
      <c r="B166" s="0" t="s">
        <v>56</v>
      </c>
      <c r="C166" s="13" t="n">
        <f aca="false">tk_cx_h100/(tk_cx_h100+tk_fac*(1-colo_sh))</f>
        <v>0.730756458006641</v>
      </c>
      <c r="D166" s="13" t="n">
        <f aca="false">tk_cx_h100/(tk_cx_h100+tk_fac*(1-colo_sh))</f>
        <v>0.730756458006641</v>
      </c>
      <c r="E166" s="13" t="n">
        <f aca="false">Thesis!$F$166</f>
        <v>0.719122960046118</v>
      </c>
      <c r="F166" s="13" t="n">
        <f aca="false">Thesis!$F$149/(Thesis!$F$149+tk_fac*(1-colo_sh))</f>
        <v>0.719122960046118</v>
      </c>
      <c r="G166" s="13" t="n">
        <f aca="false">Thesis!$G$149/(Thesis!$G$149+tk_fac*(1-colo_sh))</f>
        <v>0.719122960046118</v>
      </c>
      <c r="H166" s="13" t="n">
        <f aca="false">Thesis!$H$149/(Thesis!$H$149+tk_fac*(1-colo_sh))</f>
        <v>0.729159549600796</v>
      </c>
      <c r="I166" s="13" t="n">
        <f aca="false">Thesis!$I$149/(Thesis!$I$149+tk_fac*(1-colo_sh))</f>
        <v>0.738503609691941</v>
      </c>
      <c r="J166" s="13" t="n">
        <f aca="false">Thesis!$J$149/(Thesis!$J$149+tk_fac*(1-colo_sh))</f>
        <v>0.738503609691941</v>
      </c>
      <c r="K166" s="13" t="n">
        <f aca="false">Thesis!$K$149/(Thesis!$K$149+tk_fac*(1-colo_sh))</f>
        <v>0.738503609691941</v>
      </c>
      <c r="L166" s="13" t="n">
        <f aca="false">Thesis!$L$149/(Thesis!$L$149+tk_fac*(1-colo_sh))</f>
        <v>0.738503609691941</v>
      </c>
      <c r="M166" s="13" t="n">
        <f aca="false">Thesis!$M$149/(Thesis!$M$149+tk_fac*(1-colo_sh))</f>
        <v>0.738503609691941</v>
      </c>
    </row>
    <row r="167" customFormat="false" ht="17.15" hidden="false" customHeight="false" outlineLevel="0" collapsed="false">
      <c r="A167" s="1" t="s">
        <v>679</v>
      </c>
      <c r="B167" s="8" t="s">
        <v>91</v>
      </c>
      <c r="C167" s="40" t="n">
        <f aca="false">Q!$D$48-cx_rt*Q!$D$16-cx_awso*Thesis!$C$162</f>
        <v>25.2781053077374</v>
      </c>
      <c r="D167" s="40" t="n">
        <f aca="false">Q!$E$48-cx_rt*Q!$E$16-cx_awso*Thesis!$D$162</f>
        <v>69.5686316310026</v>
      </c>
      <c r="E167" s="40" t="n">
        <f aca="false">Q!$O$48-cx_rt*Q!$O$16-cx_awso*Thesis!$E$162</f>
        <v>123.196049161056</v>
      </c>
      <c r="F167" s="40" t="n">
        <f aca="false">capex_g26-Q!$O$48-Thesis!$F$165</f>
        <v>28.695619283164</v>
      </c>
      <c r="G167" s="40" t="n">
        <f aca="false">Thesis!$E$167+Thesis!$F$167</f>
        <v>151.89166844422</v>
      </c>
      <c r="H167" s="40" t="n">
        <f aca="false">Thesis!$H$144*(Thesis!$H$149+tk_fac*(1-colo_sh))/1000+Thesis!$H$171</f>
        <v>177.245913338435</v>
      </c>
      <c r="I167" s="40" t="n">
        <f aca="false">Thesis!$I$144*(Thesis!$I$149+tk_fac*(1-colo_sh))/1000+Thesis!$I$171</f>
        <v>183.579448050685</v>
      </c>
      <c r="J167" s="40" t="n">
        <f aca="false">Thesis!$J$144*(Thesis!$J$149+tk_fac*(1-colo_sh))/1000+Thesis!$J$171</f>
        <v>187.873277448685</v>
      </c>
      <c r="K167" s="40" t="n">
        <f aca="false">Thesis!$K$144*(Thesis!$K$149+tk_fac*(1-colo_sh))/1000+Thesis!$K$171</f>
        <v>138.407037940551</v>
      </c>
      <c r="L167" s="40" t="n">
        <f aca="false">Thesis!$L$144*(Thesis!$L$149+tk_fac*(1-colo_sh))/1000+Thesis!$L$171</f>
        <v>114.703774820416</v>
      </c>
      <c r="M167" s="40" t="n">
        <f aca="false">Thesis!$M$144*(Thesis!$M$149+tk_fac*(1-colo_sh))/1000+Thesis!$M$171</f>
        <v>112.986707313624</v>
      </c>
      <c r="P167" s="5" t="s">
        <v>680</v>
      </c>
      <c r="R167" s="40" t="n">
        <f aca="false">Q!$C$48-cx_rt*Q!$C$16-cx_awso*(Q!$C$7-mw_ye23/2*rpm_open/1000)</f>
        <v>1.50429979529945</v>
      </c>
      <c r="S167" s="40" t="n">
        <f aca="false">Thesis!$C$167</f>
        <v>25.2781053077374</v>
      </c>
      <c r="T167" s="40" t="n">
        <f aca="false">Thesis!$D$167</f>
        <v>69.5686316310026</v>
      </c>
      <c r="U167" s="40" t="n">
        <f aca="false">Thesis!$G$167</f>
        <v>151.89166844422</v>
      </c>
      <c r="V167" s="40" t="n">
        <f aca="false">Thesis!$H$167</f>
        <v>177.245913338435</v>
      </c>
      <c r="W167" s="40" t="n">
        <f aca="false">Thesis!$I$167</f>
        <v>183.579448050685</v>
      </c>
      <c r="X167" s="40" t="n">
        <f aca="false">Thesis!$J$167</f>
        <v>187.873277448685</v>
      </c>
      <c r="Y167" s="40" t="n">
        <f aca="false">Thesis!$K$167</f>
        <v>138.407037940551</v>
      </c>
      <c r="Z167" s="40" t="n">
        <f aca="false">Thesis!$L$167</f>
        <v>114.703774820416</v>
      </c>
      <c r="AA167" s="40" t="n">
        <f aca="false">Thesis!$M$167</f>
        <v>112.986707313624</v>
      </c>
    </row>
    <row r="168" customFormat="false" ht="17.15" hidden="false" customHeight="false" outlineLevel="0" collapsed="false">
      <c r="A168" s="0" t="s">
        <v>681</v>
      </c>
      <c r="B168" s="0" t="s">
        <v>91</v>
      </c>
      <c r="F168" s="40" t="n">
        <f aca="false">Thesis!$F$144*(Thesis!$F$149+tk_fac*(1-colo_sh))/1000</f>
        <v>42.7280946565462</v>
      </c>
    </row>
    <row r="169" customFormat="false" ht="17.15" hidden="false" customHeight="false" outlineLevel="0" collapsed="false">
      <c r="A169" s="0" t="s">
        <v>682</v>
      </c>
      <c r="B169" s="0" t="s">
        <v>91</v>
      </c>
      <c r="F169" s="40" t="n">
        <f aca="false">(capex_g26-Q!$P$48)/2-(Thesis!$F$168+Thesis!$F$165)</f>
        <v>0.000524626617739443</v>
      </c>
      <c r="P169" s="5" t="s">
        <v>683</v>
      </c>
    </row>
    <row r="170" customFormat="false" ht="17.15" hidden="false" customHeight="false" outlineLevel="0" collapsed="false">
      <c r="A170" s="5" t="s">
        <v>684</v>
      </c>
      <c r="B170" s="0" t="s">
        <v>91</v>
      </c>
      <c r="F170" s="40" t="n">
        <f aca="false">Thesis!$F$167-Thesis!$F$168</f>
        <v>-14.0324753733822</v>
      </c>
    </row>
    <row r="171" customFormat="false" ht="17.15" hidden="false" customHeight="false" outlineLevel="0" collapsed="false">
      <c r="A171" s="0" t="s">
        <v>685</v>
      </c>
      <c r="B171" s="0" t="s">
        <v>91</v>
      </c>
      <c r="H171" s="40" t="n">
        <f aca="false">SUMPRODUCT(--(Thesis!$R$137:$AA$137=2027-tk_life),Thesis!$R$144:$AA$144)*Thesis!$H$149/1000</f>
        <v>0</v>
      </c>
      <c r="I171" s="40" t="n">
        <f aca="false">SUMPRODUCT(--(Thesis!$R$137:$AA$137=2028-tk_life),Thesis!$R$144:$AA$144)*Thesis!$I$149/1000</f>
        <v>0</v>
      </c>
      <c r="J171" s="40" t="n">
        <f aca="false">SUMPRODUCT(--(Thesis!$R$137:$AA$137=2029-tk_life),Thesis!$R$144:$AA$144)*Thesis!$J$149/1000</f>
        <v>4.293829398</v>
      </c>
      <c r="K171" s="40" t="n">
        <f aca="false">SUMPRODUCT(--(Thesis!$R$137:$AA$137=2030-tk_life),Thesis!$R$144:$AA$144)*Thesis!$K$149/1000</f>
        <v>8.587658796</v>
      </c>
      <c r="L171" s="40" t="n">
        <f aca="false">SUMPRODUCT(--(Thesis!$R$137:$AA$137=2031-tk_life),Thesis!$R$144:$AA$144)*Thesis!$L$149/1000</f>
        <v>38.644464582</v>
      </c>
      <c r="M171" s="40" t="n">
        <f aca="false">SUMPRODUCT(--(Thesis!$R$137:$AA$137=2032-tk_life),Thesis!$R$144:$AA$144)*Thesis!$M$149/1000</f>
        <v>90.6874659813425</v>
      </c>
    </row>
    <row r="172" customFormat="false" ht="17.15" hidden="false" customHeight="false" outlineLevel="0" collapsed="false">
      <c r="A172" s="0" t="s">
        <v>686</v>
      </c>
      <c r="B172" s="0" t="s">
        <v>91</v>
      </c>
      <c r="C172" s="40" t="n">
        <f aca="false">MIN(Thesis!$C$167,Thesis!$C$144*(tk_cx_h100+tk_fac*(1-colo_sh))/1000)</f>
        <v>11.2938642</v>
      </c>
      <c r="D172" s="40" t="n">
        <f aca="false">MIN(Thesis!$D$167,Thesis!$D$144*(tk_cx_h100+tk_fac*(1-colo_sh))/1000)</f>
        <v>50.8223889</v>
      </c>
      <c r="E172" s="40" t="n">
        <f aca="false">MIN(Thesis!$E$167,Thesis!$E$144*(Thesis!$F$149+tk_fac*(1-colo_sh))/1000)</f>
        <v>71.5976669125462</v>
      </c>
      <c r="F172" s="40" t="n">
        <f aca="false">Thesis!$F$167</f>
        <v>28.695619283164</v>
      </c>
      <c r="G172" s="40" t="n">
        <f aca="false">Thesis!$E$172+Thesis!$F$172</f>
        <v>100.29328619571</v>
      </c>
      <c r="H172" s="40" t="n">
        <f aca="false">Thesis!$H$167</f>
        <v>177.245913338435</v>
      </c>
      <c r="I172" s="40" t="n">
        <f aca="false">Thesis!$I$167</f>
        <v>183.579448050685</v>
      </c>
      <c r="J172" s="40" t="n">
        <f aca="false">Thesis!$J$167</f>
        <v>187.873277448685</v>
      </c>
      <c r="K172" s="40" t="n">
        <f aca="false">Thesis!$K$167</f>
        <v>138.407037940551</v>
      </c>
      <c r="L172" s="40" t="n">
        <f aca="false">Thesis!$L$167</f>
        <v>114.703774820416</v>
      </c>
      <c r="M172" s="40" t="n">
        <f aca="false">Thesis!$M$167</f>
        <v>112.986707313624</v>
      </c>
      <c r="P172" s="5" t="s">
        <v>687</v>
      </c>
      <c r="R172" s="40" t="n">
        <f aca="false">MIN(Thesis!$R$167,Thesis!$R$144*(tk_cx_h100+tk_fac*(1-colo_sh))/1000)</f>
        <v>1.50429979529945</v>
      </c>
      <c r="S172" s="40" t="n">
        <f aca="false">Thesis!$C$172</f>
        <v>11.2938642</v>
      </c>
      <c r="T172" s="40" t="n">
        <f aca="false">Thesis!$D$172</f>
        <v>50.8223889</v>
      </c>
      <c r="U172" s="40" t="n">
        <f aca="false">Thesis!$G$172</f>
        <v>100.29328619571</v>
      </c>
      <c r="V172" s="40" t="n">
        <f aca="false">Thesis!$H$172</f>
        <v>177.245913338435</v>
      </c>
      <c r="W172" s="40" t="n">
        <f aca="false">Thesis!$I$172</f>
        <v>183.579448050685</v>
      </c>
      <c r="X172" s="40" t="n">
        <f aca="false">Thesis!$J$172</f>
        <v>187.873277448685</v>
      </c>
      <c r="Y172" s="40" t="n">
        <f aca="false">Thesis!$K$172</f>
        <v>138.407037940551</v>
      </c>
      <c r="Z172" s="40" t="n">
        <f aca="false">Thesis!$L$172</f>
        <v>114.703774820416</v>
      </c>
      <c r="AA172" s="40" t="n">
        <f aca="false">Thesis!$M$172</f>
        <v>112.986707313624</v>
      </c>
    </row>
    <row r="173" customFormat="false" ht="17.15" hidden="false" customHeight="false" outlineLevel="0" collapsed="false">
      <c r="A173" s="5" t="s">
        <v>688</v>
      </c>
      <c r="B173" s="0" t="s">
        <v>91</v>
      </c>
      <c r="C173" s="40" t="n">
        <f aca="false">Thesis!$C$167-Thesis!$C$172</f>
        <v>13.9842411077374</v>
      </c>
      <c r="D173" s="40" t="n">
        <f aca="false">Thesis!$D$167-Thesis!$D$172</f>
        <v>18.7462427310026</v>
      </c>
      <c r="E173" s="40" t="n">
        <f aca="false">Thesis!$E$167-Thesis!$E$172</f>
        <v>51.5983822485098</v>
      </c>
      <c r="F173" s="40" t="n">
        <f aca="false">Thesis!$F$167-Thesis!$F$172</f>
        <v>0</v>
      </c>
      <c r="G173" s="40" t="n">
        <f aca="false">Thesis!$G$167-Thesis!$G$172</f>
        <v>51.5983822485098</v>
      </c>
      <c r="H173" s="40" t="n">
        <f aca="false">Thesis!$H$167-Thesis!$H$172</f>
        <v>0</v>
      </c>
      <c r="I173" s="40" t="n">
        <f aca="false">Thesis!$I$167-Thesis!$I$172</f>
        <v>0</v>
      </c>
      <c r="J173" s="40" t="n">
        <f aca="false">Thesis!$J$167-Thesis!$J$172</f>
        <v>0</v>
      </c>
      <c r="K173" s="40" t="n">
        <f aca="false">Thesis!$K$167-Thesis!$K$172</f>
        <v>0</v>
      </c>
      <c r="L173" s="40" t="n">
        <f aca="false">Thesis!$L$167-Thesis!$L$172</f>
        <v>0</v>
      </c>
      <c r="M173" s="40" t="n">
        <f aca="false">Thesis!$M$167-Thesis!$M$172</f>
        <v>0</v>
      </c>
      <c r="P173" s="5" t="s">
        <v>689</v>
      </c>
      <c r="R173" s="40" t="n">
        <f aca="false">Thesis!$R$167-Thesis!$R$172</f>
        <v>0</v>
      </c>
      <c r="S173" s="40" t="n">
        <f aca="false">Thesis!$S$167-Thesis!$S$172</f>
        <v>13.9842411077374</v>
      </c>
      <c r="T173" s="40" t="n">
        <f aca="false">Thesis!$T$167-Thesis!$T$172</f>
        <v>18.7462427310026</v>
      </c>
      <c r="U173" s="40" t="n">
        <f aca="false">Thesis!$U$167-Thesis!$U$172</f>
        <v>51.5983822485098</v>
      </c>
      <c r="V173" s="40" t="n">
        <f aca="false">Thesis!$V$167-Thesis!$V$172</f>
        <v>0</v>
      </c>
      <c r="W173" s="40" t="n">
        <f aca="false">Thesis!$W$167-Thesis!$W$172</f>
        <v>0</v>
      </c>
      <c r="X173" s="40" t="n">
        <f aca="false">Thesis!$X$167-Thesis!$X$172</f>
        <v>0</v>
      </c>
      <c r="Y173" s="40" t="n">
        <f aca="false">Thesis!$Y$167-Thesis!$Y$172</f>
        <v>0</v>
      </c>
      <c r="Z173" s="40" t="n">
        <f aca="false">Thesis!$Z$167-Thesis!$Z$172</f>
        <v>0</v>
      </c>
      <c r="AA173" s="40" t="n">
        <f aca="false">Thesis!$AA$167-Thesis!$AA$172</f>
        <v>0</v>
      </c>
    </row>
    <row r="174" customFormat="false" ht="17.15" hidden="false" customHeight="false" outlineLevel="0" collapsed="false">
      <c r="A174" s="5" t="s">
        <v>690</v>
      </c>
      <c r="B174" s="0" t="s">
        <v>91</v>
      </c>
      <c r="R174" s="40" t="n">
        <f aca="false">Thesis!$R$173*Thesis!$C$166</f>
        <v>0</v>
      </c>
      <c r="S174" s="40" t="n">
        <f aca="false">Thesis!$S$173*Thesis!$C$166</f>
        <v>10.219074499801</v>
      </c>
      <c r="T174" s="40" t="n">
        <f aca="false">Thesis!$T$173*Thesis!$C$166</f>
        <v>13.6989379390402</v>
      </c>
      <c r="U174" s="40" t="n">
        <f aca="false">Thesis!$U$173*Thesis!$E$166</f>
        <v>37.1055813761394</v>
      </c>
      <c r="V174" s="40" t="n">
        <f aca="false">Thesis!$V$173*Thesis!$E$166</f>
        <v>0</v>
      </c>
      <c r="W174" s="40" t="n">
        <f aca="false">Thesis!$W$173*Thesis!$E$166</f>
        <v>0</v>
      </c>
      <c r="X174" s="40" t="n">
        <f aca="false">Thesis!$X$173*Thesis!$E$166</f>
        <v>0</v>
      </c>
      <c r="Y174" s="40" t="n">
        <f aca="false">Thesis!$Y$173*Thesis!$E$166</f>
        <v>0</v>
      </c>
      <c r="Z174" s="40" t="n">
        <f aca="false">Thesis!$Z$173*Thesis!$E$166</f>
        <v>0</v>
      </c>
      <c r="AA174" s="40" t="n">
        <f aca="false">Thesis!$AA$173*Thesis!$E$166</f>
        <v>0</v>
      </c>
    </row>
    <row r="175" customFormat="false" ht="17.15" hidden="false" customHeight="false" outlineLevel="0" collapsed="false">
      <c r="A175" s="5" t="s">
        <v>691</v>
      </c>
      <c r="B175" s="0" t="s">
        <v>91</v>
      </c>
      <c r="R175" s="40" t="n">
        <f aca="false">SUMPRODUCT(--(Thesis!$R$137:$AA$137=2023-cip_lag),Thesis!$R$174:$AA$174)</f>
        <v>0</v>
      </c>
      <c r="S175" s="40" t="n">
        <f aca="false">SUMPRODUCT(--(Thesis!$R$137:$AA$137=2024-cip_lag),Thesis!$R$174:$AA$174)</f>
        <v>0</v>
      </c>
      <c r="T175" s="40" t="n">
        <f aca="false">SUMPRODUCT(--(Thesis!$R$137:$AA$137=2025-cip_lag),Thesis!$R$174:$AA$174)</f>
        <v>10.219074499801</v>
      </c>
      <c r="U175" s="40" t="n">
        <f aca="false">SUMPRODUCT(--(Thesis!$R$137:$AA$137=2026-cip_lag),Thesis!$R$174:$AA$174)</f>
        <v>13.6989379390402</v>
      </c>
      <c r="V175" s="40" t="n">
        <f aca="false">SUMPRODUCT(--(Thesis!$R$137:$AA$137=2027-cip_lag),Thesis!$R$174:$AA$174)</f>
        <v>37.1055813761394</v>
      </c>
      <c r="W175" s="40" t="n">
        <f aca="false">SUMPRODUCT(--(Thesis!$R$137:$AA$137=2028-cip_lag),Thesis!$R$174:$AA$174)</f>
        <v>0</v>
      </c>
      <c r="X175" s="40" t="n">
        <f aca="false">SUMPRODUCT(--(Thesis!$R$137:$AA$137=2029-cip_lag),Thesis!$R$174:$AA$174)</f>
        <v>0</v>
      </c>
      <c r="Y175" s="40" t="n">
        <f aca="false">SUMPRODUCT(--(Thesis!$R$137:$AA$137=2030-cip_lag),Thesis!$R$174:$AA$174)</f>
        <v>0</v>
      </c>
      <c r="Z175" s="40" t="n">
        <f aca="false">SUMPRODUCT(--(Thesis!$R$137:$AA$137=2031-cip_lag),Thesis!$R$174:$AA$174)</f>
        <v>0</v>
      </c>
      <c r="AA175" s="40" t="n">
        <f aca="false">SUMPRODUCT(--(Thesis!$R$137:$AA$137=2032-cip_lag),Thesis!$R$174:$AA$174)</f>
        <v>0</v>
      </c>
    </row>
    <row r="176" customFormat="false" ht="15" hidden="false" customHeight="false" outlineLevel="0" collapsed="false">
      <c r="A176" s="5" t="s">
        <v>692</v>
      </c>
      <c r="B176" s="0" t="s">
        <v>91</v>
      </c>
      <c r="R176" s="40" t="n">
        <f aca="false">SUMPRODUCT(--(Thesis!$R$137:$AA$137=2023-cip_lag),Thesis!$R$173:$AA$173)-Thesis!$R$175</f>
        <v>0</v>
      </c>
      <c r="S176" s="40" t="n">
        <f aca="false">SUMPRODUCT(--(Thesis!$R$137:$AA$137=2024-cip_lag),Thesis!$R$173:$AA$173)-Thesis!$S$175</f>
        <v>0</v>
      </c>
      <c r="T176" s="40" t="n">
        <f aca="false">SUMPRODUCT(--(Thesis!$R$137:$AA$137=2025-cip_lag),Thesis!$R$173:$AA$173)-Thesis!$T$175</f>
        <v>3.76516660793636</v>
      </c>
      <c r="U176" s="40" t="n">
        <f aca="false">SUMPRODUCT(--(Thesis!$R$137:$AA$137=2026-cip_lag),Thesis!$R$173:$AA$173)-Thesis!$U$175</f>
        <v>5.04730479196242</v>
      </c>
      <c r="V176" s="40" t="n">
        <f aca="false">SUMPRODUCT(--(Thesis!$R$137:$AA$137=2027-cip_lag),Thesis!$R$173:$AA$173)-Thesis!$V$175</f>
        <v>14.4928008723704</v>
      </c>
      <c r="W176" s="40" t="n">
        <f aca="false">SUMPRODUCT(--(Thesis!$R$137:$AA$137=2028-cip_lag),Thesis!$R$173:$AA$173)-Thesis!$W$175</f>
        <v>0</v>
      </c>
      <c r="X176" s="40" t="n">
        <f aca="false">SUMPRODUCT(--(Thesis!$R$137:$AA$137=2029-cip_lag),Thesis!$R$173:$AA$173)-Thesis!$X$175</f>
        <v>0</v>
      </c>
      <c r="Y176" s="40" t="n">
        <f aca="false">SUMPRODUCT(--(Thesis!$R$137:$AA$137=2030-cip_lag),Thesis!$R$173:$AA$173)-Thesis!$Y$175</f>
        <v>0</v>
      </c>
      <c r="Z176" s="40" t="n">
        <f aca="false">SUMPRODUCT(--(Thesis!$R$137:$AA$137=2031-cip_lag),Thesis!$R$173:$AA$173)-Thesis!$Z$175</f>
        <v>0</v>
      </c>
      <c r="AA176" s="40" t="n">
        <f aca="false">SUMPRODUCT(--(Thesis!$R$137:$AA$137=2032-cip_lag),Thesis!$R$173:$AA$173)-Thesis!$AA$175</f>
        <v>0</v>
      </c>
    </row>
    <row r="177" customFormat="false" ht="17.15" hidden="false" customHeight="false" outlineLevel="0" collapsed="false">
      <c r="A177" s="5" t="s">
        <v>693</v>
      </c>
      <c r="B177" s="0" t="s">
        <v>91</v>
      </c>
      <c r="C177" s="40" t="n">
        <f aca="false">Thesis!$C$172*Thesis!$C$166</f>
        <v>8.2530642</v>
      </c>
      <c r="D177" s="40" t="n">
        <f aca="false">Thesis!$D$172*Thesis!$D$166</f>
        <v>37.1387889</v>
      </c>
      <c r="E177" s="40" t="n">
        <f aca="false">Thesis!$E$172*Thesis!$E$166</f>
        <v>51.4875261625462</v>
      </c>
      <c r="F177" s="40" t="n">
        <f aca="false">Thesis!$F$172*Thesis!$F$166</f>
        <v>20.6356786792653</v>
      </c>
      <c r="G177" s="40" t="n">
        <f aca="false">Thesis!$E$177+Thesis!$F$177</f>
        <v>72.1232048418116</v>
      </c>
      <c r="H177" s="40" t="n">
        <f aca="false">(Thesis!$H$172-Thesis!$H$171)*Thesis!$H$166+Thesis!$H$171</f>
        <v>129.240550338435</v>
      </c>
      <c r="I177" s="40" t="n">
        <f aca="false">(Thesis!$I$172-Thesis!$I$171)*Thesis!$I$166+Thesis!$I$171</f>
        <v>135.574085050685</v>
      </c>
      <c r="J177" s="40" t="n">
        <f aca="false">(Thesis!$J$172-Thesis!$J$171)*Thesis!$J$166+Thesis!$J$171</f>
        <v>139.867914448685</v>
      </c>
      <c r="K177" s="40" t="n">
        <f aca="false">(Thesis!$K$172-Thesis!$K$171)*Thesis!$K$166+Thesis!$K$171</f>
        <v>104.459738902217</v>
      </c>
      <c r="L177" s="40" t="n">
        <f aca="false">(Thesis!$L$172-Thesis!$L$171)*Thesis!$L$166+Thesis!$L$171</f>
        <v>94.8145397437496</v>
      </c>
      <c r="M177" s="40" t="n">
        <f aca="false">(Thesis!$M$172-Thesis!$M$171)*Thesis!$M$166+Thesis!$M$171</f>
        <v>107.155536198624</v>
      </c>
      <c r="R177" s="40" t="n">
        <f aca="false">Thesis!$R$172*Thesis!$C$166</f>
        <v>1.09927679019314</v>
      </c>
      <c r="S177" s="40" t="n">
        <f aca="false">Thesis!$C$177</f>
        <v>8.2530642</v>
      </c>
      <c r="T177" s="40" t="n">
        <f aca="false">Thesis!$D$177</f>
        <v>37.1387889</v>
      </c>
      <c r="U177" s="40" t="n">
        <f aca="false">Thesis!$G$177</f>
        <v>72.1232048418116</v>
      </c>
      <c r="V177" s="40" t="n">
        <f aca="false">Thesis!$H$177</f>
        <v>129.240550338435</v>
      </c>
      <c r="W177" s="40" t="n">
        <f aca="false">Thesis!$I$177</f>
        <v>135.574085050685</v>
      </c>
      <c r="X177" s="40" t="n">
        <f aca="false">Thesis!$J$177</f>
        <v>139.867914448685</v>
      </c>
      <c r="Y177" s="40" t="n">
        <f aca="false">Thesis!$K$177</f>
        <v>104.459738902217</v>
      </c>
      <c r="Z177" s="40" t="n">
        <f aca="false">Thesis!$L$177</f>
        <v>94.8145397437496</v>
      </c>
      <c r="AA177" s="40" t="n">
        <f aca="false">Thesis!$M$177</f>
        <v>107.155536198624</v>
      </c>
    </row>
    <row r="178" customFormat="false" ht="15" hidden="false" customHeight="false" outlineLevel="0" collapsed="false">
      <c r="A178" s="5" t="s">
        <v>694</v>
      </c>
      <c r="B178" s="0" t="s">
        <v>91</v>
      </c>
      <c r="C178" s="40" t="n">
        <f aca="false">Thesis!$C$172-Thesis!$C$177</f>
        <v>3.0408</v>
      </c>
      <c r="D178" s="40" t="n">
        <f aca="false">Thesis!$D$172-Thesis!$D$177</f>
        <v>13.6836</v>
      </c>
      <c r="E178" s="40" t="n">
        <f aca="false">Thesis!$E$172-Thesis!$E$177</f>
        <v>20.11014075</v>
      </c>
      <c r="F178" s="40" t="n">
        <f aca="false">Thesis!$F$172-Thesis!$F$177</f>
        <v>8.05994060389864</v>
      </c>
      <c r="G178" s="40" t="n">
        <f aca="false">Thesis!$G$172-Thesis!$G$177</f>
        <v>28.1700813538986</v>
      </c>
      <c r="H178" s="40" t="n">
        <f aca="false">Thesis!$H$172-Thesis!$H$177</f>
        <v>48.005363</v>
      </c>
      <c r="I178" s="40" t="n">
        <f aca="false">Thesis!$I$172-Thesis!$I$177</f>
        <v>48.005363</v>
      </c>
      <c r="J178" s="40" t="n">
        <f aca="false">Thesis!$J$172-Thesis!$J$177</f>
        <v>48.005363</v>
      </c>
      <c r="K178" s="40" t="n">
        <f aca="false">Thesis!$K$172-Thesis!$K$177</f>
        <v>33.9472990383334</v>
      </c>
      <c r="L178" s="40" t="n">
        <f aca="false">Thesis!$L$172-Thesis!$L$177</f>
        <v>19.8892350766667</v>
      </c>
      <c r="M178" s="40" t="n">
        <f aca="false">Thesis!$M$172-Thesis!$M$177</f>
        <v>5.83117111499999</v>
      </c>
      <c r="R178" s="40" t="n">
        <f aca="false">Thesis!$R$172-Thesis!$R$177</f>
        <v>0.405023005106309</v>
      </c>
      <c r="S178" s="40" t="n">
        <f aca="false">Thesis!$S$172-Thesis!$S$177</f>
        <v>3.0408</v>
      </c>
      <c r="T178" s="40" t="n">
        <f aca="false">Thesis!$T$172-Thesis!$T$177</f>
        <v>13.6836</v>
      </c>
      <c r="U178" s="40" t="n">
        <f aca="false">Thesis!$U$172-Thesis!$U$177</f>
        <v>28.1700813538986</v>
      </c>
      <c r="V178" s="40" t="n">
        <f aca="false">Thesis!$V$172-Thesis!$V$177</f>
        <v>48.005363</v>
      </c>
      <c r="W178" s="40" t="n">
        <f aca="false">Thesis!$W$172-Thesis!$W$177</f>
        <v>48.005363</v>
      </c>
      <c r="X178" s="40" t="n">
        <f aca="false">Thesis!$X$172-Thesis!$X$177</f>
        <v>48.005363</v>
      </c>
      <c r="Y178" s="40" t="n">
        <f aca="false">Thesis!$Y$172-Thesis!$Y$177</f>
        <v>33.9472990383334</v>
      </c>
      <c r="Z178" s="40" t="n">
        <f aca="false">Thesis!$Z$172-Thesis!$Z$177</f>
        <v>19.8892350766667</v>
      </c>
      <c r="AA178" s="40" t="n">
        <f aca="false">Thesis!$AA$172-Thesis!$AA$177</f>
        <v>5.83117111499999</v>
      </c>
    </row>
    <row r="179" customFormat="false" ht="17.15" hidden="false" customHeight="false" outlineLevel="0" collapsed="false">
      <c r="A179" s="0" t="s">
        <v>695</v>
      </c>
      <c r="B179" s="0" t="s">
        <v>56</v>
      </c>
      <c r="C179" s="13" t="n">
        <f aca="false">Thesis!$C$167/CF!$C$84</f>
        <v>0.325505489553393</v>
      </c>
      <c r="D179" s="13" t="n">
        <f aca="false">Thesis!$D$167/CF!$D$84</f>
        <v>0.54214956071542</v>
      </c>
      <c r="E179" s="13" t="n">
        <f aca="false">Thesis!$E$167/CF!$E$84</f>
        <v>0.715474069976166</v>
      </c>
      <c r="F179" s="13" t="n">
        <f aca="false">Thesis!$F$167/CF!$F$84</f>
        <v>0.600176091423994</v>
      </c>
      <c r="G179" s="13" t="n">
        <f aca="false">Thesis!$G$167/CF!$G$84</f>
        <v>0.690416674746455</v>
      </c>
      <c r="H179" s="13" t="n">
        <f aca="false">Thesis!$H$167/CF!$H$84</f>
        <v>0.700355037669622</v>
      </c>
      <c r="I179" s="13" t="n">
        <f aca="false">Thesis!$I$167/CF!$I$84</f>
        <v>0.687636699157358</v>
      </c>
      <c r="J179" s="13" t="n">
        <f aca="false">Thesis!$J$167/CF!$J$84</f>
        <v>0.674817899000374</v>
      </c>
      <c r="K179" s="13" t="n">
        <f aca="false">Thesis!$K$167/CF!$K$84</f>
        <v>0.587963117620941</v>
      </c>
      <c r="L179" s="13" t="n">
        <f aca="false">Thesis!$L$167/CF!$L$84</f>
        <v>0.524620008218786</v>
      </c>
      <c r="M179" s="13" t="n">
        <f aca="false">Thesis!$M$167/CF!$M$84</f>
        <v>0.50353101603759</v>
      </c>
    </row>
    <row r="180" customFormat="false" ht="17.15" hidden="false" customHeight="false" outlineLevel="0" collapsed="false">
      <c r="A180" s="0" t="s">
        <v>696</v>
      </c>
      <c r="B180" s="0" t="s">
        <v>91</v>
      </c>
      <c r="C180" s="40" t="n">
        <f aca="false">Thesis!$S$180</f>
        <v>0.183212798365523</v>
      </c>
      <c r="D180" s="40" t="n">
        <f aca="false">Thesis!$T$180</f>
        <v>1.55872349836552</v>
      </c>
      <c r="E180" s="40" t="n">
        <f aca="false">Thesis!$G$180*0.75</f>
        <v>7.08877554874927</v>
      </c>
      <c r="F180" s="40" t="n">
        <f aca="false">Thesis!$G$180*0.25</f>
        <v>2.36292518291642</v>
      </c>
      <c r="G180" s="40" t="n">
        <f aca="false">Thesis!$U$180</f>
        <v>9.4517007316657</v>
      </c>
      <c r="H180" s="40" t="n">
        <f aca="false">Thesis!$V$180</f>
        <v>23.755391195141</v>
      </c>
      <c r="I180" s="40" t="n">
        <f aca="false">Thesis!$W$180</f>
        <v>51.4797464809034</v>
      </c>
      <c r="J180" s="40" t="n">
        <f aca="false">Thesis!$X$180</f>
        <v>74.0754273226842</v>
      </c>
      <c r="K180" s="40" t="n">
        <f aca="false">Thesis!$Y$180</f>
        <v>97.2035335990995</v>
      </c>
      <c r="L180" s="40" t="n">
        <f aca="false">Thesis!$Z$180</f>
        <v>113.237979382802</v>
      </c>
      <c r="M180" s="40" t="n">
        <f aca="false">Thesis!$AA$180</f>
        <v>121.147425440127</v>
      </c>
      <c r="N180" s="40" t="n">
        <f aca="false">Thesis!$D$180*0.75</f>
        <v>1.16904262377414</v>
      </c>
      <c r="O180" s="40" t="n">
        <f aca="false">Thesis!$D$180*0.25</f>
        <v>0.389680874591381</v>
      </c>
      <c r="R180" s="40" t="n">
        <f aca="false">(SUMPRODUCT(--(Thesis!$R$137:$AA$137&lt;Thesis!R$137),--(Thesis!$R$137:$AA$137&gt;=Thesis!R$137-tk_life),Thesis!$R$177:$AA$177)+SUMPRODUCT(--(Thesis!$R$137:$AA$137&lt;Thesis!R$137),--(Thesis!$R$137:$AA$137&gt;=Thesis!R$137-tk_life),Thesis!$R$175:$AA$175))/tk_life</f>
        <v>0</v>
      </c>
      <c r="S180" s="40" t="n">
        <f aca="false">(SUMPRODUCT(--(Thesis!$R$137:$AA$137&lt;Thesis!S$137),--(Thesis!$R$137:$AA$137&gt;=Thesis!S$137-tk_life),Thesis!$R$177:$AA$177)+SUMPRODUCT(--(Thesis!$R$137:$AA$137&lt;Thesis!S$137),--(Thesis!$R$137:$AA$137&gt;=Thesis!S$137-tk_life),Thesis!$R$175:$AA$175))/tk_life</f>
        <v>0.183212798365523</v>
      </c>
      <c r="T180" s="40" t="n">
        <f aca="false">(SUMPRODUCT(--(Thesis!$R$137:$AA$137&lt;Thesis!T$137),--(Thesis!$R$137:$AA$137&gt;=Thesis!T$137-tk_life),Thesis!$R$177:$AA$177)+SUMPRODUCT(--(Thesis!$R$137:$AA$137&lt;Thesis!T$137),--(Thesis!$R$137:$AA$137&gt;=Thesis!T$137-tk_life),Thesis!$R$175:$AA$175))/tk_life</f>
        <v>1.55872349836552</v>
      </c>
      <c r="U180" s="40" t="n">
        <f aca="false">(SUMPRODUCT(--(Thesis!$R$137:$AA$137&lt;Thesis!U$137),--(Thesis!$R$137:$AA$137&gt;=Thesis!U$137-tk_life),Thesis!$R$177:$AA$177)+SUMPRODUCT(--(Thesis!$R$137:$AA$137&lt;Thesis!U$137),--(Thesis!$R$137:$AA$137&gt;=Thesis!U$137-tk_life),Thesis!$R$175:$AA$175))/tk_life</f>
        <v>9.4517007316657</v>
      </c>
      <c r="V180" s="40" t="n">
        <f aca="false">(SUMPRODUCT(--(Thesis!$R$137:$AA$137&lt;Thesis!V$137),--(Thesis!$R$137:$AA$137&gt;=Thesis!V$137-tk_life),Thesis!$R$177:$AA$177)+SUMPRODUCT(--(Thesis!$R$137:$AA$137&lt;Thesis!V$137),--(Thesis!$R$137:$AA$137&gt;=Thesis!V$137-tk_life),Thesis!$R$175:$AA$175))/tk_life</f>
        <v>23.755391195141</v>
      </c>
      <c r="W180" s="40" t="n">
        <f aca="false">(SUMPRODUCT(--(Thesis!$R$137:$AA$137&lt;Thesis!W$137),--(Thesis!$R$137:$AA$137&gt;=Thesis!W$137-tk_life),Thesis!$R$177:$AA$177)+SUMPRODUCT(--(Thesis!$R$137:$AA$137&lt;Thesis!W$137),--(Thesis!$R$137:$AA$137&gt;=Thesis!W$137-tk_life),Thesis!$R$175:$AA$175))/tk_life</f>
        <v>51.4797464809034</v>
      </c>
      <c r="X180" s="40" t="n">
        <f aca="false">(SUMPRODUCT(--(Thesis!$R$137:$AA$137&lt;Thesis!X$137),--(Thesis!$R$137:$AA$137&gt;=Thesis!X$137-tk_life),Thesis!$R$177:$AA$177)+SUMPRODUCT(--(Thesis!$R$137:$AA$137&lt;Thesis!X$137),--(Thesis!$R$137:$AA$137&gt;=Thesis!X$137-tk_life),Thesis!$R$175:$AA$175))/tk_life</f>
        <v>74.0754273226842</v>
      </c>
      <c r="Y180" s="40" t="n">
        <f aca="false">(SUMPRODUCT(--(Thesis!$R$137:$AA$137&lt;Thesis!Y$137),--(Thesis!$R$137:$AA$137&gt;=Thesis!Y$137-tk_life),Thesis!$R$177:$AA$177)+SUMPRODUCT(--(Thesis!$R$137:$AA$137&lt;Thesis!Y$137),--(Thesis!$R$137:$AA$137&gt;=Thesis!Y$137-tk_life),Thesis!$R$175:$AA$175))/tk_life</f>
        <v>97.2035335990995</v>
      </c>
      <c r="Z180" s="40" t="n">
        <f aca="false">(SUMPRODUCT(--(Thesis!$R$137:$AA$137&lt;Thesis!Z$137),--(Thesis!$R$137:$AA$137&gt;=Thesis!Z$137-tk_life),Thesis!$R$177:$AA$177)+SUMPRODUCT(--(Thesis!$R$137:$AA$137&lt;Thesis!Z$137),--(Thesis!$R$137:$AA$137&gt;=Thesis!Z$137-tk_life),Thesis!$R$175:$AA$175))/tk_life</f>
        <v>113.237979382802</v>
      </c>
      <c r="AA180" s="40" t="n">
        <f aca="false">(SUMPRODUCT(--(Thesis!$R$137:$AA$137&lt;Thesis!AA$137),--(Thesis!$R$137:$AA$137&gt;=Thesis!AA$137-tk_life),Thesis!$R$177:$AA$177)+SUMPRODUCT(--(Thesis!$R$137:$AA$137&lt;Thesis!AA$137),--(Thesis!$R$137:$AA$137&gt;=Thesis!AA$137-tk_life),Thesis!$R$175:$AA$175))/tk_life</f>
        <v>121.147425440127</v>
      </c>
    </row>
    <row r="181" customFormat="false" ht="17.15" hidden="false" customHeight="false" outlineLevel="0" collapsed="false">
      <c r="A181" s="0" t="s">
        <v>697</v>
      </c>
      <c r="B181" s="0" t="s">
        <v>91</v>
      </c>
      <c r="C181" s="40" t="n">
        <f aca="false">Thesis!$S$181</f>
        <v>0.0202511502553155</v>
      </c>
      <c r="D181" s="40" t="n">
        <f aca="false">Thesis!$T$181</f>
        <v>0.172291150255315</v>
      </c>
      <c r="E181" s="40" t="n">
        <f aca="false">Thesis!$G$181*0.75</f>
        <v>0.7835471104891</v>
      </c>
      <c r="F181" s="40" t="n">
        <f aca="false">Thesis!$G$181*0.25</f>
        <v>0.261182370163033</v>
      </c>
      <c r="G181" s="40" t="n">
        <f aca="false">Thesis!$U$181</f>
        <v>1.04472948065213</v>
      </c>
      <c r="H181" s="40" t="n">
        <f aca="false">Thesis!$V$181</f>
        <v>2.70559878794519</v>
      </c>
      <c r="I181" s="40" t="n">
        <f aca="false">Thesis!$W$181</f>
        <v>5.8305069815637</v>
      </c>
      <c r="J181" s="40" t="n">
        <f aca="false">Thesis!$X$181</f>
        <v>8.23077513156371</v>
      </c>
      <c r="K181" s="40" t="n">
        <f aca="false">Thesis!$Y$181</f>
        <v>10.6310432815637</v>
      </c>
      <c r="L181" s="40" t="n">
        <f aca="false">Thesis!$Z$181</f>
        <v>12.3284082334804</v>
      </c>
      <c r="M181" s="40" t="n">
        <f aca="false">Thesis!$AA$181</f>
        <v>13.3228699873137</v>
      </c>
      <c r="N181" s="40" t="n">
        <f aca="false">Thesis!$D$181*0.75</f>
        <v>0.129218362691487</v>
      </c>
      <c r="O181" s="40" t="n">
        <f aca="false">Thesis!$D$181*0.25</f>
        <v>0.0430727875638289</v>
      </c>
      <c r="R181" s="40" t="n">
        <f aca="false">(SUMPRODUCT(--(Thesis!$R$137:$AA$137&lt;Thesis!R$137),Thesis!$R$178:$AA$178)+SUMPRODUCT(--(Thesis!$R$137:$AA$137&lt;Thesis!R$137),Thesis!$R$176:$AA$176))/fac_life</f>
        <v>0</v>
      </c>
      <c r="S181" s="40" t="n">
        <f aca="false">(SUMPRODUCT(--(Thesis!$R$137:$AA$137&lt;Thesis!S$137),Thesis!$R$178:$AA$178)+SUMPRODUCT(--(Thesis!$R$137:$AA$137&lt;Thesis!S$137),Thesis!$R$176:$AA$176))/fac_life</f>
        <v>0.0202511502553155</v>
      </c>
      <c r="T181" s="40" t="n">
        <f aca="false">(SUMPRODUCT(--(Thesis!$R$137:$AA$137&lt;Thesis!T$137),Thesis!$R$178:$AA$178)+SUMPRODUCT(--(Thesis!$R$137:$AA$137&lt;Thesis!T$137),Thesis!$R$176:$AA$176))/fac_life</f>
        <v>0.172291150255315</v>
      </c>
      <c r="U181" s="40" t="n">
        <f aca="false">(SUMPRODUCT(--(Thesis!$R$137:$AA$137&lt;Thesis!U$137),Thesis!$R$178:$AA$178)+SUMPRODUCT(--(Thesis!$R$137:$AA$137&lt;Thesis!U$137),Thesis!$R$176:$AA$176))/fac_life</f>
        <v>1.04472948065213</v>
      </c>
      <c r="V181" s="40" t="n">
        <f aca="false">(SUMPRODUCT(--(Thesis!$R$137:$AA$137&lt;Thesis!V$137),Thesis!$R$178:$AA$178)+SUMPRODUCT(--(Thesis!$R$137:$AA$137&lt;Thesis!V$137),Thesis!$R$176:$AA$176))/fac_life</f>
        <v>2.70559878794519</v>
      </c>
      <c r="W181" s="40" t="n">
        <f aca="false">(SUMPRODUCT(--(Thesis!$R$137:$AA$137&lt;Thesis!W$137),Thesis!$R$178:$AA$178)+SUMPRODUCT(--(Thesis!$R$137:$AA$137&lt;Thesis!W$137),Thesis!$R$176:$AA$176))/fac_life</f>
        <v>5.8305069815637</v>
      </c>
      <c r="X181" s="40" t="n">
        <f aca="false">(SUMPRODUCT(--(Thesis!$R$137:$AA$137&lt;Thesis!X$137),Thesis!$R$178:$AA$178)+SUMPRODUCT(--(Thesis!$R$137:$AA$137&lt;Thesis!X$137),Thesis!$R$176:$AA$176))/fac_life</f>
        <v>8.23077513156371</v>
      </c>
      <c r="Y181" s="40" t="n">
        <f aca="false">(SUMPRODUCT(--(Thesis!$R$137:$AA$137&lt;Thesis!Y$137),Thesis!$R$178:$AA$178)+SUMPRODUCT(--(Thesis!$R$137:$AA$137&lt;Thesis!Y$137),Thesis!$R$176:$AA$176))/fac_life</f>
        <v>10.6310432815637</v>
      </c>
      <c r="Z181" s="40" t="n">
        <f aca="false">(SUMPRODUCT(--(Thesis!$R$137:$AA$137&lt;Thesis!Z$137),Thesis!$R$178:$AA$178)+SUMPRODUCT(--(Thesis!$R$137:$AA$137&lt;Thesis!Z$137),Thesis!$R$176:$AA$176))/fac_life</f>
        <v>12.3284082334804</v>
      </c>
      <c r="AA181" s="40" t="n">
        <f aca="false">(SUMPRODUCT(--(Thesis!$R$137:$AA$137&lt;Thesis!AA$137),Thesis!$R$178:$AA$178)+SUMPRODUCT(--(Thesis!$R$137:$AA$137&lt;Thesis!AA$137),Thesis!$R$176:$AA$176))/fac_life</f>
        <v>13.3228699873137</v>
      </c>
    </row>
    <row r="182" customFormat="false" ht="17.15" hidden="false" customHeight="false" outlineLevel="0" collapsed="false">
      <c r="A182" s="1" t="s">
        <v>698</v>
      </c>
      <c r="B182" s="8" t="s">
        <v>91</v>
      </c>
      <c r="C182" s="40" t="n">
        <f aca="false">Thesis!$C$180+Thesis!$C$181</f>
        <v>0.203463948620839</v>
      </c>
      <c r="D182" s="40" t="n">
        <f aca="false">Thesis!$D$180+Thesis!$D$181</f>
        <v>1.73101464862084</v>
      </c>
      <c r="E182" s="40" t="n">
        <f aca="false">Thesis!$E$180+Thesis!$E$181</f>
        <v>7.87232265923837</v>
      </c>
      <c r="F182" s="40" t="n">
        <f aca="false">Thesis!$F$180+Thesis!$F$181</f>
        <v>2.62410755307946</v>
      </c>
      <c r="G182" s="40" t="n">
        <f aca="false">Thesis!$G$180+Thesis!$G$181</f>
        <v>10.4964302123178</v>
      </c>
      <c r="H182" s="40" t="n">
        <f aca="false">Thesis!$H$180+Thesis!$H$181</f>
        <v>26.4609899830862</v>
      </c>
      <c r="I182" s="40" t="n">
        <f aca="false">Thesis!$I$180+Thesis!$I$181</f>
        <v>57.3102534624671</v>
      </c>
      <c r="J182" s="40" t="n">
        <f aca="false">Thesis!$J$180+Thesis!$J$181</f>
        <v>82.3062024542479</v>
      </c>
      <c r="K182" s="40" t="n">
        <f aca="false">Thesis!$K$180+Thesis!$K$181</f>
        <v>107.834576880663</v>
      </c>
      <c r="L182" s="40" t="n">
        <f aca="false">Thesis!$L$180+Thesis!$L$181</f>
        <v>125.566387616283</v>
      </c>
      <c r="M182" s="40" t="n">
        <f aca="false">Thesis!$M$180+Thesis!$M$181</f>
        <v>134.470295427441</v>
      </c>
      <c r="N182" s="40" t="n">
        <f aca="false">Thesis!$N$180+Thesis!$N$181</f>
        <v>1.29826098646563</v>
      </c>
      <c r="O182" s="40" t="n">
        <f aca="false">Thesis!$O$180+Thesis!$O$181</f>
        <v>0.43275366215521</v>
      </c>
      <c r="R182" s="40" t="n">
        <f aca="false">Thesis!$R$180+Thesis!$R$181</f>
        <v>0</v>
      </c>
      <c r="S182" s="40" t="n">
        <f aca="false">Thesis!$S$180+Thesis!$S$181</f>
        <v>0.203463948620839</v>
      </c>
      <c r="T182" s="40" t="n">
        <f aca="false">Thesis!$T$180+Thesis!$T$181</f>
        <v>1.73101464862084</v>
      </c>
      <c r="U182" s="40" t="n">
        <f aca="false">Thesis!$U$180+Thesis!$U$181</f>
        <v>10.4964302123178</v>
      </c>
      <c r="V182" s="40" t="n">
        <f aca="false">Thesis!$V$180+Thesis!$V$181</f>
        <v>26.4609899830862</v>
      </c>
      <c r="W182" s="40" t="n">
        <f aca="false">Thesis!$W$180+Thesis!$W$181</f>
        <v>57.3102534624671</v>
      </c>
      <c r="X182" s="40" t="n">
        <f aca="false">Thesis!$X$180+Thesis!$X$181</f>
        <v>82.3062024542479</v>
      </c>
      <c r="Y182" s="40" t="n">
        <f aca="false">Thesis!$Y$180+Thesis!$Y$181</f>
        <v>107.834576880663</v>
      </c>
      <c r="Z182" s="40" t="n">
        <f aca="false">Thesis!$Z$180+Thesis!$Z$181</f>
        <v>125.566387616283</v>
      </c>
      <c r="AA182" s="40" t="n">
        <f aca="false">Thesis!$AA$180+Thesis!$AA$181</f>
        <v>134.470295427441</v>
      </c>
    </row>
    <row r="183" customFormat="false" ht="17.15" hidden="false" customHeight="false" outlineLevel="0" collapsed="false">
      <c r="A183" s="0" t="s">
        <v>699</v>
      </c>
      <c r="B183" s="0" t="s">
        <v>91</v>
      </c>
      <c r="C183" s="40" t="n">
        <f aca="false">Thesis!$S$183</f>
        <v>26.578941154416</v>
      </c>
      <c r="D183" s="40" t="n">
        <f aca="false">Thesis!$T$183</f>
        <v>94.4165581367978</v>
      </c>
      <c r="G183" s="40" t="n">
        <f aca="false">Thesis!$U$183</f>
        <v>235.8117963687</v>
      </c>
      <c r="H183" s="40" t="n">
        <f aca="false">Thesis!$V$183</f>
        <v>386.596719724049</v>
      </c>
      <c r="I183" s="40" t="n">
        <f aca="false">Thesis!$W$183</f>
        <v>512.865914312267</v>
      </c>
      <c r="J183" s="40" t="n">
        <f aca="false">Thesis!$X$183</f>
        <v>618.432989306704</v>
      </c>
      <c r="K183" s="40" t="n">
        <f aca="false">Thesis!$Y$183</f>
        <v>649.005450366591</v>
      </c>
      <c r="L183" s="40" t="n">
        <f aca="false">Thesis!$Z$183</f>
        <v>638.142837570725</v>
      </c>
      <c r="M183" s="40" t="n">
        <f aca="false">Thesis!$AA$183</f>
        <v>616.659249456908</v>
      </c>
      <c r="R183" s="40" t="n">
        <f aca="false">SUM(Thesis!$R$167:$R$167)-SUM(Thesis!$R$182:$R$182)</f>
        <v>1.50429979529945</v>
      </c>
      <c r="S183" s="40" t="n">
        <f aca="false">SUM(Thesis!$R$167:$S$167)-SUM(Thesis!$R$182:$S$182)</f>
        <v>26.578941154416</v>
      </c>
      <c r="T183" s="40" t="n">
        <f aca="false">SUM(Thesis!$R$167:$T$167)-SUM(Thesis!$R$182:$T$182)</f>
        <v>94.4165581367978</v>
      </c>
      <c r="U183" s="40" t="n">
        <f aca="false">SUM(Thesis!$R$167:$U$167)-SUM(Thesis!$R$182:$U$182)</f>
        <v>235.8117963687</v>
      </c>
      <c r="V183" s="40" t="n">
        <f aca="false">SUM(Thesis!$R$167:$V$167)-SUM(Thesis!$R$182:$V$182)</f>
        <v>386.596719724049</v>
      </c>
      <c r="W183" s="40" t="n">
        <f aca="false">SUM(Thesis!$R$167:$W$167)-SUM(Thesis!$R$182:$W$182)</f>
        <v>512.865914312267</v>
      </c>
      <c r="X183" s="40" t="n">
        <f aca="false">SUM(Thesis!$R$167:$X$167)-SUM(Thesis!$R$182:$X$182)</f>
        <v>618.432989306704</v>
      </c>
      <c r="Y183" s="40" t="n">
        <f aca="false">SUM(Thesis!$R$167:$Y$167)-SUM(Thesis!$R$182:$Y$182)</f>
        <v>649.005450366591</v>
      </c>
      <c r="Z183" s="40" t="n">
        <f aca="false">SUM(Thesis!$R$167:$Z$167)-SUM(Thesis!$R$182:$Z$182)</f>
        <v>638.142837570725</v>
      </c>
      <c r="AA183" s="40" t="n">
        <f aca="false">SUM(Thesis!$R$167:$AA$167)-SUM(Thesis!$R$182:$AA$182)</f>
        <v>616.659249456908</v>
      </c>
    </row>
    <row r="184" customFormat="false" ht="17.15" hidden="false" customHeight="false" outlineLevel="0" collapsed="false">
      <c r="A184" s="1" t="s">
        <v>700</v>
      </c>
    </row>
    <row r="185" customFormat="false" ht="17.15" hidden="false" customHeight="false" outlineLevel="0" collapsed="false">
      <c r="A185" s="0" t="s">
        <v>701</v>
      </c>
      <c r="B185" s="0" t="s">
        <v>91</v>
      </c>
      <c r="C185" s="40" t="n">
        <f aca="false">Thesis!$C$158-ext_sh*Thesis!$C$160</f>
        <v>1.80694998843362</v>
      </c>
      <c r="D185" s="40" t="n">
        <f aca="false">Thesis!$D$158-ext_sh*Thesis!$D$160</f>
        <v>6.77606245662607</v>
      </c>
      <c r="E185" s="40" t="n">
        <f aca="false">Thesis!$E$158-ext_sh*Thesis!$E$160</f>
        <v>12.6125815032506</v>
      </c>
      <c r="F185" s="40" t="n">
        <f aca="false">Thesis!$F$158-ext_sh*Thesis!$F$160</f>
        <v>5.68871288000918</v>
      </c>
      <c r="G185" s="40" t="n">
        <f aca="false">Thesis!$G$158-ext_sh*Thesis!$G$160</f>
        <v>18.3012943832598</v>
      </c>
      <c r="H185" s="40" t="n">
        <f aca="false">Thesis!$H$158-ext_sh*Thesis!$H$160</f>
        <v>35.2067621944375</v>
      </c>
      <c r="I185" s="40" t="n">
        <f aca="false">Thesis!$I$158-ext_sh*Thesis!$I$160</f>
        <v>55.7573661363039</v>
      </c>
      <c r="J185" s="40" t="n">
        <f aca="false">Thesis!$J$158-ext_sh*Thesis!$J$160</f>
        <v>76.4514093611018</v>
      </c>
      <c r="K185" s="40" t="n">
        <f aca="false">Thesis!$K$158-ext_sh*Thesis!$K$160</f>
        <v>94.0964932566406</v>
      </c>
      <c r="L185" s="40" t="n">
        <f aca="false">Thesis!$L$158-ext_sh*Thesis!$L$160</f>
        <v>105.686850346559</v>
      </c>
      <c r="M185" s="40" t="n">
        <f aca="false">Thesis!$M$158-ext_sh*Thesis!$M$160</f>
        <v>111.19913589587</v>
      </c>
      <c r="N185" s="40" t="n">
        <f aca="false">Thesis!$N$158-ext_sh*Thesis!$N$160</f>
        <v>4.31973981609912</v>
      </c>
      <c r="O185" s="40" t="n">
        <f aca="false">Thesis!$O$158-ext_sh*Thesis!$O$160</f>
        <v>2.45632264052695</v>
      </c>
    </row>
    <row r="186" customFormat="false" ht="17.15" hidden="false" customHeight="false" outlineLevel="0" collapsed="false">
      <c r="A186" s="1" t="s">
        <v>702</v>
      </c>
      <c r="B186" s="8" t="s">
        <v>91</v>
      </c>
      <c r="C186" s="40" t="n">
        <f aca="false">Thesis!$C$185-ext_sh*Thesis!$C$182</f>
        <v>1.64417882953695</v>
      </c>
      <c r="D186" s="40" t="n">
        <f aca="false">Thesis!$D$185-ext_sh*Thesis!$D$182</f>
        <v>5.39125073772939</v>
      </c>
      <c r="E186" s="40" t="n">
        <f aca="false">Thesis!$E$185-ext_sh*Thesis!$E$182</f>
        <v>6.31472337585987</v>
      </c>
      <c r="F186" s="40" t="n">
        <f aca="false">Thesis!$F$185-ext_sh*Thesis!$F$182</f>
        <v>3.58942683754562</v>
      </c>
      <c r="G186" s="40" t="n">
        <f aca="false">Thesis!$G$185-ext_sh*Thesis!$G$182</f>
        <v>9.90415021340549</v>
      </c>
      <c r="H186" s="40" t="n">
        <f aca="false">Thesis!$H$185-ext_sh*Thesis!$H$182</f>
        <v>14.0379702079686</v>
      </c>
      <c r="I186" s="40" t="n">
        <f aca="false">Thesis!$I$185-ext_sh*Thesis!$I$182</f>
        <v>9.90916336633023</v>
      </c>
      <c r="J186" s="40" t="n">
        <f aca="false">Thesis!$J$185-ext_sh*Thesis!$J$182</f>
        <v>10.6064473977034</v>
      </c>
      <c r="K186" s="40" t="n">
        <f aca="false">Thesis!$K$185-ext_sh*Thesis!$K$182</f>
        <v>7.82883175211005</v>
      </c>
      <c r="L186" s="40" t="n">
        <f aca="false">Thesis!$L$185-ext_sh*Thesis!$L$182</f>
        <v>5.23374025353317</v>
      </c>
      <c r="M186" s="40" t="n">
        <f aca="false">Thesis!$M$185-ext_sh*Thesis!$M$182</f>
        <v>3.62289955391755</v>
      </c>
      <c r="N186" s="40" t="n">
        <f aca="false">Thesis!$N$185-ext_sh*Thesis!$N$182</f>
        <v>3.28113102692661</v>
      </c>
      <c r="O186" s="40" t="n">
        <f aca="false">Thesis!$O$185-ext_sh*Thesis!$O$182</f>
        <v>2.11011971080278</v>
      </c>
    </row>
    <row r="187" customFormat="false" ht="17.15" hidden="false" customHeight="false" outlineLevel="0" collapsed="false">
      <c r="A187" s="0" t="s">
        <v>703</v>
      </c>
      <c r="B187" s="0" t="s">
        <v>56</v>
      </c>
      <c r="C187" s="13" t="n">
        <f aca="false">Thesis!$C$186/Thesis!$C$158</f>
        <v>0.708390794789371</v>
      </c>
      <c r="D187" s="13" t="n">
        <f aca="false">Thesis!$D$186/Thesis!$D$158</f>
        <v>0.619415573115729</v>
      </c>
      <c r="E187" s="13" t="n">
        <f aca="false">Thesis!$E$186/Thesis!$E$158</f>
        <v>0.38978070304412</v>
      </c>
      <c r="F187" s="13" t="n">
        <f aca="false">Thesis!$F$186/Thesis!$F$158</f>
        <v>0.472494434272441</v>
      </c>
      <c r="G187" s="13" t="n">
        <f aca="false">Thesis!$G$186/Thesis!$G$158</f>
        <v>0.416185040078553</v>
      </c>
      <c r="H187" s="13" t="n">
        <f aca="false">Thesis!$H$186/Thesis!$H$158</f>
        <v>0.291219860009375</v>
      </c>
      <c r="I187" s="13" t="n">
        <f aca="false">Thesis!$I$186/Thesis!$I$158</f>
        <v>0.128010876098173</v>
      </c>
      <c r="J187" s="13" t="n">
        <f aca="false">Thesis!$J$186/Thesis!$J$158</f>
        <v>0.099336477985118</v>
      </c>
      <c r="K187" s="13" t="n">
        <f aca="false">Thesis!$K$186/Thesis!$K$158</f>
        <v>0.0593918742954412</v>
      </c>
      <c r="L187" s="13" t="n">
        <f aca="false">Thesis!$L$186/Thesis!$L$158</f>
        <v>0.0352994184800023</v>
      </c>
      <c r="M187" s="13" t="n">
        <f aca="false">Thesis!$M$186/Thesis!$M$158</f>
        <v>0.0232090659182455</v>
      </c>
      <c r="N187" s="13" t="n">
        <f aca="false">Thesis!$N$186/Thesis!$N$158</f>
        <v>0.591338253041814</v>
      </c>
      <c r="O187" s="13" t="n">
        <f aca="false">Thesis!$O$186/Thesis!$O$158</f>
        <v>0.668792929107785</v>
      </c>
    </row>
    <row r="188" customFormat="false" ht="17.15" hidden="false" customHeight="false" outlineLevel="0" collapsed="false">
      <c r="A188" s="5" t="s">
        <v>704</v>
      </c>
      <c r="B188" s="0" t="s">
        <v>91</v>
      </c>
      <c r="C188" s="41" t="n">
        <v>0</v>
      </c>
      <c r="D188" s="41" t="n">
        <v>0</v>
      </c>
      <c r="E188" s="41" t="n">
        <v>0</v>
      </c>
      <c r="F188" s="40" t="n">
        <f aca="false">IF(internal_ai_reading=2,1,0)*(1-ext_sh)/ext_sh*(mw_open*he_open+Thesis!$F$156*Thesis!$F$153)*Thesis!$F$142/1000</f>
        <v>2.04563992978455</v>
      </c>
      <c r="G188" s="40" t="n">
        <f aca="false">Thesis!$E$188+Thesis!$F$188</f>
        <v>2.04563992978455</v>
      </c>
      <c r="H188" s="40" t="n">
        <f aca="false">IF(internal_ai_reading=2,1,0)*(1-ext_sh)/ext_sh*(mw_open*he_open+Thesis!$H$156*Thesis!$H$153)*Thesis!$H$142/1000</f>
        <v>13.5821231954161</v>
      </c>
      <c r="I188" s="40" t="n">
        <f aca="false">IF(internal_ai_reading=2,1,0)*(1-ext_sh)/ext_sh*(mw_open*he_open+Thesis!$I$156*Thesis!$I$153)*Thesis!$I$142/1000</f>
        <v>22.4328232759346</v>
      </c>
      <c r="J188" s="40" t="n">
        <f aca="false">IF(internal_ai_reading=2,1,0)*(1-ext_sh)/ext_sh*(mw_open*he_open+Thesis!$J$156*Thesis!$J$153)*Thesis!$J$142/1000</f>
        <v>31.3318430178186</v>
      </c>
      <c r="K188" s="40" t="n">
        <f aca="false">IF(internal_ai_reading=2,1,0)*(1-ext_sh)/ext_sh*(mw_open*he_open+Thesis!$K$156*Thesis!$K$153)*Thesis!$K$142/1000</f>
        <v>38.9214854198582</v>
      </c>
      <c r="L188" s="40" t="n">
        <f aca="false">IF(internal_ai_reading=2,1,0)*(1-ext_sh)/ext_sh*(mw_open*he_open+Thesis!$L$156*Thesis!$L$153)*Thesis!$L$142/1000</f>
        <v>43.9069229619177</v>
      </c>
      <c r="M188" s="40" t="n">
        <f aca="false">IF(internal_ai_reading=2,1,0)*(1-ext_sh)/ext_sh*(mw_open*he_open+Thesis!$M$156*Thesis!$M$153)*Thesis!$M$142/1000</f>
        <v>46.2802916219089</v>
      </c>
      <c r="N188" s="41" t="n">
        <v>0</v>
      </c>
      <c r="O188" s="41" t="n">
        <v>0</v>
      </c>
      <c r="P188" s="8" t="s">
        <v>705</v>
      </c>
    </row>
    <row r="189" customFormat="false" ht="17.15" hidden="false" customHeight="false" outlineLevel="0" collapsed="false">
      <c r="A189" s="5" t="s">
        <v>706</v>
      </c>
      <c r="B189" s="0" t="s">
        <v>91</v>
      </c>
      <c r="C189" s="40" t="n">
        <f aca="false">(1-ext_sh)*(Thesis!$C$160+Thesis!$C$182)</f>
        <v>0.169206631859174</v>
      </c>
      <c r="D189" s="40" t="n">
        <f aca="false">(1-ext_sh)*(Thesis!$D$160+Thesis!$D$182)</f>
        <v>0.828129837730442</v>
      </c>
      <c r="E189" s="40" t="n">
        <f aca="false">(1-ext_sh)*(Thesis!$E$160+Thesis!$E$182)</f>
        <v>2.47149617002198</v>
      </c>
      <c r="F189" s="40" t="n">
        <f aca="false">(1-ext_sh)*(Thesis!$F$160+Thesis!$F$182)</f>
        <v>1.0018333006889</v>
      </c>
      <c r="G189" s="40" t="n">
        <f aca="false">(1-ext_sh)*(Thesis!$G$160+Thesis!$G$182)</f>
        <v>3.47332947071088</v>
      </c>
      <c r="H189" s="40" t="n">
        <f aca="false">(1-ext_sh)*(Thesis!$H$160+Thesis!$H$182)</f>
        <v>8.54151438097997</v>
      </c>
      <c r="I189" s="40" t="n">
        <f aca="false">(1-ext_sh)*(Thesis!$I$160+Thesis!$I$182)</f>
        <v>16.8748995120144</v>
      </c>
      <c r="J189" s="40" t="n">
        <f aca="false">(1-ext_sh)*(Thesis!$J$160+Thesis!$J$182)</f>
        <v>24.041622128762</v>
      </c>
      <c r="K189" s="40" t="n">
        <f aca="false">(1-ext_sh)*(Thesis!$K$160+Thesis!$K$182)</f>
        <v>30.9969286546569</v>
      </c>
      <c r="L189" s="40" t="n">
        <f aca="false">(1-ext_sh)*(Thesis!$L$160+Thesis!$L$182)</f>
        <v>35.758324665946</v>
      </c>
      <c r="M189" s="40" t="n">
        <f aca="false">(1-ext_sh)*(Thesis!$M$160+Thesis!$M$182)</f>
        <v>38.1188912537568</v>
      </c>
      <c r="N189" s="40" t="n">
        <f aca="false">(1-ext_sh)*(Thesis!$N$160+Thesis!$N$182)</f>
        <v>0.566880601147126</v>
      </c>
      <c r="O189" s="40" t="n">
        <f aca="false">(1-ext_sh)*(Thesis!$O$160+Thesis!$O$182)</f>
        <v>0.261249236583316</v>
      </c>
    </row>
    <row r="190" customFormat="false" ht="17.15" hidden="false" customHeight="false" outlineLevel="0" collapsed="false">
      <c r="A190" s="0" t="s">
        <v>707</v>
      </c>
      <c r="B190" s="0" t="s">
        <v>91</v>
      </c>
      <c r="C190" s="40" t="n">
        <f aca="false">Q!$D$25</f>
        <v>39.834</v>
      </c>
      <c r="D190" s="40" t="n">
        <f aca="false">Q!$E$25</f>
        <v>45.606</v>
      </c>
      <c r="E190" s="40" t="n">
        <f aca="false">Q!$O$25</f>
        <v>48.555</v>
      </c>
      <c r="N190" s="40" t="n">
        <f aca="false">Q!$N$25</f>
        <v>33.141</v>
      </c>
      <c r="O190" s="40" t="n">
        <f aca="false">Q!$J$25</f>
        <v>12.465</v>
      </c>
    </row>
    <row r="191" customFormat="false" ht="17.15" hidden="false" customHeight="false" outlineLevel="0" collapsed="false">
      <c r="A191" s="0" t="s">
        <v>708</v>
      </c>
      <c r="B191" s="0" t="s">
        <v>91</v>
      </c>
      <c r="C191" s="40" t="n">
        <f aca="false">Thesis!$C$190-Thesis!$C$186</f>
        <v>38.1898211704631</v>
      </c>
      <c r="D191" s="40" t="n">
        <f aca="false">Thesis!$D$190-Thesis!$D$186</f>
        <v>40.2147492622706</v>
      </c>
      <c r="E191" s="40" t="n">
        <f aca="false">Thesis!$E$190-Thesis!$E$186</f>
        <v>42.2402766241401</v>
      </c>
      <c r="F191" s="40" t="n">
        <f aca="false">Thesis!$F$162*Thesis!$F$192</f>
        <v>13.6943139813566</v>
      </c>
      <c r="G191" s="40" t="n">
        <f aca="false">Thesis!$E$191+Thesis!$F$191</f>
        <v>55.9345906054967</v>
      </c>
      <c r="H191" s="40" t="n">
        <f aca="false">Thesis!$H$162*Thesis!$H$192</f>
        <v>61.088168450178</v>
      </c>
      <c r="I191" s="40" t="n">
        <f aca="false">Thesis!$I$162*Thesis!$I$192</f>
        <v>67.8233475699772</v>
      </c>
      <c r="J191" s="40" t="n">
        <f aca="false">Thesis!$J$162*Thesis!$J$192</f>
        <v>74.2751592782286</v>
      </c>
      <c r="K191" s="40" t="n">
        <f aca="false">Thesis!$K$162*Thesis!$K$192</f>
        <v>80.2171720204868</v>
      </c>
      <c r="L191" s="40" t="n">
        <f aca="false">Thesis!$L$162*Thesis!$L$192</f>
        <v>86.6345457821258</v>
      </c>
      <c r="M191" s="40" t="n">
        <f aca="false">Thesis!$M$162*Thesis!$M$192</f>
        <v>93.5653094446959</v>
      </c>
      <c r="N191" s="40" t="n">
        <f aca="false">Thesis!$N$190-Thesis!$N$186</f>
        <v>29.8598689730734</v>
      </c>
      <c r="O191" s="40" t="n">
        <f aca="false">Thesis!$O$190-Thesis!$O$186</f>
        <v>10.3548802891972</v>
      </c>
      <c r="P191" s="5" t="s">
        <v>709</v>
      </c>
    </row>
    <row r="192" customFormat="false" ht="17.15" hidden="false" customHeight="false" outlineLevel="0" collapsed="false">
      <c r="A192" s="0" t="s">
        <v>710</v>
      </c>
      <c r="B192" s="0" t="s">
        <v>56</v>
      </c>
      <c r="C192" s="13" t="n">
        <f aca="false">Thesis!$C$191/Thesis!$C$162</f>
        <v>0.362900395443635</v>
      </c>
      <c r="D192" s="13" t="n">
        <f aca="false">Thesis!$D$191/Thesis!$D$162</f>
        <v>0.335063632425483</v>
      </c>
      <c r="E192" s="13" t="n">
        <f aca="false">Thesis!$E$191/Thesis!$E$162</f>
        <v>0.385395924436527</v>
      </c>
      <c r="F192" s="13" t="n">
        <f aca="false">(Thesis!$O$191+Thesis!$E$191)/(Thesis!$O$162+Thesis!$E$162)</f>
        <v>0.37032016673748</v>
      </c>
      <c r="G192" s="13" t="n">
        <f aca="false">Thesis!$G$191/Thesis!$G$162</f>
        <v>0.381592615841289</v>
      </c>
      <c r="H192" s="13" t="n">
        <f aca="false">Thesis!$F$192</f>
        <v>0.37032016673748</v>
      </c>
      <c r="I192" s="13" t="n">
        <f aca="false">Thesis!$F$192</f>
        <v>0.37032016673748</v>
      </c>
      <c r="J192" s="13" t="n">
        <f aca="false">Thesis!$F$192</f>
        <v>0.37032016673748</v>
      </c>
      <c r="K192" s="13" t="n">
        <f aca="false">Thesis!$F$192</f>
        <v>0.37032016673748</v>
      </c>
      <c r="L192" s="13" t="n">
        <f aca="false">Thesis!$F$192</f>
        <v>0.37032016673748</v>
      </c>
      <c r="M192" s="13" t="n">
        <f aca="false">Thesis!$F$192</f>
        <v>0.37032016673748</v>
      </c>
      <c r="N192" s="13" t="n">
        <f aca="false">Thesis!$N$191/Thesis!$N$162</f>
        <v>0.340876409421015</v>
      </c>
      <c r="O192" s="13" t="n">
        <f aca="false">Thesis!$O$191/Thesis!$O$162</f>
        <v>0.319359657808422</v>
      </c>
      <c r="P192" s="8" t="s">
        <v>711</v>
      </c>
    </row>
    <row r="193" customFormat="false" ht="17.15" hidden="false" customHeight="false" outlineLevel="0" collapsed="false">
      <c r="A193" s="0" t="s">
        <v>712</v>
      </c>
      <c r="B193" s="0" t="s">
        <v>56</v>
      </c>
      <c r="D193" s="13" t="n">
        <f aca="false">(Q!$E$33-ext_sh*Thesis!$D$182)/Thesis!$D$162</f>
        <v>0.167180325480118</v>
      </c>
    </row>
    <row r="194" customFormat="false" ht="17.15" hidden="false" customHeight="false" outlineLevel="0" collapsed="false">
      <c r="A194" s="0" t="s">
        <v>713</v>
      </c>
      <c r="B194" s="0" t="s">
        <v>91</v>
      </c>
      <c r="C194" s="40" t="n">
        <f aca="false">Q!$D$33</f>
        <v>13.32</v>
      </c>
      <c r="D194" s="40" t="n">
        <f aca="false">Q!$E$33</f>
        <v>21.45</v>
      </c>
      <c r="E194" s="40" t="n">
        <f aca="false">Q!$O$33</f>
        <v>23.8172847708625</v>
      </c>
      <c r="F194" s="40" t="n">
        <f aca="false">ext_sh*Thesis!$F$182+Thesis!$D$193*Thesis!$F$162</f>
        <v>8.28155769350516</v>
      </c>
      <c r="G194" s="40" t="n">
        <f aca="false">Thesis!$E$194+Thesis!$F$194</f>
        <v>32.0988424643677</v>
      </c>
      <c r="H194" s="40" t="n">
        <f aca="false">ext_sh*Thesis!$H$182+Thesis!$D$193*Thesis!$H$162</f>
        <v>48.7469278856268</v>
      </c>
      <c r="I194" s="40" t="n">
        <f aca="false">ext_sh*Thesis!$I$182+Thesis!$D$193*Thesis!$I$162</f>
        <v>76.4669223006817</v>
      </c>
      <c r="J194" s="40" t="n">
        <f aca="false">ext_sh*Thesis!$J$182+Thesis!$D$193*Thesis!$J$162</f>
        <v>99.3763394539051</v>
      </c>
      <c r="K194" s="40" t="n">
        <f aca="false">ext_sh*Thesis!$K$182+Thesis!$D$193*Thesis!$K$162</f>
        <v>122.481549194278</v>
      </c>
      <c r="L194" s="40" t="n">
        <f aca="false">ext_sh*Thesis!$L$182+Thesis!$D$193*Thesis!$L$162</f>
        <v>139.564108797953</v>
      </c>
      <c r="M194" s="40" t="n">
        <f aca="false">ext_sh*Thesis!$M$182+Thesis!$D$193*Thesis!$M$162</f>
        <v>149.816114943274</v>
      </c>
      <c r="N194" s="40" t="n">
        <f aca="false">Q!$N$33</f>
        <v>14.882</v>
      </c>
      <c r="O194" s="40" t="n">
        <f aca="false">Q!$J$33</f>
        <v>6.568</v>
      </c>
    </row>
    <row r="195" customFormat="false" ht="17.15" hidden="false" customHeight="false" outlineLevel="0" collapsed="false">
      <c r="A195" s="1" t="s">
        <v>714</v>
      </c>
    </row>
    <row r="196" customFormat="false" ht="17.15" hidden="false" customHeight="false" outlineLevel="0" collapsed="false">
      <c r="A196" s="15" t="s">
        <v>715</v>
      </c>
      <c r="B196" s="14" t="s">
        <v>56</v>
      </c>
      <c r="C196" s="14"/>
      <c r="D196" s="14"/>
      <c r="E196" s="14"/>
      <c r="F196" s="14"/>
      <c r="G196" s="17" t="n">
        <f aca="false">Thesis!$G$186*(1-tax)/(ext_sh*(Thesis!$D$183+Thesis!$G$183)/2)</f>
        <v>0.0619642656010304</v>
      </c>
      <c r="H196" s="17" t="n">
        <f aca="false">Thesis!$H$186*(1-tax)/(ext_sh*(Thesis!$G$183+Thesis!$H$183)/2)</f>
        <v>0.0465979959092073</v>
      </c>
      <c r="I196" s="17" t="n">
        <f aca="false">Thesis!$I$186*(1-tax)/(ext_sh*(Thesis!$H$183+Thesis!$I$183)/2)</f>
        <v>0.0227610509439038</v>
      </c>
      <c r="J196" s="17" t="n">
        <f aca="false">Thesis!$J$186*(1-tax)/(ext_sh*(Thesis!$I$183+Thesis!$J$183)/2)</f>
        <v>0.0193700626311102</v>
      </c>
      <c r="K196" s="17" t="n">
        <f aca="false">Thesis!$K$186*(1-tax)/(ext_sh*(Thesis!$J$183+Thesis!$K$183)/2)</f>
        <v>0.0127617000871697</v>
      </c>
      <c r="L196" s="17" t="n">
        <f aca="false">Thesis!$L$186*(1-tax)/(ext_sh*(Thesis!$K$183+Thesis!$L$183)/2)</f>
        <v>0.0084008267922601</v>
      </c>
      <c r="M196" s="17" t="n">
        <f aca="false">Thesis!$M$186*(1-tax)/(ext_sh*(Thesis!$L$183+Thesis!$M$183)/2)</f>
        <v>0.0059651244622717</v>
      </c>
      <c r="N196" s="14"/>
      <c r="O196" s="14"/>
      <c r="P196" s="8" t="s">
        <v>716</v>
      </c>
    </row>
    <row r="197" customFormat="false" ht="17.15" hidden="false" customHeight="false" outlineLevel="0" collapsed="false">
      <c r="A197" s="5" t="s">
        <v>717</v>
      </c>
      <c r="B197" s="0" t="s">
        <v>61</v>
      </c>
      <c r="H197" s="21" t="n">
        <f aca="false">Thesis!$H$158*1000/(mw_open*he_open+Thesis!$H$156*Thesis!$H$153)</f>
        <v>0.887269741231569</v>
      </c>
      <c r="I197" s="21" t="n">
        <f aca="false">Thesis!$I$158*1000/(mw_open*he_open+Thesis!$I$156*Thesis!$I$153)</f>
        <v>0.862672973239064</v>
      </c>
      <c r="J197" s="21" t="n">
        <f aca="false">Thesis!$J$158*1000/(mw_open*he_open+Thesis!$J$156*Thesis!$J$153)</f>
        <v>0.851952244335174</v>
      </c>
      <c r="K197" s="21" t="n">
        <f aca="false">Thesis!$K$158*1000/(mw_open*he_open+Thesis!$K$156*Thesis!$K$153)</f>
        <v>0.846682397580613</v>
      </c>
      <c r="L197" s="21" t="n">
        <f aca="false">Thesis!$L$158*1000/(mw_open*he_open+Thesis!$L$156*Thesis!$L$153)</f>
        <v>0.844212193176891</v>
      </c>
      <c r="M197" s="21" t="n">
        <f aca="false">Thesis!$M$158*1000/(mw_open*he_open+Thesis!$M$156*Thesis!$M$153)</f>
        <v>0.843223211751805</v>
      </c>
    </row>
    <row r="198" customFormat="false" ht="17.15" hidden="false" customHeight="false" outlineLevel="0" collapsed="false">
      <c r="A198" s="5" t="s">
        <v>718</v>
      </c>
      <c r="B198" s="0" t="s">
        <v>61</v>
      </c>
      <c r="H198" s="21" t="n">
        <f aca="false">Thesis!$H$197*(Thesis!$H$158+wacc*ext_sh*(Thesis!$G$183+Thesis!$H$183)/2/(1-tax)-Thesis!$H$186)/Thesis!$H$158</f>
        <v>1.2495603691001</v>
      </c>
      <c r="I198" s="21" t="n">
        <f aca="false">Thesis!$I$197*(Thesis!$I$158+wacc*ext_sh*(Thesis!$H$183+Thesis!$I$183)/2/(1-tax)-Thesis!$I$186)/Thesis!$I$158</f>
        <v>1.29531658657202</v>
      </c>
      <c r="J198" s="21" t="n">
        <f aca="false">Thesis!$J$197*(Thesis!$J$158+wacc*ext_sh*(Thesis!$I$183+Thesis!$J$183)/2/(1-tax)-Thesis!$J$186)/Thesis!$J$158</f>
        <v>1.25637105868111</v>
      </c>
      <c r="K198" s="21" t="n">
        <f aca="false">Thesis!$K$197*(Thesis!$K$158+wacc*ext_sh*(Thesis!$J$183+Thesis!$K$183)/2/(1-tax)-Thesis!$K$186)/Thesis!$K$158</f>
        <v>1.23745687469817</v>
      </c>
      <c r="L198" s="21" t="n">
        <f aca="false">Thesis!$L$197*(Thesis!$L$158+wacc*ext_sh*(Thesis!$K$183+Thesis!$L$183)/2/(1-tax)-Thesis!$L$186)/Thesis!$L$158</f>
        <v>1.21147215032837</v>
      </c>
      <c r="M198" s="21" t="n">
        <f aca="false">Thesis!$M$197*(Thesis!$M$158+wacc*ext_sh*(Thesis!$L$183+Thesis!$M$183)/2/(1-tax)-Thesis!$M$186)/Thesis!$M$158</f>
        <v>1.19088424428048</v>
      </c>
    </row>
    <row r="199" customFormat="false" ht="17.15" hidden="false" customHeight="false" outlineLevel="0" collapsed="false">
      <c r="A199" s="5" t="s">
        <v>719</v>
      </c>
      <c r="B199" s="0" t="s">
        <v>56</v>
      </c>
      <c r="C199" s="13" t="n">
        <f aca="false">Thesis!$C$159/tk_pq</f>
        <v>0.195316432429398</v>
      </c>
      <c r="D199" s="13" t="n">
        <f aca="false">Thesis!$D$159/tk_pq</f>
        <v>0.195316432429398</v>
      </c>
      <c r="E199" s="13" t="n">
        <f aca="false">Thesis!$E$159/tk_pq</f>
        <v>0.195316432429398</v>
      </c>
      <c r="F199" s="13" t="n">
        <f aca="false">Thesis!$F$159/tk_pq</f>
        <v>0.175303395998489</v>
      </c>
      <c r="G199" s="13" t="n">
        <f aca="false">Thesis!$G$159/tk_pq</f>
        <v>0.188448698608609</v>
      </c>
      <c r="H199" s="13" t="n">
        <f aca="false">Thesis!$H$159/tk_pq</f>
        <v>0.165882472480968</v>
      </c>
      <c r="I199" s="13" t="n">
        <f aca="false">Thesis!$I$159/tk_pq</f>
        <v>0.161877240702116</v>
      </c>
      <c r="J199" s="13" t="n">
        <f aca="false">Thesis!$J$159/tk_pq</f>
        <v>0.160368604761812</v>
      </c>
      <c r="K199" s="13" t="n">
        <f aca="false">Thesis!$K$159/tk_pq</f>
        <v>0.159597598389424</v>
      </c>
      <c r="L199" s="13" t="n">
        <f aca="false">Thesis!$L$159/tk_pq</f>
        <v>0.159234129958189</v>
      </c>
      <c r="M199" s="13" t="n">
        <f aca="false">Thesis!$M$159/tk_pq</f>
        <v>0.159059663732881</v>
      </c>
      <c r="N199" s="13" t="n">
        <f aca="false">Thesis!$N$159/tk_pq</f>
        <v>0.195316432429398</v>
      </c>
      <c r="O199" s="13" t="n">
        <f aca="false">Thesis!$O$159/tk_pq</f>
        <v>0.195316432429398</v>
      </c>
      <c r="P199" s="5" t="s">
        <v>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723</v>
      </c>
    </row>
    <row r="4" customFormat="false" ht="19.4" hidden="false" customHeight="false" outlineLevel="0" collapsed="false">
      <c r="A4" s="35" t="s">
        <v>724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3" t="s">
        <v>542</v>
      </c>
      <c r="D5" s="23" t="s">
        <v>543</v>
      </c>
      <c r="E5" s="23" t="s">
        <v>631</v>
      </c>
      <c r="F5" s="23" t="s">
        <v>632</v>
      </c>
      <c r="G5" s="23" t="s">
        <v>633</v>
      </c>
      <c r="H5" s="23" t="s">
        <v>634</v>
      </c>
      <c r="I5" s="23" t="s">
        <v>635</v>
      </c>
      <c r="J5" s="23" t="s">
        <v>636</v>
      </c>
      <c r="K5" s="23" t="s">
        <v>637</v>
      </c>
      <c r="L5" s="23" t="s">
        <v>638</v>
      </c>
      <c r="M5" s="23" t="s">
        <v>639</v>
      </c>
      <c r="N5" s="23" t="s">
        <v>640</v>
      </c>
      <c r="O5" s="23" t="s">
        <v>641</v>
      </c>
      <c r="P5" s="6" t="s">
        <v>23</v>
      </c>
      <c r="R5" s="23" t="n">
        <v>2023</v>
      </c>
      <c r="S5" s="23" t="n">
        <v>2024</v>
      </c>
      <c r="T5" s="23" t="n">
        <v>2025</v>
      </c>
      <c r="U5" s="23" t="n">
        <v>2026</v>
      </c>
      <c r="V5" s="23" t="n">
        <v>2027</v>
      </c>
      <c r="W5" s="23" t="n">
        <v>2028</v>
      </c>
      <c r="X5" s="23" t="n">
        <v>2029</v>
      </c>
      <c r="Y5" s="23" t="n">
        <v>2030</v>
      </c>
      <c r="Z5" s="23" t="n">
        <v>2031</v>
      </c>
      <c r="AA5" s="23" t="n">
        <v>2032</v>
      </c>
    </row>
    <row r="6" customFormat="false" ht="17.15" hidden="false" customHeight="false" outlineLevel="0" collapsed="false">
      <c r="A6" s="1" t="s">
        <v>725</v>
      </c>
    </row>
    <row r="7" customFormat="false" ht="17.15" hidden="false" customHeight="false" outlineLevel="0" collapsed="false">
      <c r="A7" s="0" t="s">
        <v>564</v>
      </c>
      <c r="B7" s="0" t="s">
        <v>91</v>
      </c>
      <c r="C7" s="40" t="n">
        <f aca="false">Q!$D$10</f>
        <v>247.029</v>
      </c>
      <c r="D7" s="40" t="n">
        <f aca="false">Q!$E$10</f>
        <v>269.287</v>
      </c>
      <c r="E7" s="40" t="n">
        <f aca="false">Q!$O$10</f>
        <v>203.156</v>
      </c>
      <c r="F7" s="40" t="n">
        <f aca="false">Seg!$O$7*(1+Seg!$F$8)*Seg!$F$19</f>
        <v>90.388463759573</v>
      </c>
      <c r="G7" s="40" t="n">
        <f aca="false">Seg!$E$7+Seg!$F$7</f>
        <v>293.544463759573</v>
      </c>
      <c r="H7" s="40" t="n">
        <f aca="false">Seg!$G$7*(1+Seg!$H$8)</f>
        <v>317.13448447826</v>
      </c>
      <c r="I7" s="40" t="n">
        <f aca="false">Seg!$H$7*(1+Seg!$I$8)</f>
        <v>339.410577938345</v>
      </c>
      <c r="J7" s="40" t="n">
        <f aca="false">Seg!$I$7*(1+Seg!$J$8)</f>
        <v>359.816245442206</v>
      </c>
      <c r="K7" s="40" t="n">
        <f aca="false">Seg!$J$7*(1+Seg!$K$8)</f>
        <v>377.807057714316</v>
      </c>
      <c r="L7" s="40" t="n">
        <f aca="false">Seg!$K$7*(1+Seg!$L$8)</f>
        <v>396.697410600032</v>
      </c>
      <c r="M7" s="40" t="n">
        <f aca="false">Seg!$L$7*(1+Seg!$M$8)</f>
        <v>416.532281130034</v>
      </c>
      <c r="N7" s="40" t="n">
        <f aca="false">Q!$N$10</f>
        <v>186.299</v>
      </c>
      <c r="O7" s="40" t="n">
        <f aca="false">Q!$J$10</f>
        <v>82.988</v>
      </c>
      <c r="P7" s="8" t="s">
        <v>726</v>
      </c>
    </row>
    <row r="8" customFormat="false" ht="17.15" hidden="false" customHeight="false" outlineLevel="0" collapsed="false">
      <c r="A8" s="0" t="s">
        <v>727</v>
      </c>
      <c r="B8" s="0" t="s">
        <v>56</v>
      </c>
      <c r="E8" s="13" t="n">
        <f aca="false">Seg!$E$7/Seg!$N$7-1</f>
        <v>0.0904835774749195</v>
      </c>
      <c r="F8" s="13" t="n">
        <f aca="false">Seg!$E$8</f>
        <v>0.0904835774749195</v>
      </c>
      <c r="G8" s="13" t="n">
        <f aca="false">Seg!$G$7/Seg!$D$7-1</f>
        <v>0.0900803371851333</v>
      </c>
      <c r="H8" s="13" t="n">
        <f aca="false">Seg!$F$8+(g_os-Seg!$F$8)*1/4</f>
        <v>0.0803626831061896</v>
      </c>
      <c r="I8" s="13" t="n">
        <f aca="false">Seg!$F$8+(g_os-Seg!$F$8)*2/4</f>
        <v>0.0702417887374598</v>
      </c>
      <c r="J8" s="13" t="n">
        <f aca="false">Seg!$F$8+(g_os-Seg!$F$8)*3/4</f>
        <v>0.0601208943687299</v>
      </c>
      <c r="K8" s="13" t="n">
        <f aca="false">Seg!$F$8+(g_os-Seg!$F$8)*4/4</f>
        <v>0.05</v>
      </c>
      <c r="L8" s="13" t="n">
        <f aca="false">g_os</f>
        <v>0.05</v>
      </c>
      <c r="M8" s="13" t="n">
        <f aca="false">g_os</f>
        <v>0.05</v>
      </c>
      <c r="P8" s="8" t="s">
        <v>728</v>
      </c>
    </row>
    <row r="9" customFormat="false" ht="17.15" hidden="false" customHeight="false" outlineLevel="0" collapsed="false">
      <c r="A9" s="0" t="s">
        <v>565</v>
      </c>
      <c r="B9" s="0" t="s">
        <v>91</v>
      </c>
      <c r="C9" s="40" t="n">
        <f aca="false">Q!$D$11</f>
        <v>21.215</v>
      </c>
      <c r="D9" s="40" t="n">
        <f aca="false">Q!$E$11</f>
        <v>22.561</v>
      </c>
      <c r="E9" s="40" t="n">
        <f aca="false">Q!$O$11</f>
        <v>17.289</v>
      </c>
      <c r="F9" s="40" t="n">
        <f aca="false">Seg!$O$9*(1+Seg!$F$10)*Seg!$F$19</f>
        <v>6.05205510939944</v>
      </c>
      <c r="G9" s="40" t="n">
        <f aca="false">Seg!$E$9+Seg!$F$9</f>
        <v>23.3410551093994</v>
      </c>
      <c r="H9" s="40" t="n">
        <f aca="false">Seg!$G$9*(1+Seg!$H$10)</f>
        <v>24.1270238539533</v>
      </c>
      <c r="I9" s="40" t="n">
        <f aca="false">Seg!$H$9*(1+Seg!$I$10)</f>
        <v>24.9099173270163</v>
      </c>
      <c r="J9" s="40" t="n">
        <f aca="false">Seg!$I$9*(1+Seg!$J$10)</f>
        <v>25.6877148084528</v>
      </c>
      <c r="K9" s="40" t="n">
        <f aca="false">Seg!$J$9*(1+Seg!$K$10)</f>
        <v>26.4583462527063</v>
      </c>
      <c r="L9" s="40" t="n">
        <f aca="false">Seg!$K$9*(1+Seg!$L$10)</f>
        <v>27.2520966402875</v>
      </c>
      <c r="M9" s="40" t="n">
        <f aca="false">Seg!$L$9*(1+Seg!$M$10)</f>
        <v>28.0696595394962</v>
      </c>
      <c r="N9" s="40" t="n">
        <f aca="false">Q!$N$11</f>
        <v>16.706</v>
      </c>
      <c r="O9" s="40" t="n">
        <f aca="false">Q!$J$11</f>
        <v>5.855</v>
      </c>
      <c r="P9" s="8" t="s">
        <v>726</v>
      </c>
    </row>
    <row r="10" customFormat="false" ht="17.15" hidden="false" customHeight="false" outlineLevel="0" collapsed="false">
      <c r="A10" s="0" t="s">
        <v>729</v>
      </c>
      <c r="B10" s="0" t="s">
        <v>56</v>
      </c>
      <c r="E10" s="13" t="n">
        <f aca="false">Seg!$E$9/Seg!$N$9-1</f>
        <v>0.0348976415659046</v>
      </c>
      <c r="F10" s="13" t="n">
        <f aca="false">Seg!$E$10</f>
        <v>0.0348976415659046</v>
      </c>
      <c r="G10" s="13" t="n">
        <f aca="false">Seg!$G$9/Seg!$D$9-1</f>
        <v>0.0345753782810796</v>
      </c>
      <c r="H10" s="13" t="n">
        <f aca="false">Seg!$F$10+(g_ps-Seg!$F$10)*1/4</f>
        <v>0.0336732311744284</v>
      </c>
      <c r="I10" s="13" t="n">
        <f aca="false">Seg!$F$10+(g_ps-Seg!$F$10)*2/4</f>
        <v>0.0324488207829523</v>
      </c>
      <c r="J10" s="13" t="n">
        <f aca="false">Seg!$F$10+(g_ps-Seg!$F$10)*3/4</f>
        <v>0.0312244103914761</v>
      </c>
      <c r="K10" s="13" t="n">
        <f aca="false">Seg!$F$10+(g_ps-Seg!$F$10)*4/4</f>
        <v>0.03</v>
      </c>
      <c r="L10" s="13" t="n">
        <f aca="false">g_ps</f>
        <v>0.03</v>
      </c>
      <c r="M10" s="13" t="n">
        <f aca="false">g_ps</f>
        <v>0.03</v>
      </c>
      <c r="P10" s="8" t="s">
        <v>730</v>
      </c>
    </row>
    <row r="11" customFormat="false" ht="17.15" hidden="false" customHeight="false" outlineLevel="0" collapsed="false">
      <c r="A11" s="0" t="s">
        <v>566</v>
      </c>
      <c r="B11" s="0" t="s">
        <v>91</v>
      </c>
      <c r="C11" s="40" t="n">
        <f aca="false">Q!$D$12</f>
        <v>156.146</v>
      </c>
      <c r="D11" s="40" t="n">
        <f aca="false">Q!$E$12</f>
        <v>172.162</v>
      </c>
      <c r="E11" s="40" t="n">
        <f aca="false">Q!$O$12</f>
        <v>134.85</v>
      </c>
      <c r="F11" s="40" t="n">
        <f aca="false">Seg!$O$11*(1+Seg!$F$12)*Seg!$F$19</f>
        <v>59.6056141851888</v>
      </c>
      <c r="G11" s="40" t="n">
        <f aca="false">Seg!$E$11+Seg!$F$11</f>
        <v>194.455614185189</v>
      </c>
      <c r="H11" s="40" t="n">
        <f aca="false">Seg!$G$11*(1+Seg!$H$12)</f>
        <v>216.80459217381</v>
      </c>
      <c r="I11" s="40" t="n">
        <f aca="false">Seg!$H$11*(1+Seg!$I$12)</f>
        <v>238.475078227356</v>
      </c>
      <c r="J11" s="40" t="n">
        <f aca="false">Seg!$I$11*(1+Seg!$J$12)</f>
        <v>258.739974865958</v>
      </c>
      <c r="K11" s="40" t="n">
        <f aca="false">Seg!$J$11*(1+Seg!$K$12)</f>
        <v>276.851773106575</v>
      </c>
      <c r="L11" s="40" t="n">
        <f aca="false">Seg!$K$11*(1+Seg!$L$12)</f>
        <v>296.231397224035</v>
      </c>
      <c r="M11" s="40" t="n">
        <f aca="false">Seg!$L$11*(1+Seg!$M$12)</f>
        <v>316.967595029718</v>
      </c>
      <c r="N11" s="40" t="n">
        <f aca="false">Q!$N$12</f>
        <v>119.346</v>
      </c>
      <c r="O11" s="40" t="n">
        <f aca="false">Q!$J$12</f>
        <v>52.816</v>
      </c>
      <c r="P11" s="8" t="s">
        <v>726</v>
      </c>
    </row>
    <row r="12" customFormat="false" ht="17.15" hidden="false" customHeight="false" outlineLevel="0" collapsed="false">
      <c r="A12" s="0" t="s">
        <v>731</v>
      </c>
      <c r="B12" s="0" t="s">
        <v>56</v>
      </c>
      <c r="E12" s="13" t="n">
        <f aca="false">Seg!$E$11/Seg!$N$11-1</f>
        <v>0.129907998592328</v>
      </c>
      <c r="F12" s="13" t="n">
        <f aca="false">Seg!$E$12</f>
        <v>0.129907998592328</v>
      </c>
      <c r="G12" s="13" t="n">
        <f aca="false">Seg!$G$11/Seg!$D$11-1</f>
        <v>0.129492072496769</v>
      </c>
      <c r="H12" s="13" t="n">
        <f aca="false">Seg!$F$12+(g_sp-Seg!$F$12)*1/4</f>
        <v>0.114930998944246</v>
      </c>
      <c r="I12" s="13" t="n">
        <f aca="false">Seg!$F$12+(g_sp-Seg!$F$12)*2/4</f>
        <v>0.0999539992961641</v>
      </c>
      <c r="J12" s="13" t="n">
        <f aca="false">Seg!$F$12+(g_sp-Seg!$F$12)*3/4</f>
        <v>0.084976999648082</v>
      </c>
      <c r="K12" s="13" t="n">
        <f aca="false">Seg!$F$12+(g_sp-Seg!$F$12)*4/4</f>
        <v>0.07</v>
      </c>
      <c r="L12" s="13" t="n">
        <f aca="false">g_sp</f>
        <v>0.07</v>
      </c>
      <c r="M12" s="13" t="n">
        <f aca="false">g_sp</f>
        <v>0.07</v>
      </c>
      <c r="P12" s="8" t="s">
        <v>732</v>
      </c>
    </row>
    <row r="13" customFormat="false" ht="17.15" hidden="false" customHeight="false" outlineLevel="0" collapsed="false">
      <c r="A13" s="0" t="s">
        <v>567</v>
      </c>
      <c r="B13" s="0" t="s">
        <v>91</v>
      </c>
      <c r="C13" s="40" t="n">
        <f aca="false">Q!$D$13</f>
        <v>56.214</v>
      </c>
      <c r="D13" s="40" t="n">
        <f aca="false">Q!$E$13</f>
        <v>68.635</v>
      </c>
      <c r="E13" s="40" t="n">
        <f aca="false">Q!$O$13</f>
        <v>56.689</v>
      </c>
      <c r="F13" s="40" t="n">
        <f aca="false">Seg!$O$13*(1+Seg!$F$14)*Seg!$F$19</f>
        <v>25.5080393747055</v>
      </c>
      <c r="G13" s="40" t="n">
        <f aca="false">Seg!$E$13+Seg!$F$13</f>
        <v>82.1970393747055</v>
      </c>
      <c r="H13" s="40" t="n">
        <f aca="false">Seg!$G$13*(1+Seg!$H$14)</f>
        <v>96.4608782883025</v>
      </c>
      <c r="I13" s="40" t="n">
        <f aca="false">Seg!$H$13*(1+Seg!$I$14)</f>
        <v>110.835624413712</v>
      </c>
      <c r="J13" s="40" t="n">
        <f aca="false">Seg!$I$13*(1+Seg!$J$14)</f>
        <v>124.635851912673</v>
      </c>
      <c r="K13" s="40" t="n">
        <f aca="false">Seg!$J$13*(1+Seg!$K$14)</f>
        <v>137.09943710394</v>
      </c>
      <c r="L13" s="40" t="n">
        <f aca="false">Seg!$K$13*(1+Seg!$L$14)</f>
        <v>150.809380814334</v>
      </c>
      <c r="M13" s="40" t="n">
        <f aca="false">Seg!$L$13*(1+Seg!$M$14)</f>
        <v>165.890318895768</v>
      </c>
      <c r="N13" s="40" t="n">
        <f aca="false">Q!$N$13</f>
        <v>47.318</v>
      </c>
      <c r="O13" s="40" t="n">
        <f aca="false">Q!$J$13</f>
        <v>21.317</v>
      </c>
      <c r="P13" s="8" t="s">
        <v>726</v>
      </c>
    </row>
    <row r="14" customFormat="false" ht="17.15" hidden="false" customHeight="false" outlineLevel="0" collapsed="false">
      <c r="A14" s="0" t="s">
        <v>733</v>
      </c>
      <c r="B14" s="0" t="s">
        <v>56</v>
      </c>
      <c r="E14" s="13" t="n">
        <f aca="false">Seg!$E$13/Seg!$N$13-1</f>
        <v>0.198043028023162</v>
      </c>
      <c r="F14" s="13" t="n">
        <f aca="false">Seg!$E$14</f>
        <v>0.198043028023162</v>
      </c>
      <c r="G14" s="13" t="n">
        <f aca="false">Seg!$G$13/Seg!$D$13-1</f>
        <v>0.197596552410657</v>
      </c>
      <c r="H14" s="13" t="n">
        <f aca="false">Seg!$F$14+(g_ad-Seg!$F$14)*1/4</f>
        <v>0.173532271017372</v>
      </c>
      <c r="I14" s="13" t="n">
        <f aca="false">Seg!$F$14+(g_ad-Seg!$F$14)*2/4</f>
        <v>0.149021514011581</v>
      </c>
      <c r="J14" s="13" t="n">
        <f aca="false">Seg!$F$14+(g_ad-Seg!$F$14)*3/4</f>
        <v>0.124510757005791</v>
      </c>
      <c r="K14" s="13" t="n">
        <f aca="false">Seg!$F$14+(g_ad-Seg!$F$14)*4/4</f>
        <v>0.1</v>
      </c>
      <c r="L14" s="13" t="n">
        <f aca="false">g_ad</f>
        <v>0.1</v>
      </c>
      <c r="M14" s="13" t="n">
        <f aca="false">g_ad</f>
        <v>0.1</v>
      </c>
      <c r="P14" s="8" t="s">
        <v>734</v>
      </c>
    </row>
    <row r="15" customFormat="false" ht="17.15" hidden="false" customHeight="false" outlineLevel="0" collapsed="false">
      <c r="A15" s="0" t="s">
        <v>568</v>
      </c>
      <c r="B15" s="0" t="s">
        <v>91</v>
      </c>
      <c r="C15" s="40" t="n">
        <f aca="false">Q!$D$14</f>
        <v>44.374</v>
      </c>
      <c r="D15" s="40" t="n">
        <f aca="false">Q!$E$14</f>
        <v>49.619</v>
      </c>
      <c r="E15" s="40" t="n">
        <f aca="false">Q!$O$14</f>
        <v>41.163</v>
      </c>
      <c r="F15" s="40" t="n">
        <f aca="false">Seg!$O$15*(1+Seg!$F$16)*Seg!$F$19</f>
        <v>14.7818388144754</v>
      </c>
      <c r="G15" s="40" t="n">
        <f aca="false">Seg!$E$15+Seg!$F$15</f>
        <v>55.9448388144754</v>
      </c>
      <c r="H15" s="40" t="n">
        <f aca="false">Seg!$G$15*(1+Seg!$H$16)</f>
        <v>62.2881216081287</v>
      </c>
      <c r="I15" s="40" t="n">
        <f aca="false">Seg!$H$15*(1+Seg!$I$16)</f>
        <v>68.4498533343906</v>
      </c>
      <c r="J15" s="40" t="n">
        <f aca="false">Seg!$I$15*(1+Seg!$J$16)</f>
        <v>74.2312327495396</v>
      </c>
      <c r="K15" s="40" t="n">
        <f aca="false">Seg!$J$15*(1+Seg!$K$16)</f>
        <v>79.4274190420074</v>
      </c>
      <c r="L15" s="40" t="n">
        <f aca="false">Seg!$K$15*(1+Seg!$L$16)</f>
        <v>84.9873383749479</v>
      </c>
      <c r="M15" s="40" t="n">
        <f aca="false">Seg!$L$15*(1+Seg!$M$16)</f>
        <v>90.9364520611943</v>
      </c>
      <c r="N15" s="40" t="n">
        <f aca="false">Q!$N$14</f>
        <v>36.497</v>
      </c>
      <c r="O15" s="40" t="n">
        <f aca="false">Q!$J$14</f>
        <v>13.122</v>
      </c>
      <c r="P15" s="8" t="s">
        <v>726</v>
      </c>
    </row>
    <row r="16" customFormat="false" ht="17.15" hidden="false" customHeight="false" outlineLevel="0" collapsed="false">
      <c r="A16" s="0" t="s">
        <v>735</v>
      </c>
      <c r="B16" s="0" t="s">
        <v>56</v>
      </c>
      <c r="E16" s="13" t="n">
        <f aca="false">Seg!$E$15/Seg!$N$15-1</f>
        <v>0.127846124338987</v>
      </c>
      <c r="F16" s="13" t="n">
        <f aca="false">Seg!$E$16</f>
        <v>0.127846124338987</v>
      </c>
      <c r="G16" s="13" t="n">
        <f aca="false">Seg!$G$15/Seg!$D$15-1</f>
        <v>0.127488236652803</v>
      </c>
      <c r="H16" s="13" t="n">
        <f aca="false">Seg!$F$16+(g_sub-Seg!$F$16)*1/4</f>
        <v>0.11338459325424</v>
      </c>
      <c r="I16" s="13" t="n">
        <f aca="false">Seg!$F$16+(g_sub-Seg!$F$16)*2/4</f>
        <v>0.0989230621694934</v>
      </c>
      <c r="J16" s="13" t="n">
        <f aca="false">Seg!$F$16+(g_sub-Seg!$F$16)*3/4</f>
        <v>0.0844615310847467</v>
      </c>
      <c r="K16" s="13" t="n">
        <f aca="false">Seg!$F$16+(g_sub-Seg!$F$16)*4/4</f>
        <v>0.07</v>
      </c>
      <c r="L16" s="13" t="n">
        <f aca="false">g_sub</f>
        <v>0.07</v>
      </c>
      <c r="M16" s="13" t="n">
        <f aca="false">g_sub</f>
        <v>0.07</v>
      </c>
      <c r="P16" s="8" t="s">
        <v>736</v>
      </c>
    </row>
    <row r="17" customFormat="false" ht="17.15" hidden="false" customHeight="false" outlineLevel="0" collapsed="false">
      <c r="A17" s="0" t="s">
        <v>569</v>
      </c>
      <c r="B17" s="0" t="s">
        <v>91</v>
      </c>
      <c r="C17" s="40" t="n">
        <f aca="false">Q!$D$15</f>
        <v>5.425</v>
      </c>
      <c r="D17" s="40" t="n">
        <f aca="false">Q!$E$15</f>
        <v>5.935</v>
      </c>
      <c r="E17" s="40" t="n">
        <f aca="false">Q!$O$15</f>
        <v>5.119</v>
      </c>
      <c r="F17" s="40" t="n">
        <f aca="false">Seg!$O$17*(1+Seg!$F$18)*Seg!$F$19</f>
        <v>2.06764643489463</v>
      </c>
      <c r="G17" s="40" t="n">
        <f aca="false">Seg!$E$17+Seg!$F$17</f>
        <v>7.18664643489463</v>
      </c>
      <c r="H17" s="40" t="n">
        <f aca="false">Seg!$G$17*(1+Seg!$H$18)</f>
        <v>8.41544223415965</v>
      </c>
      <c r="I17" s="40" t="n">
        <f aca="false">Seg!$H$17*(1+Seg!$I$18)</f>
        <v>9.51496576222195</v>
      </c>
      <c r="J17" s="40" t="n">
        <f aca="false">Seg!$I$17*(1+Seg!$J$18)</f>
        <v>10.3744310498661</v>
      </c>
      <c r="K17" s="40" t="n">
        <f aca="false">Seg!$J$17*(1+Seg!$K$18)</f>
        <v>10.8931526023594</v>
      </c>
      <c r="L17" s="40" t="n">
        <f aca="false">Seg!$K$17*(1+Seg!$L$18)</f>
        <v>11.4378102324774</v>
      </c>
      <c r="M17" s="40" t="n">
        <f aca="false">Seg!$L$17*(1+Seg!$M$18)</f>
        <v>12.0097007441012</v>
      </c>
      <c r="N17" s="40" t="n">
        <f aca="false">Q!$N$15</f>
        <v>4.226</v>
      </c>
      <c r="O17" s="40" t="n">
        <f aca="false">Q!$J$15</f>
        <v>1.709</v>
      </c>
      <c r="P17" s="8" t="s">
        <v>726</v>
      </c>
    </row>
    <row r="18" customFormat="false" ht="17.15" hidden="false" customHeight="false" outlineLevel="0" collapsed="false">
      <c r="A18" s="0" t="s">
        <v>737</v>
      </c>
      <c r="B18" s="0" t="s">
        <v>56</v>
      </c>
      <c r="E18" s="13" t="n">
        <f aca="false">Seg!$E$17/Seg!$N$17-1</f>
        <v>0.21131093232371</v>
      </c>
      <c r="F18" s="13" t="n">
        <f aca="false">Seg!$E$18</f>
        <v>0.21131093232371</v>
      </c>
      <c r="G18" s="13" t="n">
        <f aca="false">Seg!$G$17/Seg!$D$17-1</f>
        <v>0.210892406890418</v>
      </c>
      <c r="H18" s="13" t="n">
        <f aca="false">Seg!$F$18+(g_ot-Seg!$F$18)*1/4</f>
        <v>0.170983199242783</v>
      </c>
      <c r="I18" s="13" t="n">
        <f aca="false">Seg!$F$18+(g_ot-Seg!$F$18)*2/4</f>
        <v>0.130655466161855</v>
      </c>
      <c r="J18" s="13" t="n">
        <f aca="false">Seg!$F$18+(g_ot-Seg!$F$18)*3/4</f>
        <v>0.0903277330809276</v>
      </c>
      <c r="K18" s="13" t="n">
        <f aca="false">Seg!$F$18+(g_ot-Seg!$F$18)*4/4</f>
        <v>0.05</v>
      </c>
      <c r="L18" s="13" t="n">
        <f aca="false">g_ot</f>
        <v>0.05</v>
      </c>
      <c r="M18" s="13" t="n">
        <f aca="false">g_ot</f>
        <v>0.05</v>
      </c>
      <c r="P18" s="8" t="s">
        <v>738</v>
      </c>
    </row>
    <row r="19" customFormat="false" ht="17.15" hidden="false" customHeight="false" outlineLevel="0" collapsed="false">
      <c r="A19" s="0" t="s">
        <v>739</v>
      </c>
      <c r="B19" s="0" t="s">
        <v>61</v>
      </c>
      <c r="F19" s="42" t="n">
        <f aca="false">(g26q4_mid-Thesis!$F$92-Thesis!$F$96)/(Seg!$O$7*(1+Seg!$F$8)+Seg!$O$9*(1+Seg!$F$10)+Seg!$O$11*(1+Seg!$F$12)+Seg!$O$13*(1+Seg!$F$14)+Seg!$O$15*(1+Seg!$F$16)+Seg!$O$17*(1+Seg!$F$18))</f>
        <v>0.998800100483245</v>
      </c>
      <c r="P19" s="8" t="s">
        <v>740</v>
      </c>
    </row>
    <row r="20" customFormat="false" ht="17.15" hidden="false" customHeight="false" outlineLevel="0" collapsed="false">
      <c r="A20" s="3" t="s">
        <v>741</v>
      </c>
      <c r="B20" s="8" t="s">
        <v>91</v>
      </c>
      <c r="C20" s="40" t="n">
        <f aca="false">Seg!$C$7+Seg!$C$9+Seg!$C$11+Seg!$C$13+Seg!$C$15+Seg!$C$17</f>
        <v>530.403</v>
      </c>
      <c r="D20" s="40" t="n">
        <f aca="false">Seg!$D$7+Seg!$D$9+Seg!$D$11+Seg!$D$13+Seg!$D$15+Seg!$D$17</f>
        <v>588.199</v>
      </c>
      <c r="E20" s="40" t="n">
        <f aca="false">Seg!$E$7+Seg!$E$9+Seg!$E$11+Seg!$E$13+Seg!$E$15+Seg!$E$17</f>
        <v>458.266</v>
      </c>
      <c r="F20" s="40" t="n">
        <f aca="false">Seg!$F$7+Seg!$F$9+Seg!$F$11+Seg!$F$13+Seg!$F$15+Seg!$F$17</f>
        <v>198.403657678237</v>
      </c>
      <c r="G20" s="40" t="n">
        <f aca="false">Seg!$G$7+Seg!$G$9+Seg!$G$11+Seg!$G$13+Seg!$G$15+Seg!$G$17</f>
        <v>656.669657678237</v>
      </c>
      <c r="H20" s="40" t="n">
        <f aca="false">Seg!$H$7+Seg!$H$9+Seg!$H$11+Seg!$H$13+Seg!$H$15+Seg!$H$17</f>
        <v>725.230542636613</v>
      </c>
      <c r="I20" s="40" t="n">
        <f aca="false">Seg!$I$7+Seg!$I$9+Seg!$I$11+Seg!$I$13+Seg!$I$15+Seg!$I$17</f>
        <v>791.596017003042</v>
      </c>
      <c r="J20" s="40" t="n">
        <f aca="false">Seg!$J$7+Seg!$J$9+Seg!$J$11+Seg!$J$13+Seg!$J$15+Seg!$J$17</f>
        <v>853.485450828695</v>
      </c>
      <c r="K20" s="40" t="n">
        <f aca="false">Seg!$K$7+Seg!$K$9+Seg!$K$11+Seg!$K$13+Seg!$K$15+Seg!$K$17</f>
        <v>908.537185821905</v>
      </c>
      <c r="L20" s="40" t="n">
        <f aca="false">Seg!$L$7+Seg!$L$9+Seg!$L$11+Seg!$L$13+Seg!$L$15+Seg!$L$17</f>
        <v>967.415433886114</v>
      </c>
      <c r="M20" s="40" t="n">
        <f aca="false">Seg!$M$7+Seg!$M$9+Seg!$M$11+Seg!$M$13+Seg!$M$15+Seg!$M$17</f>
        <v>1030.40600740031</v>
      </c>
      <c r="N20" s="40" t="n">
        <f aca="false">Seg!$N$7+Seg!$N$9+Seg!$N$11+Seg!$N$13+Seg!$N$15+Seg!$N$17</f>
        <v>410.392</v>
      </c>
      <c r="O20" s="40" t="n">
        <f aca="false">Seg!$O$7+Seg!$O$9+Seg!$O$11+Seg!$O$13+Seg!$O$15+Seg!$O$17</f>
        <v>177.807</v>
      </c>
    </row>
    <row r="21" customFormat="false" ht="17.15" hidden="false" customHeight="false" outlineLevel="0" collapsed="false">
      <c r="A21" s="5" t="s">
        <v>742</v>
      </c>
      <c r="B21" s="0" t="s">
        <v>56</v>
      </c>
      <c r="C21" s="13" t="n">
        <f aca="false">Q!$D$5/(Q!$D$5+Q!$D$6)</f>
        <v>0.730570905519011</v>
      </c>
      <c r="D21" s="13" t="n">
        <f aca="false">Q!$E$5/(Q!$E$5+Q!$E$6)</f>
        <v>0.724763217890544</v>
      </c>
      <c r="E21" s="13" t="n">
        <f aca="false">Q!$O$5/(Q!$O$5+Q!$O$6)</f>
        <v>0.727027534226846</v>
      </c>
      <c r="F21" s="13" t="n">
        <f aca="false">Seg!$O$21</f>
        <v>0.714724392178036</v>
      </c>
      <c r="G21" s="13" t="n">
        <f aca="false">Seg!$G$22/Seg!$G$20</f>
        <v>0.723310309965184</v>
      </c>
      <c r="H21" s="13" t="n">
        <f aca="false">Seg!$G$21</f>
        <v>0.723310309965184</v>
      </c>
      <c r="I21" s="13" t="n">
        <f aca="false">Seg!$G$21</f>
        <v>0.723310309965184</v>
      </c>
      <c r="J21" s="13" t="n">
        <f aca="false">Seg!$G$21</f>
        <v>0.723310309965184</v>
      </c>
      <c r="K21" s="13" t="n">
        <f aca="false">Seg!$G$21</f>
        <v>0.723310309965184</v>
      </c>
      <c r="L21" s="13" t="n">
        <f aca="false">Seg!$G$21</f>
        <v>0.723310309965184</v>
      </c>
      <c r="M21" s="13" t="n">
        <f aca="false">Seg!$G$21</f>
        <v>0.723310309965184</v>
      </c>
      <c r="N21" s="13" t="n">
        <f aca="false">Q!$N$5/(Q!$N$5+Q!$N$6)</f>
        <v>0.729112653268095</v>
      </c>
      <c r="O21" s="13" t="n">
        <f aca="false">Q!$J$5/(Q!$J$5+Q!$J$6)</f>
        <v>0.714724392178036</v>
      </c>
      <c r="P21" s="8" t="s">
        <v>743</v>
      </c>
    </row>
    <row r="22" customFormat="false" ht="17.15" hidden="false" customHeight="false" outlineLevel="0" collapsed="false">
      <c r="A22" s="1" t="s">
        <v>557</v>
      </c>
      <c r="B22" s="8" t="s">
        <v>91</v>
      </c>
      <c r="C22" s="40" t="n">
        <f aca="false">Q!$D$5</f>
        <v>387.497</v>
      </c>
      <c r="D22" s="40" t="n">
        <f aca="false">Q!$E$5</f>
        <v>426.305</v>
      </c>
      <c r="E22" s="40" t="n">
        <f aca="false">Q!$O$5</f>
        <v>333.172</v>
      </c>
      <c r="F22" s="40" t="n">
        <f aca="false">Seg!$F$20*Seg!$F$21</f>
        <v>141.803933639977</v>
      </c>
      <c r="G22" s="40" t="n">
        <f aca="false">Seg!$E$22+Seg!$F$22</f>
        <v>474.975933639977</v>
      </c>
      <c r="H22" s="40" t="n">
        <f aca="false">Seg!$H$20*Seg!$H$21</f>
        <v>524.566728590708</v>
      </c>
      <c r="I22" s="40" t="n">
        <f aca="false">Seg!$I$20*Seg!$I$21</f>
        <v>572.569560425675</v>
      </c>
      <c r="J22" s="40" t="n">
        <f aca="false">Seg!$J$20*Seg!$J$21</f>
        <v>617.334825989679</v>
      </c>
      <c r="K22" s="40" t="n">
        <f aca="false">Seg!$K$20*Seg!$K$21</f>
        <v>657.154313491738</v>
      </c>
      <c r="L22" s="40" t="n">
        <f aca="false">Seg!$L$20*Seg!$L$21</f>
        <v>699.741557349269</v>
      </c>
      <c r="M22" s="40" t="n">
        <f aca="false">Seg!$M$20*Seg!$M$21</f>
        <v>745.303288602707</v>
      </c>
      <c r="N22" s="40" t="n">
        <f aca="false">Q!$N$5</f>
        <v>299.222</v>
      </c>
      <c r="O22" s="40" t="n">
        <f aca="false">Q!$J$5</f>
        <v>127.083</v>
      </c>
      <c r="P22" s="5" t="s">
        <v>744</v>
      </c>
    </row>
    <row r="23" customFormat="false" ht="17.15" hidden="false" customHeight="false" outlineLevel="0" collapsed="false">
      <c r="A23" s="1" t="s">
        <v>560</v>
      </c>
      <c r="B23" s="8" t="s">
        <v>91</v>
      </c>
      <c r="C23" s="40" t="n">
        <f aca="false">Q!$D$6</f>
        <v>142.906</v>
      </c>
      <c r="D23" s="40" t="n">
        <f aca="false">Q!$E$6</f>
        <v>161.894</v>
      </c>
      <c r="E23" s="40" t="n">
        <f aca="false">Q!$O$6</f>
        <v>125.094</v>
      </c>
      <c r="F23" s="40" t="n">
        <f aca="false">Seg!$F$20*(1-Seg!$F$21)</f>
        <v>56.5997240382599</v>
      </c>
      <c r="G23" s="40" t="n">
        <f aca="false">Seg!$E$23+Seg!$F$23</f>
        <v>181.69372403826</v>
      </c>
      <c r="H23" s="40" t="n">
        <f aca="false">Seg!$H$20*(1-Seg!$H$21)</f>
        <v>200.663814045906</v>
      </c>
      <c r="I23" s="40" t="n">
        <f aca="false">Seg!$I$20*(1-Seg!$I$21)</f>
        <v>219.026456577366</v>
      </c>
      <c r="J23" s="40" t="n">
        <f aca="false">Seg!$J$20*(1-Seg!$J$21)</f>
        <v>236.150624839017</v>
      </c>
      <c r="K23" s="40" t="n">
        <f aca="false">Seg!$K$20*(1-Seg!$K$21)</f>
        <v>251.382872330167</v>
      </c>
      <c r="L23" s="40" t="n">
        <f aca="false">Seg!$L$20*(1-Seg!$L$21)</f>
        <v>267.673876536846</v>
      </c>
      <c r="M23" s="40" t="n">
        <f aca="false">Seg!$M$20*(1-Seg!$M$21)</f>
        <v>285.102718797604</v>
      </c>
      <c r="N23" s="40" t="n">
        <f aca="false">Q!$N$6</f>
        <v>111.17</v>
      </c>
      <c r="O23" s="40" t="n">
        <f aca="false">Q!$J$6</f>
        <v>50.724</v>
      </c>
      <c r="P23" s="5" t="s">
        <v>745</v>
      </c>
    </row>
    <row r="24" customFormat="false" ht="17.15" hidden="false" customHeight="false" outlineLevel="0" collapsed="false">
      <c r="A24" s="5" t="s">
        <v>746</v>
      </c>
      <c r="B24" s="0" t="s">
        <v>91</v>
      </c>
      <c r="C24" s="40" t="n">
        <f aca="false">Seg!$C$13*Seg!$C$21</f>
        <v>41.0683128828457</v>
      </c>
      <c r="D24" s="40" t="n">
        <f aca="false">Seg!$D$13*Seg!$D$21</f>
        <v>49.7441234599175</v>
      </c>
      <c r="E24" s="40" t="n">
        <f aca="false">Seg!$E$13*Seg!$E$21</f>
        <v>41.2144638877857</v>
      </c>
      <c r="F24" s="40" t="n">
        <f aca="false">Seg!$F$13*Seg!$F$21</f>
        <v>18.2312179377398</v>
      </c>
      <c r="G24" s="40" t="n">
        <f aca="false">Seg!$G$13*Seg!$G$21</f>
        <v>59.4539660283387</v>
      </c>
      <c r="H24" s="40" t="n">
        <f aca="false">Seg!$H$13*Seg!$H$21</f>
        <v>69.771147774226</v>
      </c>
      <c r="I24" s="40" t="n">
        <f aca="false">Seg!$I$13*Seg!$I$21</f>
        <v>80.1685498498669</v>
      </c>
      <c r="J24" s="40" t="n">
        <f aca="false">Seg!$J$13*Seg!$J$21</f>
        <v>90.1503966797303</v>
      </c>
      <c r="K24" s="40" t="n">
        <f aca="false">Seg!$K$13*Seg!$K$21</f>
        <v>99.1654363477033</v>
      </c>
      <c r="L24" s="40" t="n">
        <f aca="false">Seg!$L$13*Seg!$L$21</f>
        <v>109.081979982474</v>
      </c>
      <c r="M24" s="40" t="n">
        <f aca="false">Seg!$M$13*Seg!$M$21</f>
        <v>119.990177980721</v>
      </c>
      <c r="N24" s="40" t="n">
        <f aca="false">Seg!$N$13*Seg!$N$21</f>
        <v>34.5001525273397</v>
      </c>
      <c r="O24" s="40" t="n">
        <f aca="false">Seg!$O$13*Seg!$O$21</f>
        <v>15.2357798680592</v>
      </c>
      <c r="P24" s="5" t="s">
        <v>747</v>
      </c>
    </row>
    <row r="25" customFormat="false" ht="15" hidden="false" customHeight="false" outlineLevel="0" collapsed="false">
      <c r="A25" s="5" t="s">
        <v>748</v>
      </c>
      <c r="B25" s="0" t="s">
        <v>91</v>
      </c>
      <c r="C25" s="40" t="n">
        <f aca="false">Seg!$C$13-Seg!$C$24</f>
        <v>15.1456871171543</v>
      </c>
      <c r="D25" s="40" t="n">
        <f aca="false">Seg!$D$13-Seg!$D$24</f>
        <v>18.8908765400825</v>
      </c>
      <c r="E25" s="40" t="n">
        <f aca="false">Seg!$E$13-Seg!$E$24</f>
        <v>15.4745361122143</v>
      </c>
      <c r="F25" s="40" t="n">
        <f aca="false">Seg!$F$13-Seg!$F$24</f>
        <v>7.2768214369657</v>
      </c>
      <c r="G25" s="40" t="n">
        <f aca="false">Seg!$G$13-Seg!$G$24</f>
        <v>22.7430733463668</v>
      </c>
      <c r="H25" s="40" t="n">
        <f aca="false">Seg!$H$13-Seg!$H$24</f>
        <v>26.6897305140765</v>
      </c>
      <c r="I25" s="40" t="n">
        <f aca="false">Seg!$I$13-Seg!$I$24</f>
        <v>30.6670745638453</v>
      </c>
      <c r="J25" s="40" t="n">
        <f aca="false">Seg!$J$13-Seg!$J$24</f>
        <v>34.4854552329427</v>
      </c>
      <c r="K25" s="40" t="n">
        <f aca="false">Seg!$K$13-Seg!$K$24</f>
        <v>37.934000756237</v>
      </c>
      <c r="L25" s="40" t="n">
        <f aca="false">Seg!$L$13-Seg!$L$24</f>
        <v>41.7274008318607</v>
      </c>
      <c r="M25" s="40" t="n">
        <f aca="false">Seg!$M$13-Seg!$M$24</f>
        <v>45.9001409150467</v>
      </c>
      <c r="N25" s="40" t="n">
        <f aca="false">Seg!$N$13-Seg!$N$24</f>
        <v>12.8178474726603</v>
      </c>
      <c r="O25" s="40" t="n">
        <f aca="false">Seg!$O$13-Seg!$O$24</f>
        <v>6.08122013194081</v>
      </c>
    </row>
    <row r="26" customFormat="false" ht="17.15" hidden="false" customHeight="false" outlineLevel="0" collapsed="false">
      <c r="A26" s="1" t="s">
        <v>749</v>
      </c>
    </row>
    <row r="27" customFormat="false" ht="17.15" hidden="false" customHeight="false" outlineLevel="0" collapsed="false">
      <c r="A27" s="0" t="s">
        <v>750</v>
      </c>
      <c r="B27" s="0" t="s">
        <v>91</v>
      </c>
      <c r="C27" s="40" t="n">
        <f aca="false">Thesis!$C$26</f>
        <v>2.32100535697364</v>
      </c>
      <c r="D27" s="40" t="n">
        <f aca="false">Thesis!$D$26</f>
        <v>8.70377008865116</v>
      </c>
      <c r="E27" s="40" t="n">
        <f aca="false">Thesis!$E$26</f>
        <v>16.2007080559478</v>
      </c>
      <c r="F27" s="40" t="n">
        <f aca="false">Thesis!$F$26</f>
        <v>9.73202200732313</v>
      </c>
      <c r="G27" s="40" t="n">
        <f aca="false">Thesis!$G$26</f>
        <v>25.9327300632709</v>
      </c>
      <c r="H27" s="40" t="n">
        <f aca="false">Thesis!$H$26</f>
        <v>71.2392094580459</v>
      </c>
      <c r="I27" s="40" t="n">
        <f aca="false">Thesis!$I$26</f>
        <v>124.19956439883</v>
      </c>
      <c r="J27" s="40" t="n">
        <f aca="false">Thesis!$J$26</f>
        <v>177.44866949843</v>
      </c>
      <c r="K27" s="40" t="n">
        <f aca="false">Thesis!$K$26</f>
        <v>222.865768858495</v>
      </c>
      <c r="L27" s="40" t="n">
        <f aca="false">Thesis!$L$26</f>
        <v>252.70652140154</v>
      </c>
      <c r="M27" s="40" t="n">
        <f aca="false">Thesis!$M$26</f>
        <v>266.923814328953</v>
      </c>
      <c r="N27" s="40" t="n">
        <f aca="false">Thesis!$N$26</f>
        <v>5.54865343151512</v>
      </c>
      <c r="O27" s="40" t="n">
        <f aca="false">Thesis!$O$26</f>
        <v>3.15511665713605</v>
      </c>
      <c r="P27" s="8" t="s">
        <v>751</v>
      </c>
    </row>
    <row r="28" customFormat="false" ht="17.15" hidden="false" customHeight="false" outlineLevel="0" collapsed="false">
      <c r="A28" s="0" t="s">
        <v>752</v>
      </c>
      <c r="B28" s="0" t="s">
        <v>91</v>
      </c>
      <c r="C28" s="40" t="n">
        <f aca="false">Thesis!$C$30</f>
        <v>105.234994643026</v>
      </c>
      <c r="D28" s="40" t="n">
        <f aca="false">Thesis!$D$30</f>
        <v>120.021229911349</v>
      </c>
      <c r="E28" s="40" t="n">
        <f aca="false">Thesis!$E$30</f>
        <v>109.602291944052</v>
      </c>
      <c r="F28" s="40" t="n">
        <f aca="false">Thesis!$F$30</f>
        <v>36.9796603355509</v>
      </c>
      <c r="G28" s="40" t="n">
        <f aca="false">Thesis!$G$30</f>
        <v>146.581952279603</v>
      </c>
      <c r="H28" s="40" t="n">
        <f aca="false">Thesis!$H$30</f>
        <v>164.960415168217</v>
      </c>
      <c r="I28" s="40" t="n">
        <f aca="false">Thesis!$I$30</f>
        <v>183.1478640969</v>
      </c>
      <c r="J28" s="40" t="n">
        <f aca="false">Thesis!$J$30</f>
        <v>200.570117292268</v>
      </c>
      <c r="K28" s="40" t="n">
        <f aca="false">Thesis!$K$30</f>
        <v>216.615726675649</v>
      </c>
      <c r="L28" s="40" t="n">
        <f aca="false">Thesis!$L$30</f>
        <v>233.944984809701</v>
      </c>
      <c r="M28" s="40" t="n">
        <f aca="false">Thesis!$M$30</f>
        <v>252.660583594477</v>
      </c>
      <c r="N28" s="40" t="n">
        <f aca="false">Thesis!$N$30</f>
        <v>87.5973465684849</v>
      </c>
      <c r="O28" s="40" t="n">
        <f aca="false">Thesis!$O$30</f>
        <v>32.423883342864</v>
      </c>
      <c r="P28" s="8" t="s">
        <v>751</v>
      </c>
    </row>
    <row r="29" customFormat="false" ht="17.15" hidden="false" customHeight="false" outlineLevel="0" collapsed="false">
      <c r="A29" s="1" t="s">
        <v>561</v>
      </c>
      <c r="B29" s="8" t="s">
        <v>91</v>
      </c>
      <c r="C29" s="40" t="n">
        <f aca="false">Q!$D$7</f>
        <v>107.556</v>
      </c>
      <c r="D29" s="40" t="n">
        <f aca="false">Q!$E$7</f>
        <v>128.725</v>
      </c>
      <c r="E29" s="40" t="n">
        <f aca="false">Q!$O$7</f>
        <v>125.803</v>
      </c>
      <c r="F29" s="40" t="n">
        <f aca="false">Seg!$F$27+Seg!$F$28</f>
        <v>46.711682342874</v>
      </c>
      <c r="G29" s="40" t="n">
        <f aca="false">Seg!$G$27+Seg!$G$28</f>
        <v>172.514682342874</v>
      </c>
      <c r="H29" s="40" t="n">
        <f aca="false">Seg!$H$27+Seg!$H$28</f>
        <v>236.199624626263</v>
      </c>
      <c r="I29" s="40" t="n">
        <f aca="false">Seg!$I$27+Seg!$I$28</f>
        <v>307.34742849573</v>
      </c>
      <c r="J29" s="40" t="n">
        <f aca="false">Seg!$J$27+Seg!$J$28</f>
        <v>378.018786790698</v>
      </c>
      <c r="K29" s="40" t="n">
        <f aca="false">Seg!$K$27+Seg!$K$28</f>
        <v>439.481495534144</v>
      </c>
      <c r="L29" s="40" t="n">
        <f aca="false">Seg!$L$27+Seg!$L$28</f>
        <v>486.651506211241</v>
      </c>
      <c r="M29" s="40" t="n">
        <f aca="false">Seg!$M$27+Seg!$M$28</f>
        <v>519.58439792343</v>
      </c>
      <c r="N29" s="40" t="n">
        <f aca="false">Q!$N$7</f>
        <v>93.146</v>
      </c>
      <c r="O29" s="40" t="n">
        <f aca="false">Q!$J$7</f>
        <v>35.579</v>
      </c>
      <c r="P29" s="5" t="s">
        <v>753</v>
      </c>
    </row>
    <row r="30" customFormat="false" ht="15" hidden="false" customHeight="false" outlineLevel="0" collapsed="false">
      <c r="A30" s="3" t="s">
        <v>754</v>
      </c>
      <c r="B30" s="8" t="s">
        <v>91</v>
      </c>
      <c r="C30" s="40" t="n">
        <f aca="false">Q!$D$8</f>
        <v>637.959</v>
      </c>
      <c r="D30" s="40" t="n">
        <f aca="false">Q!$E$8</f>
        <v>716.924</v>
      </c>
      <c r="E30" s="40" t="n">
        <f aca="false">Q!$O$8</f>
        <v>584.069</v>
      </c>
      <c r="F30" s="40" t="n">
        <f aca="false">Seg!$F$20+Seg!$F$29</f>
        <v>245.115340021111</v>
      </c>
      <c r="G30" s="40" t="n">
        <f aca="false">Seg!$G$20+Seg!$G$29</f>
        <v>829.184340021111</v>
      </c>
      <c r="H30" s="40" t="n">
        <f aca="false">Seg!$H$20+Seg!$H$29</f>
        <v>961.430167262876</v>
      </c>
      <c r="I30" s="40" t="n">
        <f aca="false">Seg!$I$20+Seg!$I$29</f>
        <v>1098.94344549877</v>
      </c>
      <c r="J30" s="40" t="n">
        <f aca="false">Seg!$J$20+Seg!$J$29</f>
        <v>1231.50423761939</v>
      </c>
      <c r="K30" s="40" t="n">
        <f aca="false">Seg!$K$20+Seg!$K$29</f>
        <v>1348.01868135605</v>
      </c>
      <c r="L30" s="40" t="n">
        <f aca="false">Seg!$L$20+Seg!$L$29</f>
        <v>1454.06694009736</v>
      </c>
      <c r="M30" s="40" t="n">
        <f aca="false">Seg!$M$20+Seg!$M$29</f>
        <v>1549.99040532374</v>
      </c>
      <c r="N30" s="40" t="n">
        <f aca="false">Q!$N$8</f>
        <v>503.538</v>
      </c>
      <c r="O30" s="40" t="n">
        <f aca="false">Q!$J$8</f>
        <v>213.386</v>
      </c>
    </row>
    <row r="31" customFormat="false" ht="17.15" hidden="false" customHeight="false" outlineLevel="0" collapsed="false">
      <c r="A31" s="27" t="s">
        <v>755</v>
      </c>
      <c r="B31" s="28" t="s">
        <v>91</v>
      </c>
      <c r="C31" s="43" t="n">
        <f aca="false">Seg!$C$20-(Seg!$C$22+Seg!$C$23)</f>
        <v>0</v>
      </c>
      <c r="D31" s="43" t="n">
        <f aca="false">Seg!$D$20-(Seg!$D$22+Seg!$D$23)</f>
        <v>0</v>
      </c>
      <c r="E31" s="43" t="n">
        <f aca="false">Seg!$E$20-(Seg!$E$22+Seg!$E$23)</f>
        <v>0</v>
      </c>
      <c r="F31" s="43" t="n">
        <f aca="false">Seg!$F$20-(Seg!$F$22+Seg!$F$23)</f>
        <v>0</v>
      </c>
      <c r="G31" s="43" t="n">
        <f aca="false">Seg!$G$20-(Seg!$G$22+Seg!$G$23)</f>
        <v>0</v>
      </c>
      <c r="H31" s="43" t="n">
        <f aca="false">Seg!$H$20-(Seg!$H$22+Seg!$H$23)</f>
        <v>0</v>
      </c>
      <c r="I31" s="43" t="n">
        <f aca="false">Seg!$I$20-(Seg!$I$22+Seg!$I$23)</f>
        <v>0</v>
      </c>
      <c r="J31" s="43" t="n">
        <f aca="false">Seg!$J$20-(Seg!$J$22+Seg!$J$23)</f>
        <v>0</v>
      </c>
      <c r="K31" s="43" t="n">
        <f aca="false">Seg!$K$20-(Seg!$K$22+Seg!$K$23)</f>
        <v>0</v>
      </c>
      <c r="L31" s="43" t="n">
        <f aca="false">Seg!$L$20-(Seg!$L$22+Seg!$L$23)</f>
        <v>0</v>
      </c>
      <c r="M31" s="43" t="n">
        <f aca="false">Seg!$M$20-(Seg!$M$22+Seg!$M$23)</f>
        <v>0</v>
      </c>
      <c r="N31" s="43" t="n">
        <f aca="false">Seg!$N$20-(Seg!$N$22+Seg!$N$23)</f>
        <v>0</v>
      </c>
      <c r="O31" s="43" t="n">
        <f aca="false">Seg!$O$20-(Seg!$O$22+Seg!$O$23)</f>
        <v>0</v>
      </c>
    </row>
    <row r="32" customFormat="false" ht="17.15" hidden="false" customHeight="false" outlineLevel="0" collapsed="false">
      <c r="A32" s="27" t="s">
        <v>756</v>
      </c>
      <c r="B32" s="28" t="s">
        <v>91</v>
      </c>
      <c r="C32" s="43" t="n">
        <f aca="false">Seg!$C$27+Seg!$C$28-Seg!$C$29</f>
        <v>0</v>
      </c>
      <c r="D32" s="43" t="n">
        <f aca="false">Seg!$D$27+Seg!$D$28-Seg!$D$29</f>
        <v>0</v>
      </c>
      <c r="E32" s="43" t="n">
        <f aca="false">Seg!$E$27+Seg!$E$28-Seg!$E$29</f>
        <v>0</v>
      </c>
      <c r="F32" s="43" t="n">
        <f aca="false">Seg!$F$27+Seg!$F$28-Seg!$F$29</f>
        <v>0</v>
      </c>
      <c r="G32" s="43" t="n">
        <f aca="false">Seg!$G$27+Seg!$G$28-Seg!$G$29</f>
        <v>0</v>
      </c>
      <c r="H32" s="43" t="n">
        <f aca="false">Seg!$H$27+Seg!$H$28-Seg!$H$29</f>
        <v>0</v>
      </c>
      <c r="I32" s="43" t="n">
        <f aca="false">Seg!$I$27+Seg!$I$28-Seg!$I$29</f>
        <v>0</v>
      </c>
      <c r="J32" s="43" t="n">
        <f aca="false">Seg!$J$27+Seg!$J$28-Seg!$J$29</f>
        <v>0</v>
      </c>
      <c r="K32" s="43" t="n">
        <f aca="false">Seg!$K$27+Seg!$K$28-Seg!$K$29</f>
        <v>0</v>
      </c>
      <c r="L32" s="43" t="n">
        <f aca="false">Seg!$L$27+Seg!$L$28-Seg!$L$29</f>
        <v>0</v>
      </c>
      <c r="M32" s="43" t="n">
        <f aca="false">Seg!$M$27+Seg!$M$28-Seg!$M$29</f>
        <v>0</v>
      </c>
      <c r="N32" s="43" t="n">
        <f aca="false">Seg!$N$27+Seg!$N$28-Seg!$N$29</f>
        <v>0</v>
      </c>
      <c r="O32" s="43" t="n">
        <f aca="false">Seg!$O$27+Seg!$O$28-Seg!$O$29</f>
        <v>0</v>
      </c>
    </row>
    <row r="33" customFormat="false" ht="17.15" hidden="false" customHeight="false" outlineLevel="0" collapsed="false">
      <c r="A33" s="27" t="s">
        <v>757</v>
      </c>
      <c r="B33" s="28" t="s">
        <v>91</v>
      </c>
      <c r="C33" s="43" t="n">
        <f aca="false">Seg!$C$22+Seg!$C$23+Seg!$C$29-Seg!$C$30</f>
        <v>0</v>
      </c>
      <c r="D33" s="43" t="n">
        <f aca="false">Seg!$D$22+Seg!$D$23+Seg!$D$29-Seg!$D$30</f>
        <v>0</v>
      </c>
      <c r="E33" s="43" t="n">
        <f aca="false">Seg!$E$22+Seg!$E$23+Seg!$E$29-Seg!$E$30</f>
        <v>0</v>
      </c>
      <c r="F33" s="43" t="n">
        <f aca="false">Seg!$F$22+Seg!$F$23+Seg!$F$29-Seg!$F$30</f>
        <v>0</v>
      </c>
      <c r="G33" s="43" t="n">
        <f aca="false">Seg!$G$22+Seg!$G$23+Seg!$G$29-Seg!$G$30</f>
        <v>0</v>
      </c>
      <c r="H33" s="43" t="n">
        <f aca="false">Seg!$H$22+Seg!$H$23+Seg!$H$29-Seg!$H$30</f>
        <v>0</v>
      </c>
      <c r="I33" s="43" t="n">
        <f aca="false">Seg!$I$22+Seg!$I$23+Seg!$I$29-Seg!$I$30</f>
        <v>0</v>
      </c>
      <c r="J33" s="43" t="n">
        <f aca="false">Seg!$J$22+Seg!$J$23+Seg!$J$29-Seg!$J$30</f>
        <v>0</v>
      </c>
      <c r="K33" s="43" t="n">
        <f aca="false">Seg!$K$22+Seg!$K$23+Seg!$K$29-Seg!$K$30</f>
        <v>0</v>
      </c>
      <c r="L33" s="43" t="n">
        <f aca="false">Seg!$L$22+Seg!$L$23+Seg!$L$29-Seg!$L$30</f>
        <v>0</v>
      </c>
      <c r="M33" s="43" t="n">
        <f aca="false">Seg!$M$22+Seg!$M$23+Seg!$M$29-Seg!$M$30</f>
        <v>0</v>
      </c>
      <c r="N33" s="43" t="n">
        <f aca="false">Seg!$N$22+Seg!$N$23+Seg!$N$29-Seg!$N$30</f>
        <v>0</v>
      </c>
      <c r="O33" s="43" t="n">
        <f aca="false">Seg!$O$22+Seg!$O$23+Seg!$O$29-Seg!$O$30</f>
        <v>0</v>
      </c>
    </row>
    <row r="34" customFormat="false" ht="15" hidden="false" customHeight="false" outlineLevel="0" collapsed="false">
      <c r="A34" s="5" t="s">
        <v>758</v>
      </c>
      <c r="B34" s="0" t="s">
        <v>56</v>
      </c>
      <c r="G34" s="13" t="n">
        <f aca="false">Seg!$G$30/Seg!$D$30-1</f>
        <v>0.156586109575228</v>
      </c>
      <c r="H34" s="13" t="n">
        <f aca="false">Seg!$H$30/Seg!$G$30-1</f>
        <v>0.159489055519788</v>
      </c>
      <c r="I34" s="13" t="n">
        <f aca="false">Seg!$I$30/Seg!$H$30-1</f>
        <v>0.143029918259572</v>
      </c>
      <c r="J34" s="13" t="n">
        <f aca="false">Seg!$J$30/Seg!$I$30-1</f>
        <v>0.120625672470758</v>
      </c>
      <c r="K34" s="13" t="n">
        <f aca="false">Seg!$K$30/Seg!$J$30-1</f>
        <v>0.0946114842137191</v>
      </c>
      <c r="L34" s="13" t="n">
        <f aca="false">Seg!$L$30/Seg!$K$30-1</f>
        <v>0.0786697248398862</v>
      </c>
      <c r="M34" s="13" t="n">
        <f aca="false">Seg!$M$30/Seg!$L$30-1</f>
        <v>0.0659690847657695</v>
      </c>
    </row>
    <row r="35" customFormat="false" ht="17.15" hidden="false" customHeight="false" outlineLevel="0" collapsed="false">
      <c r="A35" s="0" t="s">
        <v>759</v>
      </c>
      <c r="B35" s="0" t="s">
        <v>56</v>
      </c>
      <c r="C35" s="13" t="n">
        <f aca="false">Seg!$C$29/Seg!$C$30</f>
        <v>0.168593906504964</v>
      </c>
      <c r="D35" s="13" t="n">
        <f aca="false">Seg!$D$29/Seg!$D$30</f>
        <v>0.179551807444025</v>
      </c>
      <c r="E35" s="13" t="n">
        <f aca="false">Seg!$E$29/Seg!$E$30</f>
        <v>0.2153906473379</v>
      </c>
      <c r="F35" s="13" t="n">
        <f aca="false">Seg!$F$29/Seg!$F$30</f>
        <v>0.190570212124834</v>
      </c>
      <c r="G35" s="13" t="n">
        <f aca="false">Seg!$G$29/Seg!$G$30</f>
        <v>0.208053473776991</v>
      </c>
      <c r="H35" s="13" t="n">
        <f aca="false">Seg!$H$29/Seg!$H$30</f>
        <v>0.245675279046742</v>
      </c>
      <c r="I35" s="13" t="n">
        <f aca="false">Seg!$I$29/Seg!$I$30</f>
        <v>0.279675382527293</v>
      </c>
      <c r="J35" s="13" t="n">
        <f aca="false">Seg!$J$29/Seg!$J$30</f>
        <v>0.306956951704398</v>
      </c>
      <c r="K35" s="13" t="n">
        <f aca="false">Seg!$K$29/Seg!$K$30</f>
        <v>0.326020330142639</v>
      </c>
      <c r="L35" s="13" t="n">
        <f aca="false">Seg!$L$29/Seg!$L$30</f>
        <v>0.334683014097451</v>
      </c>
      <c r="M35" s="13" t="n">
        <f aca="false">Seg!$M$29/Seg!$M$30</f>
        <v>0.33521781563216</v>
      </c>
      <c r="N35" s="13" t="n">
        <f aca="false">Seg!$N$29/Seg!$N$30</f>
        <v>0.184983059868371</v>
      </c>
      <c r="O35" s="13" t="n">
        <f aca="false">Seg!$O$29/Seg!$O$30</f>
        <v>0.1667353996982</v>
      </c>
    </row>
    <row r="36" customFormat="false" ht="17.15" hidden="false" customHeight="false" outlineLevel="0" collapsed="false">
      <c r="A36" s="0" t="s">
        <v>760</v>
      </c>
      <c r="B36" s="0" t="s">
        <v>56</v>
      </c>
      <c r="C36" s="13" t="n">
        <f aca="false">Seg!$C$27/Seg!$C$29</f>
        <v>0.0215795060896058</v>
      </c>
      <c r="D36" s="13" t="n">
        <f aca="false">Seg!$D$27/Seg!$D$29</f>
        <v>0.0676152269462122</v>
      </c>
      <c r="E36" s="13" t="n">
        <f aca="false">Seg!$E$27/Seg!$E$29</f>
        <v>0.128778392057008</v>
      </c>
      <c r="F36" s="13" t="n">
        <f aca="false">Seg!$F$27/Seg!$F$29</f>
        <v>0.20834235718354</v>
      </c>
      <c r="G36" s="13" t="n">
        <f aca="false">Seg!$G$27/Seg!$G$29</f>
        <v>0.150321872382604</v>
      </c>
      <c r="H36" s="13" t="n">
        <f aca="false">Seg!$H$27/Seg!$H$29</f>
        <v>0.301605938497012</v>
      </c>
      <c r="I36" s="13" t="n">
        <f aca="false">Seg!$I$27/Seg!$I$29</f>
        <v>0.404101524475764</v>
      </c>
      <c r="J36" s="13" t="n">
        <f aca="false">Seg!$J$27/Seg!$J$29</f>
        <v>0.469417594307767</v>
      </c>
      <c r="K36" s="13" t="n">
        <f aca="false">Seg!$K$27/Seg!$K$29</f>
        <v>0.507110700048075</v>
      </c>
      <c r="L36" s="13" t="n">
        <f aca="false">Seg!$L$27/Seg!$L$29</f>
        <v>0.519276151776354</v>
      </c>
      <c r="M36" s="13" t="n">
        <f aca="false">Seg!$M$27/Seg!$M$29</f>
        <v>0.513725614925583</v>
      </c>
      <c r="N36" s="13" t="n">
        <f aca="false">Seg!$N$27/Seg!$N$29</f>
        <v>0.0595694225357516</v>
      </c>
      <c r="O36" s="13" t="n">
        <f aca="false">Seg!$O$27/Seg!$O$29</f>
        <v>0.0886791831455647</v>
      </c>
    </row>
    <row r="39" customFormat="false" ht="19.4" hidden="false" customHeight="false" outlineLevel="0" collapsed="false">
      <c r="A39" s="35" t="s">
        <v>761</v>
      </c>
    </row>
    <row r="40" customFormat="false" ht="17.15" hidden="false" customHeight="false" outlineLevel="0" collapsed="false">
      <c r="A40" s="6" t="s">
        <v>16</v>
      </c>
      <c r="B40" s="6" t="s">
        <v>17</v>
      </c>
      <c r="C40" s="23" t="s">
        <v>542</v>
      </c>
      <c r="D40" s="23" t="s">
        <v>543</v>
      </c>
      <c r="E40" s="23" t="s">
        <v>631</v>
      </c>
      <c r="F40" s="23" t="s">
        <v>632</v>
      </c>
      <c r="G40" s="23" t="s">
        <v>633</v>
      </c>
      <c r="H40" s="23" t="s">
        <v>634</v>
      </c>
      <c r="I40" s="23" t="s">
        <v>635</v>
      </c>
      <c r="J40" s="23" t="s">
        <v>636</v>
      </c>
      <c r="K40" s="23" t="s">
        <v>637</v>
      </c>
      <c r="L40" s="23" t="s">
        <v>638</v>
      </c>
      <c r="M40" s="23" t="s">
        <v>639</v>
      </c>
      <c r="N40" s="23" t="s">
        <v>640</v>
      </c>
      <c r="O40" s="23" t="s">
        <v>641</v>
      </c>
      <c r="P40" s="6" t="s">
        <v>23</v>
      </c>
      <c r="R40" s="23" t="n">
        <v>2023</v>
      </c>
      <c r="S40" s="23" t="n">
        <v>2024</v>
      </c>
      <c r="T40" s="23" t="n">
        <v>2025</v>
      </c>
      <c r="U40" s="23" t="n">
        <v>2026</v>
      </c>
      <c r="V40" s="23" t="n">
        <v>2027</v>
      </c>
      <c r="W40" s="23" t="n">
        <v>2028</v>
      </c>
      <c r="X40" s="23" t="n">
        <v>2029</v>
      </c>
      <c r="Y40" s="23" t="n">
        <v>2030</v>
      </c>
      <c r="Z40" s="23" t="n">
        <v>2031</v>
      </c>
      <c r="AA40" s="23" t="n">
        <v>2032</v>
      </c>
    </row>
    <row r="41" customFormat="false" ht="17.15" hidden="false" customHeight="false" outlineLevel="0" collapsed="false">
      <c r="A41" s="1" t="s">
        <v>725</v>
      </c>
    </row>
    <row r="42" customFormat="false" ht="17.15" hidden="false" customHeight="false" outlineLevel="0" collapsed="false">
      <c r="A42" s="0" t="s">
        <v>564</v>
      </c>
      <c r="B42" s="0" t="s">
        <v>91</v>
      </c>
      <c r="C42" s="40" t="n">
        <f aca="false">Q!$D$10</f>
        <v>247.029</v>
      </c>
      <c r="D42" s="40" t="n">
        <f aca="false">Q!$E$10</f>
        <v>269.287</v>
      </c>
      <c r="E42" s="40" t="n">
        <f aca="false">Q!$O$10</f>
        <v>203.156</v>
      </c>
      <c r="F42" s="40" t="n">
        <f aca="false">Seg!$O$42*(1+Seg!$F$43)*Seg!$F$54</f>
        <v>90.388463759573</v>
      </c>
      <c r="G42" s="40" t="n">
        <f aca="false">Seg!$E$42+Seg!$F$42</f>
        <v>293.544463759573</v>
      </c>
      <c r="H42" s="40" t="n">
        <f aca="false">Seg!$G$42*(1+Seg!$H$43)</f>
        <v>317.13448447826</v>
      </c>
      <c r="I42" s="40" t="n">
        <f aca="false">Seg!$H$42*(1+Seg!$I$43)</f>
        <v>339.410577938345</v>
      </c>
      <c r="J42" s="40" t="n">
        <f aca="false">Seg!$I$42*(1+Seg!$J$43)</f>
        <v>359.816245442206</v>
      </c>
      <c r="K42" s="40" t="n">
        <f aca="false">Seg!$J$42*(1+Seg!$K$43)</f>
        <v>377.807057714316</v>
      </c>
      <c r="L42" s="40" t="n">
        <f aca="false">Seg!$K$42*(1+Seg!$L$43)</f>
        <v>396.697410600032</v>
      </c>
      <c r="M42" s="40" t="n">
        <f aca="false">Seg!$L$42*(1+Seg!$M$43)</f>
        <v>416.532281130034</v>
      </c>
      <c r="N42" s="40" t="n">
        <f aca="false">Q!$N$10</f>
        <v>186.299</v>
      </c>
      <c r="O42" s="40" t="n">
        <f aca="false">Q!$J$10</f>
        <v>82.988</v>
      </c>
      <c r="P42" s="8" t="s">
        <v>726</v>
      </c>
    </row>
    <row r="43" customFormat="false" ht="17.15" hidden="false" customHeight="false" outlineLevel="0" collapsed="false">
      <c r="A43" s="0" t="s">
        <v>727</v>
      </c>
      <c r="B43" s="0" t="s">
        <v>56</v>
      </c>
      <c r="E43" s="13" t="n">
        <f aca="false">Seg!$E$42/Seg!$N$42-1</f>
        <v>0.0904835774749195</v>
      </c>
      <c r="F43" s="13" t="n">
        <f aca="false">Seg!$E$43</f>
        <v>0.0904835774749195</v>
      </c>
      <c r="G43" s="13" t="n">
        <f aca="false">Seg!$G$42/Seg!$D$42-1</f>
        <v>0.0900803371851333</v>
      </c>
      <c r="H43" s="13" t="n">
        <f aca="false">Seg!$F$43+(g_os-Seg!$F$43)*1/4</f>
        <v>0.0803626831061896</v>
      </c>
      <c r="I43" s="13" t="n">
        <f aca="false">Seg!$F$43+(g_os-Seg!$F$43)*2/4</f>
        <v>0.0702417887374598</v>
      </c>
      <c r="J43" s="13" t="n">
        <f aca="false">Seg!$F$43+(g_os-Seg!$F$43)*3/4</f>
        <v>0.0601208943687299</v>
      </c>
      <c r="K43" s="13" t="n">
        <f aca="false">Seg!$F$43+(g_os-Seg!$F$43)*4/4</f>
        <v>0.05</v>
      </c>
      <c r="L43" s="13" t="n">
        <f aca="false">g_os</f>
        <v>0.05</v>
      </c>
      <c r="M43" s="13" t="n">
        <f aca="false">g_os</f>
        <v>0.05</v>
      </c>
      <c r="P43" s="8" t="s">
        <v>728</v>
      </c>
    </row>
    <row r="44" customFormat="false" ht="17.15" hidden="false" customHeight="false" outlineLevel="0" collapsed="false">
      <c r="A44" s="0" t="s">
        <v>565</v>
      </c>
      <c r="B44" s="0" t="s">
        <v>91</v>
      </c>
      <c r="C44" s="40" t="n">
        <f aca="false">Q!$D$11</f>
        <v>21.215</v>
      </c>
      <c r="D44" s="40" t="n">
        <f aca="false">Q!$E$11</f>
        <v>22.561</v>
      </c>
      <c r="E44" s="40" t="n">
        <f aca="false">Q!$O$11</f>
        <v>17.289</v>
      </c>
      <c r="F44" s="40" t="n">
        <f aca="false">Seg!$O$44*(1+Seg!$F$45)*Seg!$F$54</f>
        <v>6.05205510939944</v>
      </c>
      <c r="G44" s="40" t="n">
        <f aca="false">Seg!$E$44+Seg!$F$44</f>
        <v>23.3410551093994</v>
      </c>
      <c r="H44" s="40" t="n">
        <f aca="false">Seg!$G$44*(1+Seg!$H$45)</f>
        <v>24.1270238539533</v>
      </c>
      <c r="I44" s="40" t="n">
        <f aca="false">Seg!$H$44*(1+Seg!$I$45)</f>
        <v>24.9099173270163</v>
      </c>
      <c r="J44" s="40" t="n">
        <f aca="false">Seg!$I$44*(1+Seg!$J$45)</f>
        <v>25.6877148084528</v>
      </c>
      <c r="K44" s="40" t="n">
        <f aca="false">Seg!$J$44*(1+Seg!$K$45)</f>
        <v>26.4583462527063</v>
      </c>
      <c r="L44" s="40" t="n">
        <f aca="false">Seg!$K$44*(1+Seg!$L$45)</f>
        <v>27.2520966402875</v>
      </c>
      <c r="M44" s="40" t="n">
        <f aca="false">Seg!$L$44*(1+Seg!$M$45)</f>
        <v>28.0696595394962</v>
      </c>
      <c r="N44" s="40" t="n">
        <f aca="false">Q!$N$11</f>
        <v>16.706</v>
      </c>
      <c r="O44" s="40" t="n">
        <f aca="false">Q!$J$11</f>
        <v>5.855</v>
      </c>
      <c r="P44" s="8" t="s">
        <v>726</v>
      </c>
    </row>
    <row r="45" customFormat="false" ht="17.15" hidden="false" customHeight="false" outlineLevel="0" collapsed="false">
      <c r="A45" s="0" t="s">
        <v>729</v>
      </c>
      <c r="B45" s="0" t="s">
        <v>56</v>
      </c>
      <c r="E45" s="13" t="n">
        <f aca="false">Seg!$E$44/Seg!$N$44-1</f>
        <v>0.0348976415659046</v>
      </c>
      <c r="F45" s="13" t="n">
        <f aca="false">Seg!$E$45</f>
        <v>0.0348976415659046</v>
      </c>
      <c r="G45" s="13" t="n">
        <f aca="false">Seg!$G$44/Seg!$D$44-1</f>
        <v>0.0345753782810796</v>
      </c>
      <c r="H45" s="13" t="n">
        <f aca="false">Seg!$F$45+(g_ps-Seg!$F$45)*1/4</f>
        <v>0.0336732311744284</v>
      </c>
      <c r="I45" s="13" t="n">
        <f aca="false">Seg!$F$45+(g_ps-Seg!$F$45)*2/4</f>
        <v>0.0324488207829523</v>
      </c>
      <c r="J45" s="13" t="n">
        <f aca="false">Seg!$F$45+(g_ps-Seg!$F$45)*3/4</f>
        <v>0.0312244103914761</v>
      </c>
      <c r="K45" s="13" t="n">
        <f aca="false">Seg!$F$45+(g_ps-Seg!$F$45)*4/4</f>
        <v>0.03</v>
      </c>
      <c r="L45" s="13" t="n">
        <f aca="false">g_ps</f>
        <v>0.03</v>
      </c>
      <c r="M45" s="13" t="n">
        <f aca="false">g_ps</f>
        <v>0.03</v>
      </c>
      <c r="P45" s="8" t="s">
        <v>730</v>
      </c>
    </row>
    <row r="46" customFormat="false" ht="17.15" hidden="false" customHeight="false" outlineLevel="0" collapsed="false">
      <c r="A46" s="0" t="s">
        <v>566</v>
      </c>
      <c r="B46" s="0" t="s">
        <v>91</v>
      </c>
      <c r="C46" s="40" t="n">
        <f aca="false">Q!$D$12</f>
        <v>156.146</v>
      </c>
      <c r="D46" s="40" t="n">
        <f aca="false">Q!$E$12</f>
        <v>172.162</v>
      </c>
      <c r="E46" s="40" t="n">
        <f aca="false">Q!$O$12</f>
        <v>134.85</v>
      </c>
      <c r="F46" s="40" t="n">
        <f aca="false">Seg!$O$46*(1+Seg!$F$47)*Seg!$F$54</f>
        <v>59.6056141851888</v>
      </c>
      <c r="G46" s="40" t="n">
        <f aca="false">Seg!$E$46+Seg!$F$46</f>
        <v>194.455614185189</v>
      </c>
      <c r="H46" s="40" t="n">
        <f aca="false">Seg!$G$46*(1+Seg!$H$47)</f>
        <v>216.80459217381</v>
      </c>
      <c r="I46" s="40" t="n">
        <f aca="false">Seg!$H$46*(1+Seg!$I$47)</f>
        <v>238.475078227356</v>
      </c>
      <c r="J46" s="40" t="n">
        <f aca="false">Seg!$I$46*(1+Seg!$J$47)</f>
        <v>258.739974865958</v>
      </c>
      <c r="K46" s="40" t="n">
        <f aca="false">Seg!$J$46*(1+Seg!$K$47)</f>
        <v>276.851773106575</v>
      </c>
      <c r="L46" s="40" t="n">
        <f aca="false">Seg!$K$46*(1+Seg!$L$47)</f>
        <v>296.231397224035</v>
      </c>
      <c r="M46" s="40" t="n">
        <f aca="false">Seg!$L$46*(1+Seg!$M$47)</f>
        <v>316.967595029718</v>
      </c>
      <c r="N46" s="40" t="n">
        <f aca="false">Q!$N$12</f>
        <v>119.346</v>
      </c>
      <c r="O46" s="40" t="n">
        <f aca="false">Q!$J$12</f>
        <v>52.816</v>
      </c>
      <c r="P46" s="8" t="s">
        <v>726</v>
      </c>
    </row>
    <row r="47" customFormat="false" ht="17.15" hidden="false" customHeight="false" outlineLevel="0" collapsed="false">
      <c r="A47" s="0" t="s">
        <v>731</v>
      </c>
      <c r="B47" s="0" t="s">
        <v>56</v>
      </c>
      <c r="E47" s="13" t="n">
        <f aca="false">Seg!$E$46/Seg!$N$46-1</f>
        <v>0.129907998592328</v>
      </c>
      <c r="F47" s="13" t="n">
        <f aca="false">Seg!$E$47</f>
        <v>0.129907998592328</v>
      </c>
      <c r="G47" s="13" t="n">
        <f aca="false">Seg!$G$46/Seg!$D$46-1</f>
        <v>0.129492072496769</v>
      </c>
      <c r="H47" s="13" t="n">
        <f aca="false">Seg!$F$47+(g_sp-Seg!$F$47)*1/4</f>
        <v>0.114930998944246</v>
      </c>
      <c r="I47" s="13" t="n">
        <f aca="false">Seg!$F$47+(g_sp-Seg!$F$47)*2/4</f>
        <v>0.0999539992961641</v>
      </c>
      <c r="J47" s="13" t="n">
        <f aca="false">Seg!$F$47+(g_sp-Seg!$F$47)*3/4</f>
        <v>0.084976999648082</v>
      </c>
      <c r="K47" s="13" t="n">
        <f aca="false">Seg!$F$47+(g_sp-Seg!$F$47)*4/4</f>
        <v>0.07</v>
      </c>
      <c r="L47" s="13" t="n">
        <f aca="false">g_sp</f>
        <v>0.07</v>
      </c>
      <c r="M47" s="13" t="n">
        <f aca="false">g_sp</f>
        <v>0.07</v>
      </c>
      <c r="P47" s="8" t="s">
        <v>732</v>
      </c>
    </row>
    <row r="48" customFormat="false" ht="17.15" hidden="false" customHeight="false" outlineLevel="0" collapsed="false">
      <c r="A48" s="0" t="s">
        <v>567</v>
      </c>
      <c r="B48" s="0" t="s">
        <v>91</v>
      </c>
      <c r="C48" s="40" t="n">
        <f aca="false">Q!$D$13</f>
        <v>56.214</v>
      </c>
      <c r="D48" s="40" t="n">
        <f aca="false">Q!$E$13</f>
        <v>68.635</v>
      </c>
      <c r="E48" s="40" t="n">
        <f aca="false">Q!$O$13</f>
        <v>56.689</v>
      </c>
      <c r="F48" s="40" t="n">
        <f aca="false">Seg!$O$48*(1+Seg!$F$49)*Seg!$F$54</f>
        <v>25.5080393747055</v>
      </c>
      <c r="G48" s="40" t="n">
        <f aca="false">Seg!$E$48+Seg!$F$48</f>
        <v>82.1970393747055</v>
      </c>
      <c r="H48" s="40" t="n">
        <f aca="false">Seg!$G$48*(1+Seg!$H$49)</f>
        <v>96.4608782883025</v>
      </c>
      <c r="I48" s="40" t="n">
        <f aca="false">Seg!$H$48*(1+Seg!$I$49)</f>
        <v>110.835624413712</v>
      </c>
      <c r="J48" s="40" t="n">
        <f aca="false">Seg!$I$48*(1+Seg!$J$49)</f>
        <v>124.635851912673</v>
      </c>
      <c r="K48" s="40" t="n">
        <f aca="false">Seg!$J$48*(1+Seg!$K$49)</f>
        <v>137.09943710394</v>
      </c>
      <c r="L48" s="40" t="n">
        <f aca="false">Seg!$K$48*(1+Seg!$L$49)</f>
        <v>150.809380814334</v>
      </c>
      <c r="M48" s="40" t="n">
        <f aca="false">Seg!$L$48*(1+Seg!$M$49)</f>
        <v>165.890318895768</v>
      </c>
      <c r="N48" s="40" t="n">
        <f aca="false">Q!$N$13</f>
        <v>47.318</v>
      </c>
      <c r="O48" s="40" t="n">
        <f aca="false">Q!$J$13</f>
        <v>21.317</v>
      </c>
      <c r="P48" s="8" t="s">
        <v>726</v>
      </c>
    </row>
    <row r="49" customFormat="false" ht="17.15" hidden="false" customHeight="false" outlineLevel="0" collapsed="false">
      <c r="A49" s="0" t="s">
        <v>733</v>
      </c>
      <c r="B49" s="0" t="s">
        <v>56</v>
      </c>
      <c r="E49" s="13" t="n">
        <f aca="false">Seg!$E$48/Seg!$N$48-1</f>
        <v>0.198043028023162</v>
      </c>
      <c r="F49" s="13" t="n">
        <f aca="false">Seg!$E$49</f>
        <v>0.198043028023162</v>
      </c>
      <c r="G49" s="13" t="n">
        <f aca="false">Seg!$G$48/Seg!$D$48-1</f>
        <v>0.197596552410657</v>
      </c>
      <c r="H49" s="13" t="n">
        <f aca="false">Seg!$F$49+(g_ad-Seg!$F$49)*1/4</f>
        <v>0.173532271017372</v>
      </c>
      <c r="I49" s="13" t="n">
        <f aca="false">Seg!$F$49+(g_ad-Seg!$F$49)*2/4</f>
        <v>0.149021514011581</v>
      </c>
      <c r="J49" s="13" t="n">
        <f aca="false">Seg!$F$49+(g_ad-Seg!$F$49)*3/4</f>
        <v>0.124510757005791</v>
      </c>
      <c r="K49" s="13" t="n">
        <f aca="false">Seg!$F$49+(g_ad-Seg!$F$49)*4/4</f>
        <v>0.1</v>
      </c>
      <c r="L49" s="13" t="n">
        <f aca="false">g_ad</f>
        <v>0.1</v>
      </c>
      <c r="M49" s="13" t="n">
        <f aca="false">g_ad</f>
        <v>0.1</v>
      </c>
      <c r="P49" s="8" t="s">
        <v>734</v>
      </c>
    </row>
    <row r="50" customFormat="false" ht="17.15" hidden="false" customHeight="false" outlineLevel="0" collapsed="false">
      <c r="A50" s="0" t="s">
        <v>568</v>
      </c>
      <c r="B50" s="0" t="s">
        <v>91</v>
      </c>
      <c r="C50" s="40" t="n">
        <f aca="false">Q!$D$14</f>
        <v>44.374</v>
      </c>
      <c r="D50" s="40" t="n">
        <f aca="false">Q!$E$14</f>
        <v>49.619</v>
      </c>
      <c r="E50" s="40" t="n">
        <f aca="false">Q!$O$14</f>
        <v>41.163</v>
      </c>
      <c r="F50" s="40" t="n">
        <f aca="false">Seg!$O$50*(1+Seg!$F$51)*Seg!$F$54</f>
        <v>14.7818388144754</v>
      </c>
      <c r="G50" s="40" t="n">
        <f aca="false">Seg!$E$50+Seg!$F$50</f>
        <v>55.9448388144754</v>
      </c>
      <c r="H50" s="40" t="n">
        <f aca="false">Seg!$G$50*(1+Seg!$H$51)</f>
        <v>62.2881216081287</v>
      </c>
      <c r="I50" s="40" t="n">
        <f aca="false">Seg!$H$50*(1+Seg!$I$51)</f>
        <v>68.4498533343906</v>
      </c>
      <c r="J50" s="40" t="n">
        <f aca="false">Seg!$I$50*(1+Seg!$J$51)</f>
        <v>74.2312327495396</v>
      </c>
      <c r="K50" s="40" t="n">
        <f aca="false">Seg!$J$50*(1+Seg!$K$51)</f>
        <v>79.4274190420074</v>
      </c>
      <c r="L50" s="40" t="n">
        <f aca="false">Seg!$K$50*(1+Seg!$L$51)</f>
        <v>84.9873383749479</v>
      </c>
      <c r="M50" s="40" t="n">
        <f aca="false">Seg!$L$50*(1+Seg!$M$51)</f>
        <v>90.9364520611943</v>
      </c>
      <c r="N50" s="40" t="n">
        <f aca="false">Q!$N$14</f>
        <v>36.497</v>
      </c>
      <c r="O50" s="40" t="n">
        <f aca="false">Q!$J$14</f>
        <v>13.122</v>
      </c>
      <c r="P50" s="8" t="s">
        <v>726</v>
      </c>
    </row>
    <row r="51" customFormat="false" ht="17.15" hidden="false" customHeight="false" outlineLevel="0" collapsed="false">
      <c r="A51" s="0" t="s">
        <v>735</v>
      </c>
      <c r="B51" s="0" t="s">
        <v>56</v>
      </c>
      <c r="E51" s="13" t="n">
        <f aca="false">Seg!$E$50/Seg!$N$50-1</f>
        <v>0.127846124338987</v>
      </c>
      <c r="F51" s="13" t="n">
        <f aca="false">Seg!$E$51</f>
        <v>0.127846124338987</v>
      </c>
      <c r="G51" s="13" t="n">
        <f aca="false">Seg!$G$50/Seg!$D$50-1</f>
        <v>0.127488236652803</v>
      </c>
      <c r="H51" s="13" t="n">
        <f aca="false">Seg!$F$51+(g_sub-Seg!$F$51)*1/4</f>
        <v>0.11338459325424</v>
      </c>
      <c r="I51" s="13" t="n">
        <f aca="false">Seg!$F$51+(g_sub-Seg!$F$51)*2/4</f>
        <v>0.0989230621694934</v>
      </c>
      <c r="J51" s="13" t="n">
        <f aca="false">Seg!$F$51+(g_sub-Seg!$F$51)*3/4</f>
        <v>0.0844615310847467</v>
      </c>
      <c r="K51" s="13" t="n">
        <f aca="false">Seg!$F$51+(g_sub-Seg!$F$51)*4/4</f>
        <v>0.07</v>
      </c>
      <c r="L51" s="13" t="n">
        <f aca="false">g_sub</f>
        <v>0.07</v>
      </c>
      <c r="M51" s="13" t="n">
        <f aca="false">g_sub</f>
        <v>0.07</v>
      </c>
      <c r="P51" s="8" t="s">
        <v>736</v>
      </c>
    </row>
    <row r="52" customFormat="false" ht="17.15" hidden="false" customHeight="false" outlineLevel="0" collapsed="false">
      <c r="A52" s="0" t="s">
        <v>569</v>
      </c>
      <c r="B52" s="0" t="s">
        <v>91</v>
      </c>
      <c r="C52" s="40" t="n">
        <f aca="false">Q!$D$15</f>
        <v>5.425</v>
      </c>
      <c r="D52" s="40" t="n">
        <f aca="false">Q!$E$15</f>
        <v>5.935</v>
      </c>
      <c r="E52" s="40" t="n">
        <f aca="false">Q!$O$15</f>
        <v>5.119</v>
      </c>
      <c r="F52" s="40" t="n">
        <f aca="false">Seg!$O$52*(1+Seg!$F$53)*Seg!$F$54</f>
        <v>2.06764643489463</v>
      </c>
      <c r="G52" s="40" t="n">
        <f aca="false">Seg!$E$52+Seg!$F$52</f>
        <v>7.18664643489463</v>
      </c>
      <c r="H52" s="40" t="n">
        <f aca="false">Seg!$G$52*(1+Seg!$H$53)</f>
        <v>8.41544223415965</v>
      </c>
      <c r="I52" s="40" t="n">
        <f aca="false">Seg!$H$52*(1+Seg!$I$53)</f>
        <v>9.51496576222195</v>
      </c>
      <c r="J52" s="40" t="n">
        <f aca="false">Seg!$I$52*(1+Seg!$J$53)</f>
        <v>10.3744310498661</v>
      </c>
      <c r="K52" s="40" t="n">
        <f aca="false">Seg!$J$52*(1+Seg!$K$53)</f>
        <v>10.8931526023594</v>
      </c>
      <c r="L52" s="40" t="n">
        <f aca="false">Seg!$K$52*(1+Seg!$L$53)</f>
        <v>11.4378102324774</v>
      </c>
      <c r="M52" s="40" t="n">
        <f aca="false">Seg!$L$52*(1+Seg!$M$53)</f>
        <v>12.0097007441012</v>
      </c>
      <c r="N52" s="40" t="n">
        <f aca="false">Q!$N$15</f>
        <v>4.226</v>
      </c>
      <c r="O52" s="40" t="n">
        <f aca="false">Q!$J$15</f>
        <v>1.709</v>
      </c>
      <c r="P52" s="8" t="s">
        <v>726</v>
      </c>
    </row>
    <row r="53" customFormat="false" ht="17.15" hidden="false" customHeight="false" outlineLevel="0" collapsed="false">
      <c r="A53" s="0" t="s">
        <v>737</v>
      </c>
      <c r="B53" s="0" t="s">
        <v>56</v>
      </c>
      <c r="E53" s="13" t="n">
        <f aca="false">Seg!$E$52/Seg!$N$52-1</f>
        <v>0.21131093232371</v>
      </c>
      <c r="F53" s="13" t="n">
        <f aca="false">Seg!$E$53</f>
        <v>0.21131093232371</v>
      </c>
      <c r="G53" s="13" t="n">
        <f aca="false">Seg!$G$52/Seg!$D$52-1</f>
        <v>0.210892406890418</v>
      </c>
      <c r="H53" s="13" t="n">
        <f aca="false">Seg!$F$53+(g_ot-Seg!$F$53)*1/4</f>
        <v>0.170983199242783</v>
      </c>
      <c r="I53" s="13" t="n">
        <f aca="false">Seg!$F$53+(g_ot-Seg!$F$53)*2/4</f>
        <v>0.130655466161855</v>
      </c>
      <c r="J53" s="13" t="n">
        <f aca="false">Seg!$F$53+(g_ot-Seg!$F$53)*3/4</f>
        <v>0.0903277330809276</v>
      </c>
      <c r="K53" s="13" t="n">
        <f aca="false">Seg!$F$53+(g_ot-Seg!$F$53)*4/4</f>
        <v>0.05</v>
      </c>
      <c r="L53" s="13" t="n">
        <f aca="false">g_ot</f>
        <v>0.05</v>
      </c>
      <c r="M53" s="13" t="n">
        <f aca="false">g_ot</f>
        <v>0.05</v>
      </c>
      <c r="P53" s="8" t="s">
        <v>738</v>
      </c>
    </row>
    <row r="54" customFormat="false" ht="17.15" hidden="false" customHeight="false" outlineLevel="0" collapsed="false">
      <c r="A54" s="0" t="s">
        <v>739</v>
      </c>
      <c r="B54" s="0" t="s">
        <v>61</v>
      </c>
      <c r="F54" s="42" t="n">
        <f aca="false">(g26q4_mid-Thesis!$F$92-Thesis!$F$96)/(Seg!$O$42*(1+Seg!$F$43)+Seg!$O$44*(1+Seg!$F$45)+Seg!$O$46*(1+Seg!$F$47)+Seg!$O$48*(1+Seg!$F$49)+Seg!$O$50*(1+Seg!$F$51)+Seg!$O$52*(1+Seg!$F$53))</f>
        <v>0.998800100483245</v>
      </c>
      <c r="P54" s="8" t="s">
        <v>740</v>
      </c>
    </row>
    <row r="55" customFormat="false" ht="17.15" hidden="false" customHeight="false" outlineLevel="0" collapsed="false">
      <c r="A55" s="3" t="s">
        <v>741</v>
      </c>
      <c r="B55" s="8" t="s">
        <v>91</v>
      </c>
      <c r="C55" s="40" t="n">
        <f aca="false">Seg!$C$42+Seg!$C$44+Seg!$C$46+Seg!$C$48+Seg!$C$50+Seg!$C$52</f>
        <v>530.403</v>
      </c>
      <c r="D55" s="40" t="n">
        <f aca="false">Seg!$D$42+Seg!$D$44+Seg!$D$46+Seg!$D$48+Seg!$D$50+Seg!$D$52</f>
        <v>588.199</v>
      </c>
      <c r="E55" s="40" t="n">
        <f aca="false">Seg!$E$42+Seg!$E$44+Seg!$E$46+Seg!$E$48+Seg!$E$50+Seg!$E$52</f>
        <v>458.266</v>
      </c>
      <c r="F55" s="40" t="n">
        <f aca="false">Seg!$F$42+Seg!$F$44+Seg!$F$46+Seg!$F$48+Seg!$F$50+Seg!$F$52</f>
        <v>198.403657678237</v>
      </c>
      <c r="G55" s="40" t="n">
        <f aca="false">Seg!$G$42+Seg!$G$44+Seg!$G$46+Seg!$G$48+Seg!$G$50+Seg!$G$52</f>
        <v>656.669657678237</v>
      </c>
      <c r="H55" s="40" t="n">
        <f aca="false">Seg!$H$42+Seg!$H$44+Seg!$H$46+Seg!$H$48+Seg!$H$50+Seg!$H$52</f>
        <v>725.230542636613</v>
      </c>
      <c r="I55" s="40" t="n">
        <f aca="false">Seg!$I$42+Seg!$I$44+Seg!$I$46+Seg!$I$48+Seg!$I$50+Seg!$I$52</f>
        <v>791.596017003042</v>
      </c>
      <c r="J55" s="40" t="n">
        <f aca="false">Seg!$J$42+Seg!$J$44+Seg!$J$46+Seg!$J$48+Seg!$J$50+Seg!$J$52</f>
        <v>853.485450828695</v>
      </c>
      <c r="K55" s="40" t="n">
        <f aca="false">Seg!$K$42+Seg!$K$44+Seg!$K$46+Seg!$K$48+Seg!$K$50+Seg!$K$52</f>
        <v>908.537185821905</v>
      </c>
      <c r="L55" s="40" t="n">
        <f aca="false">Seg!$L$42+Seg!$L$44+Seg!$L$46+Seg!$L$48+Seg!$L$50+Seg!$L$52</f>
        <v>967.415433886114</v>
      </c>
      <c r="M55" s="40" t="n">
        <f aca="false">Seg!$M$42+Seg!$M$44+Seg!$M$46+Seg!$M$48+Seg!$M$50+Seg!$M$52</f>
        <v>1030.40600740031</v>
      </c>
      <c r="N55" s="40" t="n">
        <f aca="false">Seg!$N$42+Seg!$N$44+Seg!$N$46+Seg!$N$48+Seg!$N$50+Seg!$N$52</f>
        <v>410.392</v>
      </c>
      <c r="O55" s="40" t="n">
        <f aca="false">Seg!$O$42+Seg!$O$44+Seg!$O$46+Seg!$O$48+Seg!$O$50+Seg!$O$52</f>
        <v>177.807</v>
      </c>
    </row>
    <row r="56" customFormat="false" ht="17.15" hidden="false" customHeight="false" outlineLevel="0" collapsed="false">
      <c r="A56" s="5" t="s">
        <v>742</v>
      </c>
      <c r="B56" s="0" t="s">
        <v>56</v>
      </c>
      <c r="C56" s="13" t="n">
        <f aca="false">Q!$D$5/(Q!$D$5+Q!$D$6)</f>
        <v>0.730570905519011</v>
      </c>
      <c r="D56" s="13" t="n">
        <f aca="false">Q!$E$5/(Q!$E$5+Q!$E$6)</f>
        <v>0.724763217890544</v>
      </c>
      <c r="E56" s="13" t="n">
        <f aca="false">Q!$O$5/(Q!$O$5+Q!$O$6)</f>
        <v>0.727027534226846</v>
      </c>
      <c r="F56" s="13" t="n">
        <f aca="false">Seg!$O$56</f>
        <v>0.714724392178036</v>
      </c>
      <c r="G56" s="13" t="n">
        <f aca="false">Seg!$G$57/Seg!$G$55</f>
        <v>0.723310309965184</v>
      </c>
      <c r="H56" s="13" t="n">
        <f aca="false">Seg!$G$56</f>
        <v>0.723310309965184</v>
      </c>
      <c r="I56" s="13" t="n">
        <f aca="false">Seg!$G$56</f>
        <v>0.723310309965184</v>
      </c>
      <c r="J56" s="13" t="n">
        <f aca="false">Seg!$G$56</f>
        <v>0.723310309965184</v>
      </c>
      <c r="K56" s="13" t="n">
        <f aca="false">Seg!$G$56</f>
        <v>0.723310309965184</v>
      </c>
      <c r="L56" s="13" t="n">
        <f aca="false">Seg!$G$56</f>
        <v>0.723310309965184</v>
      </c>
      <c r="M56" s="13" t="n">
        <f aca="false">Seg!$G$56</f>
        <v>0.723310309965184</v>
      </c>
      <c r="N56" s="13" t="n">
        <f aca="false">Q!$N$5/(Q!$N$5+Q!$N$6)</f>
        <v>0.729112653268095</v>
      </c>
      <c r="O56" s="13" t="n">
        <f aca="false">Q!$J$5/(Q!$J$5+Q!$J$6)</f>
        <v>0.714724392178036</v>
      </c>
      <c r="P56" s="8" t="s">
        <v>743</v>
      </c>
    </row>
    <row r="57" customFormat="false" ht="17.15" hidden="false" customHeight="false" outlineLevel="0" collapsed="false">
      <c r="A57" s="1" t="s">
        <v>557</v>
      </c>
      <c r="B57" s="8" t="s">
        <v>91</v>
      </c>
      <c r="C57" s="40" t="n">
        <f aca="false">Q!$D$5</f>
        <v>387.497</v>
      </c>
      <c r="D57" s="40" t="n">
        <f aca="false">Q!$E$5</f>
        <v>426.305</v>
      </c>
      <c r="E57" s="40" t="n">
        <f aca="false">Q!$O$5</f>
        <v>333.172</v>
      </c>
      <c r="F57" s="40" t="n">
        <f aca="false">Seg!$F$55*Seg!$F$56</f>
        <v>141.803933639977</v>
      </c>
      <c r="G57" s="40" t="n">
        <f aca="false">Seg!$E$57+Seg!$F$57</f>
        <v>474.975933639977</v>
      </c>
      <c r="H57" s="40" t="n">
        <f aca="false">Seg!$H$55*Seg!$H$56</f>
        <v>524.566728590708</v>
      </c>
      <c r="I57" s="40" t="n">
        <f aca="false">Seg!$I$55*Seg!$I$56</f>
        <v>572.569560425675</v>
      </c>
      <c r="J57" s="40" t="n">
        <f aca="false">Seg!$J$55*Seg!$J$56</f>
        <v>617.334825989679</v>
      </c>
      <c r="K57" s="40" t="n">
        <f aca="false">Seg!$K$55*Seg!$K$56</f>
        <v>657.154313491738</v>
      </c>
      <c r="L57" s="40" t="n">
        <f aca="false">Seg!$L$55*Seg!$L$56</f>
        <v>699.741557349269</v>
      </c>
      <c r="M57" s="40" t="n">
        <f aca="false">Seg!$M$55*Seg!$M$56</f>
        <v>745.303288602707</v>
      </c>
      <c r="N57" s="40" t="n">
        <f aca="false">Q!$N$5</f>
        <v>299.222</v>
      </c>
      <c r="O57" s="40" t="n">
        <f aca="false">Q!$J$5</f>
        <v>127.083</v>
      </c>
      <c r="P57" s="5" t="s">
        <v>744</v>
      </c>
    </row>
    <row r="58" customFormat="false" ht="17.15" hidden="false" customHeight="false" outlineLevel="0" collapsed="false">
      <c r="A58" s="1" t="s">
        <v>560</v>
      </c>
      <c r="B58" s="8" t="s">
        <v>91</v>
      </c>
      <c r="C58" s="40" t="n">
        <f aca="false">Q!$D$6</f>
        <v>142.906</v>
      </c>
      <c r="D58" s="40" t="n">
        <f aca="false">Q!$E$6</f>
        <v>161.894</v>
      </c>
      <c r="E58" s="40" t="n">
        <f aca="false">Q!$O$6</f>
        <v>125.094</v>
      </c>
      <c r="F58" s="40" t="n">
        <f aca="false">Seg!$F$55*(1-Seg!$F$56)</f>
        <v>56.5997240382599</v>
      </c>
      <c r="G58" s="40" t="n">
        <f aca="false">Seg!$E$58+Seg!$F$58</f>
        <v>181.69372403826</v>
      </c>
      <c r="H58" s="40" t="n">
        <f aca="false">Seg!$H$55*(1-Seg!$H$56)</f>
        <v>200.663814045906</v>
      </c>
      <c r="I58" s="40" t="n">
        <f aca="false">Seg!$I$55*(1-Seg!$I$56)</f>
        <v>219.026456577366</v>
      </c>
      <c r="J58" s="40" t="n">
        <f aca="false">Seg!$J$55*(1-Seg!$J$56)</f>
        <v>236.150624839017</v>
      </c>
      <c r="K58" s="40" t="n">
        <f aca="false">Seg!$K$55*(1-Seg!$K$56)</f>
        <v>251.382872330167</v>
      </c>
      <c r="L58" s="40" t="n">
        <f aca="false">Seg!$L$55*(1-Seg!$L$56)</f>
        <v>267.673876536846</v>
      </c>
      <c r="M58" s="40" t="n">
        <f aca="false">Seg!$M$55*(1-Seg!$M$56)</f>
        <v>285.102718797604</v>
      </c>
      <c r="N58" s="40" t="n">
        <f aca="false">Q!$N$6</f>
        <v>111.17</v>
      </c>
      <c r="O58" s="40" t="n">
        <f aca="false">Q!$J$6</f>
        <v>50.724</v>
      </c>
      <c r="P58" s="5" t="s">
        <v>745</v>
      </c>
    </row>
    <row r="59" customFormat="false" ht="17.15" hidden="false" customHeight="false" outlineLevel="0" collapsed="false">
      <c r="A59" s="5" t="s">
        <v>746</v>
      </c>
      <c r="B59" s="0" t="s">
        <v>91</v>
      </c>
      <c r="C59" s="40" t="n">
        <f aca="false">Seg!$C$48*Seg!$C$56</f>
        <v>41.0683128828457</v>
      </c>
      <c r="D59" s="40" t="n">
        <f aca="false">Seg!$D$48*Seg!$D$56</f>
        <v>49.7441234599175</v>
      </c>
      <c r="E59" s="40" t="n">
        <f aca="false">Seg!$E$48*Seg!$E$56</f>
        <v>41.2144638877857</v>
      </c>
      <c r="F59" s="40" t="n">
        <f aca="false">Seg!$F$48*Seg!$F$56</f>
        <v>18.2312179377398</v>
      </c>
      <c r="G59" s="40" t="n">
        <f aca="false">Seg!$G$48*Seg!$G$56</f>
        <v>59.4539660283387</v>
      </c>
      <c r="H59" s="40" t="n">
        <f aca="false">Seg!$H$48*Seg!$H$56</f>
        <v>69.771147774226</v>
      </c>
      <c r="I59" s="40" t="n">
        <f aca="false">Seg!$I$48*Seg!$I$56</f>
        <v>80.1685498498669</v>
      </c>
      <c r="J59" s="40" t="n">
        <f aca="false">Seg!$J$48*Seg!$J$56</f>
        <v>90.1503966797303</v>
      </c>
      <c r="K59" s="40" t="n">
        <f aca="false">Seg!$K$48*Seg!$K$56</f>
        <v>99.1654363477033</v>
      </c>
      <c r="L59" s="40" t="n">
        <f aca="false">Seg!$L$48*Seg!$L$56</f>
        <v>109.081979982474</v>
      </c>
      <c r="M59" s="40" t="n">
        <f aca="false">Seg!$M$48*Seg!$M$56</f>
        <v>119.990177980721</v>
      </c>
      <c r="N59" s="40" t="n">
        <f aca="false">Seg!$N$48*Seg!$N$56</f>
        <v>34.5001525273397</v>
      </c>
      <c r="O59" s="40" t="n">
        <f aca="false">Seg!$O$48*Seg!$O$56</f>
        <v>15.2357798680592</v>
      </c>
      <c r="P59" s="5" t="s">
        <v>747</v>
      </c>
    </row>
    <row r="60" customFormat="false" ht="15" hidden="false" customHeight="false" outlineLevel="0" collapsed="false">
      <c r="A60" s="5" t="s">
        <v>748</v>
      </c>
      <c r="B60" s="0" t="s">
        <v>91</v>
      </c>
      <c r="C60" s="40" t="n">
        <f aca="false">Seg!$C$48-Seg!$C$59</f>
        <v>15.1456871171543</v>
      </c>
      <c r="D60" s="40" t="n">
        <f aca="false">Seg!$D$48-Seg!$D$59</f>
        <v>18.8908765400825</v>
      </c>
      <c r="E60" s="40" t="n">
        <f aca="false">Seg!$E$48-Seg!$E$59</f>
        <v>15.4745361122143</v>
      </c>
      <c r="F60" s="40" t="n">
        <f aca="false">Seg!$F$48-Seg!$F$59</f>
        <v>7.2768214369657</v>
      </c>
      <c r="G60" s="40" t="n">
        <f aca="false">Seg!$G$48-Seg!$G$59</f>
        <v>22.7430733463668</v>
      </c>
      <c r="H60" s="40" t="n">
        <f aca="false">Seg!$H$48-Seg!$H$59</f>
        <v>26.6897305140765</v>
      </c>
      <c r="I60" s="40" t="n">
        <f aca="false">Seg!$I$48-Seg!$I$59</f>
        <v>30.6670745638453</v>
      </c>
      <c r="J60" s="40" t="n">
        <f aca="false">Seg!$J$48-Seg!$J$59</f>
        <v>34.4854552329427</v>
      </c>
      <c r="K60" s="40" t="n">
        <f aca="false">Seg!$K$48-Seg!$K$59</f>
        <v>37.934000756237</v>
      </c>
      <c r="L60" s="40" t="n">
        <f aca="false">Seg!$L$48-Seg!$L$59</f>
        <v>41.7274008318607</v>
      </c>
      <c r="M60" s="40" t="n">
        <f aca="false">Seg!$M$48-Seg!$M$59</f>
        <v>45.9001409150467</v>
      </c>
      <c r="N60" s="40" t="n">
        <f aca="false">Seg!$N$48-Seg!$N$59</f>
        <v>12.8178474726603</v>
      </c>
      <c r="O60" s="40" t="n">
        <f aca="false">Seg!$O$48-Seg!$O$59</f>
        <v>6.08122013194081</v>
      </c>
    </row>
    <row r="61" customFormat="false" ht="17.15" hidden="false" customHeight="false" outlineLevel="0" collapsed="false">
      <c r="A61" s="1" t="s">
        <v>749</v>
      </c>
    </row>
    <row r="62" customFormat="false" ht="17.15" hidden="false" customHeight="false" outlineLevel="0" collapsed="false">
      <c r="A62" s="0" t="s">
        <v>750</v>
      </c>
      <c r="B62" s="0" t="s">
        <v>91</v>
      </c>
      <c r="C62" s="40" t="n">
        <f aca="false">Thesis!$C$92</f>
        <v>2.32100535697364</v>
      </c>
      <c r="D62" s="40" t="n">
        <f aca="false">Thesis!$D$92</f>
        <v>8.70377008865116</v>
      </c>
      <c r="E62" s="40" t="n">
        <f aca="false">Thesis!$E$92</f>
        <v>16.2007080559478</v>
      </c>
      <c r="F62" s="40" t="n">
        <f aca="false">Thesis!$F$92</f>
        <v>8.11668198621236</v>
      </c>
      <c r="G62" s="40" t="n">
        <f aca="false">Thesis!$G$92</f>
        <v>24.3173900421601</v>
      </c>
      <c r="H62" s="40" t="n">
        <f aca="false">Thesis!$H$92</f>
        <v>53.8910944539304</v>
      </c>
      <c r="I62" s="40" t="n">
        <f aca="false">Thesis!$I$92</f>
        <v>89.008867070189</v>
      </c>
      <c r="J62" s="40" t="n">
        <f aca="false">Thesis!$J$92</f>
        <v>124.318362246843</v>
      </c>
      <c r="K62" s="40" t="n">
        <f aca="false">Thesis!$K$92</f>
        <v>154.432515216528</v>
      </c>
      <c r="L62" s="40" t="n">
        <f aca="false">Thesis!$L$92</f>
        <v>174.213714489111</v>
      </c>
      <c r="M62" s="40" t="n">
        <f aca="false">Thesis!$M$92</f>
        <v>183.630757228994</v>
      </c>
      <c r="N62" s="40" t="n">
        <f aca="false">Thesis!$N$92</f>
        <v>5.54865343151512</v>
      </c>
      <c r="O62" s="40" t="n">
        <f aca="false">Thesis!$O$92</f>
        <v>3.15511665713605</v>
      </c>
      <c r="P62" s="8" t="s">
        <v>751</v>
      </c>
    </row>
    <row r="63" customFormat="false" ht="17.15" hidden="false" customHeight="false" outlineLevel="0" collapsed="false">
      <c r="A63" s="0" t="s">
        <v>752</v>
      </c>
      <c r="B63" s="0" t="s">
        <v>91</v>
      </c>
      <c r="C63" s="40" t="n">
        <f aca="false">Thesis!$C$96</f>
        <v>105.234994643026</v>
      </c>
      <c r="D63" s="40" t="n">
        <f aca="false">Thesis!$D$96</f>
        <v>120.021229911349</v>
      </c>
      <c r="E63" s="40" t="n">
        <f aca="false">Thesis!$E$96</f>
        <v>109.602291944052</v>
      </c>
      <c r="F63" s="40" t="n">
        <f aca="false">Thesis!$F$96</f>
        <v>36.9796603355509</v>
      </c>
      <c r="G63" s="40" t="n">
        <f aca="false">Thesis!$G$96</f>
        <v>146.581952279603</v>
      </c>
      <c r="H63" s="40" t="n">
        <f aca="false">Thesis!$H$96</f>
        <v>164.960415168217</v>
      </c>
      <c r="I63" s="40" t="n">
        <f aca="false">Thesis!$I$96</f>
        <v>183.1478640969</v>
      </c>
      <c r="J63" s="40" t="n">
        <f aca="false">Thesis!$J$96</f>
        <v>200.570117292268</v>
      </c>
      <c r="K63" s="40" t="n">
        <f aca="false">Thesis!$K$96</f>
        <v>216.615726675649</v>
      </c>
      <c r="L63" s="40" t="n">
        <f aca="false">Thesis!$L$96</f>
        <v>233.944984809701</v>
      </c>
      <c r="M63" s="40" t="n">
        <f aca="false">Thesis!$M$96</f>
        <v>252.660583594477</v>
      </c>
      <c r="N63" s="40" t="n">
        <f aca="false">Thesis!$N$96</f>
        <v>87.5973465684849</v>
      </c>
      <c r="O63" s="40" t="n">
        <f aca="false">Thesis!$O$96</f>
        <v>32.423883342864</v>
      </c>
      <c r="P63" s="8" t="s">
        <v>751</v>
      </c>
    </row>
    <row r="64" customFormat="false" ht="17.15" hidden="false" customHeight="false" outlineLevel="0" collapsed="false">
      <c r="A64" s="1" t="s">
        <v>561</v>
      </c>
      <c r="B64" s="8" t="s">
        <v>91</v>
      </c>
      <c r="C64" s="40" t="n">
        <f aca="false">Q!$D$7</f>
        <v>107.556</v>
      </c>
      <c r="D64" s="40" t="n">
        <f aca="false">Q!$E$7</f>
        <v>128.725</v>
      </c>
      <c r="E64" s="40" t="n">
        <f aca="false">Q!$O$7</f>
        <v>125.803</v>
      </c>
      <c r="F64" s="40" t="n">
        <f aca="false">Seg!$F$62+Seg!$F$63</f>
        <v>45.0963423217632</v>
      </c>
      <c r="G64" s="40" t="n">
        <f aca="false">Seg!$G$62+Seg!$G$63</f>
        <v>170.899342321763</v>
      </c>
      <c r="H64" s="40" t="n">
        <f aca="false">Seg!$H$62+Seg!$H$63</f>
        <v>218.851509622147</v>
      </c>
      <c r="I64" s="40" t="n">
        <f aca="false">Seg!$I$62+Seg!$I$63</f>
        <v>272.156731167089</v>
      </c>
      <c r="J64" s="40" t="n">
        <f aca="false">Seg!$J$62+Seg!$J$63</f>
        <v>324.888479539111</v>
      </c>
      <c r="K64" s="40" t="n">
        <f aca="false">Seg!$K$62+Seg!$K$63</f>
        <v>371.048241892178</v>
      </c>
      <c r="L64" s="40" t="n">
        <f aca="false">Seg!$L$62+Seg!$L$63</f>
        <v>408.158699298813</v>
      </c>
      <c r="M64" s="40" t="n">
        <f aca="false">Seg!$M$62+Seg!$M$63</f>
        <v>436.291340823472</v>
      </c>
      <c r="N64" s="40" t="n">
        <f aca="false">Q!$N$7</f>
        <v>93.146</v>
      </c>
      <c r="O64" s="40" t="n">
        <f aca="false">Q!$J$7</f>
        <v>35.579</v>
      </c>
      <c r="P64" s="5" t="s">
        <v>753</v>
      </c>
    </row>
    <row r="65" customFormat="false" ht="15" hidden="false" customHeight="false" outlineLevel="0" collapsed="false">
      <c r="A65" s="3" t="s">
        <v>754</v>
      </c>
      <c r="B65" s="8" t="s">
        <v>91</v>
      </c>
      <c r="C65" s="40" t="n">
        <f aca="false">Q!$D$8</f>
        <v>637.959</v>
      </c>
      <c r="D65" s="40" t="n">
        <f aca="false">Q!$E$8</f>
        <v>716.924</v>
      </c>
      <c r="E65" s="40" t="n">
        <f aca="false">Q!$O$8</f>
        <v>584.069</v>
      </c>
      <c r="F65" s="40" t="n">
        <f aca="false">Seg!$F$55+Seg!$F$64</f>
        <v>243.5</v>
      </c>
      <c r="G65" s="40" t="n">
        <f aca="false">Seg!$G$55+Seg!$G$64</f>
        <v>827.569</v>
      </c>
      <c r="H65" s="40" t="n">
        <f aca="false">Seg!$H$55+Seg!$H$64</f>
        <v>944.082052258761</v>
      </c>
      <c r="I65" s="40" t="n">
        <f aca="false">Seg!$I$55+Seg!$I$64</f>
        <v>1063.75274817013</v>
      </c>
      <c r="J65" s="40" t="n">
        <f aca="false">Seg!$J$55+Seg!$J$64</f>
        <v>1178.37393036781</v>
      </c>
      <c r="K65" s="40" t="n">
        <f aca="false">Seg!$K$55+Seg!$K$64</f>
        <v>1279.58542771408</v>
      </c>
      <c r="L65" s="40" t="n">
        <f aca="false">Seg!$L$55+Seg!$L$64</f>
        <v>1375.57413318493</v>
      </c>
      <c r="M65" s="40" t="n">
        <f aca="false">Seg!$M$55+Seg!$M$64</f>
        <v>1466.69734822378</v>
      </c>
      <c r="N65" s="40" t="n">
        <f aca="false">Q!$N$8</f>
        <v>503.538</v>
      </c>
      <c r="O65" s="40" t="n">
        <f aca="false">Q!$J$8</f>
        <v>213.386</v>
      </c>
    </row>
    <row r="66" customFormat="false" ht="17.15" hidden="false" customHeight="false" outlineLevel="0" collapsed="false">
      <c r="A66" s="27" t="s">
        <v>762</v>
      </c>
      <c r="B66" s="28" t="s">
        <v>91</v>
      </c>
      <c r="C66" s="43" t="n">
        <f aca="false">Seg!$C$55-(Seg!$C$57+Seg!$C$58)</f>
        <v>0</v>
      </c>
      <c r="D66" s="43" t="n">
        <f aca="false">Seg!$D$55-(Seg!$D$57+Seg!$D$58)</f>
        <v>0</v>
      </c>
      <c r="E66" s="43" t="n">
        <f aca="false">Seg!$E$55-(Seg!$E$57+Seg!$E$58)</f>
        <v>0</v>
      </c>
      <c r="F66" s="43" t="n">
        <f aca="false">Seg!$F$55-(Seg!$F$57+Seg!$F$58)</f>
        <v>0</v>
      </c>
      <c r="G66" s="43" t="n">
        <f aca="false">Seg!$G$55-(Seg!$G$57+Seg!$G$58)</f>
        <v>0</v>
      </c>
      <c r="H66" s="43" t="n">
        <f aca="false">Seg!$H$55-(Seg!$H$57+Seg!$H$58)</f>
        <v>0</v>
      </c>
      <c r="I66" s="43" t="n">
        <f aca="false">Seg!$I$55-(Seg!$I$57+Seg!$I$58)</f>
        <v>0</v>
      </c>
      <c r="J66" s="43" t="n">
        <f aca="false">Seg!$J$55-(Seg!$J$57+Seg!$J$58)</f>
        <v>0</v>
      </c>
      <c r="K66" s="43" t="n">
        <f aca="false">Seg!$K$55-(Seg!$K$57+Seg!$K$58)</f>
        <v>0</v>
      </c>
      <c r="L66" s="43" t="n">
        <f aca="false">Seg!$L$55-(Seg!$L$57+Seg!$L$58)</f>
        <v>0</v>
      </c>
      <c r="M66" s="43" t="n">
        <f aca="false">Seg!$M$55-(Seg!$M$57+Seg!$M$58)</f>
        <v>0</v>
      </c>
      <c r="N66" s="43" t="n">
        <f aca="false">Seg!$N$55-(Seg!$N$57+Seg!$N$58)</f>
        <v>0</v>
      </c>
      <c r="O66" s="43" t="n">
        <f aca="false">Seg!$O$55-(Seg!$O$57+Seg!$O$58)</f>
        <v>0</v>
      </c>
    </row>
    <row r="67" customFormat="false" ht="17.15" hidden="false" customHeight="false" outlineLevel="0" collapsed="false">
      <c r="A67" s="27" t="s">
        <v>763</v>
      </c>
      <c r="B67" s="28" t="s">
        <v>91</v>
      </c>
      <c r="C67" s="43" t="n">
        <f aca="false">Seg!$C$62+Seg!$C$63-Seg!$C$64</f>
        <v>0</v>
      </c>
      <c r="D67" s="43" t="n">
        <f aca="false">Seg!$D$62+Seg!$D$63-Seg!$D$64</f>
        <v>0</v>
      </c>
      <c r="E67" s="43" t="n">
        <f aca="false">Seg!$E$62+Seg!$E$63-Seg!$E$64</f>
        <v>0</v>
      </c>
      <c r="F67" s="43" t="n">
        <f aca="false">Seg!$F$62+Seg!$F$63-Seg!$F$64</f>
        <v>0</v>
      </c>
      <c r="G67" s="43" t="n">
        <f aca="false">Seg!$G$62+Seg!$G$63-Seg!$G$64</f>
        <v>0</v>
      </c>
      <c r="H67" s="43" t="n">
        <f aca="false">Seg!$H$62+Seg!$H$63-Seg!$H$64</f>
        <v>0</v>
      </c>
      <c r="I67" s="43" t="n">
        <f aca="false">Seg!$I$62+Seg!$I$63-Seg!$I$64</f>
        <v>0</v>
      </c>
      <c r="J67" s="43" t="n">
        <f aca="false">Seg!$J$62+Seg!$J$63-Seg!$J$64</f>
        <v>0</v>
      </c>
      <c r="K67" s="43" t="n">
        <f aca="false">Seg!$K$62+Seg!$K$63-Seg!$K$64</f>
        <v>0</v>
      </c>
      <c r="L67" s="43" t="n">
        <f aca="false">Seg!$L$62+Seg!$L$63-Seg!$L$64</f>
        <v>0</v>
      </c>
      <c r="M67" s="43" t="n">
        <f aca="false">Seg!$M$62+Seg!$M$63-Seg!$M$64</f>
        <v>0</v>
      </c>
      <c r="N67" s="43" t="n">
        <f aca="false">Seg!$N$62+Seg!$N$63-Seg!$N$64</f>
        <v>0</v>
      </c>
      <c r="O67" s="43" t="n">
        <f aca="false">Seg!$O$62+Seg!$O$63-Seg!$O$64</f>
        <v>0</v>
      </c>
    </row>
    <row r="68" customFormat="false" ht="17.15" hidden="false" customHeight="false" outlineLevel="0" collapsed="false">
      <c r="A68" s="27" t="s">
        <v>764</v>
      </c>
      <c r="B68" s="28" t="s">
        <v>91</v>
      </c>
      <c r="C68" s="43" t="n">
        <f aca="false">Seg!$C$57+Seg!$C$58+Seg!$C$64-Seg!$C$65</f>
        <v>0</v>
      </c>
      <c r="D68" s="43" t="n">
        <f aca="false">Seg!$D$57+Seg!$D$58+Seg!$D$64-Seg!$D$65</f>
        <v>0</v>
      </c>
      <c r="E68" s="43" t="n">
        <f aca="false">Seg!$E$57+Seg!$E$58+Seg!$E$64-Seg!$E$65</f>
        <v>0</v>
      </c>
      <c r="F68" s="43" t="n">
        <f aca="false">Seg!$F$57+Seg!$F$58+Seg!$F$64-Seg!$F$65</f>
        <v>0</v>
      </c>
      <c r="G68" s="43" t="n">
        <f aca="false">Seg!$G$57+Seg!$G$58+Seg!$G$64-Seg!$G$65</f>
        <v>0</v>
      </c>
      <c r="H68" s="43" t="n">
        <f aca="false">Seg!$H$57+Seg!$H$58+Seg!$H$64-Seg!$H$65</f>
        <v>0</v>
      </c>
      <c r="I68" s="43" t="n">
        <f aca="false">Seg!$I$57+Seg!$I$58+Seg!$I$64-Seg!$I$65</f>
        <v>0</v>
      </c>
      <c r="J68" s="43" t="n">
        <f aca="false">Seg!$J$57+Seg!$J$58+Seg!$J$64-Seg!$J$65</f>
        <v>0</v>
      </c>
      <c r="K68" s="43" t="n">
        <f aca="false">Seg!$K$57+Seg!$K$58+Seg!$K$64-Seg!$K$65</f>
        <v>0</v>
      </c>
      <c r="L68" s="43" t="n">
        <f aca="false">Seg!$L$57+Seg!$L$58+Seg!$L$64-Seg!$L$65</f>
        <v>0</v>
      </c>
      <c r="M68" s="43" t="n">
        <f aca="false">Seg!$M$57+Seg!$M$58+Seg!$M$64-Seg!$M$65</f>
        <v>0</v>
      </c>
      <c r="N68" s="43" t="n">
        <f aca="false">Seg!$N$57+Seg!$N$58+Seg!$N$64-Seg!$N$65</f>
        <v>0</v>
      </c>
      <c r="O68" s="43" t="n">
        <f aca="false">Seg!$O$57+Seg!$O$58+Seg!$O$64-Seg!$O$65</f>
        <v>0</v>
      </c>
    </row>
    <row r="69" customFormat="false" ht="15" hidden="false" customHeight="false" outlineLevel="0" collapsed="false">
      <c r="A69" s="5" t="s">
        <v>758</v>
      </c>
      <c r="B69" s="0" t="s">
        <v>56</v>
      </c>
      <c r="G69" s="13" t="n">
        <f aca="false">Seg!$G$65/Seg!$D$65-1</f>
        <v>0.154332955794477</v>
      </c>
      <c r="H69" s="13" t="n">
        <f aca="false">Seg!$H$65/Seg!$G$65-1</f>
        <v>0.14078953206169</v>
      </c>
      <c r="I69" s="13" t="n">
        <f aca="false">Seg!$I$65/Seg!$H$65-1</f>
        <v>0.126758787146787</v>
      </c>
      <c r="J69" s="13" t="n">
        <f aca="false">Seg!$J$65/Seg!$I$65-1</f>
        <v>0.107751714291547</v>
      </c>
      <c r="K69" s="13" t="n">
        <f aca="false">Seg!$K$65/Seg!$J$65-1</f>
        <v>0.0858908150782707</v>
      </c>
      <c r="L69" s="13" t="n">
        <f aca="false">Seg!$L$65/Seg!$K$65-1</f>
        <v>0.0750154725052818</v>
      </c>
      <c r="M69" s="13" t="n">
        <f aca="false">Seg!$M$65/Seg!$L$65-1</f>
        <v>0.0662437689402269</v>
      </c>
    </row>
    <row r="70" customFormat="false" ht="17.15" hidden="false" customHeight="false" outlineLevel="0" collapsed="false">
      <c r="A70" s="0" t="s">
        <v>759</v>
      </c>
      <c r="B70" s="0" t="s">
        <v>56</v>
      </c>
      <c r="C70" s="13" t="n">
        <f aca="false">Seg!$C$64/Seg!$C$65</f>
        <v>0.168593906504964</v>
      </c>
      <c r="D70" s="13" t="n">
        <f aca="false">Seg!$D$64/Seg!$D$65</f>
        <v>0.179551807444025</v>
      </c>
      <c r="E70" s="13" t="n">
        <f aca="false">Seg!$E$64/Seg!$E$65</f>
        <v>0.2153906473379</v>
      </c>
      <c r="F70" s="13" t="n">
        <f aca="false">Seg!$F$64/Seg!$F$65</f>
        <v>0.185200584483627</v>
      </c>
      <c r="G70" s="13" t="n">
        <f aca="false">Seg!$G$64/Seg!$G$65</f>
        <v>0.206507665610678</v>
      </c>
      <c r="H70" s="13" t="n">
        <f aca="false">Seg!$H$64/Seg!$H$65</f>
        <v>0.231814077069398</v>
      </c>
      <c r="I70" s="13" t="n">
        <f aca="false">Seg!$I$64/Seg!$I$65</f>
        <v>0.255845854814715</v>
      </c>
      <c r="J70" s="13" t="n">
        <f aca="false">Seg!$J$64/Seg!$J$65</f>
        <v>0.275709154086346</v>
      </c>
      <c r="K70" s="13" t="n">
        <f aca="false">Seg!$K$64/Seg!$K$65</f>
        <v>0.289975357530476</v>
      </c>
      <c r="L70" s="13" t="n">
        <f aca="false">Seg!$L$64/Seg!$L$65</f>
        <v>0.296718795048715</v>
      </c>
      <c r="M70" s="13" t="n">
        <f aca="false">Seg!$M$64/Seg!$M$65</f>
        <v>0.297465145997458</v>
      </c>
      <c r="N70" s="13" t="n">
        <f aca="false">Seg!$N$64/Seg!$N$65</f>
        <v>0.184983059868371</v>
      </c>
      <c r="O70" s="13" t="n">
        <f aca="false">Seg!$O$64/Seg!$O$65</f>
        <v>0.1667353996982</v>
      </c>
    </row>
    <row r="71" customFormat="false" ht="17.15" hidden="false" customHeight="false" outlineLevel="0" collapsed="false">
      <c r="A71" s="0" t="s">
        <v>760</v>
      </c>
      <c r="B71" s="0" t="s">
        <v>56</v>
      </c>
      <c r="C71" s="13" t="n">
        <f aca="false">Seg!$C$62/Seg!$C$64</f>
        <v>0.0215795060896058</v>
      </c>
      <c r="D71" s="13" t="n">
        <f aca="false">Seg!$D$62/Seg!$D$64</f>
        <v>0.0676152269462122</v>
      </c>
      <c r="E71" s="13" t="n">
        <f aca="false">Seg!$E$62/Seg!$E$64</f>
        <v>0.128778392057008</v>
      </c>
      <c r="F71" s="13" t="n">
        <f aca="false">Seg!$F$62/Seg!$F$64</f>
        <v>0.179985372833559</v>
      </c>
      <c r="G71" s="13" t="n">
        <f aca="false">Seg!$G$62/Seg!$G$64</f>
        <v>0.142290717517076</v>
      </c>
      <c r="H71" s="13" t="n">
        <f aca="false">Seg!$H$62/Seg!$H$64</f>
        <v>0.246245020411213</v>
      </c>
      <c r="I71" s="13" t="n">
        <f aca="false">Seg!$I$62/Seg!$I$64</f>
        <v>0.327050029916558</v>
      </c>
      <c r="J71" s="13" t="n">
        <f aca="false">Seg!$J$62/Seg!$J$64</f>
        <v>0.382649339931049</v>
      </c>
      <c r="K71" s="13" t="n">
        <f aca="false">Seg!$K$62/Seg!$K$64</f>
        <v>0.416206028706652</v>
      </c>
      <c r="L71" s="13" t="n">
        <f aca="false">Seg!$L$62/Seg!$L$64</f>
        <v>0.426828375306953</v>
      </c>
      <c r="M71" s="13" t="n">
        <f aca="false">Seg!$M$62/Seg!$M$64</f>
        <v>0.420890217262628</v>
      </c>
      <c r="N71" s="13" t="n">
        <f aca="false">Seg!$N$62/Seg!$N$64</f>
        <v>0.0595694225357516</v>
      </c>
      <c r="O71" s="13" t="n">
        <f aca="false">Seg!$O$62/Seg!$O$64</f>
        <v>0.0886791831455647</v>
      </c>
    </row>
    <row r="74" customFormat="false" ht="19.4" hidden="false" customHeight="false" outlineLevel="0" collapsed="false">
      <c r="A74" s="35" t="s">
        <v>765</v>
      </c>
    </row>
    <row r="75" customFormat="false" ht="17.15" hidden="false" customHeight="false" outlineLevel="0" collapsed="false">
      <c r="A75" s="6" t="s">
        <v>16</v>
      </c>
      <c r="B75" s="6" t="s">
        <v>17</v>
      </c>
      <c r="C75" s="23" t="s">
        <v>542</v>
      </c>
      <c r="D75" s="23" t="s">
        <v>543</v>
      </c>
      <c r="E75" s="23" t="s">
        <v>631</v>
      </c>
      <c r="F75" s="23" t="s">
        <v>632</v>
      </c>
      <c r="G75" s="23" t="s">
        <v>633</v>
      </c>
      <c r="H75" s="23" t="s">
        <v>634</v>
      </c>
      <c r="I75" s="23" t="s">
        <v>635</v>
      </c>
      <c r="J75" s="23" t="s">
        <v>636</v>
      </c>
      <c r="K75" s="23" t="s">
        <v>637</v>
      </c>
      <c r="L75" s="23" t="s">
        <v>638</v>
      </c>
      <c r="M75" s="23" t="s">
        <v>639</v>
      </c>
      <c r="N75" s="23" t="s">
        <v>640</v>
      </c>
      <c r="O75" s="23" t="s">
        <v>641</v>
      </c>
      <c r="P75" s="6" t="s">
        <v>23</v>
      </c>
      <c r="R75" s="23" t="n">
        <v>2023</v>
      </c>
      <c r="S75" s="23" t="n">
        <v>2024</v>
      </c>
      <c r="T75" s="23" t="n">
        <v>2025</v>
      </c>
      <c r="U75" s="23" t="n">
        <v>2026</v>
      </c>
      <c r="V75" s="23" t="n">
        <v>2027</v>
      </c>
      <c r="W75" s="23" t="n">
        <v>2028</v>
      </c>
      <c r="X75" s="23" t="n">
        <v>2029</v>
      </c>
      <c r="Y75" s="23" t="n">
        <v>2030</v>
      </c>
      <c r="Z75" s="23" t="n">
        <v>2031</v>
      </c>
      <c r="AA75" s="23" t="n">
        <v>2032</v>
      </c>
    </row>
    <row r="76" customFormat="false" ht="17.15" hidden="false" customHeight="false" outlineLevel="0" collapsed="false">
      <c r="A76" s="1" t="s">
        <v>725</v>
      </c>
    </row>
    <row r="77" customFormat="false" ht="17.15" hidden="false" customHeight="false" outlineLevel="0" collapsed="false">
      <c r="A77" s="0" t="s">
        <v>564</v>
      </c>
      <c r="B77" s="0" t="s">
        <v>91</v>
      </c>
      <c r="C77" s="40" t="n">
        <f aca="false">Q!$D$10</f>
        <v>247.029</v>
      </c>
      <c r="D77" s="40" t="n">
        <f aca="false">Q!$E$10</f>
        <v>269.287</v>
      </c>
      <c r="E77" s="40" t="n">
        <f aca="false">Q!$O$10</f>
        <v>203.156</v>
      </c>
      <c r="F77" s="40" t="n">
        <f aca="false">Seg!$O$77*(1+Seg!$F$78)*Seg!$F$89</f>
        <v>90.388463759573</v>
      </c>
      <c r="G77" s="40" t="n">
        <f aca="false">Seg!$E$77+Seg!$F$77</f>
        <v>293.544463759573</v>
      </c>
      <c r="H77" s="40" t="n">
        <f aca="false">Seg!$G$77*(1+Seg!$H$78)</f>
        <v>317.13448447826</v>
      </c>
      <c r="I77" s="40" t="n">
        <f aca="false">Seg!$H$77*(1+Seg!$I$78)</f>
        <v>339.410577938345</v>
      </c>
      <c r="J77" s="40" t="n">
        <f aca="false">Seg!$I$77*(1+Seg!$J$78)</f>
        <v>359.816245442206</v>
      </c>
      <c r="K77" s="40" t="n">
        <f aca="false">Seg!$J$77*(1+Seg!$K$78)</f>
        <v>377.807057714316</v>
      </c>
      <c r="L77" s="40" t="n">
        <f aca="false">Seg!$K$77*(1+Seg!$L$78)</f>
        <v>396.697410600032</v>
      </c>
      <c r="M77" s="40" t="n">
        <f aca="false">Seg!$L$77*(1+Seg!$M$78)</f>
        <v>416.532281130034</v>
      </c>
      <c r="N77" s="40" t="n">
        <f aca="false">Q!$N$10</f>
        <v>186.299</v>
      </c>
      <c r="O77" s="40" t="n">
        <f aca="false">Q!$J$10</f>
        <v>82.988</v>
      </c>
      <c r="P77" s="8" t="s">
        <v>726</v>
      </c>
    </row>
    <row r="78" customFormat="false" ht="17.15" hidden="false" customHeight="false" outlineLevel="0" collapsed="false">
      <c r="A78" s="0" t="s">
        <v>727</v>
      </c>
      <c r="B78" s="0" t="s">
        <v>56</v>
      </c>
      <c r="E78" s="13" t="n">
        <f aca="false">Seg!$E$77/Seg!$N$77-1</f>
        <v>0.0904835774749195</v>
      </c>
      <c r="F78" s="13" t="n">
        <f aca="false">Seg!$E$78</f>
        <v>0.0904835774749195</v>
      </c>
      <c r="G78" s="13" t="n">
        <f aca="false">Seg!$G$77/Seg!$D$77-1</f>
        <v>0.0900803371851333</v>
      </c>
      <c r="H78" s="13" t="n">
        <f aca="false">Seg!$F$78+(g_os-Seg!$F$78)*1/4</f>
        <v>0.0803626831061896</v>
      </c>
      <c r="I78" s="13" t="n">
        <f aca="false">Seg!$F$78+(g_os-Seg!$F$78)*2/4</f>
        <v>0.0702417887374598</v>
      </c>
      <c r="J78" s="13" t="n">
        <f aca="false">Seg!$F$78+(g_os-Seg!$F$78)*3/4</f>
        <v>0.0601208943687299</v>
      </c>
      <c r="K78" s="13" t="n">
        <f aca="false">Seg!$F$78+(g_os-Seg!$F$78)*4/4</f>
        <v>0.05</v>
      </c>
      <c r="L78" s="13" t="n">
        <f aca="false">g_os</f>
        <v>0.05</v>
      </c>
      <c r="M78" s="13" t="n">
        <f aca="false">g_os</f>
        <v>0.05</v>
      </c>
      <c r="P78" s="8" t="s">
        <v>728</v>
      </c>
    </row>
    <row r="79" customFormat="false" ht="17.15" hidden="false" customHeight="false" outlineLevel="0" collapsed="false">
      <c r="A79" s="0" t="s">
        <v>565</v>
      </c>
      <c r="B79" s="0" t="s">
        <v>91</v>
      </c>
      <c r="C79" s="40" t="n">
        <f aca="false">Q!$D$11</f>
        <v>21.215</v>
      </c>
      <c r="D79" s="40" t="n">
        <f aca="false">Q!$E$11</f>
        <v>22.561</v>
      </c>
      <c r="E79" s="40" t="n">
        <f aca="false">Q!$O$11</f>
        <v>17.289</v>
      </c>
      <c r="F79" s="40" t="n">
        <f aca="false">Seg!$O$79*(1+Seg!$F$80)*Seg!$F$89</f>
        <v>6.05205510939944</v>
      </c>
      <c r="G79" s="40" t="n">
        <f aca="false">Seg!$E$79+Seg!$F$79</f>
        <v>23.3410551093994</v>
      </c>
      <c r="H79" s="40" t="n">
        <f aca="false">Seg!$G$79*(1+Seg!$H$80)</f>
        <v>24.1270238539533</v>
      </c>
      <c r="I79" s="40" t="n">
        <f aca="false">Seg!$H$79*(1+Seg!$I$80)</f>
        <v>24.9099173270163</v>
      </c>
      <c r="J79" s="40" t="n">
        <f aca="false">Seg!$I$79*(1+Seg!$J$80)</f>
        <v>25.6877148084528</v>
      </c>
      <c r="K79" s="40" t="n">
        <f aca="false">Seg!$J$79*(1+Seg!$K$80)</f>
        <v>26.4583462527063</v>
      </c>
      <c r="L79" s="40" t="n">
        <f aca="false">Seg!$K$79*(1+Seg!$L$80)</f>
        <v>27.2520966402875</v>
      </c>
      <c r="M79" s="40" t="n">
        <f aca="false">Seg!$L$79*(1+Seg!$M$80)</f>
        <v>28.0696595394962</v>
      </c>
      <c r="N79" s="40" t="n">
        <f aca="false">Q!$N$11</f>
        <v>16.706</v>
      </c>
      <c r="O79" s="40" t="n">
        <f aca="false">Q!$J$11</f>
        <v>5.855</v>
      </c>
      <c r="P79" s="8" t="s">
        <v>726</v>
      </c>
    </row>
    <row r="80" customFormat="false" ht="17.15" hidden="false" customHeight="false" outlineLevel="0" collapsed="false">
      <c r="A80" s="0" t="s">
        <v>729</v>
      </c>
      <c r="B80" s="0" t="s">
        <v>56</v>
      </c>
      <c r="E80" s="13" t="n">
        <f aca="false">Seg!$E$79/Seg!$N$79-1</f>
        <v>0.0348976415659046</v>
      </c>
      <c r="F80" s="13" t="n">
        <f aca="false">Seg!$E$80</f>
        <v>0.0348976415659046</v>
      </c>
      <c r="G80" s="13" t="n">
        <f aca="false">Seg!$G$79/Seg!$D$79-1</f>
        <v>0.0345753782810796</v>
      </c>
      <c r="H80" s="13" t="n">
        <f aca="false">Seg!$F$80+(g_ps-Seg!$F$80)*1/4</f>
        <v>0.0336732311744284</v>
      </c>
      <c r="I80" s="13" t="n">
        <f aca="false">Seg!$F$80+(g_ps-Seg!$F$80)*2/4</f>
        <v>0.0324488207829523</v>
      </c>
      <c r="J80" s="13" t="n">
        <f aca="false">Seg!$F$80+(g_ps-Seg!$F$80)*3/4</f>
        <v>0.0312244103914761</v>
      </c>
      <c r="K80" s="13" t="n">
        <f aca="false">Seg!$F$80+(g_ps-Seg!$F$80)*4/4</f>
        <v>0.03</v>
      </c>
      <c r="L80" s="13" t="n">
        <f aca="false">g_ps</f>
        <v>0.03</v>
      </c>
      <c r="M80" s="13" t="n">
        <f aca="false">g_ps</f>
        <v>0.03</v>
      </c>
      <c r="P80" s="8" t="s">
        <v>730</v>
      </c>
    </row>
    <row r="81" customFormat="false" ht="17.15" hidden="false" customHeight="false" outlineLevel="0" collapsed="false">
      <c r="A81" s="0" t="s">
        <v>566</v>
      </c>
      <c r="B81" s="0" t="s">
        <v>91</v>
      </c>
      <c r="C81" s="40" t="n">
        <f aca="false">Q!$D$12</f>
        <v>156.146</v>
      </c>
      <c r="D81" s="40" t="n">
        <f aca="false">Q!$E$12</f>
        <v>172.162</v>
      </c>
      <c r="E81" s="40" t="n">
        <f aca="false">Q!$O$12</f>
        <v>134.85</v>
      </c>
      <c r="F81" s="40" t="n">
        <f aca="false">Seg!$O$81*(1+Seg!$F$82)*Seg!$F$89</f>
        <v>59.6056141851888</v>
      </c>
      <c r="G81" s="40" t="n">
        <f aca="false">Seg!$E$81+Seg!$F$81</f>
        <v>194.455614185189</v>
      </c>
      <c r="H81" s="40" t="n">
        <f aca="false">Seg!$G$81*(1+Seg!$H$82)</f>
        <v>216.80459217381</v>
      </c>
      <c r="I81" s="40" t="n">
        <f aca="false">Seg!$H$81*(1+Seg!$I$82)</f>
        <v>238.475078227356</v>
      </c>
      <c r="J81" s="40" t="n">
        <f aca="false">Seg!$I$81*(1+Seg!$J$82)</f>
        <v>258.739974865958</v>
      </c>
      <c r="K81" s="40" t="n">
        <f aca="false">Seg!$J$81*(1+Seg!$K$82)</f>
        <v>276.851773106575</v>
      </c>
      <c r="L81" s="40" t="n">
        <f aca="false">Seg!$K$81*(1+Seg!$L$82)</f>
        <v>296.231397224035</v>
      </c>
      <c r="M81" s="40" t="n">
        <f aca="false">Seg!$L$81*(1+Seg!$M$82)</f>
        <v>316.967595029718</v>
      </c>
      <c r="N81" s="40" t="n">
        <f aca="false">Q!$N$12</f>
        <v>119.346</v>
      </c>
      <c r="O81" s="40" t="n">
        <f aca="false">Q!$J$12</f>
        <v>52.816</v>
      </c>
      <c r="P81" s="8" t="s">
        <v>726</v>
      </c>
    </row>
    <row r="82" customFormat="false" ht="17.15" hidden="false" customHeight="false" outlineLevel="0" collapsed="false">
      <c r="A82" s="0" t="s">
        <v>731</v>
      </c>
      <c r="B82" s="0" t="s">
        <v>56</v>
      </c>
      <c r="E82" s="13" t="n">
        <f aca="false">Seg!$E$81/Seg!$N$81-1</f>
        <v>0.129907998592328</v>
      </c>
      <c r="F82" s="13" t="n">
        <f aca="false">Seg!$E$82</f>
        <v>0.129907998592328</v>
      </c>
      <c r="G82" s="13" t="n">
        <f aca="false">Seg!$G$81/Seg!$D$81-1</f>
        <v>0.129492072496769</v>
      </c>
      <c r="H82" s="13" t="n">
        <f aca="false">Seg!$F$82+(g_sp-Seg!$F$82)*1/4</f>
        <v>0.114930998944246</v>
      </c>
      <c r="I82" s="13" t="n">
        <f aca="false">Seg!$F$82+(g_sp-Seg!$F$82)*2/4</f>
        <v>0.0999539992961641</v>
      </c>
      <c r="J82" s="13" t="n">
        <f aca="false">Seg!$F$82+(g_sp-Seg!$F$82)*3/4</f>
        <v>0.084976999648082</v>
      </c>
      <c r="K82" s="13" t="n">
        <f aca="false">Seg!$F$82+(g_sp-Seg!$F$82)*4/4</f>
        <v>0.07</v>
      </c>
      <c r="L82" s="13" t="n">
        <f aca="false">g_sp</f>
        <v>0.07</v>
      </c>
      <c r="M82" s="13" t="n">
        <f aca="false">g_sp</f>
        <v>0.07</v>
      </c>
      <c r="P82" s="8" t="s">
        <v>732</v>
      </c>
    </row>
    <row r="83" customFormat="false" ht="17.15" hidden="false" customHeight="false" outlineLevel="0" collapsed="false">
      <c r="A83" s="0" t="s">
        <v>567</v>
      </c>
      <c r="B83" s="0" t="s">
        <v>91</v>
      </c>
      <c r="C83" s="40" t="n">
        <f aca="false">Q!$D$13</f>
        <v>56.214</v>
      </c>
      <c r="D83" s="40" t="n">
        <f aca="false">Q!$E$13</f>
        <v>68.635</v>
      </c>
      <c r="E83" s="40" t="n">
        <f aca="false">Q!$O$13</f>
        <v>56.689</v>
      </c>
      <c r="F83" s="40" t="n">
        <f aca="false">Seg!$O$83*(1+Seg!$F$84)*Seg!$F$89</f>
        <v>25.5080393747055</v>
      </c>
      <c r="G83" s="40" t="n">
        <f aca="false">Seg!$E$83+Seg!$F$83</f>
        <v>82.1970393747055</v>
      </c>
      <c r="H83" s="40" t="n">
        <f aca="false">Seg!$G$83*(1+Seg!$H$84)</f>
        <v>96.4608782883025</v>
      </c>
      <c r="I83" s="40" t="n">
        <f aca="false">Seg!$H$83*(1+Seg!$I$84)</f>
        <v>110.835624413712</v>
      </c>
      <c r="J83" s="40" t="n">
        <f aca="false">Seg!$I$83*(1+Seg!$J$84)</f>
        <v>124.635851912673</v>
      </c>
      <c r="K83" s="40" t="n">
        <f aca="false">Seg!$J$83*(1+Seg!$K$84)</f>
        <v>137.09943710394</v>
      </c>
      <c r="L83" s="40" t="n">
        <f aca="false">Seg!$K$83*(1+Seg!$L$84)</f>
        <v>150.809380814334</v>
      </c>
      <c r="M83" s="40" t="n">
        <f aca="false">Seg!$L$83*(1+Seg!$M$84)</f>
        <v>165.890318895768</v>
      </c>
      <c r="N83" s="40" t="n">
        <f aca="false">Q!$N$13</f>
        <v>47.318</v>
      </c>
      <c r="O83" s="40" t="n">
        <f aca="false">Q!$J$13</f>
        <v>21.317</v>
      </c>
      <c r="P83" s="8" t="s">
        <v>726</v>
      </c>
    </row>
    <row r="84" customFormat="false" ht="17.15" hidden="false" customHeight="false" outlineLevel="0" collapsed="false">
      <c r="A84" s="0" t="s">
        <v>733</v>
      </c>
      <c r="B84" s="0" t="s">
        <v>56</v>
      </c>
      <c r="E84" s="13" t="n">
        <f aca="false">Seg!$E$83/Seg!$N$83-1</f>
        <v>0.198043028023162</v>
      </c>
      <c r="F84" s="13" t="n">
        <f aca="false">Seg!$E$84</f>
        <v>0.198043028023162</v>
      </c>
      <c r="G84" s="13" t="n">
        <f aca="false">Seg!$G$83/Seg!$D$83-1</f>
        <v>0.197596552410657</v>
      </c>
      <c r="H84" s="13" t="n">
        <f aca="false">Seg!$F$84+(g_ad-Seg!$F$84)*1/4</f>
        <v>0.173532271017372</v>
      </c>
      <c r="I84" s="13" t="n">
        <f aca="false">Seg!$F$84+(g_ad-Seg!$F$84)*2/4</f>
        <v>0.149021514011581</v>
      </c>
      <c r="J84" s="13" t="n">
        <f aca="false">Seg!$F$84+(g_ad-Seg!$F$84)*3/4</f>
        <v>0.124510757005791</v>
      </c>
      <c r="K84" s="13" t="n">
        <f aca="false">Seg!$F$84+(g_ad-Seg!$F$84)*4/4</f>
        <v>0.1</v>
      </c>
      <c r="L84" s="13" t="n">
        <f aca="false">g_ad</f>
        <v>0.1</v>
      </c>
      <c r="M84" s="13" t="n">
        <f aca="false">g_ad</f>
        <v>0.1</v>
      </c>
      <c r="P84" s="8" t="s">
        <v>734</v>
      </c>
    </row>
    <row r="85" customFormat="false" ht="17.15" hidden="false" customHeight="false" outlineLevel="0" collapsed="false">
      <c r="A85" s="0" t="s">
        <v>568</v>
      </c>
      <c r="B85" s="0" t="s">
        <v>91</v>
      </c>
      <c r="C85" s="40" t="n">
        <f aca="false">Q!$D$14</f>
        <v>44.374</v>
      </c>
      <c r="D85" s="40" t="n">
        <f aca="false">Q!$E$14</f>
        <v>49.619</v>
      </c>
      <c r="E85" s="40" t="n">
        <f aca="false">Q!$O$14</f>
        <v>41.163</v>
      </c>
      <c r="F85" s="40" t="n">
        <f aca="false">Seg!$O$85*(1+Seg!$F$86)*Seg!$F$89</f>
        <v>14.7818388144754</v>
      </c>
      <c r="G85" s="40" t="n">
        <f aca="false">Seg!$E$85+Seg!$F$85</f>
        <v>55.9448388144754</v>
      </c>
      <c r="H85" s="40" t="n">
        <f aca="false">Seg!$G$85*(1+Seg!$H$86)</f>
        <v>62.2881216081287</v>
      </c>
      <c r="I85" s="40" t="n">
        <f aca="false">Seg!$H$85*(1+Seg!$I$86)</f>
        <v>68.4498533343906</v>
      </c>
      <c r="J85" s="40" t="n">
        <f aca="false">Seg!$I$85*(1+Seg!$J$86)</f>
        <v>74.2312327495396</v>
      </c>
      <c r="K85" s="40" t="n">
        <f aca="false">Seg!$J$85*(1+Seg!$K$86)</f>
        <v>79.4274190420074</v>
      </c>
      <c r="L85" s="40" t="n">
        <f aca="false">Seg!$K$85*(1+Seg!$L$86)</f>
        <v>84.9873383749479</v>
      </c>
      <c r="M85" s="40" t="n">
        <f aca="false">Seg!$L$85*(1+Seg!$M$86)</f>
        <v>90.9364520611943</v>
      </c>
      <c r="N85" s="40" t="n">
        <f aca="false">Q!$N$14</f>
        <v>36.497</v>
      </c>
      <c r="O85" s="40" t="n">
        <f aca="false">Q!$J$14</f>
        <v>13.122</v>
      </c>
      <c r="P85" s="8" t="s">
        <v>726</v>
      </c>
    </row>
    <row r="86" customFormat="false" ht="17.15" hidden="false" customHeight="false" outlineLevel="0" collapsed="false">
      <c r="A86" s="0" t="s">
        <v>735</v>
      </c>
      <c r="B86" s="0" t="s">
        <v>56</v>
      </c>
      <c r="E86" s="13" t="n">
        <f aca="false">Seg!$E$85/Seg!$N$85-1</f>
        <v>0.127846124338987</v>
      </c>
      <c r="F86" s="13" t="n">
        <f aca="false">Seg!$E$86</f>
        <v>0.127846124338987</v>
      </c>
      <c r="G86" s="13" t="n">
        <f aca="false">Seg!$G$85/Seg!$D$85-1</f>
        <v>0.127488236652803</v>
      </c>
      <c r="H86" s="13" t="n">
        <f aca="false">Seg!$F$86+(g_sub-Seg!$F$86)*1/4</f>
        <v>0.11338459325424</v>
      </c>
      <c r="I86" s="13" t="n">
        <f aca="false">Seg!$F$86+(g_sub-Seg!$F$86)*2/4</f>
        <v>0.0989230621694934</v>
      </c>
      <c r="J86" s="13" t="n">
        <f aca="false">Seg!$F$86+(g_sub-Seg!$F$86)*3/4</f>
        <v>0.0844615310847467</v>
      </c>
      <c r="K86" s="13" t="n">
        <f aca="false">Seg!$F$86+(g_sub-Seg!$F$86)*4/4</f>
        <v>0.07</v>
      </c>
      <c r="L86" s="13" t="n">
        <f aca="false">g_sub</f>
        <v>0.07</v>
      </c>
      <c r="M86" s="13" t="n">
        <f aca="false">g_sub</f>
        <v>0.07</v>
      </c>
      <c r="P86" s="8" t="s">
        <v>736</v>
      </c>
    </row>
    <row r="87" customFormat="false" ht="17.15" hidden="false" customHeight="false" outlineLevel="0" collapsed="false">
      <c r="A87" s="0" t="s">
        <v>569</v>
      </c>
      <c r="B87" s="0" t="s">
        <v>91</v>
      </c>
      <c r="C87" s="40" t="n">
        <f aca="false">Q!$D$15</f>
        <v>5.425</v>
      </c>
      <c r="D87" s="40" t="n">
        <f aca="false">Q!$E$15</f>
        <v>5.935</v>
      </c>
      <c r="E87" s="40" t="n">
        <f aca="false">Q!$O$15</f>
        <v>5.119</v>
      </c>
      <c r="F87" s="40" t="n">
        <f aca="false">Seg!$O$87*(1+Seg!$F$88)*Seg!$F$89</f>
        <v>2.06764643489463</v>
      </c>
      <c r="G87" s="40" t="n">
        <f aca="false">Seg!$E$87+Seg!$F$87</f>
        <v>7.18664643489463</v>
      </c>
      <c r="H87" s="40" t="n">
        <f aca="false">Seg!$G$87*(1+Seg!$H$88)</f>
        <v>8.41544223415965</v>
      </c>
      <c r="I87" s="40" t="n">
        <f aca="false">Seg!$H$87*(1+Seg!$I$88)</f>
        <v>9.51496576222195</v>
      </c>
      <c r="J87" s="40" t="n">
        <f aca="false">Seg!$I$87*(1+Seg!$J$88)</f>
        <v>10.3744310498661</v>
      </c>
      <c r="K87" s="40" t="n">
        <f aca="false">Seg!$J$87*(1+Seg!$K$88)</f>
        <v>10.8931526023594</v>
      </c>
      <c r="L87" s="40" t="n">
        <f aca="false">Seg!$K$87*(1+Seg!$L$88)</f>
        <v>11.4378102324774</v>
      </c>
      <c r="M87" s="40" t="n">
        <f aca="false">Seg!$L$87*(1+Seg!$M$88)</f>
        <v>12.0097007441012</v>
      </c>
      <c r="N87" s="40" t="n">
        <f aca="false">Q!$N$15</f>
        <v>4.226</v>
      </c>
      <c r="O87" s="40" t="n">
        <f aca="false">Q!$J$15</f>
        <v>1.709</v>
      </c>
      <c r="P87" s="8" t="s">
        <v>726</v>
      </c>
    </row>
    <row r="88" customFormat="false" ht="17.15" hidden="false" customHeight="false" outlineLevel="0" collapsed="false">
      <c r="A88" s="0" t="s">
        <v>737</v>
      </c>
      <c r="B88" s="0" t="s">
        <v>56</v>
      </c>
      <c r="E88" s="13" t="n">
        <f aca="false">Seg!$E$87/Seg!$N$87-1</f>
        <v>0.21131093232371</v>
      </c>
      <c r="F88" s="13" t="n">
        <f aca="false">Seg!$E$88</f>
        <v>0.21131093232371</v>
      </c>
      <c r="G88" s="13" t="n">
        <f aca="false">Seg!$G$87/Seg!$D$87-1</f>
        <v>0.210892406890418</v>
      </c>
      <c r="H88" s="13" t="n">
        <f aca="false">Seg!$F$88+(g_ot-Seg!$F$88)*1/4</f>
        <v>0.170983199242783</v>
      </c>
      <c r="I88" s="13" t="n">
        <f aca="false">Seg!$F$88+(g_ot-Seg!$F$88)*2/4</f>
        <v>0.130655466161855</v>
      </c>
      <c r="J88" s="13" t="n">
        <f aca="false">Seg!$F$88+(g_ot-Seg!$F$88)*3/4</f>
        <v>0.0903277330809276</v>
      </c>
      <c r="K88" s="13" t="n">
        <f aca="false">Seg!$F$88+(g_ot-Seg!$F$88)*4/4</f>
        <v>0.05</v>
      </c>
      <c r="L88" s="13" t="n">
        <f aca="false">g_ot</f>
        <v>0.05</v>
      </c>
      <c r="M88" s="13" t="n">
        <f aca="false">g_ot</f>
        <v>0.05</v>
      </c>
      <c r="P88" s="8" t="s">
        <v>738</v>
      </c>
    </row>
    <row r="89" customFormat="false" ht="17.15" hidden="false" customHeight="false" outlineLevel="0" collapsed="false">
      <c r="A89" s="0" t="s">
        <v>739</v>
      </c>
      <c r="B89" s="0" t="s">
        <v>61</v>
      </c>
      <c r="F89" s="42" t="n">
        <f aca="false">(g26q4_mid-Thesis!$F$92-Thesis!$F$96)/(Seg!$O$77*(1+Seg!$F$78)+Seg!$O$79*(1+Seg!$F$80)+Seg!$O$81*(1+Seg!$F$82)+Seg!$O$83*(1+Seg!$F$84)+Seg!$O$85*(1+Seg!$F$86)+Seg!$O$87*(1+Seg!$F$88))</f>
        <v>0.998800100483245</v>
      </c>
      <c r="P89" s="8" t="s">
        <v>740</v>
      </c>
    </row>
    <row r="90" customFormat="false" ht="17.15" hidden="false" customHeight="false" outlineLevel="0" collapsed="false">
      <c r="A90" s="3" t="s">
        <v>741</v>
      </c>
      <c r="B90" s="8" t="s">
        <v>91</v>
      </c>
      <c r="C90" s="40" t="n">
        <f aca="false">Seg!$C$77+Seg!$C$79+Seg!$C$81+Seg!$C$83+Seg!$C$85+Seg!$C$87</f>
        <v>530.403</v>
      </c>
      <c r="D90" s="40" t="n">
        <f aca="false">Seg!$D$77+Seg!$D$79+Seg!$D$81+Seg!$D$83+Seg!$D$85+Seg!$D$87</f>
        <v>588.199</v>
      </c>
      <c r="E90" s="40" t="n">
        <f aca="false">Seg!$E$77+Seg!$E$79+Seg!$E$81+Seg!$E$83+Seg!$E$85+Seg!$E$87</f>
        <v>458.266</v>
      </c>
      <c r="F90" s="40" t="n">
        <f aca="false">Seg!$F$77+Seg!$F$79+Seg!$F$81+Seg!$F$83+Seg!$F$85+Seg!$F$87</f>
        <v>198.403657678237</v>
      </c>
      <c r="G90" s="40" t="n">
        <f aca="false">Seg!$G$77+Seg!$G$79+Seg!$G$81+Seg!$G$83+Seg!$G$85+Seg!$G$87</f>
        <v>656.669657678237</v>
      </c>
      <c r="H90" s="40" t="n">
        <f aca="false">Seg!$H$77+Seg!$H$79+Seg!$H$81+Seg!$H$83+Seg!$H$85+Seg!$H$87</f>
        <v>725.230542636613</v>
      </c>
      <c r="I90" s="40" t="n">
        <f aca="false">Seg!$I$77+Seg!$I$79+Seg!$I$81+Seg!$I$83+Seg!$I$85+Seg!$I$87</f>
        <v>791.596017003042</v>
      </c>
      <c r="J90" s="40" t="n">
        <f aca="false">Seg!$J$77+Seg!$J$79+Seg!$J$81+Seg!$J$83+Seg!$J$85+Seg!$J$87</f>
        <v>853.485450828695</v>
      </c>
      <c r="K90" s="40" t="n">
        <f aca="false">Seg!$K$77+Seg!$K$79+Seg!$K$81+Seg!$K$83+Seg!$K$85+Seg!$K$87</f>
        <v>908.537185821905</v>
      </c>
      <c r="L90" s="40" t="n">
        <f aca="false">Seg!$L$77+Seg!$L$79+Seg!$L$81+Seg!$L$83+Seg!$L$85+Seg!$L$87</f>
        <v>967.415433886114</v>
      </c>
      <c r="M90" s="40" t="n">
        <f aca="false">Seg!$M$77+Seg!$M$79+Seg!$M$81+Seg!$M$83+Seg!$M$85+Seg!$M$87</f>
        <v>1030.40600740031</v>
      </c>
      <c r="N90" s="40" t="n">
        <f aca="false">Seg!$N$77+Seg!$N$79+Seg!$N$81+Seg!$N$83+Seg!$N$85+Seg!$N$87</f>
        <v>410.392</v>
      </c>
      <c r="O90" s="40" t="n">
        <f aca="false">Seg!$O$77+Seg!$O$79+Seg!$O$81+Seg!$O$83+Seg!$O$85+Seg!$O$87</f>
        <v>177.807</v>
      </c>
    </row>
    <row r="91" customFormat="false" ht="17.15" hidden="false" customHeight="false" outlineLevel="0" collapsed="false">
      <c r="A91" s="5" t="s">
        <v>742</v>
      </c>
      <c r="B91" s="0" t="s">
        <v>56</v>
      </c>
      <c r="C91" s="13" t="n">
        <f aca="false">Q!$D$5/(Q!$D$5+Q!$D$6)</f>
        <v>0.730570905519011</v>
      </c>
      <c r="D91" s="13" t="n">
        <f aca="false">Q!$E$5/(Q!$E$5+Q!$E$6)</f>
        <v>0.724763217890544</v>
      </c>
      <c r="E91" s="13" t="n">
        <f aca="false">Q!$O$5/(Q!$O$5+Q!$O$6)</f>
        <v>0.727027534226846</v>
      </c>
      <c r="F91" s="13" t="n">
        <f aca="false">Seg!$O$91</f>
        <v>0.714724392178036</v>
      </c>
      <c r="G91" s="13" t="n">
        <f aca="false">Seg!$G$92/Seg!$G$90</f>
        <v>0.723310309965184</v>
      </c>
      <c r="H91" s="13" t="n">
        <f aca="false">Seg!$G$91</f>
        <v>0.723310309965184</v>
      </c>
      <c r="I91" s="13" t="n">
        <f aca="false">Seg!$G$91</f>
        <v>0.723310309965184</v>
      </c>
      <c r="J91" s="13" t="n">
        <f aca="false">Seg!$G$91</f>
        <v>0.723310309965184</v>
      </c>
      <c r="K91" s="13" t="n">
        <f aca="false">Seg!$G$91</f>
        <v>0.723310309965184</v>
      </c>
      <c r="L91" s="13" t="n">
        <f aca="false">Seg!$G$91</f>
        <v>0.723310309965184</v>
      </c>
      <c r="M91" s="13" t="n">
        <f aca="false">Seg!$G$91</f>
        <v>0.723310309965184</v>
      </c>
      <c r="N91" s="13" t="n">
        <f aca="false">Q!$N$5/(Q!$N$5+Q!$N$6)</f>
        <v>0.729112653268095</v>
      </c>
      <c r="O91" s="13" t="n">
        <f aca="false">Q!$J$5/(Q!$J$5+Q!$J$6)</f>
        <v>0.714724392178036</v>
      </c>
      <c r="P91" s="8" t="s">
        <v>743</v>
      </c>
    </row>
    <row r="92" customFormat="false" ht="17.15" hidden="false" customHeight="false" outlineLevel="0" collapsed="false">
      <c r="A92" s="1" t="s">
        <v>557</v>
      </c>
      <c r="B92" s="8" t="s">
        <v>91</v>
      </c>
      <c r="C92" s="40" t="n">
        <f aca="false">Q!$D$5</f>
        <v>387.497</v>
      </c>
      <c r="D92" s="40" t="n">
        <f aca="false">Q!$E$5</f>
        <v>426.305</v>
      </c>
      <c r="E92" s="40" t="n">
        <f aca="false">Q!$O$5</f>
        <v>333.172</v>
      </c>
      <c r="F92" s="40" t="n">
        <f aca="false">Seg!$F$90*Seg!$F$91</f>
        <v>141.803933639977</v>
      </c>
      <c r="G92" s="40" t="n">
        <f aca="false">Seg!$E$92+Seg!$F$92</f>
        <v>474.975933639977</v>
      </c>
      <c r="H92" s="40" t="n">
        <f aca="false">Seg!$H$90*Seg!$H$91</f>
        <v>524.566728590708</v>
      </c>
      <c r="I92" s="40" t="n">
        <f aca="false">Seg!$I$90*Seg!$I$91</f>
        <v>572.569560425675</v>
      </c>
      <c r="J92" s="40" t="n">
        <f aca="false">Seg!$J$90*Seg!$J$91</f>
        <v>617.334825989679</v>
      </c>
      <c r="K92" s="40" t="n">
        <f aca="false">Seg!$K$90*Seg!$K$91</f>
        <v>657.154313491738</v>
      </c>
      <c r="L92" s="40" t="n">
        <f aca="false">Seg!$L$90*Seg!$L$91</f>
        <v>699.741557349269</v>
      </c>
      <c r="M92" s="40" t="n">
        <f aca="false">Seg!$M$90*Seg!$M$91</f>
        <v>745.303288602707</v>
      </c>
      <c r="N92" s="40" t="n">
        <f aca="false">Q!$N$5</f>
        <v>299.222</v>
      </c>
      <c r="O92" s="40" t="n">
        <f aca="false">Q!$J$5</f>
        <v>127.083</v>
      </c>
      <c r="P92" s="5" t="s">
        <v>744</v>
      </c>
    </row>
    <row r="93" customFormat="false" ht="17.15" hidden="false" customHeight="false" outlineLevel="0" collapsed="false">
      <c r="A93" s="1" t="s">
        <v>560</v>
      </c>
      <c r="B93" s="8" t="s">
        <v>91</v>
      </c>
      <c r="C93" s="40" t="n">
        <f aca="false">Q!$D$6</f>
        <v>142.906</v>
      </c>
      <c r="D93" s="40" t="n">
        <f aca="false">Q!$E$6</f>
        <v>161.894</v>
      </c>
      <c r="E93" s="40" t="n">
        <f aca="false">Q!$O$6</f>
        <v>125.094</v>
      </c>
      <c r="F93" s="40" t="n">
        <f aca="false">Seg!$F$90*(1-Seg!$F$91)</f>
        <v>56.5997240382599</v>
      </c>
      <c r="G93" s="40" t="n">
        <f aca="false">Seg!$E$93+Seg!$F$93</f>
        <v>181.69372403826</v>
      </c>
      <c r="H93" s="40" t="n">
        <f aca="false">Seg!$H$90*(1-Seg!$H$91)</f>
        <v>200.663814045906</v>
      </c>
      <c r="I93" s="40" t="n">
        <f aca="false">Seg!$I$90*(1-Seg!$I$91)</f>
        <v>219.026456577366</v>
      </c>
      <c r="J93" s="40" t="n">
        <f aca="false">Seg!$J$90*(1-Seg!$J$91)</f>
        <v>236.150624839017</v>
      </c>
      <c r="K93" s="40" t="n">
        <f aca="false">Seg!$K$90*(1-Seg!$K$91)</f>
        <v>251.382872330167</v>
      </c>
      <c r="L93" s="40" t="n">
        <f aca="false">Seg!$L$90*(1-Seg!$L$91)</f>
        <v>267.673876536846</v>
      </c>
      <c r="M93" s="40" t="n">
        <f aca="false">Seg!$M$90*(1-Seg!$M$91)</f>
        <v>285.102718797604</v>
      </c>
      <c r="N93" s="40" t="n">
        <f aca="false">Q!$N$6</f>
        <v>111.17</v>
      </c>
      <c r="O93" s="40" t="n">
        <f aca="false">Q!$J$6</f>
        <v>50.724</v>
      </c>
      <c r="P93" s="5" t="s">
        <v>745</v>
      </c>
    </row>
    <row r="94" customFormat="false" ht="17.15" hidden="false" customHeight="false" outlineLevel="0" collapsed="false">
      <c r="A94" s="5" t="s">
        <v>746</v>
      </c>
      <c r="B94" s="0" t="s">
        <v>91</v>
      </c>
      <c r="C94" s="40" t="n">
        <f aca="false">Seg!$C$83*Seg!$C$91</f>
        <v>41.0683128828457</v>
      </c>
      <c r="D94" s="40" t="n">
        <f aca="false">Seg!$D$83*Seg!$D$91</f>
        <v>49.7441234599175</v>
      </c>
      <c r="E94" s="40" t="n">
        <f aca="false">Seg!$E$83*Seg!$E$91</f>
        <v>41.2144638877857</v>
      </c>
      <c r="F94" s="40" t="n">
        <f aca="false">Seg!$F$83*Seg!$F$91</f>
        <v>18.2312179377398</v>
      </c>
      <c r="G94" s="40" t="n">
        <f aca="false">Seg!$G$83*Seg!$G$91</f>
        <v>59.4539660283387</v>
      </c>
      <c r="H94" s="40" t="n">
        <f aca="false">Seg!$H$83*Seg!$H$91</f>
        <v>69.771147774226</v>
      </c>
      <c r="I94" s="40" t="n">
        <f aca="false">Seg!$I$83*Seg!$I$91</f>
        <v>80.1685498498669</v>
      </c>
      <c r="J94" s="40" t="n">
        <f aca="false">Seg!$J$83*Seg!$J$91</f>
        <v>90.1503966797303</v>
      </c>
      <c r="K94" s="40" t="n">
        <f aca="false">Seg!$K$83*Seg!$K$91</f>
        <v>99.1654363477033</v>
      </c>
      <c r="L94" s="40" t="n">
        <f aca="false">Seg!$L$83*Seg!$L$91</f>
        <v>109.081979982474</v>
      </c>
      <c r="M94" s="40" t="n">
        <f aca="false">Seg!$M$83*Seg!$M$91</f>
        <v>119.990177980721</v>
      </c>
      <c r="N94" s="40" t="n">
        <f aca="false">Seg!$N$83*Seg!$N$91</f>
        <v>34.5001525273397</v>
      </c>
      <c r="O94" s="40" t="n">
        <f aca="false">Seg!$O$83*Seg!$O$91</f>
        <v>15.2357798680592</v>
      </c>
      <c r="P94" s="5" t="s">
        <v>747</v>
      </c>
    </row>
    <row r="95" customFormat="false" ht="15" hidden="false" customHeight="false" outlineLevel="0" collapsed="false">
      <c r="A95" s="5" t="s">
        <v>748</v>
      </c>
      <c r="B95" s="0" t="s">
        <v>91</v>
      </c>
      <c r="C95" s="40" t="n">
        <f aca="false">Seg!$C$83-Seg!$C$94</f>
        <v>15.1456871171543</v>
      </c>
      <c r="D95" s="40" t="n">
        <f aca="false">Seg!$D$83-Seg!$D$94</f>
        <v>18.8908765400825</v>
      </c>
      <c r="E95" s="40" t="n">
        <f aca="false">Seg!$E$83-Seg!$E$94</f>
        <v>15.4745361122143</v>
      </c>
      <c r="F95" s="40" t="n">
        <f aca="false">Seg!$F$83-Seg!$F$94</f>
        <v>7.2768214369657</v>
      </c>
      <c r="G95" s="40" t="n">
        <f aca="false">Seg!$G$83-Seg!$G$94</f>
        <v>22.7430733463668</v>
      </c>
      <c r="H95" s="40" t="n">
        <f aca="false">Seg!$H$83-Seg!$H$94</f>
        <v>26.6897305140765</v>
      </c>
      <c r="I95" s="40" t="n">
        <f aca="false">Seg!$I$83-Seg!$I$94</f>
        <v>30.6670745638453</v>
      </c>
      <c r="J95" s="40" t="n">
        <f aca="false">Seg!$J$83-Seg!$J$94</f>
        <v>34.4854552329427</v>
      </c>
      <c r="K95" s="40" t="n">
        <f aca="false">Seg!$K$83-Seg!$K$94</f>
        <v>37.934000756237</v>
      </c>
      <c r="L95" s="40" t="n">
        <f aca="false">Seg!$L$83-Seg!$L$94</f>
        <v>41.7274008318607</v>
      </c>
      <c r="M95" s="40" t="n">
        <f aca="false">Seg!$M$83-Seg!$M$94</f>
        <v>45.9001409150467</v>
      </c>
      <c r="N95" s="40" t="n">
        <f aca="false">Seg!$N$83-Seg!$N$94</f>
        <v>12.8178474726603</v>
      </c>
      <c r="O95" s="40" t="n">
        <f aca="false">Seg!$O$83-Seg!$O$94</f>
        <v>6.08122013194081</v>
      </c>
    </row>
    <row r="96" customFormat="false" ht="17.15" hidden="false" customHeight="false" outlineLevel="0" collapsed="false">
      <c r="A96" s="1" t="s">
        <v>749</v>
      </c>
    </row>
    <row r="97" customFormat="false" ht="17.15" hidden="false" customHeight="false" outlineLevel="0" collapsed="false">
      <c r="A97" s="0" t="s">
        <v>750</v>
      </c>
      <c r="B97" s="0" t="s">
        <v>91</v>
      </c>
      <c r="C97" s="40" t="n">
        <f aca="false">Thesis!$C$158</f>
        <v>2.32100535697364</v>
      </c>
      <c r="D97" s="40" t="n">
        <f aca="false">Thesis!$D$158</f>
        <v>8.70377008865116</v>
      </c>
      <c r="E97" s="40" t="n">
        <f aca="false">Thesis!$E$158</f>
        <v>16.2007080559478</v>
      </c>
      <c r="F97" s="40" t="n">
        <f aca="false">Thesis!$F$158</f>
        <v>7.59676004030123</v>
      </c>
      <c r="G97" s="40" t="n">
        <f aca="false">Thesis!$G$158</f>
        <v>23.797468096249</v>
      </c>
      <c r="H97" s="40" t="n">
        <f aca="false">Thesis!$H$158</f>
        <v>48.2040277318885</v>
      </c>
      <c r="I97" s="40" t="n">
        <f aca="false">Thesis!$I$158</f>
        <v>77.4087614143879</v>
      </c>
      <c r="J97" s="40" t="n">
        <f aca="false">Thesis!$J$158</f>
        <v>106.772935912751</v>
      </c>
      <c r="K97" s="40" t="n">
        <f aca="false">Thesis!$K$158</f>
        <v>131.816546370738</v>
      </c>
      <c r="L97" s="40" t="n">
        <f aca="false">Thesis!$L$158</f>
        <v>148.267038917317</v>
      </c>
      <c r="M97" s="40" t="n">
        <f aca="false">Thesis!$M$158</f>
        <v>156.098464568945</v>
      </c>
      <c r="N97" s="40" t="n">
        <f aca="false">Thesis!$N$158</f>
        <v>5.54865343151512</v>
      </c>
      <c r="O97" s="40" t="n">
        <f aca="false">Thesis!$O$158</f>
        <v>3.15511665713605</v>
      </c>
      <c r="P97" s="8" t="s">
        <v>751</v>
      </c>
    </row>
    <row r="98" customFormat="false" ht="17.15" hidden="false" customHeight="false" outlineLevel="0" collapsed="false">
      <c r="A98" s="0" t="s">
        <v>752</v>
      </c>
      <c r="B98" s="0" t="s">
        <v>91</v>
      </c>
      <c r="C98" s="40" t="n">
        <f aca="false">Thesis!$C$162</f>
        <v>105.234994643026</v>
      </c>
      <c r="D98" s="40" t="n">
        <f aca="false">Thesis!$D$162</f>
        <v>120.021229911349</v>
      </c>
      <c r="E98" s="40" t="n">
        <f aca="false">Thesis!$E$162</f>
        <v>109.602291944052</v>
      </c>
      <c r="F98" s="40" t="n">
        <f aca="false">Thesis!$F$162</f>
        <v>36.9796603355509</v>
      </c>
      <c r="G98" s="40" t="n">
        <f aca="false">Thesis!$G$162</f>
        <v>146.581952279603</v>
      </c>
      <c r="H98" s="40" t="n">
        <f aca="false">Thesis!$H$162</f>
        <v>164.960415168217</v>
      </c>
      <c r="I98" s="40" t="n">
        <f aca="false">Thesis!$I$162</f>
        <v>183.1478640969</v>
      </c>
      <c r="J98" s="40" t="n">
        <f aca="false">Thesis!$J$162</f>
        <v>200.570117292268</v>
      </c>
      <c r="K98" s="40" t="n">
        <f aca="false">Thesis!$K$162</f>
        <v>216.615726675649</v>
      </c>
      <c r="L98" s="40" t="n">
        <f aca="false">Thesis!$L$162</f>
        <v>233.944984809701</v>
      </c>
      <c r="M98" s="40" t="n">
        <f aca="false">Thesis!$M$162</f>
        <v>252.660583594477</v>
      </c>
      <c r="N98" s="40" t="n">
        <f aca="false">Thesis!$N$162</f>
        <v>87.5973465684849</v>
      </c>
      <c r="O98" s="40" t="n">
        <f aca="false">Thesis!$O$162</f>
        <v>32.423883342864</v>
      </c>
      <c r="P98" s="8" t="s">
        <v>751</v>
      </c>
    </row>
    <row r="99" customFormat="false" ht="17.15" hidden="false" customHeight="false" outlineLevel="0" collapsed="false">
      <c r="A99" s="1" t="s">
        <v>561</v>
      </c>
      <c r="B99" s="8" t="s">
        <v>91</v>
      </c>
      <c r="C99" s="40" t="n">
        <f aca="false">Q!$D$7</f>
        <v>107.556</v>
      </c>
      <c r="D99" s="40" t="n">
        <f aca="false">Q!$E$7</f>
        <v>128.725</v>
      </c>
      <c r="E99" s="40" t="n">
        <f aca="false">Q!$O$7</f>
        <v>125.803</v>
      </c>
      <c r="F99" s="40" t="n">
        <f aca="false">Seg!$F$97+Seg!$F$98</f>
        <v>44.5764203758521</v>
      </c>
      <c r="G99" s="40" t="n">
        <f aca="false">Seg!$G$97+Seg!$G$98</f>
        <v>170.379420375852</v>
      </c>
      <c r="H99" s="40" t="n">
        <f aca="false">Seg!$H$97+Seg!$H$98</f>
        <v>213.164442900105</v>
      </c>
      <c r="I99" s="40" t="n">
        <f aca="false">Seg!$I$97+Seg!$I$98</f>
        <v>260.556625511288</v>
      </c>
      <c r="J99" s="40" t="n">
        <f aca="false">Seg!$J$97+Seg!$J$98</f>
        <v>307.343053205019</v>
      </c>
      <c r="K99" s="40" t="n">
        <f aca="false">Seg!$K$97+Seg!$K$98</f>
        <v>348.432273046387</v>
      </c>
      <c r="L99" s="40" t="n">
        <f aca="false">Seg!$L$97+Seg!$L$98</f>
        <v>382.212023727019</v>
      </c>
      <c r="M99" s="40" t="n">
        <f aca="false">Seg!$M$97+Seg!$M$98</f>
        <v>408.759048163422</v>
      </c>
      <c r="N99" s="40" t="n">
        <f aca="false">Q!$N$7</f>
        <v>93.146</v>
      </c>
      <c r="O99" s="40" t="n">
        <f aca="false">Q!$J$7</f>
        <v>35.579</v>
      </c>
      <c r="P99" s="5" t="s">
        <v>753</v>
      </c>
    </row>
    <row r="100" customFormat="false" ht="15" hidden="false" customHeight="false" outlineLevel="0" collapsed="false">
      <c r="A100" s="3" t="s">
        <v>754</v>
      </c>
      <c r="B100" s="8" t="s">
        <v>91</v>
      </c>
      <c r="C100" s="40" t="n">
        <f aca="false">Q!$D$8</f>
        <v>637.959</v>
      </c>
      <c r="D100" s="40" t="n">
        <f aca="false">Q!$E$8</f>
        <v>716.924</v>
      </c>
      <c r="E100" s="40" t="n">
        <f aca="false">Q!$O$8</f>
        <v>584.069</v>
      </c>
      <c r="F100" s="40" t="n">
        <f aca="false">Seg!$F$90+Seg!$F$99</f>
        <v>242.980078054089</v>
      </c>
      <c r="G100" s="40" t="n">
        <f aca="false">Seg!$G$90+Seg!$G$99</f>
        <v>827.049078054089</v>
      </c>
      <c r="H100" s="40" t="n">
        <f aca="false">Seg!$H$90+Seg!$H$99</f>
        <v>938.394985536719</v>
      </c>
      <c r="I100" s="40" t="n">
        <f aca="false">Seg!$I$90+Seg!$I$99</f>
        <v>1052.15264251433</v>
      </c>
      <c r="J100" s="40" t="n">
        <f aca="false">Seg!$J$90+Seg!$J$99</f>
        <v>1160.82850403371</v>
      </c>
      <c r="K100" s="40" t="n">
        <f aca="false">Seg!$K$90+Seg!$K$99</f>
        <v>1256.96945886829</v>
      </c>
      <c r="L100" s="40" t="n">
        <f aca="false">Seg!$L$90+Seg!$L$99</f>
        <v>1349.62745761313</v>
      </c>
      <c r="M100" s="40" t="n">
        <f aca="false">Seg!$M$90+Seg!$M$99</f>
        <v>1439.16505556373</v>
      </c>
      <c r="N100" s="40" t="n">
        <f aca="false">Q!$N$8</f>
        <v>503.538</v>
      </c>
      <c r="O100" s="40" t="n">
        <f aca="false">Q!$J$8</f>
        <v>213.386</v>
      </c>
    </row>
    <row r="101" customFormat="false" ht="17.15" hidden="false" customHeight="false" outlineLevel="0" collapsed="false">
      <c r="A101" s="27" t="s">
        <v>766</v>
      </c>
      <c r="B101" s="28" t="s">
        <v>91</v>
      </c>
      <c r="C101" s="43" t="n">
        <f aca="false">Seg!$C$90-(Seg!$C$92+Seg!$C$93)</f>
        <v>0</v>
      </c>
      <c r="D101" s="43" t="n">
        <f aca="false">Seg!$D$90-(Seg!$D$92+Seg!$D$93)</f>
        <v>0</v>
      </c>
      <c r="E101" s="43" t="n">
        <f aca="false">Seg!$E$90-(Seg!$E$92+Seg!$E$93)</f>
        <v>0</v>
      </c>
      <c r="F101" s="43" t="n">
        <f aca="false">Seg!$F$90-(Seg!$F$92+Seg!$F$93)</f>
        <v>0</v>
      </c>
      <c r="G101" s="43" t="n">
        <f aca="false">Seg!$G$90-(Seg!$G$92+Seg!$G$93)</f>
        <v>0</v>
      </c>
      <c r="H101" s="43" t="n">
        <f aca="false">Seg!$H$90-(Seg!$H$92+Seg!$H$93)</f>
        <v>0</v>
      </c>
      <c r="I101" s="43" t="n">
        <f aca="false">Seg!$I$90-(Seg!$I$92+Seg!$I$93)</f>
        <v>0</v>
      </c>
      <c r="J101" s="43" t="n">
        <f aca="false">Seg!$J$90-(Seg!$J$92+Seg!$J$93)</f>
        <v>0</v>
      </c>
      <c r="K101" s="43" t="n">
        <f aca="false">Seg!$K$90-(Seg!$K$92+Seg!$K$93)</f>
        <v>0</v>
      </c>
      <c r="L101" s="43" t="n">
        <f aca="false">Seg!$L$90-(Seg!$L$92+Seg!$L$93)</f>
        <v>0</v>
      </c>
      <c r="M101" s="43" t="n">
        <f aca="false">Seg!$M$90-(Seg!$M$92+Seg!$M$93)</f>
        <v>0</v>
      </c>
      <c r="N101" s="43" t="n">
        <f aca="false">Seg!$N$90-(Seg!$N$92+Seg!$N$93)</f>
        <v>0</v>
      </c>
      <c r="O101" s="43" t="n">
        <f aca="false">Seg!$O$90-(Seg!$O$92+Seg!$O$93)</f>
        <v>0</v>
      </c>
    </row>
    <row r="102" customFormat="false" ht="17.15" hidden="false" customHeight="false" outlineLevel="0" collapsed="false">
      <c r="A102" s="27" t="s">
        <v>767</v>
      </c>
      <c r="B102" s="28" t="s">
        <v>91</v>
      </c>
      <c r="C102" s="43" t="n">
        <f aca="false">Seg!$C$97+Seg!$C$98-Seg!$C$99</f>
        <v>0</v>
      </c>
      <c r="D102" s="43" t="n">
        <f aca="false">Seg!$D$97+Seg!$D$98-Seg!$D$99</f>
        <v>0</v>
      </c>
      <c r="E102" s="43" t="n">
        <f aca="false">Seg!$E$97+Seg!$E$98-Seg!$E$99</f>
        <v>0</v>
      </c>
      <c r="F102" s="43" t="n">
        <f aca="false">Seg!$F$97+Seg!$F$98-Seg!$F$99</f>
        <v>0</v>
      </c>
      <c r="G102" s="43" t="n">
        <f aca="false">Seg!$G$97+Seg!$G$98-Seg!$G$99</f>
        <v>0</v>
      </c>
      <c r="H102" s="43" t="n">
        <f aca="false">Seg!$H$97+Seg!$H$98-Seg!$H$99</f>
        <v>0</v>
      </c>
      <c r="I102" s="43" t="n">
        <f aca="false">Seg!$I$97+Seg!$I$98-Seg!$I$99</f>
        <v>0</v>
      </c>
      <c r="J102" s="43" t="n">
        <f aca="false">Seg!$J$97+Seg!$J$98-Seg!$J$99</f>
        <v>0</v>
      </c>
      <c r="K102" s="43" t="n">
        <f aca="false">Seg!$K$97+Seg!$K$98-Seg!$K$99</f>
        <v>0</v>
      </c>
      <c r="L102" s="43" t="n">
        <f aca="false">Seg!$L$97+Seg!$L$98-Seg!$L$99</f>
        <v>0</v>
      </c>
      <c r="M102" s="43" t="n">
        <f aca="false">Seg!$M$97+Seg!$M$98-Seg!$M$99</f>
        <v>0</v>
      </c>
      <c r="N102" s="43" t="n">
        <f aca="false">Seg!$N$97+Seg!$N$98-Seg!$N$99</f>
        <v>0</v>
      </c>
      <c r="O102" s="43" t="n">
        <f aca="false">Seg!$O$97+Seg!$O$98-Seg!$O$99</f>
        <v>0</v>
      </c>
    </row>
    <row r="103" customFormat="false" ht="17.15" hidden="false" customHeight="false" outlineLevel="0" collapsed="false">
      <c r="A103" s="27" t="s">
        <v>768</v>
      </c>
      <c r="B103" s="28" t="s">
        <v>91</v>
      </c>
      <c r="C103" s="43" t="n">
        <f aca="false">Seg!$C$92+Seg!$C$93+Seg!$C$99-Seg!$C$100</f>
        <v>0</v>
      </c>
      <c r="D103" s="43" t="n">
        <f aca="false">Seg!$D$92+Seg!$D$93+Seg!$D$99-Seg!$D$100</f>
        <v>0</v>
      </c>
      <c r="E103" s="43" t="n">
        <f aca="false">Seg!$E$92+Seg!$E$93+Seg!$E$99-Seg!$E$100</f>
        <v>0</v>
      </c>
      <c r="F103" s="43" t="n">
        <f aca="false">Seg!$F$92+Seg!$F$93+Seg!$F$99-Seg!$F$100</f>
        <v>0</v>
      </c>
      <c r="G103" s="43" t="n">
        <f aca="false">Seg!$G$92+Seg!$G$93+Seg!$G$99-Seg!$G$100</f>
        <v>0</v>
      </c>
      <c r="H103" s="43" t="n">
        <f aca="false">Seg!$H$92+Seg!$H$93+Seg!$H$99-Seg!$H$100</f>
        <v>0</v>
      </c>
      <c r="I103" s="43" t="n">
        <f aca="false">Seg!$I$92+Seg!$I$93+Seg!$I$99-Seg!$I$100</f>
        <v>0</v>
      </c>
      <c r="J103" s="43" t="n">
        <f aca="false">Seg!$J$92+Seg!$J$93+Seg!$J$99-Seg!$J$100</f>
        <v>0</v>
      </c>
      <c r="K103" s="43" t="n">
        <f aca="false">Seg!$K$92+Seg!$K$93+Seg!$K$99-Seg!$K$100</f>
        <v>0</v>
      </c>
      <c r="L103" s="43" t="n">
        <f aca="false">Seg!$L$92+Seg!$L$93+Seg!$L$99-Seg!$L$100</f>
        <v>0</v>
      </c>
      <c r="M103" s="43" t="n">
        <f aca="false">Seg!$M$92+Seg!$M$93+Seg!$M$99-Seg!$M$100</f>
        <v>0</v>
      </c>
      <c r="N103" s="43" t="n">
        <f aca="false">Seg!$N$92+Seg!$N$93+Seg!$N$99-Seg!$N$100</f>
        <v>0</v>
      </c>
      <c r="O103" s="43" t="n">
        <f aca="false">Seg!$O$92+Seg!$O$93+Seg!$O$99-Seg!$O$100</f>
        <v>0</v>
      </c>
    </row>
    <row r="104" customFormat="false" ht="15" hidden="false" customHeight="false" outlineLevel="0" collapsed="false">
      <c r="A104" s="5" t="s">
        <v>758</v>
      </c>
      <c r="B104" s="0" t="s">
        <v>56</v>
      </c>
      <c r="G104" s="13" t="n">
        <f aca="false">Seg!$G$100/Seg!$D$100-1</f>
        <v>0.153607743713544</v>
      </c>
      <c r="H104" s="13" t="n">
        <f aca="false">Seg!$H$100/Seg!$G$100-1</f>
        <v>0.134630350770245</v>
      </c>
      <c r="I104" s="13" t="n">
        <f aca="false">Seg!$I$100/Seg!$H$100-1</f>
        <v>0.121225772442237</v>
      </c>
      <c r="J104" s="13" t="n">
        <f aca="false">Seg!$J$100/Seg!$I$100-1</f>
        <v>0.103289063894458</v>
      </c>
      <c r="K104" s="13" t="n">
        <f aca="false">Seg!$K$100/Seg!$J$100-1</f>
        <v>0.0828209804467246</v>
      </c>
      <c r="L104" s="13" t="n">
        <f aca="false">Seg!$L$100/Seg!$K$100-1</f>
        <v>0.0737153938714357</v>
      </c>
      <c r="M104" s="13" t="n">
        <f aca="false">Seg!$M$100/Seg!$L$100-1</f>
        <v>0.0663424543162086</v>
      </c>
    </row>
    <row r="105" customFormat="false" ht="17.15" hidden="false" customHeight="false" outlineLevel="0" collapsed="false">
      <c r="A105" s="0" t="s">
        <v>759</v>
      </c>
      <c r="B105" s="0" t="s">
        <v>56</v>
      </c>
      <c r="C105" s="13" t="n">
        <f aca="false">Seg!$C$99/Seg!$C$100</f>
        <v>0.168593906504964</v>
      </c>
      <c r="D105" s="13" t="n">
        <f aca="false">Seg!$D$99/Seg!$D$100</f>
        <v>0.179551807444025</v>
      </c>
      <c r="E105" s="13" t="n">
        <f aca="false">Seg!$E$99/Seg!$E$100</f>
        <v>0.2153906473379</v>
      </c>
      <c r="F105" s="13" t="n">
        <f aca="false">Seg!$F$99/Seg!$F$100</f>
        <v>0.183457099581345</v>
      </c>
      <c r="G105" s="13" t="n">
        <f aca="false">Seg!$G$99/Seg!$G$100</f>
        <v>0.206008839011981</v>
      </c>
      <c r="H105" s="13" t="n">
        <f aca="false">Seg!$H$99/Seg!$H$100</f>
        <v>0.227158548570233</v>
      </c>
      <c r="I105" s="13" t="n">
        <f aca="false">Seg!$I$99/Seg!$I$100</f>
        <v>0.247641468531254</v>
      </c>
      <c r="J105" s="13" t="n">
        <f aca="false">Seg!$J$99/Seg!$J$100</f>
        <v>0.264761807740804</v>
      </c>
      <c r="K105" s="13" t="n">
        <f aca="false">Seg!$K$99/Seg!$K$100</f>
        <v>0.277200269734554</v>
      </c>
      <c r="L105" s="13" t="n">
        <f aca="false">Seg!$L$99/Seg!$L$100</f>
        <v>0.283198168184111</v>
      </c>
      <c r="M105" s="13" t="n">
        <f aca="false">Seg!$M$99/Seg!$M$100</f>
        <v>0.284025134284064</v>
      </c>
      <c r="N105" s="13" t="n">
        <f aca="false">Seg!$N$99/Seg!$N$100</f>
        <v>0.184983059868371</v>
      </c>
      <c r="O105" s="13" t="n">
        <f aca="false">Seg!$O$99/Seg!$O$100</f>
        <v>0.1667353996982</v>
      </c>
    </row>
    <row r="106" customFormat="false" ht="17.15" hidden="false" customHeight="false" outlineLevel="0" collapsed="false">
      <c r="A106" s="0" t="s">
        <v>760</v>
      </c>
      <c r="B106" s="0" t="s">
        <v>56</v>
      </c>
      <c r="C106" s="13" t="n">
        <f aca="false">Seg!$C$97/Seg!$C$99</f>
        <v>0.0215795060896058</v>
      </c>
      <c r="D106" s="13" t="n">
        <f aca="false">Seg!$D$97/Seg!$D$99</f>
        <v>0.0676152269462122</v>
      </c>
      <c r="E106" s="13" t="n">
        <f aca="false">Seg!$E$97/Seg!$E$99</f>
        <v>0.128778392057008</v>
      </c>
      <c r="F106" s="13" t="n">
        <f aca="false">Seg!$F$97/Seg!$F$99</f>
        <v>0.170421042700336</v>
      </c>
      <c r="G106" s="13" t="n">
        <f aca="false">Seg!$G$97/Seg!$G$99</f>
        <v>0.139673371606456</v>
      </c>
      <c r="H106" s="13" t="n">
        <f aca="false">Seg!$H$97/Seg!$H$99</f>
        <v>0.226135405492924</v>
      </c>
      <c r="I106" s="13" t="n">
        <f aca="false">Seg!$I$97/Seg!$I$99</f>
        <v>0.297089975211682</v>
      </c>
      <c r="J106" s="13" t="n">
        <f aca="false">Seg!$J$97/Seg!$J$99</f>
        <v>0.347406374731126</v>
      </c>
      <c r="K106" s="13" t="n">
        <f aca="false">Seg!$K$97/Seg!$K$99</f>
        <v>0.378313252151556</v>
      </c>
      <c r="L106" s="13" t="n">
        <f aca="false">Seg!$L$97/Seg!$L$99</f>
        <v>0.387918301134377</v>
      </c>
      <c r="M106" s="13" t="n">
        <f aca="false">Seg!$M$97/Seg!$M$99</f>
        <v>0.381883814609864</v>
      </c>
      <c r="N106" s="13" t="n">
        <f aca="false">Seg!$N$97/Seg!$N$99</f>
        <v>0.0595694225357516</v>
      </c>
      <c r="O106" s="13" t="n">
        <f aca="false">Seg!$O$97/Seg!$O$99</f>
        <v>0.0886791831455647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769</v>
      </c>
    </row>
    <row r="2" customFormat="false" ht="17.15" hidden="false" customHeight="false" outlineLevel="0" collapsed="false">
      <c r="A2" s="5" t="s">
        <v>770</v>
      </c>
    </row>
    <row r="4" customFormat="false" ht="17.15" hidden="false" customHeight="false" outlineLevel="0" collapsed="false">
      <c r="A4" s="3" t="s">
        <v>771</v>
      </c>
    </row>
    <row r="5" customFormat="false" ht="17.15" hidden="false" customHeight="false" outlineLevel="0" collapsed="false">
      <c r="A5" s="6" t="s">
        <v>16</v>
      </c>
      <c r="B5" s="6" t="s">
        <v>17</v>
      </c>
      <c r="C5" s="23" t="s">
        <v>542</v>
      </c>
      <c r="D5" s="23" t="s">
        <v>543</v>
      </c>
      <c r="E5" s="23" t="s">
        <v>631</v>
      </c>
      <c r="F5" s="23" t="s">
        <v>632</v>
      </c>
      <c r="G5" s="23" t="s">
        <v>633</v>
      </c>
      <c r="H5" s="23" t="s">
        <v>634</v>
      </c>
      <c r="I5" s="23" t="s">
        <v>635</v>
      </c>
      <c r="J5" s="23" t="s">
        <v>636</v>
      </c>
      <c r="K5" s="23" t="s">
        <v>637</v>
      </c>
      <c r="L5" s="23" t="s">
        <v>638</v>
      </c>
      <c r="M5" s="23" t="s">
        <v>639</v>
      </c>
      <c r="N5" s="23" t="s">
        <v>640</v>
      </c>
      <c r="O5" s="23" t="s">
        <v>641</v>
      </c>
      <c r="P5" s="6" t="s">
        <v>23</v>
      </c>
    </row>
    <row r="6" customFormat="false" ht="17.15" hidden="false" customHeight="false" outlineLevel="0" collapsed="false">
      <c r="A6" s="27" t="s">
        <v>572</v>
      </c>
      <c r="B6" s="28" t="s">
        <v>91</v>
      </c>
      <c r="C6" s="44" t="n">
        <f aca="false">ABS(PL!$C$28)+ABS(PL!$C$98)+ABS(PL!$C$168)</f>
        <v>0</v>
      </c>
      <c r="D6" s="44" t="n">
        <f aca="false">ABS(PL!$D$28)+ABS(PL!$D$98)+ABS(PL!$D$168)</f>
        <v>0</v>
      </c>
      <c r="E6" s="44" t="n">
        <f aca="false">ABS(PL!$E$28)+ABS(PL!$E$98)+ABS(PL!$E$168)</f>
        <v>0</v>
      </c>
      <c r="F6" s="44" t="n">
        <f aca="false">ABS(PL!$F$28)+ABS(PL!$F$98)+ABS(PL!$F$168)</f>
        <v>0</v>
      </c>
      <c r="G6" s="44" t="n">
        <f aca="false">ABS(PL!$G$28)+ABS(PL!$G$98)+ABS(PL!$G$168)</f>
        <v>0</v>
      </c>
      <c r="H6" s="44" t="n">
        <f aca="false">ABS(PL!$H$28)+ABS(PL!$H$98)+ABS(PL!$H$168)</f>
        <v>0</v>
      </c>
      <c r="I6" s="44" t="n">
        <f aca="false">ABS(PL!$I$28)+ABS(PL!$I$98)+ABS(PL!$I$168)</f>
        <v>0</v>
      </c>
      <c r="J6" s="44" t="n">
        <f aca="false">ABS(PL!$J$28)+ABS(PL!$J$98)+ABS(PL!$J$168)</f>
        <v>0</v>
      </c>
      <c r="K6" s="44" t="n">
        <f aca="false">ABS(PL!$K$28)+ABS(PL!$K$98)+ABS(PL!$K$168)</f>
        <v>0</v>
      </c>
      <c r="L6" s="44" t="n">
        <f aca="false">ABS(PL!$L$28)+ABS(PL!$L$98)+ABS(PL!$L$168)</f>
        <v>0</v>
      </c>
      <c r="M6" s="44" t="n">
        <f aca="false">ABS(PL!$M$28)+ABS(PL!$M$98)+ABS(PL!$M$168)</f>
        <v>0</v>
      </c>
      <c r="N6" s="44" t="n">
        <f aca="false">ABS(PL!$N$28)+ABS(PL!$N$98)+ABS(PL!$N$168)</f>
        <v>0</v>
      </c>
      <c r="O6" s="44" t="n">
        <f aca="false">ABS(PL!$O$28)+ABS(PL!$O$98)+ABS(PL!$O$168)</f>
        <v>0</v>
      </c>
    </row>
    <row r="7" customFormat="false" ht="17.15" hidden="false" customHeight="false" outlineLevel="0" collapsed="false">
      <c r="A7" s="27" t="s">
        <v>772</v>
      </c>
      <c r="B7" s="28" t="s">
        <v>91</v>
      </c>
      <c r="C7" s="44" t="n">
        <f aca="false">ABS(PL!$C$29)+ABS(PL!$C$99)+ABS(PL!$C$169)</f>
        <v>0</v>
      </c>
      <c r="D7" s="44" t="n">
        <f aca="false">ABS(PL!$D$29)+ABS(PL!$D$99)+ABS(PL!$D$169)</f>
        <v>0</v>
      </c>
      <c r="E7" s="44" t="n">
        <f aca="false">ABS(PL!$E$29)+ABS(PL!$E$99)+ABS(PL!$E$169)</f>
        <v>0</v>
      </c>
      <c r="F7" s="44" t="n">
        <f aca="false">ABS(PL!$F$29)+ABS(PL!$F$99)+ABS(PL!$F$169)</f>
        <v>0</v>
      </c>
      <c r="G7" s="44" t="n">
        <f aca="false">ABS(PL!$G$29)+ABS(PL!$G$99)+ABS(PL!$G$169)</f>
        <v>0</v>
      </c>
      <c r="H7" s="44" t="n">
        <f aca="false">ABS(PL!$H$29)+ABS(PL!$H$99)+ABS(PL!$H$169)</f>
        <v>0</v>
      </c>
      <c r="I7" s="44" t="n">
        <f aca="false">ABS(PL!$I$29)+ABS(PL!$I$99)+ABS(PL!$I$169)</f>
        <v>0</v>
      </c>
      <c r="J7" s="44" t="n">
        <f aca="false">ABS(PL!$J$29)+ABS(PL!$J$99)+ABS(PL!$J$169)</f>
        <v>0</v>
      </c>
      <c r="K7" s="44" t="n">
        <f aca="false">ABS(PL!$K$29)+ABS(PL!$K$99)+ABS(PL!$K$169)</f>
        <v>0</v>
      </c>
      <c r="L7" s="44" t="n">
        <f aca="false">ABS(PL!$L$29)+ABS(PL!$L$99)+ABS(PL!$L$169)</f>
        <v>0</v>
      </c>
      <c r="M7" s="44" t="n">
        <f aca="false">ABS(PL!$M$29)+ABS(PL!$M$99)+ABS(PL!$M$169)</f>
        <v>0</v>
      </c>
      <c r="N7" s="44" t="n">
        <f aca="false">ABS(PL!$N$29)+ABS(PL!$N$99)+ABS(PL!$N$169)</f>
        <v>0</v>
      </c>
      <c r="O7" s="44" t="n">
        <f aca="false">ABS(PL!$O$29)+ABS(PL!$O$99)+ABS(PL!$O$169)</f>
        <v>0</v>
      </c>
    </row>
    <row r="8" customFormat="false" ht="17.15" hidden="false" customHeight="false" outlineLevel="0" collapsed="false">
      <c r="A8" s="27" t="s">
        <v>573</v>
      </c>
      <c r="B8" s="28" t="s">
        <v>91</v>
      </c>
      <c r="C8" s="44" t="n">
        <f aca="false">ABS(PL!$C$30)+ABS(PL!$C$100)+ABS(PL!$C$170)</f>
        <v>0</v>
      </c>
      <c r="D8" s="44" t="n">
        <f aca="false">ABS(PL!$D$30)+ABS(PL!$D$100)+ABS(PL!$D$170)</f>
        <v>0</v>
      </c>
      <c r="E8" s="44" t="n">
        <f aca="false">ABS(PL!$E$30)+ABS(PL!$E$100)+ABS(PL!$E$170)</f>
        <v>0</v>
      </c>
      <c r="F8" s="44" t="n">
        <f aca="false">ABS(PL!$F$30)+ABS(PL!$F$100)+ABS(PL!$F$170)</f>
        <v>0</v>
      </c>
      <c r="G8" s="44" t="n">
        <f aca="false">ABS(PL!$G$30)+ABS(PL!$G$100)+ABS(PL!$G$170)</f>
        <v>0</v>
      </c>
      <c r="H8" s="44" t="n">
        <f aca="false">ABS(PL!$H$30)+ABS(PL!$H$100)+ABS(PL!$H$170)</f>
        <v>0</v>
      </c>
      <c r="I8" s="44" t="n">
        <f aca="false">ABS(PL!$I$30)+ABS(PL!$I$100)+ABS(PL!$I$170)</f>
        <v>0</v>
      </c>
      <c r="J8" s="44" t="n">
        <f aca="false">ABS(PL!$J$30)+ABS(PL!$J$100)+ABS(PL!$J$170)</f>
        <v>0</v>
      </c>
      <c r="K8" s="44" t="n">
        <f aca="false">ABS(PL!$K$30)+ABS(PL!$K$100)+ABS(PL!$K$170)</f>
        <v>0</v>
      </c>
      <c r="L8" s="44" t="n">
        <f aca="false">ABS(PL!$L$30)+ABS(PL!$L$100)+ABS(PL!$L$170)</f>
        <v>0</v>
      </c>
      <c r="M8" s="44" t="n">
        <f aca="false">ABS(PL!$M$30)+ABS(PL!$M$100)+ABS(PL!$M$170)</f>
        <v>0</v>
      </c>
      <c r="N8" s="44" t="n">
        <f aca="false">ABS(PL!$N$30)+ABS(PL!$N$100)+ABS(PL!$N$170)</f>
        <v>0</v>
      </c>
      <c r="O8" s="44" t="n">
        <f aca="false">ABS(PL!$O$30)+ABS(PL!$O$100)+ABS(PL!$O$170)</f>
        <v>0</v>
      </c>
    </row>
    <row r="9" customFormat="false" ht="15" hidden="false" customHeight="false" outlineLevel="0" collapsed="false">
      <c r="A9" s="27" t="s">
        <v>574</v>
      </c>
      <c r="B9" s="28" t="s">
        <v>91</v>
      </c>
      <c r="C9" s="44" t="n">
        <f aca="false">ABS(PL!$C$31)+ABS(PL!$C$101)+ABS(PL!$C$171)</f>
        <v>0</v>
      </c>
      <c r="D9" s="44" t="n">
        <f aca="false">ABS(PL!$D$31)+ABS(PL!$D$101)+ABS(PL!$D$171)</f>
        <v>0</v>
      </c>
      <c r="E9" s="44" t="n">
        <f aca="false">ABS(PL!$E$31)+ABS(PL!$E$101)+ABS(PL!$E$171)</f>
        <v>0</v>
      </c>
      <c r="F9" s="44" t="n">
        <f aca="false">ABS(PL!$F$31)+ABS(PL!$F$101)+ABS(PL!$F$171)</f>
        <v>0</v>
      </c>
      <c r="G9" s="44" t="n">
        <f aca="false">ABS(PL!$G$31)+ABS(PL!$G$101)+ABS(PL!$G$171)</f>
        <v>0</v>
      </c>
      <c r="H9" s="44" t="n">
        <f aca="false">ABS(PL!$H$31)+ABS(PL!$H$101)+ABS(PL!$H$171)</f>
        <v>0</v>
      </c>
      <c r="I9" s="44" t="n">
        <f aca="false">ABS(PL!$I$31)+ABS(PL!$I$101)+ABS(PL!$I$171)</f>
        <v>0</v>
      </c>
      <c r="J9" s="44" t="n">
        <f aca="false">ABS(PL!$J$31)+ABS(PL!$J$101)+ABS(PL!$J$171)</f>
        <v>0</v>
      </c>
      <c r="K9" s="44" t="n">
        <f aca="false">ABS(PL!$K$31)+ABS(PL!$K$101)+ABS(PL!$K$171)</f>
        <v>0</v>
      </c>
      <c r="L9" s="44" t="n">
        <f aca="false">ABS(PL!$L$31)+ABS(PL!$L$101)+ABS(PL!$L$171)</f>
        <v>0</v>
      </c>
      <c r="M9" s="44" t="n">
        <f aca="false">ABS(PL!$M$31)+ABS(PL!$M$101)+ABS(PL!$M$171)</f>
        <v>0</v>
      </c>
      <c r="N9" s="44" t="n">
        <f aca="false">ABS(PL!$N$31)+ABS(PL!$N$101)+ABS(PL!$N$171)</f>
        <v>0</v>
      </c>
      <c r="O9" s="44" t="n">
        <f aca="false">ABS(PL!$O$31)+ABS(PL!$O$101)+ABS(PL!$O$171)</f>
        <v>0</v>
      </c>
    </row>
    <row r="10" customFormat="false" ht="15" hidden="false" customHeight="false" outlineLevel="0" collapsed="false">
      <c r="A10" s="27" t="s">
        <v>773</v>
      </c>
      <c r="B10" s="28" t="s">
        <v>91</v>
      </c>
      <c r="C10" s="44" t="n">
        <f aca="false">ABS(PL!$C$48)+ABS(PL!$C$118)+ABS(PL!$C$188)</f>
        <v>0</v>
      </c>
      <c r="D10" s="44" t="n">
        <f aca="false">ABS(PL!$D$48)+ABS(PL!$D$118)+ABS(PL!$D$188)</f>
        <v>0</v>
      </c>
      <c r="E10" s="44" t="n">
        <f aca="false">ABS(PL!$E$48)+ABS(PL!$E$118)+ABS(PL!$E$188)</f>
        <v>0</v>
      </c>
      <c r="F10" s="44" t="n">
        <f aca="false">ABS(PL!$F$48)+ABS(PL!$F$118)+ABS(PL!$F$188)</f>
        <v>0</v>
      </c>
      <c r="G10" s="44" t="n">
        <f aca="false">ABS(PL!$G$48)+ABS(PL!$G$118)+ABS(PL!$G$188)</f>
        <v>0</v>
      </c>
      <c r="H10" s="44" t="n">
        <f aca="false">ABS(PL!$H$48)+ABS(PL!$H$118)+ABS(PL!$H$188)</f>
        <v>0</v>
      </c>
      <c r="I10" s="44" t="n">
        <f aca="false">ABS(PL!$I$48)+ABS(PL!$I$118)+ABS(PL!$I$188)</f>
        <v>0</v>
      </c>
      <c r="J10" s="44" t="n">
        <f aca="false">ABS(PL!$J$48)+ABS(PL!$J$118)+ABS(PL!$J$188)</f>
        <v>0</v>
      </c>
      <c r="K10" s="44" t="n">
        <f aca="false">ABS(PL!$K$48)+ABS(PL!$K$118)+ABS(PL!$K$188)</f>
        <v>0</v>
      </c>
      <c r="L10" s="44" t="n">
        <f aca="false">ABS(PL!$L$48)+ABS(PL!$L$118)+ABS(PL!$L$188)</f>
        <v>0</v>
      </c>
      <c r="M10" s="44" t="n">
        <f aca="false">ABS(PL!$M$48)+ABS(PL!$M$118)+ABS(PL!$M$188)</f>
        <v>0</v>
      </c>
      <c r="N10" s="44" t="n">
        <f aca="false">ABS(PL!$N$48)+ABS(PL!$N$118)+ABS(PL!$N$188)</f>
        <v>0</v>
      </c>
      <c r="O10" s="44" t="n">
        <f aca="false">ABS(PL!$O$48)+ABS(PL!$O$118)+ABS(PL!$O$188)</f>
        <v>0</v>
      </c>
    </row>
    <row r="12" customFormat="false" ht="19.4" hidden="false" customHeight="false" outlineLevel="0" collapsed="false">
      <c r="A12" s="35" t="s">
        <v>774</v>
      </c>
    </row>
    <row r="13" customFormat="false" ht="17.15" hidden="false" customHeight="false" outlineLevel="0" collapsed="false">
      <c r="A13" s="6" t="s">
        <v>16</v>
      </c>
      <c r="B13" s="6" t="s">
        <v>17</v>
      </c>
      <c r="C13" s="23" t="s">
        <v>542</v>
      </c>
      <c r="D13" s="23" t="s">
        <v>543</v>
      </c>
      <c r="E13" s="23" t="s">
        <v>631</v>
      </c>
      <c r="F13" s="23" t="s">
        <v>632</v>
      </c>
      <c r="G13" s="23" t="s">
        <v>633</v>
      </c>
      <c r="H13" s="23" t="s">
        <v>634</v>
      </c>
      <c r="I13" s="23" t="s">
        <v>635</v>
      </c>
      <c r="J13" s="23" t="s">
        <v>636</v>
      </c>
      <c r="K13" s="23" t="s">
        <v>637</v>
      </c>
      <c r="L13" s="23" t="s">
        <v>638</v>
      </c>
      <c r="M13" s="23" t="s">
        <v>639</v>
      </c>
      <c r="N13" s="23" t="s">
        <v>640</v>
      </c>
      <c r="O13" s="23" t="s">
        <v>641</v>
      </c>
      <c r="P13" s="6" t="s">
        <v>23</v>
      </c>
      <c r="R13" s="23" t="n">
        <v>2023</v>
      </c>
      <c r="S13" s="23" t="n">
        <v>2024</v>
      </c>
      <c r="T13" s="23" t="n">
        <v>2025</v>
      </c>
      <c r="U13" s="23" t="n">
        <v>2026</v>
      </c>
      <c r="V13" s="23" t="n">
        <v>2027</v>
      </c>
      <c r="W13" s="23" t="n">
        <v>2028</v>
      </c>
      <c r="X13" s="23" t="n">
        <v>2029</v>
      </c>
      <c r="Y13" s="23" t="n">
        <v>2030</v>
      </c>
      <c r="Z13" s="23" t="n">
        <v>2031</v>
      </c>
      <c r="AA13" s="23" t="n">
        <v>2032</v>
      </c>
    </row>
    <row r="14" customFormat="false" ht="17.15" hidden="false" customHeight="false" outlineLevel="0" collapsed="false">
      <c r="A14" s="1" t="s">
        <v>775</v>
      </c>
    </row>
    <row r="15" customFormat="false" ht="15" hidden="false" customHeight="false" outlineLevel="0" collapsed="false">
      <c r="A15" s="0" t="s">
        <v>564</v>
      </c>
      <c r="B15" s="0" t="s">
        <v>91</v>
      </c>
      <c r="C15" s="40" t="n">
        <f aca="false">Seg!$C$7</f>
        <v>247.029</v>
      </c>
      <c r="D15" s="40" t="n">
        <f aca="false">Seg!$D$7</f>
        <v>269.287</v>
      </c>
      <c r="E15" s="40" t="n">
        <f aca="false">Seg!$E$7</f>
        <v>203.156</v>
      </c>
      <c r="F15" s="40" t="n">
        <f aca="false">Seg!$F$7</f>
        <v>90.388463759573</v>
      </c>
      <c r="G15" s="40" t="n">
        <f aca="false">Seg!$G$7</f>
        <v>293.544463759573</v>
      </c>
      <c r="H15" s="40" t="n">
        <f aca="false">Seg!$H$7</f>
        <v>317.13448447826</v>
      </c>
      <c r="I15" s="40" t="n">
        <f aca="false">Seg!$I$7</f>
        <v>339.410577938345</v>
      </c>
      <c r="J15" s="40" t="n">
        <f aca="false">Seg!$J$7</f>
        <v>359.816245442206</v>
      </c>
      <c r="K15" s="40" t="n">
        <f aca="false">Seg!$K$7</f>
        <v>377.807057714316</v>
      </c>
      <c r="L15" s="40" t="n">
        <f aca="false">Seg!$L$7</f>
        <v>396.697410600032</v>
      </c>
      <c r="M15" s="40" t="n">
        <f aca="false">Seg!$M$7</f>
        <v>416.532281130034</v>
      </c>
      <c r="N15" s="40" t="n">
        <f aca="false">Seg!$N$7</f>
        <v>186.299</v>
      </c>
      <c r="O15" s="40" t="n">
        <f aca="false">Seg!$O$7</f>
        <v>82.988</v>
      </c>
    </row>
    <row r="16" customFormat="false" ht="15" hidden="false" customHeight="false" outlineLevel="0" collapsed="false">
      <c r="A16" s="0" t="s">
        <v>565</v>
      </c>
      <c r="B16" s="0" t="s">
        <v>91</v>
      </c>
      <c r="C16" s="40" t="n">
        <f aca="false">Seg!$C$9</f>
        <v>21.215</v>
      </c>
      <c r="D16" s="40" t="n">
        <f aca="false">Seg!$D$9</f>
        <v>22.561</v>
      </c>
      <c r="E16" s="40" t="n">
        <f aca="false">Seg!$E$9</f>
        <v>17.289</v>
      </c>
      <c r="F16" s="40" t="n">
        <f aca="false">Seg!$F$9</f>
        <v>6.05205510939944</v>
      </c>
      <c r="G16" s="40" t="n">
        <f aca="false">Seg!$G$9</f>
        <v>23.3410551093994</v>
      </c>
      <c r="H16" s="40" t="n">
        <f aca="false">Seg!$H$9</f>
        <v>24.1270238539533</v>
      </c>
      <c r="I16" s="40" t="n">
        <f aca="false">Seg!$I$9</f>
        <v>24.9099173270163</v>
      </c>
      <c r="J16" s="40" t="n">
        <f aca="false">Seg!$J$9</f>
        <v>25.6877148084528</v>
      </c>
      <c r="K16" s="40" t="n">
        <f aca="false">Seg!$K$9</f>
        <v>26.4583462527063</v>
      </c>
      <c r="L16" s="40" t="n">
        <f aca="false">Seg!$L$9</f>
        <v>27.2520966402875</v>
      </c>
      <c r="M16" s="40" t="n">
        <f aca="false">Seg!$M$9</f>
        <v>28.0696595394962</v>
      </c>
      <c r="N16" s="40" t="n">
        <f aca="false">Seg!$N$9</f>
        <v>16.706</v>
      </c>
      <c r="O16" s="40" t="n">
        <f aca="false">Seg!$O$9</f>
        <v>5.855</v>
      </c>
    </row>
    <row r="17" customFormat="false" ht="15" hidden="false" customHeight="false" outlineLevel="0" collapsed="false">
      <c r="A17" s="0" t="s">
        <v>566</v>
      </c>
      <c r="B17" s="0" t="s">
        <v>91</v>
      </c>
      <c r="C17" s="40" t="n">
        <f aca="false">Seg!$C$11</f>
        <v>156.146</v>
      </c>
      <c r="D17" s="40" t="n">
        <f aca="false">Seg!$D$11</f>
        <v>172.162</v>
      </c>
      <c r="E17" s="40" t="n">
        <f aca="false">Seg!$E$11</f>
        <v>134.85</v>
      </c>
      <c r="F17" s="40" t="n">
        <f aca="false">Seg!$F$11</f>
        <v>59.6056141851888</v>
      </c>
      <c r="G17" s="40" t="n">
        <f aca="false">Seg!$G$11</f>
        <v>194.455614185189</v>
      </c>
      <c r="H17" s="40" t="n">
        <f aca="false">Seg!$H$11</f>
        <v>216.80459217381</v>
      </c>
      <c r="I17" s="40" t="n">
        <f aca="false">Seg!$I$11</f>
        <v>238.475078227356</v>
      </c>
      <c r="J17" s="40" t="n">
        <f aca="false">Seg!$J$11</f>
        <v>258.739974865958</v>
      </c>
      <c r="K17" s="40" t="n">
        <f aca="false">Seg!$K$11</f>
        <v>276.851773106575</v>
      </c>
      <c r="L17" s="40" t="n">
        <f aca="false">Seg!$L$11</f>
        <v>296.231397224035</v>
      </c>
      <c r="M17" s="40" t="n">
        <f aca="false">Seg!$M$11</f>
        <v>316.967595029718</v>
      </c>
      <c r="N17" s="40" t="n">
        <f aca="false">Seg!$N$11</f>
        <v>119.346</v>
      </c>
      <c r="O17" s="40" t="n">
        <f aca="false">Seg!$O$11</f>
        <v>52.816</v>
      </c>
    </row>
    <row r="18" customFormat="false" ht="15" hidden="false" customHeight="false" outlineLevel="0" collapsed="false">
      <c r="A18" s="0" t="s">
        <v>567</v>
      </c>
      <c r="B18" s="0" t="s">
        <v>91</v>
      </c>
      <c r="C18" s="40" t="n">
        <f aca="false">Seg!$C$13</f>
        <v>56.214</v>
      </c>
      <c r="D18" s="40" t="n">
        <f aca="false">Seg!$D$13</f>
        <v>68.635</v>
      </c>
      <c r="E18" s="40" t="n">
        <f aca="false">Seg!$E$13</f>
        <v>56.689</v>
      </c>
      <c r="F18" s="40" t="n">
        <f aca="false">Seg!$F$13</f>
        <v>25.5080393747055</v>
      </c>
      <c r="G18" s="40" t="n">
        <f aca="false">Seg!$G$13</f>
        <v>82.1970393747055</v>
      </c>
      <c r="H18" s="40" t="n">
        <f aca="false">Seg!$H$13</f>
        <v>96.4608782883025</v>
      </c>
      <c r="I18" s="40" t="n">
        <f aca="false">Seg!$I$13</f>
        <v>110.835624413712</v>
      </c>
      <c r="J18" s="40" t="n">
        <f aca="false">Seg!$J$13</f>
        <v>124.635851912673</v>
      </c>
      <c r="K18" s="40" t="n">
        <f aca="false">Seg!$K$13</f>
        <v>137.09943710394</v>
      </c>
      <c r="L18" s="40" t="n">
        <f aca="false">Seg!$L$13</f>
        <v>150.809380814334</v>
      </c>
      <c r="M18" s="40" t="n">
        <f aca="false">Seg!$M$13</f>
        <v>165.890318895768</v>
      </c>
      <c r="N18" s="40" t="n">
        <f aca="false">Seg!$N$13</f>
        <v>47.318</v>
      </c>
      <c r="O18" s="40" t="n">
        <f aca="false">Seg!$O$13</f>
        <v>21.317</v>
      </c>
    </row>
    <row r="19" customFormat="false" ht="15" hidden="false" customHeight="false" outlineLevel="0" collapsed="false">
      <c r="A19" s="0" t="s">
        <v>568</v>
      </c>
      <c r="B19" s="0" t="s">
        <v>91</v>
      </c>
      <c r="C19" s="40" t="n">
        <f aca="false">Seg!$C$15</f>
        <v>44.374</v>
      </c>
      <c r="D19" s="40" t="n">
        <f aca="false">Seg!$D$15</f>
        <v>49.619</v>
      </c>
      <c r="E19" s="40" t="n">
        <f aca="false">Seg!$E$15</f>
        <v>41.163</v>
      </c>
      <c r="F19" s="40" t="n">
        <f aca="false">Seg!$F$15</f>
        <v>14.7818388144754</v>
      </c>
      <c r="G19" s="40" t="n">
        <f aca="false">Seg!$G$15</f>
        <v>55.9448388144754</v>
      </c>
      <c r="H19" s="40" t="n">
        <f aca="false">Seg!$H$15</f>
        <v>62.2881216081287</v>
      </c>
      <c r="I19" s="40" t="n">
        <f aca="false">Seg!$I$15</f>
        <v>68.4498533343906</v>
      </c>
      <c r="J19" s="40" t="n">
        <f aca="false">Seg!$J$15</f>
        <v>74.2312327495396</v>
      </c>
      <c r="K19" s="40" t="n">
        <f aca="false">Seg!$K$15</f>
        <v>79.4274190420074</v>
      </c>
      <c r="L19" s="40" t="n">
        <f aca="false">Seg!$L$15</f>
        <v>84.9873383749479</v>
      </c>
      <c r="M19" s="40" t="n">
        <f aca="false">Seg!$M$15</f>
        <v>90.9364520611943</v>
      </c>
      <c r="N19" s="40" t="n">
        <f aca="false">Seg!$N$15</f>
        <v>36.497</v>
      </c>
      <c r="O19" s="40" t="n">
        <f aca="false">Seg!$O$15</f>
        <v>13.122</v>
      </c>
    </row>
    <row r="20" customFormat="false" ht="15" hidden="false" customHeight="false" outlineLevel="0" collapsed="false">
      <c r="A20" s="0" t="s">
        <v>569</v>
      </c>
      <c r="B20" s="0" t="s">
        <v>91</v>
      </c>
      <c r="C20" s="40" t="n">
        <f aca="false">Seg!$C$17</f>
        <v>5.425</v>
      </c>
      <c r="D20" s="40" t="n">
        <f aca="false">Seg!$D$17</f>
        <v>5.935</v>
      </c>
      <c r="E20" s="40" t="n">
        <f aca="false">Seg!$E$17</f>
        <v>5.119</v>
      </c>
      <c r="F20" s="40" t="n">
        <f aca="false">Seg!$F$17</f>
        <v>2.06764643489463</v>
      </c>
      <c r="G20" s="40" t="n">
        <f aca="false">Seg!$G$17</f>
        <v>7.18664643489463</v>
      </c>
      <c r="H20" s="40" t="n">
        <f aca="false">Seg!$H$17</f>
        <v>8.41544223415965</v>
      </c>
      <c r="I20" s="40" t="n">
        <f aca="false">Seg!$I$17</f>
        <v>9.51496576222195</v>
      </c>
      <c r="J20" s="40" t="n">
        <f aca="false">Seg!$J$17</f>
        <v>10.3744310498661</v>
      </c>
      <c r="K20" s="40" t="n">
        <f aca="false">Seg!$K$17</f>
        <v>10.8931526023594</v>
      </c>
      <c r="L20" s="40" t="n">
        <f aca="false">Seg!$L$17</f>
        <v>11.4378102324774</v>
      </c>
      <c r="M20" s="40" t="n">
        <f aca="false">Seg!$M$17</f>
        <v>12.0097007441012</v>
      </c>
      <c r="N20" s="40" t="n">
        <f aca="false">Seg!$N$17</f>
        <v>4.226</v>
      </c>
      <c r="O20" s="40" t="n">
        <f aca="false">Seg!$O$17</f>
        <v>1.709</v>
      </c>
    </row>
    <row r="21" customFormat="false" ht="17.15" hidden="false" customHeight="false" outlineLevel="0" collapsed="false">
      <c r="A21" s="0" t="s">
        <v>776</v>
      </c>
      <c r="B21" s="0" t="s">
        <v>91</v>
      </c>
      <c r="C21" s="40" t="n">
        <f aca="false">Seg!$C$29</f>
        <v>107.556</v>
      </c>
      <c r="D21" s="40" t="n">
        <f aca="false">Seg!$D$29</f>
        <v>128.725</v>
      </c>
      <c r="E21" s="40" t="n">
        <f aca="false">Seg!$E$29</f>
        <v>125.803</v>
      </c>
      <c r="F21" s="40" t="n">
        <f aca="false">Seg!$F$29</f>
        <v>46.711682342874</v>
      </c>
      <c r="G21" s="40" t="n">
        <f aca="false">Seg!$G$29</f>
        <v>172.514682342874</v>
      </c>
      <c r="H21" s="40" t="n">
        <f aca="false">Seg!$H$29</f>
        <v>236.199624626263</v>
      </c>
      <c r="I21" s="40" t="n">
        <f aca="false">Seg!$I$29</f>
        <v>307.34742849573</v>
      </c>
      <c r="J21" s="40" t="n">
        <f aca="false">Seg!$J$29</f>
        <v>378.018786790698</v>
      </c>
      <c r="K21" s="40" t="n">
        <f aca="false">Seg!$K$29</f>
        <v>439.481495534144</v>
      </c>
      <c r="L21" s="40" t="n">
        <f aca="false">Seg!$L$29</f>
        <v>486.651506211241</v>
      </c>
      <c r="M21" s="40" t="n">
        <f aca="false">Seg!$M$29</f>
        <v>519.58439792343</v>
      </c>
      <c r="N21" s="40" t="n">
        <f aca="false">Seg!$N$29</f>
        <v>93.146</v>
      </c>
      <c r="O21" s="40" t="n">
        <f aca="false">Seg!$O$29</f>
        <v>35.579</v>
      </c>
    </row>
    <row r="22" customFormat="false" ht="15" hidden="false" customHeight="false" outlineLevel="0" collapsed="false">
      <c r="A22" s="1" t="s">
        <v>557</v>
      </c>
      <c r="B22" s="8" t="s">
        <v>91</v>
      </c>
      <c r="C22" s="40" t="n">
        <f aca="false">Seg!$C$22</f>
        <v>387.497</v>
      </c>
      <c r="D22" s="40" t="n">
        <f aca="false">Seg!$D$22</f>
        <v>426.305</v>
      </c>
      <c r="E22" s="40" t="n">
        <f aca="false">Seg!$E$22</f>
        <v>333.172</v>
      </c>
      <c r="F22" s="40" t="n">
        <f aca="false">Seg!$F$22</f>
        <v>141.803933639977</v>
      </c>
      <c r="G22" s="40" t="n">
        <f aca="false">Seg!$G$22</f>
        <v>474.975933639977</v>
      </c>
      <c r="H22" s="40" t="n">
        <f aca="false">Seg!$H$22</f>
        <v>524.566728590708</v>
      </c>
      <c r="I22" s="40" t="n">
        <f aca="false">Seg!$I$22</f>
        <v>572.569560425675</v>
      </c>
      <c r="J22" s="40" t="n">
        <f aca="false">Seg!$J$22</f>
        <v>617.334825989679</v>
      </c>
      <c r="K22" s="40" t="n">
        <f aca="false">Seg!$K$22</f>
        <v>657.154313491738</v>
      </c>
      <c r="L22" s="40" t="n">
        <f aca="false">Seg!$L$22</f>
        <v>699.741557349269</v>
      </c>
      <c r="M22" s="40" t="n">
        <f aca="false">Seg!$M$22</f>
        <v>745.303288602707</v>
      </c>
      <c r="N22" s="40" t="n">
        <f aca="false">Seg!$N$22</f>
        <v>299.222</v>
      </c>
      <c r="O22" s="40" t="n">
        <f aca="false">Seg!$O$22</f>
        <v>127.083</v>
      </c>
    </row>
    <row r="23" customFormat="false" ht="15" hidden="false" customHeight="false" outlineLevel="0" collapsed="false">
      <c r="A23" s="1" t="s">
        <v>560</v>
      </c>
      <c r="B23" s="8" t="s">
        <v>91</v>
      </c>
      <c r="C23" s="40" t="n">
        <f aca="false">Seg!$C$23</f>
        <v>142.906</v>
      </c>
      <c r="D23" s="40" t="n">
        <f aca="false">Seg!$D$23</f>
        <v>161.894</v>
      </c>
      <c r="E23" s="40" t="n">
        <f aca="false">Seg!$E$23</f>
        <v>125.094</v>
      </c>
      <c r="F23" s="40" t="n">
        <f aca="false">Seg!$F$23</f>
        <v>56.5997240382599</v>
      </c>
      <c r="G23" s="40" t="n">
        <f aca="false">Seg!$G$23</f>
        <v>181.69372403826</v>
      </c>
      <c r="H23" s="40" t="n">
        <f aca="false">Seg!$H$23</f>
        <v>200.663814045906</v>
      </c>
      <c r="I23" s="40" t="n">
        <f aca="false">Seg!$I$23</f>
        <v>219.026456577366</v>
      </c>
      <c r="J23" s="40" t="n">
        <f aca="false">Seg!$J$23</f>
        <v>236.150624839017</v>
      </c>
      <c r="K23" s="40" t="n">
        <f aca="false">Seg!$K$23</f>
        <v>251.382872330167</v>
      </c>
      <c r="L23" s="40" t="n">
        <f aca="false">Seg!$L$23</f>
        <v>267.673876536846</v>
      </c>
      <c r="M23" s="40" t="n">
        <f aca="false">Seg!$M$23</f>
        <v>285.102718797604</v>
      </c>
      <c r="N23" s="40" t="n">
        <f aca="false">Seg!$N$23</f>
        <v>111.17</v>
      </c>
      <c r="O23" s="40" t="n">
        <f aca="false">Seg!$O$23</f>
        <v>50.724</v>
      </c>
    </row>
    <row r="24" customFormat="false" ht="15" hidden="false" customHeight="false" outlineLevel="0" collapsed="false">
      <c r="A24" s="1" t="s">
        <v>561</v>
      </c>
      <c r="B24" s="8" t="s">
        <v>91</v>
      </c>
      <c r="C24" s="40" t="n">
        <f aca="false">Seg!$C$29</f>
        <v>107.556</v>
      </c>
      <c r="D24" s="40" t="n">
        <f aca="false">Seg!$D$29</f>
        <v>128.725</v>
      </c>
      <c r="E24" s="40" t="n">
        <f aca="false">Seg!$E$29</f>
        <v>125.803</v>
      </c>
      <c r="F24" s="40" t="n">
        <f aca="false">Seg!$F$29</f>
        <v>46.711682342874</v>
      </c>
      <c r="G24" s="40" t="n">
        <f aca="false">Seg!$G$29</f>
        <v>172.514682342874</v>
      </c>
      <c r="H24" s="40" t="n">
        <f aca="false">Seg!$H$29</f>
        <v>236.199624626263</v>
      </c>
      <c r="I24" s="40" t="n">
        <f aca="false">Seg!$I$29</f>
        <v>307.34742849573</v>
      </c>
      <c r="J24" s="40" t="n">
        <f aca="false">Seg!$J$29</f>
        <v>378.018786790698</v>
      </c>
      <c r="K24" s="40" t="n">
        <f aca="false">Seg!$K$29</f>
        <v>439.481495534144</v>
      </c>
      <c r="L24" s="40" t="n">
        <f aca="false">Seg!$L$29</f>
        <v>486.651506211241</v>
      </c>
      <c r="M24" s="40" t="n">
        <f aca="false">Seg!$M$29</f>
        <v>519.58439792343</v>
      </c>
      <c r="N24" s="40" t="n">
        <f aca="false">Seg!$N$29</f>
        <v>93.146</v>
      </c>
      <c r="O24" s="40" t="n">
        <f aca="false">Seg!$O$29</f>
        <v>35.579</v>
      </c>
    </row>
    <row r="25" customFormat="false" ht="17.15" hidden="false" customHeight="false" outlineLevel="0" collapsed="false">
      <c r="A25" s="0" t="s">
        <v>750</v>
      </c>
      <c r="B25" s="0" t="s">
        <v>91</v>
      </c>
      <c r="C25" s="40" t="n">
        <f aca="false">Seg!$C$27</f>
        <v>2.32100535697364</v>
      </c>
      <c r="D25" s="40" t="n">
        <f aca="false">Seg!$D$27</f>
        <v>8.70377008865116</v>
      </c>
      <c r="E25" s="40" t="n">
        <f aca="false">Seg!$E$27</f>
        <v>16.2007080559478</v>
      </c>
      <c r="F25" s="40" t="n">
        <f aca="false">Seg!$F$27</f>
        <v>9.73202200732313</v>
      </c>
      <c r="G25" s="40" t="n">
        <f aca="false">Seg!$G$27</f>
        <v>25.9327300632709</v>
      </c>
      <c r="H25" s="40" t="n">
        <f aca="false">Seg!$H$27</f>
        <v>71.2392094580459</v>
      </c>
      <c r="I25" s="40" t="n">
        <f aca="false">Seg!$I$27</f>
        <v>124.19956439883</v>
      </c>
      <c r="J25" s="40" t="n">
        <f aca="false">Seg!$J$27</f>
        <v>177.44866949843</v>
      </c>
      <c r="K25" s="40" t="n">
        <f aca="false">Seg!$K$27</f>
        <v>222.865768858495</v>
      </c>
      <c r="L25" s="40" t="n">
        <f aca="false">Seg!$L$27</f>
        <v>252.70652140154</v>
      </c>
      <c r="M25" s="40" t="n">
        <f aca="false">Seg!$M$27</f>
        <v>266.923814328953</v>
      </c>
      <c r="N25" s="40" t="n">
        <f aca="false">Seg!$N$27</f>
        <v>5.54865343151512</v>
      </c>
      <c r="O25" s="40" t="n">
        <f aca="false">Seg!$O$27</f>
        <v>3.15511665713605</v>
      </c>
    </row>
    <row r="26" customFormat="false" ht="17.15" hidden="false" customHeight="false" outlineLevel="0" collapsed="false">
      <c r="A26" s="0" t="s">
        <v>752</v>
      </c>
      <c r="B26" s="0" t="s">
        <v>91</v>
      </c>
      <c r="C26" s="40" t="n">
        <f aca="false">Seg!$C$28</f>
        <v>105.234994643026</v>
      </c>
      <c r="D26" s="40" t="n">
        <f aca="false">Seg!$D$28</f>
        <v>120.021229911349</v>
      </c>
      <c r="E26" s="40" t="n">
        <f aca="false">Seg!$E$28</f>
        <v>109.602291944052</v>
      </c>
      <c r="F26" s="40" t="n">
        <f aca="false">Seg!$F$28</f>
        <v>36.9796603355509</v>
      </c>
      <c r="G26" s="40" t="n">
        <f aca="false">Seg!$G$28</f>
        <v>146.581952279603</v>
      </c>
      <c r="H26" s="40" t="n">
        <f aca="false">Seg!$H$28</f>
        <v>164.960415168217</v>
      </c>
      <c r="I26" s="40" t="n">
        <f aca="false">Seg!$I$28</f>
        <v>183.1478640969</v>
      </c>
      <c r="J26" s="40" t="n">
        <f aca="false">Seg!$J$28</f>
        <v>200.570117292268</v>
      </c>
      <c r="K26" s="40" t="n">
        <f aca="false">Seg!$K$28</f>
        <v>216.615726675649</v>
      </c>
      <c r="L26" s="40" t="n">
        <f aca="false">Seg!$L$28</f>
        <v>233.944984809701</v>
      </c>
      <c r="M26" s="40" t="n">
        <f aca="false">Seg!$M$28</f>
        <v>252.660583594477</v>
      </c>
      <c r="N26" s="40" t="n">
        <f aca="false">Seg!$N$28</f>
        <v>87.5973465684849</v>
      </c>
      <c r="O26" s="40" t="n">
        <f aca="false">Seg!$O$28</f>
        <v>32.423883342864</v>
      </c>
    </row>
    <row r="27" customFormat="false" ht="15" hidden="false" customHeight="false" outlineLevel="0" collapsed="false">
      <c r="A27" s="3" t="s">
        <v>562</v>
      </c>
      <c r="B27" s="8" t="s">
        <v>91</v>
      </c>
      <c r="C27" s="40" t="n">
        <f aca="false">Seg!$C$30</f>
        <v>637.959</v>
      </c>
      <c r="D27" s="40" t="n">
        <f aca="false">Seg!$D$30</f>
        <v>716.924</v>
      </c>
      <c r="E27" s="40" t="n">
        <f aca="false">Seg!$E$30</f>
        <v>584.069</v>
      </c>
      <c r="F27" s="40" t="n">
        <f aca="false">Seg!$F$30</f>
        <v>245.115340021111</v>
      </c>
      <c r="G27" s="40" t="n">
        <f aca="false">Seg!$G$30</f>
        <v>829.184340021111</v>
      </c>
      <c r="H27" s="40" t="n">
        <f aca="false">Seg!$H$30</f>
        <v>961.430167262876</v>
      </c>
      <c r="I27" s="40" t="n">
        <f aca="false">Seg!$I$30</f>
        <v>1098.94344549877</v>
      </c>
      <c r="J27" s="40" t="n">
        <f aca="false">Seg!$J$30</f>
        <v>1231.50423761939</v>
      </c>
      <c r="K27" s="40" t="n">
        <f aca="false">Seg!$K$30</f>
        <v>1348.01868135605</v>
      </c>
      <c r="L27" s="40" t="n">
        <f aca="false">Seg!$L$30</f>
        <v>1454.06694009736</v>
      </c>
      <c r="M27" s="40" t="n">
        <f aca="false">Seg!$M$30</f>
        <v>1549.99040532374</v>
      </c>
      <c r="N27" s="40" t="n">
        <f aca="false">Seg!$N$30</f>
        <v>503.538</v>
      </c>
      <c r="O27" s="40" t="n">
        <f aca="false">Seg!$O$30</f>
        <v>213.386</v>
      </c>
    </row>
    <row r="28" customFormat="false" ht="17.15" hidden="false" customHeight="false" outlineLevel="0" collapsed="false">
      <c r="A28" s="27" t="s">
        <v>755</v>
      </c>
      <c r="B28" s="28" t="s">
        <v>91</v>
      </c>
      <c r="C28" s="43" t="n">
        <f aca="false">PL!$C$15+PL!$C$16+PL!$C$17+PL!$C$18+PL!$C$19+PL!$C$20-(PL!$C$22+PL!$C$23)</f>
        <v>0</v>
      </c>
      <c r="D28" s="43" t="n">
        <f aca="false">PL!$D$15+PL!$D$16+PL!$D$17+PL!$D$18+PL!$D$19+PL!$D$20-(PL!$D$22+PL!$D$23)</f>
        <v>0</v>
      </c>
      <c r="E28" s="43" t="n">
        <f aca="false">PL!$E$15+PL!$E$16+PL!$E$17+PL!$E$18+PL!$E$19+PL!$E$20-(PL!$E$22+PL!$E$23)</f>
        <v>0</v>
      </c>
      <c r="F28" s="43" t="n">
        <f aca="false">PL!$F$15+PL!$F$16+PL!$F$17+PL!$F$18+PL!$F$19+PL!$F$20-(PL!$F$22+PL!$F$23)</f>
        <v>0</v>
      </c>
      <c r="G28" s="43" t="n">
        <f aca="false">PL!$G$15+PL!$G$16+PL!$G$17+PL!$G$18+PL!$G$19+PL!$G$20-(PL!$G$22+PL!$G$23)</f>
        <v>0</v>
      </c>
      <c r="H28" s="43" t="n">
        <f aca="false">PL!$H$15+PL!$H$16+PL!$H$17+PL!$H$18+PL!$H$19+PL!$H$20-(PL!$H$22+PL!$H$23)</f>
        <v>0</v>
      </c>
      <c r="I28" s="43" t="n">
        <f aca="false">PL!$I$15+PL!$I$16+PL!$I$17+PL!$I$18+PL!$I$19+PL!$I$20-(PL!$I$22+PL!$I$23)</f>
        <v>0</v>
      </c>
      <c r="J28" s="43" t="n">
        <f aca="false">PL!$J$15+PL!$J$16+PL!$J$17+PL!$J$18+PL!$J$19+PL!$J$20-(PL!$J$22+PL!$J$23)</f>
        <v>0</v>
      </c>
      <c r="K28" s="43" t="n">
        <f aca="false">PL!$K$15+PL!$K$16+PL!$K$17+PL!$K$18+PL!$K$19+PL!$K$20-(PL!$K$22+PL!$K$23)</f>
        <v>0</v>
      </c>
      <c r="L28" s="43" t="n">
        <f aca="false">PL!$L$15+PL!$L$16+PL!$L$17+PL!$L$18+PL!$L$19+PL!$L$20-(PL!$L$22+PL!$L$23)</f>
        <v>0</v>
      </c>
      <c r="M28" s="43" t="n">
        <f aca="false">PL!$M$15+PL!$M$16+PL!$M$17+PL!$M$18+PL!$M$19+PL!$M$20-(PL!$M$22+PL!$M$23)</f>
        <v>0</v>
      </c>
      <c r="N28" s="43" t="n">
        <f aca="false">PL!$N$15+PL!$N$16+PL!$N$17+PL!$N$18+PL!$N$19+PL!$N$20-(PL!$N$22+PL!$N$23)</f>
        <v>0</v>
      </c>
      <c r="O28" s="43" t="n">
        <f aca="false">PL!$O$15+PL!$O$16+PL!$O$17+PL!$O$18+PL!$O$19+PL!$O$20-(PL!$O$22+PL!$O$23)</f>
        <v>0</v>
      </c>
    </row>
    <row r="29" customFormat="false" ht="17.15" hidden="false" customHeight="false" outlineLevel="0" collapsed="false">
      <c r="A29" s="27" t="s">
        <v>756</v>
      </c>
      <c r="B29" s="28" t="s">
        <v>91</v>
      </c>
      <c r="C29" s="43" t="n">
        <f aca="false">PL!$C$25+PL!$C$26-PL!$C$24</f>
        <v>0</v>
      </c>
      <c r="D29" s="43" t="n">
        <f aca="false">PL!$D$25+PL!$D$26-PL!$D$24</f>
        <v>0</v>
      </c>
      <c r="E29" s="43" t="n">
        <f aca="false">PL!$E$25+PL!$E$26-PL!$E$24</f>
        <v>0</v>
      </c>
      <c r="F29" s="43" t="n">
        <f aca="false">PL!$F$25+PL!$F$26-PL!$F$24</f>
        <v>0</v>
      </c>
      <c r="G29" s="43" t="n">
        <f aca="false">PL!$G$25+PL!$G$26-PL!$G$24</f>
        <v>0</v>
      </c>
      <c r="H29" s="43" t="n">
        <f aca="false">PL!$H$25+PL!$H$26-PL!$H$24</f>
        <v>0</v>
      </c>
      <c r="I29" s="43" t="n">
        <f aca="false">PL!$I$25+PL!$I$26-PL!$I$24</f>
        <v>0</v>
      </c>
      <c r="J29" s="43" t="n">
        <f aca="false">PL!$J$25+PL!$J$26-PL!$J$24</f>
        <v>0</v>
      </c>
      <c r="K29" s="43" t="n">
        <f aca="false">PL!$K$25+PL!$K$26-PL!$K$24</f>
        <v>0</v>
      </c>
      <c r="L29" s="43" t="n">
        <f aca="false">PL!$L$25+PL!$L$26-PL!$L$24</f>
        <v>0</v>
      </c>
      <c r="M29" s="43" t="n">
        <f aca="false">PL!$M$25+PL!$M$26-PL!$M$24</f>
        <v>0</v>
      </c>
      <c r="N29" s="43" t="n">
        <f aca="false">PL!$N$25+PL!$N$26-PL!$N$24</f>
        <v>0</v>
      </c>
      <c r="O29" s="43" t="n">
        <f aca="false">PL!$O$25+PL!$O$26-PL!$O$24</f>
        <v>0</v>
      </c>
    </row>
    <row r="30" customFormat="false" ht="17.15" hidden="false" customHeight="false" outlineLevel="0" collapsed="false">
      <c r="A30" s="27" t="s">
        <v>777</v>
      </c>
      <c r="B30" s="28" t="s">
        <v>91</v>
      </c>
      <c r="C30" s="43" t="n">
        <f aca="false">PL!$C$15+PL!$C$16+PL!$C$17+PL!$C$18+PL!$C$19+PL!$C$20+PL!$C$21-PL!$C$27</f>
        <v>0</v>
      </c>
      <c r="D30" s="43" t="n">
        <f aca="false">PL!$D$15+PL!$D$16+PL!$D$17+PL!$D$18+PL!$D$19+PL!$D$20+PL!$D$21-PL!$D$27</f>
        <v>0</v>
      </c>
      <c r="E30" s="43" t="n">
        <f aca="false">PL!$E$15+PL!$E$16+PL!$E$17+PL!$E$18+PL!$E$19+PL!$E$20+PL!$E$21-PL!$E$27</f>
        <v>0</v>
      </c>
      <c r="F30" s="43" t="n">
        <f aca="false">PL!$F$15+PL!$F$16+PL!$F$17+PL!$F$18+PL!$F$19+PL!$F$20+PL!$F$21-PL!$F$27</f>
        <v>0</v>
      </c>
      <c r="G30" s="43" t="n">
        <f aca="false">PL!$G$15+PL!$G$16+PL!$G$17+PL!$G$18+PL!$G$19+PL!$G$20+PL!$G$21-PL!$G$27</f>
        <v>0</v>
      </c>
      <c r="H30" s="43" t="n">
        <f aca="false">PL!$H$15+PL!$H$16+PL!$H$17+PL!$H$18+PL!$H$19+PL!$H$20+PL!$H$21-PL!$H$27</f>
        <v>0</v>
      </c>
      <c r="I30" s="43" t="n">
        <f aca="false">PL!$I$15+PL!$I$16+PL!$I$17+PL!$I$18+PL!$I$19+PL!$I$20+PL!$I$21-PL!$I$27</f>
        <v>0</v>
      </c>
      <c r="J30" s="43" t="n">
        <f aca="false">PL!$J$15+PL!$J$16+PL!$J$17+PL!$J$18+PL!$J$19+PL!$J$20+PL!$J$21-PL!$J$27</f>
        <v>0</v>
      </c>
      <c r="K30" s="43" t="n">
        <f aca="false">PL!$K$15+PL!$K$16+PL!$K$17+PL!$K$18+PL!$K$19+PL!$K$20+PL!$K$21-PL!$K$27</f>
        <v>0</v>
      </c>
      <c r="L30" s="43" t="n">
        <f aca="false">PL!$L$15+PL!$L$16+PL!$L$17+PL!$L$18+PL!$L$19+PL!$L$20+PL!$L$21-PL!$L$27</f>
        <v>0</v>
      </c>
      <c r="M30" s="43" t="n">
        <f aca="false">PL!$M$15+PL!$M$16+PL!$M$17+PL!$M$18+PL!$M$19+PL!$M$20+PL!$M$21-PL!$M$27</f>
        <v>0</v>
      </c>
      <c r="N30" s="43" t="n">
        <f aca="false">PL!$N$15+PL!$N$16+PL!$N$17+PL!$N$18+PL!$N$19+PL!$N$20+PL!$N$21-PL!$N$27</f>
        <v>0</v>
      </c>
      <c r="O30" s="43" t="n">
        <f aca="false">PL!$O$15+PL!$O$16+PL!$O$17+PL!$O$18+PL!$O$19+PL!$O$20+PL!$O$21-PL!$O$27</f>
        <v>0</v>
      </c>
    </row>
    <row r="31" customFormat="false" ht="17.15" hidden="false" customHeight="false" outlineLevel="0" collapsed="false">
      <c r="A31" s="27" t="s">
        <v>757</v>
      </c>
      <c r="B31" s="28" t="s">
        <v>91</v>
      </c>
      <c r="C31" s="43" t="n">
        <f aca="false">PL!$C$22+PL!$C$23+PL!$C$24-PL!$C$27</f>
        <v>0</v>
      </c>
      <c r="D31" s="43" t="n">
        <f aca="false">PL!$D$22+PL!$D$23+PL!$D$24-PL!$D$27</f>
        <v>0</v>
      </c>
      <c r="E31" s="43" t="n">
        <f aca="false">PL!$E$22+PL!$E$23+PL!$E$24-PL!$E$27</f>
        <v>0</v>
      </c>
      <c r="F31" s="43" t="n">
        <f aca="false">PL!$F$22+PL!$F$23+PL!$F$24-PL!$F$27</f>
        <v>0</v>
      </c>
      <c r="G31" s="43" t="n">
        <f aca="false">PL!$G$22+PL!$G$23+PL!$G$24-PL!$G$27</f>
        <v>0</v>
      </c>
      <c r="H31" s="43" t="n">
        <f aca="false">PL!$H$22+PL!$H$23+PL!$H$24-PL!$H$27</f>
        <v>0</v>
      </c>
      <c r="I31" s="43" t="n">
        <f aca="false">PL!$I$22+PL!$I$23+PL!$I$24-PL!$I$27</f>
        <v>0</v>
      </c>
      <c r="J31" s="43" t="n">
        <f aca="false">PL!$J$22+PL!$J$23+PL!$J$24-PL!$J$27</f>
        <v>0</v>
      </c>
      <c r="K31" s="43" t="n">
        <f aca="false">PL!$K$22+PL!$K$23+PL!$K$24-PL!$K$27</f>
        <v>0</v>
      </c>
      <c r="L31" s="43" t="n">
        <f aca="false">PL!$L$22+PL!$L$23+PL!$L$24-PL!$L$27</f>
        <v>0</v>
      </c>
      <c r="M31" s="43" t="n">
        <f aca="false">PL!$M$22+PL!$M$23+PL!$M$24-PL!$M$27</f>
        <v>0</v>
      </c>
      <c r="N31" s="43" t="n">
        <f aca="false">PL!$N$22+PL!$N$23+PL!$N$24-PL!$N$27</f>
        <v>0</v>
      </c>
      <c r="O31" s="43" t="n">
        <f aca="false">PL!$O$22+PL!$O$23+PL!$O$24-PL!$O$27</f>
        <v>0</v>
      </c>
    </row>
    <row r="32" customFormat="false" ht="17.15" hidden="false" customHeight="false" outlineLevel="0" collapsed="false">
      <c r="A32" s="1" t="s">
        <v>778</v>
      </c>
    </row>
    <row r="33" customFormat="false" ht="17.15" hidden="false" customHeight="false" outlineLevel="0" collapsed="false">
      <c r="A33" s="0" t="s">
        <v>779</v>
      </c>
      <c r="B33" s="0" t="s">
        <v>91</v>
      </c>
      <c r="C33" s="40" t="n">
        <f aca="false">Seg!$C$24*m_ad</f>
        <v>20.5341564414228</v>
      </c>
      <c r="D33" s="40" t="n">
        <f aca="false">Seg!$D$24*m_ad</f>
        <v>24.8720617299587</v>
      </c>
      <c r="E33" s="40" t="n">
        <f aca="false">Seg!$E$24*m_ad</f>
        <v>20.6072319438929</v>
      </c>
      <c r="F33" s="40" t="n">
        <f aca="false">Seg!$F$24*m_ad</f>
        <v>9.11560896886989</v>
      </c>
      <c r="G33" s="40" t="n">
        <f aca="false">Seg!$G$24*m_ad</f>
        <v>29.7269830141693</v>
      </c>
      <c r="H33" s="40" t="n">
        <f aca="false">Seg!$H$24*m_ad</f>
        <v>34.885573887113</v>
      </c>
      <c r="I33" s="40" t="n">
        <f aca="false">Seg!$I$24*m_ad</f>
        <v>40.0842749249334</v>
      </c>
      <c r="J33" s="40" t="n">
        <f aca="false">Seg!$J$24*m_ad</f>
        <v>45.0751983398651</v>
      </c>
      <c r="K33" s="40" t="n">
        <f aca="false">Seg!$K$24*m_ad</f>
        <v>49.5827181738516</v>
      </c>
      <c r="L33" s="40" t="n">
        <f aca="false">Seg!$L$24*m_ad</f>
        <v>54.5409899912368</v>
      </c>
      <c r="M33" s="40" t="n">
        <f aca="false">Seg!$M$24*m_ad</f>
        <v>59.9950889903605</v>
      </c>
      <c r="N33" s="40" t="n">
        <f aca="false">Seg!$N$24*m_ad</f>
        <v>17.2500762636699</v>
      </c>
      <c r="O33" s="40" t="n">
        <f aca="false">Seg!$O$24*m_ad</f>
        <v>7.61788993402959</v>
      </c>
    </row>
    <row r="34" customFormat="false" ht="17.15" hidden="false" customHeight="false" outlineLevel="0" collapsed="false">
      <c r="A34" s="0" t="s">
        <v>780</v>
      </c>
      <c r="B34" s="0" t="s">
        <v>91</v>
      </c>
      <c r="C34" s="40" t="n">
        <f aca="false">Seg!$C$22-Seg!$C$24</f>
        <v>346.428687117154</v>
      </c>
      <c r="D34" s="40" t="n">
        <f aca="false">Seg!$D$22-Seg!$D$24</f>
        <v>376.560876540083</v>
      </c>
      <c r="E34" s="40" t="n">
        <f aca="false">Seg!$E$22-Seg!$E$24</f>
        <v>291.957536112214</v>
      </c>
      <c r="F34" s="40" t="n">
        <f aca="false">Seg!$F$22-Seg!$F$24</f>
        <v>123.572715702237</v>
      </c>
      <c r="G34" s="40" t="n">
        <f aca="false">Seg!$G$22-Seg!$G$24</f>
        <v>415.521967611638</v>
      </c>
      <c r="H34" s="40" t="n">
        <f aca="false">Seg!$H$22-Seg!$H$24</f>
        <v>454.795580816482</v>
      </c>
      <c r="I34" s="40" t="n">
        <f aca="false">Seg!$I$22-Seg!$I$24</f>
        <v>492.401010575808</v>
      </c>
      <c r="J34" s="40" t="n">
        <f aca="false">Seg!$J$22-Seg!$J$24</f>
        <v>527.184429309948</v>
      </c>
      <c r="K34" s="40" t="n">
        <f aca="false">Seg!$K$22-Seg!$K$24</f>
        <v>557.988877144035</v>
      </c>
      <c r="L34" s="40" t="n">
        <f aca="false">Seg!$L$22-Seg!$L$24</f>
        <v>590.659577366795</v>
      </c>
      <c r="M34" s="40" t="n">
        <f aca="false">Seg!$M$22-Seg!$M$24</f>
        <v>625.313110621986</v>
      </c>
      <c r="N34" s="40" t="n">
        <f aca="false">Seg!$N$22-Seg!$N$24</f>
        <v>264.72184747266</v>
      </c>
      <c r="O34" s="40" t="n">
        <f aca="false">Seg!$O$22-Seg!$O$24</f>
        <v>111.847220131941</v>
      </c>
    </row>
    <row r="35" customFormat="false" ht="17.15" hidden="false" customHeight="false" outlineLevel="0" collapsed="false">
      <c r="A35" s="0" t="s">
        <v>781</v>
      </c>
      <c r="B35" s="0" t="s">
        <v>91</v>
      </c>
      <c r="C35" s="40" t="n">
        <f aca="false">Thesis!$C$57*Seg!$C$21</f>
        <v>0.123617442257179</v>
      </c>
      <c r="D35" s="40" t="n">
        <f aca="false">Thesis!$D$57*Seg!$D$21</f>
        <v>0.600198046024689</v>
      </c>
      <c r="E35" s="40" t="n">
        <f aca="false">Thesis!$E$57*Seg!$E$21</f>
        <v>1.79684576634217</v>
      </c>
      <c r="F35" s="40" t="n">
        <f aca="false">Thesis!$F$57*Seg!$F$21</f>
        <v>0.715336755429766</v>
      </c>
      <c r="G35" s="40" t="n">
        <f aca="false">Thesis!$G$57*Seg!$G$21</f>
        <v>2.51158869029618</v>
      </c>
      <c r="H35" s="40" t="n">
        <f aca="false">Thesis!$H$57*Seg!$H$21</f>
        <v>6.1610423529333</v>
      </c>
      <c r="I35" s="40" t="n">
        <f aca="false">Thesis!$I$57*Seg!$I$21</f>
        <v>12.1144833143856</v>
      </c>
      <c r="J35" s="40" t="n">
        <f aca="false">Thesis!$J$57*Seg!$J$21</f>
        <v>17.2217658638871</v>
      </c>
      <c r="K35" s="40" t="n">
        <f aca="false">Thesis!$K$57*Seg!$K$21</f>
        <v>22.1796116103477</v>
      </c>
      <c r="L35" s="40" t="n">
        <f aca="false">Thesis!$L$57*Seg!$L$21</f>
        <v>25.5735866522175</v>
      </c>
      <c r="M35" s="40" t="n">
        <f aca="false">Thesis!$M$57*Seg!$M$21</f>
        <v>27.2540307991912</v>
      </c>
      <c r="N35" s="40" t="n">
        <f aca="false">Thesis!$N$57*Seg!$N$21</f>
        <v>0.413319819188593</v>
      </c>
      <c r="O35" s="40" t="n">
        <f aca="false">Thesis!$O$57*Seg!$O$21</f>
        <v>0.186721201823987</v>
      </c>
    </row>
    <row r="36" customFormat="false" ht="17.15" hidden="false" customHeight="false" outlineLevel="0" collapsed="false">
      <c r="A36" s="0" t="s">
        <v>782</v>
      </c>
      <c r="B36" s="0" t="s">
        <v>56</v>
      </c>
      <c r="C36" s="32" t="n">
        <f aca="false">(PL!$C$37-PL!$C$33+PL!$C$35)/PL!$C$34</f>
        <v>0.0131526665379575</v>
      </c>
      <c r="D36" s="32" t="n">
        <f aca="false">(PL!$D$37-PL!$D$33+PL!$D$35)/PL!$D$34</f>
        <v>0.0141999252954702</v>
      </c>
      <c r="E36" s="32" t="n">
        <f aca="false">(PL!$E$37-PL!$E$33+PL!$E$35)/PL!$E$34</f>
        <v>0.0250125888843046</v>
      </c>
      <c r="F36" s="32" t="n">
        <f aca="false">PL!$O$36+(PL!$E$36-PL!$N$36)</f>
        <v>0.056191211622316</v>
      </c>
      <c r="G36" s="32" t="n">
        <f aca="false">(PL!$G$37-PL!$G$33+PL!$G$35)/PL!$G$34</f>
        <v>0.0342739484754422</v>
      </c>
      <c r="H36" s="32" t="n">
        <f aca="false">PL!$G$36+step_na</f>
        <v>0.0372739484754422</v>
      </c>
      <c r="I36" s="32" t="n">
        <f aca="false">PL!$H$36+step_na</f>
        <v>0.0402739484754422</v>
      </c>
      <c r="J36" s="32" t="n">
        <f aca="false">PL!$I$36+step_na</f>
        <v>0.0432739484754422</v>
      </c>
      <c r="K36" s="32" t="n">
        <f aca="false">PL!$J$36+step_na</f>
        <v>0.0462739484754422</v>
      </c>
      <c r="L36" s="32" t="n">
        <f aca="false">PL!$K$36</f>
        <v>0.0462739484754422</v>
      </c>
      <c r="M36" s="32" t="n">
        <f aca="false">PL!$L$36</f>
        <v>0.0462739484754422</v>
      </c>
      <c r="N36" s="32" t="n">
        <f aca="false">(PL!$N$37-PL!$N$33+PL!$N$35)/PL!$N$34</f>
        <v>0.00494951046930139</v>
      </c>
      <c r="O36" s="32" t="n">
        <f aca="false">(PL!$O$37-PL!$O$33+PL!$O$35)/PL!$O$34</f>
        <v>0.0361281332073128</v>
      </c>
      <c r="P36" s="8" t="s">
        <v>783</v>
      </c>
    </row>
    <row r="37" customFormat="false" ht="17.15" hidden="false" customHeight="false" outlineLevel="0" collapsed="false">
      <c r="A37" s="1" t="s">
        <v>784</v>
      </c>
      <c r="B37" s="8" t="s">
        <v>91</v>
      </c>
      <c r="C37" s="40" t="n">
        <f aca="false">Q!$D$23</f>
        <v>24.967</v>
      </c>
      <c r="D37" s="40" t="n">
        <f aca="false">Q!$E$23</f>
        <v>29.619</v>
      </c>
      <c r="E37" s="40" t="n">
        <f aca="false">Q!$O$23</f>
        <v>26.113</v>
      </c>
      <c r="F37" s="40" t="n">
        <f aca="false">PL!$F$33+PL!$F$34*PL!$F$36-PL!$F$35</f>
        <v>15.3439728322088</v>
      </c>
      <c r="G37" s="40" t="n">
        <f aca="false">PL!$E$37+PL!$F$37</f>
        <v>41.4569728322088</v>
      </c>
      <c r="H37" s="40" t="n">
        <f aca="false">PL!$H$33+PL!$H$34*PL!$H$36-PL!$H$35</f>
        <v>45.676558580392</v>
      </c>
      <c r="I37" s="40" t="n">
        <f aca="false">PL!$I$33+PL!$I$34*PL!$I$36-PL!$I$35</f>
        <v>47.8007245397337</v>
      </c>
      <c r="J37" s="40" t="n">
        <f aca="false">PL!$J$33+PL!$J$34*PL!$J$36-PL!$J$35</f>
        <v>50.6667843069921</v>
      </c>
      <c r="K37" s="40" t="n">
        <f aca="false">PL!$K$33+PL!$K$34*PL!$K$36-PL!$K$35</f>
        <v>53.2234551143369</v>
      </c>
      <c r="L37" s="40" t="n">
        <f aca="false">PL!$L$33+PL!$L$34*PL!$L$36-PL!$L$35</f>
        <v>56.2995541886169</v>
      </c>
      <c r="M37" s="40" t="n">
        <f aca="false">PL!$M$33+PL!$M$34*PL!$M$36-PL!$M$35</f>
        <v>61.6767648531096</v>
      </c>
      <c r="N37" s="40" t="n">
        <f aca="false">Q!$N$23</f>
        <v>18.147</v>
      </c>
      <c r="O37" s="40" t="n">
        <f aca="false">Q!$J$23</f>
        <v>11.472</v>
      </c>
    </row>
    <row r="38" customFormat="false" ht="17.15" hidden="false" customHeight="false" outlineLevel="0" collapsed="false">
      <c r="A38" s="0" t="s">
        <v>785</v>
      </c>
      <c r="B38" s="0" t="s">
        <v>91</v>
      </c>
      <c r="C38" s="40" t="n">
        <f aca="false">Seg!$C$25*m_ad</f>
        <v>7.57284355857716</v>
      </c>
      <c r="D38" s="40" t="n">
        <f aca="false">Seg!$D$25*m_ad</f>
        <v>9.44543827004127</v>
      </c>
      <c r="E38" s="40" t="n">
        <f aca="false">Seg!$E$25*m_ad</f>
        <v>7.73726805610715</v>
      </c>
      <c r="F38" s="40" t="n">
        <f aca="false">Seg!$F$25*m_ad</f>
        <v>3.63841071848285</v>
      </c>
      <c r="G38" s="40" t="n">
        <f aca="false">Seg!$G$25*m_ad</f>
        <v>11.3715366731834</v>
      </c>
      <c r="H38" s="40" t="n">
        <f aca="false">Seg!$H$25*m_ad</f>
        <v>13.3448652570383</v>
      </c>
      <c r="I38" s="40" t="n">
        <f aca="false">Seg!$I$25*m_ad</f>
        <v>15.3335372819226</v>
      </c>
      <c r="J38" s="40" t="n">
        <f aca="false">Seg!$J$25*m_ad</f>
        <v>17.2427276164713</v>
      </c>
      <c r="K38" s="40" t="n">
        <f aca="false">Seg!$K$25*m_ad</f>
        <v>18.9670003781185</v>
      </c>
      <c r="L38" s="40" t="n">
        <f aca="false">Seg!$L$25*m_ad</f>
        <v>20.8637004159303</v>
      </c>
      <c r="M38" s="40" t="n">
        <f aca="false">Seg!$M$25*m_ad</f>
        <v>22.9500704575234</v>
      </c>
      <c r="N38" s="40" t="n">
        <f aca="false">Seg!$N$25*m_ad</f>
        <v>6.40892373633015</v>
      </c>
      <c r="O38" s="40" t="n">
        <f aca="false">Seg!$O$25*m_ad</f>
        <v>3.04061006597041</v>
      </c>
    </row>
    <row r="39" customFormat="false" ht="17.15" hidden="false" customHeight="false" outlineLevel="0" collapsed="false">
      <c r="A39" s="0" t="s">
        <v>786</v>
      </c>
      <c r="B39" s="0" t="s">
        <v>91</v>
      </c>
      <c r="C39" s="40" t="n">
        <f aca="false">Seg!$C$23-Seg!$C$25</f>
        <v>127.760312882846</v>
      </c>
      <c r="D39" s="40" t="n">
        <f aca="false">Seg!$D$23-Seg!$D$25</f>
        <v>143.003123459917</v>
      </c>
      <c r="E39" s="40" t="n">
        <f aca="false">Seg!$E$23-Seg!$E$25</f>
        <v>109.619463887786</v>
      </c>
      <c r="F39" s="40" t="n">
        <f aca="false">Seg!$F$23-Seg!$F$25</f>
        <v>49.3229026012942</v>
      </c>
      <c r="G39" s="40" t="n">
        <f aca="false">Seg!$G$23-Seg!$G$25</f>
        <v>158.950650691893</v>
      </c>
      <c r="H39" s="40" t="n">
        <f aca="false">Seg!$H$23-Seg!$H$25</f>
        <v>173.974083531829</v>
      </c>
      <c r="I39" s="40" t="n">
        <f aca="false">Seg!$I$23-Seg!$I$25</f>
        <v>188.359382013521</v>
      </c>
      <c r="J39" s="40" t="n">
        <f aca="false">Seg!$J$23-Seg!$J$25</f>
        <v>201.665169606074</v>
      </c>
      <c r="K39" s="40" t="n">
        <f aca="false">Seg!$K$23-Seg!$K$25</f>
        <v>213.44887157393</v>
      </c>
      <c r="L39" s="40" t="n">
        <f aca="false">Seg!$L$23-Seg!$L$25</f>
        <v>225.946475704985</v>
      </c>
      <c r="M39" s="40" t="n">
        <f aca="false">Seg!$M$23-Seg!$M$25</f>
        <v>239.202577882557</v>
      </c>
      <c r="N39" s="40" t="n">
        <f aca="false">Seg!$N$23-Seg!$N$25</f>
        <v>98.3521525273397</v>
      </c>
      <c r="O39" s="40" t="n">
        <f aca="false">Seg!$O$23-Seg!$O$25</f>
        <v>44.6427798680592</v>
      </c>
    </row>
    <row r="40" customFormat="false" ht="17.15" hidden="false" customHeight="false" outlineLevel="0" collapsed="false">
      <c r="A40" s="0" t="s">
        <v>787</v>
      </c>
      <c r="B40" s="0" t="s">
        <v>91</v>
      </c>
      <c r="C40" s="40" t="n">
        <f aca="false">Thesis!$C$57*(1-Seg!$C$21)</f>
        <v>0.0455891896019953</v>
      </c>
      <c r="D40" s="40" t="n">
        <f aca="false">Thesis!$D$57*(1-Seg!$D$21)</f>
        <v>0.227931791705753</v>
      </c>
      <c r="E40" s="40" t="n">
        <f aca="false">Thesis!$E$57*(1-Seg!$E$21)</f>
        <v>0.674650403679804</v>
      </c>
      <c r="F40" s="40" t="n">
        <f aca="false">Thesis!$F$57*(1-Seg!$F$21)</f>
        <v>0.285520026930584</v>
      </c>
      <c r="G40" s="40" t="n">
        <f aca="false">Thesis!$G$57*(1-Seg!$G$21)</f>
        <v>0.960764262086144</v>
      </c>
      <c r="H40" s="40" t="n">
        <f aca="false">Thesis!$H$57*(1-Seg!$H$21)</f>
        <v>2.35679883922371</v>
      </c>
      <c r="I40" s="40" t="n">
        <f aca="false">Thesis!$I$57*(1-Seg!$I$21)</f>
        <v>4.63418340235</v>
      </c>
      <c r="J40" s="40" t="n">
        <f aca="false">Thesis!$J$57*(1-Seg!$J$21)</f>
        <v>6.58788488575596</v>
      </c>
      <c r="K40" s="40" t="n">
        <f aca="false">Thesis!$K$57*(1-Seg!$K$21)</f>
        <v>8.48442193759839</v>
      </c>
      <c r="L40" s="40" t="n">
        <f aca="false">Thesis!$L$57*(1-Seg!$L$21)</f>
        <v>9.7827276431621</v>
      </c>
      <c r="M40" s="40" t="n">
        <f aca="false">Thesis!$M$57*(1-Seg!$M$21)</f>
        <v>10.4255521179983</v>
      </c>
      <c r="N40" s="40" t="n">
        <f aca="false">Thesis!$N$57*(1-Seg!$N$21)</f>
        <v>0.153560781958532</v>
      </c>
      <c r="O40" s="40" t="n">
        <f aca="false">Thesis!$O$57*(1-Seg!$O$21)</f>
        <v>0.0745280347593297</v>
      </c>
    </row>
    <row r="41" customFormat="false" ht="17.15" hidden="false" customHeight="false" outlineLevel="0" collapsed="false">
      <c r="A41" s="0" t="s">
        <v>788</v>
      </c>
      <c r="B41" s="0" t="s">
        <v>56</v>
      </c>
      <c r="C41" s="32" t="n">
        <f aca="false">(PL!$C$42-PL!$C$38+PL!$C$40)/PL!$C$39</f>
        <v>-0.0292364215826579</v>
      </c>
      <c r="D41" s="32" t="n">
        <f aca="false">(PL!$D$42-PL!$D$38+PL!$D$40)/PL!$D$39</f>
        <v>-0.0312406216748665</v>
      </c>
      <c r="E41" s="32" t="n">
        <f aca="false">(PL!$E$42-PL!$E$38+PL!$E$40)/PL!$E$39</f>
        <v>-0.0213613310025343</v>
      </c>
      <c r="F41" s="32" t="n">
        <f aca="false">PL!$O$41+(PL!$E$41-PL!$N$41)</f>
        <v>-0.0386255491636166</v>
      </c>
      <c r="G41" s="32" t="n">
        <f aca="false">(PL!$G$42-PL!$G$38+PL!$G$40)/PL!$G$39</f>
        <v>-0.0266875656085622</v>
      </c>
      <c r="H41" s="32" t="n">
        <f aca="false">PL!$G$41+step_in</f>
        <v>-0.0266875656085622</v>
      </c>
      <c r="I41" s="32" t="n">
        <f aca="false">PL!$H$41+step_in</f>
        <v>-0.0266875656085622</v>
      </c>
      <c r="J41" s="32" t="n">
        <f aca="false">PL!$I$41+step_in</f>
        <v>-0.0266875656085622</v>
      </c>
      <c r="K41" s="32" t="n">
        <f aca="false">PL!$J$41+step_in</f>
        <v>-0.0266875656085622</v>
      </c>
      <c r="L41" s="32" t="n">
        <f aca="false">PL!$K$41</f>
        <v>-0.0266875656085622</v>
      </c>
      <c r="M41" s="32" t="n">
        <f aca="false">PL!$L$41</f>
        <v>-0.0266875656085622</v>
      </c>
      <c r="N41" s="32" t="n">
        <f aca="false">(PL!$N$42-PL!$N$38+PL!$N$40)/PL!$N$39</f>
        <v>-0.0258800940189292</v>
      </c>
      <c r="O41" s="32" t="n">
        <f aca="false">(PL!$O$42-PL!$O$38+PL!$O$40)/PL!$O$39</f>
        <v>-0.0431443121800115</v>
      </c>
      <c r="P41" s="8" t="s">
        <v>783</v>
      </c>
    </row>
    <row r="42" customFormat="false" ht="17.15" hidden="false" customHeight="false" outlineLevel="0" collapsed="false">
      <c r="A42" s="1" t="s">
        <v>789</v>
      </c>
      <c r="B42" s="8" t="s">
        <v>91</v>
      </c>
      <c r="C42" s="40" t="n">
        <f aca="false">Q!$D$24</f>
        <v>3.792</v>
      </c>
      <c r="D42" s="40" t="n">
        <f aca="false">Q!$E$24</f>
        <v>4.75</v>
      </c>
      <c r="E42" s="40" t="n">
        <f aca="false">Q!$O$24</f>
        <v>4.721</v>
      </c>
      <c r="F42" s="40" t="n">
        <f aca="false">PL!$F$38+PL!$F$39*PL!$F$41-PL!$F$40</f>
        <v>1.4477664922337</v>
      </c>
      <c r="G42" s="40" t="n">
        <f aca="false">PL!$E$42+PL!$F$42</f>
        <v>6.1687664922337</v>
      </c>
      <c r="H42" s="40" t="n">
        <f aca="false">PL!$H$38+PL!$H$39*PL!$H$41-PL!$H$40</f>
        <v>6.34512164936936</v>
      </c>
      <c r="I42" s="40" t="n">
        <f aca="false">PL!$I$38+PL!$I$39*PL!$I$41-PL!$I$40</f>
        <v>5.67250051409856</v>
      </c>
      <c r="J42" s="40" t="n">
        <f aca="false">PL!$J$38+PL!$J$39*PL!$J$41-PL!$J$40</f>
        <v>5.27289028589144</v>
      </c>
      <c r="K42" s="40" t="n">
        <f aca="false">PL!$K$38+PL!$K$39*PL!$K$41-PL!$K$40</f>
        <v>4.78614767631726</v>
      </c>
      <c r="L42" s="40" t="n">
        <f aca="false">PL!$L$38+PL!$L$39*PL!$L$41-PL!$L$40</f>
        <v>5.05101137836802</v>
      </c>
      <c r="M42" s="40" t="n">
        <f aca="false">PL!$M$38+PL!$M$39*PL!$M$41-PL!$M$40</f>
        <v>6.1407838485471</v>
      </c>
      <c r="N42" s="40" t="n">
        <f aca="false">Q!$N$24</f>
        <v>3.71</v>
      </c>
      <c r="O42" s="40" t="n">
        <f aca="false">Q!$J$24</f>
        <v>1.04</v>
      </c>
    </row>
    <row r="43" customFormat="false" ht="17.15" hidden="false" customHeight="false" outlineLevel="0" collapsed="false">
      <c r="A43" s="0" t="s">
        <v>790</v>
      </c>
      <c r="B43" s="0" t="s">
        <v>91</v>
      </c>
      <c r="C43" s="40" t="n">
        <f aca="false">Thesis!$C$54</f>
        <v>1.64417882953695</v>
      </c>
      <c r="D43" s="40" t="n">
        <f aca="false">Thesis!$D$54</f>
        <v>5.39125073772939</v>
      </c>
      <c r="E43" s="40" t="n">
        <f aca="false">Thesis!$E$54</f>
        <v>6.31472337585987</v>
      </c>
      <c r="F43" s="40" t="n">
        <f aca="false">Thesis!$F$54</f>
        <v>5.72859487788173</v>
      </c>
      <c r="G43" s="40" t="n">
        <f aca="false">Thesis!$G$54</f>
        <v>12.0433182537416</v>
      </c>
      <c r="H43" s="40" t="n">
        <f aca="false">Thesis!$H$54</f>
        <v>37.1678446894179</v>
      </c>
      <c r="I43" s="40" t="n">
        <f aca="false">Thesis!$I$54</f>
        <v>57.2048975318883</v>
      </c>
      <c r="J43" s="40" t="n">
        <f aca="false">Thesis!$J$54</f>
        <v>82.2100664998577</v>
      </c>
      <c r="K43" s="40" t="n">
        <f aca="false">Thesis!$K$54</f>
        <v>100.209634666711</v>
      </c>
      <c r="L43" s="40" t="n">
        <f aca="false">Thesis!$L$54</f>
        <v>111.281264220021</v>
      </c>
      <c r="M43" s="40" t="n">
        <f aca="false">Thesis!$M$54</f>
        <v>116.205482660195</v>
      </c>
      <c r="N43" s="40" t="n">
        <f aca="false">Thesis!$N$54</f>
        <v>3.28113102692661</v>
      </c>
      <c r="O43" s="40" t="n">
        <f aca="false">Thesis!$O$54</f>
        <v>2.11011971080278</v>
      </c>
    </row>
    <row r="44" customFormat="false" ht="17.15" hidden="false" customHeight="false" outlineLevel="0" collapsed="false">
      <c r="A44" s="0" t="s">
        <v>708</v>
      </c>
      <c r="B44" s="0" t="s">
        <v>91</v>
      </c>
      <c r="C44" s="40" t="n">
        <f aca="false">Thesis!$C$59</f>
        <v>38.1898211704631</v>
      </c>
      <c r="D44" s="40" t="n">
        <f aca="false">Thesis!$D$59</f>
        <v>40.2147492622706</v>
      </c>
      <c r="E44" s="40" t="n">
        <f aca="false">Thesis!$E$59</f>
        <v>42.2402766241401</v>
      </c>
      <c r="F44" s="40" t="n">
        <f aca="false">Thesis!$F$59</f>
        <v>13.6943139813566</v>
      </c>
      <c r="G44" s="40" t="n">
        <f aca="false">Thesis!$G$59</f>
        <v>55.9345906054967</v>
      </c>
      <c r="H44" s="40" t="n">
        <f aca="false">Thesis!$H$59</f>
        <v>61.088168450178</v>
      </c>
      <c r="I44" s="40" t="n">
        <f aca="false">Thesis!$I$59</f>
        <v>67.8233475699772</v>
      </c>
      <c r="J44" s="40" t="n">
        <f aca="false">Thesis!$J$59</f>
        <v>74.2751592782286</v>
      </c>
      <c r="K44" s="40" t="n">
        <f aca="false">Thesis!$K$59</f>
        <v>80.2171720204868</v>
      </c>
      <c r="L44" s="40" t="n">
        <f aca="false">Thesis!$L$59</f>
        <v>86.6345457821258</v>
      </c>
      <c r="M44" s="40" t="n">
        <f aca="false">Thesis!$M$59</f>
        <v>93.5653094446959</v>
      </c>
      <c r="N44" s="40" t="n">
        <f aca="false">Thesis!$N$59</f>
        <v>29.8598689730734</v>
      </c>
      <c r="O44" s="40" t="n">
        <f aca="false">Thesis!$O$59</f>
        <v>10.3548802891972</v>
      </c>
    </row>
    <row r="45" customFormat="false" ht="17.15" hidden="false" customHeight="false" outlineLevel="0" collapsed="false">
      <c r="A45" s="1" t="s">
        <v>791</v>
      </c>
      <c r="B45" s="8" t="s">
        <v>91</v>
      </c>
      <c r="C45" s="40" t="n">
        <f aca="false">Q!$D$25</f>
        <v>39.834</v>
      </c>
      <c r="D45" s="40" t="n">
        <f aca="false">Q!$E$25</f>
        <v>45.606</v>
      </c>
      <c r="E45" s="40" t="n">
        <f aca="false">Q!$O$25</f>
        <v>48.555</v>
      </c>
      <c r="F45" s="40" t="n">
        <f aca="false">PL!$F$43+PL!$F$44</f>
        <v>19.4229088592383</v>
      </c>
      <c r="G45" s="40" t="n">
        <f aca="false">PL!$G$43+PL!$G$44</f>
        <v>67.9779088592383</v>
      </c>
      <c r="H45" s="40" t="n">
        <f aca="false">PL!$H$43+PL!$H$44</f>
        <v>98.2560131395959</v>
      </c>
      <c r="I45" s="40" t="n">
        <f aca="false">PL!$I$43+PL!$I$44</f>
        <v>125.028245101865</v>
      </c>
      <c r="J45" s="40" t="n">
        <f aca="false">PL!$J$43+PL!$J$44</f>
        <v>156.485225778086</v>
      </c>
      <c r="K45" s="40" t="n">
        <f aca="false">PL!$K$43+PL!$K$44</f>
        <v>180.426806687198</v>
      </c>
      <c r="L45" s="40" t="n">
        <f aca="false">PL!$L$43+PL!$L$44</f>
        <v>197.915810002147</v>
      </c>
      <c r="M45" s="40" t="n">
        <f aca="false">PL!$M$43+PL!$M$44</f>
        <v>209.770792104891</v>
      </c>
      <c r="N45" s="40" t="n">
        <f aca="false">Q!$N$25</f>
        <v>33.141</v>
      </c>
      <c r="O45" s="40" t="n">
        <f aca="false">Q!$J$25</f>
        <v>12.465</v>
      </c>
    </row>
    <row r="46" customFormat="false" ht="17.15" hidden="false" customHeight="false" outlineLevel="0" collapsed="false">
      <c r="A46" s="5" t="s">
        <v>792</v>
      </c>
      <c r="B46" s="0" t="s">
        <v>91</v>
      </c>
      <c r="C46" s="40" t="n">
        <f aca="false">Q!$D$27</f>
        <v>0</v>
      </c>
      <c r="D46" s="40" t="n">
        <f aca="false">Q!$E$27</f>
        <v>0</v>
      </c>
      <c r="E46" s="40" t="n">
        <f aca="false">Q!$O$27</f>
        <v>0</v>
      </c>
      <c r="F46" s="41" t="n">
        <v>0</v>
      </c>
      <c r="G46" s="40" t="n">
        <f aca="false">PL!$E$46+PL!$F$46</f>
        <v>0</v>
      </c>
      <c r="H46" s="41" t="n">
        <v>0</v>
      </c>
      <c r="I46" s="41" t="n">
        <v>0</v>
      </c>
      <c r="J46" s="41" t="n">
        <v>0</v>
      </c>
      <c r="K46" s="41" t="n">
        <v>0</v>
      </c>
      <c r="L46" s="41" t="n">
        <v>0</v>
      </c>
      <c r="M46" s="41" t="n">
        <v>0</v>
      </c>
      <c r="N46" s="40" t="n">
        <f aca="false">Q!$N$27</f>
        <v>0</v>
      </c>
      <c r="O46" s="40" t="n">
        <f aca="false">Q!$J$27</f>
        <v>0</v>
      </c>
    </row>
    <row r="47" customFormat="false" ht="15" hidden="false" customHeight="false" outlineLevel="0" collapsed="false">
      <c r="A47" s="3" t="s">
        <v>580</v>
      </c>
      <c r="B47" s="8" t="s">
        <v>91</v>
      </c>
      <c r="C47" s="40" t="n">
        <f aca="false">Q!$D$26</f>
        <v>68.593</v>
      </c>
      <c r="D47" s="40" t="n">
        <f aca="false">Q!$E$26</f>
        <v>79.975</v>
      </c>
      <c r="E47" s="40" t="n">
        <f aca="false">Q!$O$26</f>
        <v>79.389</v>
      </c>
      <c r="F47" s="40" t="n">
        <f aca="false">PL!$F$37+PL!$F$42+PL!$F$45+PL!$F$46</f>
        <v>36.2146481836808</v>
      </c>
      <c r="G47" s="40" t="n">
        <f aca="false">PL!$G$37+PL!$G$42+PL!$G$45+PL!$G$46</f>
        <v>115.603648183681</v>
      </c>
      <c r="H47" s="40" t="n">
        <f aca="false">PL!$H$37+PL!$H$42+PL!$H$45+PL!$H$46</f>
        <v>150.277693369357</v>
      </c>
      <c r="I47" s="40" t="n">
        <f aca="false">PL!$I$37+PL!$I$42+PL!$I$45+PL!$I$46</f>
        <v>178.501470155698</v>
      </c>
      <c r="J47" s="40" t="n">
        <f aca="false">PL!$J$37+PL!$J$42+PL!$J$45+PL!$J$46</f>
        <v>212.42490037097</v>
      </c>
      <c r="K47" s="40" t="n">
        <f aca="false">PL!$K$37+PL!$K$42+PL!$K$45+PL!$K$46</f>
        <v>238.436409477852</v>
      </c>
      <c r="L47" s="40" t="n">
        <f aca="false">PL!$L$37+PL!$L$42+PL!$L$45+PL!$L$46</f>
        <v>259.266375569132</v>
      </c>
      <c r="M47" s="40" t="n">
        <f aca="false">PL!$M$37+PL!$M$42+PL!$M$45+PL!$M$46</f>
        <v>277.588340806548</v>
      </c>
      <c r="N47" s="40" t="n">
        <f aca="false">Q!$N$26</f>
        <v>54.998</v>
      </c>
      <c r="O47" s="40" t="n">
        <f aca="false">Q!$J$26</f>
        <v>24.977</v>
      </c>
    </row>
    <row r="48" customFormat="false" ht="17.15" hidden="false" customHeight="false" outlineLevel="0" collapsed="false">
      <c r="A48" s="27" t="s">
        <v>793</v>
      </c>
      <c r="B48" s="28" t="s">
        <v>91</v>
      </c>
      <c r="C48" s="43" t="n">
        <f aca="false">PL!$C$37+PL!$C$42+PL!$C$45+PL!$C$46-PL!$C$47</f>
        <v>0</v>
      </c>
      <c r="D48" s="43" t="n">
        <f aca="false">PL!$D$37+PL!$D$42+PL!$D$45+PL!$D$46-PL!$D$47</f>
        <v>0</v>
      </c>
      <c r="E48" s="43" t="n">
        <f aca="false">PL!$E$37+PL!$E$42+PL!$E$45+PL!$E$46-PL!$E$47</f>
        <v>0</v>
      </c>
      <c r="F48" s="43" t="n">
        <f aca="false">PL!$F$37+PL!$F$42+PL!$F$45+PL!$F$46-PL!$F$47</f>
        <v>0</v>
      </c>
      <c r="G48" s="43" t="n">
        <f aca="false">PL!$G$37+PL!$G$42+PL!$G$45+PL!$G$46-PL!$G$47</f>
        <v>0</v>
      </c>
      <c r="H48" s="43" t="n">
        <f aca="false">PL!$H$37+PL!$H$42+PL!$H$45+PL!$H$46-PL!$H$47</f>
        <v>0</v>
      </c>
      <c r="I48" s="43" t="n">
        <f aca="false">PL!$I$37+PL!$I$42+PL!$I$45+PL!$I$46-PL!$I$47</f>
        <v>0</v>
      </c>
      <c r="J48" s="43" t="n">
        <f aca="false">PL!$J$37+PL!$J$42+PL!$J$45+PL!$J$46-PL!$J$47</f>
        <v>0</v>
      </c>
      <c r="K48" s="43" t="n">
        <f aca="false">PL!$K$37+PL!$K$42+PL!$K$45+PL!$K$46-PL!$K$47</f>
        <v>0</v>
      </c>
      <c r="L48" s="43" t="n">
        <f aca="false">PL!$L$37+PL!$L$42+PL!$L$45+PL!$L$46-PL!$L$47</f>
        <v>0</v>
      </c>
      <c r="M48" s="43" t="n">
        <f aca="false">PL!$M$37+PL!$M$42+PL!$M$45+PL!$M$46-PL!$M$47</f>
        <v>0</v>
      </c>
      <c r="N48" s="43" t="n">
        <f aca="false">PL!$N$37+PL!$N$42+PL!$N$45+PL!$N$46-PL!$N$47</f>
        <v>0</v>
      </c>
      <c r="O48" s="43" t="n">
        <f aca="false">PL!$O$37+PL!$O$42+PL!$O$45+PL!$O$46-PL!$O$47</f>
        <v>0</v>
      </c>
    </row>
    <row r="49" customFormat="false" ht="17.15" hidden="false" customHeight="false" outlineLevel="0" collapsed="false">
      <c r="A49" s="5" t="s">
        <v>794</v>
      </c>
      <c r="B49" s="0" t="s">
        <v>91</v>
      </c>
      <c r="C49" s="40" t="n">
        <f aca="false">Thesis!$C$56</f>
        <v>0</v>
      </c>
      <c r="D49" s="40" t="n">
        <f aca="false">Thesis!$D$56</f>
        <v>0</v>
      </c>
      <c r="E49" s="40" t="n">
        <f aca="false">Thesis!$E$56</f>
        <v>0</v>
      </c>
      <c r="F49" s="40" t="n">
        <f aca="false">Thesis!$F$56</f>
        <v>2.04181271844166</v>
      </c>
      <c r="G49" s="40" t="n">
        <f aca="false">Thesis!$G$56</f>
        <v>2.04181271844166</v>
      </c>
      <c r="H49" s="40" t="n">
        <f aca="false">Thesis!$H$56</f>
        <v>13.4874104900389</v>
      </c>
      <c r="I49" s="40" t="n">
        <f aca="false">Thesis!$I$56</f>
        <v>22.2075517033574</v>
      </c>
      <c r="J49" s="40" t="n">
        <f aca="false">Thesis!$J$56</f>
        <v>30.975236823114</v>
      </c>
      <c r="K49" s="40" t="n">
        <f aca="false">Thesis!$K$56</f>
        <v>38.453349844862</v>
      </c>
      <c r="L49" s="40" t="n">
        <f aca="false">Thesis!$L$56</f>
        <v>43.3667530193308</v>
      </c>
      <c r="M49" s="40" t="n">
        <f aca="false">Thesis!$M$56</f>
        <v>45.707689029612</v>
      </c>
      <c r="N49" s="40" t="n">
        <f aca="false">Thesis!$N$56</f>
        <v>0</v>
      </c>
      <c r="O49" s="40" t="n">
        <f aca="false">Thesis!$O$56</f>
        <v>0</v>
      </c>
      <c r="P49" s="5" t="s">
        <v>795</v>
      </c>
    </row>
    <row r="50" customFormat="false" ht="17.15" hidden="false" customHeight="false" outlineLevel="0" collapsed="false">
      <c r="A50" s="5" t="s">
        <v>796</v>
      </c>
      <c r="B50" s="0" t="s">
        <v>91</v>
      </c>
      <c r="C50" s="40" t="n">
        <f aca="false">PL!$C$47+PL!$C$49</f>
        <v>68.593</v>
      </c>
      <c r="D50" s="40" t="n">
        <f aca="false">PL!$D$47+PL!$D$49</f>
        <v>79.975</v>
      </c>
      <c r="E50" s="40" t="n">
        <f aca="false">PL!$E$47+PL!$E$49</f>
        <v>79.389</v>
      </c>
      <c r="F50" s="40" t="n">
        <f aca="false">PL!$F$47+PL!$F$49</f>
        <v>38.2564609021225</v>
      </c>
      <c r="G50" s="40" t="n">
        <f aca="false">PL!$G$47+PL!$G$49</f>
        <v>117.645460902122</v>
      </c>
      <c r="H50" s="40" t="n">
        <f aca="false">PL!$H$47+PL!$H$49</f>
        <v>163.765103859396</v>
      </c>
      <c r="I50" s="40" t="n">
        <f aca="false">PL!$I$47+PL!$I$49</f>
        <v>200.709021859055</v>
      </c>
      <c r="J50" s="40" t="n">
        <f aca="false">PL!$J$47+PL!$J$49</f>
        <v>243.400137194084</v>
      </c>
      <c r="K50" s="40" t="n">
        <f aca="false">PL!$K$47+PL!$K$49</f>
        <v>276.889759322714</v>
      </c>
      <c r="L50" s="40" t="n">
        <f aca="false">PL!$L$47+PL!$L$49</f>
        <v>302.633128588463</v>
      </c>
      <c r="M50" s="40" t="n">
        <f aca="false">PL!$M$47+PL!$M$49</f>
        <v>323.296029836159</v>
      </c>
      <c r="N50" s="40" t="n">
        <f aca="false">PL!$N$47+PL!$N$49</f>
        <v>54.998</v>
      </c>
      <c r="O50" s="40" t="n">
        <f aca="false">PL!$O$47+PL!$O$49</f>
        <v>24.977</v>
      </c>
    </row>
    <row r="51" customFormat="false" ht="17.15" hidden="false" customHeight="false" outlineLevel="0" collapsed="false">
      <c r="A51" s="0" t="s">
        <v>797</v>
      </c>
      <c r="B51" s="0" t="s">
        <v>56</v>
      </c>
      <c r="C51" s="13" t="n">
        <f aca="false">PL!$C$37/PL!$C$22</f>
        <v>0.0644314665661928</v>
      </c>
      <c r="D51" s="13" t="n">
        <f aca="false">PL!$D$37/PL!$D$22</f>
        <v>0.0694784250712518</v>
      </c>
      <c r="E51" s="13" t="n">
        <f aca="false">PL!$E$37/PL!$E$22</f>
        <v>0.0783769344362671</v>
      </c>
      <c r="F51" s="13" t="n">
        <f aca="false">PL!$F$37/PL!$F$22</f>
        <v>0.108205551414147</v>
      </c>
      <c r="G51" s="13" t="n">
        <f aca="false">PL!$G$37/PL!$G$22</f>
        <v>0.0872822597863083</v>
      </c>
      <c r="H51" s="13" t="n">
        <f aca="false">PL!$H$37/PL!$H$22</f>
        <v>0.0870748297420729</v>
      </c>
      <c r="I51" s="13" t="n">
        <f aca="false">PL!$I$37/PL!$I$22</f>
        <v>0.0834845717334263</v>
      </c>
      <c r="J51" s="13" t="n">
        <f aca="false">PL!$J$37/PL!$J$22</f>
        <v>0.0820734262412068</v>
      </c>
      <c r="K51" s="13" t="n">
        <f aca="false">PL!$K$37/PL!$K$22</f>
        <v>0.0809908023452486</v>
      </c>
      <c r="L51" s="13" t="n">
        <f aca="false">PL!$L$37/PL!$L$22</f>
        <v>0.0804576398204624</v>
      </c>
      <c r="M51" s="13" t="n">
        <f aca="false">PL!$M$37/PL!$M$22</f>
        <v>0.0827539148106284</v>
      </c>
      <c r="N51" s="13" t="n">
        <f aca="false">PL!$N$37/PL!$N$22</f>
        <v>0.0606472786091932</v>
      </c>
      <c r="O51" s="13" t="n">
        <f aca="false">PL!$O$37/PL!$O$22</f>
        <v>0.0902717121880975</v>
      </c>
    </row>
    <row r="52" customFormat="false" ht="17.15" hidden="false" customHeight="false" outlineLevel="0" collapsed="false">
      <c r="A52" s="0" t="s">
        <v>798</v>
      </c>
      <c r="B52" s="0" t="s">
        <v>56</v>
      </c>
      <c r="C52" s="13" t="n">
        <f aca="false">PL!$C$42/PL!$C$23</f>
        <v>0.026534925055631</v>
      </c>
      <c r="D52" s="13" t="n">
        <f aca="false">PL!$D$42/PL!$D$23</f>
        <v>0.0293401855535103</v>
      </c>
      <c r="E52" s="13" t="n">
        <f aca="false">PL!$E$42/PL!$E$23</f>
        <v>0.037739619805906</v>
      </c>
      <c r="F52" s="13" t="n">
        <f aca="false">PL!$F$42/PL!$F$23</f>
        <v>0.0255790380047622</v>
      </c>
      <c r="G52" s="13" t="n">
        <f aca="false">PL!$G$42/PL!$G$23</f>
        <v>0.033951456082956</v>
      </c>
      <c r="H52" s="13" t="n">
        <f aca="false">PL!$H$42/PL!$H$23</f>
        <v>0.0316206570653431</v>
      </c>
      <c r="I52" s="13" t="n">
        <f aca="false">PL!$I$42/PL!$I$23</f>
        <v>0.0258987001056417</v>
      </c>
      <c r="J52" s="13" t="n">
        <f aca="false">PL!$J$42/PL!$J$23</f>
        <v>0.0223285044851605</v>
      </c>
      <c r="K52" s="13" t="n">
        <f aca="false">PL!$K$42/PL!$K$23</f>
        <v>0.019039275158059</v>
      </c>
      <c r="L52" s="13" t="n">
        <f aca="false">PL!$L$42/PL!$L$23</f>
        <v>0.0188700199052586</v>
      </c>
      <c r="M52" s="13" t="n">
        <f aca="false">PL!$M$42/PL!$M$23</f>
        <v>0.0215388470318533</v>
      </c>
      <c r="N52" s="13" t="n">
        <f aca="false">PL!$N$42/PL!$N$23</f>
        <v>0.0333723126742826</v>
      </c>
      <c r="O52" s="13" t="n">
        <f aca="false">PL!$O$42/PL!$O$23</f>
        <v>0.0205031148963016</v>
      </c>
    </row>
    <row r="53" customFormat="false" ht="17.15" hidden="false" customHeight="false" outlineLevel="0" collapsed="false">
      <c r="A53" s="14" t="s">
        <v>799</v>
      </c>
      <c r="B53" s="14" t="s">
        <v>56</v>
      </c>
      <c r="C53" s="17" t="n">
        <f aca="false">PL!$C$45/PL!$C$24</f>
        <v>0.370355907620217</v>
      </c>
      <c r="D53" s="17" t="n">
        <f aca="false">PL!$D$45/PL!$D$24</f>
        <v>0.35429015342785</v>
      </c>
      <c r="E53" s="17" t="n">
        <f aca="false">PL!$E$45/PL!$E$24</f>
        <v>0.385960589175139</v>
      </c>
      <c r="F53" s="17" t="n">
        <f aca="false">PL!$F$45/PL!$F$24</f>
        <v>0.415804096214516</v>
      </c>
      <c r="G53" s="17" t="n">
        <f aca="false">PL!$G$45/PL!$G$24</f>
        <v>0.394041295129488</v>
      </c>
      <c r="H53" s="17" t="n">
        <f aca="false">PL!$H$45/PL!$H$24</f>
        <v>0.415987168883379</v>
      </c>
      <c r="I53" s="17" t="n">
        <f aca="false">PL!$I$45/PL!$I$24</f>
        <v>0.406797758854854</v>
      </c>
      <c r="J53" s="17" t="n">
        <f aca="false">PL!$J$45/PL!$J$24</f>
        <v>0.413961504682383</v>
      </c>
      <c r="K53" s="17" t="n">
        <f aca="false">PL!$K$45/PL!$K$24</f>
        <v>0.410544718083994</v>
      </c>
      <c r="L53" s="17" t="n">
        <f aca="false">PL!$L$45/PL!$L$24</f>
        <v>0.406688990943424</v>
      </c>
      <c r="M53" s="17" t="n">
        <f aca="false">PL!$M$45/PL!$M$24</f>
        <v>0.403728042919033</v>
      </c>
      <c r="N53" s="17" t="n">
        <f aca="false">PL!$N$45/PL!$N$24</f>
        <v>0.355796276812746</v>
      </c>
      <c r="O53" s="17" t="n">
        <f aca="false">PL!$O$45/PL!$O$24</f>
        <v>0.350347114871132</v>
      </c>
    </row>
    <row r="54" customFormat="false" ht="17.15" hidden="false" customHeight="false" outlineLevel="0" collapsed="false">
      <c r="A54" s="0" t="s">
        <v>800</v>
      </c>
      <c r="B54" s="0" t="s">
        <v>56</v>
      </c>
      <c r="C54" s="13" t="n">
        <f aca="false">PL!$C$43/PL!$C$25</f>
        <v>0.708390794789371</v>
      </c>
      <c r="D54" s="13" t="n">
        <f aca="false">PL!$D$43/PL!$D$25</f>
        <v>0.619415573115729</v>
      </c>
      <c r="E54" s="13" t="n">
        <f aca="false">PL!$E$43/PL!$E$25</f>
        <v>0.38978070304412</v>
      </c>
      <c r="F54" s="13" t="n">
        <f aca="false">PL!$F$43/PL!$F$25</f>
        <v>0.588633572095407</v>
      </c>
      <c r="G54" s="13" t="n">
        <f aca="false">PL!$G$43/PL!$G$25</f>
        <v>0.464406108587804</v>
      </c>
      <c r="H54" s="13" t="n">
        <f aca="false">PL!$H$43/PL!$H$25</f>
        <v>0.521732975031211</v>
      </c>
      <c r="I54" s="13" t="n">
        <f aca="false">PL!$I$43/PL!$I$25</f>
        <v>0.460588552051531</v>
      </c>
      <c r="J54" s="13" t="n">
        <f aca="false">PL!$J$43/PL!$J$25</f>
        <v>0.463289280963502</v>
      </c>
      <c r="K54" s="13" t="n">
        <f aca="false">PL!$K$43/PL!$K$25</f>
        <v>0.449641213094224</v>
      </c>
      <c r="L54" s="13" t="n">
        <f aca="false">PL!$L$43/PL!$L$25</f>
        <v>0.440357706650555</v>
      </c>
      <c r="M54" s="13" t="n">
        <f aca="false">PL!$M$43/PL!$M$25</f>
        <v>0.435350749622456</v>
      </c>
      <c r="N54" s="13" t="n">
        <f aca="false">PL!$N$43/PL!$N$25</f>
        <v>0.591338253041814</v>
      </c>
      <c r="O54" s="13" t="n">
        <f aca="false">PL!$O$43/PL!$O$25</f>
        <v>0.668792929107785</v>
      </c>
    </row>
    <row r="55" customFormat="false" ht="15" hidden="false" customHeight="false" outlineLevel="0" collapsed="false">
      <c r="A55" s="5" t="s">
        <v>801</v>
      </c>
      <c r="B55" s="0" t="s">
        <v>56</v>
      </c>
      <c r="C55" s="13" t="n">
        <f aca="false">PL!$C$47/PL!$C$27</f>
        <v>0.107519448742004</v>
      </c>
      <c r="D55" s="13" t="n">
        <f aca="false">PL!$D$47/PL!$D$27</f>
        <v>0.111552967957552</v>
      </c>
      <c r="E55" s="13" t="n">
        <f aca="false">PL!$E$47/PL!$E$27</f>
        <v>0.135924008978391</v>
      </c>
      <c r="F55" s="13" t="n">
        <f aca="false">PL!$F$47/PL!$F$27</f>
        <v>0.147745335647136</v>
      </c>
      <c r="G55" s="13" t="n">
        <f aca="false">PL!$G$47/PL!$G$27</f>
        <v>0.139418513597034</v>
      </c>
      <c r="H55" s="13" t="n">
        <f aca="false">PL!$H$47/PL!$H$27</f>
        <v>0.156306405276617</v>
      </c>
      <c r="I55" s="13" t="n">
        <f aca="false">PL!$I$47/PL!$I$27</f>
        <v>0.162430078533006</v>
      </c>
      <c r="J55" s="13" t="n">
        <f aca="false">PL!$J$47/PL!$J$27</f>
        <v>0.172492220393497</v>
      </c>
      <c r="K55" s="13" t="n">
        <f aca="false">PL!$K$47/PL!$K$27</f>
        <v>0.176879158112256</v>
      </c>
      <c r="L55" s="13" t="n">
        <f aca="false">PL!$L$47/PL!$L$27</f>
        <v>0.178304291514786</v>
      </c>
      <c r="M55" s="13" t="n">
        <f aca="false">PL!$M$47/PL!$M$27</f>
        <v>0.179090360722955</v>
      </c>
      <c r="N55" s="13" t="n">
        <f aca="false">PL!$N$47/PL!$N$27</f>
        <v>0.109223137082008</v>
      </c>
      <c r="O55" s="13" t="n">
        <f aca="false">PL!$O$47/PL!$O$27</f>
        <v>0.117050790586074</v>
      </c>
    </row>
    <row r="56" customFormat="false" ht="17.15" hidden="false" customHeight="false" outlineLevel="0" collapsed="false">
      <c r="A56" s="1" t="s">
        <v>802</v>
      </c>
    </row>
    <row r="57" customFormat="false" ht="17.15" hidden="false" customHeight="false" outlineLevel="0" collapsed="false">
      <c r="A57" s="5" t="s">
        <v>803</v>
      </c>
      <c r="B57" s="0" t="s">
        <v>56</v>
      </c>
      <c r="D57" s="32" t="n">
        <f aca="false">(Q!$E$31+Q!$E$32-(1-ext_sh)*Thesis!$D$50)/Seg!$D$20</f>
        <v>0.0341105596409988</v>
      </c>
    </row>
    <row r="58" customFormat="false" ht="17.15" hidden="false" customHeight="false" outlineLevel="0" collapsed="false">
      <c r="A58" s="0" t="s">
        <v>585</v>
      </c>
      <c r="B58" s="0" t="s">
        <v>91</v>
      </c>
      <c r="C58" s="40" t="n">
        <f aca="false">Q!$D$31</f>
        <v>14.285</v>
      </c>
      <c r="D58" s="40" t="n">
        <f aca="false">Q!$E$31</f>
        <v>15.503</v>
      </c>
      <c r="E58" s="40" t="n">
        <f aca="false">Q!$O$31</f>
        <v>13.4963548128877</v>
      </c>
      <c r="F58" s="40" t="n">
        <f aca="false">(PL!$D$57*Seg!$F$20+(1-ext_sh)*Thesis!$F$50)*Seg!$F$21</f>
        <v>5.21211427093156</v>
      </c>
      <c r="G58" s="40" t="n">
        <f aca="false">PL!$E$58+PL!$F$58</f>
        <v>18.7084690838193</v>
      </c>
      <c r="H58" s="40" t="n">
        <f aca="false">(PL!$D$57*Seg!$H$20+(1-ext_sh)*Thesis!$H$50)*Seg!$H$21</f>
        <v>21.7211660546073</v>
      </c>
      <c r="I58" s="40" t="n">
        <f aca="false">(PL!$D$57*Seg!$I$20+(1-ext_sh)*Thesis!$I$50)*Seg!$I$21</f>
        <v>27.7701919214385</v>
      </c>
      <c r="J58" s="40" t="n">
        <f aca="false">(PL!$D$57*Seg!$J$20+(1-ext_sh)*Thesis!$J$50)*Seg!$J$21</f>
        <v>32.8597771149115</v>
      </c>
      <c r="K58" s="40" t="n">
        <f aca="false">(PL!$D$57*Seg!$K$20+(1-ext_sh)*Thesis!$K$50)*Seg!$K$21</f>
        <v>37.8576808120633</v>
      </c>
      <c r="L58" s="40" t="n">
        <f aca="false">(PL!$D$57*Seg!$L$20+(1-ext_sh)*Thesis!$L$50)*Seg!$L$21</f>
        <v>41.8381762816429</v>
      </c>
      <c r="M58" s="40" t="n">
        <f aca="false">(PL!$D$57*Seg!$M$20+(1-ext_sh)*Thesis!$M$50)*Seg!$M$21</f>
        <v>44.6591195749785</v>
      </c>
      <c r="N58" s="40" t="n">
        <f aca="false">Q!$N$31</f>
        <v>11.273</v>
      </c>
      <c r="O58" s="40" t="n">
        <f aca="false">Q!$J$31</f>
        <v>4.23</v>
      </c>
    </row>
    <row r="59" customFormat="false" ht="17.15" hidden="false" customHeight="false" outlineLevel="0" collapsed="false">
      <c r="A59" s="0" t="s">
        <v>588</v>
      </c>
      <c r="B59" s="0" t="s">
        <v>91</v>
      </c>
      <c r="C59" s="40" t="n">
        <f aca="false">Q!$D$32</f>
        <v>4.462</v>
      </c>
      <c r="D59" s="40" t="n">
        <f aca="false">Q!$E$32</f>
        <v>4.907</v>
      </c>
      <c r="E59" s="40" t="n">
        <f aca="false">Q!$O$32</f>
        <v>3.92516594956974</v>
      </c>
      <c r="F59" s="40" t="n">
        <f aca="false">(PL!$D$57*Seg!$F$20+(1-ext_sh)*Thesis!$F$50)*(1-Seg!$F$21)</f>
        <v>2.08036703791013</v>
      </c>
      <c r="G59" s="40" t="n">
        <f aca="false">PL!$E$59+PL!$F$59</f>
        <v>6.00553298747987</v>
      </c>
      <c r="H59" s="40" t="n">
        <f aca="false">(PL!$D$57*Seg!$H$20+(1-ext_sh)*Thesis!$H$50)*(1-Seg!$H$21)</f>
        <v>8.30905162009005</v>
      </c>
      <c r="I59" s="40" t="n">
        <f aca="false">(PL!$D$57*Seg!$I$20+(1-ext_sh)*Thesis!$I$50)*(1-Seg!$I$21)</f>
        <v>10.6230005145648</v>
      </c>
      <c r="J59" s="40" t="n">
        <f aca="false">(PL!$D$57*Seg!$J$20+(1-ext_sh)*Thesis!$J$50)*(1-Seg!$J$21)</f>
        <v>12.5699321843976</v>
      </c>
      <c r="K59" s="40" t="n">
        <f aca="false">(PL!$D$57*Seg!$K$20+(1-ext_sh)*Thesis!$K$50)*(1-Seg!$K$21)</f>
        <v>14.4817927036475</v>
      </c>
      <c r="L59" s="40" t="n">
        <f aca="false">(PL!$D$57*Seg!$L$20+(1-ext_sh)*Thesis!$L$50)*(1-Seg!$L$21)</f>
        <v>16.0044615257136</v>
      </c>
      <c r="M59" s="40" t="n">
        <f aca="false">(PL!$D$57*Seg!$M$20+(1-ext_sh)*Thesis!$M$50)*(1-Seg!$M$21)</f>
        <v>17.0835639727344</v>
      </c>
      <c r="N59" s="40" t="n">
        <f aca="false">Q!$N$32</f>
        <v>3.592</v>
      </c>
      <c r="O59" s="40" t="n">
        <f aca="false">Q!$J$32</f>
        <v>1.315</v>
      </c>
    </row>
    <row r="60" customFormat="false" ht="17.15" hidden="false" customHeight="false" outlineLevel="0" collapsed="false">
      <c r="A60" s="0" t="s">
        <v>589</v>
      </c>
      <c r="B60" s="0" t="s">
        <v>91</v>
      </c>
      <c r="C60" s="40" t="n">
        <f aca="false">Thesis!$C$62</f>
        <v>13.32</v>
      </c>
      <c r="D60" s="40" t="n">
        <f aca="false">Thesis!$D$62</f>
        <v>21.45</v>
      </c>
      <c r="E60" s="40" t="n">
        <f aca="false">Thesis!$E$62</f>
        <v>23.8172847708625</v>
      </c>
      <c r="F60" s="40" t="n">
        <f aca="false">Thesis!$F$62</f>
        <v>8.28155769350516</v>
      </c>
      <c r="G60" s="40" t="n">
        <f aca="false">Thesis!$G$62</f>
        <v>32.0988424643677</v>
      </c>
      <c r="H60" s="40" t="n">
        <f aca="false">Thesis!$H$62</f>
        <v>48.7469278856268</v>
      </c>
      <c r="I60" s="40" t="n">
        <f aca="false">Thesis!$I$62</f>
        <v>76.1843566764837</v>
      </c>
      <c r="J60" s="40" t="n">
        <f aca="false">Thesis!$J$62</f>
        <v>98.7987491948757</v>
      </c>
      <c r="K60" s="40" t="n">
        <f aca="false">Thesis!$K$62</f>
        <v>121.608934300417</v>
      </c>
      <c r="L60" s="40" t="n">
        <f aca="false">Thesis!$L$62</f>
        <v>138.485222513573</v>
      </c>
      <c r="M60" s="40" t="n">
        <f aca="false">Thesis!$M$62</f>
        <v>148.619710512686</v>
      </c>
      <c r="N60" s="40" t="n">
        <f aca="false">Thesis!$N$62</f>
        <v>14.882</v>
      </c>
      <c r="O60" s="40" t="n">
        <f aca="false">Thesis!$O$62</f>
        <v>6.568</v>
      </c>
    </row>
    <row r="61" customFormat="false" ht="17.15" hidden="false" customHeight="false" outlineLevel="0" collapsed="false">
      <c r="A61" s="5" t="s">
        <v>804</v>
      </c>
      <c r="B61" s="0" t="s">
        <v>91</v>
      </c>
      <c r="C61" s="40" t="n">
        <f aca="false">PL!$C$58+PL!$C$59+PL!$C$60</f>
        <v>32.067</v>
      </c>
      <c r="D61" s="40" t="n">
        <f aca="false">PL!$D$58+PL!$D$59+PL!$D$60</f>
        <v>41.86</v>
      </c>
      <c r="E61" s="40" t="n">
        <f aca="false">PL!$E$58+PL!$E$59+PL!$E$60</f>
        <v>41.23880553332</v>
      </c>
      <c r="F61" s="40" t="n">
        <f aca="false">PL!$F$58+PL!$F$59+PL!$F$60</f>
        <v>15.5740390023468</v>
      </c>
      <c r="G61" s="40" t="n">
        <f aca="false">PL!$G$58+PL!$G$59+PL!$G$60</f>
        <v>56.8128445356668</v>
      </c>
      <c r="H61" s="40" t="n">
        <f aca="false">PL!$H$58+PL!$H$59+PL!$H$60</f>
        <v>78.7771455603241</v>
      </c>
      <c r="I61" s="40" t="n">
        <f aca="false">PL!$I$58+PL!$I$59+PL!$I$60</f>
        <v>114.577549112487</v>
      </c>
      <c r="J61" s="40" t="n">
        <f aca="false">PL!$J$58+PL!$J$59+PL!$J$60</f>
        <v>144.228458494185</v>
      </c>
      <c r="K61" s="40" t="n">
        <f aca="false">PL!$K$58+PL!$K$59+PL!$K$60</f>
        <v>173.948407816128</v>
      </c>
      <c r="L61" s="40" t="n">
        <f aca="false">PL!$L$58+PL!$L$59+PL!$L$60</f>
        <v>196.32786032093</v>
      </c>
      <c r="M61" s="40" t="n">
        <f aca="false">PL!$M$58+PL!$M$59+PL!$M$60</f>
        <v>210.362394060399</v>
      </c>
      <c r="N61" s="40" t="n">
        <f aca="false">PL!$N$58+PL!$N$59+PL!$N$60</f>
        <v>29.747</v>
      </c>
      <c r="O61" s="40" t="n">
        <f aca="false">PL!$O$58+PL!$O$59+PL!$O$60</f>
        <v>12.113</v>
      </c>
    </row>
    <row r="62" customFormat="false" ht="17.15" hidden="false" customHeight="false" outlineLevel="0" collapsed="false">
      <c r="A62" s="0" t="s">
        <v>805</v>
      </c>
      <c r="B62" s="0" t="s">
        <v>91</v>
      </c>
      <c r="C62" s="40" t="n">
        <f aca="false">PL!$C$33+PL!$C$38</f>
        <v>28.107</v>
      </c>
      <c r="D62" s="40" t="n">
        <f aca="false">PL!$D$33+PL!$D$38</f>
        <v>34.3175</v>
      </c>
      <c r="E62" s="40" t="n">
        <f aca="false">PL!$E$33+PL!$E$38</f>
        <v>28.3445</v>
      </c>
      <c r="F62" s="40" t="n">
        <f aca="false">PL!$F$33+PL!$F$38</f>
        <v>12.7540196873527</v>
      </c>
      <c r="G62" s="40" t="n">
        <f aca="false">PL!$G$33+PL!$G$38</f>
        <v>41.0985196873527</v>
      </c>
      <c r="H62" s="40" t="n">
        <f aca="false">PL!$H$33+PL!$H$38</f>
        <v>48.2304391441512</v>
      </c>
      <c r="I62" s="40" t="n">
        <f aca="false">PL!$I$33+PL!$I$38</f>
        <v>55.4178122068561</v>
      </c>
      <c r="J62" s="40" t="n">
        <f aca="false">PL!$J$33+PL!$J$38</f>
        <v>62.3179259563365</v>
      </c>
      <c r="K62" s="40" t="n">
        <f aca="false">PL!$K$33+PL!$K$38</f>
        <v>68.5497185519701</v>
      </c>
      <c r="L62" s="40" t="n">
        <f aca="false">PL!$L$33+PL!$L$38</f>
        <v>75.4046904071671</v>
      </c>
      <c r="M62" s="40" t="n">
        <f aca="false">PL!$M$33+PL!$M$38</f>
        <v>82.9451594478839</v>
      </c>
      <c r="N62" s="40" t="n">
        <f aca="false">PL!$N$33+PL!$N$38</f>
        <v>23.659</v>
      </c>
      <c r="O62" s="40" t="n">
        <f aca="false">PL!$O$33+PL!$O$38</f>
        <v>10.6585</v>
      </c>
    </row>
    <row r="63" customFormat="false" ht="17.15" hidden="false" customHeight="false" outlineLevel="0" collapsed="false">
      <c r="A63" s="0" t="s">
        <v>806</v>
      </c>
      <c r="B63" s="0" t="s">
        <v>91</v>
      </c>
      <c r="C63" s="40" t="n">
        <f aca="false">PL!$C$37+PL!$C$42+PL!$C$58+PL!$C$59-PL!$C$62</f>
        <v>19.399</v>
      </c>
      <c r="D63" s="40" t="n">
        <f aca="false">PL!$D$37+PL!$D$42+PL!$D$58+PL!$D$59-PL!$D$62</f>
        <v>20.4615</v>
      </c>
      <c r="E63" s="40" t="n">
        <f aca="false">PL!$E$37+PL!$E$42+PL!$E$58+PL!$E$59-PL!$E$62</f>
        <v>19.9110207624575</v>
      </c>
      <c r="F63" s="40" t="n">
        <f aca="false">PL!$F$37+PL!$F$42+PL!$F$58+PL!$F$59-PL!$F$62</f>
        <v>11.3302009459315</v>
      </c>
      <c r="G63" s="40" t="n">
        <f aca="false">PL!$G$37+PL!$G$42+PL!$G$58+PL!$G$59-PL!$G$62</f>
        <v>31.241221708389</v>
      </c>
      <c r="H63" s="40" t="n">
        <f aca="false">PL!$H$37+PL!$H$42+PL!$H$58+PL!$H$59-PL!$H$62</f>
        <v>33.8214587603075</v>
      </c>
      <c r="I63" s="40" t="n">
        <f aca="false">PL!$I$37+PL!$I$42+PL!$I$58+PL!$I$59-PL!$I$62</f>
        <v>36.4486052829794</v>
      </c>
      <c r="J63" s="40" t="n">
        <f aca="false">PL!$J$37+PL!$J$42+PL!$J$58+PL!$J$59-PL!$J$62</f>
        <v>39.0514579358563</v>
      </c>
      <c r="K63" s="40" t="n">
        <f aca="false">PL!$K$37+PL!$K$42+PL!$K$58+PL!$K$59-PL!$K$62</f>
        <v>41.7993577543948</v>
      </c>
      <c r="L63" s="40" t="n">
        <f aca="false">PL!$L$37+PL!$L$42+PL!$L$58+PL!$L$59-PL!$L$62</f>
        <v>43.7885129671743</v>
      </c>
      <c r="M63" s="40" t="n">
        <f aca="false">PL!$M$37+PL!$M$42+PL!$M$58+PL!$M$59-PL!$M$62</f>
        <v>46.6150728014857</v>
      </c>
      <c r="N63" s="40" t="n">
        <f aca="false">PL!$N$37+PL!$N$42+PL!$N$58+PL!$N$59-PL!$N$62</f>
        <v>13.063</v>
      </c>
      <c r="O63" s="40" t="n">
        <f aca="false">PL!$O$37+PL!$O$42+PL!$O$58+PL!$O$59-PL!$O$62</f>
        <v>7.3985</v>
      </c>
    </row>
    <row r="64" customFormat="false" ht="17.15" hidden="false" customHeight="false" outlineLevel="0" collapsed="false">
      <c r="A64" s="0" t="s">
        <v>807</v>
      </c>
      <c r="B64" s="0" t="s">
        <v>91</v>
      </c>
      <c r="C64" s="40" t="n">
        <f aca="false">PL!$C$44+PL!$C$60-ext_sh*Thesis!$C$50</f>
        <v>51.3470500115664</v>
      </c>
      <c r="D64" s="40" t="n">
        <f aca="false">PL!$D$44+PL!$D$60-ext_sh*Thesis!$D$50</f>
        <v>60.2799375433739</v>
      </c>
      <c r="E64" s="40" t="n">
        <f aca="false">PL!$E$44+PL!$E$60-ext_sh*Thesis!$E$50</f>
        <v>59.7597032676119</v>
      </c>
      <c r="F64" s="40" t="n">
        <f aca="false">PL!$F$44+PL!$F$60-ext_sh*Thesis!$F$50</f>
        <v>19.8765856323982</v>
      </c>
      <c r="G64" s="40" t="n">
        <f aca="false">PL!$G$44+PL!$G$60-ext_sh*Thesis!$G$50</f>
        <v>79.6362889000101</v>
      </c>
      <c r="H64" s="40" t="n">
        <f aca="false">PL!$H$44+PL!$H$60-ext_sh*Thesis!$H$50</f>
        <v>88.6663043493359</v>
      </c>
      <c r="I64" s="40" t="n">
        <f aca="false">PL!$I$44+PL!$I$60-ext_sh*Thesis!$I$50</f>
        <v>98.4420671006853</v>
      </c>
      <c r="J64" s="40" t="n">
        <f aca="false">PL!$J$44+PL!$J$60-ext_sh*Thesis!$J$50</f>
        <v>107.806536768735</v>
      </c>
      <c r="K64" s="40" t="n">
        <f aca="false">PL!$K$44+PL!$K$60-ext_sh*Thesis!$K$50</f>
        <v>116.431059710234</v>
      </c>
      <c r="L64" s="40" t="n">
        <f aca="false">PL!$L$44+PL!$L$60-ext_sh*Thesis!$L$50</f>
        <v>125.745544487053</v>
      </c>
      <c r="M64" s="40" t="n">
        <f aca="false">PL!$M$44+PL!$M$60-ext_sh*Thesis!$M$50</f>
        <v>135.805188046017</v>
      </c>
      <c r="N64" s="40" t="n">
        <f aca="false">PL!$N$44+PL!$N$60-ext_sh*Thesis!$N$50</f>
        <v>43.7032601839009</v>
      </c>
      <c r="O64" s="40" t="n">
        <f aca="false">PL!$O$44+PL!$O$60-ext_sh*Thesis!$O$50</f>
        <v>16.5766773594731</v>
      </c>
    </row>
    <row r="65" customFormat="false" ht="17.15" hidden="false" customHeight="false" outlineLevel="0" collapsed="false">
      <c r="A65" s="0" t="s">
        <v>808</v>
      </c>
      <c r="B65" s="0" t="s">
        <v>91</v>
      </c>
      <c r="C65" s="40" t="n">
        <f aca="false">Thesis!$C$53</f>
        <v>1.80694998843362</v>
      </c>
      <c r="D65" s="40" t="n">
        <f aca="false">Thesis!$D$53</f>
        <v>6.77606245662607</v>
      </c>
      <c r="E65" s="40" t="n">
        <f aca="false">Thesis!$E$53</f>
        <v>12.6125815032506</v>
      </c>
      <c r="F65" s="40" t="n">
        <f aca="false">Thesis!$F$53</f>
        <v>7.82788092034529</v>
      </c>
      <c r="G65" s="40" t="n">
        <f aca="false">Thesis!$G$53</f>
        <v>20.4404624235959</v>
      </c>
      <c r="H65" s="40" t="n">
        <f aca="false">Thesis!$H$53</f>
        <v>58.3366366758868</v>
      </c>
      <c r="I65" s="40" t="n">
        <f aca="false">Thesis!$I$53</f>
        <v>102.770534677664</v>
      </c>
      <c r="J65" s="40" t="n">
        <f aca="false">Thesis!$J$53</f>
        <v>147.477438204227</v>
      </c>
      <c r="K65" s="40" t="n">
        <f aca="false">Thesis!$K$53</f>
        <v>185.604681277381</v>
      </c>
      <c r="L65" s="40" t="n">
        <f aca="false">Thesis!$L$53</f>
        <v>210.655488028667</v>
      </c>
      <c r="M65" s="40" t="n">
        <f aca="false">Thesis!$M$53</f>
        <v>222.58531457156</v>
      </c>
      <c r="N65" s="40" t="n">
        <f aca="false">Thesis!$N$53</f>
        <v>4.31973981609912</v>
      </c>
      <c r="O65" s="40" t="n">
        <f aca="false">Thesis!$O$53</f>
        <v>2.45632264052695</v>
      </c>
    </row>
    <row r="66" customFormat="false" ht="17.15" hidden="false" customHeight="false" outlineLevel="0" collapsed="false">
      <c r="A66" s="0" t="s">
        <v>809</v>
      </c>
      <c r="B66" s="0" t="s">
        <v>91</v>
      </c>
      <c r="C66" s="40" t="n">
        <f aca="false">PL!$C$47+PL!$C$61</f>
        <v>100.66</v>
      </c>
      <c r="D66" s="40" t="n">
        <f aca="false">PL!$D$47+PL!$D$61</f>
        <v>121.835</v>
      </c>
      <c r="E66" s="40" t="n">
        <f aca="false">PL!$E$47+PL!$E$61</f>
        <v>120.62780553332</v>
      </c>
      <c r="F66" s="40" t="n">
        <f aca="false">PL!$F$47+PL!$F$61</f>
        <v>51.7886871860277</v>
      </c>
      <c r="G66" s="40" t="n">
        <f aca="false">PL!$G$47+PL!$G$61</f>
        <v>172.416492719348</v>
      </c>
      <c r="H66" s="40" t="n">
        <f aca="false">PL!$H$47+PL!$H$61</f>
        <v>229.054838929681</v>
      </c>
      <c r="I66" s="40" t="n">
        <f aca="false">PL!$I$47+PL!$I$61</f>
        <v>293.079019268185</v>
      </c>
      <c r="J66" s="40" t="n">
        <f aca="false">PL!$J$47+PL!$J$61</f>
        <v>356.653358865155</v>
      </c>
      <c r="K66" s="40" t="n">
        <f aca="false">PL!$K$47+PL!$K$61</f>
        <v>412.38481729398</v>
      </c>
      <c r="L66" s="40" t="n">
        <f aca="false">PL!$L$47+PL!$L$61</f>
        <v>455.594235890062</v>
      </c>
      <c r="M66" s="40" t="n">
        <f aca="false">PL!$M$47+PL!$M$61</f>
        <v>487.950734866946</v>
      </c>
      <c r="N66" s="40" t="n">
        <f aca="false">PL!$N$47+PL!$N$61</f>
        <v>84.745</v>
      </c>
      <c r="O66" s="40" t="n">
        <f aca="false">PL!$O$47+PL!$O$61</f>
        <v>37.09</v>
      </c>
    </row>
    <row r="67" customFormat="false" ht="17.15" hidden="false" customHeight="false" outlineLevel="0" collapsed="false">
      <c r="A67" s="1" t="s">
        <v>810</v>
      </c>
    </row>
    <row r="68" customFormat="false" ht="15" hidden="false" customHeight="false" outlineLevel="0" collapsed="false">
      <c r="A68" s="5" t="s">
        <v>592</v>
      </c>
      <c r="B68" s="0" t="s">
        <v>91</v>
      </c>
      <c r="C68" s="40" t="n">
        <f aca="false">Q!$D$36</f>
        <v>2.406</v>
      </c>
      <c r="D68" s="40" t="n">
        <f aca="false">Q!$E$36</f>
        <v>2.274</v>
      </c>
      <c r="E68" s="40" t="n">
        <f aca="false">Q!$O$36</f>
        <v>3.805</v>
      </c>
      <c r="F68" s="40" t="n">
        <f aca="false">CF!$F$37</f>
        <v>1.94993832879634</v>
      </c>
      <c r="G68" s="40" t="n">
        <f aca="false">PL!$E$68+PL!$F$68</f>
        <v>5.75493832879634</v>
      </c>
      <c r="H68" s="40" t="n">
        <f aca="false">CF!$H$37</f>
        <v>7.79975331518538</v>
      </c>
      <c r="I68" s="40" t="n">
        <f aca="false">CF!$I$37</f>
        <v>7.79975331518538</v>
      </c>
      <c r="J68" s="40" t="n">
        <f aca="false">CF!$J$37</f>
        <v>7.79975331518538</v>
      </c>
      <c r="K68" s="40" t="n">
        <f aca="false">CF!$K$37</f>
        <v>7.79975331518538</v>
      </c>
      <c r="L68" s="40" t="n">
        <f aca="false">CF!$L$37</f>
        <v>7.79975331518538</v>
      </c>
      <c r="M68" s="40" t="n">
        <f aca="false">CF!$M$37</f>
        <v>7.79975331518538</v>
      </c>
      <c r="N68" s="40" t="n">
        <f aca="false">Q!$N$36</f>
        <v>1.595</v>
      </c>
      <c r="O68" s="40" t="n">
        <f aca="false">Q!$J$36</f>
        <v>0.679</v>
      </c>
    </row>
    <row r="69" customFormat="false" ht="15" hidden="false" customHeight="false" outlineLevel="0" collapsed="false">
      <c r="A69" s="5" t="s">
        <v>811</v>
      </c>
      <c r="B69" s="0" t="s">
        <v>91</v>
      </c>
      <c r="F69" s="40" t="n">
        <f aca="false">CF!$F$38</f>
        <v>1.187</v>
      </c>
      <c r="H69" s="40" t="n">
        <f aca="false">CF!$H$38</f>
        <v>5.75172018910928</v>
      </c>
      <c r="I69" s="40" t="n">
        <f aca="false">CF!$I$38</f>
        <v>5.11546047329315</v>
      </c>
      <c r="J69" s="40" t="n">
        <f aca="false">CF!$J$38</f>
        <v>6.5523848090096</v>
      </c>
      <c r="K69" s="40" t="n">
        <f aca="false">CF!$K$38</f>
        <v>10.1645413753386</v>
      </c>
      <c r="L69" s="40" t="n">
        <f aca="false">CF!$L$38</f>
        <v>17.9621170448348</v>
      </c>
      <c r="M69" s="40" t="n">
        <f aca="false">CF!$M$38</f>
        <v>28.4987680250234</v>
      </c>
    </row>
    <row r="70" customFormat="false" ht="17.15" hidden="false" customHeight="false" outlineLevel="0" collapsed="false">
      <c r="A70" s="5" t="s">
        <v>812</v>
      </c>
      <c r="B70" s="0" t="s">
        <v>91</v>
      </c>
      <c r="C70" s="40" t="n">
        <f aca="false">Q!$D$41</f>
        <v>2.427</v>
      </c>
      <c r="D70" s="40" t="n">
        <f aca="false">Q!$E$41</f>
        <v>19.61</v>
      </c>
      <c r="E70" s="40" t="n">
        <f aca="false">Q!$O$41</f>
        <v>71.976</v>
      </c>
      <c r="F70" s="41" t="n">
        <v>0</v>
      </c>
      <c r="G70" s="40" t="n">
        <f aca="false">PL!$E$70+PL!$F$70</f>
        <v>71.976</v>
      </c>
      <c r="H70" s="41" t="n">
        <v>0</v>
      </c>
      <c r="I70" s="41" t="n">
        <v>0</v>
      </c>
      <c r="J70" s="41" t="n">
        <v>0</v>
      </c>
      <c r="K70" s="41" t="n">
        <v>0</v>
      </c>
      <c r="L70" s="41" t="n">
        <v>0</v>
      </c>
      <c r="M70" s="41" t="n">
        <v>0</v>
      </c>
      <c r="N70" s="40" t="n">
        <f aca="false">Q!$N$41</f>
        <v>17.303</v>
      </c>
      <c r="O70" s="40" t="n">
        <f aca="false">Q!$J$41</f>
        <v>2.307</v>
      </c>
      <c r="P70" s="5" t="s">
        <v>813</v>
      </c>
    </row>
    <row r="71" customFormat="false" ht="15" hidden="false" customHeight="false" outlineLevel="0" collapsed="false">
      <c r="A71" s="5" t="s">
        <v>595</v>
      </c>
      <c r="B71" s="0" t="s">
        <v>91</v>
      </c>
      <c r="C71" s="40" t="n">
        <f aca="false">Q!$D$38</f>
        <v>68.614</v>
      </c>
      <c r="D71" s="40" t="n">
        <f aca="false">Q!$E$38</f>
        <v>97.311</v>
      </c>
      <c r="E71" s="40" t="n">
        <f aca="false">Q!$O$38</f>
        <v>147.56</v>
      </c>
      <c r="F71" s="40" t="n">
        <f aca="false">PL!$F$47-PL!$F$68+PL!$F$69+PL!$F$70</f>
        <v>35.4517098548845</v>
      </c>
      <c r="G71" s="40" t="n">
        <f aca="false">PL!$E$71+PL!$F$71</f>
        <v>183.011709854884</v>
      </c>
      <c r="H71" s="40" t="n">
        <f aca="false">PL!$H$47-PL!$H$68+PL!$H$69+PL!$H$70</f>
        <v>148.229660243281</v>
      </c>
      <c r="I71" s="40" t="n">
        <f aca="false">PL!$I$47-PL!$I$68+PL!$I$69+PL!$I$70</f>
        <v>175.817177313805</v>
      </c>
      <c r="J71" s="40" t="n">
        <f aca="false">PL!$J$47-PL!$J$68+PL!$J$69+PL!$J$70</f>
        <v>211.177531864794</v>
      </c>
      <c r="K71" s="40" t="n">
        <f aca="false">PL!$K$47-PL!$K$68+PL!$K$69+PL!$K$70</f>
        <v>240.801197538005</v>
      </c>
      <c r="L71" s="40" t="n">
        <f aca="false">PL!$L$47-PL!$L$68+PL!$L$69+PL!$L$70</f>
        <v>269.428739298782</v>
      </c>
      <c r="M71" s="40" t="n">
        <f aca="false">PL!$M$47-PL!$M$68+PL!$M$69+PL!$M$70</f>
        <v>298.287355516385</v>
      </c>
      <c r="N71" s="40" t="n">
        <f aca="false">Q!$N$38</f>
        <v>70.706</v>
      </c>
      <c r="O71" s="40" t="n">
        <f aca="false">Q!$J$38</f>
        <v>26.605</v>
      </c>
    </row>
    <row r="72" customFormat="false" ht="15" hidden="false" customHeight="false" outlineLevel="0" collapsed="false">
      <c r="A72" s="5" t="s">
        <v>596</v>
      </c>
      <c r="B72" s="0" t="s">
        <v>91</v>
      </c>
      <c r="C72" s="40" t="n">
        <f aca="false">Q!$D$39</f>
        <v>9.265</v>
      </c>
      <c r="D72" s="40" t="n">
        <f aca="false">Q!$E$39</f>
        <v>19.087</v>
      </c>
      <c r="E72" s="40" t="n">
        <f aca="false">Q!$O$39</f>
        <v>33.939</v>
      </c>
      <c r="F72" s="40" t="n">
        <f aca="false">PL!$F$71*tax</f>
        <v>6.15386827306608</v>
      </c>
      <c r="G72" s="40" t="n">
        <f aca="false">PL!$E$72+PL!$F$72</f>
        <v>40.0928682730661</v>
      </c>
      <c r="H72" s="40" t="n">
        <f aca="false">PL!$H$71*tax</f>
        <v>25.7303754045255</v>
      </c>
      <c r="I72" s="40" t="n">
        <f aca="false">PL!$I$71*tax</f>
        <v>30.5191414958619</v>
      </c>
      <c r="J72" s="40" t="n">
        <f aca="false">PL!$J$71*tax</f>
        <v>36.6571519017469</v>
      </c>
      <c r="K72" s="40" t="n">
        <f aca="false">PL!$K$71*tax</f>
        <v>41.7993618844107</v>
      </c>
      <c r="L72" s="40" t="n">
        <f aca="false">PL!$L$71*tax</f>
        <v>46.7686601692788</v>
      </c>
      <c r="M72" s="40" t="n">
        <f aca="false">PL!$M$71*tax</f>
        <v>51.7780694043494</v>
      </c>
      <c r="N72" s="40" t="n">
        <f aca="false">Q!$N$39</f>
        <v>14.141</v>
      </c>
      <c r="O72" s="40" t="n">
        <f aca="false">Q!$J$39</f>
        <v>4.946</v>
      </c>
    </row>
    <row r="73" customFormat="false" ht="15" hidden="false" customHeight="false" outlineLevel="0" collapsed="false">
      <c r="A73" s="3" t="s">
        <v>597</v>
      </c>
      <c r="B73" s="8" t="s">
        <v>91</v>
      </c>
      <c r="C73" s="40" t="n">
        <f aca="false">Q!$D$40</f>
        <v>59.248</v>
      </c>
      <c r="D73" s="40" t="n">
        <f aca="false">Q!$E$40</f>
        <v>77.67</v>
      </c>
      <c r="E73" s="40" t="n">
        <f aca="false">Q!$O$40</f>
        <v>113.587</v>
      </c>
      <c r="F73" s="40" t="n">
        <f aca="false">PL!$F$71-PL!$F$72</f>
        <v>29.2978415818184</v>
      </c>
      <c r="G73" s="40" t="n">
        <f aca="false">PL!$E$73+PL!$F$73</f>
        <v>142.884841581818</v>
      </c>
      <c r="H73" s="40" t="n">
        <f aca="false">PL!$H$71-PL!$H$72</f>
        <v>122.499284838756</v>
      </c>
      <c r="I73" s="40" t="n">
        <f aca="false">PL!$I$71-PL!$I$72</f>
        <v>145.298035817944</v>
      </c>
      <c r="J73" s="40" t="n">
        <f aca="false">PL!$J$71-PL!$J$72</f>
        <v>174.520379963047</v>
      </c>
      <c r="K73" s="40" t="n">
        <f aca="false">PL!$K$71-PL!$K$72</f>
        <v>199.001835653594</v>
      </c>
      <c r="L73" s="40" t="n">
        <f aca="false">PL!$L$71-PL!$L$72</f>
        <v>222.660079129503</v>
      </c>
      <c r="M73" s="40" t="n">
        <f aca="false">PL!$M$71-PL!$M$72</f>
        <v>246.509286112036</v>
      </c>
      <c r="N73" s="40" t="n">
        <f aca="false">Q!$N$40</f>
        <v>56.478</v>
      </c>
      <c r="O73" s="40" t="n">
        <f aca="false">Q!$J$40</f>
        <v>21.192</v>
      </c>
    </row>
    <row r="74" customFormat="false" ht="17.15" hidden="false" customHeight="false" outlineLevel="0" collapsed="false">
      <c r="A74" s="5" t="s">
        <v>600</v>
      </c>
      <c r="B74" s="5" t="s">
        <v>37</v>
      </c>
      <c r="C74" s="25" t="n">
        <f aca="false">Q!$D$43</f>
        <v>10.721</v>
      </c>
      <c r="D74" s="25" t="n">
        <f aca="false">Q!$E$43</f>
        <v>10.827</v>
      </c>
      <c r="E74" s="25" t="n">
        <f aca="false">Q!$O$43</f>
        <v>10.903</v>
      </c>
      <c r="F74" s="25" t="n">
        <f aca="false">Q!$M$43*(1+sh_g*0.25)</f>
        <v>10.950858</v>
      </c>
      <c r="G74" s="25" t="n">
        <f aca="false">(3*PL!$E$74+PL!$F$74)/4</f>
        <v>10.9149645</v>
      </c>
      <c r="H74" s="25" t="n">
        <f aca="false">PL!$G$74*(1+sh_g)</f>
        <v>11.002284216</v>
      </c>
      <c r="I74" s="25" t="n">
        <f aca="false">PL!$H$74*(1+sh_g)</f>
        <v>11.090302489728</v>
      </c>
      <c r="J74" s="25" t="n">
        <f aca="false">PL!$I$74*(1+sh_g)</f>
        <v>11.1790249096458</v>
      </c>
      <c r="K74" s="25" t="n">
        <f aca="false">PL!$J$74*(1+sh_g)</f>
        <v>11.268457108923</v>
      </c>
      <c r="L74" s="25" t="n">
        <f aca="false">PL!$K$74*(1+sh_g)</f>
        <v>11.3586047657944</v>
      </c>
      <c r="M74" s="25" t="n">
        <f aca="false">PL!$L$74*(1+sh_g)</f>
        <v>11.4494736039207</v>
      </c>
      <c r="P74" s="5" t="s">
        <v>814</v>
      </c>
    </row>
    <row r="75" customFormat="false" ht="17.15" hidden="false" customHeight="false" outlineLevel="0" collapsed="false">
      <c r="A75" s="5" t="s">
        <v>815</v>
      </c>
      <c r="B75" s="0" t="s">
        <v>91</v>
      </c>
      <c r="C75" s="40" t="n">
        <f aca="false">PL!$C$73+PL!$C$49*(1-tax)</f>
        <v>59.248</v>
      </c>
      <c r="D75" s="40" t="n">
        <f aca="false">PL!$D$73+PL!$D$49*(1-tax)</f>
        <v>77.67</v>
      </c>
      <c r="E75" s="40" t="n">
        <f aca="false">PL!$E$73+PL!$E$49*(1-tax)</f>
        <v>113.587</v>
      </c>
      <c r="F75" s="40" t="n">
        <f aca="false">PL!$F$73+PL!$F$49*(1-tax)</f>
        <v>30.9852272060806</v>
      </c>
      <c r="G75" s="40" t="n">
        <f aca="false">PL!$G$73+PL!$G$49*(1-tax)</f>
        <v>144.572227206081</v>
      </c>
      <c r="H75" s="40" t="n">
        <f aca="false">PL!$H$73+PL!$H$49*(1-tax)</f>
        <v>133.645489563538</v>
      </c>
      <c r="I75" s="40" t="n">
        <f aca="false">PL!$I$73+PL!$I$49*(1-tax)</f>
        <v>163.650700171462</v>
      </c>
      <c r="J75" s="40" t="n">
        <f aca="false">PL!$J$73+PL!$J$49*(1-tax)</f>
        <v>200.118794965247</v>
      </c>
      <c r="K75" s="40" t="n">
        <f aca="false">PL!$K$73+PL!$K$49*(1-tax)</f>
        <v>230.780278968643</v>
      </c>
      <c r="L75" s="40" t="n">
        <f aca="false">PL!$L$73+PL!$L$49*(1-tax)</f>
        <v>258.499034854882</v>
      </c>
      <c r="M75" s="40" t="n">
        <f aca="false">PL!$M$73+PL!$M$49*(1-tax)</f>
        <v>284.282827578502</v>
      </c>
      <c r="N75" s="40" t="n">
        <f aca="false">PL!$N$73+PL!$N$49*(1-tax)</f>
        <v>56.478</v>
      </c>
      <c r="O75" s="40" t="n">
        <f aca="false">PL!$O$73+PL!$O$49*(1-tax)</f>
        <v>21.192</v>
      </c>
    </row>
    <row r="76" customFormat="false" ht="17.15" hidden="false" customHeight="false" outlineLevel="0" collapsed="false">
      <c r="A76" s="45" t="s">
        <v>816</v>
      </c>
      <c r="B76" s="14" t="s">
        <v>27</v>
      </c>
      <c r="C76" s="46" t="n">
        <f aca="false">PL!$C$75/PL!$C$74</f>
        <v>5.52635015390355</v>
      </c>
      <c r="D76" s="46" t="n">
        <f aca="false">PL!$D$75/PL!$D$74</f>
        <v>7.1737323358271</v>
      </c>
      <c r="E76" s="46" t="n">
        <f aca="false">PL!$E$75/PL!$E$74</f>
        <v>10.4179583600844</v>
      </c>
      <c r="F76" s="14"/>
      <c r="G76" s="46" t="n">
        <f aca="false">PL!$G$75/PL!$G$74</f>
        <v>13.245322713242</v>
      </c>
      <c r="H76" s="46" t="n">
        <f aca="false">PL!$H$75/PL!$H$74</f>
        <v>12.1470675488627</v>
      </c>
      <c r="I76" s="46" t="n">
        <f aca="false">PL!$I$75/PL!$I$74</f>
        <v>14.75619806791</v>
      </c>
      <c r="J76" s="46" t="n">
        <f aca="false">PL!$J$75/PL!$J$74</f>
        <v>17.9012746266067</v>
      </c>
      <c r="K76" s="46" t="n">
        <f aca="false">PL!$K$75/PL!$K$74</f>
        <v>20.4802021020161</v>
      </c>
      <c r="L76" s="46" t="n">
        <f aca="false">PL!$L$75/PL!$L$74</f>
        <v>22.757991864752</v>
      </c>
      <c r="M76" s="46" t="n">
        <f aca="false">PL!$M$75/PL!$M$74</f>
        <v>24.8293360387462</v>
      </c>
      <c r="N76" s="14"/>
      <c r="O76" s="14"/>
    </row>
    <row r="77" customFormat="false" ht="17.15" hidden="false" customHeight="false" outlineLevel="0" collapsed="false">
      <c r="A77" s="0" t="s">
        <v>817</v>
      </c>
      <c r="B77" s="0" t="s">
        <v>27</v>
      </c>
      <c r="C77" s="34" t="n">
        <f aca="false">PL!$C$73/PL!$C$74</f>
        <v>5.52635015390355</v>
      </c>
      <c r="D77" s="34" t="n">
        <f aca="false">PL!$D$73/PL!$D$74</f>
        <v>7.1737323358271</v>
      </c>
      <c r="E77" s="34" t="n">
        <f aca="false">PL!$E$73/PL!$E$74</f>
        <v>10.4179583600844</v>
      </c>
      <c r="G77" s="34" t="n">
        <f aca="false">PL!$G$73/PL!$G$74</f>
        <v>13.0907289329084</v>
      </c>
      <c r="H77" s="34" t="n">
        <f aca="false">PL!$H$73/PL!$H$74</f>
        <v>11.1339865825873</v>
      </c>
      <c r="I77" s="34" t="n">
        <f aca="false">PL!$I$73/PL!$I$74</f>
        <v>13.1013591335783</v>
      </c>
      <c r="J77" s="34" t="n">
        <f aca="false">PL!$J$73/PL!$J$74</f>
        <v>15.6114134616931</v>
      </c>
      <c r="K77" s="34" t="n">
        <f aca="false">PL!$K$73/PL!$K$74</f>
        <v>17.6600783700915</v>
      </c>
      <c r="L77" s="34" t="n">
        <f aca="false">PL!$L$73/PL!$L$74</f>
        <v>19.6027666883901</v>
      </c>
      <c r="M77" s="34" t="n">
        <f aca="false">PL!$M$73/PL!$M$74</f>
        <v>21.5301851106606</v>
      </c>
    </row>
    <row r="78" customFormat="false" ht="17.15" hidden="false" customHeight="false" outlineLevel="0" collapsed="false">
      <c r="A78" s="0" t="s">
        <v>818</v>
      </c>
      <c r="B78" s="0" t="s">
        <v>27</v>
      </c>
      <c r="C78" s="34" t="n">
        <f aca="false">(PL!$C$73-PL!$C$70*(1-tax))/PL!$C$74</f>
        <v>5.33926775917445</v>
      </c>
      <c r="D78" s="34" t="n">
        <f aca="false">(PL!$D$73-PL!$D$70*(1-tax))/PL!$D$74</f>
        <v>5.67691812755503</v>
      </c>
      <c r="E78" s="34" t="n">
        <f aca="false">(PL!$E$73-PL!$E$70*(1-tax))/PL!$E$74</f>
        <v>4.96238832322067</v>
      </c>
      <c r="G78" s="34" t="n">
        <f aca="false">(PL!$G$73-PL!$G$70*(1-tax))/PL!$G$74</f>
        <v>7.64113904996149</v>
      </c>
      <c r="H78" s="34" t="n">
        <f aca="false">(PL!$H$73-PL!$H$70*(1-tax))/PL!$H$74</f>
        <v>11.1339865825873</v>
      </c>
      <c r="I78" s="34" t="n">
        <f aca="false">(PL!$I$73-PL!$I$70*(1-tax))/PL!$I$74</f>
        <v>13.1013591335783</v>
      </c>
      <c r="J78" s="34" t="n">
        <f aca="false">(PL!$J$73-PL!$J$70*(1-tax))/PL!$J$74</f>
        <v>15.6114134616931</v>
      </c>
      <c r="K78" s="34" t="n">
        <f aca="false">(PL!$K$73-PL!$K$70*(1-tax))/PL!$K$74</f>
        <v>17.6600783700915</v>
      </c>
      <c r="L78" s="34" t="n">
        <f aca="false">(PL!$L$73-PL!$L$70*(1-tax))/PL!$L$74</f>
        <v>19.6027666883901</v>
      </c>
      <c r="M78" s="34" t="n">
        <f aca="false">(PL!$M$73-PL!$M$70*(1-tax))/PL!$M$74</f>
        <v>21.5301851106606</v>
      </c>
      <c r="P78" s="5" t="s">
        <v>819</v>
      </c>
    </row>
    <row r="79" customFormat="false" ht="17.15" hidden="false" customHeight="false" outlineLevel="0" collapsed="false">
      <c r="A79" s="0" t="s">
        <v>820</v>
      </c>
      <c r="B79" s="0" t="s">
        <v>56</v>
      </c>
      <c r="H79" s="13" t="n">
        <f aca="false">PL!$H$76/PL!$G$76-1</f>
        <v>-0.0829164519548752</v>
      </c>
      <c r="I79" s="13" t="n">
        <f aca="false">PL!$I$76/PL!$H$76-1</f>
        <v>0.214795094252324</v>
      </c>
      <c r="J79" s="13" t="n">
        <f aca="false">PL!$J$76/PL!$I$76-1</f>
        <v>0.213135967965638</v>
      </c>
      <c r="K79" s="13" t="n">
        <f aca="false">PL!$K$76/PL!$J$76-1</f>
        <v>0.14406390210764</v>
      </c>
      <c r="L79" s="13" t="n">
        <f aca="false">PL!$L$76/PL!$K$76-1</f>
        <v>0.111219105719259</v>
      </c>
      <c r="M79" s="13" t="n">
        <f aca="false">PL!$M$76/PL!$L$76-1</f>
        <v>0.0910161224375095</v>
      </c>
    </row>
    <row r="82" customFormat="false" ht="19.4" hidden="false" customHeight="false" outlineLevel="0" collapsed="false">
      <c r="A82" s="35" t="s">
        <v>821</v>
      </c>
    </row>
    <row r="83" customFormat="false" ht="17.15" hidden="false" customHeight="false" outlineLevel="0" collapsed="false">
      <c r="A83" s="6" t="s">
        <v>16</v>
      </c>
      <c r="B83" s="6" t="s">
        <v>17</v>
      </c>
      <c r="C83" s="23" t="s">
        <v>542</v>
      </c>
      <c r="D83" s="23" t="s">
        <v>543</v>
      </c>
      <c r="E83" s="23" t="s">
        <v>631</v>
      </c>
      <c r="F83" s="23" t="s">
        <v>632</v>
      </c>
      <c r="G83" s="23" t="s">
        <v>633</v>
      </c>
      <c r="H83" s="23" t="s">
        <v>634</v>
      </c>
      <c r="I83" s="23" t="s">
        <v>635</v>
      </c>
      <c r="J83" s="23" t="s">
        <v>636</v>
      </c>
      <c r="K83" s="23" t="s">
        <v>637</v>
      </c>
      <c r="L83" s="23" t="s">
        <v>638</v>
      </c>
      <c r="M83" s="23" t="s">
        <v>639</v>
      </c>
      <c r="N83" s="23" t="s">
        <v>640</v>
      </c>
      <c r="O83" s="23" t="s">
        <v>641</v>
      </c>
      <c r="P83" s="6" t="s">
        <v>23</v>
      </c>
      <c r="R83" s="23" t="n">
        <v>2023</v>
      </c>
      <c r="S83" s="23" t="n">
        <v>2024</v>
      </c>
      <c r="T83" s="23" t="n">
        <v>2025</v>
      </c>
      <c r="U83" s="23" t="n">
        <v>2026</v>
      </c>
      <c r="V83" s="23" t="n">
        <v>2027</v>
      </c>
      <c r="W83" s="23" t="n">
        <v>2028</v>
      </c>
      <c r="X83" s="23" t="n">
        <v>2029</v>
      </c>
      <c r="Y83" s="23" t="n">
        <v>2030</v>
      </c>
      <c r="Z83" s="23" t="n">
        <v>2031</v>
      </c>
      <c r="AA83" s="23" t="n">
        <v>2032</v>
      </c>
    </row>
    <row r="84" customFormat="false" ht="17.15" hidden="false" customHeight="false" outlineLevel="0" collapsed="false">
      <c r="A84" s="1" t="s">
        <v>775</v>
      </c>
    </row>
    <row r="85" customFormat="false" ht="15" hidden="false" customHeight="false" outlineLevel="0" collapsed="false">
      <c r="A85" s="0" t="s">
        <v>564</v>
      </c>
      <c r="B85" s="0" t="s">
        <v>91</v>
      </c>
      <c r="C85" s="40" t="n">
        <f aca="false">Seg!$C$42</f>
        <v>247.029</v>
      </c>
      <c r="D85" s="40" t="n">
        <f aca="false">Seg!$D$42</f>
        <v>269.287</v>
      </c>
      <c r="E85" s="40" t="n">
        <f aca="false">Seg!$E$42</f>
        <v>203.156</v>
      </c>
      <c r="F85" s="40" t="n">
        <f aca="false">Seg!$F$42</f>
        <v>90.388463759573</v>
      </c>
      <c r="G85" s="40" t="n">
        <f aca="false">Seg!$G$42</f>
        <v>293.544463759573</v>
      </c>
      <c r="H85" s="40" t="n">
        <f aca="false">Seg!$H$42</f>
        <v>317.13448447826</v>
      </c>
      <c r="I85" s="40" t="n">
        <f aca="false">Seg!$I$42</f>
        <v>339.410577938345</v>
      </c>
      <c r="J85" s="40" t="n">
        <f aca="false">Seg!$J$42</f>
        <v>359.816245442206</v>
      </c>
      <c r="K85" s="40" t="n">
        <f aca="false">Seg!$K$42</f>
        <v>377.807057714316</v>
      </c>
      <c r="L85" s="40" t="n">
        <f aca="false">Seg!$L$42</f>
        <v>396.697410600032</v>
      </c>
      <c r="M85" s="40" t="n">
        <f aca="false">Seg!$M$42</f>
        <v>416.532281130034</v>
      </c>
      <c r="N85" s="40" t="n">
        <f aca="false">Seg!$N$42</f>
        <v>186.299</v>
      </c>
      <c r="O85" s="40" t="n">
        <f aca="false">Seg!$O$42</f>
        <v>82.988</v>
      </c>
    </row>
    <row r="86" customFormat="false" ht="15" hidden="false" customHeight="false" outlineLevel="0" collapsed="false">
      <c r="A86" s="0" t="s">
        <v>565</v>
      </c>
      <c r="B86" s="0" t="s">
        <v>91</v>
      </c>
      <c r="C86" s="40" t="n">
        <f aca="false">Seg!$C$44</f>
        <v>21.215</v>
      </c>
      <c r="D86" s="40" t="n">
        <f aca="false">Seg!$D$44</f>
        <v>22.561</v>
      </c>
      <c r="E86" s="40" t="n">
        <f aca="false">Seg!$E$44</f>
        <v>17.289</v>
      </c>
      <c r="F86" s="40" t="n">
        <f aca="false">Seg!$F$44</f>
        <v>6.05205510939944</v>
      </c>
      <c r="G86" s="40" t="n">
        <f aca="false">Seg!$G$44</f>
        <v>23.3410551093994</v>
      </c>
      <c r="H86" s="40" t="n">
        <f aca="false">Seg!$H$44</f>
        <v>24.1270238539533</v>
      </c>
      <c r="I86" s="40" t="n">
        <f aca="false">Seg!$I$44</f>
        <v>24.9099173270163</v>
      </c>
      <c r="J86" s="40" t="n">
        <f aca="false">Seg!$J$44</f>
        <v>25.6877148084528</v>
      </c>
      <c r="K86" s="40" t="n">
        <f aca="false">Seg!$K$44</f>
        <v>26.4583462527063</v>
      </c>
      <c r="L86" s="40" t="n">
        <f aca="false">Seg!$L$44</f>
        <v>27.2520966402875</v>
      </c>
      <c r="M86" s="40" t="n">
        <f aca="false">Seg!$M$44</f>
        <v>28.0696595394962</v>
      </c>
      <c r="N86" s="40" t="n">
        <f aca="false">Seg!$N$44</f>
        <v>16.706</v>
      </c>
      <c r="O86" s="40" t="n">
        <f aca="false">Seg!$O$44</f>
        <v>5.855</v>
      </c>
    </row>
    <row r="87" customFormat="false" ht="15" hidden="false" customHeight="false" outlineLevel="0" collapsed="false">
      <c r="A87" s="0" t="s">
        <v>566</v>
      </c>
      <c r="B87" s="0" t="s">
        <v>91</v>
      </c>
      <c r="C87" s="40" t="n">
        <f aca="false">Seg!$C$46</f>
        <v>156.146</v>
      </c>
      <c r="D87" s="40" t="n">
        <f aca="false">Seg!$D$46</f>
        <v>172.162</v>
      </c>
      <c r="E87" s="40" t="n">
        <f aca="false">Seg!$E$46</f>
        <v>134.85</v>
      </c>
      <c r="F87" s="40" t="n">
        <f aca="false">Seg!$F$46</f>
        <v>59.6056141851888</v>
      </c>
      <c r="G87" s="40" t="n">
        <f aca="false">Seg!$G$46</f>
        <v>194.455614185189</v>
      </c>
      <c r="H87" s="40" t="n">
        <f aca="false">Seg!$H$46</f>
        <v>216.80459217381</v>
      </c>
      <c r="I87" s="40" t="n">
        <f aca="false">Seg!$I$46</f>
        <v>238.475078227356</v>
      </c>
      <c r="J87" s="40" t="n">
        <f aca="false">Seg!$J$46</f>
        <v>258.739974865958</v>
      </c>
      <c r="K87" s="40" t="n">
        <f aca="false">Seg!$K$46</f>
        <v>276.851773106575</v>
      </c>
      <c r="L87" s="40" t="n">
        <f aca="false">Seg!$L$46</f>
        <v>296.231397224035</v>
      </c>
      <c r="M87" s="40" t="n">
        <f aca="false">Seg!$M$46</f>
        <v>316.967595029718</v>
      </c>
      <c r="N87" s="40" t="n">
        <f aca="false">Seg!$N$46</f>
        <v>119.346</v>
      </c>
      <c r="O87" s="40" t="n">
        <f aca="false">Seg!$O$46</f>
        <v>52.816</v>
      </c>
    </row>
    <row r="88" customFormat="false" ht="15" hidden="false" customHeight="false" outlineLevel="0" collapsed="false">
      <c r="A88" s="0" t="s">
        <v>567</v>
      </c>
      <c r="B88" s="0" t="s">
        <v>91</v>
      </c>
      <c r="C88" s="40" t="n">
        <f aca="false">Seg!$C$48</f>
        <v>56.214</v>
      </c>
      <c r="D88" s="40" t="n">
        <f aca="false">Seg!$D$48</f>
        <v>68.635</v>
      </c>
      <c r="E88" s="40" t="n">
        <f aca="false">Seg!$E$48</f>
        <v>56.689</v>
      </c>
      <c r="F88" s="40" t="n">
        <f aca="false">Seg!$F$48</f>
        <v>25.5080393747055</v>
      </c>
      <c r="G88" s="40" t="n">
        <f aca="false">Seg!$G$48</f>
        <v>82.1970393747055</v>
      </c>
      <c r="H88" s="40" t="n">
        <f aca="false">Seg!$H$48</f>
        <v>96.4608782883025</v>
      </c>
      <c r="I88" s="40" t="n">
        <f aca="false">Seg!$I$48</f>
        <v>110.835624413712</v>
      </c>
      <c r="J88" s="40" t="n">
        <f aca="false">Seg!$J$48</f>
        <v>124.635851912673</v>
      </c>
      <c r="K88" s="40" t="n">
        <f aca="false">Seg!$K$48</f>
        <v>137.09943710394</v>
      </c>
      <c r="L88" s="40" t="n">
        <f aca="false">Seg!$L$48</f>
        <v>150.809380814334</v>
      </c>
      <c r="M88" s="40" t="n">
        <f aca="false">Seg!$M$48</f>
        <v>165.890318895768</v>
      </c>
      <c r="N88" s="40" t="n">
        <f aca="false">Seg!$N$48</f>
        <v>47.318</v>
      </c>
      <c r="O88" s="40" t="n">
        <f aca="false">Seg!$O$48</f>
        <v>21.317</v>
      </c>
    </row>
    <row r="89" customFormat="false" ht="15" hidden="false" customHeight="false" outlineLevel="0" collapsed="false">
      <c r="A89" s="0" t="s">
        <v>568</v>
      </c>
      <c r="B89" s="0" t="s">
        <v>91</v>
      </c>
      <c r="C89" s="40" t="n">
        <f aca="false">Seg!$C$50</f>
        <v>44.374</v>
      </c>
      <c r="D89" s="40" t="n">
        <f aca="false">Seg!$D$50</f>
        <v>49.619</v>
      </c>
      <c r="E89" s="40" t="n">
        <f aca="false">Seg!$E$50</f>
        <v>41.163</v>
      </c>
      <c r="F89" s="40" t="n">
        <f aca="false">Seg!$F$50</f>
        <v>14.7818388144754</v>
      </c>
      <c r="G89" s="40" t="n">
        <f aca="false">Seg!$G$50</f>
        <v>55.9448388144754</v>
      </c>
      <c r="H89" s="40" t="n">
        <f aca="false">Seg!$H$50</f>
        <v>62.2881216081287</v>
      </c>
      <c r="I89" s="40" t="n">
        <f aca="false">Seg!$I$50</f>
        <v>68.4498533343906</v>
      </c>
      <c r="J89" s="40" t="n">
        <f aca="false">Seg!$J$50</f>
        <v>74.2312327495396</v>
      </c>
      <c r="K89" s="40" t="n">
        <f aca="false">Seg!$K$50</f>
        <v>79.4274190420074</v>
      </c>
      <c r="L89" s="40" t="n">
        <f aca="false">Seg!$L$50</f>
        <v>84.9873383749479</v>
      </c>
      <c r="M89" s="40" t="n">
        <f aca="false">Seg!$M$50</f>
        <v>90.9364520611943</v>
      </c>
      <c r="N89" s="40" t="n">
        <f aca="false">Seg!$N$50</f>
        <v>36.497</v>
      </c>
      <c r="O89" s="40" t="n">
        <f aca="false">Seg!$O$50</f>
        <v>13.122</v>
      </c>
    </row>
    <row r="90" customFormat="false" ht="15" hidden="false" customHeight="false" outlineLevel="0" collapsed="false">
      <c r="A90" s="0" t="s">
        <v>569</v>
      </c>
      <c r="B90" s="0" t="s">
        <v>91</v>
      </c>
      <c r="C90" s="40" t="n">
        <f aca="false">Seg!$C$52</f>
        <v>5.425</v>
      </c>
      <c r="D90" s="40" t="n">
        <f aca="false">Seg!$D$52</f>
        <v>5.935</v>
      </c>
      <c r="E90" s="40" t="n">
        <f aca="false">Seg!$E$52</f>
        <v>5.119</v>
      </c>
      <c r="F90" s="40" t="n">
        <f aca="false">Seg!$F$52</f>
        <v>2.06764643489463</v>
      </c>
      <c r="G90" s="40" t="n">
        <f aca="false">Seg!$G$52</f>
        <v>7.18664643489463</v>
      </c>
      <c r="H90" s="40" t="n">
        <f aca="false">Seg!$H$52</f>
        <v>8.41544223415965</v>
      </c>
      <c r="I90" s="40" t="n">
        <f aca="false">Seg!$I$52</f>
        <v>9.51496576222195</v>
      </c>
      <c r="J90" s="40" t="n">
        <f aca="false">Seg!$J$52</f>
        <v>10.3744310498661</v>
      </c>
      <c r="K90" s="40" t="n">
        <f aca="false">Seg!$K$52</f>
        <v>10.8931526023594</v>
      </c>
      <c r="L90" s="40" t="n">
        <f aca="false">Seg!$L$52</f>
        <v>11.4378102324774</v>
      </c>
      <c r="M90" s="40" t="n">
        <f aca="false">Seg!$M$52</f>
        <v>12.0097007441012</v>
      </c>
      <c r="N90" s="40" t="n">
        <f aca="false">Seg!$N$52</f>
        <v>4.226</v>
      </c>
      <c r="O90" s="40" t="n">
        <f aca="false">Seg!$O$52</f>
        <v>1.709</v>
      </c>
    </row>
    <row r="91" customFormat="false" ht="17.15" hidden="false" customHeight="false" outlineLevel="0" collapsed="false">
      <c r="A91" s="0" t="s">
        <v>776</v>
      </c>
      <c r="B91" s="0" t="s">
        <v>91</v>
      </c>
      <c r="C91" s="40" t="n">
        <f aca="false">Seg!$C$64</f>
        <v>107.556</v>
      </c>
      <c r="D91" s="40" t="n">
        <f aca="false">Seg!$D$64</f>
        <v>128.725</v>
      </c>
      <c r="E91" s="40" t="n">
        <f aca="false">Seg!$E$64</f>
        <v>125.803</v>
      </c>
      <c r="F91" s="40" t="n">
        <f aca="false">Seg!$F$64</f>
        <v>45.0963423217632</v>
      </c>
      <c r="G91" s="40" t="n">
        <f aca="false">Seg!$G$64</f>
        <v>170.899342321763</v>
      </c>
      <c r="H91" s="40" t="n">
        <f aca="false">Seg!$H$64</f>
        <v>218.851509622147</v>
      </c>
      <c r="I91" s="40" t="n">
        <f aca="false">Seg!$I$64</f>
        <v>272.156731167089</v>
      </c>
      <c r="J91" s="40" t="n">
        <f aca="false">Seg!$J$64</f>
        <v>324.888479539111</v>
      </c>
      <c r="K91" s="40" t="n">
        <f aca="false">Seg!$K$64</f>
        <v>371.048241892178</v>
      </c>
      <c r="L91" s="40" t="n">
        <f aca="false">Seg!$L$64</f>
        <v>408.158699298813</v>
      </c>
      <c r="M91" s="40" t="n">
        <f aca="false">Seg!$M$64</f>
        <v>436.291340823472</v>
      </c>
      <c r="N91" s="40" t="n">
        <f aca="false">Seg!$N$64</f>
        <v>93.146</v>
      </c>
      <c r="O91" s="40" t="n">
        <f aca="false">Seg!$O$64</f>
        <v>35.579</v>
      </c>
    </row>
    <row r="92" customFormat="false" ht="15" hidden="false" customHeight="false" outlineLevel="0" collapsed="false">
      <c r="A92" s="1" t="s">
        <v>557</v>
      </c>
      <c r="B92" s="8" t="s">
        <v>91</v>
      </c>
      <c r="C92" s="40" t="n">
        <f aca="false">Seg!$C$57</f>
        <v>387.497</v>
      </c>
      <c r="D92" s="40" t="n">
        <f aca="false">Seg!$D$57</f>
        <v>426.305</v>
      </c>
      <c r="E92" s="40" t="n">
        <f aca="false">Seg!$E$57</f>
        <v>333.172</v>
      </c>
      <c r="F92" s="40" t="n">
        <f aca="false">Seg!$F$57</f>
        <v>141.803933639977</v>
      </c>
      <c r="G92" s="40" t="n">
        <f aca="false">Seg!$G$57</f>
        <v>474.975933639977</v>
      </c>
      <c r="H92" s="40" t="n">
        <f aca="false">Seg!$H$57</f>
        <v>524.566728590708</v>
      </c>
      <c r="I92" s="40" t="n">
        <f aca="false">Seg!$I$57</f>
        <v>572.569560425675</v>
      </c>
      <c r="J92" s="40" t="n">
        <f aca="false">Seg!$J$57</f>
        <v>617.334825989679</v>
      </c>
      <c r="K92" s="40" t="n">
        <f aca="false">Seg!$K$57</f>
        <v>657.154313491738</v>
      </c>
      <c r="L92" s="40" t="n">
        <f aca="false">Seg!$L$57</f>
        <v>699.741557349269</v>
      </c>
      <c r="M92" s="40" t="n">
        <f aca="false">Seg!$M$57</f>
        <v>745.303288602707</v>
      </c>
      <c r="N92" s="40" t="n">
        <f aca="false">Seg!$N$57</f>
        <v>299.222</v>
      </c>
      <c r="O92" s="40" t="n">
        <f aca="false">Seg!$O$57</f>
        <v>127.083</v>
      </c>
    </row>
    <row r="93" customFormat="false" ht="15" hidden="false" customHeight="false" outlineLevel="0" collapsed="false">
      <c r="A93" s="1" t="s">
        <v>560</v>
      </c>
      <c r="B93" s="8" t="s">
        <v>91</v>
      </c>
      <c r="C93" s="40" t="n">
        <f aca="false">Seg!$C$58</f>
        <v>142.906</v>
      </c>
      <c r="D93" s="40" t="n">
        <f aca="false">Seg!$D$58</f>
        <v>161.894</v>
      </c>
      <c r="E93" s="40" t="n">
        <f aca="false">Seg!$E$58</f>
        <v>125.094</v>
      </c>
      <c r="F93" s="40" t="n">
        <f aca="false">Seg!$F$58</f>
        <v>56.5997240382599</v>
      </c>
      <c r="G93" s="40" t="n">
        <f aca="false">Seg!$G$58</f>
        <v>181.69372403826</v>
      </c>
      <c r="H93" s="40" t="n">
        <f aca="false">Seg!$H$58</f>
        <v>200.663814045906</v>
      </c>
      <c r="I93" s="40" t="n">
        <f aca="false">Seg!$I$58</f>
        <v>219.026456577366</v>
      </c>
      <c r="J93" s="40" t="n">
        <f aca="false">Seg!$J$58</f>
        <v>236.150624839017</v>
      </c>
      <c r="K93" s="40" t="n">
        <f aca="false">Seg!$K$58</f>
        <v>251.382872330167</v>
      </c>
      <c r="L93" s="40" t="n">
        <f aca="false">Seg!$L$58</f>
        <v>267.673876536846</v>
      </c>
      <c r="M93" s="40" t="n">
        <f aca="false">Seg!$M$58</f>
        <v>285.102718797604</v>
      </c>
      <c r="N93" s="40" t="n">
        <f aca="false">Seg!$N$58</f>
        <v>111.17</v>
      </c>
      <c r="O93" s="40" t="n">
        <f aca="false">Seg!$O$58</f>
        <v>50.724</v>
      </c>
    </row>
    <row r="94" customFormat="false" ht="15" hidden="false" customHeight="false" outlineLevel="0" collapsed="false">
      <c r="A94" s="1" t="s">
        <v>561</v>
      </c>
      <c r="B94" s="8" t="s">
        <v>91</v>
      </c>
      <c r="C94" s="40" t="n">
        <f aca="false">Seg!$C$64</f>
        <v>107.556</v>
      </c>
      <c r="D94" s="40" t="n">
        <f aca="false">Seg!$D$64</f>
        <v>128.725</v>
      </c>
      <c r="E94" s="40" t="n">
        <f aca="false">Seg!$E$64</f>
        <v>125.803</v>
      </c>
      <c r="F94" s="40" t="n">
        <f aca="false">Seg!$F$64</f>
        <v>45.0963423217632</v>
      </c>
      <c r="G94" s="40" t="n">
        <f aca="false">Seg!$G$64</f>
        <v>170.899342321763</v>
      </c>
      <c r="H94" s="40" t="n">
        <f aca="false">Seg!$H$64</f>
        <v>218.851509622147</v>
      </c>
      <c r="I94" s="40" t="n">
        <f aca="false">Seg!$I$64</f>
        <v>272.156731167089</v>
      </c>
      <c r="J94" s="40" t="n">
        <f aca="false">Seg!$J$64</f>
        <v>324.888479539111</v>
      </c>
      <c r="K94" s="40" t="n">
        <f aca="false">Seg!$K$64</f>
        <v>371.048241892178</v>
      </c>
      <c r="L94" s="40" t="n">
        <f aca="false">Seg!$L$64</f>
        <v>408.158699298813</v>
      </c>
      <c r="M94" s="40" t="n">
        <f aca="false">Seg!$M$64</f>
        <v>436.291340823472</v>
      </c>
      <c r="N94" s="40" t="n">
        <f aca="false">Seg!$N$64</f>
        <v>93.146</v>
      </c>
      <c r="O94" s="40" t="n">
        <f aca="false">Seg!$O$64</f>
        <v>35.579</v>
      </c>
    </row>
    <row r="95" customFormat="false" ht="17.15" hidden="false" customHeight="false" outlineLevel="0" collapsed="false">
      <c r="A95" s="0" t="s">
        <v>750</v>
      </c>
      <c r="B95" s="0" t="s">
        <v>91</v>
      </c>
      <c r="C95" s="40" t="n">
        <f aca="false">Seg!$C$62</f>
        <v>2.32100535697364</v>
      </c>
      <c r="D95" s="40" t="n">
        <f aca="false">Seg!$D$62</f>
        <v>8.70377008865116</v>
      </c>
      <c r="E95" s="40" t="n">
        <f aca="false">Seg!$E$62</f>
        <v>16.2007080559478</v>
      </c>
      <c r="F95" s="40" t="n">
        <f aca="false">Seg!$F$62</f>
        <v>8.11668198621236</v>
      </c>
      <c r="G95" s="40" t="n">
        <f aca="false">Seg!$G$62</f>
        <v>24.3173900421601</v>
      </c>
      <c r="H95" s="40" t="n">
        <f aca="false">Seg!$H$62</f>
        <v>53.8910944539304</v>
      </c>
      <c r="I95" s="40" t="n">
        <f aca="false">Seg!$I$62</f>
        <v>89.008867070189</v>
      </c>
      <c r="J95" s="40" t="n">
        <f aca="false">Seg!$J$62</f>
        <v>124.318362246843</v>
      </c>
      <c r="K95" s="40" t="n">
        <f aca="false">Seg!$K$62</f>
        <v>154.432515216528</v>
      </c>
      <c r="L95" s="40" t="n">
        <f aca="false">Seg!$L$62</f>
        <v>174.213714489111</v>
      </c>
      <c r="M95" s="40" t="n">
        <f aca="false">Seg!$M$62</f>
        <v>183.630757228994</v>
      </c>
      <c r="N95" s="40" t="n">
        <f aca="false">Seg!$N$62</f>
        <v>5.54865343151512</v>
      </c>
      <c r="O95" s="40" t="n">
        <f aca="false">Seg!$O$62</f>
        <v>3.15511665713605</v>
      </c>
    </row>
    <row r="96" customFormat="false" ht="17.15" hidden="false" customHeight="false" outlineLevel="0" collapsed="false">
      <c r="A96" s="0" t="s">
        <v>752</v>
      </c>
      <c r="B96" s="0" t="s">
        <v>91</v>
      </c>
      <c r="C96" s="40" t="n">
        <f aca="false">Seg!$C$63</f>
        <v>105.234994643026</v>
      </c>
      <c r="D96" s="40" t="n">
        <f aca="false">Seg!$D$63</f>
        <v>120.021229911349</v>
      </c>
      <c r="E96" s="40" t="n">
        <f aca="false">Seg!$E$63</f>
        <v>109.602291944052</v>
      </c>
      <c r="F96" s="40" t="n">
        <f aca="false">Seg!$F$63</f>
        <v>36.9796603355509</v>
      </c>
      <c r="G96" s="40" t="n">
        <f aca="false">Seg!$G$63</f>
        <v>146.581952279603</v>
      </c>
      <c r="H96" s="40" t="n">
        <f aca="false">Seg!$H$63</f>
        <v>164.960415168217</v>
      </c>
      <c r="I96" s="40" t="n">
        <f aca="false">Seg!$I$63</f>
        <v>183.1478640969</v>
      </c>
      <c r="J96" s="40" t="n">
        <f aca="false">Seg!$J$63</f>
        <v>200.570117292268</v>
      </c>
      <c r="K96" s="40" t="n">
        <f aca="false">Seg!$K$63</f>
        <v>216.615726675649</v>
      </c>
      <c r="L96" s="40" t="n">
        <f aca="false">Seg!$L$63</f>
        <v>233.944984809701</v>
      </c>
      <c r="M96" s="40" t="n">
        <f aca="false">Seg!$M$63</f>
        <v>252.660583594477</v>
      </c>
      <c r="N96" s="40" t="n">
        <f aca="false">Seg!$N$63</f>
        <v>87.5973465684849</v>
      </c>
      <c r="O96" s="40" t="n">
        <f aca="false">Seg!$O$63</f>
        <v>32.423883342864</v>
      </c>
    </row>
    <row r="97" customFormat="false" ht="15" hidden="false" customHeight="false" outlineLevel="0" collapsed="false">
      <c r="A97" s="3" t="s">
        <v>562</v>
      </c>
      <c r="B97" s="8" t="s">
        <v>91</v>
      </c>
      <c r="C97" s="40" t="n">
        <f aca="false">Seg!$C$65</f>
        <v>637.959</v>
      </c>
      <c r="D97" s="40" t="n">
        <f aca="false">Seg!$D$65</f>
        <v>716.924</v>
      </c>
      <c r="E97" s="40" t="n">
        <f aca="false">Seg!$E$65</f>
        <v>584.069</v>
      </c>
      <c r="F97" s="40" t="n">
        <f aca="false">Seg!$F$65</f>
        <v>243.5</v>
      </c>
      <c r="G97" s="40" t="n">
        <f aca="false">Seg!$G$65</f>
        <v>827.569</v>
      </c>
      <c r="H97" s="40" t="n">
        <f aca="false">Seg!$H$65</f>
        <v>944.082052258761</v>
      </c>
      <c r="I97" s="40" t="n">
        <f aca="false">Seg!$I$65</f>
        <v>1063.75274817013</v>
      </c>
      <c r="J97" s="40" t="n">
        <f aca="false">Seg!$J$65</f>
        <v>1178.37393036781</v>
      </c>
      <c r="K97" s="40" t="n">
        <f aca="false">Seg!$K$65</f>
        <v>1279.58542771408</v>
      </c>
      <c r="L97" s="40" t="n">
        <f aca="false">Seg!$L$65</f>
        <v>1375.57413318493</v>
      </c>
      <c r="M97" s="40" t="n">
        <f aca="false">Seg!$M$65</f>
        <v>1466.69734822378</v>
      </c>
      <c r="N97" s="40" t="n">
        <f aca="false">Seg!$N$65</f>
        <v>503.538</v>
      </c>
      <c r="O97" s="40" t="n">
        <f aca="false">Seg!$O$65</f>
        <v>213.386</v>
      </c>
    </row>
    <row r="98" customFormat="false" ht="17.15" hidden="false" customHeight="false" outlineLevel="0" collapsed="false">
      <c r="A98" s="27" t="s">
        <v>762</v>
      </c>
      <c r="B98" s="28" t="s">
        <v>91</v>
      </c>
      <c r="C98" s="43" t="n">
        <f aca="false">PL!$C$85+PL!$C$86+PL!$C$87+PL!$C$88+PL!$C$89+PL!$C$90-(PL!$C$92+PL!$C$93)</f>
        <v>0</v>
      </c>
      <c r="D98" s="43" t="n">
        <f aca="false">PL!$D$85+PL!$D$86+PL!$D$87+PL!$D$88+PL!$D$89+PL!$D$90-(PL!$D$92+PL!$D$93)</f>
        <v>0</v>
      </c>
      <c r="E98" s="43" t="n">
        <f aca="false">PL!$E$85+PL!$E$86+PL!$E$87+PL!$E$88+PL!$E$89+PL!$E$90-(PL!$E$92+PL!$E$93)</f>
        <v>0</v>
      </c>
      <c r="F98" s="43" t="n">
        <f aca="false">PL!$F$85+PL!$F$86+PL!$F$87+PL!$F$88+PL!$F$89+PL!$F$90-(PL!$F$92+PL!$F$93)</f>
        <v>0</v>
      </c>
      <c r="G98" s="43" t="n">
        <f aca="false">PL!$G$85+PL!$G$86+PL!$G$87+PL!$G$88+PL!$G$89+PL!$G$90-(PL!$G$92+PL!$G$93)</f>
        <v>0</v>
      </c>
      <c r="H98" s="43" t="n">
        <f aca="false">PL!$H$85+PL!$H$86+PL!$H$87+PL!$H$88+PL!$H$89+PL!$H$90-(PL!$H$92+PL!$H$93)</f>
        <v>0</v>
      </c>
      <c r="I98" s="43" t="n">
        <f aca="false">PL!$I$85+PL!$I$86+PL!$I$87+PL!$I$88+PL!$I$89+PL!$I$90-(PL!$I$92+PL!$I$93)</f>
        <v>0</v>
      </c>
      <c r="J98" s="43" t="n">
        <f aca="false">PL!$J$85+PL!$J$86+PL!$J$87+PL!$J$88+PL!$J$89+PL!$J$90-(PL!$J$92+PL!$J$93)</f>
        <v>0</v>
      </c>
      <c r="K98" s="43" t="n">
        <f aca="false">PL!$K$85+PL!$K$86+PL!$K$87+PL!$K$88+PL!$K$89+PL!$K$90-(PL!$K$92+PL!$K$93)</f>
        <v>0</v>
      </c>
      <c r="L98" s="43" t="n">
        <f aca="false">PL!$L$85+PL!$L$86+PL!$L$87+PL!$L$88+PL!$L$89+PL!$L$90-(PL!$L$92+PL!$L$93)</f>
        <v>0</v>
      </c>
      <c r="M98" s="43" t="n">
        <f aca="false">PL!$M$85+PL!$M$86+PL!$M$87+PL!$M$88+PL!$M$89+PL!$M$90-(PL!$M$92+PL!$M$93)</f>
        <v>0</v>
      </c>
      <c r="N98" s="43" t="n">
        <f aca="false">PL!$N$85+PL!$N$86+PL!$N$87+PL!$N$88+PL!$N$89+PL!$N$90-(PL!$N$92+PL!$N$93)</f>
        <v>0</v>
      </c>
      <c r="O98" s="43" t="n">
        <f aca="false">PL!$O$85+PL!$O$86+PL!$O$87+PL!$O$88+PL!$O$89+PL!$O$90-(PL!$O$92+PL!$O$93)</f>
        <v>0</v>
      </c>
    </row>
    <row r="99" customFormat="false" ht="17.15" hidden="false" customHeight="false" outlineLevel="0" collapsed="false">
      <c r="A99" s="27" t="s">
        <v>763</v>
      </c>
      <c r="B99" s="28" t="s">
        <v>91</v>
      </c>
      <c r="C99" s="43" t="n">
        <f aca="false">PL!$C$95+PL!$C$96-PL!$C$94</f>
        <v>0</v>
      </c>
      <c r="D99" s="43" t="n">
        <f aca="false">PL!$D$95+PL!$D$96-PL!$D$94</f>
        <v>0</v>
      </c>
      <c r="E99" s="43" t="n">
        <f aca="false">PL!$E$95+PL!$E$96-PL!$E$94</f>
        <v>0</v>
      </c>
      <c r="F99" s="43" t="n">
        <f aca="false">PL!$F$95+PL!$F$96-PL!$F$94</f>
        <v>0</v>
      </c>
      <c r="G99" s="43" t="n">
        <f aca="false">PL!$G$95+PL!$G$96-PL!$G$94</f>
        <v>0</v>
      </c>
      <c r="H99" s="43" t="n">
        <f aca="false">PL!$H$95+PL!$H$96-PL!$H$94</f>
        <v>0</v>
      </c>
      <c r="I99" s="43" t="n">
        <f aca="false">PL!$I$95+PL!$I$96-PL!$I$94</f>
        <v>0</v>
      </c>
      <c r="J99" s="43" t="n">
        <f aca="false">PL!$J$95+PL!$J$96-PL!$J$94</f>
        <v>0</v>
      </c>
      <c r="K99" s="43" t="n">
        <f aca="false">PL!$K$95+PL!$K$96-PL!$K$94</f>
        <v>0</v>
      </c>
      <c r="L99" s="43" t="n">
        <f aca="false">PL!$L$95+PL!$L$96-PL!$L$94</f>
        <v>0</v>
      </c>
      <c r="M99" s="43" t="n">
        <f aca="false">PL!$M$95+PL!$M$96-PL!$M$94</f>
        <v>0</v>
      </c>
      <c r="N99" s="43" t="n">
        <f aca="false">PL!$N$95+PL!$N$96-PL!$N$94</f>
        <v>0</v>
      </c>
      <c r="O99" s="43" t="n">
        <f aca="false">PL!$O$95+PL!$O$96-PL!$O$94</f>
        <v>0</v>
      </c>
    </row>
    <row r="100" customFormat="false" ht="17.15" hidden="false" customHeight="false" outlineLevel="0" collapsed="false">
      <c r="A100" s="27" t="s">
        <v>822</v>
      </c>
      <c r="B100" s="28" t="s">
        <v>91</v>
      </c>
      <c r="C100" s="43" t="n">
        <f aca="false">PL!$C$85+PL!$C$86+PL!$C$87+PL!$C$88+PL!$C$89+PL!$C$90+PL!$C$91-PL!$C$97</f>
        <v>0</v>
      </c>
      <c r="D100" s="43" t="n">
        <f aca="false">PL!$D$85+PL!$D$86+PL!$D$87+PL!$D$88+PL!$D$89+PL!$D$90+PL!$D$91-PL!$D$97</f>
        <v>0</v>
      </c>
      <c r="E100" s="43" t="n">
        <f aca="false">PL!$E$85+PL!$E$86+PL!$E$87+PL!$E$88+PL!$E$89+PL!$E$90+PL!$E$91-PL!$E$97</f>
        <v>0</v>
      </c>
      <c r="F100" s="43" t="n">
        <f aca="false">PL!$F$85+PL!$F$86+PL!$F$87+PL!$F$88+PL!$F$89+PL!$F$90+PL!$F$91-PL!$F$97</f>
        <v>0</v>
      </c>
      <c r="G100" s="43" t="n">
        <f aca="false">PL!$G$85+PL!$G$86+PL!$G$87+PL!$G$88+PL!$G$89+PL!$G$90+PL!$G$91-PL!$G$97</f>
        <v>0</v>
      </c>
      <c r="H100" s="43" t="n">
        <f aca="false">PL!$H$85+PL!$H$86+PL!$H$87+PL!$H$88+PL!$H$89+PL!$H$90+PL!$H$91-PL!$H$97</f>
        <v>0</v>
      </c>
      <c r="I100" s="43" t="n">
        <f aca="false">PL!$I$85+PL!$I$86+PL!$I$87+PL!$I$88+PL!$I$89+PL!$I$90+PL!$I$91-PL!$I$97</f>
        <v>0</v>
      </c>
      <c r="J100" s="43" t="n">
        <f aca="false">PL!$J$85+PL!$J$86+PL!$J$87+PL!$J$88+PL!$J$89+PL!$J$90+PL!$J$91-PL!$J$97</f>
        <v>0</v>
      </c>
      <c r="K100" s="43" t="n">
        <f aca="false">PL!$K$85+PL!$K$86+PL!$K$87+PL!$K$88+PL!$K$89+PL!$K$90+PL!$K$91-PL!$K$97</f>
        <v>0</v>
      </c>
      <c r="L100" s="43" t="n">
        <f aca="false">PL!$L$85+PL!$L$86+PL!$L$87+PL!$L$88+PL!$L$89+PL!$L$90+PL!$L$91-PL!$L$97</f>
        <v>0</v>
      </c>
      <c r="M100" s="43" t="n">
        <f aca="false">PL!$M$85+PL!$M$86+PL!$M$87+PL!$M$88+PL!$M$89+PL!$M$90+PL!$M$91-PL!$M$97</f>
        <v>0</v>
      </c>
      <c r="N100" s="43" t="n">
        <f aca="false">PL!$N$85+PL!$N$86+PL!$N$87+PL!$N$88+PL!$N$89+PL!$N$90+PL!$N$91-PL!$N$97</f>
        <v>0</v>
      </c>
      <c r="O100" s="43" t="n">
        <f aca="false">PL!$O$85+PL!$O$86+PL!$O$87+PL!$O$88+PL!$O$89+PL!$O$90+PL!$O$91-PL!$O$97</f>
        <v>0</v>
      </c>
    </row>
    <row r="101" customFormat="false" ht="17.15" hidden="false" customHeight="false" outlineLevel="0" collapsed="false">
      <c r="A101" s="27" t="s">
        <v>764</v>
      </c>
      <c r="B101" s="28" t="s">
        <v>91</v>
      </c>
      <c r="C101" s="43" t="n">
        <f aca="false">PL!$C$92+PL!$C$93+PL!$C$94-PL!$C$97</f>
        <v>0</v>
      </c>
      <c r="D101" s="43" t="n">
        <f aca="false">PL!$D$92+PL!$D$93+PL!$D$94-PL!$D$97</f>
        <v>0</v>
      </c>
      <c r="E101" s="43" t="n">
        <f aca="false">PL!$E$92+PL!$E$93+PL!$E$94-PL!$E$97</f>
        <v>0</v>
      </c>
      <c r="F101" s="43" t="n">
        <f aca="false">PL!$F$92+PL!$F$93+PL!$F$94-PL!$F$97</f>
        <v>0</v>
      </c>
      <c r="G101" s="43" t="n">
        <f aca="false">PL!$G$92+PL!$G$93+PL!$G$94-PL!$G$97</f>
        <v>0</v>
      </c>
      <c r="H101" s="43" t="n">
        <f aca="false">PL!$H$92+PL!$H$93+PL!$H$94-PL!$H$97</f>
        <v>0</v>
      </c>
      <c r="I101" s="43" t="n">
        <f aca="false">PL!$I$92+PL!$I$93+PL!$I$94-PL!$I$97</f>
        <v>0</v>
      </c>
      <c r="J101" s="43" t="n">
        <f aca="false">PL!$J$92+PL!$J$93+PL!$J$94-PL!$J$97</f>
        <v>0</v>
      </c>
      <c r="K101" s="43" t="n">
        <f aca="false">PL!$K$92+PL!$K$93+PL!$K$94-PL!$K$97</f>
        <v>0</v>
      </c>
      <c r="L101" s="43" t="n">
        <f aca="false">PL!$L$92+PL!$L$93+PL!$L$94-PL!$L$97</f>
        <v>0</v>
      </c>
      <c r="M101" s="43" t="n">
        <f aca="false">PL!$M$92+PL!$M$93+PL!$M$94-PL!$M$97</f>
        <v>0</v>
      </c>
      <c r="N101" s="43" t="n">
        <f aca="false">PL!$N$92+PL!$N$93+PL!$N$94-PL!$N$97</f>
        <v>0</v>
      </c>
      <c r="O101" s="43" t="n">
        <f aca="false">PL!$O$92+PL!$O$93+PL!$O$94-PL!$O$97</f>
        <v>0</v>
      </c>
    </row>
    <row r="102" customFormat="false" ht="17.15" hidden="false" customHeight="false" outlineLevel="0" collapsed="false">
      <c r="A102" s="1" t="s">
        <v>778</v>
      </c>
    </row>
    <row r="103" customFormat="false" ht="17.15" hidden="false" customHeight="false" outlineLevel="0" collapsed="false">
      <c r="A103" s="0" t="s">
        <v>779</v>
      </c>
      <c r="B103" s="0" t="s">
        <v>91</v>
      </c>
      <c r="C103" s="40" t="n">
        <f aca="false">Seg!$C$59*m_ad</f>
        <v>20.5341564414228</v>
      </c>
      <c r="D103" s="40" t="n">
        <f aca="false">Seg!$D$59*m_ad</f>
        <v>24.8720617299587</v>
      </c>
      <c r="E103" s="40" t="n">
        <f aca="false">Seg!$E$59*m_ad</f>
        <v>20.6072319438929</v>
      </c>
      <c r="F103" s="40" t="n">
        <f aca="false">Seg!$F$59*m_ad</f>
        <v>9.11560896886989</v>
      </c>
      <c r="G103" s="40" t="n">
        <f aca="false">Seg!$G$59*m_ad</f>
        <v>29.7269830141693</v>
      </c>
      <c r="H103" s="40" t="n">
        <f aca="false">Seg!$H$59*m_ad</f>
        <v>34.885573887113</v>
      </c>
      <c r="I103" s="40" t="n">
        <f aca="false">Seg!$I$59*m_ad</f>
        <v>40.0842749249334</v>
      </c>
      <c r="J103" s="40" t="n">
        <f aca="false">Seg!$J$59*m_ad</f>
        <v>45.0751983398651</v>
      </c>
      <c r="K103" s="40" t="n">
        <f aca="false">Seg!$K$59*m_ad</f>
        <v>49.5827181738516</v>
      </c>
      <c r="L103" s="40" t="n">
        <f aca="false">Seg!$L$59*m_ad</f>
        <v>54.5409899912368</v>
      </c>
      <c r="M103" s="40" t="n">
        <f aca="false">Seg!$M$59*m_ad</f>
        <v>59.9950889903605</v>
      </c>
      <c r="N103" s="40" t="n">
        <f aca="false">Seg!$N$59*m_ad</f>
        <v>17.2500762636699</v>
      </c>
      <c r="O103" s="40" t="n">
        <f aca="false">Seg!$O$59*m_ad</f>
        <v>7.61788993402959</v>
      </c>
    </row>
    <row r="104" customFormat="false" ht="17.15" hidden="false" customHeight="false" outlineLevel="0" collapsed="false">
      <c r="A104" s="0" t="s">
        <v>780</v>
      </c>
      <c r="B104" s="0" t="s">
        <v>91</v>
      </c>
      <c r="C104" s="40" t="n">
        <f aca="false">Seg!$C$57-Seg!$C$59</f>
        <v>346.428687117154</v>
      </c>
      <c r="D104" s="40" t="n">
        <f aca="false">Seg!$D$57-Seg!$D$59</f>
        <v>376.560876540083</v>
      </c>
      <c r="E104" s="40" t="n">
        <f aca="false">Seg!$E$57-Seg!$E$59</f>
        <v>291.957536112214</v>
      </c>
      <c r="F104" s="40" t="n">
        <f aca="false">Seg!$F$57-Seg!$F$59</f>
        <v>123.572715702237</v>
      </c>
      <c r="G104" s="40" t="n">
        <f aca="false">Seg!$G$57-Seg!$G$59</f>
        <v>415.521967611638</v>
      </c>
      <c r="H104" s="40" t="n">
        <f aca="false">Seg!$H$57-Seg!$H$59</f>
        <v>454.795580816482</v>
      </c>
      <c r="I104" s="40" t="n">
        <f aca="false">Seg!$I$57-Seg!$I$59</f>
        <v>492.401010575808</v>
      </c>
      <c r="J104" s="40" t="n">
        <f aca="false">Seg!$J$57-Seg!$J$59</f>
        <v>527.184429309948</v>
      </c>
      <c r="K104" s="40" t="n">
        <f aca="false">Seg!$K$57-Seg!$K$59</f>
        <v>557.988877144035</v>
      </c>
      <c r="L104" s="40" t="n">
        <f aca="false">Seg!$L$57-Seg!$L$59</f>
        <v>590.659577366795</v>
      </c>
      <c r="M104" s="40" t="n">
        <f aca="false">Seg!$M$57-Seg!$M$59</f>
        <v>625.313110621986</v>
      </c>
      <c r="N104" s="40" t="n">
        <f aca="false">Seg!$N$57-Seg!$N$59</f>
        <v>264.72184747266</v>
      </c>
      <c r="O104" s="40" t="n">
        <f aca="false">Seg!$O$57-Seg!$O$59</f>
        <v>111.847220131941</v>
      </c>
    </row>
    <row r="105" customFormat="false" ht="17.15" hidden="false" customHeight="false" outlineLevel="0" collapsed="false">
      <c r="A105" s="0" t="s">
        <v>781</v>
      </c>
      <c r="B105" s="0" t="s">
        <v>91</v>
      </c>
      <c r="C105" s="40" t="n">
        <f aca="false">Thesis!$C$123*Seg!$C$56</f>
        <v>0.123617442257179</v>
      </c>
      <c r="D105" s="40" t="n">
        <f aca="false">Thesis!$D$123*Seg!$D$56</f>
        <v>0.600198046024689</v>
      </c>
      <c r="E105" s="40" t="n">
        <f aca="false">Thesis!$E$123*Seg!$E$56</f>
        <v>1.79684576634217</v>
      </c>
      <c r="F105" s="40" t="n">
        <f aca="false">Thesis!$F$123*Seg!$F$56</f>
        <v>0.716034696898591</v>
      </c>
      <c r="G105" s="40" t="n">
        <f aca="false">Thesis!$G$123*Seg!$G$56</f>
        <v>2.5122950160711</v>
      </c>
      <c r="H105" s="40" t="n">
        <f aca="false">Thesis!$H$123*Seg!$H$56</f>
        <v>6.1781654144787</v>
      </c>
      <c r="I105" s="40" t="n">
        <f aca="false">Thesis!$I$123*Seg!$I$56</f>
        <v>12.2057887966665</v>
      </c>
      <c r="J105" s="40" t="n">
        <f aca="false">Thesis!$J$123*Seg!$J$56</f>
        <v>17.3895531540207</v>
      </c>
      <c r="K105" s="40" t="n">
        <f aca="false">Thesis!$K$123*Seg!$K$56</f>
        <v>22.4203980731686</v>
      </c>
      <c r="L105" s="40" t="n">
        <f aca="false">Thesis!$L$123*Seg!$L$56</f>
        <v>25.8643648979611</v>
      </c>
      <c r="M105" s="40" t="n">
        <f aca="false">Thesis!$M$123*Seg!$M$56</f>
        <v>27.571787048284</v>
      </c>
      <c r="N105" s="40" t="n">
        <f aca="false">Thesis!$N$123*Seg!$N$56</f>
        <v>0.413319819188593</v>
      </c>
      <c r="O105" s="40" t="n">
        <f aca="false">Thesis!$O$123*Seg!$O$56</f>
        <v>0.186721201823987</v>
      </c>
    </row>
    <row r="106" customFormat="false" ht="17.15" hidden="false" customHeight="false" outlineLevel="0" collapsed="false">
      <c r="A106" s="0" t="s">
        <v>782</v>
      </c>
      <c r="B106" s="0" t="s">
        <v>56</v>
      </c>
      <c r="C106" s="32" t="n">
        <f aca="false">(PL!$C$107-PL!$C$103+PL!$C$105)/PL!$C$104</f>
        <v>0.0131526665379575</v>
      </c>
      <c r="D106" s="32" t="n">
        <f aca="false">(PL!$D$107-PL!$D$103+PL!$D$105)/PL!$D$104</f>
        <v>0.0141999252954702</v>
      </c>
      <c r="E106" s="32" t="n">
        <f aca="false">(PL!$E$107-PL!$E$103+PL!$E$105)/PL!$E$104</f>
        <v>0.0250125888843046</v>
      </c>
      <c r="F106" s="32" t="n">
        <f aca="false">PL!$O$106+(PL!$E$106-PL!$N$106)</f>
        <v>0.056191211622316</v>
      </c>
      <c r="G106" s="32" t="n">
        <f aca="false">(PL!$G$107-PL!$G$103+PL!$G$105)/PL!$G$104</f>
        <v>0.0342739686532108</v>
      </c>
      <c r="H106" s="32" t="n">
        <f aca="false">PL!$G$106+step_na</f>
        <v>0.0372739686532108</v>
      </c>
      <c r="I106" s="32" t="n">
        <f aca="false">PL!$H$106+step_na</f>
        <v>0.0402739686532108</v>
      </c>
      <c r="J106" s="32" t="n">
        <f aca="false">PL!$I$106+step_na</f>
        <v>0.0432739686532108</v>
      </c>
      <c r="K106" s="32" t="n">
        <f aca="false">PL!$J$106+step_na</f>
        <v>0.0462739686532108</v>
      </c>
      <c r="L106" s="32" t="n">
        <f aca="false">PL!$K$106</f>
        <v>0.0462739686532108</v>
      </c>
      <c r="M106" s="32" t="n">
        <f aca="false">PL!$L$106</f>
        <v>0.0462739686532108</v>
      </c>
      <c r="N106" s="32" t="n">
        <f aca="false">(PL!$N$107-PL!$N$103+PL!$N$105)/PL!$N$104</f>
        <v>0.00494951046930139</v>
      </c>
      <c r="O106" s="32" t="n">
        <f aca="false">(PL!$O$107-PL!$O$103+PL!$O$105)/PL!$O$104</f>
        <v>0.0361281332073128</v>
      </c>
      <c r="P106" s="8" t="s">
        <v>783</v>
      </c>
    </row>
    <row r="107" customFormat="false" ht="17.15" hidden="false" customHeight="false" outlineLevel="0" collapsed="false">
      <c r="A107" s="1" t="s">
        <v>784</v>
      </c>
      <c r="B107" s="8" t="s">
        <v>91</v>
      </c>
      <c r="C107" s="40" t="n">
        <f aca="false">Q!$D$23</f>
        <v>24.967</v>
      </c>
      <c r="D107" s="40" t="n">
        <f aca="false">Q!$E$23</f>
        <v>29.619</v>
      </c>
      <c r="E107" s="40" t="n">
        <f aca="false">Q!$O$23</f>
        <v>26.113</v>
      </c>
      <c r="F107" s="40" t="n">
        <f aca="false">PL!$F$103+PL!$F$104*PL!$F$106-PL!$F$105</f>
        <v>15.34327489074</v>
      </c>
      <c r="G107" s="40" t="n">
        <f aca="false">PL!$E$107+PL!$F$107</f>
        <v>41.45627489074</v>
      </c>
      <c r="H107" s="40" t="n">
        <f aca="false">PL!$H$103+PL!$H$104*PL!$H$106-PL!$H$105</f>
        <v>45.6594446956066</v>
      </c>
      <c r="I107" s="40" t="n">
        <f aca="false">PL!$I$103+PL!$I$104*PL!$I$106-PL!$I$105</f>
        <v>47.7094289930064</v>
      </c>
      <c r="J107" s="40" t="n">
        <f aca="false">PL!$J$103+PL!$J$104*PL!$J$106-PL!$J$105</f>
        <v>50.499007654264</v>
      </c>
      <c r="K107" s="40" t="n">
        <f aca="false">PL!$K$103+PL!$K$104*PL!$K$106-PL!$K$105</f>
        <v>52.9826799104864</v>
      </c>
      <c r="L107" s="40" t="n">
        <f aca="false">PL!$L$103+PL!$L$104*PL!$L$106-PL!$L$105</f>
        <v>56.0087878610655</v>
      </c>
      <c r="M107" s="40" t="n">
        <f aca="false">PL!$M$103+PL!$M$104*PL!$M$106-PL!$M$105</f>
        <v>61.35902122144</v>
      </c>
      <c r="N107" s="40" t="n">
        <f aca="false">Q!$N$23</f>
        <v>18.147</v>
      </c>
      <c r="O107" s="40" t="n">
        <f aca="false">Q!$J$23</f>
        <v>11.472</v>
      </c>
    </row>
    <row r="108" customFormat="false" ht="17.15" hidden="false" customHeight="false" outlineLevel="0" collapsed="false">
      <c r="A108" s="0" t="s">
        <v>785</v>
      </c>
      <c r="B108" s="0" t="s">
        <v>91</v>
      </c>
      <c r="C108" s="40" t="n">
        <f aca="false">Seg!$C$60*m_ad</f>
        <v>7.57284355857716</v>
      </c>
      <c r="D108" s="40" t="n">
        <f aca="false">Seg!$D$60*m_ad</f>
        <v>9.44543827004127</v>
      </c>
      <c r="E108" s="40" t="n">
        <f aca="false">Seg!$E$60*m_ad</f>
        <v>7.73726805610715</v>
      </c>
      <c r="F108" s="40" t="n">
        <f aca="false">Seg!$F$60*m_ad</f>
        <v>3.63841071848285</v>
      </c>
      <c r="G108" s="40" t="n">
        <f aca="false">Seg!$G$60*m_ad</f>
        <v>11.3715366731834</v>
      </c>
      <c r="H108" s="40" t="n">
        <f aca="false">Seg!$H$60*m_ad</f>
        <v>13.3448652570383</v>
      </c>
      <c r="I108" s="40" t="n">
        <f aca="false">Seg!$I$60*m_ad</f>
        <v>15.3335372819226</v>
      </c>
      <c r="J108" s="40" t="n">
        <f aca="false">Seg!$J$60*m_ad</f>
        <v>17.2427276164713</v>
      </c>
      <c r="K108" s="40" t="n">
        <f aca="false">Seg!$K$60*m_ad</f>
        <v>18.9670003781185</v>
      </c>
      <c r="L108" s="40" t="n">
        <f aca="false">Seg!$L$60*m_ad</f>
        <v>20.8637004159303</v>
      </c>
      <c r="M108" s="40" t="n">
        <f aca="false">Seg!$M$60*m_ad</f>
        <v>22.9500704575234</v>
      </c>
      <c r="N108" s="40" t="n">
        <f aca="false">Seg!$N$60*m_ad</f>
        <v>6.40892373633015</v>
      </c>
      <c r="O108" s="40" t="n">
        <f aca="false">Seg!$O$60*m_ad</f>
        <v>3.04061006597041</v>
      </c>
    </row>
    <row r="109" customFormat="false" ht="17.15" hidden="false" customHeight="false" outlineLevel="0" collapsed="false">
      <c r="A109" s="0" t="s">
        <v>786</v>
      </c>
      <c r="B109" s="0" t="s">
        <v>91</v>
      </c>
      <c r="C109" s="40" t="n">
        <f aca="false">Seg!$C$58-Seg!$C$60</f>
        <v>127.760312882846</v>
      </c>
      <c r="D109" s="40" t="n">
        <f aca="false">Seg!$D$58-Seg!$D$60</f>
        <v>143.003123459917</v>
      </c>
      <c r="E109" s="40" t="n">
        <f aca="false">Seg!$E$58-Seg!$E$60</f>
        <v>109.619463887786</v>
      </c>
      <c r="F109" s="40" t="n">
        <f aca="false">Seg!$F$58-Seg!$F$60</f>
        <v>49.3229026012942</v>
      </c>
      <c r="G109" s="40" t="n">
        <f aca="false">Seg!$G$58-Seg!$G$60</f>
        <v>158.950650691893</v>
      </c>
      <c r="H109" s="40" t="n">
        <f aca="false">Seg!$H$58-Seg!$H$60</f>
        <v>173.974083531829</v>
      </c>
      <c r="I109" s="40" t="n">
        <f aca="false">Seg!$I$58-Seg!$I$60</f>
        <v>188.359382013521</v>
      </c>
      <c r="J109" s="40" t="n">
        <f aca="false">Seg!$J$58-Seg!$J$60</f>
        <v>201.665169606074</v>
      </c>
      <c r="K109" s="40" t="n">
        <f aca="false">Seg!$K$58-Seg!$K$60</f>
        <v>213.44887157393</v>
      </c>
      <c r="L109" s="40" t="n">
        <f aca="false">Seg!$L$58-Seg!$L$60</f>
        <v>225.946475704985</v>
      </c>
      <c r="M109" s="40" t="n">
        <f aca="false">Seg!$M$58-Seg!$M$60</f>
        <v>239.202577882557</v>
      </c>
      <c r="N109" s="40" t="n">
        <f aca="false">Seg!$N$58-Seg!$N$60</f>
        <v>98.3521525273397</v>
      </c>
      <c r="O109" s="40" t="n">
        <f aca="false">Seg!$O$58-Seg!$O$60</f>
        <v>44.6427798680592</v>
      </c>
    </row>
    <row r="110" customFormat="false" ht="17.15" hidden="false" customHeight="false" outlineLevel="0" collapsed="false">
      <c r="A110" s="0" t="s">
        <v>787</v>
      </c>
      <c r="B110" s="0" t="s">
        <v>91</v>
      </c>
      <c r="C110" s="40" t="n">
        <f aca="false">Thesis!$C$123*(1-Seg!$C$56)</f>
        <v>0.0455891896019953</v>
      </c>
      <c r="D110" s="40" t="n">
        <f aca="false">Thesis!$D$123*(1-Seg!$D$56)</f>
        <v>0.227931791705753</v>
      </c>
      <c r="E110" s="40" t="n">
        <f aca="false">Thesis!$E$123*(1-Seg!$E$56)</f>
        <v>0.674650403679804</v>
      </c>
      <c r="F110" s="40" t="n">
        <f aca="false">Thesis!$F$123*(1-Seg!$F$56)</f>
        <v>0.285798603790311</v>
      </c>
      <c r="G110" s="40" t="n">
        <f aca="false">Thesis!$G$123*(1-Seg!$G$56)</f>
        <v>0.961034454639784</v>
      </c>
      <c r="H110" s="40" t="n">
        <f aca="false">Thesis!$H$123*(1-Seg!$H$56)</f>
        <v>2.36334896650127</v>
      </c>
      <c r="I110" s="40" t="n">
        <f aca="false">Thesis!$I$123*(1-Seg!$I$56)</f>
        <v>4.66911071534793</v>
      </c>
      <c r="J110" s="40" t="n">
        <f aca="false">Thesis!$J$123*(1-Seg!$J$56)</f>
        <v>6.65206897474133</v>
      </c>
      <c r="K110" s="40" t="n">
        <f aca="false">Thesis!$K$123*(1-Seg!$K$56)</f>
        <v>8.57653058148831</v>
      </c>
      <c r="L110" s="40" t="n">
        <f aca="false">Thesis!$L$123*(1-Seg!$L$56)</f>
        <v>9.89395976798492</v>
      </c>
      <c r="M110" s="40" t="n">
        <f aca="false">Thesis!$M$123*(1-Seg!$M$56)</f>
        <v>10.5471042054728</v>
      </c>
      <c r="N110" s="40" t="n">
        <f aca="false">Thesis!$N$123*(1-Seg!$N$56)</f>
        <v>0.153560781958532</v>
      </c>
      <c r="O110" s="40" t="n">
        <f aca="false">Thesis!$O$123*(1-Seg!$O$56)</f>
        <v>0.0745280347593297</v>
      </c>
    </row>
    <row r="111" customFormat="false" ht="17.15" hidden="false" customHeight="false" outlineLevel="0" collapsed="false">
      <c r="A111" s="0" t="s">
        <v>788</v>
      </c>
      <c r="B111" s="0" t="s">
        <v>56</v>
      </c>
      <c r="C111" s="32" t="n">
        <f aca="false">(PL!$C$112-PL!$C$108+PL!$C$110)/PL!$C$109</f>
        <v>-0.0292364215826579</v>
      </c>
      <c r="D111" s="32" t="n">
        <f aca="false">(PL!$D$112-PL!$D$108+PL!$D$110)/PL!$D$109</f>
        <v>-0.0312406216748665</v>
      </c>
      <c r="E111" s="32" t="n">
        <f aca="false">(PL!$E$112-PL!$E$108+PL!$E$110)/PL!$E$109</f>
        <v>-0.0213613310025343</v>
      </c>
      <c r="F111" s="32" t="n">
        <f aca="false">PL!$O$111+(PL!$E$111-PL!$N$111)</f>
        <v>-0.0386255491636166</v>
      </c>
      <c r="G111" s="32" t="n">
        <f aca="false">(PL!$G$112-PL!$G$108+PL!$G$110)/PL!$G$109</f>
        <v>-0.0266876183564186</v>
      </c>
      <c r="H111" s="32" t="n">
        <f aca="false">PL!$G$111+step_in</f>
        <v>-0.0266876183564186</v>
      </c>
      <c r="I111" s="32" t="n">
        <f aca="false">PL!$H$111+step_in</f>
        <v>-0.0266876183564186</v>
      </c>
      <c r="J111" s="32" t="n">
        <f aca="false">PL!$I$111+step_in</f>
        <v>-0.0266876183564186</v>
      </c>
      <c r="K111" s="32" t="n">
        <f aca="false">PL!$J$111+step_in</f>
        <v>-0.0266876183564186</v>
      </c>
      <c r="L111" s="32" t="n">
        <f aca="false">PL!$K$111</f>
        <v>-0.0266876183564186</v>
      </c>
      <c r="M111" s="32" t="n">
        <f aca="false">PL!$L$111</f>
        <v>-0.0266876183564186</v>
      </c>
      <c r="N111" s="32" t="n">
        <f aca="false">(PL!$N$112-PL!$N$108+PL!$N$110)/PL!$N$109</f>
        <v>-0.0258800940189292</v>
      </c>
      <c r="O111" s="32" t="n">
        <f aca="false">(PL!$O$112-PL!$O$108+PL!$O$110)/PL!$O$109</f>
        <v>-0.0431443121800115</v>
      </c>
      <c r="P111" s="8" t="s">
        <v>783</v>
      </c>
    </row>
    <row r="112" customFormat="false" ht="17.15" hidden="false" customHeight="false" outlineLevel="0" collapsed="false">
      <c r="A112" s="1" t="s">
        <v>789</v>
      </c>
      <c r="B112" s="8" t="s">
        <v>91</v>
      </c>
      <c r="C112" s="40" t="n">
        <f aca="false">Q!$D$24</f>
        <v>3.792</v>
      </c>
      <c r="D112" s="40" t="n">
        <f aca="false">Q!$E$24</f>
        <v>4.75</v>
      </c>
      <c r="E112" s="40" t="n">
        <f aca="false">Q!$O$24</f>
        <v>4.721</v>
      </c>
      <c r="F112" s="40" t="n">
        <f aca="false">PL!$F$108+PL!$F$109*PL!$F$111-PL!$F$110</f>
        <v>1.44748791537398</v>
      </c>
      <c r="G112" s="40" t="n">
        <f aca="false">PL!$E$112+PL!$F$112</f>
        <v>6.16848791537398</v>
      </c>
      <c r="H112" s="40" t="n">
        <f aca="false">PL!$H$108+PL!$H$109*PL!$H$111-PL!$H$110</f>
        <v>6.33856234533184</v>
      </c>
      <c r="I112" s="40" t="n">
        <f aca="false">PL!$I$108+PL!$I$109*PL!$I$111-PL!$I$110</f>
        <v>5.637563265547</v>
      </c>
      <c r="J112" s="40" t="n">
        <f aca="false">PL!$J$108+PL!$J$109*PL!$J$111-PL!$J$110</f>
        <v>5.20869555950068</v>
      </c>
      <c r="K112" s="40" t="n">
        <f aca="false">PL!$K$108+PL!$K$109*PL!$K$111-PL!$K$110</f>
        <v>4.69402777345693</v>
      </c>
      <c r="L112" s="40" t="n">
        <f aca="false">PL!$L$108+PL!$L$109*PL!$L$111-PL!$L$110</f>
        <v>4.93976733535296</v>
      </c>
      <c r="M112" s="40" t="n">
        <f aca="false">PL!$M$108+PL!$M$109*PL!$M$111-PL!$M$110</f>
        <v>6.01921914364936</v>
      </c>
      <c r="N112" s="40" t="n">
        <f aca="false">Q!$N$24</f>
        <v>3.71</v>
      </c>
      <c r="O112" s="40" t="n">
        <f aca="false">Q!$J$24</f>
        <v>1.04</v>
      </c>
    </row>
    <row r="113" customFormat="false" ht="17.15" hidden="false" customHeight="false" outlineLevel="0" collapsed="false">
      <c r="A113" s="0" t="s">
        <v>790</v>
      </c>
      <c r="B113" s="0" t="s">
        <v>91</v>
      </c>
      <c r="C113" s="40" t="n">
        <f aca="false">Thesis!$C$120</f>
        <v>1.64417882953695</v>
      </c>
      <c r="D113" s="40" t="n">
        <f aca="false">Thesis!$D$120</f>
        <v>5.39125073772939</v>
      </c>
      <c r="E113" s="40" t="n">
        <f aca="false">Thesis!$E$120</f>
        <v>6.31472337585987</v>
      </c>
      <c r="F113" s="40" t="n">
        <f aca="false">Thesis!$F$120</f>
        <v>4.10934878345675</v>
      </c>
      <c r="G113" s="40" t="n">
        <f aca="false">Thesis!$G$120</f>
        <v>10.4240721593166</v>
      </c>
      <c r="H113" s="40" t="n">
        <f aca="false">Thesis!$H$120</f>
        <v>19.7250369300105</v>
      </c>
      <c r="I113" s="40" t="n">
        <f aca="false">Thesis!$I$120</f>
        <v>21.5092690221314</v>
      </c>
      <c r="J113" s="40" t="n">
        <f aca="false">Thesis!$J$120</f>
        <v>28.1518737317948</v>
      </c>
      <c r="K113" s="40" t="n">
        <f aca="false">Thesis!$K$120</f>
        <v>30.4448005979007</v>
      </c>
      <c r="L113" s="40" t="n">
        <f aca="false">Thesis!$L$120</f>
        <v>31.1804158253273</v>
      </c>
      <c r="M113" s="40" t="n">
        <f aca="false">Thesis!$M$120</f>
        <v>31.1551922139669</v>
      </c>
      <c r="N113" s="40" t="n">
        <f aca="false">Thesis!$N$120</f>
        <v>3.28113102692661</v>
      </c>
      <c r="O113" s="40" t="n">
        <f aca="false">Thesis!$O$120</f>
        <v>2.11011971080278</v>
      </c>
    </row>
    <row r="114" customFormat="false" ht="17.15" hidden="false" customHeight="false" outlineLevel="0" collapsed="false">
      <c r="A114" s="0" t="s">
        <v>708</v>
      </c>
      <c r="B114" s="0" t="s">
        <v>91</v>
      </c>
      <c r="C114" s="40" t="n">
        <f aca="false">Thesis!$C$125</f>
        <v>38.1898211704631</v>
      </c>
      <c r="D114" s="40" t="n">
        <f aca="false">Thesis!$D$125</f>
        <v>40.2147492622706</v>
      </c>
      <c r="E114" s="40" t="n">
        <f aca="false">Thesis!$E$125</f>
        <v>42.2402766241401</v>
      </c>
      <c r="F114" s="40" t="n">
        <f aca="false">Thesis!$F$125</f>
        <v>13.6943139813566</v>
      </c>
      <c r="G114" s="40" t="n">
        <f aca="false">Thesis!$G$125</f>
        <v>55.9345906054967</v>
      </c>
      <c r="H114" s="40" t="n">
        <f aca="false">Thesis!$H$125</f>
        <v>61.088168450178</v>
      </c>
      <c r="I114" s="40" t="n">
        <f aca="false">Thesis!$I$125</f>
        <v>67.8233475699772</v>
      </c>
      <c r="J114" s="40" t="n">
        <f aca="false">Thesis!$J$125</f>
        <v>74.2751592782286</v>
      </c>
      <c r="K114" s="40" t="n">
        <f aca="false">Thesis!$K$125</f>
        <v>80.2171720204868</v>
      </c>
      <c r="L114" s="40" t="n">
        <f aca="false">Thesis!$L$125</f>
        <v>86.6345457821258</v>
      </c>
      <c r="M114" s="40" t="n">
        <f aca="false">Thesis!$M$125</f>
        <v>93.5653094446959</v>
      </c>
      <c r="N114" s="40" t="n">
        <f aca="false">Thesis!$N$125</f>
        <v>29.8598689730734</v>
      </c>
      <c r="O114" s="40" t="n">
        <f aca="false">Thesis!$O$125</f>
        <v>10.3548802891972</v>
      </c>
    </row>
    <row r="115" customFormat="false" ht="17.15" hidden="false" customHeight="false" outlineLevel="0" collapsed="false">
      <c r="A115" s="1" t="s">
        <v>791</v>
      </c>
      <c r="B115" s="8" t="s">
        <v>91</v>
      </c>
      <c r="C115" s="40" t="n">
        <f aca="false">Q!$D$25</f>
        <v>39.834</v>
      </c>
      <c r="D115" s="40" t="n">
        <f aca="false">Q!$E$25</f>
        <v>45.606</v>
      </c>
      <c r="E115" s="40" t="n">
        <f aca="false">Q!$O$25</f>
        <v>48.555</v>
      </c>
      <c r="F115" s="40" t="n">
        <f aca="false">PL!$F$113+PL!$F$114</f>
        <v>17.8036627648133</v>
      </c>
      <c r="G115" s="40" t="n">
        <f aca="false">PL!$G$113+PL!$G$114</f>
        <v>66.3586627648133</v>
      </c>
      <c r="H115" s="40" t="n">
        <f aca="false">PL!$H$113+PL!$H$114</f>
        <v>80.8132053801886</v>
      </c>
      <c r="I115" s="40" t="n">
        <f aca="false">PL!$I$113+PL!$I$114</f>
        <v>89.3326165921086</v>
      </c>
      <c r="J115" s="40" t="n">
        <f aca="false">PL!$J$113+PL!$J$114</f>
        <v>102.427033010023</v>
      </c>
      <c r="K115" s="40" t="n">
        <f aca="false">PL!$K$113+PL!$K$114</f>
        <v>110.661972618388</v>
      </c>
      <c r="L115" s="40" t="n">
        <f aca="false">PL!$L$113+PL!$L$114</f>
        <v>117.814961607453</v>
      </c>
      <c r="M115" s="40" t="n">
        <f aca="false">PL!$M$113+PL!$M$114</f>
        <v>124.720501658663</v>
      </c>
      <c r="N115" s="40" t="n">
        <f aca="false">Q!$N$25</f>
        <v>33.141</v>
      </c>
      <c r="O115" s="40" t="n">
        <f aca="false">Q!$J$25</f>
        <v>12.465</v>
      </c>
    </row>
    <row r="116" customFormat="false" ht="17.15" hidden="false" customHeight="false" outlineLevel="0" collapsed="false">
      <c r="A116" s="5" t="s">
        <v>792</v>
      </c>
      <c r="B116" s="0" t="s">
        <v>91</v>
      </c>
      <c r="C116" s="40" t="n">
        <f aca="false">Q!$D$27</f>
        <v>0</v>
      </c>
      <c r="D116" s="40" t="n">
        <f aca="false">Q!$E$27</f>
        <v>0</v>
      </c>
      <c r="E116" s="40" t="n">
        <f aca="false">Q!$O$27</f>
        <v>0</v>
      </c>
      <c r="F116" s="41" t="n">
        <v>0</v>
      </c>
      <c r="G116" s="40" t="n">
        <f aca="false">PL!$E$116+PL!$F$116</f>
        <v>0</v>
      </c>
      <c r="H116" s="41" t="n">
        <v>0</v>
      </c>
      <c r="I116" s="41" t="n">
        <v>0</v>
      </c>
      <c r="J116" s="41" t="n">
        <v>0</v>
      </c>
      <c r="K116" s="41" t="n">
        <v>0</v>
      </c>
      <c r="L116" s="41" t="n">
        <v>0</v>
      </c>
      <c r="M116" s="41" t="n">
        <v>0</v>
      </c>
      <c r="N116" s="40" t="n">
        <f aca="false">Q!$N$27</f>
        <v>0</v>
      </c>
      <c r="O116" s="40" t="n">
        <f aca="false">Q!$J$27</f>
        <v>0</v>
      </c>
    </row>
    <row r="117" customFormat="false" ht="15" hidden="false" customHeight="false" outlineLevel="0" collapsed="false">
      <c r="A117" s="3" t="s">
        <v>580</v>
      </c>
      <c r="B117" s="8" t="s">
        <v>91</v>
      </c>
      <c r="C117" s="40" t="n">
        <f aca="false">Q!$D$26</f>
        <v>68.593</v>
      </c>
      <c r="D117" s="40" t="n">
        <f aca="false">Q!$E$26</f>
        <v>79.975</v>
      </c>
      <c r="E117" s="40" t="n">
        <f aca="false">Q!$O$26</f>
        <v>79.389</v>
      </c>
      <c r="F117" s="40" t="n">
        <f aca="false">PL!$F$107+PL!$F$112+PL!$F$115+PL!$F$116</f>
        <v>34.5944255709273</v>
      </c>
      <c r="G117" s="40" t="n">
        <f aca="false">PL!$G$107+PL!$G$112+PL!$G$115+PL!$G$116</f>
        <v>113.983425570927</v>
      </c>
      <c r="H117" s="40" t="n">
        <f aca="false">PL!$H$107+PL!$H$112+PL!$H$115+PL!$H$116</f>
        <v>132.811212421127</v>
      </c>
      <c r="I117" s="40" t="n">
        <f aca="false">PL!$I$107+PL!$I$112+PL!$I$115+PL!$I$116</f>
        <v>142.679608850662</v>
      </c>
      <c r="J117" s="40" t="n">
        <f aca="false">PL!$J$107+PL!$J$112+PL!$J$115+PL!$J$116</f>
        <v>158.134736223788</v>
      </c>
      <c r="K117" s="40" t="n">
        <f aca="false">PL!$K$107+PL!$K$112+PL!$K$115+PL!$K$116</f>
        <v>168.338680302331</v>
      </c>
      <c r="L117" s="40" t="n">
        <f aca="false">PL!$L$107+PL!$L$112+PL!$L$115+PL!$L$116</f>
        <v>178.763516803872</v>
      </c>
      <c r="M117" s="40" t="n">
        <f aca="false">PL!$M$107+PL!$M$112+PL!$M$115+PL!$M$116</f>
        <v>192.098742023752</v>
      </c>
      <c r="N117" s="40" t="n">
        <f aca="false">Q!$N$26</f>
        <v>54.998</v>
      </c>
      <c r="O117" s="40" t="n">
        <f aca="false">Q!$J$26</f>
        <v>24.977</v>
      </c>
    </row>
    <row r="118" customFormat="false" ht="17.15" hidden="false" customHeight="false" outlineLevel="0" collapsed="false">
      <c r="A118" s="27" t="s">
        <v>823</v>
      </c>
      <c r="B118" s="28" t="s">
        <v>91</v>
      </c>
      <c r="C118" s="43" t="n">
        <f aca="false">PL!$C$107+PL!$C$112+PL!$C$115+PL!$C$116-PL!$C$117</f>
        <v>0</v>
      </c>
      <c r="D118" s="43" t="n">
        <f aca="false">PL!$D$107+PL!$D$112+PL!$D$115+PL!$D$116-PL!$D$117</f>
        <v>0</v>
      </c>
      <c r="E118" s="43" t="n">
        <f aca="false">PL!$E$107+PL!$E$112+PL!$E$115+PL!$E$116-PL!$E$117</f>
        <v>0</v>
      </c>
      <c r="F118" s="43" t="n">
        <f aca="false">PL!$F$107+PL!$F$112+PL!$F$115+PL!$F$116-PL!$F$117</f>
        <v>0</v>
      </c>
      <c r="G118" s="43" t="n">
        <f aca="false">PL!$G$107+PL!$G$112+PL!$G$115+PL!$G$116-PL!$G$117</f>
        <v>0</v>
      </c>
      <c r="H118" s="43" t="n">
        <f aca="false">PL!$H$107+PL!$H$112+PL!$H$115+PL!$H$116-PL!$H$117</f>
        <v>0</v>
      </c>
      <c r="I118" s="43" t="n">
        <f aca="false">PL!$I$107+PL!$I$112+PL!$I$115+PL!$I$116-PL!$I$117</f>
        <v>0</v>
      </c>
      <c r="J118" s="43" t="n">
        <f aca="false">PL!$J$107+PL!$J$112+PL!$J$115+PL!$J$116-PL!$J$117</f>
        <v>0</v>
      </c>
      <c r="K118" s="43" t="n">
        <f aca="false">PL!$K$107+PL!$K$112+PL!$K$115+PL!$K$116-PL!$K$117</f>
        <v>0</v>
      </c>
      <c r="L118" s="43" t="n">
        <f aca="false">PL!$L$107+PL!$L$112+PL!$L$115+PL!$L$116-PL!$L$117</f>
        <v>0</v>
      </c>
      <c r="M118" s="43" t="n">
        <f aca="false">PL!$M$107+PL!$M$112+PL!$M$115+PL!$M$116-PL!$M$117</f>
        <v>0</v>
      </c>
      <c r="N118" s="43" t="n">
        <f aca="false">PL!$N$107+PL!$N$112+PL!$N$115+PL!$N$116-PL!$N$117</f>
        <v>0</v>
      </c>
      <c r="O118" s="43" t="n">
        <f aca="false">PL!$O$107+PL!$O$112+PL!$O$115+PL!$O$116-PL!$O$117</f>
        <v>0</v>
      </c>
    </row>
    <row r="119" customFormat="false" ht="17.15" hidden="false" customHeight="false" outlineLevel="0" collapsed="false">
      <c r="A119" s="5" t="s">
        <v>794</v>
      </c>
      <c r="B119" s="0" t="s">
        <v>91</v>
      </c>
      <c r="C119" s="40" t="n">
        <f aca="false">Thesis!$C$122</f>
        <v>0</v>
      </c>
      <c r="D119" s="40" t="n">
        <f aca="false">Thesis!$D$122</f>
        <v>0</v>
      </c>
      <c r="E119" s="40" t="n">
        <f aca="false">Thesis!$E$122</f>
        <v>0</v>
      </c>
      <c r="F119" s="40" t="n">
        <f aca="false">Thesis!$F$122</f>
        <v>2.04563992978455</v>
      </c>
      <c r="G119" s="40" t="n">
        <f aca="false">Thesis!$G$122</f>
        <v>2.04563992978455</v>
      </c>
      <c r="H119" s="40" t="n">
        <f aca="false">Thesis!$H$122</f>
        <v>13.5821231954161</v>
      </c>
      <c r="I119" s="40" t="n">
        <f aca="false">Thesis!$I$122</f>
        <v>22.4328232759346</v>
      </c>
      <c r="J119" s="40" t="n">
        <f aca="false">Thesis!$J$122</f>
        <v>31.3318430178186</v>
      </c>
      <c r="K119" s="40" t="n">
        <f aca="false">Thesis!$K$122</f>
        <v>38.9214854198582</v>
      </c>
      <c r="L119" s="40" t="n">
        <f aca="false">Thesis!$L$122</f>
        <v>43.9069229619177</v>
      </c>
      <c r="M119" s="40" t="n">
        <f aca="false">Thesis!$M$122</f>
        <v>46.2802916219089</v>
      </c>
      <c r="N119" s="40" t="n">
        <f aca="false">Thesis!$N$122</f>
        <v>0</v>
      </c>
      <c r="O119" s="40" t="n">
        <f aca="false">Thesis!$O$122</f>
        <v>0</v>
      </c>
      <c r="P119" s="5" t="s">
        <v>795</v>
      </c>
    </row>
    <row r="120" customFormat="false" ht="17.15" hidden="false" customHeight="false" outlineLevel="0" collapsed="false">
      <c r="A120" s="5" t="s">
        <v>796</v>
      </c>
      <c r="B120" s="0" t="s">
        <v>91</v>
      </c>
      <c r="C120" s="40" t="n">
        <f aca="false">PL!$C$117+PL!$C$119</f>
        <v>68.593</v>
      </c>
      <c r="D120" s="40" t="n">
        <f aca="false">PL!$D$117+PL!$D$119</f>
        <v>79.975</v>
      </c>
      <c r="E120" s="40" t="n">
        <f aca="false">PL!$E$117+PL!$E$119</f>
        <v>79.389</v>
      </c>
      <c r="F120" s="40" t="n">
        <f aca="false">PL!$F$117+PL!$F$119</f>
        <v>36.6400655007118</v>
      </c>
      <c r="G120" s="40" t="n">
        <f aca="false">PL!$G$117+PL!$G$119</f>
        <v>116.029065500712</v>
      </c>
      <c r="H120" s="40" t="n">
        <f aca="false">PL!$H$117+PL!$H$119</f>
        <v>146.393335616543</v>
      </c>
      <c r="I120" s="40" t="n">
        <f aca="false">PL!$I$117+PL!$I$119</f>
        <v>165.112432126597</v>
      </c>
      <c r="J120" s="40" t="n">
        <f aca="false">PL!$J$117+PL!$J$119</f>
        <v>189.466579241607</v>
      </c>
      <c r="K120" s="40" t="n">
        <f aca="false">PL!$K$117+PL!$K$119</f>
        <v>207.260165722189</v>
      </c>
      <c r="L120" s="40" t="n">
        <f aca="false">PL!$L$117+PL!$L$119</f>
        <v>222.670439765789</v>
      </c>
      <c r="M120" s="40" t="n">
        <f aca="false">PL!$M$117+PL!$M$119</f>
        <v>238.379033645661</v>
      </c>
      <c r="N120" s="40" t="n">
        <f aca="false">PL!$N$117+PL!$N$119</f>
        <v>54.998</v>
      </c>
      <c r="O120" s="40" t="n">
        <f aca="false">PL!$O$117+PL!$O$119</f>
        <v>24.977</v>
      </c>
    </row>
    <row r="121" customFormat="false" ht="17.15" hidden="false" customHeight="false" outlineLevel="0" collapsed="false">
      <c r="A121" s="0" t="s">
        <v>797</v>
      </c>
      <c r="B121" s="0" t="s">
        <v>56</v>
      </c>
      <c r="C121" s="13" t="n">
        <f aca="false">PL!$C$107/PL!$C$92</f>
        <v>0.0644314665661928</v>
      </c>
      <c r="D121" s="13" t="n">
        <f aca="false">PL!$D$107/PL!$D$92</f>
        <v>0.0694784250712518</v>
      </c>
      <c r="E121" s="13" t="n">
        <f aca="false">PL!$E$107/PL!$E$92</f>
        <v>0.0783769344362671</v>
      </c>
      <c r="F121" s="13" t="n">
        <f aca="false">PL!$F$107/PL!$F$92</f>
        <v>0.108200629537504</v>
      </c>
      <c r="G121" s="13" t="n">
        <f aca="false">PL!$G$107/PL!$G$92</f>
        <v>0.0872807903613977</v>
      </c>
      <c r="H121" s="13" t="n">
        <f aca="false">PL!$H$107/PL!$H$92</f>
        <v>0.0870422049417326</v>
      </c>
      <c r="I121" s="13" t="n">
        <f aca="false">PL!$I$107/PL!$I$92</f>
        <v>0.0833251229030354</v>
      </c>
      <c r="J121" s="13" t="n">
        <f aca="false">PL!$J$107/PL!$J$92</f>
        <v>0.0818016504630314</v>
      </c>
      <c r="K121" s="13" t="n">
        <f aca="false">PL!$K$107/PL!$K$92</f>
        <v>0.0806244116834098</v>
      </c>
      <c r="L121" s="13" t="n">
        <f aca="false">PL!$L$107/PL!$L$92</f>
        <v>0.0800421059358481</v>
      </c>
      <c r="M121" s="13" t="n">
        <f aca="false">PL!$M$107/PL!$M$92</f>
        <v>0.0823275868492085</v>
      </c>
      <c r="N121" s="13" t="n">
        <f aca="false">PL!$N$107/PL!$N$92</f>
        <v>0.0606472786091932</v>
      </c>
      <c r="O121" s="13" t="n">
        <f aca="false">PL!$O$107/PL!$O$92</f>
        <v>0.0902717121880975</v>
      </c>
    </row>
    <row r="122" customFormat="false" ht="17.15" hidden="false" customHeight="false" outlineLevel="0" collapsed="false">
      <c r="A122" s="0" t="s">
        <v>798</v>
      </c>
      <c r="B122" s="0" t="s">
        <v>56</v>
      </c>
      <c r="C122" s="13" t="n">
        <f aca="false">PL!$C$112/PL!$C$93</f>
        <v>0.026534925055631</v>
      </c>
      <c r="D122" s="13" t="n">
        <f aca="false">PL!$D$112/PL!$D$93</f>
        <v>0.0293401855535103</v>
      </c>
      <c r="E122" s="13" t="n">
        <f aca="false">PL!$E$112/PL!$E$93</f>
        <v>0.037739619805906</v>
      </c>
      <c r="F122" s="13" t="n">
        <f aca="false">PL!$F$112/PL!$F$93</f>
        <v>0.0255741161281195</v>
      </c>
      <c r="G122" s="13" t="n">
        <f aca="false">PL!$G$112/PL!$G$93</f>
        <v>0.0339499228607096</v>
      </c>
      <c r="H122" s="13" t="n">
        <f aca="false">PL!$H$112/PL!$H$93</f>
        <v>0.0315879690390105</v>
      </c>
      <c r="I122" s="13" t="n">
        <f aca="false">PL!$I$112/PL!$I$93</f>
        <v>0.0257391885603357</v>
      </c>
      <c r="J122" s="13" t="n">
        <f aca="false">PL!$J$112/PL!$J$93</f>
        <v>0.0220566664308063</v>
      </c>
      <c r="K122" s="13" t="n">
        <f aca="false">PL!$K$112/PL!$K$93</f>
        <v>0.0186728225751665</v>
      </c>
      <c r="L122" s="13" t="n">
        <f aca="false">PL!$L$112/PL!$L$93</f>
        <v>0.0184544244633189</v>
      </c>
      <c r="M122" s="13" t="n">
        <f aca="false">PL!$M$112/PL!$M$93</f>
        <v>0.0211124578854768</v>
      </c>
      <c r="N122" s="13" t="n">
        <f aca="false">PL!$N$112/PL!$N$93</f>
        <v>0.0333723126742826</v>
      </c>
      <c r="O122" s="13" t="n">
        <f aca="false">PL!$O$112/PL!$O$93</f>
        <v>0.0205031148963016</v>
      </c>
    </row>
    <row r="123" customFormat="false" ht="17.15" hidden="false" customHeight="false" outlineLevel="0" collapsed="false">
      <c r="A123" s="14" t="s">
        <v>799</v>
      </c>
      <c r="B123" s="14" t="s">
        <v>56</v>
      </c>
      <c r="C123" s="17" t="n">
        <f aca="false">PL!$C$115/PL!$C$94</f>
        <v>0.370355907620217</v>
      </c>
      <c r="D123" s="17" t="n">
        <f aca="false">PL!$D$115/PL!$D$94</f>
        <v>0.35429015342785</v>
      </c>
      <c r="E123" s="17" t="n">
        <f aca="false">PL!$E$115/PL!$E$94</f>
        <v>0.385960589175139</v>
      </c>
      <c r="F123" s="17" t="n">
        <f aca="false">PL!$F$115/PL!$F$94</f>
        <v>0.394791724743081</v>
      </c>
      <c r="G123" s="17" t="n">
        <f aca="false">PL!$G$115/PL!$G$94</f>
        <v>0.388290919457581</v>
      </c>
      <c r="H123" s="17" t="n">
        <f aca="false">PL!$H$115/PL!$H$94</f>
        <v>0.369260442935553</v>
      </c>
      <c r="I123" s="17" t="n">
        <f aca="false">PL!$I$115/PL!$I$94</f>
        <v>0.328239600060685</v>
      </c>
      <c r="J123" s="17" t="n">
        <f aca="false">PL!$J$115/PL!$J$94</f>
        <v>0.315268282689885</v>
      </c>
      <c r="K123" s="17" t="n">
        <f aca="false">PL!$K$115/PL!$K$94</f>
        <v>0.298241468694372</v>
      </c>
      <c r="L123" s="17" t="n">
        <f aca="false">PL!$L$115/PL!$L$94</f>
        <v>0.288649884983098</v>
      </c>
      <c r="M123" s="17" t="n">
        <f aca="false">PL!$M$115/PL!$M$94</f>
        <v>0.285865177666054</v>
      </c>
      <c r="N123" s="17" t="n">
        <f aca="false">PL!$N$115/PL!$N$94</f>
        <v>0.355796276812746</v>
      </c>
      <c r="O123" s="17" t="n">
        <f aca="false">PL!$O$115/PL!$O$94</f>
        <v>0.350347114871132</v>
      </c>
    </row>
    <row r="124" customFormat="false" ht="17.15" hidden="false" customHeight="false" outlineLevel="0" collapsed="false">
      <c r="A124" s="0" t="s">
        <v>800</v>
      </c>
      <c r="B124" s="0" t="s">
        <v>56</v>
      </c>
      <c r="C124" s="13" t="n">
        <f aca="false">PL!$C$113/PL!$C$95</f>
        <v>0.708390794789371</v>
      </c>
      <c r="D124" s="13" t="n">
        <f aca="false">PL!$D$113/PL!$D$95</f>
        <v>0.619415573115729</v>
      </c>
      <c r="E124" s="13" t="n">
        <f aca="false">PL!$E$113/PL!$E$95</f>
        <v>0.38978070304412</v>
      </c>
      <c r="F124" s="13" t="n">
        <f aca="false">PL!$F$113/PL!$F$95</f>
        <v>0.50628431549212</v>
      </c>
      <c r="G124" s="13" t="n">
        <f aca="false">PL!$G$113/PL!$G$95</f>
        <v>0.428667391576314</v>
      </c>
      <c r="H124" s="13" t="n">
        <f aca="false">PL!$H$113/PL!$H$95</f>
        <v>0.366016632801413</v>
      </c>
      <c r="I124" s="13" t="n">
        <f aca="false">PL!$I$113/PL!$I$95</f>
        <v>0.241653104124671</v>
      </c>
      <c r="J124" s="13" t="n">
        <f aca="false">PL!$J$113/PL!$J$95</f>
        <v>0.22644984395706</v>
      </c>
      <c r="K124" s="13" t="n">
        <f aca="false">PL!$K$113/PL!$K$95</f>
        <v>0.197139835190888</v>
      </c>
      <c r="L124" s="13" t="n">
        <f aca="false">PL!$L$113/PL!$L$95</f>
        <v>0.178977963455777</v>
      </c>
      <c r="M124" s="13" t="n">
        <f aca="false">PL!$M$113/PL!$M$95</f>
        <v>0.169662167079751</v>
      </c>
      <c r="N124" s="13" t="n">
        <f aca="false">PL!$N$113/PL!$N$95</f>
        <v>0.591338253041814</v>
      </c>
      <c r="O124" s="13" t="n">
        <f aca="false">PL!$O$113/PL!$O$95</f>
        <v>0.668792929107785</v>
      </c>
    </row>
    <row r="125" customFormat="false" ht="15" hidden="false" customHeight="false" outlineLevel="0" collapsed="false">
      <c r="A125" s="5" t="s">
        <v>801</v>
      </c>
      <c r="B125" s="0" t="s">
        <v>56</v>
      </c>
      <c r="C125" s="13" t="n">
        <f aca="false">PL!$C$117/PL!$C$97</f>
        <v>0.107519448742004</v>
      </c>
      <c r="D125" s="13" t="n">
        <f aca="false">PL!$D$117/PL!$D$97</f>
        <v>0.111552967957552</v>
      </c>
      <c r="E125" s="13" t="n">
        <f aca="false">PL!$E$117/PL!$E$97</f>
        <v>0.135924008978391</v>
      </c>
      <c r="F125" s="13" t="n">
        <f aca="false">PL!$F$117/PL!$F$97</f>
        <v>0.142071562919619</v>
      </c>
      <c r="G125" s="13" t="n">
        <f aca="false">PL!$G$117/PL!$G$97</f>
        <v>0.137732836260091</v>
      </c>
      <c r="H125" s="13" t="n">
        <f aca="false">PL!$H$117/PL!$H$97</f>
        <v>0.140677616001035</v>
      </c>
      <c r="I125" s="13" t="n">
        <f aca="false">PL!$I$117/PL!$I$97</f>
        <v>0.134128545468954</v>
      </c>
      <c r="J125" s="13" t="n">
        <f aca="false">PL!$J$117/PL!$J$97</f>
        <v>0.134197415734095</v>
      </c>
      <c r="K125" s="13" t="n">
        <f aca="false">PL!$K$117/PL!$K$97</f>
        <v>0.131557203338162</v>
      </c>
      <c r="L125" s="13" t="n">
        <f aca="false">PL!$L$117/PL!$L$97</f>
        <v>0.129955567272825</v>
      </c>
      <c r="M125" s="13" t="n">
        <f aca="false">PL!$M$117/PL!$M$97</f>
        <v>0.130973675145994</v>
      </c>
      <c r="N125" s="13" t="n">
        <f aca="false">PL!$N$117/PL!$N$97</f>
        <v>0.109223137082008</v>
      </c>
      <c r="O125" s="13" t="n">
        <f aca="false">PL!$O$117/PL!$O$97</f>
        <v>0.117050790586074</v>
      </c>
    </row>
    <row r="126" customFormat="false" ht="17.15" hidden="false" customHeight="false" outlineLevel="0" collapsed="false">
      <c r="A126" s="1" t="s">
        <v>802</v>
      </c>
    </row>
    <row r="127" customFormat="false" ht="17.15" hidden="false" customHeight="false" outlineLevel="0" collapsed="false">
      <c r="A127" s="5" t="s">
        <v>803</v>
      </c>
      <c r="B127" s="0" t="s">
        <v>56</v>
      </c>
      <c r="D127" s="32" t="n">
        <f aca="false">(Q!$E$31+Q!$E$32-(1-ext_sh)*Thesis!$D$116)/Seg!$D$55</f>
        <v>0.0341105596409988</v>
      </c>
    </row>
    <row r="128" customFormat="false" ht="17.15" hidden="false" customHeight="false" outlineLevel="0" collapsed="false">
      <c r="A128" s="0" t="s">
        <v>585</v>
      </c>
      <c r="B128" s="0" t="s">
        <v>91</v>
      </c>
      <c r="C128" s="40" t="n">
        <f aca="false">Q!$D$31</f>
        <v>14.285</v>
      </c>
      <c r="D128" s="40" t="n">
        <f aca="false">Q!$E$31</f>
        <v>15.503</v>
      </c>
      <c r="E128" s="40" t="n">
        <f aca="false">Q!$O$31</f>
        <v>13.4963548128877</v>
      </c>
      <c r="F128" s="40" t="n">
        <f aca="false">(PL!$D$127*Seg!$F$55+(1-ext_sh)*Thesis!$F$116)*Seg!$F$56</f>
        <v>5.21211427093156</v>
      </c>
      <c r="G128" s="40" t="n">
        <f aca="false">PL!$E$128+PL!$F$128</f>
        <v>18.7084690838193</v>
      </c>
      <c r="H128" s="40" t="n">
        <f aca="false">(PL!$D$127*Seg!$H$55+(1-ext_sh)*Thesis!$H$116)*Seg!$H$56</f>
        <v>21.7211660546073</v>
      </c>
      <c r="I128" s="40" t="n">
        <f aca="false">(PL!$D$127*Seg!$I$55+(1-ext_sh)*Thesis!$I$116)*Seg!$I$56</f>
        <v>27.8212875787445</v>
      </c>
      <c r="J128" s="40" t="n">
        <f aca="false">(PL!$D$127*Seg!$J$55+(1-ext_sh)*Thesis!$J$116)*Seg!$J$56</f>
        <v>32.9642213622344</v>
      </c>
      <c r="K128" s="40" t="n">
        <f aca="false">(PL!$D$127*Seg!$K$55+(1-ext_sh)*Thesis!$K$116)*Seg!$K$56</f>
        <v>38.0154736494029</v>
      </c>
      <c r="L128" s="40" t="n">
        <f aca="false">(PL!$D$127*Seg!$L$55+(1-ext_sh)*Thesis!$L$116)*Seg!$L$56</f>
        <v>42.033268674836</v>
      </c>
      <c r="M128" s="40" t="n">
        <f aca="false">(PL!$D$127*Seg!$M$55+(1-ext_sh)*Thesis!$M$116)*Seg!$M$56</f>
        <v>44.8754624898616</v>
      </c>
      <c r="N128" s="40" t="n">
        <f aca="false">Q!$N$31</f>
        <v>11.273</v>
      </c>
      <c r="O128" s="40" t="n">
        <f aca="false">Q!$J$31</f>
        <v>4.23</v>
      </c>
    </row>
    <row r="129" customFormat="false" ht="17.15" hidden="false" customHeight="false" outlineLevel="0" collapsed="false">
      <c r="A129" s="0" t="s">
        <v>588</v>
      </c>
      <c r="B129" s="0" t="s">
        <v>91</v>
      </c>
      <c r="C129" s="40" t="n">
        <f aca="false">Q!$D$32</f>
        <v>4.462</v>
      </c>
      <c r="D129" s="40" t="n">
        <f aca="false">Q!$E$32</f>
        <v>4.907</v>
      </c>
      <c r="E129" s="40" t="n">
        <f aca="false">Q!$O$32</f>
        <v>3.92516594956974</v>
      </c>
      <c r="F129" s="40" t="n">
        <f aca="false">(PL!$D$127*Seg!$F$55+(1-ext_sh)*Thesis!$F$116)*(1-Seg!$F$56)</f>
        <v>2.08036703791013</v>
      </c>
      <c r="G129" s="40" t="n">
        <f aca="false">PL!$E$129+PL!$F$129</f>
        <v>6.00553298747987</v>
      </c>
      <c r="H129" s="40" t="n">
        <f aca="false">(PL!$D$127*Seg!$H$55+(1-ext_sh)*Thesis!$H$116)*(1-Seg!$H$56)</f>
        <v>8.30905162009005</v>
      </c>
      <c r="I129" s="40" t="n">
        <f aca="false">(PL!$D$127*Seg!$I$55+(1-ext_sh)*Thesis!$I$116)*(1-Seg!$I$56)</f>
        <v>10.6425462633082</v>
      </c>
      <c r="J129" s="40" t="n">
        <f aca="false">(PL!$D$127*Seg!$J$55+(1-ext_sh)*Thesis!$J$116)*(1-Seg!$J$56)</f>
        <v>12.6098855018321</v>
      </c>
      <c r="K129" s="40" t="n">
        <f aca="false">(PL!$D$127*Seg!$K$55+(1-ext_sh)*Thesis!$K$116)*(1-Seg!$K$56)</f>
        <v>14.542153589773</v>
      </c>
      <c r="L129" s="40" t="n">
        <f aca="false">(PL!$D$127*Seg!$L$55+(1-ext_sh)*Thesis!$L$116)*(1-Seg!$L$56)</f>
        <v>16.0790907036156</v>
      </c>
      <c r="M129" s="40" t="n">
        <f aca="false">(PL!$D$127*Seg!$M$55+(1-ext_sh)*Thesis!$M$116)*(1-Seg!$M$56)</f>
        <v>17.1663221654983</v>
      </c>
      <c r="N129" s="40" t="n">
        <f aca="false">Q!$N$32</f>
        <v>3.592</v>
      </c>
      <c r="O129" s="40" t="n">
        <f aca="false">Q!$J$32</f>
        <v>1.315</v>
      </c>
    </row>
    <row r="130" customFormat="false" ht="17.15" hidden="false" customHeight="false" outlineLevel="0" collapsed="false">
      <c r="A130" s="0" t="s">
        <v>589</v>
      </c>
      <c r="B130" s="0" t="s">
        <v>91</v>
      </c>
      <c r="C130" s="40" t="n">
        <f aca="false">Thesis!$C$128</f>
        <v>13.32</v>
      </c>
      <c r="D130" s="40" t="n">
        <f aca="false">Thesis!$D$128</f>
        <v>21.45</v>
      </c>
      <c r="E130" s="40" t="n">
        <f aca="false">Thesis!$E$128</f>
        <v>23.8172847708625</v>
      </c>
      <c r="F130" s="40" t="n">
        <f aca="false">Thesis!$F$128</f>
        <v>8.28155769350516</v>
      </c>
      <c r="G130" s="40" t="n">
        <f aca="false">Thesis!$G$128</f>
        <v>32.0988424643677</v>
      </c>
      <c r="H130" s="40" t="n">
        <f aca="false">Thesis!$H$128</f>
        <v>48.7469278856268</v>
      </c>
      <c r="I130" s="40" t="n">
        <f aca="false">Thesis!$I$128</f>
        <v>76.4669223006817</v>
      </c>
      <c r="J130" s="40" t="n">
        <f aca="false">Thesis!$J$128</f>
        <v>99.3763394539051</v>
      </c>
      <c r="K130" s="40" t="n">
        <f aca="false">Thesis!$K$128</f>
        <v>122.481549194278</v>
      </c>
      <c r="L130" s="40" t="n">
        <f aca="false">Thesis!$L$128</f>
        <v>139.564108797953</v>
      </c>
      <c r="M130" s="40" t="n">
        <f aca="false">Thesis!$M$128</f>
        <v>149.816114943274</v>
      </c>
      <c r="N130" s="40" t="n">
        <f aca="false">Thesis!$N$128</f>
        <v>14.882</v>
      </c>
      <c r="O130" s="40" t="n">
        <f aca="false">Thesis!$O$128</f>
        <v>6.568</v>
      </c>
    </row>
    <row r="131" customFormat="false" ht="17.15" hidden="false" customHeight="false" outlineLevel="0" collapsed="false">
      <c r="A131" s="5" t="s">
        <v>804</v>
      </c>
      <c r="B131" s="0" t="s">
        <v>91</v>
      </c>
      <c r="C131" s="40" t="n">
        <f aca="false">PL!$C$128+PL!$C$129+PL!$C$130</f>
        <v>32.067</v>
      </c>
      <c r="D131" s="40" t="n">
        <f aca="false">PL!$D$128+PL!$D$129+PL!$D$130</f>
        <v>41.86</v>
      </c>
      <c r="E131" s="40" t="n">
        <f aca="false">PL!$E$128+PL!$E$129+PL!$E$130</f>
        <v>41.23880553332</v>
      </c>
      <c r="F131" s="40" t="n">
        <f aca="false">PL!$F$128+PL!$F$129+PL!$F$130</f>
        <v>15.5740390023468</v>
      </c>
      <c r="G131" s="40" t="n">
        <f aca="false">PL!$G$128+PL!$G$129+PL!$G$130</f>
        <v>56.8128445356668</v>
      </c>
      <c r="H131" s="40" t="n">
        <f aca="false">PL!$H$128+PL!$H$129+PL!$H$130</f>
        <v>78.7771455603241</v>
      </c>
      <c r="I131" s="40" t="n">
        <f aca="false">PL!$I$128+PL!$I$129+PL!$I$130</f>
        <v>114.930756142734</v>
      </c>
      <c r="J131" s="40" t="n">
        <f aca="false">PL!$J$128+PL!$J$129+PL!$J$130</f>
        <v>144.950446317972</v>
      </c>
      <c r="K131" s="40" t="n">
        <f aca="false">PL!$K$128+PL!$K$129+PL!$K$130</f>
        <v>175.039176433454</v>
      </c>
      <c r="L131" s="40" t="n">
        <f aca="false">PL!$L$128+PL!$L$129+PL!$L$130</f>
        <v>197.676468176405</v>
      </c>
      <c r="M131" s="40" t="n">
        <f aca="false">PL!$M$128+PL!$M$129+PL!$M$130</f>
        <v>211.857899598634</v>
      </c>
      <c r="N131" s="40" t="n">
        <f aca="false">PL!$N$128+PL!$N$129+PL!$N$130</f>
        <v>29.747</v>
      </c>
      <c r="O131" s="40" t="n">
        <f aca="false">PL!$O$128+PL!$O$129+PL!$O$130</f>
        <v>12.113</v>
      </c>
    </row>
    <row r="132" customFormat="false" ht="17.15" hidden="false" customHeight="false" outlineLevel="0" collapsed="false">
      <c r="A132" s="0" t="s">
        <v>805</v>
      </c>
      <c r="B132" s="0" t="s">
        <v>91</v>
      </c>
      <c r="C132" s="40" t="n">
        <f aca="false">PL!$C$103+PL!$C$108</f>
        <v>28.107</v>
      </c>
      <c r="D132" s="40" t="n">
        <f aca="false">PL!$D$103+PL!$D$108</f>
        <v>34.3175</v>
      </c>
      <c r="E132" s="40" t="n">
        <f aca="false">PL!$E$103+PL!$E$108</f>
        <v>28.3445</v>
      </c>
      <c r="F132" s="40" t="n">
        <f aca="false">PL!$F$103+PL!$F$108</f>
        <v>12.7540196873527</v>
      </c>
      <c r="G132" s="40" t="n">
        <f aca="false">PL!$G$103+PL!$G$108</f>
        <v>41.0985196873527</v>
      </c>
      <c r="H132" s="40" t="n">
        <f aca="false">PL!$H$103+PL!$H$108</f>
        <v>48.2304391441512</v>
      </c>
      <c r="I132" s="40" t="n">
        <f aca="false">PL!$I$103+PL!$I$108</f>
        <v>55.4178122068561</v>
      </c>
      <c r="J132" s="40" t="n">
        <f aca="false">PL!$J$103+PL!$J$108</f>
        <v>62.3179259563365</v>
      </c>
      <c r="K132" s="40" t="n">
        <f aca="false">PL!$K$103+PL!$K$108</f>
        <v>68.5497185519701</v>
      </c>
      <c r="L132" s="40" t="n">
        <f aca="false">PL!$L$103+PL!$L$108</f>
        <v>75.4046904071671</v>
      </c>
      <c r="M132" s="40" t="n">
        <f aca="false">PL!$M$103+PL!$M$108</f>
        <v>82.9451594478839</v>
      </c>
      <c r="N132" s="40" t="n">
        <f aca="false">PL!$N$103+PL!$N$108</f>
        <v>23.659</v>
      </c>
      <c r="O132" s="40" t="n">
        <f aca="false">PL!$O$103+PL!$O$108</f>
        <v>10.6585</v>
      </c>
    </row>
    <row r="133" customFormat="false" ht="17.15" hidden="false" customHeight="false" outlineLevel="0" collapsed="false">
      <c r="A133" s="0" t="s">
        <v>806</v>
      </c>
      <c r="B133" s="0" t="s">
        <v>91</v>
      </c>
      <c r="C133" s="40" t="n">
        <f aca="false">PL!$C$107+PL!$C$112+PL!$C$128+PL!$C$129-PL!$C$132</f>
        <v>19.399</v>
      </c>
      <c r="D133" s="40" t="n">
        <f aca="false">PL!$D$107+PL!$D$112+PL!$D$128+PL!$D$129-PL!$D$132</f>
        <v>20.4615</v>
      </c>
      <c r="E133" s="40" t="n">
        <f aca="false">PL!$E$107+PL!$E$112+PL!$E$128+PL!$E$129-PL!$E$132</f>
        <v>19.9110207624575</v>
      </c>
      <c r="F133" s="40" t="n">
        <f aca="false">PL!$F$107+PL!$F$112+PL!$F$128+PL!$F$129-PL!$F$132</f>
        <v>11.3292244276029</v>
      </c>
      <c r="G133" s="40" t="n">
        <f aca="false">PL!$G$107+PL!$G$112+PL!$G$128+PL!$G$129-PL!$G$132</f>
        <v>31.2402451900604</v>
      </c>
      <c r="H133" s="40" t="n">
        <f aca="false">PL!$H$107+PL!$H$112+PL!$H$128+PL!$H$129-PL!$H$132</f>
        <v>33.7977855714846</v>
      </c>
      <c r="I133" s="40" t="n">
        <f aca="false">PL!$I$107+PL!$I$112+PL!$I$128+PL!$I$129-PL!$I$132</f>
        <v>36.3930138937501</v>
      </c>
      <c r="J133" s="40" t="n">
        <f aca="false">PL!$J$107+PL!$J$112+PL!$J$128+PL!$J$129-PL!$J$132</f>
        <v>38.9638841214947</v>
      </c>
      <c r="K133" s="40" t="n">
        <f aca="false">PL!$K$107+PL!$K$112+PL!$K$128+PL!$K$129-PL!$K$132</f>
        <v>41.6846163711491</v>
      </c>
      <c r="L133" s="40" t="n">
        <f aca="false">PL!$L$107+PL!$L$112+PL!$L$128+PL!$L$129-PL!$L$132</f>
        <v>43.6562241677029</v>
      </c>
      <c r="M133" s="40" t="n">
        <f aca="false">PL!$M$107+PL!$M$112+PL!$M$128+PL!$M$129-PL!$M$132</f>
        <v>46.4748655725654</v>
      </c>
      <c r="N133" s="40" t="n">
        <f aca="false">PL!$N$107+PL!$N$112+PL!$N$128+PL!$N$129-PL!$N$132</f>
        <v>13.063</v>
      </c>
      <c r="O133" s="40" t="n">
        <f aca="false">PL!$O$107+PL!$O$112+PL!$O$128+PL!$O$129-PL!$O$132</f>
        <v>7.3985</v>
      </c>
    </row>
    <row r="134" customFormat="false" ht="17.15" hidden="false" customHeight="false" outlineLevel="0" collapsed="false">
      <c r="A134" s="0" t="s">
        <v>807</v>
      </c>
      <c r="B134" s="0" t="s">
        <v>91</v>
      </c>
      <c r="C134" s="40" t="n">
        <f aca="false">PL!$C$114+PL!$C$130-ext_sh*Thesis!$C$116</f>
        <v>51.3470500115664</v>
      </c>
      <c r="D134" s="40" t="n">
        <f aca="false">PL!$D$114+PL!$D$130-ext_sh*Thesis!$D$116</f>
        <v>60.2799375433739</v>
      </c>
      <c r="E134" s="40" t="n">
        <f aca="false">PL!$E$114+PL!$E$130-ext_sh*Thesis!$E$116</f>
        <v>59.7597032676119</v>
      </c>
      <c r="F134" s="40" t="n">
        <f aca="false">PL!$F$114+PL!$F$130-ext_sh*Thesis!$F$116</f>
        <v>19.8765856323982</v>
      </c>
      <c r="G134" s="40" t="n">
        <f aca="false">PL!$G$114+PL!$G$130-ext_sh*Thesis!$G$116</f>
        <v>79.6362889000101</v>
      </c>
      <c r="H134" s="40" t="n">
        <f aca="false">PL!$H$114+PL!$H$130-ext_sh*Thesis!$H$116</f>
        <v>88.6663043493359</v>
      </c>
      <c r="I134" s="40" t="n">
        <f aca="false">PL!$I$114+PL!$I$130-ext_sh*Thesis!$I$116</f>
        <v>98.4420671006853</v>
      </c>
      <c r="J134" s="40" t="n">
        <f aca="false">PL!$J$114+PL!$J$130-ext_sh*Thesis!$J$116</f>
        <v>107.806536768735</v>
      </c>
      <c r="K134" s="40" t="n">
        <f aca="false">PL!$K$114+PL!$K$130-ext_sh*Thesis!$K$116</f>
        <v>116.431059710234</v>
      </c>
      <c r="L134" s="40" t="n">
        <f aca="false">PL!$L$114+PL!$L$130-ext_sh*Thesis!$L$116</f>
        <v>125.745544487053</v>
      </c>
      <c r="M134" s="40" t="n">
        <f aca="false">PL!$M$114+PL!$M$130-ext_sh*Thesis!$M$116</f>
        <v>135.805188046017</v>
      </c>
      <c r="N134" s="40" t="n">
        <f aca="false">PL!$N$114+PL!$N$130-ext_sh*Thesis!$N$116</f>
        <v>43.7032601839009</v>
      </c>
      <c r="O134" s="40" t="n">
        <f aca="false">PL!$O$114+PL!$O$130-ext_sh*Thesis!$O$116</f>
        <v>16.5766773594731</v>
      </c>
    </row>
    <row r="135" customFormat="false" ht="17.15" hidden="false" customHeight="false" outlineLevel="0" collapsed="false">
      <c r="A135" s="0" t="s">
        <v>808</v>
      </c>
      <c r="B135" s="0" t="s">
        <v>91</v>
      </c>
      <c r="C135" s="40" t="n">
        <f aca="false">Thesis!$C$119</f>
        <v>1.80694998843362</v>
      </c>
      <c r="D135" s="40" t="n">
        <f aca="false">Thesis!$D$119</f>
        <v>6.77606245662607</v>
      </c>
      <c r="E135" s="40" t="n">
        <f aca="false">Thesis!$E$119</f>
        <v>12.6125815032506</v>
      </c>
      <c r="F135" s="40" t="n">
        <f aca="false">Thesis!$F$119</f>
        <v>6.20863482592031</v>
      </c>
      <c r="G135" s="40" t="n">
        <f aca="false">Thesis!$G$119</f>
        <v>18.8212163291709</v>
      </c>
      <c r="H135" s="40" t="n">
        <f aca="false">Thesis!$H$119</f>
        <v>40.8938289164795</v>
      </c>
      <c r="I135" s="40" t="n">
        <f aca="false">Thesis!$I$119</f>
        <v>67.3574717921051</v>
      </c>
      <c r="J135" s="40" t="n">
        <f aca="false">Thesis!$J$119</f>
        <v>93.9968356951931</v>
      </c>
      <c r="K135" s="40" t="n">
        <f aca="false">Thesis!$K$119</f>
        <v>116.712462102431</v>
      </c>
      <c r="L135" s="40" t="n">
        <f aca="false">Thesis!$L$119</f>
        <v>131.633525918354</v>
      </c>
      <c r="M135" s="40" t="n">
        <f aca="false">Thesis!$M$119</f>
        <v>138.73142855592</v>
      </c>
      <c r="N135" s="40" t="n">
        <f aca="false">Thesis!$N$119</f>
        <v>4.31973981609912</v>
      </c>
      <c r="O135" s="40" t="n">
        <f aca="false">Thesis!$O$119</f>
        <v>2.45632264052695</v>
      </c>
    </row>
    <row r="136" customFormat="false" ht="17.15" hidden="false" customHeight="false" outlineLevel="0" collapsed="false">
      <c r="A136" s="0" t="s">
        <v>809</v>
      </c>
      <c r="B136" s="0" t="s">
        <v>91</v>
      </c>
      <c r="C136" s="40" t="n">
        <f aca="false">PL!$C$117+PL!$C$131</f>
        <v>100.66</v>
      </c>
      <c r="D136" s="40" t="n">
        <f aca="false">PL!$D$117+PL!$D$131</f>
        <v>121.835</v>
      </c>
      <c r="E136" s="40" t="n">
        <f aca="false">PL!$E$117+PL!$E$131</f>
        <v>120.62780553332</v>
      </c>
      <c r="F136" s="40" t="n">
        <f aca="false">PL!$F$117+PL!$F$131</f>
        <v>50.1684645732741</v>
      </c>
      <c r="G136" s="40" t="n">
        <f aca="false">PL!$G$117+PL!$G$131</f>
        <v>170.796270106594</v>
      </c>
      <c r="H136" s="40" t="n">
        <f aca="false">PL!$H$117+PL!$H$131</f>
        <v>211.588357981451</v>
      </c>
      <c r="I136" s="40" t="n">
        <f aca="false">PL!$I$117+PL!$I$131</f>
        <v>257.610364993396</v>
      </c>
      <c r="J136" s="40" t="n">
        <f aca="false">PL!$J$117+PL!$J$131</f>
        <v>303.08518254176</v>
      </c>
      <c r="K136" s="40" t="n">
        <f aca="false">PL!$K$117+PL!$K$131</f>
        <v>343.377856735785</v>
      </c>
      <c r="L136" s="40" t="n">
        <f aca="false">PL!$L$117+PL!$L$131</f>
        <v>376.439984980276</v>
      </c>
      <c r="M136" s="40" t="n">
        <f aca="false">PL!$M$117+PL!$M$131</f>
        <v>403.956641622386</v>
      </c>
      <c r="N136" s="40" t="n">
        <f aca="false">PL!$N$117+PL!$N$131</f>
        <v>84.745</v>
      </c>
      <c r="O136" s="40" t="n">
        <f aca="false">PL!$O$117+PL!$O$131</f>
        <v>37.09</v>
      </c>
    </row>
    <row r="137" customFormat="false" ht="17.15" hidden="false" customHeight="false" outlineLevel="0" collapsed="false">
      <c r="A137" s="1" t="s">
        <v>810</v>
      </c>
    </row>
    <row r="138" customFormat="false" ht="15" hidden="false" customHeight="false" outlineLevel="0" collapsed="false">
      <c r="A138" s="5" t="s">
        <v>592</v>
      </c>
      <c r="B138" s="0" t="s">
        <v>91</v>
      </c>
      <c r="C138" s="40" t="n">
        <f aca="false">Q!$D$36</f>
        <v>2.406</v>
      </c>
      <c r="D138" s="40" t="n">
        <f aca="false">Q!$E$36</f>
        <v>2.274</v>
      </c>
      <c r="E138" s="40" t="n">
        <f aca="false">Q!$O$36</f>
        <v>3.805</v>
      </c>
      <c r="F138" s="40" t="n">
        <f aca="false">CF!$F$67</f>
        <v>1.94993832879634</v>
      </c>
      <c r="G138" s="40" t="n">
        <f aca="false">PL!$E$138+PL!$F$138</f>
        <v>5.75493832879634</v>
      </c>
      <c r="H138" s="40" t="n">
        <f aca="false">CF!$H$67</f>
        <v>7.79975331518538</v>
      </c>
      <c r="I138" s="40" t="n">
        <f aca="false">CF!$I$67</f>
        <v>7.79975331518538</v>
      </c>
      <c r="J138" s="40" t="n">
        <f aca="false">CF!$J$67</f>
        <v>7.79975331518538</v>
      </c>
      <c r="K138" s="40" t="n">
        <f aca="false">CF!$K$67</f>
        <v>7.79975331518538</v>
      </c>
      <c r="L138" s="40" t="n">
        <f aca="false">CF!$L$67</f>
        <v>7.79975331518538</v>
      </c>
      <c r="M138" s="40" t="n">
        <f aca="false">CF!$M$67</f>
        <v>7.79975331518538</v>
      </c>
      <c r="N138" s="40" t="n">
        <f aca="false">Q!$N$36</f>
        <v>1.595</v>
      </c>
      <c r="O138" s="40" t="n">
        <f aca="false">Q!$J$36</f>
        <v>0.679</v>
      </c>
    </row>
    <row r="139" customFormat="false" ht="15" hidden="false" customHeight="false" outlineLevel="0" collapsed="false">
      <c r="A139" s="5" t="s">
        <v>811</v>
      </c>
      <c r="B139" s="0" t="s">
        <v>91</v>
      </c>
      <c r="F139" s="40" t="n">
        <f aca="false">CF!$F$68</f>
        <v>1.187</v>
      </c>
      <c r="H139" s="40" t="n">
        <f aca="false">CF!$H$68</f>
        <v>5.68853371067722</v>
      </c>
      <c r="I139" s="40" t="n">
        <f aca="false">CF!$I$68</f>
        <v>4.31479553689333</v>
      </c>
      <c r="J139" s="40" t="n">
        <f aca="false">CF!$J$68</f>
        <v>4.34180197773138</v>
      </c>
      <c r="K139" s="40" t="n">
        <f aca="false">CF!$K$68</f>
        <v>5.84900555584495</v>
      </c>
      <c r="L139" s="40" t="n">
        <f aca="false">CF!$L$68</f>
        <v>10.9520308295996</v>
      </c>
      <c r="M139" s="40" t="n">
        <f aca="false">CF!$M$68</f>
        <v>18.3732936479942</v>
      </c>
    </row>
    <row r="140" customFormat="false" ht="17.15" hidden="false" customHeight="false" outlineLevel="0" collapsed="false">
      <c r="A140" s="5" t="s">
        <v>812</v>
      </c>
      <c r="B140" s="0" t="s">
        <v>91</v>
      </c>
      <c r="C140" s="40" t="n">
        <f aca="false">Q!$D$41</f>
        <v>2.427</v>
      </c>
      <c r="D140" s="40" t="n">
        <f aca="false">Q!$E$41</f>
        <v>19.61</v>
      </c>
      <c r="E140" s="40" t="n">
        <f aca="false">Q!$O$41</f>
        <v>71.976</v>
      </c>
      <c r="F140" s="41" t="n">
        <v>0</v>
      </c>
      <c r="G140" s="40" t="n">
        <f aca="false">PL!$E$140+PL!$F$140</f>
        <v>71.976</v>
      </c>
      <c r="H140" s="41" t="n">
        <v>0</v>
      </c>
      <c r="I140" s="41" t="n">
        <v>0</v>
      </c>
      <c r="J140" s="41" t="n">
        <v>0</v>
      </c>
      <c r="K140" s="41" t="n">
        <v>0</v>
      </c>
      <c r="L140" s="41" t="n">
        <v>0</v>
      </c>
      <c r="M140" s="41" t="n">
        <v>0</v>
      </c>
      <c r="N140" s="40" t="n">
        <f aca="false">Q!$N$41</f>
        <v>17.303</v>
      </c>
      <c r="O140" s="40" t="n">
        <f aca="false">Q!$J$41</f>
        <v>2.307</v>
      </c>
      <c r="P140" s="5" t="s">
        <v>813</v>
      </c>
    </row>
    <row r="141" customFormat="false" ht="15" hidden="false" customHeight="false" outlineLevel="0" collapsed="false">
      <c r="A141" s="5" t="s">
        <v>595</v>
      </c>
      <c r="B141" s="0" t="s">
        <v>91</v>
      </c>
      <c r="C141" s="40" t="n">
        <f aca="false">Q!$D$38</f>
        <v>68.614</v>
      </c>
      <c r="D141" s="40" t="n">
        <f aca="false">Q!$E$38</f>
        <v>97.311</v>
      </c>
      <c r="E141" s="40" t="n">
        <f aca="false">Q!$O$38</f>
        <v>147.56</v>
      </c>
      <c r="F141" s="40" t="n">
        <f aca="false">PL!$F$117-PL!$F$138+PL!$F$139+PL!$F$140</f>
        <v>33.8314872421309</v>
      </c>
      <c r="G141" s="40" t="n">
        <f aca="false">PL!$E$141+PL!$F$141</f>
        <v>181.391487242131</v>
      </c>
      <c r="H141" s="40" t="n">
        <f aca="false">PL!$H$117-PL!$H$138+PL!$H$139+PL!$H$140</f>
        <v>130.699992816619</v>
      </c>
      <c r="I141" s="40" t="n">
        <f aca="false">PL!$I$117-PL!$I$138+PL!$I$139+PL!$I$140</f>
        <v>139.19465107237</v>
      </c>
      <c r="J141" s="40" t="n">
        <f aca="false">PL!$J$117-PL!$J$138+PL!$J$139+PL!$J$140</f>
        <v>154.676784886334</v>
      </c>
      <c r="K141" s="40" t="n">
        <f aca="false">PL!$K$117-PL!$K$138+PL!$K$139+PL!$K$140</f>
        <v>166.38793254299</v>
      </c>
      <c r="L141" s="40" t="n">
        <f aca="false">PL!$L$117-PL!$L$138+PL!$L$139+PL!$L$140</f>
        <v>181.915794318286</v>
      </c>
      <c r="M141" s="40" t="n">
        <f aca="false">PL!$M$117-PL!$M$138+PL!$M$139+PL!$M$140</f>
        <v>202.672282356561</v>
      </c>
      <c r="N141" s="40" t="n">
        <f aca="false">Q!$N$38</f>
        <v>70.706</v>
      </c>
      <c r="O141" s="40" t="n">
        <f aca="false">Q!$J$38</f>
        <v>26.605</v>
      </c>
    </row>
    <row r="142" customFormat="false" ht="15" hidden="false" customHeight="false" outlineLevel="0" collapsed="false">
      <c r="A142" s="5" t="s">
        <v>596</v>
      </c>
      <c r="B142" s="0" t="s">
        <v>91</v>
      </c>
      <c r="C142" s="40" t="n">
        <f aca="false">Q!$D$39</f>
        <v>9.265</v>
      </c>
      <c r="D142" s="40" t="n">
        <f aca="false">Q!$E$39</f>
        <v>19.087</v>
      </c>
      <c r="E142" s="40" t="n">
        <f aca="false">Q!$O$39</f>
        <v>33.939</v>
      </c>
      <c r="F142" s="40" t="n">
        <f aca="false">PL!$F$141*tax</f>
        <v>5.87262269781057</v>
      </c>
      <c r="G142" s="40" t="n">
        <f aca="false">PL!$E$142+PL!$F$142</f>
        <v>39.8116226978106</v>
      </c>
      <c r="H142" s="40" t="n">
        <f aca="false">PL!$H$141*tax</f>
        <v>22.6874963824443</v>
      </c>
      <c r="I142" s="40" t="n">
        <f aca="false">PL!$I$141*tax</f>
        <v>24.1620376145762</v>
      </c>
      <c r="J142" s="40" t="n">
        <f aca="false">PL!$J$141*tax</f>
        <v>26.8494964837565</v>
      </c>
      <c r="K142" s="40" t="n">
        <f aca="false">PL!$K$141*tax</f>
        <v>28.8823705059262</v>
      </c>
      <c r="L142" s="40" t="n">
        <f aca="false">PL!$L$141*tax</f>
        <v>31.5777670416275</v>
      </c>
      <c r="M142" s="40" t="n">
        <f aca="false">PL!$M$141*tax</f>
        <v>35.1807721920665</v>
      </c>
      <c r="N142" s="40" t="n">
        <f aca="false">Q!$N$39</f>
        <v>14.141</v>
      </c>
      <c r="O142" s="40" t="n">
        <f aca="false">Q!$J$39</f>
        <v>4.946</v>
      </c>
    </row>
    <row r="143" customFormat="false" ht="15" hidden="false" customHeight="false" outlineLevel="0" collapsed="false">
      <c r="A143" s="3" t="s">
        <v>597</v>
      </c>
      <c r="B143" s="8" t="s">
        <v>91</v>
      </c>
      <c r="C143" s="40" t="n">
        <f aca="false">Q!$D$40</f>
        <v>59.248</v>
      </c>
      <c r="D143" s="40" t="n">
        <f aca="false">Q!$E$40</f>
        <v>77.67</v>
      </c>
      <c r="E143" s="40" t="n">
        <f aca="false">Q!$O$40</f>
        <v>113.587</v>
      </c>
      <c r="F143" s="40" t="n">
        <f aca="false">PL!$F$141-PL!$F$142</f>
        <v>27.9588645443204</v>
      </c>
      <c r="G143" s="40" t="n">
        <f aca="false">PL!$E$143+PL!$F$143</f>
        <v>141.54586454432</v>
      </c>
      <c r="H143" s="40" t="n">
        <f aca="false">PL!$H$141-PL!$H$142</f>
        <v>108.012496434175</v>
      </c>
      <c r="I143" s="40" t="n">
        <f aca="false">PL!$I$141-PL!$I$142</f>
        <v>115.032613457794</v>
      </c>
      <c r="J143" s="40" t="n">
        <f aca="false">PL!$J$141-PL!$J$142</f>
        <v>127.827288402577</v>
      </c>
      <c r="K143" s="40" t="n">
        <f aca="false">PL!$K$141-PL!$K$142</f>
        <v>137.505562037064</v>
      </c>
      <c r="L143" s="40" t="n">
        <f aca="false">PL!$L$141-PL!$L$142</f>
        <v>150.338027276658</v>
      </c>
      <c r="M143" s="40" t="n">
        <f aca="false">PL!$M$141-PL!$M$142</f>
        <v>167.491510164494</v>
      </c>
      <c r="N143" s="40" t="n">
        <f aca="false">Q!$N$40</f>
        <v>56.478</v>
      </c>
      <c r="O143" s="40" t="n">
        <f aca="false">Q!$J$40</f>
        <v>21.192</v>
      </c>
    </row>
    <row r="144" customFormat="false" ht="17.15" hidden="false" customHeight="false" outlineLevel="0" collapsed="false">
      <c r="A144" s="5" t="s">
        <v>600</v>
      </c>
      <c r="B144" s="5" t="s">
        <v>37</v>
      </c>
      <c r="C144" s="25" t="n">
        <f aca="false">Q!$D$43</f>
        <v>10.721</v>
      </c>
      <c r="D144" s="25" t="n">
        <f aca="false">Q!$E$43</f>
        <v>10.827</v>
      </c>
      <c r="E144" s="25" t="n">
        <f aca="false">Q!$O$43</f>
        <v>10.903</v>
      </c>
      <c r="F144" s="25" t="n">
        <f aca="false">Q!$M$43*(1+sh_g*0.25)</f>
        <v>10.950858</v>
      </c>
      <c r="G144" s="25" t="n">
        <f aca="false">(3*PL!$E$144+PL!$F$144)/4</f>
        <v>10.9149645</v>
      </c>
      <c r="H144" s="25" t="n">
        <f aca="false">PL!$G$144*(1+sh_g)</f>
        <v>11.002284216</v>
      </c>
      <c r="I144" s="25" t="n">
        <f aca="false">PL!$H$144*(1+sh_g)</f>
        <v>11.090302489728</v>
      </c>
      <c r="J144" s="25" t="n">
        <f aca="false">PL!$I$144*(1+sh_g)</f>
        <v>11.1790249096458</v>
      </c>
      <c r="K144" s="25" t="n">
        <f aca="false">PL!$J$144*(1+sh_g)</f>
        <v>11.268457108923</v>
      </c>
      <c r="L144" s="25" t="n">
        <f aca="false">PL!$K$144*(1+sh_g)</f>
        <v>11.3586047657944</v>
      </c>
      <c r="M144" s="25" t="n">
        <f aca="false">PL!$L$144*(1+sh_g)</f>
        <v>11.4494736039207</v>
      </c>
      <c r="P144" s="5" t="s">
        <v>814</v>
      </c>
    </row>
    <row r="145" customFormat="false" ht="17.15" hidden="false" customHeight="false" outlineLevel="0" collapsed="false">
      <c r="A145" s="5" t="s">
        <v>815</v>
      </c>
      <c r="B145" s="0" t="s">
        <v>91</v>
      </c>
      <c r="C145" s="40" t="n">
        <f aca="false">PL!$C$143+PL!$C$119*(1-tax)</f>
        <v>59.248</v>
      </c>
      <c r="D145" s="40" t="n">
        <f aca="false">PL!$D$143+PL!$D$119*(1-tax)</f>
        <v>77.67</v>
      </c>
      <c r="E145" s="40" t="n">
        <f aca="false">PL!$E$143+PL!$E$119*(1-tax)</f>
        <v>113.587</v>
      </c>
      <c r="F145" s="40" t="n">
        <f aca="false">PL!$F$143+PL!$F$119*(1-tax)</f>
        <v>29.6494130352562</v>
      </c>
      <c r="G145" s="40" t="n">
        <f aca="false">PL!$G$143+PL!$G$119*(1-tax)</f>
        <v>143.236413035256</v>
      </c>
      <c r="H145" s="40" t="n">
        <f aca="false">PL!$H$143+PL!$H$119*(1-tax)</f>
        <v>119.236973204206</v>
      </c>
      <c r="I145" s="40" t="n">
        <f aca="false">PL!$I$143+PL!$I$119*(1-tax)</f>
        <v>133.571445724602</v>
      </c>
      <c r="J145" s="40" t="n">
        <f aca="false">PL!$J$143+PL!$J$119*(1-tax)</f>
        <v>153.720408281984</v>
      </c>
      <c r="K145" s="40" t="n">
        <f aca="false">PL!$K$143+PL!$K$119*(1-tax)</f>
        <v>169.670879834929</v>
      </c>
      <c r="L145" s="40" t="n">
        <f aca="false">PL!$L$143+PL!$L$119*(1-tax)</f>
        <v>186.623387800846</v>
      </c>
      <c r="M145" s="40" t="n">
        <f aca="false">PL!$M$143+PL!$M$119*(1-tax)</f>
        <v>205.738259273331</v>
      </c>
      <c r="N145" s="40" t="n">
        <f aca="false">PL!$N$143+PL!$N$119*(1-tax)</f>
        <v>56.478</v>
      </c>
      <c r="O145" s="40" t="n">
        <f aca="false">PL!$O$143+PL!$O$119*(1-tax)</f>
        <v>21.192</v>
      </c>
    </row>
    <row r="146" customFormat="false" ht="17.15" hidden="false" customHeight="false" outlineLevel="0" collapsed="false">
      <c r="A146" s="45" t="s">
        <v>816</v>
      </c>
      <c r="B146" s="14" t="s">
        <v>27</v>
      </c>
      <c r="C146" s="46" t="n">
        <f aca="false">PL!$C$145/PL!$C$144</f>
        <v>5.52635015390355</v>
      </c>
      <c r="D146" s="46" t="n">
        <f aca="false">PL!$D$145/PL!$D$144</f>
        <v>7.1737323358271</v>
      </c>
      <c r="E146" s="46" t="n">
        <f aca="false">PL!$E$145/PL!$E$144</f>
        <v>10.4179583600844</v>
      </c>
      <c r="F146" s="14"/>
      <c r="G146" s="46" t="n">
        <f aca="false">PL!$G$145/PL!$G$144</f>
        <v>13.1229389738516</v>
      </c>
      <c r="H146" s="46" t="n">
        <f aca="false">PL!$H$145/PL!$H$144</f>
        <v>10.8374743701682</v>
      </c>
      <c r="I146" s="46" t="n">
        <f aca="false">PL!$I$145/PL!$I$144</f>
        <v>12.0439858018587</v>
      </c>
      <c r="J146" s="46" t="n">
        <f aca="false">PL!$J$145/PL!$J$144</f>
        <v>13.7507885995805</v>
      </c>
      <c r="K146" s="46" t="n">
        <f aca="false">PL!$K$145/PL!$K$144</f>
        <v>15.0571527401541</v>
      </c>
      <c r="L146" s="46" t="n">
        <f aca="false">PL!$L$145/PL!$L$144</f>
        <v>16.4301330708195</v>
      </c>
      <c r="M146" s="46" t="n">
        <f aca="false">PL!$M$145/PL!$M$144</f>
        <v>17.9692330311918</v>
      </c>
      <c r="N146" s="14"/>
      <c r="O146" s="14"/>
    </row>
    <row r="147" customFormat="false" ht="17.15" hidden="false" customHeight="false" outlineLevel="0" collapsed="false">
      <c r="A147" s="0" t="s">
        <v>817</v>
      </c>
      <c r="B147" s="0" t="s">
        <v>27</v>
      </c>
      <c r="C147" s="34" t="n">
        <f aca="false">PL!$C$143/PL!$C$144</f>
        <v>5.52635015390355</v>
      </c>
      <c r="D147" s="34" t="n">
        <f aca="false">PL!$D$143/PL!$D$144</f>
        <v>7.1737323358271</v>
      </c>
      <c r="E147" s="34" t="n">
        <f aca="false">PL!$E$143/PL!$E$144</f>
        <v>10.4179583600844</v>
      </c>
      <c r="G147" s="34" t="n">
        <f aca="false">PL!$G$143/PL!$G$144</f>
        <v>12.9680554200905</v>
      </c>
      <c r="H147" s="34" t="n">
        <f aca="false">PL!$H$143/PL!$H$144</f>
        <v>9.81727924071423</v>
      </c>
      <c r="I147" s="34" t="n">
        <f aca="false">PL!$I$143/PL!$I$144</f>
        <v>10.3723603178848</v>
      </c>
      <c r="J147" s="34" t="n">
        <f aca="false">PL!$J$143/PL!$J$144</f>
        <v>11.4345651285097</v>
      </c>
      <c r="K147" s="34" t="n">
        <f aca="false">PL!$K$143/PL!$K$144</f>
        <v>12.2026964923334</v>
      </c>
      <c r="L147" s="34" t="n">
        <f aca="false">PL!$L$143/PL!$L$144</f>
        <v>13.235606870431</v>
      </c>
      <c r="M147" s="34" t="n">
        <f aca="false">PL!$M$143/PL!$M$144</f>
        <v>14.6287520246467</v>
      </c>
    </row>
    <row r="148" customFormat="false" ht="17.15" hidden="false" customHeight="false" outlineLevel="0" collapsed="false">
      <c r="A148" s="0" t="s">
        <v>818</v>
      </c>
      <c r="B148" s="0" t="s">
        <v>27</v>
      </c>
      <c r="C148" s="34" t="n">
        <f aca="false">(PL!$C$143-PL!$C$140*(1-tax))/PL!$C$144</f>
        <v>5.33926775917445</v>
      </c>
      <c r="D148" s="34" t="n">
        <f aca="false">(PL!$D$143-PL!$D$140*(1-tax))/PL!$D$144</f>
        <v>5.67691812755503</v>
      </c>
      <c r="E148" s="34" t="n">
        <f aca="false">(PL!$E$143-PL!$E$140*(1-tax))/PL!$E$144</f>
        <v>4.96238832322067</v>
      </c>
      <c r="G148" s="34" t="n">
        <f aca="false">(PL!$G$143-PL!$G$140*(1-tax))/PL!$G$144</f>
        <v>7.51846553714355</v>
      </c>
      <c r="H148" s="34" t="n">
        <f aca="false">(PL!$H$143-PL!$H$140*(1-tax))/PL!$H$144</f>
        <v>9.81727924071423</v>
      </c>
      <c r="I148" s="34" t="n">
        <f aca="false">(PL!$I$143-PL!$I$140*(1-tax))/PL!$I$144</f>
        <v>10.3723603178848</v>
      </c>
      <c r="J148" s="34" t="n">
        <f aca="false">(PL!$J$143-PL!$J$140*(1-tax))/PL!$J$144</f>
        <v>11.4345651285097</v>
      </c>
      <c r="K148" s="34" t="n">
        <f aca="false">(PL!$K$143-PL!$K$140*(1-tax))/PL!$K$144</f>
        <v>12.2026964923334</v>
      </c>
      <c r="L148" s="34" t="n">
        <f aca="false">(PL!$L$143-PL!$L$140*(1-tax))/PL!$L$144</f>
        <v>13.235606870431</v>
      </c>
      <c r="M148" s="34" t="n">
        <f aca="false">(PL!$M$143-PL!$M$140*(1-tax))/PL!$M$144</f>
        <v>14.6287520246467</v>
      </c>
      <c r="P148" s="5" t="s">
        <v>819</v>
      </c>
    </row>
    <row r="149" customFormat="false" ht="17.15" hidden="false" customHeight="false" outlineLevel="0" collapsed="false">
      <c r="A149" s="0" t="s">
        <v>820</v>
      </c>
      <c r="B149" s="0" t="s">
        <v>56</v>
      </c>
      <c r="H149" s="13" t="n">
        <f aca="false">PL!$H$146/PL!$G$146-1</f>
        <v>-0.174157984597607</v>
      </c>
      <c r="I149" s="13" t="n">
        <f aca="false">PL!$I$146/PL!$H$146-1</f>
        <v>0.11132773102667</v>
      </c>
      <c r="J149" s="13" t="n">
        <f aca="false">PL!$J$146/PL!$I$146-1</f>
        <v>0.141714115725574</v>
      </c>
      <c r="K149" s="13" t="n">
        <f aca="false">PL!$K$146/PL!$J$146-1</f>
        <v>0.0950028524628432</v>
      </c>
      <c r="L149" s="13" t="n">
        <f aca="false">PL!$L$146/PL!$K$146-1</f>
        <v>0.0911845920911643</v>
      </c>
      <c r="M149" s="13" t="n">
        <f aca="false">PL!$M$146/PL!$L$146-1</f>
        <v>0.093675440955854</v>
      </c>
    </row>
    <row r="152" customFormat="false" ht="19.4" hidden="false" customHeight="false" outlineLevel="0" collapsed="false">
      <c r="A152" s="35" t="s">
        <v>824</v>
      </c>
    </row>
    <row r="153" customFormat="false" ht="17.15" hidden="false" customHeight="false" outlineLevel="0" collapsed="false">
      <c r="A153" s="6" t="s">
        <v>16</v>
      </c>
      <c r="B153" s="6" t="s">
        <v>17</v>
      </c>
      <c r="C153" s="23" t="s">
        <v>542</v>
      </c>
      <c r="D153" s="23" t="s">
        <v>543</v>
      </c>
      <c r="E153" s="23" t="s">
        <v>631</v>
      </c>
      <c r="F153" s="23" t="s">
        <v>632</v>
      </c>
      <c r="G153" s="23" t="s">
        <v>633</v>
      </c>
      <c r="H153" s="23" t="s">
        <v>634</v>
      </c>
      <c r="I153" s="23" t="s">
        <v>635</v>
      </c>
      <c r="J153" s="23" t="s">
        <v>636</v>
      </c>
      <c r="K153" s="23" t="s">
        <v>637</v>
      </c>
      <c r="L153" s="23" t="s">
        <v>638</v>
      </c>
      <c r="M153" s="23" t="s">
        <v>639</v>
      </c>
      <c r="N153" s="23" t="s">
        <v>640</v>
      </c>
      <c r="O153" s="23" t="s">
        <v>641</v>
      </c>
      <c r="P153" s="6" t="s">
        <v>23</v>
      </c>
      <c r="R153" s="23" t="n">
        <v>2023</v>
      </c>
      <c r="S153" s="23" t="n">
        <v>2024</v>
      </c>
      <c r="T153" s="23" t="n">
        <v>2025</v>
      </c>
      <c r="U153" s="23" t="n">
        <v>2026</v>
      </c>
      <c r="V153" s="23" t="n">
        <v>2027</v>
      </c>
      <c r="W153" s="23" t="n">
        <v>2028</v>
      </c>
      <c r="X153" s="23" t="n">
        <v>2029</v>
      </c>
      <c r="Y153" s="23" t="n">
        <v>2030</v>
      </c>
      <c r="Z153" s="23" t="n">
        <v>2031</v>
      </c>
      <c r="AA153" s="23" t="n">
        <v>2032</v>
      </c>
    </row>
    <row r="154" customFormat="false" ht="17.15" hidden="false" customHeight="false" outlineLevel="0" collapsed="false">
      <c r="A154" s="1" t="s">
        <v>775</v>
      </c>
    </row>
    <row r="155" customFormat="false" ht="15" hidden="false" customHeight="false" outlineLevel="0" collapsed="false">
      <c r="A155" s="0" t="s">
        <v>564</v>
      </c>
      <c r="B155" s="0" t="s">
        <v>91</v>
      </c>
      <c r="C155" s="40" t="n">
        <f aca="false">Seg!$C$77</f>
        <v>247.029</v>
      </c>
      <c r="D155" s="40" t="n">
        <f aca="false">Seg!$D$77</f>
        <v>269.287</v>
      </c>
      <c r="E155" s="40" t="n">
        <f aca="false">Seg!$E$77</f>
        <v>203.156</v>
      </c>
      <c r="F155" s="40" t="n">
        <f aca="false">Seg!$F$77</f>
        <v>90.388463759573</v>
      </c>
      <c r="G155" s="40" t="n">
        <f aca="false">Seg!$G$77</f>
        <v>293.544463759573</v>
      </c>
      <c r="H155" s="40" t="n">
        <f aca="false">Seg!$H$77</f>
        <v>317.13448447826</v>
      </c>
      <c r="I155" s="40" t="n">
        <f aca="false">Seg!$I$77</f>
        <v>339.410577938345</v>
      </c>
      <c r="J155" s="40" t="n">
        <f aca="false">Seg!$J$77</f>
        <v>359.816245442206</v>
      </c>
      <c r="K155" s="40" t="n">
        <f aca="false">Seg!$K$77</f>
        <v>377.807057714316</v>
      </c>
      <c r="L155" s="40" t="n">
        <f aca="false">Seg!$L$77</f>
        <v>396.697410600032</v>
      </c>
      <c r="M155" s="40" t="n">
        <f aca="false">Seg!$M$77</f>
        <v>416.532281130034</v>
      </c>
      <c r="N155" s="40" t="n">
        <f aca="false">Seg!$N$77</f>
        <v>186.299</v>
      </c>
      <c r="O155" s="40" t="n">
        <f aca="false">Seg!$O$77</f>
        <v>82.988</v>
      </c>
    </row>
    <row r="156" customFormat="false" ht="15" hidden="false" customHeight="false" outlineLevel="0" collapsed="false">
      <c r="A156" s="0" t="s">
        <v>565</v>
      </c>
      <c r="B156" s="0" t="s">
        <v>91</v>
      </c>
      <c r="C156" s="40" t="n">
        <f aca="false">Seg!$C$79</f>
        <v>21.215</v>
      </c>
      <c r="D156" s="40" t="n">
        <f aca="false">Seg!$D$79</f>
        <v>22.561</v>
      </c>
      <c r="E156" s="40" t="n">
        <f aca="false">Seg!$E$79</f>
        <v>17.289</v>
      </c>
      <c r="F156" s="40" t="n">
        <f aca="false">Seg!$F$79</f>
        <v>6.05205510939944</v>
      </c>
      <c r="G156" s="40" t="n">
        <f aca="false">Seg!$G$79</f>
        <v>23.3410551093994</v>
      </c>
      <c r="H156" s="40" t="n">
        <f aca="false">Seg!$H$79</f>
        <v>24.1270238539533</v>
      </c>
      <c r="I156" s="40" t="n">
        <f aca="false">Seg!$I$79</f>
        <v>24.9099173270163</v>
      </c>
      <c r="J156" s="40" t="n">
        <f aca="false">Seg!$J$79</f>
        <v>25.6877148084528</v>
      </c>
      <c r="K156" s="40" t="n">
        <f aca="false">Seg!$K$79</f>
        <v>26.4583462527063</v>
      </c>
      <c r="L156" s="40" t="n">
        <f aca="false">Seg!$L$79</f>
        <v>27.2520966402875</v>
      </c>
      <c r="M156" s="40" t="n">
        <f aca="false">Seg!$M$79</f>
        <v>28.0696595394962</v>
      </c>
      <c r="N156" s="40" t="n">
        <f aca="false">Seg!$N$79</f>
        <v>16.706</v>
      </c>
      <c r="O156" s="40" t="n">
        <f aca="false">Seg!$O$79</f>
        <v>5.855</v>
      </c>
    </row>
    <row r="157" customFormat="false" ht="15" hidden="false" customHeight="false" outlineLevel="0" collapsed="false">
      <c r="A157" s="0" t="s">
        <v>566</v>
      </c>
      <c r="B157" s="0" t="s">
        <v>91</v>
      </c>
      <c r="C157" s="40" t="n">
        <f aca="false">Seg!$C$81</f>
        <v>156.146</v>
      </c>
      <c r="D157" s="40" t="n">
        <f aca="false">Seg!$D$81</f>
        <v>172.162</v>
      </c>
      <c r="E157" s="40" t="n">
        <f aca="false">Seg!$E$81</f>
        <v>134.85</v>
      </c>
      <c r="F157" s="40" t="n">
        <f aca="false">Seg!$F$81</f>
        <v>59.6056141851888</v>
      </c>
      <c r="G157" s="40" t="n">
        <f aca="false">Seg!$G$81</f>
        <v>194.455614185189</v>
      </c>
      <c r="H157" s="40" t="n">
        <f aca="false">Seg!$H$81</f>
        <v>216.80459217381</v>
      </c>
      <c r="I157" s="40" t="n">
        <f aca="false">Seg!$I$81</f>
        <v>238.475078227356</v>
      </c>
      <c r="J157" s="40" t="n">
        <f aca="false">Seg!$J$81</f>
        <v>258.739974865958</v>
      </c>
      <c r="K157" s="40" t="n">
        <f aca="false">Seg!$K$81</f>
        <v>276.851773106575</v>
      </c>
      <c r="L157" s="40" t="n">
        <f aca="false">Seg!$L$81</f>
        <v>296.231397224035</v>
      </c>
      <c r="M157" s="40" t="n">
        <f aca="false">Seg!$M$81</f>
        <v>316.967595029718</v>
      </c>
      <c r="N157" s="40" t="n">
        <f aca="false">Seg!$N$81</f>
        <v>119.346</v>
      </c>
      <c r="O157" s="40" t="n">
        <f aca="false">Seg!$O$81</f>
        <v>52.816</v>
      </c>
    </row>
    <row r="158" customFormat="false" ht="15" hidden="false" customHeight="false" outlineLevel="0" collapsed="false">
      <c r="A158" s="0" t="s">
        <v>567</v>
      </c>
      <c r="B158" s="0" t="s">
        <v>91</v>
      </c>
      <c r="C158" s="40" t="n">
        <f aca="false">Seg!$C$83</f>
        <v>56.214</v>
      </c>
      <c r="D158" s="40" t="n">
        <f aca="false">Seg!$D$83</f>
        <v>68.635</v>
      </c>
      <c r="E158" s="40" t="n">
        <f aca="false">Seg!$E$83</f>
        <v>56.689</v>
      </c>
      <c r="F158" s="40" t="n">
        <f aca="false">Seg!$F$83</f>
        <v>25.5080393747055</v>
      </c>
      <c r="G158" s="40" t="n">
        <f aca="false">Seg!$G$83</f>
        <v>82.1970393747055</v>
      </c>
      <c r="H158" s="40" t="n">
        <f aca="false">Seg!$H$83</f>
        <v>96.4608782883025</v>
      </c>
      <c r="I158" s="40" t="n">
        <f aca="false">Seg!$I$83</f>
        <v>110.835624413712</v>
      </c>
      <c r="J158" s="40" t="n">
        <f aca="false">Seg!$J$83</f>
        <v>124.635851912673</v>
      </c>
      <c r="K158" s="40" t="n">
        <f aca="false">Seg!$K$83</f>
        <v>137.09943710394</v>
      </c>
      <c r="L158" s="40" t="n">
        <f aca="false">Seg!$L$83</f>
        <v>150.809380814334</v>
      </c>
      <c r="M158" s="40" t="n">
        <f aca="false">Seg!$M$83</f>
        <v>165.890318895768</v>
      </c>
      <c r="N158" s="40" t="n">
        <f aca="false">Seg!$N$83</f>
        <v>47.318</v>
      </c>
      <c r="O158" s="40" t="n">
        <f aca="false">Seg!$O$83</f>
        <v>21.317</v>
      </c>
    </row>
    <row r="159" customFormat="false" ht="15" hidden="false" customHeight="false" outlineLevel="0" collapsed="false">
      <c r="A159" s="0" t="s">
        <v>568</v>
      </c>
      <c r="B159" s="0" t="s">
        <v>91</v>
      </c>
      <c r="C159" s="40" t="n">
        <f aca="false">Seg!$C$85</f>
        <v>44.374</v>
      </c>
      <c r="D159" s="40" t="n">
        <f aca="false">Seg!$D$85</f>
        <v>49.619</v>
      </c>
      <c r="E159" s="40" t="n">
        <f aca="false">Seg!$E$85</f>
        <v>41.163</v>
      </c>
      <c r="F159" s="40" t="n">
        <f aca="false">Seg!$F$85</f>
        <v>14.7818388144754</v>
      </c>
      <c r="G159" s="40" t="n">
        <f aca="false">Seg!$G$85</f>
        <v>55.9448388144754</v>
      </c>
      <c r="H159" s="40" t="n">
        <f aca="false">Seg!$H$85</f>
        <v>62.2881216081287</v>
      </c>
      <c r="I159" s="40" t="n">
        <f aca="false">Seg!$I$85</f>
        <v>68.4498533343906</v>
      </c>
      <c r="J159" s="40" t="n">
        <f aca="false">Seg!$J$85</f>
        <v>74.2312327495396</v>
      </c>
      <c r="K159" s="40" t="n">
        <f aca="false">Seg!$K$85</f>
        <v>79.4274190420074</v>
      </c>
      <c r="L159" s="40" t="n">
        <f aca="false">Seg!$L$85</f>
        <v>84.9873383749479</v>
      </c>
      <c r="M159" s="40" t="n">
        <f aca="false">Seg!$M$85</f>
        <v>90.9364520611943</v>
      </c>
      <c r="N159" s="40" t="n">
        <f aca="false">Seg!$N$85</f>
        <v>36.497</v>
      </c>
      <c r="O159" s="40" t="n">
        <f aca="false">Seg!$O$85</f>
        <v>13.122</v>
      </c>
    </row>
    <row r="160" customFormat="false" ht="15" hidden="false" customHeight="false" outlineLevel="0" collapsed="false">
      <c r="A160" s="0" t="s">
        <v>569</v>
      </c>
      <c r="B160" s="0" t="s">
        <v>91</v>
      </c>
      <c r="C160" s="40" t="n">
        <f aca="false">Seg!$C$87</f>
        <v>5.425</v>
      </c>
      <c r="D160" s="40" t="n">
        <f aca="false">Seg!$D$87</f>
        <v>5.935</v>
      </c>
      <c r="E160" s="40" t="n">
        <f aca="false">Seg!$E$87</f>
        <v>5.119</v>
      </c>
      <c r="F160" s="40" t="n">
        <f aca="false">Seg!$F$87</f>
        <v>2.06764643489463</v>
      </c>
      <c r="G160" s="40" t="n">
        <f aca="false">Seg!$G$87</f>
        <v>7.18664643489463</v>
      </c>
      <c r="H160" s="40" t="n">
        <f aca="false">Seg!$H$87</f>
        <v>8.41544223415965</v>
      </c>
      <c r="I160" s="40" t="n">
        <f aca="false">Seg!$I$87</f>
        <v>9.51496576222195</v>
      </c>
      <c r="J160" s="40" t="n">
        <f aca="false">Seg!$J$87</f>
        <v>10.3744310498661</v>
      </c>
      <c r="K160" s="40" t="n">
        <f aca="false">Seg!$K$87</f>
        <v>10.8931526023594</v>
      </c>
      <c r="L160" s="40" t="n">
        <f aca="false">Seg!$L$87</f>
        <v>11.4378102324774</v>
      </c>
      <c r="M160" s="40" t="n">
        <f aca="false">Seg!$M$87</f>
        <v>12.0097007441012</v>
      </c>
      <c r="N160" s="40" t="n">
        <f aca="false">Seg!$N$87</f>
        <v>4.226</v>
      </c>
      <c r="O160" s="40" t="n">
        <f aca="false">Seg!$O$87</f>
        <v>1.709</v>
      </c>
    </row>
    <row r="161" customFormat="false" ht="17.15" hidden="false" customHeight="false" outlineLevel="0" collapsed="false">
      <c r="A161" s="0" t="s">
        <v>776</v>
      </c>
      <c r="B161" s="0" t="s">
        <v>91</v>
      </c>
      <c r="C161" s="40" t="n">
        <f aca="false">Seg!$C$99</f>
        <v>107.556</v>
      </c>
      <c r="D161" s="40" t="n">
        <f aca="false">Seg!$D$99</f>
        <v>128.725</v>
      </c>
      <c r="E161" s="40" t="n">
        <f aca="false">Seg!$E$99</f>
        <v>125.803</v>
      </c>
      <c r="F161" s="40" t="n">
        <f aca="false">Seg!$F$99</f>
        <v>44.5764203758521</v>
      </c>
      <c r="G161" s="40" t="n">
        <f aca="false">Seg!$G$99</f>
        <v>170.379420375852</v>
      </c>
      <c r="H161" s="40" t="n">
        <f aca="false">Seg!$H$99</f>
        <v>213.164442900105</v>
      </c>
      <c r="I161" s="40" t="n">
        <f aca="false">Seg!$I$99</f>
        <v>260.556625511288</v>
      </c>
      <c r="J161" s="40" t="n">
        <f aca="false">Seg!$J$99</f>
        <v>307.343053205019</v>
      </c>
      <c r="K161" s="40" t="n">
        <f aca="false">Seg!$K$99</f>
        <v>348.432273046387</v>
      </c>
      <c r="L161" s="40" t="n">
        <f aca="false">Seg!$L$99</f>
        <v>382.212023727019</v>
      </c>
      <c r="M161" s="40" t="n">
        <f aca="false">Seg!$M$99</f>
        <v>408.759048163422</v>
      </c>
      <c r="N161" s="40" t="n">
        <f aca="false">Seg!$N$99</f>
        <v>93.146</v>
      </c>
      <c r="O161" s="40" t="n">
        <f aca="false">Seg!$O$99</f>
        <v>35.579</v>
      </c>
    </row>
    <row r="162" customFormat="false" ht="15" hidden="false" customHeight="false" outlineLevel="0" collapsed="false">
      <c r="A162" s="1" t="s">
        <v>557</v>
      </c>
      <c r="B162" s="8" t="s">
        <v>91</v>
      </c>
      <c r="C162" s="40" t="n">
        <f aca="false">Seg!$C$92</f>
        <v>387.497</v>
      </c>
      <c r="D162" s="40" t="n">
        <f aca="false">Seg!$D$92</f>
        <v>426.305</v>
      </c>
      <c r="E162" s="40" t="n">
        <f aca="false">Seg!$E$92</f>
        <v>333.172</v>
      </c>
      <c r="F162" s="40" t="n">
        <f aca="false">Seg!$F$92</f>
        <v>141.803933639977</v>
      </c>
      <c r="G162" s="40" t="n">
        <f aca="false">Seg!$G$92</f>
        <v>474.975933639977</v>
      </c>
      <c r="H162" s="40" t="n">
        <f aca="false">Seg!$H$92</f>
        <v>524.566728590708</v>
      </c>
      <c r="I162" s="40" t="n">
        <f aca="false">Seg!$I$92</f>
        <v>572.569560425675</v>
      </c>
      <c r="J162" s="40" t="n">
        <f aca="false">Seg!$J$92</f>
        <v>617.334825989679</v>
      </c>
      <c r="K162" s="40" t="n">
        <f aca="false">Seg!$K$92</f>
        <v>657.154313491738</v>
      </c>
      <c r="L162" s="40" t="n">
        <f aca="false">Seg!$L$92</f>
        <v>699.741557349269</v>
      </c>
      <c r="M162" s="40" t="n">
        <f aca="false">Seg!$M$92</f>
        <v>745.303288602707</v>
      </c>
      <c r="N162" s="40" t="n">
        <f aca="false">Seg!$N$92</f>
        <v>299.222</v>
      </c>
      <c r="O162" s="40" t="n">
        <f aca="false">Seg!$O$92</f>
        <v>127.083</v>
      </c>
    </row>
    <row r="163" customFormat="false" ht="15" hidden="false" customHeight="false" outlineLevel="0" collapsed="false">
      <c r="A163" s="1" t="s">
        <v>560</v>
      </c>
      <c r="B163" s="8" t="s">
        <v>91</v>
      </c>
      <c r="C163" s="40" t="n">
        <f aca="false">Seg!$C$93</f>
        <v>142.906</v>
      </c>
      <c r="D163" s="40" t="n">
        <f aca="false">Seg!$D$93</f>
        <v>161.894</v>
      </c>
      <c r="E163" s="40" t="n">
        <f aca="false">Seg!$E$93</f>
        <v>125.094</v>
      </c>
      <c r="F163" s="40" t="n">
        <f aca="false">Seg!$F$93</f>
        <v>56.5997240382599</v>
      </c>
      <c r="G163" s="40" t="n">
        <f aca="false">Seg!$G$93</f>
        <v>181.69372403826</v>
      </c>
      <c r="H163" s="40" t="n">
        <f aca="false">Seg!$H$93</f>
        <v>200.663814045906</v>
      </c>
      <c r="I163" s="40" t="n">
        <f aca="false">Seg!$I$93</f>
        <v>219.026456577366</v>
      </c>
      <c r="J163" s="40" t="n">
        <f aca="false">Seg!$J$93</f>
        <v>236.150624839017</v>
      </c>
      <c r="K163" s="40" t="n">
        <f aca="false">Seg!$K$93</f>
        <v>251.382872330167</v>
      </c>
      <c r="L163" s="40" t="n">
        <f aca="false">Seg!$L$93</f>
        <v>267.673876536846</v>
      </c>
      <c r="M163" s="40" t="n">
        <f aca="false">Seg!$M$93</f>
        <v>285.102718797604</v>
      </c>
      <c r="N163" s="40" t="n">
        <f aca="false">Seg!$N$93</f>
        <v>111.17</v>
      </c>
      <c r="O163" s="40" t="n">
        <f aca="false">Seg!$O$93</f>
        <v>50.724</v>
      </c>
    </row>
    <row r="164" customFormat="false" ht="15" hidden="false" customHeight="false" outlineLevel="0" collapsed="false">
      <c r="A164" s="1" t="s">
        <v>561</v>
      </c>
      <c r="B164" s="8" t="s">
        <v>91</v>
      </c>
      <c r="C164" s="40" t="n">
        <f aca="false">Seg!$C$99</f>
        <v>107.556</v>
      </c>
      <c r="D164" s="40" t="n">
        <f aca="false">Seg!$D$99</f>
        <v>128.725</v>
      </c>
      <c r="E164" s="40" t="n">
        <f aca="false">Seg!$E$99</f>
        <v>125.803</v>
      </c>
      <c r="F164" s="40" t="n">
        <f aca="false">Seg!$F$99</f>
        <v>44.5764203758521</v>
      </c>
      <c r="G164" s="40" t="n">
        <f aca="false">Seg!$G$99</f>
        <v>170.379420375852</v>
      </c>
      <c r="H164" s="40" t="n">
        <f aca="false">Seg!$H$99</f>
        <v>213.164442900105</v>
      </c>
      <c r="I164" s="40" t="n">
        <f aca="false">Seg!$I$99</f>
        <v>260.556625511288</v>
      </c>
      <c r="J164" s="40" t="n">
        <f aca="false">Seg!$J$99</f>
        <v>307.343053205019</v>
      </c>
      <c r="K164" s="40" t="n">
        <f aca="false">Seg!$K$99</f>
        <v>348.432273046387</v>
      </c>
      <c r="L164" s="40" t="n">
        <f aca="false">Seg!$L$99</f>
        <v>382.212023727019</v>
      </c>
      <c r="M164" s="40" t="n">
        <f aca="false">Seg!$M$99</f>
        <v>408.759048163422</v>
      </c>
      <c r="N164" s="40" t="n">
        <f aca="false">Seg!$N$99</f>
        <v>93.146</v>
      </c>
      <c r="O164" s="40" t="n">
        <f aca="false">Seg!$O$99</f>
        <v>35.579</v>
      </c>
    </row>
    <row r="165" customFormat="false" ht="17.15" hidden="false" customHeight="false" outlineLevel="0" collapsed="false">
      <c r="A165" s="0" t="s">
        <v>750</v>
      </c>
      <c r="B165" s="0" t="s">
        <v>91</v>
      </c>
      <c r="C165" s="40" t="n">
        <f aca="false">Seg!$C$97</f>
        <v>2.32100535697364</v>
      </c>
      <c r="D165" s="40" t="n">
        <f aca="false">Seg!$D$97</f>
        <v>8.70377008865116</v>
      </c>
      <c r="E165" s="40" t="n">
        <f aca="false">Seg!$E$97</f>
        <v>16.2007080559478</v>
      </c>
      <c r="F165" s="40" t="n">
        <f aca="false">Seg!$F$97</f>
        <v>7.59676004030123</v>
      </c>
      <c r="G165" s="40" t="n">
        <f aca="false">Seg!$G$97</f>
        <v>23.797468096249</v>
      </c>
      <c r="H165" s="40" t="n">
        <f aca="false">Seg!$H$97</f>
        <v>48.2040277318885</v>
      </c>
      <c r="I165" s="40" t="n">
        <f aca="false">Seg!$I$97</f>
        <v>77.4087614143879</v>
      </c>
      <c r="J165" s="40" t="n">
        <f aca="false">Seg!$J$97</f>
        <v>106.772935912751</v>
      </c>
      <c r="K165" s="40" t="n">
        <f aca="false">Seg!$K$97</f>
        <v>131.816546370738</v>
      </c>
      <c r="L165" s="40" t="n">
        <f aca="false">Seg!$L$97</f>
        <v>148.267038917317</v>
      </c>
      <c r="M165" s="40" t="n">
        <f aca="false">Seg!$M$97</f>
        <v>156.098464568945</v>
      </c>
      <c r="N165" s="40" t="n">
        <f aca="false">Seg!$N$97</f>
        <v>5.54865343151512</v>
      </c>
      <c r="O165" s="40" t="n">
        <f aca="false">Seg!$O$97</f>
        <v>3.15511665713605</v>
      </c>
    </row>
    <row r="166" customFormat="false" ht="17.15" hidden="false" customHeight="false" outlineLevel="0" collapsed="false">
      <c r="A166" s="0" t="s">
        <v>752</v>
      </c>
      <c r="B166" s="0" t="s">
        <v>91</v>
      </c>
      <c r="C166" s="40" t="n">
        <f aca="false">Seg!$C$98</f>
        <v>105.234994643026</v>
      </c>
      <c r="D166" s="40" t="n">
        <f aca="false">Seg!$D$98</f>
        <v>120.021229911349</v>
      </c>
      <c r="E166" s="40" t="n">
        <f aca="false">Seg!$E$98</f>
        <v>109.602291944052</v>
      </c>
      <c r="F166" s="40" t="n">
        <f aca="false">Seg!$F$98</f>
        <v>36.9796603355509</v>
      </c>
      <c r="G166" s="40" t="n">
        <f aca="false">Seg!$G$98</f>
        <v>146.581952279603</v>
      </c>
      <c r="H166" s="40" t="n">
        <f aca="false">Seg!$H$98</f>
        <v>164.960415168217</v>
      </c>
      <c r="I166" s="40" t="n">
        <f aca="false">Seg!$I$98</f>
        <v>183.1478640969</v>
      </c>
      <c r="J166" s="40" t="n">
        <f aca="false">Seg!$J$98</f>
        <v>200.570117292268</v>
      </c>
      <c r="K166" s="40" t="n">
        <f aca="false">Seg!$K$98</f>
        <v>216.615726675649</v>
      </c>
      <c r="L166" s="40" t="n">
        <f aca="false">Seg!$L$98</f>
        <v>233.944984809701</v>
      </c>
      <c r="M166" s="40" t="n">
        <f aca="false">Seg!$M$98</f>
        <v>252.660583594477</v>
      </c>
      <c r="N166" s="40" t="n">
        <f aca="false">Seg!$N$98</f>
        <v>87.5973465684849</v>
      </c>
      <c r="O166" s="40" t="n">
        <f aca="false">Seg!$O$98</f>
        <v>32.423883342864</v>
      </c>
    </row>
    <row r="167" customFormat="false" ht="15" hidden="false" customHeight="false" outlineLevel="0" collapsed="false">
      <c r="A167" s="3" t="s">
        <v>562</v>
      </c>
      <c r="B167" s="8" t="s">
        <v>91</v>
      </c>
      <c r="C167" s="40" t="n">
        <f aca="false">Seg!$C$100</f>
        <v>637.959</v>
      </c>
      <c r="D167" s="40" t="n">
        <f aca="false">Seg!$D$100</f>
        <v>716.924</v>
      </c>
      <c r="E167" s="40" t="n">
        <f aca="false">Seg!$E$100</f>
        <v>584.069</v>
      </c>
      <c r="F167" s="40" t="n">
        <f aca="false">Seg!$F$100</f>
        <v>242.980078054089</v>
      </c>
      <c r="G167" s="40" t="n">
        <f aca="false">Seg!$G$100</f>
        <v>827.049078054089</v>
      </c>
      <c r="H167" s="40" t="n">
        <f aca="false">Seg!$H$100</f>
        <v>938.394985536719</v>
      </c>
      <c r="I167" s="40" t="n">
        <f aca="false">Seg!$I$100</f>
        <v>1052.15264251433</v>
      </c>
      <c r="J167" s="40" t="n">
        <f aca="false">Seg!$J$100</f>
        <v>1160.82850403371</v>
      </c>
      <c r="K167" s="40" t="n">
        <f aca="false">Seg!$K$100</f>
        <v>1256.96945886829</v>
      </c>
      <c r="L167" s="40" t="n">
        <f aca="false">Seg!$L$100</f>
        <v>1349.62745761313</v>
      </c>
      <c r="M167" s="40" t="n">
        <f aca="false">Seg!$M$100</f>
        <v>1439.16505556373</v>
      </c>
      <c r="N167" s="40" t="n">
        <f aca="false">Seg!$N$100</f>
        <v>503.538</v>
      </c>
      <c r="O167" s="40" t="n">
        <f aca="false">Seg!$O$100</f>
        <v>213.386</v>
      </c>
    </row>
    <row r="168" customFormat="false" ht="17.15" hidden="false" customHeight="false" outlineLevel="0" collapsed="false">
      <c r="A168" s="27" t="s">
        <v>766</v>
      </c>
      <c r="B168" s="28" t="s">
        <v>91</v>
      </c>
      <c r="C168" s="43" t="n">
        <f aca="false">PL!$C$155+PL!$C$156+PL!$C$157+PL!$C$158+PL!$C$159+PL!$C$160-(PL!$C$162+PL!$C$163)</f>
        <v>0</v>
      </c>
      <c r="D168" s="43" t="n">
        <f aca="false">PL!$D$155+PL!$D$156+PL!$D$157+PL!$D$158+PL!$D$159+PL!$D$160-(PL!$D$162+PL!$D$163)</f>
        <v>0</v>
      </c>
      <c r="E168" s="43" t="n">
        <f aca="false">PL!$E$155+PL!$E$156+PL!$E$157+PL!$E$158+PL!$E$159+PL!$E$160-(PL!$E$162+PL!$E$163)</f>
        <v>0</v>
      </c>
      <c r="F168" s="43" t="n">
        <f aca="false">PL!$F$155+PL!$F$156+PL!$F$157+PL!$F$158+PL!$F$159+PL!$F$160-(PL!$F$162+PL!$F$163)</f>
        <v>0</v>
      </c>
      <c r="G168" s="43" t="n">
        <f aca="false">PL!$G$155+PL!$G$156+PL!$G$157+PL!$G$158+PL!$G$159+PL!$G$160-(PL!$G$162+PL!$G$163)</f>
        <v>0</v>
      </c>
      <c r="H168" s="43" t="n">
        <f aca="false">PL!$H$155+PL!$H$156+PL!$H$157+PL!$H$158+PL!$H$159+PL!$H$160-(PL!$H$162+PL!$H$163)</f>
        <v>0</v>
      </c>
      <c r="I168" s="43" t="n">
        <f aca="false">PL!$I$155+PL!$I$156+PL!$I$157+PL!$I$158+PL!$I$159+PL!$I$160-(PL!$I$162+PL!$I$163)</f>
        <v>0</v>
      </c>
      <c r="J168" s="43" t="n">
        <f aca="false">PL!$J$155+PL!$J$156+PL!$J$157+PL!$J$158+PL!$J$159+PL!$J$160-(PL!$J$162+PL!$J$163)</f>
        <v>0</v>
      </c>
      <c r="K168" s="43" t="n">
        <f aca="false">PL!$K$155+PL!$K$156+PL!$K$157+PL!$K$158+PL!$K$159+PL!$K$160-(PL!$K$162+PL!$K$163)</f>
        <v>0</v>
      </c>
      <c r="L168" s="43" t="n">
        <f aca="false">PL!$L$155+PL!$L$156+PL!$L$157+PL!$L$158+PL!$L$159+PL!$L$160-(PL!$L$162+PL!$L$163)</f>
        <v>0</v>
      </c>
      <c r="M168" s="43" t="n">
        <f aca="false">PL!$M$155+PL!$M$156+PL!$M$157+PL!$M$158+PL!$M$159+PL!$M$160-(PL!$M$162+PL!$M$163)</f>
        <v>0</v>
      </c>
      <c r="N168" s="43" t="n">
        <f aca="false">PL!$N$155+PL!$N$156+PL!$N$157+PL!$N$158+PL!$N$159+PL!$N$160-(PL!$N$162+PL!$N$163)</f>
        <v>0</v>
      </c>
      <c r="O168" s="43" t="n">
        <f aca="false">PL!$O$155+PL!$O$156+PL!$O$157+PL!$O$158+PL!$O$159+PL!$O$160-(PL!$O$162+PL!$O$163)</f>
        <v>0</v>
      </c>
    </row>
    <row r="169" customFormat="false" ht="17.15" hidden="false" customHeight="false" outlineLevel="0" collapsed="false">
      <c r="A169" s="27" t="s">
        <v>767</v>
      </c>
      <c r="B169" s="28" t="s">
        <v>91</v>
      </c>
      <c r="C169" s="43" t="n">
        <f aca="false">PL!$C$165+PL!$C$166-PL!$C$164</f>
        <v>0</v>
      </c>
      <c r="D169" s="43" t="n">
        <f aca="false">PL!$D$165+PL!$D$166-PL!$D$164</f>
        <v>0</v>
      </c>
      <c r="E169" s="43" t="n">
        <f aca="false">PL!$E$165+PL!$E$166-PL!$E$164</f>
        <v>0</v>
      </c>
      <c r="F169" s="43" t="n">
        <f aca="false">PL!$F$165+PL!$F$166-PL!$F$164</f>
        <v>0</v>
      </c>
      <c r="G169" s="43" t="n">
        <f aca="false">PL!$G$165+PL!$G$166-PL!$G$164</f>
        <v>0</v>
      </c>
      <c r="H169" s="43" t="n">
        <f aca="false">PL!$H$165+PL!$H$166-PL!$H$164</f>
        <v>0</v>
      </c>
      <c r="I169" s="43" t="n">
        <f aca="false">PL!$I$165+PL!$I$166-PL!$I$164</f>
        <v>0</v>
      </c>
      <c r="J169" s="43" t="n">
        <f aca="false">PL!$J$165+PL!$J$166-PL!$J$164</f>
        <v>0</v>
      </c>
      <c r="K169" s="43" t="n">
        <f aca="false">PL!$K$165+PL!$K$166-PL!$K$164</f>
        <v>0</v>
      </c>
      <c r="L169" s="43" t="n">
        <f aca="false">PL!$L$165+PL!$L$166-PL!$L$164</f>
        <v>0</v>
      </c>
      <c r="M169" s="43" t="n">
        <f aca="false">PL!$M$165+PL!$M$166-PL!$M$164</f>
        <v>0</v>
      </c>
      <c r="N169" s="43" t="n">
        <f aca="false">PL!$N$165+PL!$N$166-PL!$N$164</f>
        <v>0</v>
      </c>
      <c r="O169" s="43" t="n">
        <f aca="false">PL!$O$165+PL!$O$166-PL!$O$164</f>
        <v>0</v>
      </c>
    </row>
    <row r="170" customFormat="false" ht="17.15" hidden="false" customHeight="false" outlineLevel="0" collapsed="false">
      <c r="A170" s="27" t="s">
        <v>825</v>
      </c>
      <c r="B170" s="28" t="s">
        <v>91</v>
      </c>
      <c r="C170" s="43" t="n">
        <f aca="false">PL!$C$155+PL!$C$156+PL!$C$157+PL!$C$158+PL!$C$159+PL!$C$160+PL!$C$161-PL!$C$167</f>
        <v>0</v>
      </c>
      <c r="D170" s="43" t="n">
        <f aca="false">PL!$D$155+PL!$D$156+PL!$D$157+PL!$D$158+PL!$D$159+PL!$D$160+PL!$D$161-PL!$D$167</f>
        <v>0</v>
      </c>
      <c r="E170" s="43" t="n">
        <f aca="false">PL!$E$155+PL!$E$156+PL!$E$157+PL!$E$158+PL!$E$159+PL!$E$160+PL!$E$161-PL!$E$167</f>
        <v>0</v>
      </c>
      <c r="F170" s="43" t="n">
        <f aca="false">PL!$F$155+PL!$F$156+PL!$F$157+PL!$F$158+PL!$F$159+PL!$F$160+PL!$F$161-PL!$F$167</f>
        <v>0</v>
      </c>
      <c r="G170" s="43" t="n">
        <f aca="false">PL!$G$155+PL!$G$156+PL!$G$157+PL!$G$158+PL!$G$159+PL!$G$160+PL!$G$161-PL!$G$167</f>
        <v>0</v>
      </c>
      <c r="H170" s="43" t="n">
        <f aca="false">PL!$H$155+PL!$H$156+PL!$H$157+PL!$H$158+PL!$H$159+PL!$H$160+PL!$H$161-PL!$H$167</f>
        <v>0</v>
      </c>
      <c r="I170" s="43" t="n">
        <f aca="false">PL!$I$155+PL!$I$156+PL!$I$157+PL!$I$158+PL!$I$159+PL!$I$160+PL!$I$161-PL!$I$167</f>
        <v>0</v>
      </c>
      <c r="J170" s="43" t="n">
        <f aca="false">PL!$J$155+PL!$J$156+PL!$J$157+PL!$J$158+PL!$J$159+PL!$J$160+PL!$J$161-PL!$J$167</f>
        <v>0</v>
      </c>
      <c r="K170" s="43" t="n">
        <f aca="false">PL!$K$155+PL!$K$156+PL!$K$157+PL!$K$158+PL!$K$159+PL!$K$160+PL!$K$161-PL!$K$167</f>
        <v>0</v>
      </c>
      <c r="L170" s="43" t="n">
        <f aca="false">PL!$L$155+PL!$L$156+PL!$L$157+PL!$L$158+PL!$L$159+PL!$L$160+PL!$L$161-PL!$L$167</f>
        <v>0</v>
      </c>
      <c r="M170" s="43" t="n">
        <f aca="false">PL!$M$155+PL!$M$156+PL!$M$157+PL!$M$158+PL!$M$159+PL!$M$160+PL!$M$161-PL!$M$167</f>
        <v>0</v>
      </c>
      <c r="N170" s="43" t="n">
        <f aca="false">PL!$N$155+PL!$N$156+PL!$N$157+PL!$N$158+PL!$N$159+PL!$N$160+PL!$N$161-PL!$N$167</f>
        <v>0</v>
      </c>
      <c r="O170" s="43" t="n">
        <f aca="false">PL!$O$155+PL!$O$156+PL!$O$157+PL!$O$158+PL!$O$159+PL!$O$160+PL!$O$161-PL!$O$167</f>
        <v>0</v>
      </c>
    </row>
    <row r="171" customFormat="false" ht="17.15" hidden="false" customHeight="false" outlineLevel="0" collapsed="false">
      <c r="A171" s="27" t="s">
        <v>768</v>
      </c>
      <c r="B171" s="28" t="s">
        <v>91</v>
      </c>
      <c r="C171" s="43" t="n">
        <f aca="false">PL!$C$162+PL!$C$163+PL!$C$164-PL!$C$167</f>
        <v>0</v>
      </c>
      <c r="D171" s="43" t="n">
        <f aca="false">PL!$D$162+PL!$D$163+PL!$D$164-PL!$D$167</f>
        <v>0</v>
      </c>
      <c r="E171" s="43" t="n">
        <f aca="false">PL!$E$162+PL!$E$163+PL!$E$164-PL!$E$167</f>
        <v>0</v>
      </c>
      <c r="F171" s="43" t="n">
        <f aca="false">PL!$F$162+PL!$F$163+PL!$F$164-PL!$F$167</f>
        <v>0</v>
      </c>
      <c r="G171" s="43" t="n">
        <f aca="false">PL!$G$162+PL!$G$163+PL!$G$164-PL!$G$167</f>
        <v>0</v>
      </c>
      <c r="H171" s="43" t="n">
        <f aca="false">PL!$H$162+PL!$H$163+PL!$H$164-PL!$H$167</f>
        <v>0</v>
      </c>
      <c r="I171" s="43" t="n">
        <f aca="false">PL!$I$162+PL!$I$163+PL!$I$164-PL!$I$167</f>
        <v>0</v>
      </c>
      <c r="J171" s="43" t="n">
        <f aca="false">PL!$J$162+PL!$J$163+PL!$J$164-PL!$J$167</f>
        <v>0</v>
      </c>
      <c r="K171" s="43" t="n">
        <f aca="false">PL!$K$162+PL!$K$163+PL!$K$164-PL!$K$167</f>
        <v>0</v>
      </c>
      <c r="L171" s="43" t="n">
        <f aca="false">PL!$L$162+PL!$L$163+PL!$L$164-PL!$L$167</f>
        <v>0</v>
      </c>
      <c r="M171" s="43" t="n">
        <f aca="false">PL!$M$162+PL!$M$163+PL!$M$164-PL!$M$167</f>
        <v>0</v>
      </c>
      <c r="N171" s="43" t="n">
        <f aca="false">PL!$N$162+PL!$N$163+PL!$N$164-PL!$N$167</f>
        <v>0</v>
      </c>
      <c r="O171" s="43" t="n">
        <f aca="false">PL!$O$162+PL!$O$163+PL!$O$164-PL!$O$167</f>
        <v>0</v>
      </c>
    </row>
    <row r="172" customFormat="false" ht="17.15" hidden="false" customHeight="false" outlineLevel="0" collapsed="false">
      <c r="A172" s="1" t="s">
        <v>778</v>
      </c>
    </row>
    <row r="173" customFormat="false" ht="17.15" hidden="false" customHeight="false" outlineLevel="0" collapsed="false">
      <c r="A173" s="0" t="s">
        <v>779</v>
      </c>
      <c r="B173" s="0" t="s">
        <v>91</v>
      </c>
      <c r="C173" s="40" t="n">
        <f aca="false">Seg!$C$94*m_ad</f>
        <v>20.5341564414228</v>
      </c>
      <c r="D173" s="40" t="n">
        <f aca="false">Seg!$D$94*m_ad</f>
        <v>24.8720617299587</v>
      </c>
      <c r="E173" s="40" t="n">
        <f aca="false">Seg!$E$94*m_ad</f>
        <v>20.6072319438929</v>
      </c>
      <c r="F173" s="40" t="n">
        <f aca="false">Seg!$F$94*m_ad</f>
        <v>9.11560896886989</v>
      </c>
      <c r="G173" s="40" t="n">
        <f aca="false">Seg!$G$94*m_ad</f>
        <v>29.7269830141693</v>
      </c>
      <c r="H173" s="40" t="n">
        <f aca="false">Seg!$H$94*m_ad</f>
        <v>34.885573887113</v>
      </c>
      <c r="I173" s="40" t="n">
        <f aca="false">Seg!$I$94*m_ad</f>
        <v>40.0842749249334</v>
      </c>
      <c r="J173" s="40" t="n">
        <f aca="false">Seg!$J$94*m_ad</f>
        <v>45.0751983398651</v>
      </c>
      <c r="K173" s="40" t="n">
        <f aca="false">Seg!$K$94*m_ad</f>
        <v>49.5827181738516</v>
      </c>
      <c r="L173" s="40" t="n">
        <f aca="false">Seg!$L$94*m_ad</f>
        <v>54.5409899912368</v>
      </c>
      <c r="M173" s="40" t="n">
        <f aca="false">Seg!$M$94*m_ad</f>
        <v>59.9950889903605</v>
      </c>
      <c r="N173" s="40" t="n">
        <f aca="false">Seg!$N$94*m_ad</f>
        <v>17.2500762636699</v>
      </c>
      <c r="O173" s="40" t="n">
        <f aca="false">Seg!$O$94*m_ad</f>
        <v>7.61788993402959</v>
      </c>
    </row>
    <row r="174" customFormat="false" ht="17.15" hidden="false" customHeight="false" outlineLevel="0" collapsed="false">
      <c r="A174" s="0" t="s">
        <v>780</v>
      </c>
      <c r="B174" s="0" t="s">
        <v>91</v>
      </c>
      <c r="C174" s="40" t="n">
        <f aca="false">Seg!$C$92-Seg!$C$94</f>
        <v>346.428687117154</v>
      </c>
      <c r="D174" s="40" t="n">
        <f aca="false">Seg!$D$92-Seg!$D$94</f>
        <v>376.560876540083</v>
      </c>
      <c r="E174" s="40" t="n">
        <f aca="false">Seg!$E$92-Seg!$E$94</f>
        <v>291.957536112214</v>
      </c>
      <c r="F174" s="40" t="n">
        <f aca="false">Seg!$F$92-Seg!$F$94</f>
        <v>123.572715702237</v>
      </c>
      <c r="G174" s="40" t="n">
        <f aca="false">Seg!$G$92-Seg!$G$94</f>
        <v>415.521967611638</v>
      </c>
      <c r="H174" s="40" t="n">
        <f aca="false">Seg!$H$92-Seg!$H$94</f>
        <v>454.795580816482</v>
      </c>
      <c r="I174" s="40" t="n">
        <f aca="false">Seg!$I$92-Seg!$I$94</f>
        <v>492.401010575808</v>
      </c>
      <c r="J174" s="40" t="n">
        <f aca="false">Seg!$J$92-Seg!$J$94</f>
        <v>527.184429309948</v>
      </c>
      <c r="K174" s="40" t="n">
        <f aca="false">Seg!$K$92-Seg!$K$94</f>
        <v>557.988877144035</v>
      </c>
      <c r="L174" s="40" t="n">
        <f aca="false">Seg!$L$92-Seg!$L$94</f>
        <v>590.659577366795</v>
      </c>
      <c r="M174" s="40" t="n">
        <f aca="false">Seg!$M$92-Seg!$M$94</f>
        <v>625.313110621986</v>
      </c>
      <c r="N174" s="40" t="n">
        <f aca="false">Seg!$N$92-Seg!$N$94</f>
        <v>264.72184747266</v>
      </c>
      <c r="O174" s="40" t="n">
        <f aca="false">Seg!$O$92-Seg!$O$94</f>
        <v>111.847220131941</v>
      </c>
    </row>
    <row r="175" customFormat="false" ht="17.15" hidden="false" customHeight="false" outlineLevel="0" collapsed="false">
      <c r="A175" s="0" t="s">
        <v>781</v>
      </c>
      <c r="B175" s="0" t="s">
        <v>91</v>
      </c>
      <c r="C175" s="40" t="n">
        <f aca="false">Thesis!$C$189*Seg!$C$91</f>
        <v>0.123617442257179</v>
      </c>
      <c r="D175" s="40" t="n">
        <f aca="false">Thesis!$D$189*Seg!$D$91</f>
        <v>0.600198046024689</v>
      </c>
      <c r="E175" s="40" t="n">
        <f aca="false">Thesis!$E$189*Seg!$E$91</f>
        <v>1.79684576634217</v>
      </c>
      <c r="F175" s="40" t="n">
        <f aca="false">Thesis!$F$189*Seg!$F$91</f>
        <v>0.716034696898591</v>
      </c>
      <c r="G175" s="40" t="n">
        <f aca="false">Thesis!$G$189*Seg!$G$91</f>
        <v>2.5122950160711</v>
      </c>
      <c r="H175" s="40" t="n">
        <f aca="false">Thesis!$H$189*Seg!$H$91</f>
        <v>6.1781654144787</v>
      </c>
      <c r="I175" s="40" t="n">
        <f aca="false">Thesis!$I$189*Seg!$I$91</f>
        <v>12.2057887966665</v>
      </c>
      <c r="J175" s="40" t="n">
        <f aca="false">Thesis!$J$189*Seg!$J$91</f>
        <v>17.3895531540207</v>
      </c>
      <c r="K175" s="40" t="n">
        <f aca="false">Thesis!$K$189*Seg!$K$91</f>
        <v>22.4203980731686</v>
      </c>
      <c r="L175" s="40" t="n">
        <f aca="false">Thesis!$L$189*Seg!$L$91</f>
        <v>25.8643648979611</v>
      </c>
      <c r="M175" s="40" t="n">
        <f aca="false">Thesis!$M$189*Seg!$M$91</f>
        <v>27.571787048284</v>
      </c>
      <c r="N175" s="40" t="n">
        <f aca="false">Thesis!$N$189*Seg!$N$91</f>
        <v>0.413319819188593</v>
      </c>
      <c r="O175" s="40" t="n">
        <f aca="false">Thesis!$O$189*Seg!$O$91</f>
        <v>0.186721201823987</v>
      </c>
    </row>
    <row r="176" customFormat="false" ht="17.15" hidden="false" customHeight="false" outlineLevel="0" collapsed="false">
      <c r="A176" s="0" t="s">
        <v>782</v>
      </c>
      <c r="B176" s="0" t="s">
        <v>56</v>
      </c>
      <c r="C176" s="32" t="n">
        <f aca="false">(PL!$C$177-PL!$C$173+PL!$C$175)/PL!$C$174</f>
        <v>0.0131526665379575</v>
      </c>
      <c r="D176" s="32" t="n">
        <f aca="false">(PL!$D$177-PL!$D$173+PL!$D$175)/PL!$D$174</f>
        <v>0.0141999252954702</v>
      </c>
      <c r="E176" s="32" t="n">
        <f aca="false">(PL!$E$177-PL!$E$173+PL!$E$175)/PL!$E$174</f>
        <v>0.0250125888843046</v>
      </c>
      <c r="F176" s="32" t="n">
        <f aca="false">PL!$O$176+(PL!$E$176-PL!$N$176)</f>
        <v>0.056191211622316</v>
      </c>
      <c r="G176" s="32" t="n">
        <f aca="false">(PL!$G$177-PL!$G$173+PL!$G$175)/PL!$G$174</f>
        <v>0.0342739686532108</v>
      </c>
      <c r="H176" s="32" t="n">
        <f aca="false">PL!$G$176+step_na</f>
        <v>0.0372739686532108</v>
      </c>
      <c r="I176" s="32" t="n">
        <f aca="false">PL!$H$176+step_na</f>
        <v>0.0402739686532108</v>
      </c>
      <c r="J176" s="32" t="n">
        <f aca="false">PL!$I$176+step_na</f>
        <v>0.0432739686532108</v>
      </c>
      <c r="K176" s="32" t="n">
        <f aca="false">PL!$J$176+step_na</f>
        <v>0.0462739686532108</v>
      </c>
      <c r="L176" s="32" t="n">
        <f aca="false">PL!$K$176</f>
        <v>0.0462739686532108</v>
      </c>
      <c r="M176" s="32" t="n">
        <f aca="false">PL!$L$176</f>
        <v>0.0462739686532108</v>
      </c>
      <c r="N176" s="32" t="n">
        <f aca="false">(PL!$N$177-PL!$N$173+PL!$N$175)/PL!$N$174</f>
        <v>0.00494951046930139</v>
      </c>
      <c r="O176" s="32" t="n">
        <f aca="false">(PL!$O$177-PL!$O$173+PL!$O$175)/PL!$O$174</f>
        <v>0.0361281332073128</v>
      </c>
      <c r="P176" s="8" t="s">
        <v>783</v>
      </c>
    </row>
    <row r="177" customFormat="false" ht="17.15" hidden="false" customHeight="false" outlineLevel="0" collapsed="false">
      <c r="A177" s="1" t="s">
        <v>784</v>
      </c>
      <c r="B177" s="8" t="s">
        <v>91</v>
      </c>
      <c r="C177" s="40" t="n">
        <f aca="false">Q!$D$23</f>
        <v>24.967</v>
      </c>
      <c r="D177" s="40" t="n">
        <f aca="false">Q!$E$23</f>
        <v>29.619</v>
      </c>
      <c r="E177" s="40" t="n">
        <f aca="false">Q!$O$23</f>
        <v>26.113</v>
      </c>
      <c r="F177" s="40" t="n">
        <f aca="false">PL!$F$173+PL!$F$174*PL!$F$176-PL!$F$175</f>
        <v>15.34327489074</v>
      </c>
      <c r="G177" s="40" t="n">
        <f aca="false">PL!$E$177+PL!$F$177</f>
        <v>41.45627489074</v>
      </c>
      <c r="H177" s="40" t="n">
        <f aca="false">PL!$H$173+PL!$H$174*PL!$H$176-PL!$H$175</f>
        <v>45.6594446956066</v>
      </c>
      <c r="I177" s="40" t="n">
        <f aca="false">PL!$I$173+PL!$I$174*PL!$I$176-PL!$I$175</f>
        <v>47.7094289930064</v>
      </c>
      <c r="J177" s="40" t="n">
        <f aca="false">PL!$J$173+PL!$J$174*PL!$J$176-PL!$J$175</f>
        <v>50.499007654264</v>
      </c>
      <c r="K177" s="40" t="n">
        <f aca="false">PL!$K$173+PL!$K$174*PL!$K$176-PL!$K$175</f>
        <v>52.9826799104864</v>
      </c>
      <c r="L177" s="40" t="n">
        <f aca="false">PL!$L$173+PL!$L$174*PL!$L$176-PL!$L$175</f>
        <v>56.0087878610655</v>
      </c>
      <c r="M177" s="40" t="n">
        <f aca="false">PL!$M$173+PL!$M$174*PL!$M$176-PL!$M$175</f>
        <v>61.35902122144</v>
      </c>
      <c r="N177" s="40" t="n">
        <f aca="false">Q!$N$23</f>
        <v>18.147</v>
      </c>
      <c r="O177" s="40" t="n">
        <f aca="false">Q!$J$23</f>
        <v>11.472</v>
      </c>
    </row>
    <row r="178" customFormat="false" ht="17.15" hidden="false" customHeight="false" outlineLevel="0" collapsed="false">
      <c r="A178" s="0" t="s">
        <v>785</v>
      </c>
      <c r="B178" s="0" t="s">
        <v>91</v>
      </c>
      <c r="C178" s="40" t="n">
        <f aca="false">Seg!$C$95*m_ad</f>
        <v>7.57284355857716</v>
      </c>
      <c r="D178" s="40" t="n">
        <f aca="false">Seg!$D$95*m_ad</f>
        <v>9.44543827004127</v>
      </c>
      <c r="E178" s="40" t="n">
        <f aca="false">Seg!$E$95*m_ad</f>
        <v>7.73726805610715</v>
      </c>
      <c r="F178" s="40" t="n">
        <f aca="false">Seg!$F$95*m_ad</f>
        <v>3.63841071848285</v>
      </c>
      <c r="G178" s="40" t="n">
        <f aca="false">Seg!$G$95*m_ad</f>
        <v>11.3715366731834</v>
      </c>
      <c r="H178" s="40" t="n">
        <f aca="false">Seg!$H$95*m_ad</f>
        <v>13.3448652570383</v>
      </c>
      <c r="I178" s="40" t="n">
        <f aca="false">Seg!$I$95*m_ad</f>
        <v>15.3335372819226</v>
      </c>
      <c r="J178" s="40" t="n">
        <f aca="false">Seg!$J$95*m_ad</f>
        <v>17.2427276164713</v>
      </c>
      <c r="K178" s="40" t="n">
        <f aca="false">Seg!$K$95*m_ad</f>
        <v>18.9670003781185</v>
      </c>
      <c r="L178" s="40" t="n">
        <f aca="false">Seg!$L$95*m_ad</f>
        <v>20.8637004159303</v>
      </c>
      <c r="M178" s="40" t="n">
        <f aca="false">Seg!$M$95*m_ad</f>
        <v>22.9500704575234</v>
      </c>
      <c r="N178" s="40" t="n">
        <f aca="false">Seg!$N$95*m_ad</f>
        <v>6.40892373633015</v>
      </c>
      <c r="O178" s="40" t="n">
        <f aca="false">Seg!$O$95*m_ad</f>
        <v>3.04061006597041</v>
      </c>
    </row>
    <row r="179" customFormat="false" ht="17.15" hidden="false" customHeight="false" outlineLevel="0" collapsed="false">
      <c r="A179" s="0" t="s">
        <v>786</v>
      </c>
      <c r="B179" s="0" t="s">
        <v>91</v>
      </c>
      <c r="C179" s="40" t="n">
        <f aca="false">Seg!$C$93-Seg!$C$95</f>
        <v>127.760312882846</v>
      </c>
      <c r="D179" s="40" t="n">
        <f aca="false">Seg!$D$93-Seg!$D$95</f>
        <v>143.003123459917</v>
      </c>
      <c r="E179" s="40" t="n">
        <f aca="false">Seg!$E$93-Seg!$E$95</f>
        <v>109.619463887786</v>
      </c>
      <c r="F179" s="40" t="n">
        <f aca="false">Seg!$F$93-Seg!$F$95</f>
        <v>49.3229026012942</v>
      </c>
      <c r="G179" s="40" t="n">
        <f aca="false">Seg!$G$93-Seg!$G$95</f>
        <v>158.950650691893</v>
      </c>
      <c r="H179" s="40" t="n">
        <f aca="false">Seg!$H$93-Seg!$H$95</f>
        <v>173.974083531829</v>
      </c>
      <c r="I179" s="40" t="n">
        <f aca="false">Seg!$I$93-Seg!$I$95</f>
        <v>188.359382013521</v>
      </c>
      <c r="J179" s="40" t="n">
        <f aca="false">Seg!$J$93-Seg!$J$95</f>
        <v>201.665169606074</v>
      </c>
      <c r="K179" s="40" t="n">
        <f aca="false">Seg!$K$93-Seg!$K$95</f>
        <v>213.44887157393</v>
      </c>
      <c r="L179" s="40" t="n">
        <f aca="false">Seg!$L$93-Seg!$L$95</f>
        <v>225.946475704985</v>
      </c>
      <c r="M179" s="40" t="n">
        <f aca="false">Seg!$M$93-Seg!$M$95</f>
        <v>239.202577882557</v>
      </c>
      <c r="N179" s="40" t="n">
        <f aca="false">Seg!$N$93-Seg!$N$95</f>
        <v>98.3521525273397</v>
      </c>
      <c r="O179" s="40" t="n">
        <f aca="false">Seg!$O$93-Seg!$O$95</f>
        <v>44.6427798680592</v>
      </c>
    </row>
    <row r="180" customFormat="false" ht="17.15" hidden="false" customHeight="false" outlineLevel="0" collapsed="false">
      <c r="A180" s="0" t="s">
        <v>787</v>
      </c>
      <c r="B180" s="0" t="s">
        <v>91</v>
      </c>
      <c r="C180" s="40" t="n">
        <f aca="false">Thesis!$C$189*(1-Seg!$C$91)</f>
        <v>0.0455891896019953</v>
      </c>
      <c r="D180" s="40" t="n">
        <f aca="false">Thesis!$D$189*(1-Seg!$D$91)</f>
        <v>0.227931791705753</v>
      </c>
      <c r="E180" s="40" t="n">
        <f aca="false">Thesis!$E$189*(1-Seg!$E$91)</f>
        <v>0.674650403679804</v>
      </c>
      <c r="F180" s="40" t="n">
        <f aca="false">Thesis!$F$189*(1-Seg!$F$91)</f>
        <v>0.285798603790311</v>
      </c>
      <c r="G180" s="40" t="n">
        <f aca="false">Thesis!$G$189*(1-Seg!$G$91)</f>
        <v>0.961034454639784</v>
      </c>
      <c r="H180" s="40" t="n">
        <f aca="false">Thesis!$H$189*(1-Seg!$H$91)</f>
        <v>2.36334896650127</v>
      </c>
      <c r="I180" s="40" t="n">
        <f aca="false">Thesis!$I$189*(1-Seg!$I$91)</f>
        <v>4.66911071534793</v>
      </c>
      <c r="J180" s="40" t="n">
        <f aca="false">Thesis!$J$189*(1-Seg!$J$91)</f>
        <v>6.65206897474133</v>
      </c>
      <c r="K180" s="40" t="n">
        <f aca="false">Thesis!$K$189*(1-Seg!$K$91)</f>
        <v>8.57653058148831</v>
      </c>
      <c r="L180" s="40" t="n">
        <f aca="false">Thesis!$L$189*(1-Seg!$L$91)</f>
        <v>9.89395976798492</v>
      </c>
      <c r="M180" s="40" t="n">
        <f aca="false">Thesis!$M$189*(1-Seg!$M$91)</f>
        <v>10.5471042054728</v>
      </c>
      <c r="N180" s="40" t="n">
        <f aca="false">Thesis!$N$189*(1-Seg!$N$91)</f>
        <v>0.153560781958532</v>
      </c>
      <c r="O180" s="40" t="n">
        <f aca="false">Thesis!$O$189*(1-Seg!$O$91)</f>
        <v>0.0745280347593297</v>
      </c>
    </row>
    <row r="181" customFormat="false" ht="17.15" hidden="false" customHeight="false" outlineLevel="0" collapsed="false">
      <c r="A181" s="0" t="s">
        <v>788</v>
      </c>
      <c r="B181" s="0" t="s">
        <v>56</v>
      </c>
      <c r="C181" s="32" t="n">
        <f aca="false">(PL!$C$182-PL!$C$178+PL!$C$180)/PL!$C$179</f>
        <v>-0.0292364215826579</v>
      </c>
      <c r="D181" s="32" t="n">
        <f aca="false">(PL!$D$182-PL!$D$178+PL!$D$180)/PL!$D$179</f>
        <v>-0.0312406216748665</v>
      </c>
      <c r="E181" s="32" t="n">
        <f aca="false">(PL!$E$182-PL!$E$178+PL!$E$180)/PL!$E$179</f>
        <v>-0.0213613310025343</v>
      </c>
      <c r="F181" s="32" t="n">
        <f aca="false">PL!$O$181+(PL!$E$181-PL!$N$181)</f>
        <v>-0.0386255491636166</v>
      </c>
      <c r="G181" s="32" t="n">
        <f aca="false">(PL!$G$182-PL!$G$178+PL!$G$180)/PL!$G$179</f>
        <v>-0.0266876183564186</v>
      </c>
      <c r="H181" s="32" t="n">
        <f aca="false">PL!$G$181+step_in</f>
        <v>-0.0266876183564186</v>
      </c>
      <c r="I181" s="32" t="n">
        <f aca="false">PL!$H$181+step_in</f>
        <v>-0.0266876183564186</v>
      </c>
      <c r="J181" s="32" t="n">
        <f aca="false">PL!$I$181+step_in</f>
        <v>-0.0266876183564186</v>
      </c>
      <c r="K181" s="32" t="n">
        <f aca="false">PL!$J$181+step_in</f>
        <v>-0.0266876183564186</v>
      </c>
      <c r="L181" s="32" t="n">
        <f aca="false">PL!$K$181</f>
        <v>-0.0266876183564186</v>
      </c>
      <c r="M181" s="32" t="n">
        <f aca="false">PL!$L$181</f>
        <v>-0.0266876183564186</v>
      </c>
      <c r="N181" s="32" t="n">
        <f aca="false">(PL!$N$182-PL!$N$178+PL!$N$180)/PL!$N$179</f>
        <v>-0.0258800940189292</v>
      </c>
      <c r="O181" s="32" t="n">
        <f aca="false">(PL!$O$182-PL!$O$178+PL!$O$180)/PL!$O$179</f>
        <v>-0.0431443121800115</v>
      </c>
      <c r="P181" s="8" t="s">
        <v>783</v>
      </c>
    </row>
    <row r="182" customFormat="false" ht="17.15" hidden="false" customHeight="false" outlineLevel="0" collapsed="false">
      <c r="A182" s="1" t="s">
        <v>789</v>
      </c>
      <c r="B182" s="8" t="s">
        <v>91</v>
      </c>
      <c r="C182" s="40" t="n">
        <f aca="false">Q!$D$24</f>
        <v>3.792</v>
      </c>
      <c r="D182" s="40" t="n">
        <f aca="false">Q!$E$24</f>
        <v>4.75</v>
      </c>
      <c r="E182" s="40" t="n">
        <f aca="false">Q!$O$24</f>
        <v>4.721</v>
      </c>
      <c r="F182" s="40" t="n">
        <f aca="false">PL!$F$178+PL!$F$179*PL!$F$181-PL!$F$180</f>
        <v>1.44748791537398</v>
      </c>
      <c r="G182" s="40" t="n">
        <f aca="false">PL!$E$182+PL!$F$182</f>
        <v>6.16848791537398</v>
      </c>
      <c r="H182" s="40" t="n">
        <f aca="false">PL!$H$178+PL!$H$179*PL!$H$181-PL!$H$180</f>
        <v>6.33856234533184</v>
      </c>
      <c r="I182" s="40" t="n">
        <f aca="false">PL!$I$178+PL!$I$179*PL!$I$181-PL!$I$180</f>
        <v>5.637563265547</v>
      </c>
      <c r="J182" s="40" t="n">
        <f aca="false">PL!$J$178+PL!$J$179*PL!$J$181-PL!$J$180</f>
        <v>5.20869555950068</v>
      </c>
      <c r="K182" s="40" t="n">
        <f aca="false">PL!$K$178+PL!$K$179*PL!$K$181-PL!$K$180</f>
        <v>4.69402777345693</v>
      </c>
      <c r="L182" s="40" t="n">
        <f aca="false">PL!$L$178+PL!$L$179*PL!$L$181-PL!$L$180</f>
        <v>4.93976733535296</v>
      </c>
      <c r="M182" s="40" t="n">
        <f aca="false">PL!$M$178+PL!$M$179*PL!$M$181-PL!$M$180</f>
        <v>6.01921914364936</v>
      </c>
      <c r="N182" s="40" t="n">
        <f aca="false">Q!$N$24</f>
        <v>3.71</v>
      </c>
      <c r="O182" s="40" t="n">
        <f aca="false">Q!$J$24</f>
        <v>1.04</v>
      </c>
    </row>
    <row r="183" customFormat="false" ht="17.15" hidden="false" customHeight="false" outlineLevel="0" collapsed="false">
      <c r="A183" s="0" t="s">
        <v>790</v>
      </c>
      <c r="B183" s="0" t="s">
        <v>91</v>
      </c>
      <c r="C183" s="40" t="n">
        <f aca="false">Thesis!$C$186</f>
        <v>1.64417882953695</v>
      </c>
      <c r="D183" s="40" t="n">
        <f aca="false">Thesis!$D$186</f>
        <v>5.39125073772939</v>
      </c>
      <c r="E183" s="40" t="n">
        <f aca="false">Thesis!$E$186</f>
        <v>6.31472337585987</v>
      </c>
      <c r="F183" s="40" t="n">
        <f aca="false">Thesis!$F$186</f>
        <v>3.58942683754562</v>
      </c>
      <c r="G183" s="40" t="n">
        <f aca="false">Thesis!$G$186</f>
        <v>9.90415021340549</v>
      </c>
      <c r="H183" s="40" t="n">
        <f aca="false">Thesis!$H$186</f>
        <v>14.0379702079686</v>
      </c>
      <c r="I183" s="40" t="n">
        <f aca="false">Thesis!$I$186</f>
        <v>9.90916336633023</v>
      </c>
      <c r="J183" s="40" t="n">
        <f aca="false">Thesis!$J$186</f>
        <v>10.6064473977034</v>
      </c>
      <c r="K183" s="40" t="n">
        <f aca="false">Thesis!$K$186</f>
        <v>7.82883175211005</v>
      </c>
      <c r="L183" s="40" t="n">
        <f aca="false">Thesis!$L$186</f>
        <v>5.23374025353317</v>
      </c>
      <c r="M183" s="40" t="n">
        <f aca="false">Thesis!$M$186</f>
        <v>3.62289955391755</v>
      </c>
      <c r="N183" s="40" t="n">
        <f aca="false">Thesis!$N$186</f>
        <v>3.28113102692661</v>
      </c>
      <c r="O183" s="40" t="n">
        <f aca="false">Thesis!$O$186</f>
        <v>2.11011971080278</v>
      </c>
    </row>
    <row r="184" customFormat="false" ht="17.15" hidden="false" customHeight="false" outlineLevel="0" collapsed="false">
      <c r="A184" s="0" t="s">
        <v>708</v>
      </c>
      <c r="B184" s="0" t="s">
        <v>91</v>
      </c>
      <c r="C184" s="40" t="n">
        <f aca="false">Thesis!$C$191</f>
        <v>38.1898211704631</v>
      </c>
      <c r="D184" s="40" t="n">
        <f aca="false">Thesis!$D$191</f>
        <v>40.2147492622706</v>
      </c>
      <c r="E184" s="40" t="n">
        <f aca="false">Thesis!$E$191</f>
        <v>42.2402766241401</v>
      </c>
      <c r="F184" s="40" t="n">
        <f aca="false">Thesis!$F$191</f>
        <v>13.6943139813566</v>
      </c>
      <c r="G184" s="40" t="n">
        <f aca="false">Thesis!$G$191</f>
        <v>55.9345906054967</v>
      </c>
      <c r="H184" s="40" t="n">
        <f aca="false">Thesis!$H$191</f>
        <v>61.088168450178</v>
      </c>
      <c r="I184" s="40" t="n">
        <f aca="false">Thesis!$I$191</f>
        <v>67.8233475699772</v>
      </c>
      <c r="J184" s="40" t="n">
        <f aca="false">Thesis!$J$191</f>
        <v>74.2751592782286</v>
      </c>
      <c r="K184" s="40" t="n">
        <f aca="false">Thesis!$K$191</f>
        <v>80.2171720204868</v>
      </c>
      <c r="L184" s="40" t="n">
        <f aca="false">Thesis!$L$191</f>
        <v>86.6345457821258</v>
      </c>
      <c r="M184" s="40" t="n">
        <f aca="false">Thesis!$M$191</f>
        <v>93.5653094446959</v>
      </c>
      <c r="N184" s="40" t="n">
        <f aca="false">Thesis!$N$191</f>
        <v>29.8598689730734</v>
      </c>
      <c r="O184" s="40" t="n">
        <f aca="false">Thesis!$O$191</f>
        <v>10.3548802891972</v>
      </c>
    </row>
    <row r="185" customFormat="false" ht="17.15" hidden="false" customHeight="false" outlineLevel="0" collapsed="false">
      <c r="A185" s="1" t="s">
        <v>791</v>
      </c>
      <c r="B185" s="8" t="s">
        <v>91</v>
      </c>
      <c r="C185" s="40" t="n">
        <f aca="false">Q!$D$25</f>
        <v>39.834</v>
      </c>
      <c r="D185" s="40" t="n">
        <f aca="false">Q!$E$25</f>
        <v>45.606</v>
      </c>
      <c r="E185" s="40" t="n">
        <f aca="false">Q!$O$25</f>
        <v>48.555</v>
      </c>
      <c r="F185" s="40" t="n">
        <f aca="false">PL!$F$183+PL!$F$184</f>
        <v>17.2837408189022</v>
      </c>
      <c r="G185" s="40" t="n">
        <f aca="false">PL!$G$183+PL!$G$184</f>
        <v>65.8387408189022</v>
      </c>
      <c r="H185" s="40" t="n">
        <f aca="false">PL!$H$183+PL!$H$184</f>
        <v>75.1261386581466</v>
      </c>
      <c r="I185" s="40" t="n">
        <f aca="false">PL!$I$183+PL!$I$184</f>
        <v>77.7325109363075</v>
      </c>
      <c r="J185" s="40" t="n">
        <f aca="false">PL!$J$183+PL!$J$184</f>
        <v>84.881606675932</v>
      </c>
      <c r="K185" s="40" t="n">
        <f aca="false">PL!$K$183+PL!$K$184</f>
        <v>88.0460037725969</v>
      </c>
      <c r="L185" s="40" t="n">
        <f aca="false">PL!$L$183+PL!$L$184</f>
        <v>91.868286035659</v>
      </c>
      <c r="M185" s="40" t="n">
        <f aca="false">PL!$M$183+PL!$M$184</f>
        <v>97.1882089986134</v>
      </c>
      <c r="N185" s="40" t="n">
        <f aca="false">Q!$N$25</f>
        <v>33.141</v>
      </c>
      <c r="O185" s="40" t="n">
        <f aca="false">Q!$J$25</f>
        <v>12.465</v>
      </c>
    </row>
    <row r="186" customFormat="false" ht="17.15" hidden="false" customHeight="false" outlineLevel="0" collapsed="false">
      <c r="A186" s="5" t="s">
        <v>792</v>
      </c>
      <c r="B186" s="0" t="s">
        <v>91</v>
      </c>
      <c r="C186" s="40" t="n">
        <f aca="false">Q!$D$27</f>
        <v>0</v>
      </c>
      <c r="D186" s="40" t="n">
        <f aca="false">Q!$E$27</f>
        <v>0</v>
      </c>
      <c r="E186" s="40" t="n">
        <f aca="false">Q!$O$27</f>
        <v>0</v>
      </c>
      <c r="F186" s="41" t="n">
        <v>0</v>
      </c>
      <c r="G186" s="40" t="n">
        <f aca="false">PL!$E$186+PL!$F$186</f>
        <v>0</v>
      </c>
      <c r="H186" s="41" t="n">
        <v>0</v>
      </c>
      <c r="I186" s="41" t="n">
        <v>0</v>
      </c>
      <c r="J186" s="41" t="n">
        <v>0</v>
      </c>
      <c r="K186" s="41" t="n">
        <v>0</v>
      </c>
      <c r="L186" s="41" t="n">
        <v>0</v>
      </c>
      <c r="M186" s="41" t="n">
        <v>0</v>
      </c>
      <c r="N186" s="40" t="n">
        <f aca="false">Q!$N$27</f>
        <v>0</v>
      </c>
      <c r="O186" s="40" t="n">
        <f aca="false">Q!$J$27</f>
        <v>0</v>
      </c>
    </row>
    <row r="187" customFormat="false" ht="15" hidden="false" customHeight="false" outlineLevel="0" collapsed="false">
      <c r="A187" s="3" t="s">
        <v>580</v>
      </c>
      <c r="B187" s="8" t="s">
        <v>91</v>
      </c>
      <c r="C187" s="40" t="n">
        <f aca="false">Q!$D$26</f>
        <v>68.593</v>
      </c>
      <c r="D187" s="40" t="n">
        <f aca="false">Q!$E$26</f>
        <v>79.975</v>
      </c>
      <c r="E187" s="40" t="n">
        <f aca="false">Q!$O$26</f>
        <v>79.389</v>
      </c>
      <c r="F187" s="40" t="n">
        <f aca="false">PL!$F$177+PL!$F$182+PL!$F$185+PL!$F$186</f>
        <v>34.0745036250161</v>
      </c>
      <c r="G187" s="40" t="n">
        <f aca="false">PL!$G$177+PL!$G$182+PL!$G$185+PL!$G$186</f>
        <v>113.463503625016</v>
      </c>
      <c r="H187" s="40" t="n">
        <f aca="false">PL!$H$177+PL!$H$182+PL!$H$185+PL!$H$186</f>
        <v>127.124145699085</v>
      </c>
      <c r="I187" s="40" t="n">
        <f aca="false">PL!$I$177+PL!$I$182+PL!$I$185+PL!$I$186</f>
        <v>131.079503194861</v>
      </c>
      <c r="J187" s="40" t="n">
        <f aca="false">PL!$J$177+PL!$J$182+PL!$J$185+PL!$J$186</f>
        <v>140.589309889697</v>
      </c>
      <c r="K187" s="40" t="n">
        <f aca="false">PL!$K$177+PL!$K$182+PL!$K$185+PL!$K$186</f>
        <v>145.72271145654</v>
      </c>
      <c r="L187" s="40" t="n">
        <f aca="false">PL!$L$177+PL!$L$182+PL!$L$185+PL!$L$186</f>
        <v>152.816841232077</v>
      </c>
      <c r="M187" s="40" t="n">
        <f aca="false">PL!$M$177+PL!$M$182+PL!$M$185+PL!$M$186</f>
        <v>164.566449363703</v>
      </c>
      <c r="N187" s="40" t="n">
        <f aca="false">Q!$N$26</f>
        <v>54.998</v>
      </c>
      <c r="O187" s="40" t="n">
        <f aca="false">Q!$J$26</f>
        <v>24.977</v>
      </c>
    </row>
    <row r="188" customFormat="false" ht="17.15" hidden="false" customHeight="false" outlineLevel="0" collapsed="false">
      <c r="A188" s="27" t="s">
        <v>826</v>
      </c>
      <c r="B188" s="28" t="s">
        <v>91</v>
      </c>
      <c r="C188" s="43" t="n">
        <f aca="false">PL!$C$177+PL!$C$182+PL!$C$185+PL!$C$186-PL!$C$187</f>
        <v>0</v>
      </c>
      <c r="D188" s="43" t="n">
        <f aca="false">PL!$D$177+PL!$D$182+PL!$D$185+PL!$D$186-PL!$D$187</f>
        <v>0</v>
      </c>
      <c r="E188" s="43" t="n">
        <f aca="false">PL!$E$177+PL!$E$182+PL!$E$185+PL!$E$186-PL!$E$187</f>
        <v>0</v>
      </c>
      <c r="F188" s="43" t="n">
        <f aca="false">PL!$F$177+PL!$F$182+PL!$F$185+PL!$F$186-PL!$F$187</f>
        <v>0</v>
      </c>
      <c r="G188" s="43" t="n">
        <f aca="false">PL!$G$177+PL!$G$182+PL!$G$185+PL!$G$186-PL!$G$187</f>
        <v>0</v>
      </c>
      <c r="H188" s="43" t="n">
        <f aca="false">PL!$H$177+PL!$H$182+PL!$H$185+PL!$H$186-PL!$H$187</f>
        <v>0</v>
      </c>
      <c r="I188" s="43" t="n">
        <f aca="false">PL!$I$177+PL!$I$182+PL!$I$185+PL!$I$186-PL!$I$187</f>
        <v>0</v>
      </c>
      <c r="J188" s="43" t="n">
        <f aca="false">PL!$J$177+PL!$J$182+PL!$J$185+PL!$J$186-PL!$J$187</f>
        <v>0</v>
      </c>
      <c r="K188" s="43" t="n">
        <f aca="false">PL!$K$177+PL!$K$182+PL!$K$185+PL!$K$186-PL!$K$187</f>
        <v>0</v>
      </c>
      <c r="L188" s="43" t="n">
        <f aca="false">PL!$L$177+PL!$L$182+PL!$L$185+PL!$L$186-PL!$L$187</f>
        <v>0</v>
      </c>
      <c r="M188" s="43" t="n">
        <f aca="false">PL!$M$177+PL!$M$182+PL!$M$185+PL!$M$186-PL!$M$187</f>
        <v>0</v>
      </c>
      <c r="N188" s="43" t="n">
        <f aca="false">PL!$N$177+PL!$N$182+PL!$N$185+PL!$N$186-PL!$N$187</f>
        <v>0</v>
      </c>
      <c r="O188" s="43" t="n">
        <f aca="false">PL!$O$177+PL!$O$182+PL!$O$185+PL!$O$186-PL!$O$187</f>
        <v>0</v>
      </c>
    </row>
    <row r="189" customFormat="false" ht="17.15" hidden="false" customHeight="false" outlineLevel="0" collapsed="false">
      <c r="A189" s="5" t="s">
        <v>794</v>
      </c>
      <c r="B189" s="0" t="s">
        <v>91</v>
      </c>
      <c r="C189" s="40" t="n">
        <f aca="false">Thesis!$C$188</f>
        <v>0</v>
      </c>
      <c r="D189" s="40" t="n">
        <f aca="false">Thesis!$D$188</f>
        <v>0</v>
      </c>
      <c r="E189" s="40" t="n">
        <f aca="false">Thesis!$E$188</f>
        <v>0</v>
      </c>
      <c r="F189" s="40" t="n">
        <f aca="false">Thesis!$F$188</f>
        <v>2.04563992978455</v>
      </c>
      <c r="G189" s="40" t="n">
        <f aca="false">Thesis!$G$188</f>
        <v>2.04563992978455</v>
      </c>
      <c r="H189" s="40" t="n">
        <f aca="false">Thesis!$H$188</f>
        <v>13.5821231954161</v>
      </c>
      <c r="I189" s="40" t="n">
        <f aca="false">Thesis!$I$188</f>
        <v>22.4328232759346</v>
      </c>
      <c r="J189" s="40" t="n">
        <f aca="false">Thesis!$J$188</f>
        <v>31.3318430178186</v>
      </c>
      <c r="K189" s="40" t="n">
        <f aca="false">Thesis!$K$188</f>
        <v>38.9214854198582</v>
      </c>
      <c r="L189" s="40" t="n">
        <f aca="false">Thesis!$L$188</f>
        <v>43.9069229619177</v>
      </c>
      <c r="M189" s="40" t="n">
        <f aca="false">Thesis!$M$188</f>
        <v>46.2802916219089</v>
      </c>
      <c r="N189" s="40" t="n">
        <f aca="false">Thesis!$N$188</f>
        <v>0</v>
      </c>
      <c r="O189" s="40" t="n">
        <f aca="false">Thesis!$O$188</f>
        <v>0</v>
      </c>
      <c r="P189" s="5" t="s">
        <v>795</v>
      </c>
    </row>
    <row r="190" customFormat="false" ht="17.15" hidden="false" customHeight="false" outlineLevel="0" collapsed="false">
      <c r="A190" s="5" t="s">
        <v>796</v>
      </c>
      <c r="B190" s="0" t="s">
        <v>91</v>
      </c>
      <c r="C190" s="40" t="n">
        <f aca="false">PL!$C$187+PL!$C$189</f>
        <v>68.593</v>
      </c>
      <c r="D190" s="40" t="n">
        <f aca="false">PL!$D$187+PL!$D$189</f>
        <v>79.975</v>
      </c>
      <c r="E190" s="40" t="n">
        <f aca="false">PL!$E$187+PL!$E$189</f>
        <v>79.389</v>
      </c>
      <c r="F190" s="40" t="n">
        <f aca="false">PL!$F$187+PL!$F$189</f>
        <v>36.1201435548007</v>
      </c>
      <c r="G190" s="40" t="n">
        <f aca="false">PL!$G$187+PL!$G$189</f>
        <v>115.509143554801</v>
      </c>
      <c r="H190" s="40" t="n">
        <f aca="false">PL!$H$187+PL!$H$189</f>
        <v>140.706268894501</v>
      </c>
      <c r="I190" s="40" t="n">
        <f aca="false">PL!$I$187+PL!$I$189</f>
        <v>153.512326470795</v>
      </c>
      <c r="J190" s="40" t="n">
        <f aca="false">PL!$J$187+PL!$J$189</f>
        <v>171.921152907515</v>
      </c>
      <c r="K190" s="40" t="n">
        <f aca="false">PL!$K$187+PL!$K$189</f>
        <v>184.644196876398</v>
      </c>
      <c r="L190" s="40" t="n">
        <f aca="false">PL!$L$187+PL!$L$189</f>
        <v>196.723764193995</v>
      </c>
      <c r="M190" s="40" t="n">
        <f aca="false">PL!$M$187+PL!$M$189</f>
        <v>210.846740985612</v>
      </c>
      <c r="N190" s="40" t="n">
        <f aca="false">PL!$N$187+PL!$N$189</f>
        <v>54.998</v>
      </c>
      <c r="O190" s="40" t="n">
        <f aca="false">PL!$O$187+PL!$O$189</f>
        <v>24.977</v>
      </c>
    </row>
    <row r="191" customFormat="false" ht="17.15" hidden="false" customHeight="false" outlineLevel="0" collapsed="false">
      <c r="A191" s="0" t="s">
        <v>797</v>
      </c>
      <c r="B191" s="0" t="s">
        <v>56</v>
      </c>
      <c r="C191" s="13" t="n">
        <f aca="false">PL!$C$177/PL!$C$162</f>
        <v>0.0644314665661928</v>
      </c>
      <c r="D191" s="13" t="n">
        <f aca="false">PL!$D$177/PL!$D$162</f>
        <v>0.0694784250712518</v>
      </c>
      <c r="E191" s="13" t="n">
        <f aca="false">PL!$E$177/PL!$E$162</f>
        <v>0.0783769344362671</v>
      </c>
      <c r="F191" s="13" t="n">
        <f aca="false">PL!$F$177/PL!$F$162</f>
        <v>0.108200629537504</v>
      </c>
      <c r="G191" s="13" t="n">
        <f aca="false">PL!$G$177/PL!$G$162</f>
        <v>0.0872807903613977</v>
      </c>
      <c r="H191" s="13" t="n">
        <f aca="false">PL!$H$177/PL!$H$162</f>
        <v>0.0870422049417326</v>
      </c>
      <c r="I191" s="13" t="n">
        <f aca="false">PL!$I$177/PL!$I$162</f>
        <v>0.0833251229030354</v>
      </c>
      <c r="J191" s="13" t="n">
        <f aca="false">PL!$J$177/PL!$J$162</f>
        <v>0.0818016504630314</v>
      </c>
      <c r="K191" s="13" t="n">
        <f aca="false">PL!$K$177/PL!$K$162</f>
        <v>0.0806244116834098</v>
      </c>
      <c r="L191" s="13" t="n">
        <f aca="false">PL!$L$177/PL!$L$162</f>
        <v>0.0800421059358481</v>
      </c>
      <c r="M191" s="13" t="n">
        <f aca="false">PL!$M$177/PL!$M$162</f>
        <v>0.0823275868492085</v>
      </c>
      <c r="N191" s="13" t="n">
        <f aca="false">PL!$N$177/PL!$N$162</f>
        <v>0.0606472786091932</v>
      </c>
      <c r="O191" s="13" t="n">
        <f aca="false">PL!$O$177/PL!$O$162</f>
        <v>0.0902717121880975</v>
      </c>
    </row>
    <row r="192" customFormat="false" ht="17.15" hidden="false" customHeight="false" outlineLevel="0" collapsed="false">
      <c r="A192" s="0" t="s">
        <v>798</v>
      </c>
      <c r="B192" s="0" t="s">
        <v>56</v>
      </c>
      <c r="C192" s="13" t="n">
        <f aca="false">PL!$C$182/PL!$C$163</f>
        <v>0.026534925055631</v>
      </c>
      <c r="D192" s="13" t="n">
        <f aca="false">PL!$D$182/PL!$D$163</f>
        <v>0.0293401855535103</v>
      </c>
      <c r="E192" s="13" t="n">
        <f aca="false">PL!$E$182/PL!$E$163</f>
        <v>0.037739619805906</v>
      </c>
      <c r="F192" s="13" t="n">
        <f aca="false">PL!$F$182/PL!$F$163</f>
        <v>0.0255741161281195</v>
      </c>
      <c r="G192" s="13" t="n">
        <f aca="false">PL!$G$182/PL!$G$163</f>
        <v>0.0339499228607096</v>
      </c>
      <c r="H192" s="13" t="n">
        <f aca="false">PL!$H$182/PL!$H$163</f>
        <v>0.0315879690390105</v>
      </c>
      <c r="I192" s="13" t="n">
        <f aca="false">PL!$I$182/PL!$I$163</f>
        <v>0.0257391885603357</v>
      </c>
      <c r="J192" s="13" t="n">
        <f aca="false">PL!$J$182/PL!$J$163</f>
        <v>0.0220566664308063</v>
      </c>
      <c r="K192" s="13" t="n">
        <f aca="false">PL!$K$182/PL!$K$163</f>
        <v>0.0186728225751665</v>
      </c>
      <c r="L192" s="13" t="n">
        <f aca="false">PL!$L$182/PL!$L$163</f>
        <v>0.0184544244633189</v>
      </c>
      <c r="M192" s="13" t="n">
        <f aca="false">PL!$M$182/PL!$M$163</f>
        <v>0.0211124578854768</v>
      </c>
      <c r="N192" s="13" t="n">
        <f aca="false">PL!$N$182/PL!$N$163</f>
        <v>0.0333723126742826</v>
      </c>
      <c r="O192" s="13" t="n">
        <f aca="false">PL!$O$182/PL!$O$163</f>
        <v>0.0205031148963016</v>
      </c>
    </row>
    <row r="193" customFormat="false" ht="17.15" hidden="false" customHeight="false" outlineLevel="0" collapsed="false">
      <c r="A193" s="14" t="s">
        <v>799</v>
      </c>
      <c r="B193" s="14" t="s">
        <v>56</v>
      </c>
      <c r="C193" s="17" t="n">
        <f aca="false">PL!$C$185/PL!$C$164</f>
        <v>0.370355907620217</v>
      </c>
      <c r="D193" s="17" t="n">
        <f aca="false">PL!$D$185/PL!$D$164</f>
        <v>0.35429015342785</v>
      </c>
      <c r="E193" s="17" t="n">
        <f aca="false">PL!$E$185/PL!$E$164</f>
        <v>0.385960589175139</v>
      </c>
      <c r="F193" s="17" t="n">
        <f aca="false">PL!$F$185/PL!$F$164</f>
        <v>0.387732811947931</v>
      </c>
      <c r="G193" s="17" t="n">
        <f aca="false">PL!$G$185/PL!$G$164</f>
        <v>0.386424256366548</v>
      </c>
      <c r="H193" s="17" t="n">
        <f aca="false">PL!$H$185/PL!$H$164</f>
        <v>0.352432786800905</v>
      </c>
      <c r="I193" s="17" t="n">
        <f aca="false">PL!$I$185/PL!$I$164</f>
        <v>0.298332505587888</v>
      </c>
      <c r="J193" s="17" t="n">
        <f aca="false">PL!$J$185/PL!$J$164</f>
        <v>0.276178705816754</v>
      </c>
      <c r="K193" s="17" t="n">
        <f aca="false">PL!$K$185/PL!$K$164</f>
        <v>0.252691873237802</v>
      </c>
      <c r="L193" s="17" t="n">
        <f aca="false">PL!$L$185/PL!$L$164</f>
        <v>0.240359487228671</v>
      </c>
      <c r="M193" s="17" t="n">
        <f aca="false">PL!$M$185/PL!$M$164</f>
        <v>0.237764055463202</v>
      </c>
      <c r="N193" s="17" t="n">
        <f aca="false">PL!$N$185/PL!$N$164</f>
        <v>0.355796276812746</v>
      </c>
      <c r="O193" s="17" t="n">
        <f aca="false">PL!$O$185/PL!$O$164</f>
        <v>0.350347114871132</v>
      </c>
    </row>
    <row r="194" customFormat="false" ht="17.15" hidden="false" customHeight="false" outlineLevel="0" collapsed="false">
      <c r="A194" s="0" t="s">
        <v>800</v>
      </c>
      <c r="B194" s="0" t="s">
        <v>56</v>
      </c>
      <c r="C194" s="13" t="n">
        <f aca="false">PL!$C$183/PL!$C$165</f>
        <v>0.708390794789371</v>
      </c>
      <c r="D194" s="13" t="n">
        <f aca="false">PL!$D$183/PL!$D$165</f>
        <v>0.619415573115729</v>
      </c>
      <c r="E194" s="13" t="n">
        <f aca="false">PL!$E$183/PL!$E$165</f>
        <v>0.38978070304412</v>
      </c>
      <c r="F194" s="13" t="n">
        <f aca="false">PL!$F$183/PL!$F$165</f>
        <v>0.472494434272441</v>
      </c>
      <c r="G194" s="13" t="n">
        <f aca="false">PL!$G$183/PL!$G$165</f>
        <v>0.416185040078553</v>
      </c>
      <c r="H194" s="13" t="n">
        <f aca="false">PL!$H$183/PL!$H$165</f>
        <v>0.291219860009375</v>
      </c>
      <c r="I194" s="13" t="n">
        <f aca="false">PL!$I$183/PL!$I$165</f>
        <v>0.128010876098173</v>
      </c>
      <c r="J194" s="13" t="n">
        <f aca="false">PL!$J$183/PL!$J$165</f>
        <v>0.099336477985118</v>
      </c>
      <c r="K194" s="13" t="n">
        <f aca="false">PL!$K$183/PL!$K$165</f>
        <v>0.0593918742954412</v>
      </c>
      <c r="L194" s="13" t="n">
        <f aca="false">PL!$L$183/PL!$L$165</f>
        <v>0.0352994184800023</v>
      </c>
      <c r="M194" s="13" t="n">
        <f aca="false">PL!$M$183/PL!$M$165</f>
        <v>0.0232090659182455</v>
      </c>
      <c r="N194" s="13" t="n">
        <f aca="false">PL!$N$183/PL!$N$165</f>
        <v>0.591338253041814</v>
      </c>
      <c r="O194" s="13" t="n">
        <f aca="false">PL!$O$183/PL!$O$165</f>
        <v>0.668792929107785</v>
      </c>
    </row>
    <row r="195" customFormat="false" ht="15" hidden="false" customHeight="false" outlineLevel="0" collapsed="false">
      <c r="A195" s="5" t="s">
        <v>801</v>
      </c>
      <c r="B195" s="0" t="s">
        <v>56</v>
      </c>
      <c r="C195" s="13" t="n">
        <f aca="false">PL!$C$187/PL!$C$167</f>
        <v>0.107519448742004</v>
      </c>
      <c r="D195" s="13" t="n">
        <f aca="false">PL!$D$187/PL!$D$167</f>
        <v>0.111552967957552</v>
      </c>
      <c r="E195" s="13" t="n">
        <f aca="false">PL!$E$187/PL!$E$167</f>
        <v>0.135924008978391</v>
      </c>
      <c r="F195" s="13" t="n">
        <f aca="false">PL!$F$187/PL!$F$167</f>
        <v>0.140235791748453</v>
      </c>
      <c r="G195" s="13" t="n">
        <f aca="false">PL!$G$187/PL!$G$167</f>
        <v>0.13719077456924</v>
      </c>
      <c r="H195" s="13" t="n">
        <f aca="false">PL!$H$187/PL!$H$167</f>
        <v>0.135469762369175</v>
      </c>
      <c r="I195" s="13" t="n">
        <f aca="false">PL!$I$187/PL!$I$167</f>
        <v>0.124582211647181</v>
      </c>
      <c r="J195" s="13" t="n">
        <f aca="false">PL!$J$187/PL!$J$167</f>
        <v>0.121111179990127</v>
      </c>
      <c r="K195" s="13" t="n">
        <f aca="false">PL!$K$187/PL!$K$167</f>
        <v>0.115931783726664</v>
      </c>
      <c r="L195" s="13" t="n">
        <f aca="false">PL!$L$187/PL!$L$167</f>
        <v>0.113228906517907</v>
      </c>
      <c r="M195" s="13" t="n">
        <f aca="false">PL!$M$187/PL!$M$167</f>
        <v>0.114348558372438</v>
      </c>
      <c r="N195" s="13" t="n">
        <f aca="false">PL!$N$187/PL!$N$167</f>
        <v>0.109223137082008</v>
      </c>
      <c r="O195" s="13" t="n">
        <f aca="false">PL!$O$187/PL!$O$167</f>
        <v>0.117050790586074</v>
      </c>
    </row>
    <row r="196" customFormat="false" ht="17.15" hidden="false" customHeight="false" outlineLevel="0" collapsed="false">
      <c r="A196" s="1" t="s">
        <v>802</v>
      </c>
    </row>
    <row r="197" customFormat="false" ht="17.15" hidden="false" customHeight="false" outlineLevel="0" collapsed="false">
      <c r="A197" s="5" t="s">
        <v>803</v>
      </c>
      <c r="B197" s="0" t="s">
        <v>56</v>
      </c>
      <c r="D197" s="32" t="n">
        <f aca="false">(Q!$E$31+Q!$E$32-(1-ext_sh)*Thesis!$D$182)/Seg!$D$90</f>
        <v>0.0341105596409988</v>
      </c>
    </row>
    <row r="198" customFormat="false" ht="17.15" hidden="false" customHeight="false" outlineLevel="0" collapsed="false">
      <c r="A198" s="0" t="s">
        <v>585</v>
      </c>
      <c r="B198" s="0" t="s">
        <v>91</v>
      </c>
      <c r="C198" s="40" t="n">
        <f aca="false">Q!$D$31</f>
        <v>14.285</v>
      </c>
      <c r="D198" s="40" t="n">
        <f aca="false">Q!$E$31</f>
        <v>15.503</v>
      </c>
      <c r="E198" s="40" t="n">
        <f aca="false">Q!$O$31</f>
        <v>13.4963548128877</v>
      </c>
      <c r="F198" s="40" t="n">
        <f aca="false">(PL!$D$197*Seg!$F$90+(1-ext_sh)*Thesis!$F$182)*Seg!$F$91</f>
        <v>5.21211427093156</v>
      </c>
      <c r="G198" s="40" t="n">
        <f aca="false">PL!$E$198+PL!$F$198</f>
        <v>18.7084690838193</v>
      </c>
      <c r="H198" s="40" t="n">
        <f aca="false">(PL!$D$197*Seg!$H$90+(1-ext_sh)*Thesis!$H$182)*Seg!$H$91</f>
        <v>21.7211660546073</v>
      </c>
      <c r="I198" s="40" t="n">
        <f aca="false">(PL!$D$197*Seg!$I$90+(1-ext_sh)*Thesis!$I$182)*Seg!$I$91</f>
        <v>27.8212875787445</v>
      </c>
      <c r="J198" s="40" t="n">
        <f aca="false">(PL!$D$197*Seg!$J$90+(1-ext_sh)*Thesis!$J$182)*Seg!$J$91</f>
        <v>32.9642213622344</v>
      </c>
      <c r="K198" s="40" t="n">
        <f aca="false">(PL!$D$197*Seg!$K$90+(1-ext_sh)*Thesis!$K$182)*Seg!$K$91</f>
        <v>38.0154736494029</v>
      </c>
      <c r="L198" s="40" t="n">
        <f aca="false">(PL!$D$197*Seg!$L$90+(1-ext_sh)*Thesis!$L$182)*Seg!$L$91</f>
        <v>42.033268674836</v>
      </c>
      <c r="M198" s="40" t="n">
        <f aca="false">(PL!$D$197*Seg!$M$90+(1-ext_sh)*Thesis!$M$182)*Seg!$M$91</f>
        <v>44.8754624898616</v>
      </c>
      <c r="N198" s="40" t="n">
        <f aca="false">Q!$N$31</f>
        <v>11.273</v>
      </c>
      <c r="O198" s="40" t="n">
        <f aca="false">Q!$J$31</f>
        <v>4.23</v>
      </c>
    </row>
    <row r="199" customFormat="false" ht="17.15" hidden="false" customHeight="false" outlineLevel="0" collapsed="false">
      <c r="A199" s="0" t="s">
        <v>588</v>
      </c>
      <c r="B199" s="0" t="s">
        <v>91</v>
      </c>
      <c r="C199" s="40" t="n">
        <f aca="false">Q!$D$32</f>
        <v>4.462</v>
      </c>
      <c r="D199" s="40" t="n">
        <f aca="false">Q!$E$32</f>
        <v>4.907</v>
      </c>
      <c r="E199" s="40" t="n">
        <f aca="false">Q!$O$32</f>
        <v>3.92516594956974</v>
      </c>
      <c r="F199" s="40" t="n">
        <f aca="false">(PL!$D$197*Seg!$F$90+(1-ext_sh)*Thesis!$F$182)*(1-Seg!$F$91)</f>
        <v>2.08036703791013</v>
      </c>
      <c r="G199" s="40" t="n">
        <f aca="false">PL!$E$199+PL!$F$199</f>
        <v>6.00553298747987</v>
      </c>
      <c r="H199" s="40" t="n">
        <f aca="false">(PL!$D$197*Seg!$H$90+(1-ext_sh)*Thesis!$H$182)*(1-Seg!$H$91)</f>
        <v>8.30905162009005</v>
      </c>
      <c r="I199" s="40" t="n">
        <f aca="false">(PL!$D$197*Seg!$I$90+(1-ext_sh)*Thesis!$I$182)*(1-Seg!$I$91)</f>
        <v>10.6425462633082</v>
      </c>
      <c r="J199" s="40" t="n">
        <f aca="false">(PL!$D$197*Seg!$J$90+(1-ext_sh)*Thesis!$J$182)*(1-Seg!$J$91)</f>
        <v>12.6098855018321</v>
      </c>
      <c r="K199" s="40" t="n">
        <f aca="false">(PL!$D$197*Seg!$K$90+(1-ext_sh)*Thesis!$K$182)*(1-Seg!$K$91)</f>
        <v>14.542153589773</v>
      </c>
      <c r="L199" s="40" t="n">
        <f aca="false">(PL!$D$197*Seg!$L$90+(1-ext_sh)*Thesis!$L$182)*(1-Seg!$L$91)</f>
        <v>16.0790907036156</v>
      </c>
      <c r="M199" s="40" t="n">
        <f aca="false">(PL!$D$197*Seg!$M$90+(1-ext_sh)*Thesis!$M$182)*(1-Seg!$M$91)</f>
        <v>17.1663221654983</v>
      </c>
      <c r="N199" s="40" t="n">
        <f aca="false">Q!$N$32</f>
        <v>3.592</v>
      </c>
      <c r="O199" s="40" t="n">
        <f aca="false">Q!$J$32</f>
        <v>1.315</v>
      </c>
    </row>
    <row r="200" customFormat="false" ht="17.15" hidden="false" customHeight="false" outlineLevel="0" collapsed="false">
      <c r="A200" s="0" t="s">
        <v>589</v>
      </c>
      <c r="B200" s="0" t="s">
        <v>91</v>
      </c>
      <c r="C200" s="40" t="n">
        <f aca="false">Thesis!$C$194</f>
        <v>13.32</v>
      </c>
      <c r="D200" s="40" t="n">
        <f aca="false">Thesis!$D$194</f>
        <v>21.45</v>
      </c>
      <c r="E200" s="40" t="n">
        <f aca="false">Thesis!$E$194</f>
        <v>23.8172847708625</v>
      </c>
      <c r="F200" s="40" t="n">
        <f aca="false">Thesis!$F$194</f>
        <v>8.28155769350516</v>
      </c>
      <c r="G200" s="40" t="n">
        <f aca="false">Thesis!$G$194</f>
        <v>32.0988424643677</v>
      </c>
      <c r="H200" s="40" t="n">
        <f aca="false">Thesis!$H$194</f>
        <v>48.7469278856268</v>
      </c>
      <c r="I200" s="40" t="n">
        <f aca="false">Thesis!$I$194</f>
        <v>76.4669223006817</v>
      </c>
      <c r="J200" s="40" t="n">
        <f aca="false">Thesis!$J$194</f>
        <v>99.3763394539051</v>
      </c>
      <c r="K200" s="40" t="n">
        <f aca="false">Thesis!$K$194</f>
        <v>122.481549194278</v>
      </c>
      <c r="L200" s="40" t="n">
        <f aca="false">Thesis!$L$194</f>
        <v>139.564108797953</v>
      </c>
      <c r="M200" s="40" t="n">
        <f aca="false">Thesis!$M$194</f>
        <v>149.816114943274</v>
      </c>
      <c r="N200" s="40" t="n">
        <f aca="false">Thesis!$N$194</f>
        <v>14.882</v>
      </c>
      <c r="O200" s="40" t="n">
        <f aca="false">Thesis!$O$194</f>
        <v>6.568</v>
      </c>
    </row>
    <row r="201" customFormat="false" ht="17.15" hidden="false" customHeight="false" outlineLevel="0" collapsed="false">
      <c r="A201" s="5" t="s">
        <v>804</v>
      </c>
      <c r="B201" s="0" t="s">
        <v>91</v>
      </c>
      <c r="C201" s="40" t="n">
        <f aca="false">PL!$C$198+PL!$C$199+PL!$C$200</f>
        <v>32.067</v>
      </c>
      <c r="D201" s="40" t="n">
        <f aca="false">PL!$D$198+PL!$D$199+PL!$D$200</f>
        <v>41.86</v>
      </c>
      <c r="E201" s="40" t="n">
        <f aca="false">PL!$E$198+PL!$E$199+PL!$E$200</f>
        <v>41.23880553332</v>
      </c>
      <c r="F201" s="40" t="n">
        <f aca="false">PL!$F$198+PL!$F$199+PL!$F$200</f>
        <v>15.5740390023468</v>
      </c>
      <c r="G201" s="40" t="n">
        <f aca="false">PL!$G$198+PL!$G$199+PL!$G$200</f>
        <v>56.8128445356668</v>
      </c>
      <c r="H201" s="40" t="n">
        <f aca="false">PL!$H$198+PL!$H$199+PL!$H$200</f>
        <v>78.7771455603241</v>
      </c>
      <c r="I201" s="40" t="n">
        <f aca="false">PL!$I$198+PL!$I$199+PL!$I$200</f>
        <v>114.930756142734</v>
      </c>
      <c r="J201" s="40" t="n">
        <f aca="false">PL!$J$198+PL!$J$199+PL!$J$200</f>
        <v>144.950446317972</v>
      </c>
      <c r="K201" s="40" t="n">
        <f aca="false">PL!$K$198+PL!$K$199+PL!$K$200</f>
        <v>175.039176433454</v>
      </c>
      <c r="L201" s="40" t="n">
        <f aca="false">PL!$L$198+PL!$L$199+PL!$L$200</f>
        <v>197.676468176405</v>
      </c>
      <c r="M201" s="40" t="n">
        <f aca="false">PL!$M$198+PL!$M$199+PL!$M$200</f>
        <v>211.857899598634</v>
      </c>
      <c r="N201" s="40" t="n">
        <f aca="false">PL!$N$198+PL!$N$199+PL!$N$200</f>
        <v>29.747</v>
      </c>
      <c r="O201" s="40" t="n">
        <f aca="false">PL!$O$198+PL!$O$199+PL!$O$200</f>
        <v>12.113</v>
      </c>
    </row>
    <row r="202" customFormat="false" ht="17.15" hidden="false" customHeight="false" outlineLevel="0" collapsed="false">
      <c r="A202" s="0" t="s">
        <v>805</v>
      </c>
      <c r="B202" s="0" t="s">
        <v>91</v>
      </c>
      <c r="C202" s="40" t="n">
        <f aca="false">PL!$C$173+PL!$C$178</f>
        <v>28.107</v>
      </c>
      <c r="D202" s="40" t="n">
        <f aca="false">PL!$D$173+PL!$D$178</f>
        <v>34.3175</v>
      </c>
      <c r="E202" s="40" t="n">
        <f aca="false">PL!$E$173+PL!$E$178</f>
        <v>28.3445</v>
      </c>
      <c r="F202" s="40" t="n">
        <f aca="false">PL!$F$173+PL!$F$178</f>
        <v>12.7540196873527</v>
      </c>
      <c r="G202" s="40" t="n">
        <f aca="false">PL!$G$173+PL!$G$178</f>
        <v>41.0985196873527</v>
      </c>
      <c r="H202" s="40" t="n">
        <f aca="false">PL!$H$173+PL!$H$178</f>
        <v>48.2304391441512</v>
      </c>
      <c r="I202" s="40" t="n">
        <f aca="false">PL!$I$173+PL!$I$178</f>
        <v>55.4178122068561</v>
      </c>
      <c r="J202" s="40" t="n">
        <f aca="false">PL!$J$173+PL!$J$178</f>
        <v>62.3179259563365</v>
      </c>
      <c r="K202" s="40" t="n">
        <f aca="false">PL!$K$173+PL!$K$178</f>
        <v>68.5497185519701</v>
      </c>
      <c r="L202" s="40" t="n">
        <f aca="false">PL!$L$173+PL!$L$178</f>
        <v>75.4046904071671</v>
      </c>
      <c r="M202" s="40" t="n">
        <f aca="false">PL!$M$173+PL!$M$178</f>
        <v>82.9451594478839</v>
      </c>
      <c r="N202" s="40" t="n">
        <f aca="false">PL!$N$173+PL!$N$178</f>
        <v>23.659</v>
      </c>
      <c r="O202" s="40" t="n">
        <f aca="false">PL!$O$173+PL!$O$178</f>
        <v>10.6585</v>
      </c>
    </row>
    <row r="203" customFormat="false" ht="17.15" hidden="false" customHeight="false" outlineLevel="0" collapsed="false">
      <c r="A203" s="0" t="s">
        <v>806</v>
      </c>
      <c r="B203" s="0" t="s">
        <v>91</v>
      </c>
      <c r="C203" s="40" t="n">
        <f aca="false">PL!$C$177+PL!$C$182+PL!$C$198+PL!$C$199-PL!$C$202</f>
        <v>19.399</v>
      </c>
      <c r="D203" s="40" t="n">
        <f aca="false">PL!$D$177+PL!$D$182+PL!$D$198+PL!$D$199-PL!$D$202</f>
        <v>20.4615</v>
      </c>
      <c r="E203" s="40" t="n">
        <f aca="false">PL!$E$177+PL!$E$182+PL!$E$198+PL!$E$199-PL!$E$202</f>
        <v>19.9110207624575</v>
      </c>
      <c r="F203" s="40" t="n">
        <f aca="false">PL!$F$177+PL!$F$182+PL!$F$198+PL!$F$199-PL!$F$202</f>
        <v>11.3292244276029</v>
      </c>
      <c r="G203" s="40" t="n">
        <f aca="false">PL!$G$177+PL!$G$182+PL!$G$198+PL!$G$199-PL!$G$202</f>
        <v>31.2402451900604</v>
      </c>
      <c r="H203" s="40" t="n">
        <f aca="false">PL!$H$177+PL!$H$182+PL!$H$198+PL!$H$199-PL!$H$202</f>
        <v>33.7977855714846</v>
      </c>
      <c r="I203" s="40" t="n">
        <f aca="false">PL!$I$177+PL!$I$182+PL!$I$198+PL!$I$199-PL!$I$202</f>
        <v>36.3930138937501</v>
      </c>
      <c r="J203" s="40" t="n">
        <f aca="false">PL!$J$177+PL!$J$182+PL!$J$198+PL!$J$199-PL!$J$202</f>
        <v>38.9638841214947</v>
      </c>
      <c r="K203" s="40" t="n">
        <f aca="false">PL!$K$177+PL!$K$182+PL!$K$198+PL!$K$199-PL!$K$202</f>
        <v>41.6846163711491</v>
      </c>
      <c r="L203" s="40" t="n">
        <f aca="false">PL!$L$177+PL!$L$182+PL!$L$198+PL!$L$199-PL!$L$202</f>
        <v>43.6562241677029</v>
      </c>
      <c r="M203" s="40" t="n">
        <f aca="false">PL!$M$177+PL!$M$182+PL!$M$198+PL!$M$199-PL!$M$202</f>
        <v>46.4748655725654</v>
      </c>
      <c r="N203" s="40" t="n">
        <f aca="false">PL!$N$177+PL!$N$182+PL!$N$198+PL!$N$199-PL!$N$202</f>
        <v>13.063</v>
      </c>
      <c r="O203" s="40" t="n">
        <f aca="false">PL!$O$177+PL!$O$182+PL!$O$198+PL!$O$199-PL!$O$202</f>
        <v>7.3985</v>
      </c>
    </row>
    <row r="204" customFormat="false" ht="17.15" hidden="false" customHeight="false" outlineLevel="0" collapsed="false">
      <c r="A204" s="0" t="s">
        <v>807</v>
      </c>
      <c r="B204" s="0" t="s">
        <v>91</v>
      </c>
      <c r="C204" s="40" t="n">
        <f aca="false">PL!$C$184+PL!$C$200-ext_sh*Thesis!$C$182</f>
        <v>51.3470500115664</v>
      </c>
      <c r="D204" s="40" t="n">
        <f aca="false">PL!$D$184+PL!$D$200-ext_sh*Thesis!$D$182</f>
        <v>60.2799375433739</v>
      </c>
      <c r="E204" s="40" t="n">
        <f aca="false">PL!$E$184+PL!$E$200-ext_sh*Thesis!$E$182</f>
        <v>59.7597032676119</v>
      </c>
      <c r="F204" s="40" t="n">
        <f aca="false">PL!$F$184+PL!$F$200-ext_sh*Thesis!$F$182</f>
        <v>19.8765856323982</v>
      </c>
      <c r="G204" s="40" t="n">
        <f aca="false">PL!$G$184+PL!$G$200-ext_sh*Thesis!$G$182</f>
        <v>79.6362889000101</v>
      </c>
      <c r="H204" s="40" t="n">
        <f aca="false">PL!$H$184+PL!$H$200-ext_sh*Thesis!$H$182</f>
        <v>88.6663043493359</v>
      </c>
      <c r="I204" s="40" t="n">
        <f aca="false">PL!$I$184+PL!$I$200-ext_sh*Thesis!$I$182</f>
        <v>98.4420671006853</v>
      </c>
      <c r="J204" s="40" t="n">
        <f aca="false">PL!$J$184+PL!$J$200-ext_sh*Thesis!$J$182</f>
        <v>107.806536768735</v>
      </c>
      <c r="K204" s="40" t="n">
        <f aca="false">PL!$K$184+PL!$K$200-ext_sh*Thesis!$K$182</f>
        <v>116.431059710234</v>
      </c>
      <c r="L204" s="40" t="n">
        <f aca="false">PL!$L$184+PL!$L$200-ext_sh*Thesis!$L$182</f>
        <v>125.745544487053</v>
      </c>
      <c r="M204" s="40" t="n">
        <f aca="false">PL!$M$184+PL!$M$200-ext_sh*Thesis!$M$182</f>
        <v>135.805188046017</v>
      </c>
      <c r="N204" s="40" t="n">
        <f aca="false">PL!$N$184+PL!$N$200-ext_sh*Thesis!$N$182</f>
        <v>43.7032601839009</v>
      </c>
      <c r="O204" s="40" t="n">
        <f aca="false">PL!$O$184+PL!$O$200-ext_sh*Thesis!$O$182</f>
        <v>16.5766773594731</v>
      </c>
    </row>
    <row r="205" customFormat="false" ht="17.15" hidden="false" customHeight="false" outlineLevel="0" collapsed="false">
      <c r="A205" s="0" t="s">
        <v>808</v>
      </c>
      <c r="B205" s="0" t="s">
        <v>91</v>
      </c>
      <c r="C205" s="40" t="n">
        <f aca="false">Thesis!$C$185</f>
        <v>1.80694998843362</v>
      </c>
      <c r="D205" s="40" t="n">
        <f aca="false">Thesis!$D$185</f>
        <v>6.77606245662607</v>
      </c>
      <c r="E205" s="40" t="n">
        <f aca="false">Thesis!$E$185</f>
        <v>12.6125815032506</v>
      </c>
      <c r="F205" s="40" t="n">
        <f aca="false">Thesis!$F$185</f>
        <v>5.68871288000918</v>
      </c>
      <c r="G205" s="40" t="n">
        <f aca="false">Thesis!$G$185</f>
        <v>18.3012943832598</v>
      </c>
      <c r="H205" s="40" t="n">
        <f aca="false">Thesis!$H$185</f>
        <v>35.2067621944375</v>
      </c>
      <c r="I205" s="40" t="n">
        <f aca="false">Thesis!$I$185</f>
        <v>55.7573661363039</v>
      </c>
      <c r="J205" s="40" t="n">
        <f aca="false">Thesis!$J$185</f>
        <v>76.4514093611018</v>
      </c>
      <c r="K205" s="40" t="n">
        <f aca="false">Thesis!$K$185</f>
        <v>94.0964932566406</v>
      </c>
      <c r="L205" s="40" t="n">
        <f aca="false">Thesis!$L$185</f>
        <v>105.686850346559</v>
      </c>
      <c r="M205" s="40" t="n">
        <f aca="false">Thesis!$M$185</f>
        <v>111.19913589587</v>
      </c>
      <c r="N205" s="40" t="n">
        <f aca="false">Thesis!$N$185</f>
        <v>4.31973981609912</v>
      </c>
      <c r="O205" s="40" t="n">
        <f aca="false">Thesis!$O$185</f>
        <v>2.45632264052695</v>
      </c>
    </row>
    <row r="206" customFormat="false" ht="17.15" hidden="false" customHeight="false" outlineLevel="0" collapsed="false">
      <c r="A206" s="0" t="s">
        <v>809</v>
      </c>
      <c r="B206" s="0" t="s">
        <v>91</v>
      </c>
      <c r="C206" s="40" t="n">
        <f aca="false">PL!$C$187+PL!$C$201</f>
        <v>100.66</v>
      </c>
      <c r="D206" s="40" t="n">
        <f aca="false">PL!$D$187+PL!$D$201</f>
        <v>121.835</v>
      </c>
      <c r="E206" s="40" t="n">
        <f aca="false">PL!$E$187+PL!$E$201</f>
        <v>120.62780553332</v>
      </c>
      <c r="F206" s="40" t="n">
        <f aca="false">PL!$F$187+PL!$F$201</f>
        <v>49.648542627363</v>
      </c>
      <c r="G206" s="40" t="n">
        <f aca="false">PL!$G$187+PL!$G$201</f>
        <v>170.276348160683</v>
      </c>
      <c r="H206" s="40" t="n">
        <f aca="false">PL!$H$187+PL!$H$201</f>
        <v>205.901291259409</v>
      </c>
      <c r="I206" s="40" t="n">
        <f aca="false">PL!$I$187+PL!$I$201</f>
        <v>246.010259337595</v>
      </c>
      <c r="J206" s="40" t="n">
        <f aca="false">PL!$J$187+PL!$J$201</f>
        <v>285.539756207668</v>
      </c>
      <c r="K206" s="40" t="n">
        <f aca="false">PL!$K$187+PL!$K$201</f>
        <v>320.761887889994</v>
      </c>
      <c r="L206" s="40" t="n">
        <f aca="false">PL!$L$187+PL!$L$201</f>
        <v>350.493309408482</v>
      </c>
      <c r="M206" s="40" t="n">
        <f aca="false">PL!$M$187+PL!$M$201</f>
        <v>376.424348962337</v>
      </c>
      <c r="N206" s="40" t="n">
        <f aca="false">PL!$N$187+PL!$N$201</f>
        <v>84.745</v>
      </c>
      <c r="O206" s="40" t="n">
        <f aca="false">PL!$O$187+PL!$O$201</f>
        <v>37.09</v>
      </c>
    </row>
    <row r="207" customFormat="false" ht="17.15" hidden="false" customHeight="false" outlineLevel="0" collapsed="false">
      <c r="A207" s="1" t="s">
        <v>810</v>
      </c>
    </row>
    <row r="208" customFormat="false" ht="15" hidden="false" customHeight="false" outlineLevel="0" collapsed="false">
      <c r="A208" s="5" t="s">
        <v>592</v>
      </c>
      <c r="B208" s="0" t="s">
        <v>91</v>
      </c>
      <c r="C208" s="40" t="n">
        <f aca="false">Q!$D$36</f>
        <v>2.406</v>
      </c>
      <c r="D208" s="40" t="n">
        <f aca="false">Q!$E$36</f>
        <v>2.274</v>
      </c>
      <c r="E208" s="40" t="n">
        <f aca="false">Q!$O$36</f>
        <v>3.805</v>
      </c>
      <c r="F208" s="40" t="n">
        <f aca="false">CF!$F$97</f>
        <v>1.94993832879634</v>
      </c>
      <c r="G208" s="40" t="n">
        <f aca="false">PL!$E$208+PL!$F$208</f>
        <v>5.75493832879634</v>
      </c>
      <c r="H208" s="40" t="n">
        <f aca="false">CF!$H$97</f>
        <v>7.79975331518538</v>
      </c>
      <c r="I208" s="40" t="n">
        <f aca="false">CF!$I$97</f>
        <v>7.79975331518538</v>
      </c>
      <c r="J208" s="40" t="n">
        <f aca="false">CF!$J$97</f>
        <v>7.79975331518538</v>
      </c>
      <c r="K208" s="40" t="n">
        <f aca="false">CF!$K$97</f>
        <v>7.79975331518538</v>
      </c>
      <c r="L208" s="40" t="n">
        <f aca="false">CF!$L$97</f>
        <v>7.79975331518538</v>
      </c>
      <c r="M208" s="40" t="n">
        <f aca="false">CF!$M$97</f>
        <v>7.79975331518538</v>
      </c>
      <c r="N208" s="40" t="n">
        <f aca="false">Q!$N$36</f>
        <v>1.595</v>
      </c>
      <c r="O208" s="40" t="n">
        <f aca="false">Q!$J$36</f>
        <v>0.679</v>
      </c>
    </row>
    <row r="209" customFormat="false" ht="15" hidden="false" customHeight="false" outlineLevel="0" collapsed="false">
      <c r="A209" s="5" t="s">
        <v>811</v>
      </c>
      <c r="B209" s="0" t="s">
        <v>91</v>
      </c>
      <c r="F209" s="40" t="n">
        <f aca="false">CF!$F$98</f>
        <v>1.187</v>
      </c>
      <c r="H209" s="40" t="n">
        <f aca="false">CF!$H$98</f>
        <v>5.66825015852675</v>
      </c>
      <c r="I209" s="40" t="n">
        <f aca="false">CF!$I$98</f>
        <v>4.08973253128784</v>
      </c>
      <c r="J209" s="40" t="n">
        <f aca="false">CF!$J$98</f>
        <v>3.69273327245235</v>
      </c>
      <c r="K209" s="40" t="n">
        <f aca="false">CF!$K$98</f>
        <v>4.54801573727125</v>
      </c>
      <c r="L209" s="40" t="n">
        <f aca="false">CF!$L$98</f>
        <v>8.79476704295466</v>
      </c>
      <c r="M209" s="40" t="n">
        <f aca="false">CF!$M$98</f>
        <v>15.2108179456719</v>
      </c>
    </row>
    <row r="210" customFormat="false" ht="17.15" hidden="false" customHeight="false" outlineLevel="0" collapsed="false">
      <c r="A210" s="5" t="s">
        <v>812</v>
      </c>
      <c r="B210" s="0" t="s">
        <v>91</v>
      </c>
      <c r="C210" s="40" t="n">
        <f aca="false">Q!$D$41</f>
        <v>2.427</v>
      </c>
      <c r="D210" s="40" t="n">
        <f aca="false">Q!$E$41</f>
        <v>19.61</v>
      </c>
      <c r="E210" s="40" t="n">
        <f aca="false">Q!$O$41</f>
        <v>71.976</v>
      </c>
      <c r="F210" s="41" t="n">
        <v>0</v>
      </c>
      <c r="G210" s="40" t="n">
        <f aca="false">PL!$E$210+PL!$F$210</f>
        <v>71.976</v>
      </c>
      <c r="H210" s="41" t="n">
        <v>0</v>
      </c>
      <c r="I210" s="41" t="n">
        <v>0</v>
      </c>
      <c r="J210" s="41" t="n">
        <v>0</v>
      </c>
      <c r="K210" s="41" t="n">
        <v>0</v>
      </c>
      <c r="L210" s="41" t="n">
        <v>0</v>
      </c>
      <c r="M210" s="41" t="n">
        <v>0</v>
      </c>
      <c r="N210" s="40" t="n">
        <f aca="false">Q!$N$41</f>
        <v>17.303</v>
      </c>
      <c r="O210" s="40" t="n">
        <f aca="false">Q!$J$41</f>
        <v>2.307</v>
      </c>
      <c r="P210" s="5" t="s">
        <v>813</v>
      </c>
    </row>
    <row r="211" customFormat="false" ht="15" hidden="false" customHeight="false" outlineLevel="0" collapsed="false">
      <c r="A211" s="5" t="s">
        <v>595</v>
      </c>
      <c r="B211" s="0" t="s">
        <v>91</v>
      </c>
      <c r="C211" s="40" t="n">
        <f aca="false">Q!$D$38</f>
        <v>68.614</v>
      </c>
      <c r="D211" s="40" t="n">
        <f aca="false">Q!$E$38</f>
        <v>97.311</v>
      </c>
      <c r="E211" s="40" t="n">
        <f aca="false">Q!$O$38</f>
        <v>147.56</v>
      </c>
      <c r="F211" s="40" t="n">
        <f aca="false">PL!$F$187-PL!$F$208+PL!$F$209+PL!$F$210</f>
        <v>33.3115652962198</v>
      </c>
      <c r="G211" s="40" t="n">
        <f aca="false">PL!$E$211+PL!$F$211</f>
        <v>180.87156529622</v>
      </c>
      <c r="H211" s="40" t="n">
        <f aca="false">PL!$H$187-PL!$H$208+PL!$H$209+PL!$H$210</f>
        <v>124.992642542426</v>
      </c>
      <c r="I211" s="40" t="n">
        <f aca="false">PL!$I$187-PL!$I$208+PL!$I$209+PL!$I$210</f>
        <v>127.369482410963</v>
      </c>
      <c r="J211" s="40" t="n">
        <f aca="false">PL!$J$187-PL!$J$208+PL!$J$209+PL!$J$210</f>
        <v>136.482289846964</v>
      </c>
      <c r="K211" s="40" t="n">
        <f aca="false">PL!$K$187-PL!$K$208+PL!$K$209+PL!$K$210</f>
        <v>142.470973878626</v>
      </c>
      <c r="L211" s="40" t="n">
        <f aca="false">PL!$L$187-PL!$L$208+PL!$L$209+PL!$L$210</f>
        <v>153.811854959847</v>
      </c>
      <c r="M211" s="40" t="n">
        <f aca="false">PL!$M$187-PL!$M$208+PL!$M$209+PL!$M$210</f>
        <v>171.977513994189</v>
      </c>
      <c r="N211" s="40" t="n">
        <f aca="false">Q!$N$38</f>
        <v>70.706</v>
      </c>
      <c r="O211" s="40" t="n">
        <f aca="false">Q!$J$38</f>
        <v>26.605</v>
      </c>
    </row>
    <row r="212" customFormat="false" ht="15" hidden="false" customHeight="false" outlineLevel="0" collapsed="false">
      <c r="A212" s="5" t="s">
        <v>596</v>
      </c>
      <c r="B212" s="0" t="s">
        <v>91</v>
      </c>
      <c r="C212" s="40" t="n">
        <f aca="false">Q!$D$39</f>
        <v>9.265</v>
      </c>
      <c r="D212" s="40" t="n">
        <f aca="false">Q!$E$39</f>
        <v>19.087</v>
      </c>
      <c r="E212" s="40" t="n">
        <f aca="false">Q!$O$39</f>
        <v>33.939</v>
      </c>
      <c r="F212" s="40" t="n">
        <f aca="false">PL!$F$211*tax</f>
        <v>5.78237229294971</v>
      </c>
      <c r="G212" s="40" t="n">
        <f aca="false">PL!$E$212+PL!$F$212</f>
        <v>39.7213722929497</v>
      </c>
      <c r="H212" s="40" t="n">
        <f aca="false">PL!$H$211*tax</f>
        <v>21.6967886868382</v>
      </c>
      <c r="I212" s="40" t="n">
        <f aca="false">PL!$I$211*tax</f>
        <v>22.1093713102721</v>
      </c>
      <c r="J212" s="40" t="n">
        <f aca="false">PL!$J$211*tax</f>
        <v>23.6912136752388</v>
      </c>
      <c r="K212" s="40" t="n">
        <f aca="false">PL!$K$211*tax</f>
        <v>24.7307565579578</v>
      </c>
      <c r="L212" s="40" t="n">
        <f aca="false">PL!$L$211*tax</f>
        <v>26.6993580319069</v>
      </c>
      <c r="M212" s="40" t="n">
        <f aca="false">PL!$M$211*tax</f>
        <v>29.8526353561422</v>
      </c>
      <c r="N212" s="40" t="n">
        <f aca="false">Q!$N$39</f>
        <v>14.141</v>
      </c>
      <c r="O212" s="40" t="n">
        <f aca="false">Q!$J$39</f>
        <v>4.946</v>
      </c>
    </row>
    <row r="213" customFormat="false" ht="15" hidden="false" customHeight="false" outlineLevel="0" collapsed="false">
      <c r="A213" s="3" t="s">
        <v>597</v>
      </c>
      <c r="B213" s="8" t="s">
        <v>91</v>
      </c>
      <c r="C213" s="40" t="n">
        <f aca="false">Q!$D$40</f>
        <v>59.248</v>
      </c>
      <c r="D213" s="40" t="n">
        <f aca="false">Q!$E$40</f>
        <v>77.67</v>
      </c>
      <c r="E213" s="40" t="n">
        <f aca="false">Q!$O$40</f>
        <v>113.587</v>
      </c>
      <c r="F213" s="40" t="n">
        <f aca="false">PL!$F$211-PL!$F$212</f>
        <v>27.5291930032701</v>
      </c>
      <c r="G213" s="40" t="n">
        <f aca="false">PL!$E$213+PL!$F$213</f>
        <v>141.11619300327</v>
      </c>
      <c r="H213" s="40" t="n">
        <f aca="false">PL!$H$211-PL!$H$212</f>
        <v>103.295853855588</v>
      </c>
      <c r="I213" s="40" t="n">
        <f aca="false">PL!$I$211-PL!$I$212</f>
        <v>105.260111100691</v>
      </c>
      <c r="J213" s="40" t="n">
        <f aca="false">PL!$J$211-PL!$J$212</f>
        <v>112.791076171725</v>
      </c>
      <c r="K213" s="40" t="n">
        <f aca="false">PL!$K$211-PL!$K$212</f>
        <v>117.740217320668</v>
      </c>
      <c r="L213" s="40" t="n">
        <f aca="false">PL!$L$211-PL!$L$212</f>
        <v>127.11249692794</v>
      </c>
      <c r="M213" s="40" t="n">
        <f aca="false">PL!$M$211-PL!$M$212</f>
        <v>142.124878638047</v>
      </c>
      <c r="N213" s="40" t="n">
        <f aca="false">Q!$N$40</f>
        <v>56.478</v>
      </c>
      <c r="O213" s="40" t="n">
        <f aca="false">Q!$J$40</f>
        <v>21.192</v>
      </c>
    </row>
    <row r="214" customFormat="false" ht="17.15" hidden="false" customHeight="false" outlineLevel="0" collapsed="false">
      <c r="A214" s="5" t="s">
        <v>600</v>
      </c>
      <c r="B214" s="5" t="s">
        <v>37</v>
      </c>
      <c r="C214" s="25" t="n">
        <f aca="false">Q!$D$43</f>
        <v>10.721</v>
      </c>
      <c r="D214" s="25" t="n">
        <f aca="false">Q!$E$43</f>
        <v>10.827</v>
      </c>
      <c r="E214" s="25" t="n">
        <f aca="false">Q!$O$43</f>
        <v>10.903</v>
      </c>
      <c r="F214" s="25" t="n">
        <f aca="false">Q!$M$43*(1+sh_g*0.25)</f>
        <v>10.950858</v>
      </c>
      <c r="G214" s="25" t="n">
        <f aca="false">(3*PL!$E$214+PL!$F$214)/4</f>
        <v>10.9149645</v>
      </c>
      <c r="H214" s="25" t="n">
        <f aca="false">PL!$G$214*(1+sh_g)</f>
        <v>11.002284216</v>
      </c>
      <c r="I214" s="25" t="n">
        <f aca="false">PL!$H$214*(1+sh_g)</f>
        <v>11.090302489728</v>
      </c>
      <c r="J214" s="25" t="n">
        <f aca="false">PL!$I$214*(1+sh_g)</f>
        <v>11.1790249096458</v>
      </c>
      <c r="K214" s="25" t="n">
        <f aca="false">PL!$J$214*(1+sh_g)</f>
        <v>11.268457108923</v>
      </c>
      <c r="L214" s="25" t="n">
        <f aca="false">PL!$K$214*(1+sh_g)</f>
        <v>11.3586047657944</v>
      </c>
      <c r="M214" s="25" t="n">
        <f aca="false">PL!$L$214*(1+sh_g)</f>
        <v>11.4494736039207</v>
      </c>
      <c r="P214" s="5" t="s">
        <v>814</v>
      </c>
    </row>
    <row r="215" customFormat="false" ht="17.15" hidden="false" customHeight="false" outlineLevel="0" collapsed="false">
      <c r="A215" s="5" t="s">
        <v>815</v>
      </c>
      <c r="B215" s="0" t="s">
        <v>91</v>
      </c>
      <c r="C215" s="40" t="n">
        <f aca="false">PL!$C$213+PL!$C$189*(1-tax)</f>
        <v>59.248</v>
      </c>
      <c r="D215" s="40" t="n">
        <f aca="false">PL!$D$213+PL!$D$189*(1-tax)</f>
        <v>77.67</v>
      </c>
      <c r="E215" s="40" t="n">
        <f aca="false">PL!$E$213+PL!$E$189*(1-tax)</f>
        <v>113.587</v>
      </c>
      <c r="F215" s="40" t="n">
        <f aca="false">PL!$F$213+PL!$F$189*(1-tax)</f>
        <v>29.2197414942059</v>
      </c>
      <c r="G215" s="40" t="n">
        <f aca="false">PL!$G$213+PL!$G$189*(1-tax)</f>
        <v>142.806741494206</v>
      </c>
      <c r="H215" s="40" t="n">
        <f aca="false">PL!$H$213+PL!$H$189*(1-tax)</f>
        <v>114.52033062562</v>
      </c>
      <c r="I215" s="40" t="n">
        <f aca="false">PL!$I$213+PL!$I$189*(1-tax)</f>
        <v>123.798943367499</v>
      </c>
      <c r="J215" s="40" t="n">
        <f aca="false">PL!$J$213+PL!$J$189*(1-tax)</f>
        <v>138.684196051131</v>
      </c>
      <c r="K215" s="40" t="n">
        <f aca="false">PL!$K$213+PL!$K$189*(1-tax)</f>
        <v>149.905535118533</v>
      </c>
      <c r="L215" s="40" t="n">
        <f aca="false">PL!$L$213+PL!$L$189*(1-tax)</f>
        <v>163.397857452127</v>
      </c>
      <c r="M215" s="40" t="n">
        <f aca="false">PL!$M$213+PL!$M$189*(1-tax)</f>
        <v>180.371627746884</v>
      </c>
      <c r="N215" s="40" t="n">
        <f aca="false">PL!$N$213+PL!$N$189*(1-tax)</f>
        <v>56.478</v>
      </c>
      <c r="O215" s="40" t="n">
        <f aca="false">PL!$O$213+PL!$O$189*(1-tax)</f>
        <v>21.192</v>
      </c>
    </row>
    <row r="216" customFormat="false" ht="17.15" hidden="false" customHeight="false" outlineLevel="0" collapsed="false">
      <c r="A216" s="45" t="s">
        <v>816</v>
      </c>
      <c r="B216" s="14" t="s">
        <v>27</v>
      </c>
      <c r="C216" s="46" t="n">
        <f aca="false">PL!$C$215/PL!$C$214</f>
        <v>5.52635015390355</v>
      </c>
      <c r="D216" s="46" t="n">
        <f aca="false">PL!$D$215/PL!$D$214</f>
        <v>7.1737323358271</v>
      </c>
      <c r="E216" s="46" t="n">
        <f aca="false">PL!$E$215/PL!$E$214</f>
        <v>10.4179583600844</v>
      </c>
      <c r="F216" s="14"/>
      <c r="G216" s="46" t="n">
        <f aca="false">PL!$G$215/PL!$G$214</f>
        <v>13.0835736107255</v>
      </c>
      <c r="H216" s="46" t="n">
        <f aca="false">PL!$H$215/PL!$H$214</f>
        <v>10.408777702641</v>
      </c>
      <c r="I216" s="46" t="n">
        <f aca="false">PL!$I$215/PL!$I$214</f>
        <v>11.1628103455396</v>
      </c>
      <c r="J216" s="46" t="n">
        <f aca="false">PL!$J$215/PL!$J$214</f>
        <v>12.4057506957935</v>
      </c>
      <c r="K216" s="46" t="n">
        <f aca="false">PL!$K$215/PL!$K$214</f>
        <v>13.3031109467355</v>
      </c>
      <c r="L216" s="46" t="n">
        <f aca="false">PL!$L$215/PL!$L$214</f>
        <v>14.3853810235733</v>
      </c>
      <c r="M216" s="46" t="n">
        <f aca="false">PL!$M$215/PL!$M$214</f>
        <v>15.753704841515</v>
      </c>
      <c r="N216" s="14"/>
      <c r="O216" s="14"/>
    </row>
    <row r="217" customFormat="false" ht="17.15" hidden="false" customHeight="false" outlineLevel="0" collapsed="false">
      <c r="A217" s="0" t="s">
        <v>817</v>
      </c>
      <c r="B217" s="0" t="s">
        <v>27</v>
      </c>
      <c r="C217" s="34" t="n">
        <f aca="false">PL!$C$213/PL!$C$214</f>
        <v>5.52635015390355</v>
      </c>
      <c r="D217" s="34" t="n">
        <f aca="false">PL!$D$213/PL!$D$214</f>
        <v>7.1737323358271</v>
      </c>
      <c r="E217" s="34" t="n">
        <f aca="false">PL!$E$213/PL!$E$214</f>
        <v>10.4179583600844</v>
      </c>
      <c r="G217" s="34" t="n">
        <f aca="false">PL!$G$213/PL!$G$214</f>
        <v>12.9286900569645</v>
      </c>
      <c r="H217" s="34" t="n">
        <f aca="false">PL!$H$213/PL!$H$214</f>
        <v>9.38858257318702</v>
      </c>
      <c r="I217" s="34" t="n">
        <f aca="false">PL!$I$213/PL!$I$214</f>
        <v>9.49118486156573</v>
      </c>
      <c r="J217" s="34" t="n">
        <f aca="false">PL!$J$213/PL!$J$214</f>
        <v>10.0895272247227</v>
      </c>
      <c r="K217" s="34" t="n">
        <f aca="false">PL!$K$213/PL!$K$214</f>
        <v>10.4486546989148</v>
      </c>
      <c r="L217" s="34" t="n">
        <f aca="false">PL!$L$213/PL!$L$214</f>
        <v>11.1908548231848</v>
      </c>
      <c r="M217" s="34" t="n">
        <f aca="false">PL!$M$213/PL!$M$214</f>
        <v>12.4132238349699</v>
      </c>
    </row>
    <row r="218" customFormat="false" ht="17.15" hidden="false" customHeight="false" outlineLevel="0" collapsed="false">
      <c r="A218" s="0" t="s">
        <v>818</v>
      </c>
      <c r="B218" s="0" t="s">
        <v>27</v>
      </c>
      <c r="C218" s="34" t="n">
        <f aca="false">(PL!$C$213-PL!$C$210*(1-tax))/PL!$C$214</f>
        <v>5.33926775917445</v>
      </c>
      <c r="D218" s="34" t="n">
        <f aca="false">(PL!$D$213-PL!$D$210*(1-tax))/PL!$D$214</f>
        <v>5.67691812755503</v>
      </c>
      <c r="E218" s="34" t="n">
        <f aca="false">(PL!$E$213-PL!$E$210*(1-tax))/PL!$E$214</f>
        <v>4.96238832322067</v>
      </c>
      <c r="G218" s="34" t="n">
        <f aca="false">(PL!$G$213-PL!$G$210*(1-tax))/PL!$G$214</f>
        <v>7.47910017401752</v>
      </c>
      <c r="H218" s="34" t="n">
        <f aca="false">(PL!$H$213-PL!$H$210*(1-tax))/PL!$H$214</f>
        <v>9.38858257318702</v>
      </c>
      <c r="I218" s="34" t="n">
        <f aca="false">(PL!$I$213-PL!$I$210*(1-tax))/PL!$I$214</f>
        <v>9.49118486156573</v>
      </c>
      <c r="J218" s="34" t="n">
        <f aca="false">(PL!$J$213-PL!$J$210*(1-tax))/PL!$J$214</f>
        <v>10.0895272247227</v>
      </c>
      <c r="K218" s="34" t="n">
        <f aca="false">(PL!$K$213-PL!$K$210*(1-tax))/PL!$K$214</f>
        <v>10.4486546989148</v>
      </c>
      <c r="L218" s="34" t="n">
        <f aca="false">(PL!$L$213-PL!$L$210*(1-tax))/PL!$L$214</f>
        <v>11.1908548231848</v>
      </c>
      <c r="M218" s="34" t="n">
        <f aca="false">(PL!$M$213-PL!$M$210*(1-tax))/PL!$M$214</f>
        <v>12.4132238349699</v>
      </c>
      <c r="P218" s="5" t="s">
        <v>819</v>
      </c>
    </row>
    <row r="219" customFormat="false" ht="17.15" hidden="false" customHeight="false" outlineLevel="0" collapsed="false">
      <c r="A219" s="0" t="s">
        <v>820</v>
      </c>
      <c r="B219" s="0" t="s">
        <v>56</v>
      </c>
      <c r="H219" s="13" t="n">
        <f aca="false">PL!$H$216/PL!$G$216-1</f>
        <v>-0.204439244786443</v>
      </c>
      <c r="I219" s="13" t="n">
        <f aca="false">PL!$I$216/PL!$H$216-1</f>
        <v>0.0724419969798498</v>
      </c>
      <c r="J219" s="13" t="n">
        <f aca="false">PL!$J$216/PL!$I$216-1</f>
        <v>0.111346543726821</v>
      </c>
      <c r="K219" s="13" t="n">
        <f aca="false">PL!$K$216/PL!$J$216-1</f>
        <v>0.0723342160379177</v>
      </c>
      <c r="L219" s="13" t="n">
        <f aca="false">PL!$L$216/PL!$K$216-1</f>
        <v>0.0813546606632876</v>
      </c>
      <c r="M219" s="13" t="n">
        <f aca="false">PL!$M$216/PL!$L$216-1</f>
        <v>0.0951190528564689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3" style="0" width="11"/>
    <col collapsed="false" customWidth="true" hidden="false" outlineLevel="0" max="16" min="16" style="0" width="60"/>
  </cols>
  <sheetData>
    <row r="1" customFormat="false" ht="17.15" hidden="false" customHeight="false" outlineLevel="0" collapsed="false">
      <c r="A1" s="0" t="s">
        <v>827</v>
      </c>
    </row>
    <row r="4" customFormat="false" ht="15" hidden="false" customHeight="false" outlineLevel="0" collapsed="false">
      <c r="A4" s="3" t="s">
        <v>828</v>
      </c>
    </row>
    <row r="5" customFormat="false" ht="17.15" hidden="false" customHeight="false" outlineLevel="0" collapsed="false">
      <c r="A5" s="6" t="s">
        <v>16</v>
      </c>
      <c r="B5" s="23" t="s">
        <v>829</v>
      </c>
      <c r="C5" s="23" t="s">
        <v>830</v>
      </c>
      <c r="D5" s="23" t="s">
        <v>831</v>
      </c>
      <c r="E5" s="6" t="s">
        <v>832</v>
      </c>
      <c r="F5" s="6" t="s">
        <v>23</v>
      </c>
    </row>
    <row r="6" customFormat="false" ht="17.15" hidden="false" customHeight="false" outlineLevel="0" collapsed="false">
      <c r="A6" s="15" t="s">
        <v>833</v>
      </c>
      <c r="B6" s="47" t="n">
        <f aca="false">CF!$G$39</f>
        <v>258.258376066408</v>
      </c>
      <c r="C6" s="47" t="n">
        <f aca="false">CF!$G$69</f>
        <v>89.6117652783997</v>
      </c>
      <c r="D6" s="47" t="n">
        <f aca="false">CF!$G$99</f>
        <v>37.7129419226073</v>
      </c>
      <c r="E6" s="47" t="n">
        <f aca="false">w_A*B6+w_B*C6+w_C*D6</f>
        <v>118.798712136454</v>
      </c>
      <c r="F6" s="14" t="s">
        <v>834</v>
      </c>
    </row>
    <row r="7" customFormat="false" ht="17.15" hidden="false" customHeight="false" outlineLevel="0" collapsed="false">
      <c r="A7" s="0" t="s">
        <v>835</v>
      </c>
      <c r="B7" s="20" t="n">
        <f aca="false">CF!$G$40</f>
        <v>0</v>
      </c>
      <c r="C7" s="20" t="n">
        <f aca="false">CF!$G$70</f>
        <v>0</v>
      </c>
      <c r="D7" s="20" t="n">
        <f aca="false">CF!$G$100</f>
        <v>0</v>
      </c>
    </row>
    <row r="8" customFormat="false" ht="17.15" hidden="false" customHeight="false" outlineLevel="0" collapsed="false">
      <c r="A8" s="5" t="s">
        <v>836</v>
      </c>
      <c r="B8" s="0" t="str">
        <f aca="false">IF(B7&gt;=1,"需要舉債",IF(B7&gt;0,"幾乎不需要（新增借款少於 1）","不需要（現金足以支應）"))</f>
        <v>不需要（現金足以支應）</v>
      </c>
      <c r="C8" s="0" t="str">
        <f aca="false">IF(C7&gt;=1,"需要舉債",IF(C7&gt;0,"幾乎不需要（新增借款少於 1）","不需要（現金足以支應）"))</f>
        <v>不需要（現金足以支應）</v>
      </c>
      <c r="D8" s="0" t="str">
        <f aca="false">IF(D7&gt;=1,"需要舉債",IF(D7&gt;0,"幾乎不需要（新增借款少於 1）","不需要（現金足以支應）"))</f>
        <v>不需要（現金足以支應）</v>
      </c>
      <c r="F8" s="0" t="s">
        <v>837</v>
      </c>
    </row>
    <row r="9" customFormat="false" ht="17.15" hidden="false" customHeight="false" outlineLevel="0" collapsed="false">
      <c r="A9" s="5" t="s">
        <v>838</v>
      </c>
      <c r="B9" s="5" t="s">
        <v>839</v>
      </c>
      <c r="C9" s="5" t="s">
        <v>839</v>
      </c>
      <c r="D9" s="5" t="s">
        <v>839</v>
      </c>
    </row>
    <row r="10" customFormat="false" ht="17.15" hidden="false" customHeight="false" outlineLevel="0" collapsed="false">
      <c r="A10" s="0" t="s">
        <v>840</v>
      </c>
      <c r="B10" s="20" t="n">
        <f aca="false">CF!$I$29</f>
        <v>34.5691068179333</v>
      </c>
      <c r="C10" s="20" t="n">
        <f aca="false">CF!$I$59</f>
        <v>0.649713081543234</v>
      </c>
      <c r="D10" s="20" t="n">
        <f aca="false">CF!$I$89</f>
        <v>-9.55089244729184</v>
      </c>
    </row>
    <row r="11" customFormat="false" ht="15" hidden="false" customHeight="false" outlineLevel="0" collapsed="false">
      <c r="A11" s="27" t="s">
        <v>841</v>
      </c>
      <c r="B11" s="44" t="n">
        <f aca="false">ABS(CF!$G$41)+ABS(CF!$G$71)+ABS(CF!$G$101)</f>
        <v>0</v>
      </c>
      <c r="C11" s="28"/>
      <c r="D11" s="28"/>
      <c r="E11" s="28"/>
      <c r="F11" s="28"/>
    </row>
    <row r="14" customFormat="false" ht="19.4" hidden="false" customHeight="false" outlineLevel="0" collapsed="false">
      <c r="A14" s="35" t="s">
        <v>842</v>
      </c>
    </row>
    <row r="15" customFormat="false" ht="17.15" hidden="false" customHeight="false" outlineLevel="0" collapsed="false">
      <c r="A15" s="6" t="s">
        <v>16</v>
      </c>
      <c r="B15" s="6" t="s">
        <v>17</v>
      </c>
      <c r="C15" s="23" t="s">
        <v>542</v>
      </c>
      <c r="D15" s="23" t="s">
        <v>543</v>
      </c>
      <c r="E15" s="23" t="s">
        <v>631</v>
      </c>
      <c r="F15" s="23" t="s">
        <v>632</v>
      </c>
      <c r="G15" s="23" t="s">
        <v>633</v>
      </c>
      <c r="H15" s="23" t="s">
        <v>634</v>
      </c>
      <c r="I15" s="23" t="s">
        <v>635</v>
      </c>
      <c r="J15" s="23" t="s">
        <v>636</v>
      </c>
      <c r="K15" s="23" t="s">
        <v>637</v>
      </c>
      <c r="L15" s="23" t="s">
        <v>638</v>
      </c>
      <c r="M15" s="23" t="s">
        <v>639</v>
      </c>
      <c r="N15" s="23" t="s">
        <v>640</v>
      </c>
      <c r="O15" s="23" t="s">
        <v>641</v>
      </c>
      <c r="P15" s="6" t="s">
        <v>23</v>
      </c>
      <c r="R15" s="23" t="n">
        <v>2023</v>
      </c>
      <c r="S15" s="23" t="n">
        <v>2024</v>
      </c>
      <c r="T15" s="23" t="n">
        <v>2025</v>
      </c>
      <c r="U15" s="23" t="n">
        <v>2026</v>
      </c>
      <c r="V15" s="23" t="n">
        <v>2027</v>
      </c>
      <c r="W15" s="23" t="n">
        <v>2028</v>
      </c>
      <c r="X15" s="23" t="n">
        <v>2029</v>
      </c>
      <c r="Y15" s="23" t="n">
        <v>2030</v>
      </c>
      <c r="Z15" s="23" t="n">
        <v>2031</v>
      </c>
      <c r="AA15" s="23" t="n">
        <v>2032</v>
      </c>
    </row>
    <row r="16" customFormat="false" ht="15" hidden="false" customHeight="false" outlineLevel="0" collapsed="false">
      <c r="A16" s="5" t="s">
        <v>597</v>
      </c>
      <c r="B16" s="0" t="s">
        <v>91</v>
      </c>
      <c r="C16" s="40" t="n">
        <f aca="false">PL!$C$73</f>
        <v>59.248</v>
      </c>
      <c r="D16" s="40" t="n">
        <f aca="false">PL!$D$73</f>
        <v>77.67</v>
      </c>
      <c r="E16" s="40" t="n">
        <f aca="false">PL!$E$73</f>
        <v>113.587</v>
      </c>
      <c r="F16" s="40" t="n">
        <f aca="false">PL!$F$73</f>
        <v>29.2978415818184</v>
      </c>
      <c r="G16" s="40" t="n">
        <f aca="false">PL!$G$73</f>
        <v>142.884841581818</v>
      </c>
      <c r="H16" s="40" t="n">
        <f aca="false">PL!$H$73</f>
        <v>122.499284838756</v>
      </c>
      <c r="I16" s="40" t="n">
        <f aca="false">PL!$I$73</f>
        <v>145.298035817944</v>
      </c>
      <c r="J16" s="40" t="n">
        <f aca="false">PL!$J$73</f>
        <v>174.520379963047</v>
      </c>
      <c r="K16" s="40" t="n">
        <f aca="false">PL!$K$73</f>
        <v>199.001835653594</v>
      </c>
      <c r="L16" s="40" t="n">
        <f aca="false">PL!$L$73</f>
        <v>222.660079129503</v>
      </c>
      <c r="M16" s="40" t="n">
        <f aca="false">PL!$M$73</f>
        <v>246.509286112036</v>
      </c>
    </row>
    <row r="17" customFormat="false" ht="17.15" hidden="false" customHeight="false" outlineLevel="0" collapsed="false">
      <c r="A17" s="5" t="s">
        <v>843</v>
      </c>
      <c r="B17" s="0" t="s">
        <v>91</v>
      </c>
      <c r="C17" s="40" t="n">
        <f aca="false">PL!$C$61</f>
        <v>32.067</v>
      </c>
      <c r="D17" s="40" t="n">
        <f aca="false">PL!$D$61</f>
        <v>41.86</v>
      </c>
      <c r="E17" s="40" t="n">
        <f aca="false">PL!$E$61</f>
        <v>41.23880553332</v>
      </c>
      <c r="F17" s="40" t="n">
        <f aca="false">PL!$F$61</f>
        <v>15.5740390023468</v>
      </c>
      <c r="G17" s="40" t="n">
        <f aca="false">PL!$G$61</f>
        <v>56.8128445356668</v>
      </c>
      <c r="H17" s="40" t="n">
        <f aca="false">PL!$H$61</f>
        <v>78.7771455603241</v>
      </c>
      <c r="I17" s="40" t="n">
        <f aca="false">PL!$I$61</f>
        <v>114.577549112487</v>
      </c>
      <c r="J17" s="40" t="n">
        <f aca="false">PL!$J$61</f>
        <v>144.228458494185</v>
      </c>
      <c r="K17" s="40" t="n">
        <f aca="false">PL!$K$61</f>
        <v>173.948407816128</v>
      </c>
      <c r="L17" s="40" t="n">
        <f aca="false">PL!$L$61</f>
        <v>196.32786032093</v>
      </c>
      <c r="M17" s="40" t="n">
        <f aca="false">PL!$M$61</f>
        <v>210.362394060399</v>
      </c>
    </row>
    <row r="18" customFormat="false" ht="15" hidden="false" customHeight="false" outlineLevel="0" collapsed="false">
      <c r="A18" s="5" t="s">
        <v>844</v>
      </c>
      <c r="B18" s="0" t="s">
        <v>91</v>
      </c>
      <c r="C18" s="40" t="n">
        <f aca="false">Q!$D$50</f>
        <v>22.011</v>
      </c>
      <c r="D18" s="40" t="n">
        <f aca="false">Q!$E$50</f>
        <v>19.467</v>
      </c>
      <c r="E18" s="40" t="n">
        <f aca="false">Q!$O$50</f>
        <v>15.476</v>
      </c>
      <c r="F18" s="40" t="n">
        <f aca="false">sbc_r*Seg!$F$30</f>
        <v>6.10840379988781</v>
      </c>
      <c r="G18" s="40" t="n">
        <f aca="false">CF!$E$18+CF!$F$18</f>
        <v>21.5844037998878</v>
      </c>
      <c r="H18" s="40" t="n">
        <f aca="false">sbc_r*Seg!$H$30</f>
        <v>23.9593478177642</v>
      </c>
      <c r="I18" s="40" t="n">
        <f aca="false">sbc_r*Seg!$I$30</f>
        <v>27.3862513776917</v>
      </c>
      <c r="J18" s="40" t="n">
        <f aca="false">sbc_r*Seg!$J$30</f>
        <v>30.6897363665789</v>
      </c>
      <c r="K18" s="40" t="n">
        <f aca="false">sbc_r*Seg!$K$30</f>
        <v>33.5933378743487</v>
      </c>
      <c r="L18" s="40" t="n">
        <f aca="false">sbc_r*Seg!$L$30</f>
        <v>36.2361165213771</v>
      </c>
      <c r="M18" s="40" t="n">
        <f aca="false">sbc_r*Seg!$M$30</f>
        <v>38.6265799637581</v>
      </c>
    </row>
    <row r="19" customFormat="false" ht="17.15" hidden="false" customHeight="false" outlineLevel="0" collapsed="false">
      <c r="A19" s="5" t="s">
        <v>845</v>
      </c>
      <c r="B19" s="0" t="s">
        <v>91</v>
      </c>
      <c r="C19" s="40" t="n">
        <f aca="false">Q!$D$46-CF!$C$16-CF!$C$17-CF!$C$18</f>
        <v>2.551</v>
      </c>
      <c r="D19" s="40" t="n">
        <f aca="false">Q!$E$46-CF!$D$16-CF!$D$17-CF!$D$18</f>
        <v>0.51700000000001</v>
      </c>
      <c r="E19" s="40" t="n">
        <f aca="false">Q!$O$46-CF!$E$16-CF!$E$17-CF!$E$18</f>
        <v>-56.46080553332</v>
      </c>
      <c r="F19" s="40" t="n">
        <f aca="false">oth_q4*Seg!$F$30</f>
        <v>21.3789233499816</v>
      </c>
      <c r="G19" s="40" t="n">
        <f aca="false">CF!$E$19+CF!$F$19</f>
        <v>-35.0818821833384</v>
      </c>
      <c r="H19" s="40" t="n">
        <f aca="false">oth_r*Seg!$H$30</f>
        <v>11.5223379717677</v>
      </c>
      <c r="I19" s="40" t="n">
        <f aca="false">oth_r*Seg!$I$30</f>
        <v>13.1703770300288</v>
      </c>
      <c r="J19" s="40" t="n">
        <f aca="false">oth_r*Seg!$J$30</f>
        <v>14.7590626159694</v>
      </c>
      <c r="K19" s="40" t="n">
        <f aca="false">oth_r*Seg!$K$30</f>
        <v>16.1554394356695</v>
      </c>
      <c r="L19" s="40" t="n">
        <f aca="false">oth_r*Seg!$L$30</f>
        <v>17.4263834107411</v>
      </c>
      <c r="M19" s="40" t="n">
        <f aca="false">oth_r*Seg!$M$30</f>
        <v>18.575985975125</v>
      </c>
      <c r="P19" s="8" t="s">
        <v>846</v>
      </c>
    </row>
    <row r="20" customFormat="false" ht="15" hidden="false" customHeight="false" outlineLevel="0" collapsed="false">
      <c r="A20" s="3" t="s">
        <v>604</v>
      </c>
      <c r="B20" s="8" t="s">
        <v>91</v>
      </c>
      <c r="C20" s="40" t="n">
        <f aca="false">Q!$D$46</f>
        <v>115.877</v>
      </c>
      <c r="D20" s="40" t="n">
        <f aca="false">Q!$E$46</f>
        <v>139.514</v>
      </c>
      <c r="E20" s="40" t="n">
        <f aca="false">Q!$O$46</f>
        <v>113.841</v>
      </c>
      <c r="F20" s="40" t="n">
        <f aca="false">CF!$F$16+CF!$F$17+CF!$F$18+CF!$F$19</f>
        <v>72.3592077340346</v>
      </c>
      <c r="G20" s="40" t="n">
        <f aca="false">CF!$E$20+CF!$F$20</f>
        <v>186.200207734035</v>
      </c>
      <c r="H20" s="40" t="n">
        <f aca="false">CF!$H$16+CF!$H$17+CF!$H$18+CF!$H$19</f>
        <v>236.758116188612</v>
      </c>
      <c r="I20" s="40" t="n">
        <f aca="false">CF!$I$16+CF!$I$17+CF!$I$18+CF!$I$19</f>
        <v>300.432213338151</v>
      </c>
      <c r="J20" s="40" t="n">
        <f aca="false">CF!$J$16+CF!$J$17+CF!$J$18+CF!$J$19</f>
        <v>364.19763743978</v>
      </c>
      <c r="K20" s="40" t="n">
        <f aca="false">CF!$K$16+CF!$K$17+CF!$K$18+CF!$K$19</f>
        <v>422.69902077974</v>
      </c>
      <c r="L20" s="40" t="n">
        <f aca="false">CF!$L$16+CF!$L$17+CF!$L$18+CF!$L$19</f>
        <v>472.650439382551</v>
      </c>
      <c r="M20" s="40" t="n">
        <f aca="false">CF!$M$16+CF!$M$17+CF!$M$18+CF!$M$19</f>
        <v>514.074246111318</v>
      </c>
    </row>
    <row r="21" customFormat="false" ht="17.15" hidden="false" customHeight="false" outlineLevel="0" collapsed="false">
      <c r="A21" s="5" t="s">
        <v>847</v>
      </c>
      <c r="B21" s="0" t="s">
        <v>91</v>
      </c>
      <c r="C21" s="40" t="n">
        <f aca="false">Thesis!$C$35</f>
        <v>25.2781053077374</v>
      </c>
      <c r="D21" s="40" t="n">
        <f aca="false">Thesis!$D$35</f>
        <v>69.5686316310026</v>
      </c>
      <c r="E21" s="40" t="n">
        <f aca="false">Thesis!$E$35</f>
        <v>123.196049161056</v>
      </c>
      <c r="F21" s="40" t="n">
        <f aca="false">Thesis!$F$35</f>
        <v>28.695619283164</v>
      </c>
      <c r="G21" s="40" t="n">
        <f aca="false">Thesis!$G$35</f>
        <v>151.89166844422</v>
      </c>
      <c r="H21" s="40" t="n">
        <f aca="false">Thesis!$H$35</f>
        <v>174.63089405695</v>
      </c>
      <c r="I21" s="40" t="n">
        <f aca="false">Thesis!$I$35</f>
        <v>180.87098618945</v>
      </c>
      <c r="J21" s="40" t="n">
        <f aca="false">Thesis!$J$35</f>
        <v>185.16481558745</v>
      </c>
      <c r="K21" s="40" t="n">
        <f aca="false">Thesis!$K$35</f>
        <v>136.513371689237</v>
      </c>
      <c r="L21" s="40" t="n">
        <f aca="false">Thesis!$L$35</f>
        <v>113.624904179024</v>
      </c>
      <c r="M21" s="40" t="n">
        <f aca="false">Thesis!$M$35</f>
        <v>112.222580066845</v>
      </c>
    </row>
    <row r="22" customFormat="false" ht="17.15" hidden="false" customHeight="false" outlineLevel="0" collapsed="false">
      <c r="A22" s="5" t="s">
        <v>848</v>
      </c>
      <c r="B22" s="0" t="s">
        <v>91</v>
      </c>
      <c r="C22" s="40" t="n">
        <f aca="false">cx_awso*Seg!$C$28</f>
        <v>21.0469989286053</v>
      </c>
      <c r="D22" s="40" t="n">
        <f aca="false">cx_awso*Seg!$D$28</f>
        <v>24.0042459822698</v>
      </c>
      <c r="E22" s="40" t="n">
        <f aca="false">cx_awso*Seg!$E$28</f>
        <v>21.9204583888104</v>
      </c>
      <c r="F22" s="40" t="n">
        <f aca="false">cx_awso*Seg!$F$28</f>
        <v>7.39593206711017</v>
      </c>
      <c r="G22" s="40" t="n">
        <f aca="false">CF!$E$22+CF!$F$22</f>
        <v>29.3163904559206</v>
      </c>
      <c r="H22" s="40" t="n">
        <f aca="false">cx_awso*Seg!$H$28</f>
        <v>32.9920830336434</v>
      </c>
      <c r="I22" s="40" t="n">
        <f aca="false">cx_awso*Seg!$I$28</f>
        <v>36.62957281938</v>
      </c>
      <c r="J22" s="40" t="n">
        <f aca="false">cx_awso*Seg!$J$28</f>
        <v>40.1140234584536</v>
      </c>
      <c r="K22" s="40" t="n">
        <f aca="false">cx_awso*Seg!$K$28</f>
        <v>43.3231453351299</v>
      </c>
      <c r="L22" s="40" t="n">
        <f aca="false">cx_awso*Seg!$L$28</f>
        <v>46.7889969619403</v>
      </c>
      <c r="M22" s="40" t="n">
        <f aca="false">cx_awso*Seg!$M$28</f>
        <v>50.5321167188955</v>
      </c>
    </row>
    <row r="23" customFormat="false" ht="17.15" hidden="false" customHeight="false" outlineLevel="0" collapsed="false">
      <c r="A23" s="5" t="s">
        <v>849</v>
      </c>
      <c r="B23" s="0" t="s">
        <v>91</v>
      </c>
      <c r="C23" s="40" t="n">
        <f aca="false">Q!$D$48-CF!$C$21-CF!$C$22</f>
        <v>31.3328957636573</v>
      </c>
      <c r="D23" s="40" t="n">
        <f aca="false">Q!$E$48-CF!$D$21-CF!$D$22</f>
        <v>34.7471223867276</v>
      </c>
      <c r="E23" s="40" t="n">
        <f aca="false">Q!$O$48-CF!$E$21-CF!$E$22</f>
        <v>27.0714924501335</v>
      </c>
      <c r="F23" s="40" t="n">
        <f aca="false">cx_rt*Seg!$F$20</f>
        <v>11.7204486497259</v>
      </c>
      <c r="G23" s="40" t="n">
        <f aca="false">CF!$E$23+CF!$F$23</f>
        <v>38.7919410998594</v>
      </c>
      <c r="H23" s="40" t="n">
        <f aca="false">cx_rt*Seg!$H$20</f>
        <v>42.8420898770438</v>
      </c>
      <c r="I23" s="40" t="n">
        <f aca="false">cx_rt*Seg!$I$20</f>
        <v>46.7625475113878</v>
      </c>
      <c r="J23" s="40" t="n">
        <f aca="false">cx_rt*Seg!$J$20</f>
        <v>50.4185886328199</v>
      </c>
      <c r="K23" s="40" t="n">
        <f aca="false">cx_rt*Seg!$K$20</f>
        <v>53.670701222965</v>
      </c>
      <c r="L23" s="40" t="n">
        <f aca="false">cx_rt*Seg!$L$20</f>
        <v>57.1488603007655</v>
      </c>
      <c r="M23" s="40" t="n">
        <f aca="false">cx_rt*Seg!$M$20</f>
        <v>60.8699498760758</v>
      </c>
    </row>
    <row r="24" customFormat="false" ht="15" hidden="false" customHeight="false" outlineLevel="0" collapsed="false">
      <c r="A24" s="3" t="s">
        <v>850</v>
      </c>
      <c r="B24" s="8" t="s">
        <v>91</v>
      </c>
      <c r="C24" s="40" t="n">
        <f aca="false">Q!$D$48</f>
        <v>77.658</v>
      </c>
      <c r="D24" s="40" t="n">
        <f aca="false">Q!$E$48</f>
        <v>128.32</v>
      </c>
      <c r="E24" s="40" t="n">
        <f aca="false">Q!$O$48</f>
        <v>172.188</v>
      </c>
      <c r="F24" s="40" t="n">
        <f aca="false">CF!$F$21+CF!$F$22+CF!$F$23</f>
        <v>47.812</v>
      </c>
      <c r="G24" s="40" t="n">
        <f aca="false">CF!$E$24+CF!$F$24</f>
        <v>220</v>
      </c>
      <c r="H24" s="40" t="n">
        <f aca="false">CF!$H$21+CF!$H$22+CF!$H$23</f>
        <v>250.465066967637</v>
      </c>
      <c r="I24" s="40" t="n">
        <f aca="false">CF!$I$21+CF!$I$22+CF!$I$23</f>
        <v>264.263106520218</v>
      </c>
      <c r="J24" s="40" t="n">
        <f aca="false">CF!$J$21+CF!$J$22+CF!$J$23</f>
        <v>275.697427678724</v>
      </c>
      <c r="K24" s="40" t="n">
        <f aca="false">CF!$K$21+CF!$K$22+CF!$K$23</f>
        <v>233.507218247332</v>
      </c>
      <c r="L24" s="40" t="n">
        <f aca="false">CF!$L$21+CF!$L$22+CF!$L$23</f>
        <v>217.56276144173</v>
      </c>
      <c r="M24" s="40" t="n">
        <f aca="false">CF!$M$21+CF!$M$22+CF!$M$23</f>
        <v>223.624646661817</v>
      </c>
    </row>
    <row r="25" customFormat="false" ht="17.15" hidden="false" customHeight="false" outlineLevel="0" collapsed="false">
      <c r="A25" s="5" t="s">
        <v>612</v>
      </c>
      <c r="B25" s="0" t="s">
        <v>91</v>
      </c>
      <c r="C25" s="40" t="n">
        <f aca="false">Q!$D$52</f>
        <v>2.043</v>
      </c>
      <c r="D25" s="40" t="n">
        <f aca="false">Q!$E$52</f>
        <v>1.557</v>
      </c>
      <c r="E25" s="40" t="n">
        <f aca="false">Q!$O$52</f>
        <v>1.296</v>
      </c>
      <c r="F25" s="40" t="n">
        <f aca="false">lease_pr/4</f>
        <v>0.4</v>
      </c>
      <c r="G25" s="40" t="n">
        <f aca="false">CF!$E$25+CF!$F$25</f>
        <v>1.696</v>
      </c>
      <c r="H25" s="40" t="n">
        <f aca="false">lease_pr</f>
        <v>1.6</v>
      </c>
      <c r="I25" s="40" t="n">
        <f aca="false">lease_pr</f>
        <v>1.6</v>
      </c>
      <c r="J25" s="40" t="n">
        <f aca="false">lease_pr</f>
        <v>1.6</v>
      </c>
      <c r="K25" s="40" t="n">
        <f aca="false">lease_pr</f>
        <v>1.6</v>
      </c>
      <c r="L25" s="40" t="n">
        <f aca="false">lease_pr</f>
        <v>1.6</v>
      </c>
      <c r="M25" s="40" t="n">
        <f aca="false">lease_pr</f>
        <v>1.6</v>
      </c>
      <c r="P25" s="8" t="s">
        <v>851</v>
      </c>
    </row>
    <row r="26" customFormat="false" ht="15" hidden="false" customHeight="false" outlineLevel="0" collapsed="false">
      <c r="A26" s="48" t="s">
        <v>852</v>
      </c>
      <c r="B26" s="14" t="s">
        <v>91</v>
      </c>
      <c r="C26" s="49" t="n">
        <f aca="false">CF!$C$20-CF!$C$24-CF!$C$25</f>
        <v>36.176</v>
      </c>
      <c r="D26" s="49" t="n">
        <f aca="false">CF!$D$20-CF!$D$24-CF!$D$25</f>
        <v>9.63700000000002</v>
      </c>
      <c r="E26" s="49" t="n">
        <f aca="false">CF!$E$20-CF!$E$24-CF!$E$25</f>
        <v>-59.643</v>
      </c>
      <c r="F26" s="49" t="n">
        <f aca="false">CF!$F$20-CF!$F$24-CF!$F$25</f>
        <v>24.1472077340346</v>
      </c>
      <c r="G26" s="49" t="n">
        <f aca="false">CF!$G$20-CF!$G$24-CF!$G$25</f>
        <v>-35.4957922659654</v>
      </c>
      <c r="H26" s="49" t="n">
        <f aca="false">CF!$H$20-CF!$H$24-CF!$H$25</f>
        <v>-15.3069507790254</v>
      </c>
      <c r="I26" s="49" t="n">
        <f aca="false">CF!$I$20-CF!$I$24-CF!$I$25</f>
        <v>34.5691068179333</v>
      </c>
      <c r="J26" s="49" t="n">
        <f aca="false">CF!$J$20-CF!$J$24-CF!$J$25</f>
        <v>86.9002097610569</v>
      </c>
      <c r="K26" s="49" t="n">
        <f aca="false">CF!$K$20-CF!$K$24-CF!$K$25</f>
        <v>187.591802532408</v>
      </c>
      <c r="L26" s="49" t="n">
        <f aca="false">CF!$L$20-CF!$L$24-CF!$L$25</f>
        <v>253.48767794082</v>
      </c>
      <c r="M26" s="49" t="n">
        <f aca="false">CF!$M$20-CF!$M$24-CF!$M$25</f>
        <v>288.849599449501</v>
      </c>
      <c r="N26" s="14"/>
      <c r="O26" s="14"/>
    </row>
    <row r="27" customFormat="false" ht="17.15" hidden="false" customHeight="false" outlineLevel="0" collapsed="false">
      <c r="A27" s="5" t="s">
        <v>853</v>
      </c>
      <c r="B27" s="0" t="s">
        <v>91</v>
      </c>
      <c r="C27" s="40" t="n">
        <f aca="false">dps*PL!$C$74</f>
        <v>0</v>
      </c>
      <c r="D27" s="40" t="n">
        <f aca="false">dps*PL!$D$74</f>
        <v>0</v>
      </c>
      <c r="E27" s="40" t="n">
        <f aca="false">dps*PL!$E$74</f>
        <v>0</v>
      </c>
      <c r="F27" s="40" t="n">
        <f aca="false">0</f>
        <v>0</v>
      </c>
      <c r="G27" s="40" t="n">
        <f aca="false">dps*PL!$G$74</f>
        <v>0</v>
      </c>
      <c r="H27" s="40" t="n">
        <f aca="false">dps*PL!$H$74</f>
        <v>0</v>
      </c>
      <c r="I27" s="40" t="n">
        <f aca="false">dps*PL!$I$74</f>
        <v>0</v>
      </c>
      <c r="J27" s="40" t="n">
        <f aca="false">dps*PL!$J$74</f>
        <v>0</v>
      </c>
      <c r="K27" s="40" t="n">
        <f aca="false">dps*PL!$K$74</f>
        <v>0</v>
      </c>
      <c r="L27" s="40" t="n">
        <f aca="false">dps*PL!$L$74</f>
        <v>0</v>
      </c>
      <c r="M27" s="40" t="n">
        <f aca="false">dps*PL!$M$74</f>
        <v>0</v>
      </c>
      <c r="P27" s="8" t="s">
        <v>854</v>
      </c>
    </row>
    <row r="28" customFormat="false" ht="17.15" hidden="false" customHeight="false" outlineLevel="0" collapsed="false">
      <c r="A28" s="5" t="s">
        <v>855</v>
      </c>
      <c r="B28" s="0" t="s">
        <v>91</v>
      </c>
      <c r="C28" s="40" t="n">
        <f aca="false">0</f>
        <v>0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  <c r="H28" s="40" t="n">
        <f aca="false">0</f>
        <v>0</v>
      </c>
      <c r="I28" s="40" t="n">
        <f aca="false">0</f>
        <v>0</v>
      </c>
      <c r="J28" s="40" t="n">
        <f aca="false">0</f>
        <v>0</v>
      </c>
      <c r="K28" s="40" t="n">
        <f aca="false">0</f>
        <v>0</v>
      </c>
      <c r="L28" s="40" t="n">
        <f aca="false">0</f>
        <v>0</v>
      </c>
      <c r="M28" s="40" t="n">
        <f aca="false">0</f>
        <v>0</v>
      </c>
      <c r="P28" s="8" t="s">
        <v>856</v>
      </c>
    </row>
    <row r="29" customFormat="false" ht="15" hidden="false" customHeight="false" outlineLevel="0" collapsed="false">
      <c r="A29" s="3" t="s">
        <v>857</v>
      </c>
      <c r="B29" s="8" t="s">
        <v>91</v>
      </c>
      <c r="C29" s="40" t="n">
        <f aca="false">CF!$C$26-CF!$C$27</f>
        <v>36.176</v>
      </c>
      <c r="D29" s="40" t="n">
        <f aca="false">CF!$D$26-CF!$D$27</f>
        <v>9.63700000000002</v>
      </c>
      <c r="E29" s="40" t="n">
        <f aca="false">CF!$E$26-CF!$E$27</f>
        <v>-59.643</v>
      </c>
      <c r="F29" s="40" t="n">
        <f aca="false">CF!$F$26-CF!$F$27</f>
        <v>24.1472077340346</v>
      </c>
      <c r="G29" s="40" t="n">
        <f aca="false">CF!$G$26-CF!$G$27</f>
        <v>-35.4957922659654</v>
      </c>
      <c r="H29" s="40" t="n">
        <f aca="false">CF!$H$26-CF!$H$27</f>
        <v>-15.3069507790254</v>
      </c>
      <c r="I29" s="40" t="n">
        <f aca="false">CF!$I$26-CF!$I$27</f>
        <v>34.5691068179333</v>
      </c>
      <c r="J29" s="40" t="n">
        <f aca="false">CF!$J$26-CF!$J$27</f>
        <v>86.9002097610569</v>
      </c>
      <c r="K29" s="40" t="n">
        <f aca="false">CF!$K$26-CF!$K$27</f>
        <v>187.591802532408</v>
      </c>
      <c r="L29" s="40" t="n">
        <f aca="false">CF!$L$26-CF!$L$27</f>
        <v>253.48767794082</v>
      </c>
      <c r="M29" s="40" t="n">
        <f aca="false">CF!$M$26-CF!$M$27</f>
        <v>288.849599449501</v>
      </c>
    </row>
    <row r="30" customFormat="false" ht="17.15" hidden="false" customHeight="false" outlineLevel="0" collapsed="false">
      <c r="A30" s="5" t="s">
        <v>858</v>
      </c>
      <c r="B30" s="0" t="s">
        <v>91</v>
      </c>
      <c r="E30" s="40" t="n">
        <f aca="false">Q!$O$55</f>
        <v>63.753</v>
      </c>
      <c r="F30" s="40" t="n">
        <f aca="false">inv_q4</f>
        <v>0</v>
      </c>
      <c r="G30" s="40" t="n">
        <f aca="false">CF!$E$30+CF!$F$30</f>
        <v>63.753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0</v>
      </c>
      <c r="M30" s="41" t="n">
        <v>0</v>
      </c>
    </row>
    <row r="31" customFormat="false" ht="17.15" hidden="false" customHeight="false" outlineLevel="0" collapsed="false">
      <c r="A31" s="5" t="s">
        <v>859</v>
      </c>
      <c r="B31" s="0" t="s">
        <v>91</v>
      </c>
      <c r="F31" s="40" t="n">
        <f aca="false">cash_q3</f>
        <v>114.226</v>
      </c>
      <c r="G31" s="40" t="n">
        <f aca="false">cash_q3</f>
        <v>114.226</v>
      </c>
      <c r="H31" s="40" t="n">
        <f aca="false">CF!$G$34</f>
        <v>138.373207734035</v>
      </c>
      <c r="I31" s="40" t="n">
        <f aca="false">CF!$H$34</f>
        <v>123.066256955009</v>
      </c>
      <c r="J31" s="40" t="n">
        <f aca="false">CF!$I$34</f>
        <v>157.635363772943</v>
      </c>
      <c r="K31" s="40" t="n">
        <f aca="false">CF!$J$34</f>
        <v>244.535573533999</v>
      </c>
      <c r="L31" s="40" t="n">
        <f aca="false">CF!$K$34</f>
        <v>432.127376066408</v>
      </c>
      <c r="M31" s="40" t="n">
        <f aca="false">CF!$L$34</f>
        <v>685.615054007228</v>
      </c>
    </row>
    <row r="32" customFormat="false" ht="15" hidden="false" customHeight="false" outlineLevel="0" collapsed="false">
      <c r="A32" s="5" t="s">
        <v>860</v>
      </c>
      <c r="B32" s="0" t="s">
        <v>91</v>
      </c>
      <c r="F32" s="40" t="n">
        <f aca="false">CF!$F$31+CF!$F$29-CF!$F$28-CF!$F$30</f>
        <v>138.373207734035</v>
      </c>
      <c r="H32" s="40" t="n">
        <f aca="false">CF!$H$31+CF!$H$29-CF!$H$28-CF!$H$30</f>
        <v>123.066256955009</v>
      </c>
      <c r="I32" s="40" t="n">
        <f aca="false">CF!$I$31+CF!$I$29-CF!$I$28-CF!$I$30</f>
        <v>157.635363772943</v>
      </c>
      <c r="J32" s="40" t="n">
        <f aca="false">CF!$J$31+CF!$J$29-CF!$J$28-CF!$J$30</f>
        <v>244.535573533999</v>
      </c>
      <c r="K32" s="40" t="n">
        <f aca="false">CF!$K$31+CF!$K$29-CF!$K$28-CF!$K$30</f>
        <v>432.127376066408</v>
      </c>
      <c r="L32" s="40" t="n">
        <f aca="false">CF!$L$31+CF!$L$29-CF!$L$28-CF!$L$30</f>
        <v>685.615054007228</v>
      </c>
      <c r="M32" s="40" t="n">
        <f aca="false">CF!$M$31+CF!$M$29-CF!$M$28-CF!$M$30</f>
        <v>974.46465345673</v>
      </c>
    </row>
    <row r="33" customFormat="false" ht="17.15" hidden="false" customHeight="false" outlineLevel="0" collapsed="false">
      <c r="A33" s="5" t="s">
        <v>861</v>
      </c>
      <c r="B33" s="0" t="s">
        <v>91</v>
      </c>
      <c r="F33" s="40" t="n">
        <f aca="false">MAX(0,min_cash-CF!$F$32)</f>
        <v>0</v>
      </c>
      <c r="G33" s="40" t="n">
        <f aca="false">CF!$F$33</f>
        <v>0</v>
      </c>
      <c r="H33" s="40" t="n">
        <f aca="false">MAX(0,min_cash-CF!$H$32)</f>
        <v>0</v>
      </c>
      <c r="I33" s="40" t="n">
        <f aca="false">MAX(0,min_cash-CF!$I$32)</f>
        <v>0</v>
      </c>
      <c r="J33" s="40" t="n">
        <f aca="false">MAX(0,min_cash-CF!$J$32)</f>
        <v>0</v>
      </c>
      <c r="K33" s="40" t="n">
        <f aca="false">MAX(0,min_cash-CF!$K$32)</f>
        <v>0</v>
      </c>
      <c r="L33" s="40" t="n">
        <f aca="false">MAX(0,min_cash-CF!$L$32)</f>
        <v>0</v>
      </c>
      <c r="M33" s="40" t="n">
        <f aca="false">MAX(0,min_cash-CF!$M$32)</f>
        <v>0</v>
      </c>
      <c r="P33" s="5" t="s">
        <v>862</v>
      </c>
    </row>
    <row r="34" customFormat="false" ht="15" hidden="false" customHeight="false" outlineLevel="0" collapsed="false">
      <c r="A34" s="5" t="s">
        <v>863</v>
      </c>
      <c r="B34" s="0" t="s">
        <v>91</v>
      </c>
      <c r="D34" s="40" t="n">
        <f aca="false">Q!$E$63</f>
        <v>123.029</v>
      </c>
      <c r="E34" s="40" t="n">
        <f aca="false">Q!$M$63</f>
        <v>114.226</v>
      </c>
      <c r="F34" s="40" t="n">
        <f aca="false">CF!$F$32+CF!$F$33</f>
        <v>138.373207734035</v>
      </c>
      <c r="G34" s="40" t="n">
        <f aca="false">CF!$F$34</f>
        <v>138.373207734035</v>
      </c>
      <c r="H34" s="40" t="n">
        <f aca="false">CF!$H$32+CF!$H$33</f>
        <v>123.066256955009</v>
      </c>
      <c r="I34" s="40" t="n">
        <f aca="false">CF!$I$32+CF!$I$33</f>
        <v>157.635363772943</v>
      </c>
      <c r="J34" s="40" t="n">
        <f aca="false">CF!$J$32+CF!$J$33</f>
        <v>244.535573533999</v>
      </c>
      <c r="K34" s="40" t="n">
        <f aca="false">CF!$K$32+CF!$K$33</f>
        <v>432.127376066408</v>
      </c>
      <c r="L34" s="40" t="n">
        <f aca="false">CF!$L$32+CF!$L$33</f>
        <v>685.615054007228</v>
      </c>
      <c r="M34" s="40" t="n">
        <f aca="false">CF!$M$32+CF!$M$33</f>
        <v>974.46465345673</v>
      </c>
    </row>
    <row r="35" customFormat="false" ht="15" hidden="false" customHeight="false" outlineLevel="0" collapsed="false">
      <c r="A35" s="5" t="s">
        <v>864</v>
      </c>
      <c r="B35" s="0" t="s">
        <v>91</v>
      </c>
      <c r="D35" s="40" t="n">
        <f aca="false">Q!$E$64</f>
        <v>68.836</v>
      </c>
      <c r="E35" s="40" t="n">
        <f aca="false">Q!$M$64</f>
        <v>181.09</v>
      </c>
      <c r="F35" s="40" t="n">
        <f aca="false">debt_q3+CF!$F$33</f>
        <v>181.09</v>
      </c>
      <c r="G35" s="40" t="n">
        <f aca="false">CF!$F$35</f>
        <v>181.09</v>
      </c>
      <c r="H35" s="40" t="n">
        <f aca="false">CF!$G$35+CF!$H$33</f>
        <v>181.09</v>
      </c>
      <c r="I35" s="40" t="n">
        <f aca="false">CF!$H$35+CF!$I$33</f>
        <v>181.09</v>
      </c>
      <c r="J35" s="40" t="n">
        <f aca="false">CF!$I$35+CF!$J$33</f>
        <v>181.09</v>
      </c>
      <c r="K35" s="40" t="n">
        <f aca="false">CF!$J$35+CF!$K$33</f>
        <v>181.09</v>
      </c>
      <c r="L35" s="40" t="n">
        <f aca="false">CF!$K$35+CF!$L$33</f>
        <v>181.09</v>
      </c>
      <c r="M35" s="40" t="n">
        <f aca="false">CF!$L$35+CF!$M$33</f>
        <v>181.09</v>
      </c>
    </row>
    <row r="36" customFormat="false" ht="15" hidden="false" customHeight="false" outlineLevel="0" collapsed="false">
      <c r="A36" s="5" t="s">
        <v>865</v>
      </c>
      <c r="B36" s="0" t="s">
        <v>91</v>
      </c>
      <c r="D36" s="40" t="n">
        <f aca="false">CF!$D$35-CF!$D$34</f>
        <v>-54.193</v>
      </c>
      <c r="E36" s="40" t="n">
        <f aca="false">CF!$E$35-CF!$E$34</f>
        <v>66.864</v>
      </c>
      <c r="F36" s="40" t="n">
        <f aca="false">CF!$F$35-CF!$F$34</f>
        <v>42.7167922659654</v>
      </c>
      <c r="G36" s="40" t="n">
        <f aca="false">CF!$G$35-CF!$G$34</f>
        <v>42.7167922659654</v>
      </c>
      <c r="H36" s="40" t="n">
        <f aca="false">CF!$H$35-CF!$H$34</f>
        <v>58.0237430449908</v>
      </c>
      <c r="I36" s="40" t="n">
        <f aca="false">CF!$I$35-CF!$I$34</f>
        <v>23.4546362270575</v>
      </c>
      <c r="J36" s="40" t="n">
        <f aca="false">CF!$J$35-CF!$J$34</f>
        <v>-63.4455735339994</v>
      </c>
      <c r="K36" s="40" t="n">
        <f aca="false">CF!$K$35-CF!$K$34</f>
        <v>-251.037376066408</v>
      </c>
      <c r="L36" s="40" t="n">
        <f aca="false">CF!$L$35-CF!$L$34</f>
        <v>-504.525054007228</v>
      </c>
      <c r="M36" s="40" t="n">
        <f aca="false">CF!$M$35-CF!$M$34</f>
        <v>-793.37465345673</v>
      </c>
    </row>
    <row r="37" customFormat="false" ht="17.15" hidden="false" customHeight="false" outlineLevel="0" collapsed="false">
      <c r="A37" s="5" t="s">
        <v>866</v>
      </c>
      <c r="B37" s="0" t="s">
        <v>91</v>
      </c>
      <c r="F37" s="40" t="n">
        <f aca="false">debt_q3*kd_book*0.25</f>
        <v>1.94993832879634</v>
      </c>
      <c r="H37" s="40" t="n">
        <f aca="false">debt_q3*kd_book+(CF!$G$35-debt_q3)*kd_new</f>
        <v>7.79975331518538</v>
      </c>
      <c r="I37" s="40" t="n">
        <f aca="false">debt_q3*kd_book+(CF!$H$35-debt_q3)*kd_new</f>
        <v>7.79975331518538</v>
      </c>
      <c r="J37" s="40" t="n">
        <f aca="false">debt_q3*kd_book+(CF!$I$35-debt_q3)*kd_new</f>
        <v>7.79975331518538</v>
      </c>
      <c r="K37" s="40" t="n">
        <f aca="false">debt_q3*kd_book+(CF!$J$35-debt_q3)*kd_new</f>
        <v>7.79975331518538</v>
      </c>
      <c r="L37" s="40" t="n">
        <f aca="false">debt_q3*kd_book+(CF!$K$35-debt_q3)*kd_new</f>
        <v>7.79975331518538</v>
      </c>
      <c r="M37" s="40" t="n">
        <f aca="false">debt_q3*kd_book+(CF!$L$35-debt_q3)*kd_new</f>
        <v>7.79975331518538</v>
      </c>
    </row>
    <row r="38" customFormat="false" ht="17.15" hidden="false" customHeight="false" outlineLevel="0" collapsed="false">
      <c r="A38" s="5" t="s">
        <v>867</v>
      </c>
      <c r="B38" s="0" t="s">
        <v>91</v>
      </c>
      <c r="F38" s="40" t="n">
        <f aca="false">cash_q3*y_cash*0.25</f>
        <v>1.187</v>
      </c>
      <c r="H38" s="40" t="n">
        <f aca="false">CF!$G$34*y_cash</f>
        <v>5.75172018910928</v>
      </c>
      <c r="I38" s="40" t="n">
        <f aca="false">CF!$H$34*y_cash</f>
        <v>5.11546047329315</v>
      </c>
      <c r="J38" s="40" t="n">
        <f aca="false">CF!$I$34*y_cash</f>
        <v>6.5523848090096</v>
      </c>
      <c r="K38" s="40" t="n">
        <f aca="false">CF!$J$34*y_cash</f>
        <v>10.1645413753386</v>
      </c>
      <c r="L38" s="40" t="n">
        <f aca="false">CF!$K$34*y_cash</f>
        <v>17.9621170448348</v>
      </c>
      <c r="M38" s="40" t="n">
        <f aca="false">CF!$L$34*y_cash</f>
        <v>28.4987680250234</v>
      </c>
    </row>
    <row r="39" customFormat="false" ht="17.15" hidden="false" customHeight="false" outlineLevel="0" collapsed="false">
      <c r="A39" s="48" t="s">
        <v>868</v>
      </c>
      <c r="B39" s="14" t="s">
        <v>91</v>
      </c>
      <c r="C39" s="14"/>
      <c r="D39" s="14"/>
      <c r="E39" s="14"/>
      <c r="F39" s="14"/>
      <c r="G39" s="49" t="n">
        <f aca="false">SUM(CF!$G$29:$K$29)</f>
        <v>258.258376066408</v>
      </c>
      <c r="H39" s="14"/>
      <c r="I39" s="14"/>
      <c r="J39" s="14"/>
      <c r="K39" s="14"/>
      <c r="L39" s="14"/>
      <c r="M39" s="14"/>
      <c r="N39" s="14"/>
      <c r="O39" s="14"/>
    </row>
    <row r="40" customFormat="false" ht="17.15" hidden="false" customHeight="false" outlineLevel="0" collapsed="false">
      <c r="A40" s="0" t="s">
        <v>835</v>
      </c>
      <c r="B40" s="0" t="s">
        <v>91</v>
      </c>
      <c r="G40" s="40" t="n">
        <f aca="false">SUM(CF!$G$33:$K$33)</f>
        <v>0</v>
      </c>
    </row>
    <row r="41" customFormat="false" ht="17.15" hidden="false" customHeight="false" outlineLevel="0" collapsed="false">
      <c r="A41" s="27" t="s">
        <v>869</v>
      </c>
      <c r="B41" s="28" t="s">
        <v>91</v>
      </c>
      <c r="C41" s="28"/>
      <c r="D41" s="28"/>
      <c r="E41" s="28"/>
      <c r="F41" s="28"/>
      <c r="G41" s="43" t="n">
        <f aca="false">CF!$G$39-(CF!$G$29+CF!$H$29+CF!$I$29+CF!$J$29+CF!$K$29)</f>
        <v>0</v>
      </c>
      <c r="H41" s="28"/>
      <c r="I41" s="28"/>
      <c r="J41" s="28"/>
      <c r="K41" s="28"/>
      <c r="L41" s="28"/>
      <c r="M41" s="28"/>
      <c r="N41" s="28"/>
      <c r="O41" s="28"/>
    </row>
    <row r="44" customFormat="false" ht="19.4" hidden="false" customHeight="false" outlineLevel="0" collapsed="false">
      <c r="A44" s="35" t="s">
        <v>870</v>
      </c>
    </row>
    <row r="45" customFormat="false" ht="17.15" hidden="false" customHeight="false" outlineLevel="0" collapsed="false">
      <c r="A45" s="6" t="s">
        <v>16</v>
      </c>
      <c r="B45" s="6" t="s">
        <v>17</v>
      </c>
      <c r="C45" s="23" t="s">
        <v>542</v>
      </c>
      <c r="D45" s="23" t="s">
        <v>543</v>
      </c>
      <c r="E45" s="23" t="s">
        <v>631</v>
      </c>
      <c r="F45" s="23" t="s">
        <v>632</v>
      </c>
      <c r="G45" s="23" t="s">
        <v>633</v>
      </c>
      <c r="H45" s="23" t="s">
        <v>634</v>
      </c>
      <c r="I45" s="23" t="s">
        <v>635</v>
      </c>
      <c r="J45" s="23" t="s">
        <v>636</v>
      </c>
      <c r="K45" s="23" t="s">
        <v>637</v>
      </c>
      <c r="L45" s="23" t="s">
        <v>638</v>
      </c>
      <c r="M45" s="23" t="s">
        <v>639</v>
      </c>
      <c r="N45" s="23" t="s">
        <v>640</v>
      </c>
      <c r="O45" s="23" t="s">
        <v>641</v>
      </c>
      <c r="P45" s="6" t="s">
        <v>23</v>
      </c>
      <c r="R45" s="23" t="n">
        <v>2023</v>
      </c>
      <c r="S45" s="23" t="n">
        <v>2024</v>
      </c>
      <c r="T45" s="23" t="n">
        <v>2025</v>
      </c>
      <c r="U45" s="23" t="n">
        <v>2026</v>
      </c>
      <c r="V45" s="23" t="n">
        <v>2027</v>
      </c>
      <c r="W45" s="23" t="n">
        <v>2028</v>
      </c>
      <c r="X45" s="23" t="n">
        <v>2029</v>
      </c>
      <c r="Y45" s="23" t="n">
        <v>2030</v>
      </c>
      <c r="Z45" s="23" t="n">
        <v>2031</v>
      </c>
      <c r="AA45" s="23" t="n">
        <v>2032</v>
      </c>
    </row>
    <row r="46" customFormat="false" ht="15" hidden="false" customHeight="false" outlineLevel="0" collapsed="false">
      <c r="A46" s="5" t="s">
        <v>597</v>
      </c>
      <c r="B46" s="0" t="s">
        <v>91</v>
      </c>
      <c r="C46" s="40" t="n">
        <f aca="false">PL!$C$143</f>
        <v>59.248</v>
      </c>
      <c r="D46" s="40" t="n">
        <f aca="false">PL!$D$143</f>
        <v>77.67</v>
      </c>
      <c r="E46" s="40" t="n">
        <f aca="false">PL!$E$143</f>
        <v>113.587</v>
      </c>
      <c r="F46" s="40" t="n">
        <f aca="false">PL!$F$143</f>
        <v>27.9588645443204</v>
      </c>
      <c r="G46" s="40" t="n">
        <f aca="false">PL!$G$143</f>
        <v>141.54586454432</v>
      </c>
      <c r="H46" s="40" t="n">
        <f aca="false">PL!$H$143</f>
        <v>108.012496434175</v>
      </c>
      <c r="I46" s="40" t="n">
        <f aca="false">PL!$I$143</f>
        <v>115.032613457794</v>
      </c>
      <c r="J46" s="40" t="n">
        <f aca="false">PL!$J$143</f>
        <v>127.827288402577</v>
      </c>
      <c r="K46" s="40" t="n">
        <f aca="false">PL!$K$143</f>
        <v>137.505562037064</v>
      </c>
      <c r="L46" s="40" t="n">
        <f aca="false">PL!$L$143</f>
        <v>150.338027276658</v>
      </c>
      <c r="M46" s="40" t="n">
        <f aca="false">PL!$M$143</f>
        <v>167.491510164494</v>
      </c>
    </row>
    <row r="47" customFormat="false" ht="17.15" hidden="false" customHeight="false" outlineLevel="0" collapsed="false">
      <c r="A47" s="5" t="s">
        <v>843</v>
      </c>
      <c r="B47" s="0" t="s">
        <v>91</v>
      </c>
      <c r="C47" s="40" t="n">
        <f aca="false">PL!$C$131</f>
        <v>32.067</v>
      </c>
      <c r="D47" s="40" t="n">
        <f aca="false">PL!$D$131</f>
        <v>41.86</v>
      </c>
      <c r="E47" s="40" t="n">
        <f aca="false">PL!$E$131</f>
        <v>41.23880553332</v>
      </c>
      <c r="F47" s="40" t="n">
        <f aca="false">PL!$F$131</f>
        <v>15.5740390023468</v>
      </c>
      <c r="G47" s="40" t="n">
        <f aca="false">PL!$G$131</f>
        <v>56.8128445356668</v>
      </c>
      <c r="H47" s="40" t="n">
        <f aca="false">PL!$H$131</f>
        <v>78.7771455603241</v>
      </c>
      <c r="I47" s="40" t="n">
        <f aca="false">PL!$I$131</f>
        <v>114.930756142734</v>
      </c>
      <c r="J47" s="40" t="n">
        <f aca="false">PL!$J$131</f>
        <v>144.950446317972</v>
      </c>
      <c r="K47" s="40" t="n">
        <f aca="false">PL!$K$131</f>
        <v>175.039176433454</v>
      </c>
      <c r="L47" s="40" t="n">
        <f aca="false">PL!$L$131</f>
        <v>197.676468176405</v>
      </c>
      <c r="M47" s="40" t="n">
        <f aca="false">PL!$M$131</f>
        <v>211.857899598634</v>
      </c>
    </row>
    <row r="48" customFormat="false" ht="15" hidden="false" customHeight="false" outlineLevel="0" collapsed="false">
      <c r="A48" s="5" t="s">
        <v>844</v>
      </c>
      <c r="B48" s="0" t="s">
        <v>91</v>
      </c>
      <c r="C48" s="40" t="n">
        <f aca="false">Q!$D$50</f>
        <v>22.011</v>
      </c>
      <c r="D48" s="40" t="n">
        <f aca="false">Q!$E$50</f>
        <v>19.467</v>
      </c>
      <c r="E48" s="40" t="n">
        <f aca="false">Q!$O$50</f>
        <v>15.476</v>
      </c>
      <c r="F48" s="40" t="n">
        <f aca="false">sbc_r*Seg!$F$65</f>
        <v>6.06814867296587</v>
      </c>
      <c r="G48" s="40" t="n">
        <f aca="false">CF!$E$48+CF!$F$48</f>
        <v>21.5441486729659</v>
      </c>
      <c r="H48" s="40" t="n">
        <f aca="false">sbc_r*Seg!$H$65</f>
        <v>23.5270236245786</v>
      </c>
      <c r="I48" s="40" t="n">
        <f aca="false">sbc_r*Seg!$I$65</f>
        <v>26.509280604404</v>
      </c>
      <c r="J48" s="40" t="n">
        <f aca="false">sbc_r*Seg!$J$65</f>
        <v>29.3657010341642</v>
      </c>
      <c r="K48" s="40" t="n">
        <f aca="false">sbc_r*Seg!$K$65</f>
        <v>31.8879450313334</v>
      </c>
      <c r="L48" s="40" t="n">
        <f aca="false">sbc_r*Seg!$L$65</f>
        <v>34.2800342950813</v>
      </c>
      <c r="M48" s="40" t="n">
        <f aca="false">sbc_r*Seg!$M$65</f>
        <v>36.5508729661877</v>
      </c>
    </row>
    <row r="49" customFormat="false" ht="17.15" hidden="false" customHeight="false" outlineLevel="0" collapsed="false">
      <c r="A49" s="5" t="s">
        <v>845</v>
      </c>
      <c r="B49" s="0" t="s">
        <v>91</v>
      </c>
      <c r="C49" s="40" t="n">
        <f aca="false">Q!$D$46-CF!$C$46-CF!$C$47-CF!$C$48</f>
        <v>2.551</v>
      </c>
      <c r="D49" s="40" t="n">
        <f aca="false">Q!$E$46-CF!$D$46-CF!$D$47-CF!$D$48</f>
        <v>0.51700000000001</v>
      </c>
      <c r="E49" s="40" t="n">
        <f aca="false">Q!$O$46-CF!$E$46-CF!$E$47-CF!$E$48</f>
        <v>-56.46080553332</v>
      </c>
      <c r="F49" s="40" t="n">
        <f aca="false">oth_q4*Seg!$F$65</f>
        <v>21.2380336345827</v>
      </c>
      <c r="G49" s="40" t="n">
        <f aca="false">CF!$E$49+CF!$F$49</f>
        <v>-35.2227718987373</v>
      </c>
      <c r="H49" s="40" t="n">
        <f aca="false">oth_r*Seg!$H$65</f>
        <v>11.3144280776777</v>
      </c>
      <c r="I49" s="40" t="n">
        <f aca="false">oth_r*Seg!$I$65</f>
        <v>12.7486312580637</v>
      </c>
      <c r="J49" s="40" t="n">
        <f aca="false">oth_r*Seg!$J$65</f>
        <v>14.1223181309909</v>
      </c>
      <c r="K49" s="40" t="n">
        <f aca="false">oth_r*Seg!$K$65</f>
        <v>15.3352955460563</v>
      </c>
      <c r="L49" s="40" t="n">
        <f aca="false">oth_r*Seg!$L$65</f>
        <v>16.4856799874519</v>
      </c>
      <c r="M49" s="40" t="n">
        <f aca="false">oth_r*Seg!$M$65</f>
        <v>17.5777535633631</v>
      </c>
      <c r="P49" s="8" t="s">
        <v>846</v>
      </c>
    </row>
    <row r="50" customFormat="false" ht="15" hidden="false" customHeight="false" outlineLevel="0" collapsed="false">
      <c r="A50" s="3" t="s">
        <v>604</v>
      </c>
      <c r="B50" s="8" t="s">
        <v>91</v>
      </c>
      <c r="C50" s="40" t="n">
        <f aca="false">Q!$D$46</f>
        <v>115.877</v>
      </c>
      <c r="D50" s="40" t="n">
        <f aca="false">Q!$E$46</f>
        <v>139.514</v>
      </c>
      <c r="E50" s="40" t="n">
        <f aca="false">Q!$O$46</f>
        <v>113.841</v>
      </c>
      <c r="F50" s="40" t="n">
        <f aca="false">CF!$F$46+CF!$F$47+CF!$F$48+CF!$F$49</f>
        <v>70.8390858542158</v>
      </c>
      <c r="G50" s="40" t="n">
        <f aca="false">CF!$E$50+CF!$F$50</f>
        <v>184.680085854216</v>
      </c>
      <c r="H50" s="40" t="n">
        <f aca="false">CF!$H$46+CF!$H$47+CF!$H$48+CF!$H$49</f>
        <v>221.631093696755</v>
      </c>
      <c r="I50" s="40" t="n">
        <f aca="false">CF!$I$46+CF!$I$47+CF!$I$48+CF!$I$49</f>
        <v>269.221281462996</v>
      </c>
      <c r="J50" s="40" t="n">
        <f aca="false">CF!$J$46+CF!$J$47+CF!$J$48+CF!$J$49</f>
        <v>316.265753885704</v>
      </c>
      <c r="K50" s="40" t="n">
        <f aca="false">CF!$K$46+CF!$K$47+CF!$K$48+CF!$K$49</f>
        <v>359.767979047908</v>
      </c>
      <c r="L50" s="40" t="n">
        <f aca="false">CF!$L$46+CF!$L$47+CF!$L$48+CF!$L$49</f>
        <v>398.780209735596</v>
      </c>
      <c r="M50" s="40" t="n">
        <f aca="false">CF!$M$46+CF!$M$47+CF!$M$48+CF!$M$49</f>
        <v>433.478036292679</v>
      </c>
    </row>
    <row r="51" customFormat="false" ht="17.15" hidden="false" customHeight="false" outlineLevel="0" collapsed="false">
      <c r="A51" s="5" t="s">
        <v>847</v>
      </c>
      <c r="B51" s="0" t="s">
        <v>91</v>
      </c>
      <c r="C51" s="40" t="n">
        <f aca="false">Thesis!$C$101</f>
        <v>25.2781053077374</v>
      </c>
      <c r="D51" s="40" t="n">
        <f aca="false">Thesis!$D$101</f>
        <v>69.5686316310026</v>
      </c>
      <c r="E51" s="40" t="n">
        <f aca="false">Thesis!$E$101</f>
        <v>123.196049161056</v>
      </c>
      <c r="F51" s="40" t="n">
        <f aca="false">Thesis!$F$101</f>
        <v>28.695619283164</v>
      </c>
      <c r="G51" s="40" t="n">
        <f aca="false">Thesis!$G$101</f>
        <v>151.89166844422</v>
      </c>
      <c r="H51" s="40" t="n">
        <f aca="false">Thesis!$H$101</f>
        <v>177.245913338435</v>
      </c>
      <c r="I51" s="40" t="n">
        <f aca="false">Thesis!$I$101</f>
        <v>183.579448050685</v>
      </c>
      <c r="J51" s="40" t="n">
        <f aca="false">Thesis!$J$101</f>
        <v>187.873277448685</v>
      </c>
      <c r="K51" s="40" t="n">
        <f aca="false">Thesis!$K$101</f>
        <v>138.407037940551</v>
      </c>
      <c r="L51" s="40" t="n">
        <f aca="false">Thesis!$L$101</f>
        <v>114.703774820416</v>
      </c>
      <c r="M51" s="40" t="n">
        <f aca="false">Thesis!$M$101</f>
        <v>112.986707313624</v>
      </c>
    </row>
    <row r="52" customFormat="false" ht="17.15" hidden="false" customHeight="false" outlineLevel="0" collapsed="false">
      <c r="A52" s="5" t="s">
        <v>848</v>
      </c>
      <c r="B52" s="0" t="s">
        <v>91</v>
      </c>
      <c r="C52" s="40" t="n">
        <f aca="false">cx_awso*Seg!$C$63</f>
        <v>21.0469989286053</v>
      </c>
      <c r="D52" s="40" t="n">
        <f aca="false">cx_awso*Seg!$D$63</f>
        <v>24.0042459822698</v>
      </c>
      <c r="E52" s="40" t="n">
        <f aca="false">cx_awso*Seg!$E$63</f>
        <v>21.9204583888104</v>
      </c>
      <c r="F52" s="40" t="n">
        <f aca="false">cx_awso*Seg!$F$63</f>
        <v>7.39593206711017</v>
      </c>
      <c r="G52" s="40" t="n">
        <f aca="false">CF!$E$52+CF!$F$52</f>
        <v>29.3163904559206</v>
      </c>
      <c r="H52" s="40" t="n">
        <f aca="false">cx_awso*Seg!$H$63</f>
        <v>32.9920830336434</v>
      </c>
      <c r="I52" s="40" t="n">
        <f aca="false">cx_awso*Seg!$I$63</f>
        <v>36.62957281938</v>
      </c>
      <c r="J52" s="40" t="n">
        <f aca="false">cx_awso*Seg!$J$63</f>
        <v>40.1140234584536</v>
      </c>
      <c r="K52" s="40" t="n">
        <f aca="false">cx_awso*Seg!$K$63</f>
        <v>43.3231453351299</v>
      </c>
      <c r="L52" s="40" t="n">
        <f aca="false">cx_awso*Seg!$L$63</f>
        <v>46.7889969619403</v>
      </c>
      <c r="M52" s="40" t="n">
        <f aca="false">cx_awso*Seg!$M$63</f>
        <v>50.5321167188955</v>
      </c>
    </row>
    <row r="53" customFormat="false" ht="17.15" hidden="false" customHeight="false" outlineLevel="0" collapsed="false">
      <c r="A53" s="5" t="s">
        <v>849</v>
      </c>
      <c r="B53" s="0" t="s">
        <v>91</v>
      </c>
      <c r="C53" s="40" t="n">
        <f aca="false">Q!$D$48-CF!$C$51-CF!$C$52</f>
        <v>31.3328957636573</v>
      </c>
      <c r="D53" s="40" t="n">
        <f aca="false">Q!$E$48-CF!$D$51-CF!$D$52</f>
        <v>34.7471223867276</v>
      </c>
      <c r="E53" s="40" t="n">
        <f aca="false">Q!$O$48-CF!$E$51-CF!$E$52</f>
        <v>27.0714924501335</v>
      </c>
      <c r="F53" s="40" t="n">
        <f aca="false">cx_rt*Seg!$F$55</f>
        <v>11.7204486497259</v>
      </c>
      <c r="G53" s="40" t="n">
        <f aca="false">CF!$E$53+CF!$F$53</f>
        <v>38.7919410998594</v>
      </c>
      <c r="H53" s="40" t="n">
        <f aca="false">cx_rt*Seg!$H$55</f>
        <v>42.8420898770438</v>
      </c>
      <c r="I53" s="40" t="n">
        <f aca="false">cx_rt*Seg!$I$55</f>
        <v>46.7625475113878</v>
      </c>
      <c r="J53" s="40" t="n">
        <f aca="false">cx_rt*Seg!$J$55</f>
        <v>50.4185886328199</v>
      </c>
      <c r="K53" s="40" t="n">
        <f aca="false">cx_rt*Seg!$K$55</f>
        <v>53.670701222965</v>
      </c>
      <c r="L53" s="40" t="n">
        <f aca="false">cx_rt*Seg!$L$55</f>
        <v>57.1488603007655</v>
      </c>
      <c r="M53" s="40" t="n">
        <f aca="false">cx_rt*Seg!$M$55</f>
        <v>60.8699498760758</v>
      </c>
    </row>
    <row r="54" customFormat="false" ht="15" hidden="false" customHeight="false" outlineLevel="0" collapsed="false">
      <c r="A54" s="3" t="s">
        <v>850</v>
      </c>
      <c r="B54" s="8" t="s">
        <v>91</v>
      </c>
      <c r="C54" s="40" t="n">
        <f aca="false">Q!$D$48</f>
        <v>77.658</v>
      </c>
      <c r="D54" s="40" t="n">
        <f aca="false">Q!$E$48</f>
        <v>128.32</v>
      </c>
      <c r="E54" s="40" t="n">
        <f aca="false">Q!$O$48</f>
        <v>172.188</v>
      </c>
      <c r="F54" s="40" t="n">
        <f aca="false">CF!$F$51+CF!$F$52+CF!$F$53</f>
        <v>47.812</v>
      </c>
      <c r="G54" s="40" t="n">
        <f aca="false">CF!$E$54+CF!$F$54</f>
        <v>220</v>
      </c>
      <c r="H54" s="40" t="n">
        <f aca="false">CF!$H$51+CF!$H$52+CF!$H$53</f>
        <v>253.080086249122</v>
      </c>
      <c r="I54" s="40" t="n">
        <f aca="false">CF!$I$51+CF!$I$52+CF!$I$53</f>
        <v>266.971568381453</v>
      </c>
      <c r="J54" s="40" t="n">
        <f aca="false">CF!$J$51+CF!$J$52+CF!$J$53</f>
        <v>278.405889539959</v>
      </c>
      <c r="K54" s="40" t="n">
        <f aca="false">CF!$K$51+CF!$K$52+CF!$K$53</f>
        <v>235.400884498646</v>
      </c>
      <c r="L54" s="40" t="n">
        <f aca="false">CF!$L$51+CF!$L$52+CF!$L$53</f>
        <v>218.641632083122</v>
      </c>
      <c r="M54" s="40" t="n">
        <f aca="false">CF!$M$51+CF!$M$52+CF!$M$53</f>
        <v>224.388773908596</v>
      </c>
    </row>
    <row r="55" customFormat="false" ht="17.15" hidden="false" customHeight="false" outlineLevel="0" collapsed="false">
      <c r="A55" s="5" t="s">
        <v>612</v>
      </c>
      <c r="B55" s="0" t="s">
        <v>91</v>
      </c>
      <c r="C55" s="40" t="n">
        <f aca="false">Q!$D$52</f>
        <v>2.043</v>
      </c>
      <c r="D55" s="40" t="n">
        <f aca="false">Q!$E$52</f>
        <v>1.557</v>
      </c>
      <c r="E55" s="40" t="n">
        <f aca="false">Q!$O$52</f>
        <v>1.296</v>
      </c>
      <c r="F55" s="40" t="n">
        <f aca="false">lease_pr/4</f>
        <v>0.4</v>
      </c>
      <c r="G55" s="40" t="n">
        <f aca="false">CF!$E$55+CF!$F$55</f>
        <v>1.696</v>
      </c>
      <c r="H55" s="40" t="n">
        <f aca="false">lease_pr</f>
        <v>1.6</v>
      </c>
      <c r="I55" s="40" t="n">
        <f aca="false">lease_pr</f>
        <v>1.6</v>
      </c>
      <c r="J55" s="40" t="n">
        <f aca="false">lease_pr</f>
        <v>1.6</v>
      </c>
      <c r="K55" s="40" t="n">
        <f aca="false">lease_pr</f>
        <v>1.6</v>
      </c>
      <c r="L55" s="40" t="n">
        <f aca="false">lease_pr</f>
        <v>1.6</v>
      </c>
      <c r="M55" s="40" t="n">
        <f aca="false">lease_pr</f>
        <v>1.6</v>
      </c>
      <c r="P55" s="8" t="s">
        <v>851</v>
      </c>
    </row>
    <row r="56" customFormat="false" ht="15" hidden="false" customHeight="false" outlineLevel="0" collapsed="false">
      <c r="A56" s="48" t="s">
        <v>852</v>
      </c>
      <c r="B56" s="14" t="s">
        <v>91</v>
      </c>
      <c r="C56" s="49" t="n">
        <f aca="false">CF!$C$50-CF!$C$54-CF!$C$55</f>
        <v>36.176</v>
      </c>
      <c r="D56" s="49" t="n">
        <f aca="false">CF!$D$50-CF!$D$54-CF!$D$55</f>
        <v>9.63700000000002</v>
      </c>
      <c r="E56" s="49" t="n">
        <f aca="false">CF!$E$50-CF!$E$54-CF!$E$55</f>
        <v>-59.643</v>
      </c>
      <c r="F56" s="49" t="n">
        <f aca="false">CF!$F$50-CF!$F$54-CF!$F$55</f>
        <v>22.6270858542157</v>
      </c>
      <c r="G56" s="49" t="n">
        <f aca="false">CF!$G$50-CF!$G$54-CF!$G$55</f>
        <v>-37.0159141457843</v>
      </c>
      <c r="H56" s="49" t="n">
        <f aca="false">CF!$H$50-CF!$H$54-CF!$H$55</f>
        <v>-33.0489925523671</v>
      </c>
      <c r="I56" s="49" t="n">
        <f aca="false">CF!$I$50-CF!$I$54-CF!$I$55</f>
        <v>0.649713081543234</v>
      </c>
      <c r="J56" s="49" t="n">
        <f aca="false">CF!$J$50-CF!$J$54-CF!$J$55</f>
        <v>36.2598643457456</v>
      </c>
      <c r="K56" s="49" t="n">
        <f aca="false">CF!$K$50-CF!$K$54-CF!$K$55</f>
        <v>122.767094549262</v>
      </c>
      <c r="L56" s="49" t="n">
        <f aca="false">CF!$L$50-CF!$L$54-CF!$L$55</f>
        <v>178.538577652474</v>
      </c>
      <c r="M56" s="49" t="n">
        <f aca="false">CF!$M$50-CF!$M$54-CF!$M$55</f>
        <v>207.489262384084</v>
      </c>
      <c r="N56" s="14"/>
      <c r="O56" s="14"/>
    </row>
    <row r="57" customFormat="false" ht="17.15" hidden="false" customHeight="false" outlineLevel="0" collapsed="false">
      <c r="A57" s="5" t="s">
        <v>853</v>
      </c>
      <c r="B57" s="0" t="s">
        <v>91</v>
      </c>
      <c r="C57" s="40" t="n">
        <f aca="false">dps*PL!$C$144</f>
        <v>0</v>
      </c>
      <c r="D57" s="40" t="n">
        <f aca="false">dps*PL!$D$144</f>
        <v>0</v>
      </c>
      <c r="E57" s="40" t="n">
        <f aca="false">dps*PL!$E$144</f>
        <v>0</v>
      </c>
      <c r="F57" s="40" t="n">
        <f aca="false">0</f>
        <v>0</v>
      </c>
      <c r="G57" s="40" t="n">
        <f aca="false">dps*PL!$G$144</f>
        <v>0</v>
      </c>
      <c r="H57" s="40" t="n">
        <f aca="false">dps*PL!$H$144</f>
        <v>0</v>
      </c>
      <c r="I57" s="40" t="n">
        <f aca="false">dps*PL!$I$144</f>
        <v>0</v>
      </c>
      <c r="J57" s="40" t="n">
        <f aca="false">dps*PL!$J$144</f>
        <v>0</v>
      </c>
      <c r="K57" s="40" t="n">
        <f aca="false">dps*PL!$K$144</f>
        <v>0</v>
      </c>
      <c r="L57" s="40" t="n">
        <f aca="false">dps*PL!$L$144</f>
        <v>0</v>
      </c>
      <c r="M57" s="40" t="n">
        <f aca="false">dps*PL!$M$144</f>
        <v>0</v>
      </c>
      <c r="P57" s="8" t="s">
        <v>854</v>
      </c>
    </row>
    <row r="58" customFormat="false" ht="17.15" hidden="false" customHeight="false" outlineLevel="0" collapsed="false">
      <c r="A58" s="5" t="s">
        <v>855</v>
      </c>
      <c r="B58" s="0" t="s">
        <v>91</v>
      </c>
      <c r="C58" s="40" t="n">
        <f aca="false">0</f>
        <v>0</v>
      </c>
      <c r="D58" s="40" t="n">
        <f aca="false">0</f>
        <v>0</v>
      </c>
      <c r="E58" s="40" t="n">
        <f aca="false">0</f>
        <v>0</v>
      </c>
      <c r="F58" s="40" t="n">
        <f aca="false">0</f>
        <v>0</v>
      </c>
      <c r="G58" s="40" t="n">
        <f aca="false">0</f>
        <v>0</v>
      </c>
      <c r="H58" s="40" t="n">
        <f aca="false">0</f>
        <v>0</v>
      </c>
      <c r="I58" s="40" t="n">
        <f aca="false">0</f>
        <v>0</v>
      </c>
      <c r="J58" s="40" t="n">
        <f aca="false">0</f>
        <v>0</v>
      </c>
      <c r="K58" s="40" t="n">
        <f aca="false">0</f>
        <v>0</v>
      </c>
      <c r="L58" s="40" t="n">
        <f aca="false">0</f>
        <v>0</v>
      </c>
      <c r="M58" s="40" t="n">
        <f aca="false">0</f>
        <v>0</v>
      </c>
      <c r="P58" s="8" t="s">
        <v>856</v>
      </c>
    </row>
    <row r="59" customFormat="false" ht="15" hidden="false" customHeight="false" outlineLevel="0" collapsed="false">
      <c r="A59" s="3" t="s">
        <v>857</v>
      </c>
      <c r="B59" s="8" t="s">
        <v>91</v>
      </c>
      <c r="C59" s="40" t="n">
        <f aca="false">CF!$C$56-CF!$C$57</f>
        <v>36.176</v>
      </c>
      <c r="D59" s="40" t="n">
        <f aca="false">CF!$D$56-CF!$D$57</f>
        <v>9.63700000000002</v>
      </c>
      <c r="E59" s="40" t="n">
        <f aca="false">CF!$E$56-CF!$E$57</f>
        <v>-59.643</v>
      </c>
      <c r="F59" s="40" t="n">
        <f aca="false">CF!$F$56-CF!$F$57</f>
        <v>22.6270858542157</v>
      </c>
      <c r="G59" s="40" t="n">
        <f aca="false">CF!$G$56-CF!$G$57</f>
        <v>-37.0159141457843</v>
      </c>
      <c r="H59" s="40" t="n">
        <f aca="false">CF!$H$56-CF!$H$57</f>
        <v>-33.0489925523671</v>
      </c>
      <c r="I59" s="40" t="n">
        <f aca="false">CF!$I$56-CF!$I$57</f>
        <v>0.649713081543234</v>
      </c>
      <c r="J59" s="40" t="n">
        <f aca="false">CF!$J$56-CF!$J$57</f>
        <v>36.2598643457456</v>
      </c>
      <c r="K59" s="40" t="n">
        <f aca="false">CF!$K$56-CF!$K$57</f>
        <v>122.767094549262</v>
      </c>
      <c r="L59" s="40" t="n">
        <f aca="false">CF!$L$56-CF!$L$57</f>
        <v>178.538577652474</v>
      </c>
      <c r="M59" s="40" t="n">
        <f aca="false">CF!$M$56-CF!$M$57</f>
        <v>207.489262384084</v>
      </c>
    </row>
    <row r="60" customFormat="false" ht="17.15" hidden="false" customHeight="false" outlineLevel="0" collapsed="false">
      <c r="A60" s="5" t="s">
        <v>858</v>
      </c>
      <c r="B60" s="0" t="s">
        <v>91</v>
      </c>
      <c r="E60" s="40" t="n">
        <f aca="false">Q!$O$55</f>
        <v>63.753</v>
      </c>
      <c r="F60" s="40" t="n">
        <f aca="false">inv_q4</f>
        <v>0</v>
      </c>
      <c r="G60" s="40" t="n">
        <f aca="false">CF!$E$60+CF!$F$60</f>
        <v>63.753</v>
      </c>
      <c r="H60" s="41" t="n">
        <v>0</v>
      </c>
      <c r="I60" s="41" t="n">
        <v>0</v>
      </c>
      <c r="J60" s="41" t="n">
        <v>0</v>
      </c>
      <c r="K60" s="41" t="n">
        <v>0</v>
      </c>
      <c r="L60" s="41" t="n">
        <v>0</v>
      </c>
      <c r="M60" s="41" t="n">
        <v>0</v>
      </c>
    </row>
    <row r="61" customFormat="false" ht="17.15" hidden="false" customHeight="false" outlineLevel="0" collapsed="false">
      <c r="A61" s="5" t="s">
        <v>859</v>
      </c>
      <c r="B61" s="0" t="s">
        <v>91</v>
      </c>
      <c r="F61" s="40" t="n">
        <f aca="false">cash_q3</f>
        <v>114.226</v>
      </c>
      <c r="G61" s="40" t="n">
        <f aca="false">cash_q3</f>
        <v>114.226</v>
      </c>
      <c r="H61" s="40" t="n">
        <f aca="false">CF!$G$64</f>
        <v>136.853085854216</v>
      </c>
      <c r="I61" s="40" t="n">
        <f aca="false">CF!$H$64</f>
        <v>103.804093301849</v>
      </c>
      <c r="J61" s="40" t="n">
        <f aca="false">CF!$I$64</f>
        <v>104.453806383392</v>
      </c>
      <c r="K61" s="40" t="n">
        <f aca="false">CF!$J$64</f>
        <v>140.713670729137</v>
      </c>
      <c r="L61" s="40" t="n">
        <f aca="false">CF!$K$64</f>
        <v>263.4807652784</v>
      </c>
      <c r="M61" s="40" t="n">
        <f aca="false">CF!$L$64</f>
        <v>442.019342930874</v>
      </c>
    </row>
    <row r="62" customFormat="false" ht="15" hidden="false" customHeight="false" outlineLevel="0" collapsed="false">
      <c r="A62" s="5" t="s">
        <v>860</v>
      </c>
      <c r="B62" s="0" t="s">
        <v>91</v>
      </c>
      <c r="F62" s="40" t="n">
        <f aca="false">CF!$F$61+CF!$F$59-CF!$F$58-CF!$F$60</f>
        <v>136.853085854216</v>
      </c>
      <c r="H62" s="40" t="n">
        <f aca="false">CF!$H$61+CF!$H$59-CF!$H$58-CF!$H$60</f>
        <v>103.804093301849</v>
      </c>
      <c r="I62" s="40" t="n">
        <f aca="false">CF!$I$61+CF!$I$59-CF!$I$58-CF!$I$60</f>
        <v>104.453806383392</v>
      </c>
      <c r="J62" s="40" t="n">
        <f aca="false">CF!$J$61+CF!$J$59-CF!$J$58-CF!$J$60</f>
        <v>140.713670729137</v>
      </c>
      <c r="K62" s="40" t="n">
        <f aca="false">CF!$K$61+CF!$K$59-CF!$K$58-CF!$K$60</f>
        <v>263.4807652784</v>
      </c>
      <c r="L62" s="40" t="n">
        <f aca="false">CF!$L$61+CF!$L$59-CF!$L$58-CF!$L$60</f>
        <v>442.019342930874</v>
      </c>
      <c r="M62" s="40" t="n">
        <f aca="false">CF!$M$61+CF!$M$59-CF!$M$58-CF!$M$60</f>
        <v>649.508605314957</v>
      </c>
    </row>
    <row r="63" customFormat="false" ht="17.15" hidden="false" customHeight="false" outlineLevel="0" collapsed="false">
      <c r="A63" s="5" t="s">
        <v>861</v>
      </c>
      <c r="B63" s="0" t="s">
        <v>91</v>
      </c>
      <c r="F63" s="40" t="n">
        <f aca="false">MAX(0,min_cash-CF!$F$62)</f>
        <v>0</v>
      </c>
      <c r="G63" s="40" t="n">
        <f aca="false">CF!$F$63</f>
        <v>0</v>
      </c>
      <c r="H63" s="40" t="n">
        <f aca="false">MAX(0,min_cash-CF!$H$62)</f>
        <v>0</v>
      </c>
      <c r="I63" s="40" t="n">
        <f aca="false">MAX(0,min_cash-CF!$I$62)</f>
        <v>0</v>
      </c>
      <c r="J63" s="40" t="n">
        <f aca="false">MAX(0,min_cash-CF!$J$62)</f>
        <v>0</v>
      </c>
      <c r="K63" s="40" t="n">
        <f aca="false">MAX(0,min_cash-CF!$K$62)</f>
        <v>0</v>
      </c>
      <c r="L63" s="40" t="n">
        <f aca="false">MAX(0,min_cash-CF!$L$62)</f>
        <v>0</v>
      </c>
      <c r="M63" s="40" t="n">
        <f aca="false">MAX(0,min_cash-CF!$M$62)</f>
        <v>0</v>
      </c>
      <c r="P63" s="5" t="s">
        <v>862</v>
      </c>
    </row>
    <row r="64" customFormat="false" ht="15" hidden="false" customHeight="false" outlineLevel="0" collapsed="false">
      <c r="A64" s="5" t="s">
        <v>863</v>
      </c>
      <c r="B64" s="0" t="s">
        <v>91</v>
      </c>
      <c r="D64" s="40" t="n">
        <f aca="false">Q!$E$63</f>
        <v>123.029</v>
      </c>
      <c r="E64" s="40" t="n">
        <f aca="false">Q!$M$63</f>
        <v>114.226</v>
      </c>
      <c r="F64" s="40" t="n">
        <f aca="false">CF!$F$62+CF!$F$63</f>
        <v>136.853085854216</v>
      </c>
      <c r="G64" s="40" t="n">
        <f aca="false">CF!$F$64</f>
        <v>136.853085854216</v>
      </c>
      <c r="H64" s="40" t="n">
        <f aca="false">CF!$H$62+CF!$H$63</f>
        <v>103.804093301849</v>
      </c>
      <c r="I64" s="40" t="n">
        <f aca="false">CF!$I$62+CF!$I$63</f>
        <v>104.453806383392</v>
      </c>
      <c r="J64" s="40" t="n">
        <f aca="false">CF!$J$62+CF!$J$63</f>
        <v>140.713670729137</v>
      </c>
      <c r="K64" s="40" t="n">
        <f aca="false">CF!$K$62+CF!$K$63</f>
        <v>263.4807652784</v>
      </c>
      <c r="L64" s="40" t="n">
        <f aca="false">CF!$L$62+CF!$L$63</f>
        <v>442.019342930874</v>
      </c>
      <c r="M64" s="40" t="n">
        <f aca="false">CF!$M$62+CF!$M$63</f>
        <v>649.508605314957</v>
      </c>
    </row>
    <row r="65" customFormat="false" ht="15" hidden="false" customHeight="false" outlineLevel="0" collapsed="false">
      <c r="A65" s="5" t="s">
        <v>864</v>
      </c>
      <c r="B65" s="0" t="s">
        <v>91</v>
      </c>
      <c r="D65" s="40" t="n">
        <f aca="false">Q!$E$64</f>
        <v>68.836</v>
      </c>
      <c r="E65" s="40" t="n">
        <f aca="false">Q!$M$64</f>
        <v>181.09</v>
      </c>
      <c r="F65" s="40" t="n">
        <f aca="false">debt_q3+CF!$F$63</f>
        <v>181.09</v>
      </c>
      <c r="G65" s="40" t="n">
        <f aca="false">CF!$F$65</f>
        <v>181.09</v>
      </c>
      <c r="H65" s="40" t="n">
        <f aca="false">CF!$G$65+CF!$H$63</f>
        <v>181.09</v>
      </c>
      <c r="I65" s="40" t="n">
        <f aca="false">CF!$H$65+CF!$I$63</f>
        <v>181.09</v>
      </c>
      <c r="J65" s="40" t="n">
        <f aca="false">CF!$I$65+CF!$J$63</f>
        <v>181.09</v>
      </c>
      <c r="K65" s="40" t="n">
        <f aca="false">CF!$J$65+CF!$K$63</f>
        <v>181.09</v>
      </c>
      <c r="L65" s="40" t="n">
        <f aca="false">CF!$K$65+CF!$L$63</f>
        <v>181.09</v>
      </c>
      <c r="M65" s="40" t="n">
        <f aca="false">CF!$L$65+CF!$M$63</f>
        <v>181.09</v>
      </c>
    </row>
    <row r="66" customFormat="false" ht="15" hidden="false" customHeight="false" outlineLevel="0" collapsed="false">
      <c r="A66" s="5" t="s">
        <v>865</v>
      </c>
      <c r="B66" s="0" t="s">
        <v>91</v>
      </c>
      <c r="D66" s="40" t="n">
        <f aca="false">CF!$D$65-CF!$D$64</f>
        <v>-54.193</v>
      </c>
      <c r="E66" s="40" t="n">
        <f aca="false">CF!$E$65-CF!$E$64</f>
        <v>66.864</v>
      </c>
      <c r="F66" s="40" t="n">
        <f aca="false">CF!$F$65-CF!$F$64</f>
        <v>44.2369141457843</v>
      </c>
      <c r="G66" s="40" t="n">
        <f aca="false">CF!$G$65-CF!$G$64</f>
        <v>44.2369141457843</v>
      </c>
      <c r="H66" s="40" t="n">
        <f aca="false">CF!$H$65-CF!$H$64</f>
        <v>77.2859066981513</v>
      </c>
      <c r="I66" s="40" t="n">
        <f aca="false">CF!$I$65-CF!$I$64</f>
        <v>76.6361936166081</v>
      </c>
      <c r="J66" s="40" t="n">
        <f aca="false">CF!$J$65-CF!$J$64</f>
        <v>40.3763292708625</v>
      </c>
      <c r="K66" s="40" t="n">
        <f aca="false">CF!$K$65-CF!$K$64</f>
        <v>-82.3907652783997</v>
      </c>
      <c r="L66" s="40" t="n">
        <f aca="false">CF!$L$65-CF!$L$64</f>
        <v>-260.929342930874</v>
      </c>
      <c r="M66" s="40" t="n">
        <f aca="false">CF!$M$65-CF!$M$64</f>
        <v>-468.418605314957</v>
      </c>
    </row>
    <row r="67" customFormat="false" ht="17.15" hidden="false" customHeight="false" outlineLevel="0" collapsed="false">
      <c r="A67" s="5" t="s">
        <v>866</v>
      </c>
      <c r="B67" s="0" t="s">
        <v>91</v>
      </c>
      <c r="F67" s="40" t="n">
        <f aca="false">debt_q3*kd_book*0.25</f>
        <v>1.94993832879634</v>
      </c>
      <c r="H67" s="40" t="n">
        <f aca="false">debt_q3*kd_book+(CF!$G$65-debt_q3)*kd_new</f>
        <v>7.79975331518538</v>
      </c>
      <c r="I67" s="40" t="n">
        <f aca="false">debt_q3*kd_book+(CF!$H$65-debt_q3)*kd_new</f>
        <v>7.79975331518538</v>
      </c>
      <c r="J67" s="40" t="n">
        <f aca="false">debt_q3*kd_book+(CF!$I$65-debt_q3)*kd_new</f>
        <v>7.79975331518538</v>
      </c>
      <c r="K67" s="40" t="n">
        <f aca="false">debt_q3*kd_book+(CF!$J$65-debt_q3)*kd_new</f>
        <v>7.79975331518538</v>
      </c>
      <c r="L67" s="40" t="n">
        <f aca="false">debt_q3*kd_book+(CF!$K$65-debt_q3)*kd_new</f>
        <v>7.79975331518538</v>
      </c>
      <c r="M67" s="40" t="n">
        <f aca="false">debt_q3*kd_book+(CF!$L$65-debt_q3)*kd_new</f>
        <v>7.79975331518538</v>
      </c>
    </row>
    <row r="68" customFormat="false" ht="17.15" hidden="false" customHeight="false" outlineLevel="0" collapsed="false">
      <c r="A68" s="5" t="s">
        <v>867</v>
      </c>
      <c r="B68" s="0" t="s">
        <v>91</v>
      </c>
      <c r="F68" s="40" t="n">
        <f aca="false">cash_q3*y_cash*0.25</f>
        <v>1.187</v>
      </c>
      <c r="H68" s="40" t="n">
        <f aca="false">CF!$G$64*y_cash</f>
        <v>5.68853371067722</v>
      </c>
      <c r="I68" s="40" t="n">
        <f aca="false">CF!$H$64*y_cash</f>
        <v>4.31479553689333</v>
      </c>
      <c r="J68" s="40" t="n">
        <f aca="false">CF!$I$64*y_cash</f>
        <v>4.34180197773138</v>
      </c>
      <c r="K68" s="40" t="n">
        <f aca="false">CF!$J$64*y_cash</f>
        <v>5.84900555584495</v>
      </c>
      <c r="L68" s="40" t="n">
        <f aca="false">CF!$K$64*y_cash</f>
        <v>10.9520308295996</v>
      </c>
      <c r="M68" s="40" t="n">
        <f aca="false">CF!$L$64*y_cash</f>
        <v>18.3732936479942</v>
      </c>
    </row>
    <row r="69" customFormat="false" ht="17.15" hidden="false" customHeight="false" outlineLevel="0" collapsed="false">
      <c r="A69" s="48" t="s">
        <v>868</v>
      </c>
      <c r="B69" s="14" t="s">
        <v>91</v>
      </c>
      <c r="C69" s="14"/>
      <c r="D69" s="14"/>
      <c r="E69" s="14"/>
      <c r="F69" s="14"/>
      <c r="G69" s="49" t="n">
        <f aca="false">SUM(CF!$G$59:$K$59)</f>
        <v>89.6117652783997</v>
      </c>
      <c r="H69" s="14"/>
      <c r="I69" s="14"/>
      <c r="J69" s="14"/>
      <c r="K69" s="14"/>
      <c r="L69" s="14"/>
      <c r="M69" s="14"/>
      <c r="N69" s="14"/>
      <c r="O69" s="14"/>
    </row>
    <row r="70" customFormat="false" ht="17.15" hidden="false" customHeight="false" outlineLevel="0" collapsed="false">
      <c r="A70" s="0" t="s">
        <v>835</v>
      </c>
      <c r="B70" s="0" t="s">
        <v>91</v>
      </c>
      <c r="G70" s="40" t="n">
        <f aca="false">SUM(CF!$G$63:$K$63)</f>
        <v>0</v>
      </c>
    </row>
    <row r="71" customFormat="false" ht="17.15" hidden="false" customHeight="false" outlineLevel="0" collapsed="false">
      <c r="A71" s="27" t="s">
        <v>871</v>
      </c>
      <c r="B71" s="28" t="s">
        <v>91</v>
      </c>
      <c r="C71" s="28"/>
      <c r="D71" s="28"/>
      <c r="E71" s="28"/>
      <c r="F71" s="28"/>
      <c r="G71" s="43" t="n">
        <f aca="false">CF!$G$69-(CF!$G$59+CF!$H$59+CF!$I$59+CF!$J$59+CF!$K$59)</f>
        <v>0</v>
      </c>
      <c r="H71" s="28"/>
      <c r="I71" s="28"/>
      <c r="J71" s="28"/>
      <c r="K71" s="28"/>
      <c r="L71" s="28"/>
      <c r="M71" s="28"/>
      <c r="N71" s="28"/>
      <c r="O71" s="28"/>
    </row>
    <row r="74" customFormat="false" ht="19.4" hidden="false" customHeight="false" outlineLevel="0" collapsed="false">
      <c r="A74" s="35" t="s">
        <v>872</v>
      </c>
    </row>
    <row r="75" customFormat="false" ht="17.15" hidden="false" customHeight="false" outlineLevel="0" collapsed="false">
      <c r="A75" s="6" t="s">
        <v>16</v>
      </c>
      <c r="B75" s="6" t="s">
        <v>17</v>
      </c>
      <c r="C75" s="23" t="s">
        <v>542</v>
      </c>
      <c r="D75" s="23" t="s">
        <v>543</v>
      </c>
      <c r="E75" s="23" t="s">
        <v>631</v>
      </c>
      <c r="F75" s="23" t="s">
        <v>632</v>
      </c>
      <c r="G75" s="23" t="s">
        <v>633</v>
      </c>
      <c r="H75" s="23" t="s">
        <v>634</v>
      </c>
      <c r="I75" s="23" t="s">
        <v>635</v>
      </c>
      <c r="J75" s="23" t="s">
        <v>636</v>
      </c>
      <c r="K75" s="23" t="s">
        <v>637</v>
      </c>
      <c r="L75" s="23" t="s">
        <v>638</v>
      </c>
      <c r="M75" s="23" t="s">
        <v>639</v>
      </c>
      <c r="N75" s="23" t="s">
        <v>640</v>
      </c>
      <c r="O75" s="23" t="s">
        <v>641</v>
      </c>
      <c r="P75" s="6" t="s">
        <v>23</v>
      </c>
      <c r="R75" s="23" t="n">
        <v>2023</v>
      </c>
      <c r="S75" s="23" t="n">
        <v>2024</v>
      </c>
      <c r="T75" s="23" t="n">
        <v>2025</v>
      </c>
      <c r="U75" s="23" t="n">
        <v>2026</v>
      </c>
      <c r="V75" s="23" t="n">
        <v>2027</v>
      </c>
      <c r="W75" s="23" t="n">
        <v>2028</v>
      </c>
      <c r="X75" s="23" t="n">
        <v>2029</v>
      </c>
      <c r="Y75" s="23" t="n">
        <v>2030</v>
      </c>
      <c r="Z75" s="23" t="n">
        <v>2031</v>
      </c>
      <c r="AA75" s="23" t="n">
        <v>2032</v>
      </c>
    </row>
    <row r="76" customFormat="false" ht="15" hidden="false" customHeight="false" outlineLevel="0" collapsed="false">
      <c r="A76" s="5" t="s">
        <v>597</v>
      </c>
      <c r="B76" s="0" t="s">
        <v>91</v>
      </c>
      <c r="C76" s="40" t="n">
        <f aca="false">PL!$C$213</f>
        <v>59.248</v>
      </c>
      <c r="D76" s="40" t="n">
        <f aca="false">PL!$D$213</f>
        <v>77.67</v>
      </c>
      <c r="E76" s="40" t="n">
        <f aca="false">PL!$E$213</f>
        <v>113.587</v>
      </c>
      <c r="F76" s="40" t="n">
        <f aca="false">PL!$F$213</f>
        <v>27.5291930032701</v>
      </c>
      <c r="G76" s="40" t="n">
        <f aca="false">PL!$G$213</f>
        <v>141.11619300327</v>
      </c>
      <c r="H76" s="40" t="n">
        <f aca="false">PL!$H$213</f>
        <v>103.295853855588</v>
      </c>
      <c r="I76" s="40" t="n">
        <f aca="false">PL!$I$213</f>
        <v>105.260111100691</v>
      </c>
      <c r="J76" s="40" t="n">
        <f aca="false">PL!$J$213</f>
        <v>112.791076171725</v>
      </c>
      <c r="K76" s="40" t="n">
        <f aca="false">PL!$K$213</f>
        <v>117.740217320668</v>
      </c>
      <c r="L76" s="40" t="n">
        <f aca="false">PL!$L$213</f>
        <v>127.11249692794</v>
      </c>
      <c r="M76" s="40" t="n">
        <f aca="false">PL!$M$213</f>
        <v>142.124878638047</v>
      </c>
    </row>
    <row r="77" customFormat="false" ht="17.15" hidden="false" customHeight="false" outlineLevel="0" collapsed="false">
      <c r="A77" s="5" t="s">
        <v>843</v>
      </c>
      <c r="B77" s="0" t="s">
        <v>91</v>
      </c>
      <c r="C77" s="40" t="n">
        <f aca="false">PL!$C$201</f>
        <v>32.067</v>
      </c>
      <c r="D77" s="40" t="n">
        <f aca="false">PL!$D$201</f>
        <v>41.86</v>
      </c>
      <c r="E77" s="40" t="n">
        <f aca="false">PL!$E$201</f>
        <v>41.23880553332</v>
      </c>
      <c r="F77" s="40" t="n">
        <f aca="false">PL!$F$201</f>
        <v>15.5740390023468</v>
      </c>
      <c r="G77" s="40" t="n">
        <f aca="false">PL!$G$201</f>
        <v>56.8128445356668</v>
      </c>
      <c r="H77" s="40" t="n">
        <f aca="false">PL!$H$201</f>
        <v>78.7771455603241</v>
      </c>
      <c r="I77" s="40" t="n">
        <f aca="false">PL!$I$201</f>
        <v>114.930756142734</v>
      </c>
      <c r="J77" s="40" t="n">
        <f aca="false">PL!$J$201</f>
        <v>144.950446317972</v>
      </c>
      <c r="K77" s="40" t="n">
        <f aca="false">PL!$K$201</f>
        <v>175.039176433454</v>
      </c>
      <c r="L77" s="40" t="n">
        <f aca="false">PL!$L$201</f>
        <v>197.676468176405</v>
      </c>
      <c r="M77" s="40" t="n">
        <f aca="false">PL!$M$201</f>
        <v>211.857899598634</v>
      </c>
    </row>
    <row r="78" customFormat="false" ht="15" hidden="false" customHeight="false" outlineLevel="0" collapsed="false">
      <c r="A78" s="5" t="s">
        <v>844</v>
      </c>
      <c r="B78" s="0" t="s">
        <v>91</v>
      </c>
      <c r="C78" s="40" t="n">
        <f aca="false">Q!$D$50</f>
        <v>22.011</v>
      </c>
      <c r="D78" s="40" t="n">
        <f aca="false">Q!$E$50</f>
        <v>19.467</v>
      </c>
      <c r="E78" s="40" t="n">
        <f aca="false">Q!$O$50</f>
        <v>15.476</v>
      </c>
      <c r="F78" s="40" t="n">
        <f aca="false">sbc_r*Seg!$F$100</f>
        <v>6.05519194333086</v>
      </c>
      <c r="G78" s="40" t="n">
        <f aca="false">CF!$E$78+CF!$F$78</f>
        <v>21.5311919433309</v>
      </c>
      <c r="H78" s="40" t="n">
        <f aca="false">sbc_r*Seg!$H$100</f>
        <v>23.3852989166426</v>
      </c>
      <c r="I78" s="40" t="n">
        <f aca="false">sbc_r*Seg!$I$100</f>
        <v>26.2201998416052</v>
      </c>
      <c r="J78" s="40" t="n">
        <f aca="false">sbc_r*Seg!$J$100</f>
        <v>28.9284597383702</v>
      </c>
      <c r="K78" s="40" t="n">
        <f aca="false">sbc_r*Seg!$K$100</f>
        <v>31.3243431367156</v>
      </c>
      <c r="L78" s="40" t="n">
        <f aca="false">sbc_r*Seg!$L$100</f>
        <v>33.6334294288026</v>
      </c>
      <c r="M78" s="40" t="n">
        <f aca="false">sbc_r*Seg!$M$100</f>
        <v>35.8647536841804</v>
      </c>
    </row>
    <row r="79" customFormat="false" ht="17.15" hidden="false" customHeight="false" outlineLevel="0" collapsed="false">
      <c r="A79" s="5" t="s">
        <v>845</v>
      </c>
      <c r="B79" s="0" t="s">
        <v>91</v>
      </c>
      <c r="C79" s="40" t="n">
        <f aca="false">Q!$D$46-CF!$C$76-CF!$C$77-CF!$C$78</f>
        <v>2.551</v>
      </c>
      <c r="D79" s="40" t="n">
        <f aca="false">Q!$E$46-CF!$D$76-CF!$D$77-CF!$D$78</f>
        <v>0.51700000000001</v>
      </c>
      <c r="E79" s="40" t="n">
        <f aca="false">Q!$O$46-CF!$E$76-CF!$E$77-CF!$E$78</f>
        <v>-56.46080553332</v>
      </c>
      <c r="F79" s="40" t="n">
        <f aca="false">oth_q4*Seg!$F$100</f>
        <v>21.1926861201079</v>
      </c>
      <c r="G79" s="40" t="n">
        <f aca="false">CF!$E$79+CF!$F$79</f>
        <v>-35.2681194132122</v>
      </c>
      <c r="H79" s="40" t="n">
        <f aca="false">oth_r*Seg!$H$100</f>
        <v>11.2462709643786</v>
      </c>
      <c r="I79" s="40" t="n">
        <f aca="false">oth_r*Seg!$I$100</f>
        <v>12.6096088491301</v>
      </c>
      <c r="J79" s="40" t="n">
        <f aca="false">oth_r*Seg!$J$100</f>
        <v>13.912043543232</v>
      </c>
      <c r="K79" s="40" t="n">
        <f aca="false">oth_r*Seg!$K$100</f>
        <v>15.0642526295</v>
      </c>
      <c r="L79" s="40" t="n">
        <f aca="false">oth_r*Seg!$L$100</f>
        <v>16.1747199454624</v>
      </c>
      <c r="M79" s="40" t="n">
        <f aca="false">oth_r*Seg!$M$100</f>
        <v>17.2477905645217</v>
      </c>
      <c r="P79" s="8" t="s">
        <v>846</v>
      </c>
    </row>
    <row r="80" customFormat="false" ht="15" hidden="false" customHeight="false" outlineLevel="0" collapsed="false">
      <c r="A80" s="3" t="s">
        <v>604</v>
      </c>
      <c r="B80" s="8" t="s">
        <v>91</v>
      </c>
      <c r="C80" s="40" t="n">
        <f aca="false">Q!$D$46</f>
        <v>115.877</v>
      </c>
      <c r="D80" s="40" t="n">
        <f aca="false">Q!$E$46</f>
        <v>139.514</v>
      </c>
      <c r="E80" s="40" t="n">
        <f aca="false">Q!$O$46</f>
        <v>113.841</v>
      </c>
      <c r="F80" s="40" t="n">
        <f aca="false">CF!$F$76+CF!$F$77+CF!$F$78+CF!$F$79</f>
        <v>70.3511100690556</v>
      </c>
      <c r="G80" s="40" t="n">
        <f aca="false">CF!$E$80+CF!$F$80</f>
        <v>184.192110069056</v>
      </c>
      <c r="H80" s="40" t="n">
        <f aca="false">CF!$H$76+CF!$H$77+CF!$H$78+CF!$H$79</f>
        <v>216.704569296933</v>
      </c>
      <c r="I80" s="40" t="n">
        <f aca="false">CF!$I$76+CF!$I$77+CF!$I$78+CF!$I$79</f>
        <v>259.020675934161</v>
      </c>
      <c r="J80" s="40" t="n">
        <f aca="false">CF!$J$76+CF!$J$77+CF!$J$78+CF!$J$79</f>
        <v>300.582025771299</v>
      </c>
      <c r="K80" s="40" t="n">
        <f aca="false">CF!$K$76+CF!$K$77+CF!$K$78+CF!$K$79</f>
        <v>339.167989520338</v>
      </c>
      <c r="L80" s="40" t="n">
        <f aca="false">CF!$L$76+CF!$L$77+CF!$L$78+CF!$L$79</f>
        <v>374.59711447861</v>
      </c>
      <c r="M80" s="40" t="n">
        <f aca="false">CF!$M$76+CF!$M$77+CF!$M$78+CF!$M$79</f>
        <v>407.095322485383</v>
      </c>
    </row>
    <row r="81" customFormat="false" ht="17.15" hidden="false" customHeight="false" outlineLevel="0" collapsed="false">
      <c r="A81" s="5" t="s">
        <v>847</v>
      </c>
      <c r="B81" s="0" t="s">
        <v>91</v>
      </c>
      <c r="C81" s="40" t="n">
        <f aca="false">Thesis!$C$167</f>
        <v>25.2781053077374</v>
      </c>
      <c r="D81" s="40" t="n">
        <f aca="false">Thesis!$D$167</f>
        <v>69.5686316310026</v>
      </c>
      <c r="E81" s="40" t="n">
        <f aca="false">Thesis!$E$167</f>
        <v>123.196049161056</v>
      </c>
      <c r="F81" s="40" t="n">
        <f aca="false">Thesis!$F$167</f>
        <v>28.695619283164</v>
      </c>
      <c r="G81" s="40" t="n">
        <f aca="false">Thesis!$G$167</f>
        <v>151.89166844422</v>
      </c>
      <c r="H81" s="40" t="n">
        <f aca="false">Thesis!$H$167</f>
        <v>177.245913338435</v>
      </c>
      <c r="I81" s="40" t="n">
        <f aca="false">Thesis!$I$167</f>
        <v>183.579448050685</v>
      </c>
      <c r="J81" s="40" t="n">
        <f aca="false">Thesis!$J$167</f>
        <v>187.873277448685</v>
      </c>
      <c r="K81" s="40" t="n">
        <f aca="false">Thesis!$K$167</f>
        <v>138.407037940551</v>
      </c>
      <c r="L81" s="40" t="n">
        <f aca="false">Thesis!$L$167</f>
        <v>114.703774820416</v>
      </c>
      <c r="M81" s="40" t="n">
        <f aca="false">Thesis!$M$167</f>
        <v>112.986707313624</v>
      </c>
    </row>
    <row r="82" customFormat="false" ht="17.15" hidden="false" customHeight="false" outlineLevel="0" collapsed="false">
      <c r="A82" s="5" t="s">
        <v>848</v>
      </c>
      <c r="B82" s="0" t="s">
        <v>91</v>
      </c>
      <c r="C82" s="40" t="n">
        <f aca="false">cx_awso*Seg!$C$98</f>
        <v>21.0469989286053</v>
      </c>
      <c r="D82" s="40" t="n">
        <f aca="false">cx_awso*Seg!$D$98</f>
        <v>24.0042459822698</v>
      </c>
      <c r="E82" s="40" t="n">
        <f aca="false">cx_awso*Seg!$E$98</f>
        <v>21.9204583888104</v>
      </c>
      <c r="F82" s="40" t="n">
        <f aca="false">cx_awso*Seg!$F$98</f>
        <v>7.39593206711017</v>
      </c>
      <c r="G82" s="40" t="n">
        <f aca="false">CF!$E$82+CF!$F$82</f>
        <v>29.3163904559206</v>
      </c>
      <c r="H82" s="40" t="n">
        <f aca="false">cx_awso*Seg!$H$98</f>
        <v>32.9920830336434</v>
      </c>
      <c r="I82" s="40" t="n">
        <f aca="false">cx_awso*Seg!$I$98</f>
        <v>36.62957281938</v>
      </c>
      <c r="J82" s="40" t="n">
        <f aca="false">cx_awso*Seg!$J$98</f>
        <v>40.1140234584536</v>
      </c>
      <c r="K82" s="40" t="n">
        <f aca="false">cx_awso*Seg!$K$98</f>
        <v>43.3231453351299</v>
      </c>
      <c r="L82" s="40" t="n">
        <f aca="false">cx_awso*Seg!$L$98</f>
        <v>46.7889969619403</v>
      </c>
      <c r="M82" s="40" t="n">
        <f aca="false">cx_awso*Seg!$M$98</f>
        <v>50.5321167188955</v>
      </c>
    </row>
    <row r="83" customFormat="false" ht="17.15" hidden="false" customHeight="false" outlineLevel="0" collapsed="false">
      <c r="A83" s="5" t="s">
        <v>849</v>
      </c>
      <c r="B83" s="0" t="s">
        <v>91</v>
      </c>
      <c r="C83" s="40" t="n">
        <f aca="false">Q!$D$48-CF!$C$81-CF!$C$82</f>
        <v>31.3328957636573</v>
      </c>
      <c r="D83" s="40" t="n">
        <f aca="false">Q!$E$48-CF!$D$81-CF!$D$82</f>
        <v>34.7471223867276</v>
      </c>
      <c r="E83" s="40" t="n">
        <f aca="false">Q!$O$48-CF!$E$81-CF!$E$82</f>
        <v>27.0714924501335</v>
      </c>
      <c r="F83" s="40" t="n">
        <f aca="false">cx_rt*Seg!$F$90</f>
        <v>11.7204486497259</v>
      </c>
      <c r="G83" s="40" t="n">
        <f aca="false">CF!$E$83+CF!$F$83</f>
        <v>38.7919410998594</v>
      </c>
      <c r="H83" s="40" t="n">
        <f aca="false">cx_rt*Seg!$H$90</f>
        <v>42.8420898770438</v>
      </c>
      <c r="I83" s="40" t="n">
        <f aca="false">cx_rt*Seg!$I$90</f>
        <v>46.7625475113878</v>
      </c>
      <c r="J83" s="40" t="n">
        <f aca="false">cx_rt*Seg!$J$90</f>
        <v>50.4185886328199</v>
      </c>
      <c r="K83" s="40" t="n">
        <f aca="false">cx_rt*Seg!$K$90</f>
        <v>53.670701222965</v>
      </c>
      <c r="L83" s="40" t="n">
        <f aca="false">cx_rt*Seg!$L$90</f>
        <v>57.1488603007655</v>
      </c>
      <c r="M83" s="40" t="n">
        <f aca="false">cx_rt*Seg!$M$90</f>
        <v>60.8699498760758</v>
      </c>
    </row>
    <row r="84" customFormat="false" ht="15" hidden="false" customHeight="false" outlineLevel="0" collapsed="false">
      <c r="A84" s="3" t="s">
        <v>850</v>
      </c>
      <c r="B84" s="8" t="s">
        <v>91</v>
      </c>
      <c r="C84" s="40" t="n">
        <f aca="false">Q!$D$48</f>
        <v>77.658</v>
      </c>
      <c r="D84" s="40" t="n">
        <f aca="false">Q!$E$48</f>
        <v>128.32</v>
      </c>
      <c r="E84" s="40" t="n">
        <f aca="false">Q!$O$48</f>
        <v>172.188</v>
      </c>
      <c r="F84" s="40" t="n">
        <f aca="false">CF!$F$81+CF!$F$82+CF!$F$83</f>
        <v>47.812</v>
      </c>
      <c r="G84" s="40" t="n">
        <f aca="false">CF!$E$84+CF!$F$84</f>
        <v>220</v>
      </c>
      <c r="H84" s="40" t="n">
        <f aca="false">CF!$H$81+CF!$H$82+CF!$H$83</f>
        <v>253.080086249122</v>
      </c>
      <c r="I84" s="40" t="n">
        <f aca="false">CF!$I$81+CF!$I$82+CF!$I$83</f>
        <v>266.971568381453</v>
      </c>
      <c r="J84" s="40" t="n">
        <f aca="false">CF!$J$81+CF!$J$82+CF!$J$83</f>
        <v>278.405889539959</v>
      </c>
      <c r="K84" s="40" t="n">
        <f aca="false">CF!$K$81+CF!$K$82+CF!$K$83</f>
        <v>235.400884498646</v>
      </c>
      <c r="L84" s="40" t="n">
        <f aca="false">CF!$L$81+CF!$L$82+CF!$L$83</f>
        <v>218.641632083122</v>
      </c>
      <c r="M84" s="40" t="n">
        <f aca="false">CF!$M$81+CF!$M$82+CF!$M$83</f>
        <v>224.388773908596</v>
      </c>
    </row>
    <row r="85" customFormat="false" ht="17.15" hidden="false" customHeight="false" outlineLevel="0" collapsed="false">
      <c r="A85" s="5" t="s">
        <v>612</v>
      </c>
      <c r="B85" s="0" t="s">
        <v>91</v>
      </c>
      <c r="C85" s="40" t="n">
        <f aca="false">Q!$D$52</f>
        <v>2.043</v>
      </c>
      <c r="D85" s="40" t="n">
        <f aca="false">Q!$E$52</f>
        <v>1.557</v>
      </c>
      <c r="E85" s="40" t="n">
        <f aca="false">Q!$O$52</f>
        <v>1.296</v>
      </c>
      <c r="F85" s="40" t="n">
        <f aca="false">lease_pr/4</f>
        <v>0.4</v>
      </c>
      <c r="G85" s="40" t="n">
        <f aca="false">CF!$E$85+CF!$F$85</f>
        <v>1.696</v>
      </c>
      <c r="H85" s="40" t="n">
        <f aca="false">lease_pr</f>
        <v>1.6</v>
      </c>
      <c r="I85" s="40" t="n">
        <f aca="false">lease_pr</f>
        <v>1.6</v>
      </c>
      <c r="J85" s="40" t="n">
        <f aca="false">lease_pr</f>
        <v>1.6</v>
      </c>
      <c r="K85" s="40" t="n">
        <f aca="false">lease_pr</f>
        <v>1.6</v>
      </c>
      <c r="L85" s="40" t="n">
        <f aca="false">lease_pr</f>
        <v>1.6</v>
      </c>
      <c r="M85" s="40" t="n">
        <f aca="false">lease_pr</f>
        <v>1.6</v>
      </c>
      <c r="P85" s="8" t="s">
        <v>851</v>
      </c>
    </row>
    <row r="86" customFormat="false" ht="15" hidden="false" customHeight="false" outlineLevel="0" collapsed="false">
      <c r="A86" s="48" t="s">
        <v>852</v>
      </c>
      <c r="B86" s="14" t="s">
        <v>91</v>
      </c>
      <c r="C86" s="49" t="n">
        <f aca="false">CF!$C$80-CF!$C$84-CF!$C$85</f>
        <v>36.176</v>
      </c>
      <c r="D86" s="49" t="n">
        <f aca="false">CF!$D$80-CF!$D$84-CF!$D$85</f>
        <v>9.63700000000002</v>
      </c>
      <c r="E86" s="49" t="n">
        <f aca="false">CF!$E$80-CF!$E$84-CF!$E$85</f>
        <v>-59.643</v>
      </c>
      <c r="F86" s="49" t="n">
        <f aca="false">CF!$F$80-CF!$F$84-CF!$F$85</f>
        <v>22.1391100690556</v>
      </c>
      <c r="G86" s="49" t="n">
        <f aca="false">CF!$G$80-CF!$G$84-CF!$G$85</f>
        <v>-37.5038899309444</v>
      </c>
      <c r="H86" s="49" t="n">
        <f aca="false">CF!$H$80-CF!$H$84-CF!$H$85</f>
        <v>-37.9755169521887</v>
      </c>
      <c r="I86" s="49" t="n">
        <f aca="false">CF!$I$80-CF!$I$84-CF!$I$85</f>
        <v>-9.55089244729184</v>
      </c>
      <c r="J86" s="49" t="n">
        <f aca="false">CF!$J$80-CF!$J$84-CF!$J$85</f>
        <v>20.5761362313401</v>
      </c>
      <c r="K86" s="49" t="n">
        <f aca="false">CF!$K$80-CF!$K$84-CF!$K$85</f>
        <v>102.167105021692</v>
      </c>
      <c r="L86" s="49" t="n">
        <f aca="false">CF!$L$80-CF!$L$84-CF!$L$85</f>
        <v>154.355482395488</v>
      </c>
      <c r="M86" s="49" t="n">
        <f aca="false">CF!$M$80-CF!$M$84-CF!$M$85</f>
        <v>181.106548576787</v>
      </c>
      <c r="N86" s="14"/>
      <c r="O86" s="14"/>
    </row>
    <row r="87" customFormat="false" ht="17.15" hidden="false" customHeight="false" outlineLevel="0" collapsed="false">
      <c r="A87" s="5" t="s">
        <v>853</v>
      </c>
      <c r="B87" s="0" t="s">
        <v>91</v>
      </c>
      <c r="C87" s="40" t="n">
        <f aca="false">dps*PL!$C$214</f>
        <v>0</v>
      </c>
      <c r="D87" s="40" t="n">
        <f aca="false">dps*PL!$D$214</f>
        <v>0</v>
      </c>
      <c r="E87" s="40" t="n">
        <f aca="false">dps*PL!$E$214</f>
        <v>0</v>
      </c>
      <c r="F87" s="40" t="n">
        <f aca="false">0</f>
        <v>0</v>
      </c>
      <c r="G87" s="40" t="n">
        <f aca="false">dps*PL!$G$214</f>
        <v>0</v>
      </c>
      <c r="H87" s="40" t="n">
        <f aca="false">dps*PL!$H$214</f>
        <v>0</v>
      </c>
      <c r="I87" s="40" t="n">
        <f aca="false">dps*PL!$I$214</f>
        <v>0</v>
      </c>
      <c r="J87" s="40" t="n">
        <f aca="false">dps*PL!$J$214</f>
        <v>0</v>
      </c>
      <c r="K87" s="40" t="n">
        <f aca="false">dps*PL!$K$214</f>
        <v>0</v>
      </c>
      <c r="L87" s="40" t="n">
        <f aca="false">dps*PL!$L$214</f>
        <v>0</v>
      </c>
      <c r="M87" s="40" t="n">
        <f aca="false">dps*PL!$M$214</f>
        <v>0</v>
      </c>
      <c r="P87" s="8" t="s">
        <v>854</v>
      </c>
    </row>
    <row r="88" customFormat="false" ht="17.15" hidden="false" customHeight="false" outlineLevel="0" collapsed="false">
      <c r="A88" s="5" t="s">
        <v>855</v>
      </c>
      <c r="B88" s="0" t="s">
        <v>91</v>
      </c>
      <c r="C88" s="40" t="n">
        <f aca="false">0</f>
        <v>0</v>
      </c>
      <c r="D88" s="40" t="n">
        <f aca="false">0</f>
        <v>0</v>
      </c>
      <c r="E88" s="40" t="n">
        <f aca="false">0</f>
        <v>0</v>
      </c>
      <c r="F88" s="40" t="n">
        <f aca="false">0</f>
        <v>0</v>
      </c>
      <c r="G88" s="40" t="n">
        <f aca="false">0</f>
        <v>0</v>
      </c>
      <c r="H88" s="40" t="n">
        <f aca="false">0</f>
        <v>0</v>
      </c>
      <c r="I88" s="40" t="n">
        <f aca="false">0</f>
        <v>0</v>
      </c>
      <c r="J88" s="40" t="n">
        <f aca="false">0</f>
        <v>0</v>
      </c>
      <c r="K88" s="40" t="n">
        <f aca="false">0</f>
        <v>0</v>
      </c>
      <c r="L88" s="40" t="n">
        <f aca="false">0</f>
        <v>0</v>
      </c>
      <c r="M88" s="40" t="n">
        <f aca="false">0</f>
        <v>0</v>
      </c>
      <c r="P88" s="8" t="s">
        <v>856</v>
      </c>
    </row>
    <row r="89" customFormat="false" ht="15" hidden="false" customHeight="false" outlineLevel="0" collapsed="false">
      <c r="A89" s="3" t="s">
        <v>857</v>
      </c>
      <c r="B89" s="8" t="s">
        <v>91</v>
      </c>
      <c r="C89" s="40" t="n">
        <f aca="false">CF!$C$86-CF!$C$87</f>
        <v>36.176</v>
      </c>
      <c r="D89" s="40" t="n">
        <f aca="false">CF!$D$86-CF!$D$87</f>
        <v>9.63700000000002</v>
      </c>
      <c r="E89" s="40" t="n">
        <f aca="false">CF!$E$86-CF!$E$87</f>
        <v>-59.643</v>
      </c>
      <c r="F89" s="40" t="n">
        <f aca="false">CF!$F$86-CF!$F$87</f>
        <v>22.1391100690556</v>
      </c>
      <c r="G89" s="40" t="n">
        <f aca="false">CF!$G$86-CF!$G$87</f>
        <v>-37.5038899309444</v>
      </c>
      <c r="H89" s="40" t="n">
        <f aca="false">CF!$H$86-CF!$H$87</f>
        <v>-37.9755169521887</v>
      </c>
      <c r="I89" s="40" t="n">
        <f aca="false">CF!$I$86-CF!$I$87</f>
        <v>-9.55089244729184</v>
      </c>
      <c r="J89" s="40" t="n">
        <f aca="false">CF!$J$86-CF!$J$87</f>
        <v>20.5761362313401</v>
      </c>
      <c r="K89" s="40" t="n">
        <f aca="false">CF!$K$86-CF!$K$87</f>
        <v>102.167105021692</v>
      </c>
      <c r="L89" s="40" t="n">
        <f aca="false">CF!$L$86-CF!$L$87</f>
        <v>154.355482395488</v>
      </c>
      <c r="M89" s="40" t="n">
        <f aca="false">CF!$M$86-CF!$M$87</f>
        <v>181.106548576787</v>
      </c>
    </row>
    <row r="90" customFormat="false" ht="17.15" hidden="false" customHeight="false" outlineLevel="0" collapsed="false">
      <c r="A90" s="5" t="s">
        <v>858</v>
      </c>
      <c r="B90" s="0" t="s">
        <v>91</v>
      </c>
      <c r="E90" s="40" t="n">
        <f aca="false">Q!$O$55</f>
        <v>63.753</v>
      </c>
      <c r="F90" s="40" t="n">
        <f aca="false">inv_q4</f>
        <v>0</v>
      </c>
      <c r="G90" s="40" t="n">
        <f aca="false">CF!$E$90+CF!$F$90</f>
        <v>63.753</v>
      </c>
      <c r="H90" s="41" t="n">
        <v>0</v>
      </c>
      <c r="I90" s="41" t="n">
        <v>0</v>
      </c>
      <c r="J90" s="41" t="n">
        <v>0</v>
      </c>
      <c r="K90" s="41" t="n">
        <v>0</v>
      </c>
      <c r="L90" s="41" t="n">
        <v>0</v>
      </c>
      <c r="M90" s="41" t="n">
        <v>0</v>
      </c>
    </row>
    <row r="91" customFormat="false" ht="17.15" hidden="false" customHeight="false" outlineLevel="0" collapsed="false">
      <c r="A91" s="5" t="s">
        <v>859</v>
      </c>
      <c r="B91" s="0" t="s">
        <v>91</v>
      </c>
      <c r="F91" s="40" t="n">
        <f aca="false">cash_q3</f>
        <v>114.226</v>
      </c>
      <c r="G91" s="40" t="n">
        <f aca="false">cash_q3</f>
        <v>114.226</v>
      </c>
      <c r="H91" s="40" t="n">
        <f aca="false">CF!$G$94</f>
        <v>136.365110069056</v>
      </c>
      <c r="I91" s="40" t="n">
        <f aca="false">CF!$H$94</f>
        <v>98.3895931168669</v>
      </c>
      <c r="J91" s="40" t="n">
        <f aca="false">CF!$I$94</f>
        <v>88.8387006695751</v>
      </c>
      <c r="K91" s="40" t="n">
        <f aca="false">CF!$J$94</f>
        <v>109.414836900915</v>
      </c>
      <c r="L91" s="40" t="n">
        <f aca="false">CF!$K$94</f>
        <v>211.581941922607</v>
      </c>
      <c r="M91" s="40" t="n">
        <f aca="false">CF!$L$94</f>
        <v>365.937424318095</v>
      </c>
    </row>
    <row r="92" customFormat="false" ht="15" hidden="false" customHeight="false" outlineLevel="0" collapsed="false">
      <c r="A92" s="5" t="s">
        <v>860</v>
      </c>
      <c r="B92" s="0" t="s">
        <v>91</v>
      </c>
      <c r="F92" s="40" t="n">
        <f aca="false">CF!$F$91+CF!$F$89-CF!$F$88-CF!$F$90</f>
        <v>136.365110069056</v>
      </c>
      <c r="H92" s="40" t="n">
        <f aca="false">CF!$H$91+CF!$H$89-CF!$H$88-CF!$H$90</f>
        <v>98.3895931168669</v>
      </c>
      <c r="I92" s="40" t="n">
        <f aca="false">CF!$I$91+CF!$I$89-CF!$I$88-CF!$I$90</f>
        <v>88.8387006695751</v>
      </c>
      <c r="J92" s="40" t="n">
        <f aca="false">CF!$J$91+CF!$J$89-CF!$J$88-CF!$J$90</f>
        <v>109.414836900915</v>
      </c>
      <c r="K92" s="40" t="n">
        <f aca="false">CF!$K$91+CF!$K$89-CF!$K$88-CF!$K$90</f>
        <v>211.581941922607</v>
      </c>
      <c r="L92" s="40" t="n">
        <f aca="false">CF!$L$91+CF!$L$89-CF!$L$88-CF!$L$90</f>
        <v>365.937424318095</v>
      </c>
      <c r="M92" s="40" t="n">
        <f aca="false">CF!$M$91+CF!$M$89-CF!$M$88-CF!$M$90</f>
        <v>547.043972894882</v>
      </c>
    </row>
    <row r="93" customFormat="false" ht="17.15" hidden="false" customHeight="false" outlineLevel="0" collapsed="false">
      <c r="A93" s="5" t="s">
        <v>861</v>
      </c>
      <c r="B93" s="0" t="s">
        <v>91</v>
      </c>
      <c r="F93" s="40" t="n">
        <f aca="false">MAX(0,min_cash-CF!$F$92)</f>
        <v>0</v>
      </c>
      <c r="G93" s="40" t="n">
        <f aca="false">CF!$F$93</f>
        <v>0</v>
      </c>
      <c r="H93" s="40" t="n">
        <f aca="false">MAX(0,min_cash-CF!$H$92)</f>
        <v>0</v>
      </c>
      <c r="I93" s="40" t="n">
        <f aca="false">MAX(0,min_cash-CF!$I$92)</f>
        <v>0</v>
      </c>
      <c r="J93" s="40" t="n">
        <f aca="false">MAX(0,min_cash-CF!$J$92)</f>
        <v>0</v>
      </c>
      <c r="K93" s="40" t="n">
        <f aca="false">MAX(0,min_cash-CF!$K$92)</f>
        <v>0</v>
      </c>
      <c r="L93" s="40" t="n">
        <f aca="false">MAX(0,min_cash-CF!$L$92)</f>
        <v>0</v>
      </c>
      <c r="M93" s="40" t="n">
        <f aca="false">MAX(0,min_cash-CF!$M$92)</f>
        <v>0</v>
      </c>
      <c r="P93" s="5" t="s">
        <v>862</v>
      </c>
    </row>
    <row r="94" customFormat="false" ht="15" hidden="false" customHeight="false" outlineLevel="0" collapsed="false">
      <c r="A94" s="5" t="s">
        <v>863</v>
      </c>
      <c r="B94" s="0" t="s">
        <v>91</v>
      </c>
      <c r="D94" s="40" t="n">
        <f aca="false">Q!$E$63</f>
        <v>123.029</v>
      </c>
      <c r="E94" s="40" t="n">
        <f aca="false">Q!$M$63</f>
        <v>114.226</v>
      </c>
      <c r="F94" s="40" t="n">
        <f aca="false">CF!$F$92+CF!$F$93</f>
        <v>136.365110069056</v>
      </c>
      <c r="G94" s="40" t="n">
        <f aca="false">CF!$F$94</f>
        <v>136.365110069056</v>
      </c>
      <c r="H94" s="40" t="n">
        <f aca="false">CF!$H$92+CF!$H$93</f>
        <v>98.3895931168669</v>
      </c>
      <c r="I94" s="40" t="n">
        <f aca="false">CF!$I$92+CF!$I$93</f>
        <v>88.8387006695751</v>
      </c>
      <c r="J94" s="40" t="n">
        <f aca="false">CF!$J$92+CF!$J$93</f>
        <v>109.414836900915</v>
      </c>
      <c r="K94" s="40" t="n">
        <f aca="false">CF!$K$92+CF!$K$93</f>
        <v>211.581941922607</v>
      </c>
      <c r="L94" s="40" t="n">
        <f aca="false">CF!$L$92+CF!$L$93</f>
        <v>365.937424318095</v>
      </c>
      <c r="M94" s="40" t="n">
        <f aca="false">CF!$M$92+CF!$M$93</f>
        <v>547.043972894882</v>
      </c>
    </row>
    <row r="95" customFormat="false" ht="15" hidden="false" customHeight="false" outlineLevel="0" collapsed="false">
      <c r="A95" s="5" t="s">
        <v>864</v>
      </c>
      <c r="B95" s="0" t="s">
        <v>91</v>
      </c>
      <c r="D95" s="40" t="n">
        <f aca="false">Q!$E$64</f>
        <v>68.836</v>
      </c>
      <c r="E95" s="40" t="n">
        <f aca="false">Q!$M$64</f>
        <v>181.09</v>
      </c>
      <c r="F95" s="40" t="n">
        <f aca="false">debt_q3+CF!$F$93</f>
        <v>181.09</v>
      </c>
      <c r="G95" s="40" t="n">
        <f aca="false">CF!$F$95</f>
        <v>181.09</v>
      </c>
      <c r="H95" s="40" t="n">
        <f aca="false">CF!$G$95+CF!$H$93</f>
        <v>181.09</v>
      </c>
      <c r="I95" s="40" t="n">
        <f aca="false">CF!$H$95+CF!$I$93</f>
        <v>181.09</v>
      </c>
      <c r="J95" s="40" t="n">
        <f aca="false">CF!$I$95+CF!$J$93</f>
        <v>181.09</v>
      </c>
      <c r="K95" s="40" t="n">
        <f aca="false">CF!$J$95+CF!$K$93</f>
        <v>181.09</v>
      </c>
      <c r="L95" s="40" t="n">
        <f aca="false">CF!$K$95+CF!$L$93</f>
        <v>181.09</v>
      </c>
      <c r="M95" s="40" t="n">
        <f aca="false">CF!$L$95+CF!$M$93</f>
        <v>181.09</v>
      </c>
    </row>
    <row r="96" customFormat="false" ht="15" hidden="false" customHeight="false" outlineLevel="0" collapsed="false">
      <c r="A96" s="5" t="s">
        <v>865</v>
      </c>
      <c r="B96" s="0" t="s">
        <v>91</v>
      </c>
      <c r="D96" s="40" t="n">
        <f aca="false">CF!$D$95-CF!$D$94</f>
        <v>-54.193</v>
      </c>
      <c r="E96" s="40" t="n">
        <f aca="false">CF!$E$95-CF!$E$94</f>
        <v>66.864</v>
      </c>
      <c r="F96" s="40" t="n">
        <f aca="false">CF!$F$95-CF!$F$94</f>
        <v>44.7248899309444</v>
      </c>
      <c r="G96" s="40" t="n">
        <f aca="false">CF!$G$95-CF!$G$94</f>
        <v>44.7248899309444</v>
      </c>
      <c r="H96" s="40" t="n">
        <f aca="false">CF!$H$95-CF!$H$94</f>
        <v>82.7004068831331</v>
      </c>
      <c r="I96" s="40" t="n">
        <f aca="false">CF!$I$95-CF!$I$94</f>
        <v>92.2512993304249</v>
      </c>
      <c r="J96" s="40" t="n">
        <f aca="false">CF!$J$95-CF!$J$94</f>
        <v>71.6751630990848</v>
      </c>
      <c r="K96" s="40" t="n">
        <f aca="false">CF!$K$95-CF!$K$94</f>
        <v>-30.4919419226073</v>
      </c>
      <c r="L96" s="40" t="n">
        <f aca="false">CF!$L$95-CF!$L$94</f>
        <v>-184.847424318095</v>
      </c>
      <c r="M96" s="40" t="n">
        <f aca="false">CF!$M$95-CF!$M$94</f>
        <v>-365.953972894882</v>
      </c>
    </row>
    <row r="97" customFormat="false" ht="17.15" hidden="false" customHeight="false" outlineLevel="0" collapsed="false">
      <c r="A97" s="5" t="s">
        <v>866</v>
      </c>
      <c r="B97" s="0" t="s">
        <v>91</v>
      </c>
      <c r="F97" s="40" t="n">
        <f aca="false">debt_q3*kd_book*0.25</f>
        <v>1.94993832879634</v>
      </c>
      <c r="H97" s="40" t="n">
        <f aca="false">debt_q3*kd_book+(CF!$G$95-debt_q3)*kd_new</f>
        <v>7.79975331518538</v>
      </c>
      <c r="I97" s="40" t="n">
        <f aca="false">debt_q3*kd_book+(CF!$H$95-debt_q3)*kd_new</f>
        <v>7.79975331518538</v>
      </c>
      <c r="J97" s="40" t="n">
        <f aca="false">debt_q3*kd_book+(CF!$I$95-debt_q3)*kd_new</f>
        <v>7.79975331518538</v>
      </c>
      <c r="K97" s="40" t="n">
        <f aca="false">debt_q3*kd_book+(CF!$J$95-debt_q3)*kd_new</f>
        <v>7.79975331518538</v>
      </c>
      <c r="L97" s="40" t="n">
        <f aca="false">debt_q3*kd_book+(CF!$K$95-debt_q3)*kd_new</f>
        <v>7.79975331518538</v>
      </c>
      <c r="M97" s="40" t="n">
        <f aca="false">debt_q3*kd_book+(CF!$L$95-debt_q3)*kd_new</f>
        <v>7.79975331518538</v>
      </c>
    </row>
    <row r="98" customFormat="false" ht="17.15" hidden="false" customHeight="false" outlineLevel="0" collapsed="false">
      <c r="A98" s="5" t="s">
        <v>867</v>
      </c>
      <c r="B98" s="0" t="s">
        <v>91</v>
      </c>
      <c r="F98" s="40" t="n">
        <f aca="false">cash_q3*y_cash*0.25</f>
        <v>1.187</v>
      </c>
      <c r="H98" s="40" t="n">
        <f aca="false">CF!$G$94*y_cash</f>
        <v>5.66825015852675</v>
      </c>
      <c r="I98" s="40" t="n">
        <f aca="false">CF!$H$94*y_cash</f>
        <v>4.08973253128784</v>
      </c>
      <c r="J98" s="40" t="n">
        <f aca="false">CF!$I$94*y_cash</f>
        <v>3.69273327245235</v>
      </c>
      <c r="K98" s="40" t="n">
        <f aca="false">CF!$J$94*y_cash</f>
        <v>4.54801573727125</v>
      </c>
      <c r="L98" s="40" t="n">
        <f aca="false">CF!$K$94*y_cash</f>
        <v>8.79476704295466</v>
      </c>
      <c r="M98" s="40" t="n">
        <f aca="false">CF!$L$94*y_cash</f>
        <v>15.2108179456719</v>
      </c>
    </row>
    <row r="99" customFormat="false" ht="17.15" hidden="false" customHeight="false" outlineLevel="0" collapsed="false">
      <c r="A99" s="48" t="s">
        <v>868</v>
      </c>
      <c r="B99" s="14" t="s">
        <v>91</v>
      </c>
      <c r="C99" s="14"/>
      <c r="D99" s="14"/>
      <c r="E99" s="14"/>
      <c r="F99" s="14"/>
      <c r="G99" s="49" t="n">
        <f aca="false">SUM(CF!$G$89:$K$89)</f>
        <v>37.7129419226073</v>
      </c>
      <c r="H99" s="14"/>
      <c r="I99" s="14"/>
      <c r="J99" s="14"/>
      <c r="K99" s="14"/>
      <c r="L99" s="14"/>
      <c r="M99" s="14"/>
      <c r="N99" s="14"/>
      <c r="O99" s="14"/>
    </row>
    <row r="100" customFormat="false" ht="17.15" hidden="false" customHeight="false" outlineLevel="0" collapsed="false">
      <c r="A100" s="0" t="s">
        <v>835</v>
      </c>
      <c r="B100" s="0" t="s">
        <v>91</v>
      </c>
      <c r="G100" s="40" t="n">
        <f aca="false">SUM(CF!$G$93:$K$93)</f>
        <v>0</v>
      </c>
    </row>
    <row r="101" customFormat="false" ht="17.15" hidden="false" customHeight="false" outlineLevel="0" collapsed="false">
      <c r="A101" s="27" t="s">
        <v>873</v>
      </c>
      <c r="B101" s="28" t="s">
        <v>91</v>
      </c>
      <c r="C101" s="28"/>
      <c r="D101" s="28"/>
      <c r="E101" s="28"/>
      <c r="F101" s="28"/>
      <c r="G101" s="43" t="n">
        <f aca="false">CF!$G$99-(CF!$G$89+CF!$H$89+CF!$I$89+CF!$J$89+CF!$K$89)</f>
        <v>0</v>
      </c>
      <c r="H101" s="28"/>
      <c r="I101" s="28"/>
      <c r="J101" s="28"/>
      <c r="K101" s="28"/>
      <c r="L101" s="28"/>
      <c r="M101" s="28"/>
      <c r="N101" s="28"/>
      <c r="O101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0" t="s">
        <v>874</v>
      </c>
    </row>
    <row r="3" customFormat="false" ht="19.4" hidden="false" customHeight="false" outlineLevel="0" collapsed="false">
      <c r="A3" s="35" t="s">
        <v>875</v>
      </c>
    </row>
    <row r="4" customFormat="false" ht="17.15" hidden="false" customHeight="false" outlineLevel="0" collapsed="false">
      <c r="A4" s="6" t="s">
        <v>16</v>
      </c>
      <c r="B4" s="23" t="s">
        <v>829</v>
      </c>
      <c r="C4" s="23" t="s">
        <v>830</v>
      </c>
      <c r="D4" s="23" t="s">
        <v>831</v>
      </c>
      <c r="E4" s="6" t="s">
        <v>23</v>
      </c>
    </row>
    <row r="5" customFormat="false" ht="17.15" hidden="false" customHeight="false" outlineLevel="0" collapsed="false">
      <c r="A5" s="0" t="s">
        <v>876</v>
      </c>
      <c r="B5" s="40" t="n">
        <f aca="false">Val!$C$110</f>
        <v>193.170402673649</v>
      </c>
      <c r="C5" s="40" t="n">
        <f aca="false">Val!$C$156</f>
        <v>137.922820018837</v>
      </c>
      <c r="D5" s="40" t="n">
        <f aca="false">Val!$C$202</f>
        <v>120.190250466792</v>
      </c>
      <c r="E5" s="8" t="s">
        <v>877</v>
      </c>
    </row>
    <row r="6" customFormat="false" ht="17.15" hidden="false" customHeight="false" outlineLevel="0" collapsed="false">
      <c r="A6" s="0" t="s">
        <v>878</v>
      </c>
      <c r="B6" s="40" t="n">
        <f aca="false">Val!$C$131</f>
        <v>332.557683519373</v>
      </c>
      <c r="C6" s="40" t="n">
        <f aca="false">Val!$C$177</f>
        <v>278.886896059928</v>
      </c>
      <c r="D6" s="40" t="n">
        <f aca="false">Val!$C$223</f>
        <v>261.668486131204</v>
      </c>
      <c r="E6" s="5" t="s">
        <v>879</v>
      </c>
    </row>
    <row r="7" customFormat="false" ht="17.15" hidden="false" customHeight="false" outlineLevel="0" collapsed="false">
      <c r="A7" s="5" t="s">
        <v>880</v>
      </c>
      <c r="B7" s="49" t="n">
        <f aca="false">Val!$C$132</f>
        <v>262.864043096511</v>
      </c>
      <c r="C7" s="49" t="n">
        <f aca="false">Val!$C$178</f>
        <v>208.404858039383</v>
      </c>
      <c r="D7" s="49" t="n">
        <f aca="false">Val!$C$224</f>
        <v>190.929368298998</v>
      </c>
    </row>
    <row r="8" customFormat="false" ht="17.15" hidden="false" customHeight="false" outlineLevel="0" collapsed="false">
      <c r="A8" s="5" t="s">
        <v>881</v>
      </c>
      <c r="B8" s="13" t="n">
        <f aca="false">Val!$C$105</f>
        <v>0.725614687079099</v>
      </c>
      <c r="C8" s="13" t="n">
        <f aca="false">Val!$C$151</f>
        <v>0.767586623009708</v>
      </c>
      <c r="D8" s="13" t="n">
        <f aca="false">Val!$C$197</f>
        <v>0.789011468099137</v>
      </c>
    </row>
    <row r="9" customFormat="false" ht="15" hidden="false" customHeight="false" outlineLevel="0" collapsed="false">
      <c r="A9" s="5" t="s">
        <v>537</v>
      </c>
      <c r="B9" s="22" t="n">
        <f aca="false">w_A</f>
        <v>0.25</v>
      </c>
      <c r="C9" s="22" t="n">
        <f aca="false">w_B</f>
        <v>0.5</v>
      </c>
      <c r="D9" s="22" t="n">
        <f aca="false">w_C</f>
        <v>0.25</v>
      </c>
    </row>
    <row r="10" customFormat="false" ht="17.15" hidden="false" customHeight="false" outlineLevel="0" collapsed="false">
      <c r="A10" s="0" t="s">
        <v>882</v>
      </c>
      <c r="B10" s="13" t="n">
        <f aca="false">PL!$I$53</f>
        <v>0.406797758854854</v>
      </c>
      <c r="C10" s="13" t="n">
        <f aca="false">PL!$I$123</f>
        <v>0.328239600060685</v>
      </c>
      <c r="D10" s="13" t="n">
        <f aca="false">PL!$I$193</f>
        <v>0.298332505587888</v>
      </c>
      <c r="E10" s="5" t="s">
        <v>883</v>
      </c>
    </row>
    <row r="11" customFormat="false" ht="17.15" hidden="false" customHeight="false" outlineLevel="0" collapsed="false">
      <c r="A11" s="0" t="s">
        <v>884</v>
      </c>
      <c r="B11" s="20" t="n">
        <f aca="false">CF!$I$29</f>
        <v>34.5691068179333</v>
      </c>
      <c r="C11" s="20" t="n">
        <f aca="false">CF!$I$59</f>
        <v>0.649713081543234</v>
      </c>
      <c r="D11" s="20" t="n">
        <f aca="false">CF!$I$89</f>
        <v>-9.55089244729184</v>
      </c>
      <c r="E11" s="5" t="s">
        <v>885</v>
      </c>
    </row>
    <row r="12" customFormat="false" ht="17.15" hidden="false" customHeight="false" outlineLevel="0" collapsed="false">
      <c r="A12" s="0" t="s">
        <v>886</v>
      </c>
      <c r="B12" s="13" t="n">
        <f aca="false">Thesis!$I$64</f>
        <v>0.132515454533698</v>
      </c>
      <c r="C12" s="13" t="n">
        <f aca="false">Thesis!$I$130</f>
        <v>0.0494061455927104</v>
      </c>
      <c r="D12" s="13" t="n">
        <f aca="false">Thesis!$I$196</f>
        <v>0.0227610509439038</v>
      </c>
      <c r="E12" s="5" t="s">
        <v>887</v>
      </c>
    </row>
    <row r="13" customFormat="false" ht="15" hidden="false" customHeight="false" outlineLevel="0" collapsed="false">
      <c r="A13" s="0" t="s">
        <v>888</v>
      </c>
      <c r="B13" s="34" t="n">
        <f aca="false">PL!$I$76</f>
        <v>14.75619806791</v>
      </c>
      <c r="C13" s="34" t="n">
        <f aca="false">PL!$I$146</f>
        <v>12.0439858018587</v>
      </c>
      <c r="D13" s="34" t="n">
        <f aca="false">PL!$I$216</f>
        <v>11.1628103455396</v>
      </c>
    </row>
    <row r="14" customFormat="false" ht="17.15" hidden="false" customHeight="false" outlineLevel="0" collapsed="false">
      <c r="A14" s="5" t="s">
        <v>889</v>
      </c>
      <c r="B14" s="20" t="n">
        <f aca="false">CF!$G$39</f>
        <v>258.258376066408</v>
      </c>
      <c r="C14" s="20" t="n">
        <f aca="false">CF!$G$69</f>
        <v>89.6117652783997</v>
      </c>
      <c r="D14" s="20" t="n">
        <f aca="false">CF!$G$99</f>
        <v>37.7129419226073</v>
      </c>
      <c r="E14" s="8" t="s">
        <v>890</v>
      </c>
    </row>
    <row r="16" customFormat="false" ht="15" hidden="false" customHeight="false" outlineLevel="0" collapsed="false">
      <c r="A16" s="6" t="s">
        <v>16</v>
      </c>
      <c r="B16" s="6" t="s">
        <v>891</v>
      </c>
      <c r="E16" s="6" t="s">
        <v>23</v>
      </c>
    </row>
    <row r="17" customFormat="false" ht="17.15" hidden="false" customHeight="false" outlineLevel="0" collapsed="false">
      <c r="A17" s="0" t="s">
        <v>892</v>
      </c>
      <c r="B17" s="40" t="n">
        <f aca="false">w_A*B5+w_B*C5+w_C*D5</f>
        <v>147.301573294529</v>
      </c>
    </row>
    <row r="18" customFormat="false" ht="17.15" hidden="false" customHeight="false" outlineLevel="0" collapsed="false">
      <c r="A18" s="0" t="s">
        <v>893</v>
      </c>
      <c r="B18" s="40" t="n">
        <f aca="false">w_A*B6+w_B*C6+w_C*D6</f>
        <v>287.999990442609</v>
      </c>
      <c r="E18" s="5" t="s">
        <v>894</v>
      </c>
    </row>
    <row r="19" customFormat="false" ht="17.15" hidden="false" customHeight="false" outlineLevel="0" collapsed="false">
      <c r="A19" s="15" t="s">
        <v>895</v>
      </c>
      <c r="B19" s="49" t="n">
        <f aca="false">w_dcf*B17+(1-w_dcf)*B18</f>
        <v>217.650781868569</v>
      </c>
      <c r="E19" s="5" t="s">
        <v>896</v>
      </c>
    </row>
    <row r="20" customFormat="false" ht="17.15" hidden="false" customHeight="false" outlineLevel="0" collapsed="false">
      <c r="A20" s="5" t="s">
        <v>897</v>
      </c>
      <c r="B20" s="40" t="n">
        <f aca="false">px</f>
        <v>240.35</v>
      </c>
      <c r="E20" s="8" t="s">
        <v>898</v>
      </c>
    </row>
    <row r="21" customFormat="false" ht="15" hidden="false" customHeight="false" outlineLevel="0" collapsed="false">
      <c r="A21" s="15" t="s">
        <v>899</v>
      </c>
      <c r="B21" s="17" t="n">
        <f aca="false">B19/px-1</f>
        <v>-0.0944423471247405</v>
      </c>
    </row>
    <row r="22" customFormat="false" ht="17.15" hidden="false" customHeight="false" outlineLevel="0" collapsed="false">
      <c r="A22" s="5" t="s">
        <v>900</v>
      </c>
      <c r="B22" s="13" t="n">
        <f aca="false">B18/px-1</f>
        <v>0.19825250860249</v>
      </c>
    </row>
    <row r="23" customFormat="false" ht="17.15" hidden="false" customHeight="false" outlineLevel="0" collapsed="false">
      <c r="A23" s="5" t="s">
        <v>901</v>
      </c>
      <c r="B23" s="50" t="str">
        <f aca="false">IF(B21&gt;=0.5,"大於 50%",IF(B21&gt;=0.25,"25%–50%",IF(B21&gt;=0,"0%–25%",IF(B21&gt;-0.25,"0%～−25%",IF(B21&gt;-0.5,"−25%～−50%","小於 −50%")))))</f>
        <v>0%～−25%</v>
      </c>
    </row>
    <row r="24" customFormat="false" ht="17.15" hidden="false" customHeight="false" outlineLevel="0" collapsed="false">
      <c r="A24" s="15" t="s">
        <v>902</v>
      </c>
      <c r="B24" s="51" t="str">
        <f aca="false">IF(B21&gt;=0.5,"強力買進",IF(B21&gt;=0.25,"買進",IF(B21&gt;-0.25,"中立",IF(B21&gt;-0.5,"放空","強力放空"))))</f>
        <v>中立</v>
      </c>
      <c r="E24" s="5" t="s">
        <v>903</v>
      </c>
    </row>
    <row r="25" customFormat="false" ht="17.15" hidden="false" customHeight="false" outlineLevel="0" collapsed="false">
      <c r="A25" s="5" t="s">
        <v>904</v>
      </c>
      <c r="B25" s="40" t="n">
        <f aca="false">cons_tp</f>
        <v>332.41</v>
      </c>
      <c r="E25" s="8" t="s">
        <v>905</v>
      </c>
    </row>
    <row r="26" customFormat="false" ht="15" hidden="false" customHeight="false" outlineLevel="0" collapsed="false">
      <c r="A26" s="5" t="s">
        <v>906</v>
      </c>
      <c r="B26" s="13" t="n">
        <f aca="false">cons_tp/px-1</f>
        <v>0.383024755564801</v>
      </c>
    </row>
    <row r="27" customFormat="false" ht="17.15" hidden="false" customHeight="false" outlineLevel="0" collapsed="false">
      <c r="A27" s="5" t="s">
        <v>907</v>
      </c>
      <c r="B27" s="40" t="n">
        <f aca="false">D5</f>
        <v>120.190250466792</v>
      </c>
    </row>
    <row r="28" customFormat="false" ht="17.15" hidden="false" customHeight="false" outlineLevel="0" collapsed="false">
      <c r="A28" s="5" t="s">
        <v>908</v>
      </c>
      <c r="B28" s="50" t="str">
        <f aca="false">TEXT(D5,"#,##0")&amp;"～"&amp;TEXT(B5,"#,##0")</f>
        <v>120～193</v>
      </c>
      <c r="E28" s="8" t="s">
        <v>909</v>
      </c>
    </row>
    <row r="29" customFormat="false" ht="17.15" hidden="false" customHeight="false" outlineLevel="0" collapsed="false">
      <c r="A29" s="5" t="s">
        <v>910</v>
      </c>
      <c r="B29" s="20" t="n">
        <f aca="false">CF!E6</f>
        <v>118.798712136454</v>
      </c>
    </row>
    <row r="30" customFormat="false" ht="17.15" hidden="false" customHeight="false" outlineLevel="0" collapsed="false">
      <c r="A30" s="0" t="s">
        <v>911</v>
      </c>
      <c r="B30" s="32" t="n">
        <f aca="false">wacc</f>
        <v>0.111933264167401</v>
      </c>
      <c r="C30" s="32" t="n">
        <f aca="false">ke</f>
        <v>0.11710225</v>
      </c>
      <c r="D30" s="32" t="n">
        <f aca="false">tg</f>
        <v>0.03</v>
      </c>
    </row>
    <row r="31" customFormat="false" ht="17.15" hidden="false" customHeight="false" outlineLevel="0" collapsed="false">
      <c r="A31" s="5" t="s">
        <v>912</v>
      </c>
      <c r="B31" s="0" t="s">
        <v>913</v>
      </c>
    </row>
    <row r="32" customFormat="false" ht="17.15" hidden="false" customHeight="false" outlineLevel="0" collapsed="false">
      <c r="A32" s="5" t="s">
        <v>914</v>
      </c>
      <c r="B32" s="34" t="n">
        <f aca="false">Sens!B105</f>
        <v>243.887129629158</v>
      </c>
      <c r="C32" s="34" t="n">
        <f aca="false">Sens!B106</f>
        <v>189.206490576851</v>
      </c>
      <c r="D32" s="34" t="n">
        <f aca="false">Sens!B107</f>
        <v>171.731000836466</v>
      </c>
      <c r="E32" s="8" t="s">
        <v>915</v>
      </c>
    </row>
    <row r="33" customFormat="false" ht="17.15" hidden="false" customHeight="false" outlineLevel="0" collapsed="false">
      <c r="A33" s="5" t="s">
        <v>916</v>
      </c>
      <c r="B33" s="34" t="n">
        <f aca="false">w_A*B32+w_B*C32+w_C*D32</f>
        <v>198.507777904831</v>
      </c>
    </row>
    <row r="34" customFormat="false" ht="17.15" hidden="false" customHeight="false" outlineLevel="0" collapsed="false">
      <c r="A34" s="5" t="s">
        <v>917</v>
      </c>
      <c r="B34" s="13" t="n">
        <f aca="false">B33/px-1</f>
        <v>-0.17408871269053</v>
      </c>
    </row>
    <row r="35" customFormat="false" ht="17.15" hidden="false" customHeight="false" outlineLevel="0" collapsed="false">
      <c r="A35" s="5" t="s">
        <v>918</v>
      </c>
      <c r="B35" s="0" t="str">
        <f aca="false">IF(B34&gt;=0.5,"強力買進",IF(B34&gt;=0.25,"買進",IF(B34&gt;-0.25,"中立",IF(B34&gt;-0.5,"放空","強力放空"))))</f>
        <v>中立</v>
      </c>
    </row>
    <row r="36" customFormat="false" ht="17.15" hidden="false" customHeight="false" outlineLevel="0" collapsed="false">
      <c r="A36" s="5" t="s">
        <v>919</v>
      </c>
      <c r="B36" s="52" t="n">
        <f aca="false">internal_ai_reading</f>
        <v>2</v>
      </c>
      <c r="E36" s="8" t="s">
        <v>920</v>
      </c>
    </row>
    <row r="40" customFormat="false" ht="17.15" hidden="false" customHeight="false" outlineLevel="0" collapsed="false">
      <c r="A40" s="3" t="s">
        <v>921</v>
      </c>
    </row>
    <row r="41" customFormat="false" ht="15" hidden="false" customHeight="false" outlineLevel="0" collapsed="false">
      <c r="A41" s="6" t="s">
        <v>922</v>
      </c>
      <c r="B41" s="6" t="s">
        <v>923</v>
      </c>
      <c r="C41" s="23" t="s">
        <v>924</v>
      </c>
      <c r="D41" s="6" t="s">
        <v>925</v>
      </c>
      <c r="E41" s="6" t="s">
        <v>22</v>
      </c>
      <c r="F41" s="6" t="s">
        <v>21</v>
      </c>
    </row>
    <row r="42" customFormat="false" ht="15" hidden="false" customHeight="false" outlineLevel="0" collapsed="false">
      <c r="A42" s="0" t="s">
        <v>926</v>
      </c>
      <c r="B42" s="0" t="s">
        <v>927</v>
      </c>
      <c r="C42" s="38" t="n">
        <v>17.72</v>
      </c>
      <c r="D42" s="5" t="s">
        <v>928</v>
      </c>
      <c r="E42" s="8" t="s">
        <v>929</v>
      </c>
      <c r="F42" s="8" t="s">
        <v>46</v>
      </c>
    </row>
    <row r="43" customFormat="false" ht="15" hidden="false" customHeight="false" outlineLevel="0" collapsed="false">
      <c r="A43" s="0" t="s">
        <v>930</v>
      </c>
      <c r="B43" s="0" t="s">
        <v>931</v>
      </c>
      <c r="C43" s="38" t="n">
        <v>25.33</v>
      </c>
      <c r="D43" s="5" t="s">
        <v>928</v>
      </c>
      <c r="E43" s="8" t="s">
        <v>929</v>
      </c>
      <c r="F43" s="8" t="s">
        <v>46</v>
      </c>
    </row>
    <row r="44" customFormat="false" ht="15" hidden="false" customHeight="false" outlineLevel="0" collapsed="false">
      <c r="A44" s="0" t="s">
        <v>932</v>
      </c>
      <c r="B44" s="0" t="s">
        <v>933</v>
      </c>
      <c r="C44" s="38" t="n">
        <v>8.77</v>
      </c>
      <c r="D44" s="5" t="s">
        <v>928</v>
      </c>
      <c r="E44" s="8" t="s">
        <v>929</v>
      </c>
      <c r="F44" s="8" t="s">
        <v>46</v>
      </c>
    </row>
    <row r="45" customFormat="false" ht="17.15" hidden="false" customHeight="false" outlineLevel="0" collapsed="false">
      <c r="A45" s="0" t="s">
        <v>934</v>
      </c>
      <c r="B45" s="0" t="s">
        <v>935</v>
      </c>
      <c r="C45" s="38" t="n">
        <v>10.79</v>
      </c>
      <c r="D45" s="5" t="s">
        <v>936</v>
      </c>
      <c r="E45" s="8" t="s">
        <v>937</v>
      </c>
      <c r="F45" s="8" t="s">
        <v>46</v>
      </c>
    </row>
    <row r="46" customFormat="false" ht="17.15" hidden="false" customHeight="false" outlineLevel="0" collapsed="false">
      <c r="A46" s="0" t="s">
        <v>938</v>
      </c>
      <c r="B46" s="0" t="s">
        <v>939</v>
      </c>
      <c r="C46" s="38" t="n">
        <v>6.91</v>
      </c>
      <c r="D46" s="5" t="s">
        <v>936</v>
      </c>
      <c r="E46" s="8" t="s">
        <v>937</v>
      </c>
      <c r="F46" s="8" t="s">
        <v>46</v>
      </c>
    </row>
    <row r="47" customFormat="false" ht="17.15" hidden="false" customHeight="false" outlineLevel="0" collapsed="false">
      <c r="A47" s="0" t="s">
        <v>940</v>
      </c>
      <c r="B47" s="0" t="s">
        <v>941</v>
      </c>
      <c r="C47" s="38" t="n">
        <v>6.53</v>
      </c>
      <c r="D47" s="5" t="s">
        <v>936</v>
      </c>
      <c r="E47" s="8" t="s">
        <v>937</v>
      </c>
      <c r="F47" s="8" t="s">
        <v>46</v>
      </c>
    </row>
    <row r="48" customFormat="false" ht="17.15" hidden="false" customHeight="false" outlineLevel="0" collapsed="false">
      <c r="A48" s="0" t="s">
        <v>942</v>
      </c>
      <c r="B48" s="0" t="s">
        <v>943</v>
      </c>
      <c r="C48" s="38" t="n">
        <v>11.38</v>
      </c>
      <c r="D48" s="5" t="s">
        <v>936</v>
      </c>
      <c r="E48" s="8" t="s">
        <v>937</v>
      </c>
      <c r="F48" s="8" t="s">
        <v>46</v>
      </c>
    </row>
    <row r="49" customFormat="false" ht="17.15" hidden="false" customHeight="false" outlineLevel="0" collapsed="false">
      <c r="A49" s="0" t="s">
        <v>944</v>
      </c>
      <c r="B49" s="0" t="s">
        <v>945</v>
      </c>
      <c r="C49" s="38" t="n">
        <v>13.63</v>
      </c>
      <c r="D49" s="5" t="s">
        <v>936</v>
      </c>
      <c r="E49" s="8" t="s">
        <v>937</v>
      </c>
      <c r="F49" s="8" t="s">
        <v>46</v>
      </c>
    </row>
    <row r="50" customFormat="false" ht="17.15" hidden="false" customHeight="false" outlineLevel="0" collapsed="false">
      <c r="A50" s="0" t="s">
        <v>946</v>
      </c>
      <c r="B50" s="0" t="s">
        <v>947</v>
      </c>
      <c r="C50" s="38" t="n">
        <v>7.43</v>
      </c>
      <c r="D50" s="5" t="s">
        <v>936</v>
      </c>
      <c r="E50" s="8" t="s">
        <v>937</v>
      </c>
      <c r="F50" s="8" t="s">
        <v>46</v>
      </c>
    </row>
    <row r="51" customFormat="false" ht="17.15" hidden="false" customHeight="false" outlineLevel="0" collapsed="false">
      <c r="A51" s="0" t="s">
        <v>948</v>
      </c>
      <c r="B51" s="0" t="s">
        <v>949</v>
      </c>
      <c r="C51" s="38" t="n">
        <v>9.49</v>
      </c>
      <c r="D51" s="5" t="s">
        <v>950</v>
      </c>
      <c r="E51" s="8" t="s">
        <v>951</v>
      </c>
      <c r="F51" s="8" t="s">
        <v>46</v>
      </c>
    </row>
    <row r="52" customFormat="false" ht="17.15" hidden="false" customHeight="false" outlineLevel="0" collapsed="false">
      <c r="A52" s="0" t="s">
        <v>952</v>
      </c>
      <c r="B52" s="0" t="s">
        <v>952</v>
      </c>
      <c r="C52" s="38" t="n">
        <v>12.51</v>
      </c>
      <c r="D52" s="5" t="s">
        <v>950</v>
      </c>
      <c r="E52" s="8" t="s">
        <v>951</v>
      </c>
      <c r="F52" s="8" t="s">
        <v>46</v>
      </c>
    </row>
    <row r="53" customFormat="false" ht="17.15" hidden="false" customHeight="false" outlineLevel="0" collapsed="false">
      <c r="A53" s="0" t="s">
        <v>953</v>
      </c>
      <c r="B53" s="0" t="s">
        <v>953</v>
      </c>
      <c r="C53" s="38" t="n">
        <v>15.13</v>
      </c>
      <c r="D53" s="5" t="s">
        <v>950</v>
      </c>
      <c r="E53" s="8" t="s">
        <v>951</v>
      </c>
      <c r="F53" s="8" t="s">
        <v>46</v>
      </c>
    </row>
    <row r="54" customFormat="false" ht="17.15" hidden="false" customHeight="false" outlineLevel="0" collapsed="false">
      <c r="A54" s="0" t="s">
        <v>954</v>
      </c>
      <c r="B54" s="0" t="s">
        <v>955</v>
      </c>
      <c r="C54" s="38" t="n">
        <v>10.81</v>
      </c>
      <c r="D54" s="5" t="s">
        <v>950</v>
      </c>
      <c r="E54" s="8" t="s">
        <v>951</v>
      </c>
      <c r="F54" s="8" t="s">
        <v>46</v>
      </c>
    </row>
    <row r="55" customFormat="false" ht="17.15" hidden="false" customHeight="false" outlineLevel="0" collapsed="false">
      <c r="A55" s="0" t="s">
        <v>956</v>
      </c>
      <c r="B55" s="0" t="s">
        <v>957</v>
      </c>
      <c r="C55" s="38" t="n">
        <v>20.63</v>
      </c>
      <c r="D55" s="5" t="s">
        <v>950</v>
      </c>
      <c r="E55" s="8" t="s">
        <v>951</v>
      </c>
      <c r="F55" s="8" t="s">
        <v>46</v>
      </c>
    </row>
    <row r="56" customFormat="false" ht="17.15" hidden="false" customHeight="false" outlineLevel="0" collapsed="false">
      <c r="A56" s="0" t="s">
        <v>958</v>
      </c>
      <c r="B56" s="0" t="s">
        <v>959</v>
      </c>
      <c r="C56" s="38" t="n">
        <v>9.7</v>
      </c>
      <c r="D56" s="5" t="s">
        <v>950</v>
      </c>
      <c r="E56" s="8" t="s">
        <v>951</v>
      </c>
      <c r="F56" s="8" t="s">
        <v>46</v>
      </c>
    </row>
    <row r="57" customFormat="false" ht="17.15" hidden="false" customHeight="false" outlineLevel="0" collapsed="false">
      <c r="A57" s="0" t="s">
        <v>960</v>
      </c>
      <c r="B57" s="0" t="s">
        <v>961</v>
      </c>
      <c r="C57" s="38" t="n">
        <v>21.2</v>
      </c>
      <c r="D57" s="5" t="s">
        <v>950</v>
      </c>
      <c r="E57" s="8" t="s">
        <v>951</v>
      </c>
      <c r="F57" s="8" t="s">
        <v>46</v>
      </c>
    </row>
    <row r="58" customFormat="false" ht="17.15" hidden="false" customHeight="false" outlineLevel="0" collapsed="false">
      <c r="A58" s="0" t="s">
        <v>962</v>
      </c>
      <c r="B58" s="0" t="s">
        <v>963</v>
      </c>
      <c r="C58" s="38" t="n">
        <v>24.49</v>
      </c>
      <c r="D58" s="5" t="s">
        <v>950</v>
      </c>
      <c r="E58" s="8" t="s">
        <v>951</v>
      </c>
      <c r="F58" s="8" t="s">
        <v>46</v>
      </c>
    </row>
    <row r="59" customFormat="false" ht="17.15" hidden="false" customHeight="false" outlineLevel="0" collapsed="false">
      <c r="A59" s="3" t="s">
        <v>964</v>
      </c>
      <c r="C59" s="34" t="n">
        <f aca="false">MEDIAN(C42:C44)</f>
        <v>17.72</v>
      </c>
      <c r="D59" s="8" t="s">
        <v>965</v>
      </c>
    </row>
    <row r="60" customFormat="false" ht="17.15" hidden="false" customHeight="false" outlineLevel="0" collapsed="false">
      <c r="A60" s="3" t="s">
        <v>966</v>
      </c>
      <c r="C60" s="34" t="n">
        <f aca="false">MEDIAN(C45:C50)</f>
        <v>9.11</v>
      </c>
      <c r="D60" s="8" t="s">
        <v>967</v>
      </c>
    </row>
    <row r="61" customFormat="false" ht="17.15" hidden="false" customHeight="false" outlineLevel="0" collapsed="false">
      <c r="A61" s="3" t="s">
        <v>968</v>
      </c>
      <c r="C61" s="34" t="n">
        <f aca="false">MEDIAN(C51:C58)</f>
        <v>13.82</v>
      </c>
      <c r="D61" s="8" t="s">
        <v>969</v>
      </c>
    </row>
    <row r="62" customFormat="false" ht="17.15" hidden="false" customHeight="false" outlineLevel="0" collapsed="false">
      <c r="A62" s="0" t="s">
        <v>970</v>
      </c>
    </row>
    <row r="90" customFormat="false" ht="19.4" hidden="false" customHeight="false" outlineLevel="0" collapsed="false">
      <c r="A90" s="35" t="s">
        <v>971</v>
      </c>
    </row>
    <row r="91" customFormat="false" ht="17.15" hidden="false" customHeight="false" outlineLevel="0" collapsed="false">
      <c r="A91" s="6" t="s">
        <v>16</v>
      </c>
      <c r="B91" s="6" t="s">
        <v>17</v>
      </c>
      <c r="C91" s="23" t="s">
        <v>542</v>
      </c>
      <c r="D91" s="23" t="s">
        <v>543</v>
      </c>
      <c r="E91" s="23" t="s">
        <v>631</v>
      </c>
      <c r="F91" s="23" t="s">
        <v>632</v>
      </c>
      <c r="G91" s="23" t="s">
        <v>633</v>
      </c>
      <c r="H91" s="23" t="s">
        <v>634</v>
      </c>
      <c r="I91" s="23" t="s">
        <v>635</v>
      </c>
      <c r="J91" s="23" t="s">
        <v>636</v>
      </c>
      <c r="K91" s="23" t="s">
        <v>637</v>
      </c>
      <c r="L91" s="23" t="s">
        <v>638</v>
      </c>
      <c r="M91" s="23" t="s">
        <v>639</v>
      </c>
      <c r="N91" s="23" t="s">
        <v>640</v>
      </c>
      <c r="O91" s="23" t="s">
        <v>641</v>
      </c>
      <c r="P91" s="6" t="s">
        <v>23</v>
      </c>
      <c r="R91" s="23" t="n">
        <v>2023</v>
      </c>
      <c r="S91" s="23" t="n">
        <v>2024</v>
      </c>
      <c r="T91" s="23" t="n">
        <v>2025</v>
      </c>
      <c r="U91" s="23" t="n">
        <v>2026</v>
      </c>
      <c r="V91" s="23" t="n">
        <v>2027</v>
      </c>
      <c r="W91" s="23" t="n">
        <v>2028</v>
      </c>
      <c r="X91" s="23" t="n">
        <v>2029</v>
      </c>
      <c r="Y91" s="23" t="n">
        <v>2030</v>
      </c>
      <c r="Z91" s="23" t="n">
        <v>2031</v>
      </c>
      <c r="AA91" s="23" t="n">
        <v>2032</v>
      </c>
    </row>
    <row r="92" customFormat="false" ht="17.15" hidden="false" customHeight="false" outlineLevel="0" collapsed="false">
      <c r="A92" s="1" t="s">
        <v>972</v>
      </c>
    </row>
    <row r="93" customFormat="false" ht="17.15" hidden="false" customHeight="false" outlineLevel="0" collapsed="false">
      <c r="A93" s="0" t="s">
        <v>973</v>
      </c>
      <c r="B93" s="0" t="s">
        <v>91</v>
      </c>
      <c r="H93" s="40" t="n">
        <f aca="false">PL!$H$50*(1-tax)</f>
        <v>135.33801582892</v>
      </c>
      <c r="I93" s="40" t="n">
        <f aca="false">PL!$I$50*(1-tax)</f>
        <v>165.869041311082</v>
      </c>
      <c r="J93" s="40" t="n">
        <f aca="false">PL!$J$50*(1-tax)</f>
        <v>201.149639599756</v>
      </c>
      <c r="K93" s="40" t="n">
        <f aca="false">PL!$K$50*(1-tax)</f>
        <v>228.825981524471</v>
      </c>
      <c r="L93" s="40" t="n">
        <f aca="false">PL!$L$50*(1-tax)</f>
        <v>250.100700222595</v>
      </c>
      <c r="M93" s="40" t="n">
        <f aca="false">PL!$M$50*(1-tax)</f>
        <v>267.176841538593</v>
      </c>
    </row>
    <row r="94" customFormat="false" ht="15" hidden="false" customHeight="false" outlineLevel="0" collapsed="false">
      <c r="A94" s="5" t="s">
        <v>974</v>
      </c>
      <c r="B94" s="0" t="s">
        <v>91</v>
      </c>
      <c r="H94" s="40" t="n">
        <f aca="false">PL!$H$61</f>
        <v>78.7771455603241</v>
      </c>
      <c r="I94" s="40" t="n">
        <f aca="false">PL!$I$61</f>
        <v>114.577549112487</v>
      </c>
      <c r="J94" s="40" t="n">
        <f aca="false">PL!$J$61</f>
        <v>144.228458494185</v>
      </c>
      <c r="K94" s="40" t="n">
        <f aca="false">PL!$K$61</f>
        <v>173.948407816128</v>
      </c>
      <c r="L94" s="40" t="n">
        <f aca="false">PL!$L$61</f>
        <v>196.32786032093</v>
      </c>
      <c r="M94" s="40" t="n">
        <f aca="false">PL!$M$61</f>
        <v>210.362394060399</v>
      </c>
    </row>
    <row r="95" customFormat="false" ht="15" hidden="false" customHeight="false" outlineLevel="0" collapsed="false">
      <c r="A95" s="5" t="s">
        <v>975</v>
      </c>
      <c r="B95" s="0" t="s">
        <v>91</v>
      </c>
      <c r="H95" s="40" t="n">
        <f aca="false">CF!$H$24</f>
        <v>250.465066967637</v>
      </c>
      <c r="I95" s="40" t="n">
        <f aca="false">CF!$I$24</f>
        <v>264.263106520218</v>
      </c>
      <c r="J95" s="40" t="n">
        <f aca="false">CF!$J$24</f>
        <v>275.697427678724</v>
      </c>
      <c r="K95" s="40" t="n">
        <f aca="false">CF!$K$24</f>
        <v>233.507218247332</v>
      </c>
      <c r="L95" s="40" t="n">
        <f aca="false">CF!$L$24</f>
        <v>217.56276144173</v>
      </c>
      <c r="M95" s="40" t="n">
        <f aca="false">CF!$M$24</f>
        <v>223.624646661817</v>
      </c>
    </row>
    <row r="96" customFormat="false" ht="15" hidden="false" customHeight="false" outlineLevel="0" collapsed="false">
      <c r="A96" s="5" t="s">
        <v>976</v>
      </c>
      <c r="B96" s="0" t="s">
        <v>91</v>
      </c>
      <c r="H96" s="40" t="n">
        <f aca="false">CF!$H$25</f>
        <v>1.6</v>
      </c>
      <c r="I96" s="40" t="n">
        <f aca="false">CF!$I$25</f>
        <v>1.6</v>
      </c>
      <c r="J96" s="40" t="n">
        <f aca="false">CF!$J$25</f>
        <v>1.6</v>
      </c>
      <c r="K96" s="40" t="n">
        <f aca="false">CF!$K$25</f>
        <v>1.6</v>
      </c>
      <c r="L96" s="40" t="n">
        <f aca="false">CF!$L$25</f>
        <v>1.6</v>
      </c>
      <c r="M96" s="40" t="n">
        <f aca="false">CF!$M$25</f>
        <v>1.6</v>
      </c>
    </row>
    <row r="97" customFormat="false" ht="15" hidden="false" customHeight="false" outlineLevel="0" collapsed="false">
      <c r="A97" s="5" t="s">
        <v>977</v>
      </c>
      <c r="B97" s="0" t="s">
        <v>91</v>
      </c>
      <c r="H97" s="40" t="n">
        <f aca="false">CF!$H$19</f>
        <v>11.5223379717677</v>
      </c>
      <c r="I97" s="40" t="n">
        <f aca="false">CF!$I$19</f>
        <v>13.1703770300288</v>
      </c>
      <c r="J97" s="40" t="n">
        <f aca="false">CF!$J$19</f>
        <v>14.7590626159694</v>
      </c>
      <c r="K97" s="40" t="n">
        <f aca="false">CF!$K$19</f>
        <v>16.1554394356695</v>
      </c>
      <c r="L97" s="40" t="n">
        <f aca="false">CF!$L$19</f>
        <v>17.4263834107411</v>
      </c>
      <c r="M97" s="40" t="n">
        <f aca="false">CF!$M$19</f>
        <v>18.575985975125</v>
      </c>
    </row>
    <row r="98" customFormat="false" ht="17.15" hidden="false" customHeight="false" outlineLevel="0" collapsed="false">
      <c r="A98" s="1" t="s">
        <v>978</v>
      </c>
      <c r="B98" s="8" t="s">
        <v>91</v>
      </c>
      <c r="H98" s="40" t="n">
        <f aca="false">Val!$H$93+Val!$H$94-Val!$H$95-Val!$H$96+Val!$H$97</f>
        <v>-26.4275676066256</v>
      </c>
      <c r="I98" s="40" t="n">
        <f aca="false">Val!$I$93+Val!$I$94-Val!$I$95-Val!$I$96+Val!$I$97</f>
        <v>27.7538609333799</v>
      </c>
      <c r="J98" s="40" t="n">
        <f aca="false">Val!$J$93+Val!$J$94-Val!$J$95-Val!$J$96+Val!$J$97</f>
        <v>82.8397330311869</v>
      </c>
      <c r="K98" s="40" t="n">
        <f aca="false">Val!$K$93+Val!$K$94-Val!$K$95-Val!$K$96+Val!$K$97</f>
        <v>183.822610528936</v>
      </c>
      <c r="L98" s="40" t="n">
        <f aca="false">Val!$L$93+Val!$L$94-Val!$L$95-Val!$L$96+Val!$L$97</f>
        <v>244.692182512535</v>
      </c>
      <c r="M98" s="40" t="n">
        <f aca="false">Val!$M$93+Val!$M$94-Val!$M$95-Val!$M$96+Val!$M$97</f>
        <v>270.8905749123</v>
      </c>
    </row>
    <row r="99" customFormat="false" ht="15" hidden="false" customHeight="false" outlineLevel="0" collapsed="false">
      <c r="A99" s="5" t="s">
        <v>979</v>
      </c>
      <c r="B99" s="0" t="s">
        <v>61</v>
      </c>
      <c r="H99" s="42" t="n">
        <f aca="false">1/(1+wacc)^(2027-2026-0.5)</f>
        <v>0.948332509417004</v>
      </c>
      <c r="I99" s="42" t="n">
        <f aca="false">1/(1+wacc)^(2028-2026-0.5)</f>
        <v>0.852868189105847</v>
      </c>
      <c r="J99" s="42" t="n">
        <f aca="false">1/(1+wacc)^(2029-2026-0.5)</f>
        <v>0.767013827708861</v>
      </c>
      <c r="K99" s="42" t="n">
        <f aca="false">1/(1+wacc)^(2030-2026-0.5)</f>
        <v>0.68980203437226</v>
      </c>
      <c r="L99" s="42" t="n">
        <f aca="false">1/(1+wacc)^(2031-2026-0.5)</f>
        <v>0.62036280107941</v>
      </c>
      <c r="M99" s="42" t="n">
        <f aca="false">1/(1+wacc)^(2032-2026-0.5)</f>
        <v>0.557913699563551</v>
      </c>
    </row>
    <row r="100" customFormat="false" ht="15" hidden="false" customHeight="false" outlineLevel="0" collapsed="false">
      <c r="A100" s="5" t="s">
        <v>980</v>
      </c>
      <c r="B100" s="0" t="s">
        <v>91</v>
      </c>
      <c r="H100" s="40" t="n">
        <f aca="false">Val!$H$98*Val!$H$99</f>
        <v>-25.0621215061788</v>
      </c>
      <c r="I100" s="40" t="n">
        <f aca="false">Val!$I$98*Val!$I$99</f>
        <v>23.6703851149472</v>
      </c>
      <c r="J100" s="40" t="n">
        <f aca="false">Val!$J$98*Val!$J$99</f>
        <v>63.5392207186308</v>
      </c>
      <c r="K100" s="40" t="n">
        <f aca="false">Val!$K$98*Val!$K$99</f>
        <v>126.80121070648</v>
      </c>
      <c r="L100" s="40" t="n">
        <f aca="false">Val!$L$98*Val!$L$99</f>
        <v>151.79792774571</v>
      </c>
      <c r="M100" s="40" t="n">
        <f aca="false">Val!$M$98*Val!$M$99</f>
        <v>151.133562826218</v>
      </c>
    </row>
    <row r="101" customFormat="false" ht="15" hidden="false" customHeight="false" outlineLevel="0" collapsed="false">
      <c r="A101" s="5" t="s">
        <v>981</v>
      </c>
      <c r="B101" s="0" t="s">
        <v>91</v>
      </c>
      <c r="C101" s="40" t="n">
        <f aca="false">SUM(Val!$H$100:$M$100)</f>
        <v>491.880185605808</v>
      </c>
    </row>
    <row r="102" customFormat="false" ht="17.15" hidden="false" customHeight="false" outlineLevel="0" collapsed="false">
      <c r="A102" s="5" t="s">
        <v>982</v>
      </c>
      <c r="B102" s="0" t="s">
        <v>91</v>
      </c>
      <c r="C102" s="40" t="n">
        <f aca="false">Val!$M$93*(1+tg)*(1-tg/ronic)/(wacc-tg)</f>
        <v>2458.53767270816</v>
      </c>
    </row>
    <row r="103" customFormat="false" ht="15" hidden="false" customHeight="false" outlineLevel="0" collapsed="false">
      <c r="A103" s="5" t="s">
        <v>983</v>
      </c>
      <c r="B103" s="0" t="s">
        <v>91</v>
      </c>
      <c r="C103" s="40" t="n">
        <f aca="false">Val!$C$102/(1+wacc)^6</f>
        <v>1300.78203953161</v>
      </c>
    </row>
    <row r="104" customFormat="false" ht="17.15" hidden="false" customHeight="false" outlineLevel="0" collapsed="false">
      <c r="A104" s="5" t="s">
        <v>984</v>
      </c>
      <c r="B104" s="0" t="s">
        <v>91</v>
      </c>
      <c r="C104" s="40" t="n">
        <f aca="false">Val!$C$101+Val!$C$103</f>
        <v>1792.66222513742</v>
      </c>
    </row>
    <row r="105" customFormat="false" ht="17.15" hidden="false" customHeight="false" outlineLevel="0" collapsed="false">
      <c r="A105" s="5" t="s">
        <v>985</v>
      </c>
      <c r="B105" s="0" t="s">
        <v>56</v>
      </c>
      <c r="C105" s="13" t="n">
        <f aca="false">Val!$C$103/Val!$C$104</f>
        <v>0.725614687079099</v>
      </c>
    </row>
    <row r="106" customFormat="false" ht="17.15" hidden="false" customHeight="false" outlineLevel="0" collapsed="false">
      <c r="A106" s="5" t="s">
        <v>986</v>
      </c>
      <c r="B106" s="0" t="s">
        <v>91</v>
      </c>
      <c r="C106" s="40" t="n">
        <f aca="false">CF!$G$36+fin_debt</f>
        <v>67.2377922659654</v>
      </c>
    </row>
    <row r="107" customFormat="false" ht="17.15" hidden="false" customHeight="false" outlineLevel="0" collapsed="false">
      <c r="A107" s="5" t="s">
        <v>987</v>
      </c>
      <c r="B107" s="0" t="s">
        <v>91</v>
      </c>
      <c r="C107" s="40" t="n">
        <f aca="false">(ant_val*ant_sh+oai_val*oai_sh)*(1-liq_disc)</f>
        <v>178.944</v>
      </c>
    </row>
    <row r="108" customFormat="false" ht="15" hidden="false" customHeight="false" outlineLevel="0" collapsed="false">
      <c r="A108" s="5" t="s">
        <v>988</v>
      </c>
      <c r="B108" s="0" t="s">
        <v>91</v>
      </c>
      <c r="C108" s="40" t="n">
        <f aca="false">Val!$C$104-Val!$C$106+Val!$C$107</f>
        <v>1904.36843287145</v>
      </c>
    </row>
    <row r="109" customFormat="false" ht="17.15" hidden="false" customHeight="false" outlineLevel="0" collapsed="false">
      <c r="A109" s="5" t="s">
        <v>989</v>
      </c>
      <c r="B109" s="0" t="s">
        <v>27</v>
      </c>
      <c r="C109" s="34" t="n">
        <f aca="false">Val!$C$108/sh_out</f>
        <v>176.150997398155</v>
      </c>
    </row>
    <row r="110" customFormat="false" ht="17.15" hidden="false" customHeight="false" outlineLevel="0" collapsed="false">
      <c r="A110" s="1" t="s">
        <v>990</v>
      </c>
      <c r="B110" s="8" t="s">
        <v>27</v>
      </c>
      <c r="C110" s="34" t="n">
        <f aca="false">Val!$C$109*(1+ke)^tp_yf-dps*tp_yf</f>
        <v>193.170402673649</v>
      </c>
    </row>
    <row r="111" customFormat="false" ht="17.15" hidden="false" customHeight="false" outlineLevel="0" collapsed="false">
      <c r="A111" s="3" t="s">
        <v>991</v>
      </c>
    </row>
    <row r="112" customFormat="false" ht="17.15" hidden="false" customHeight="false" outlineLevel="0" collapsed="false">
      <c r="A112" s="5" t="s">
        <v>992</v>
      </c>
      <c r="B112" s="0" t="s">
        <v>91</v>
      </c>
      <c r="C112" s="40" t="n">
        <f aca="false">(1-tp_yf)*(PL!$H$62+sbc_ab*CF!$H$18*Seg!$H$13/Seg!$H$30)+tp_yf*(PL!$I$62+sbc_ab*CF!$I$18*Seg!$I$13/Seg!$I$30)</f>
        <v>56.9188491683843</v>
      </c>
    </row>
    <row r="113" customFormat="false" ht="15" hidden="false" customHeight="false" outlineLevel="0" collapsed="false">
      <c r="A113" s="5" t="s">
        <v>993</v>
      </c>
      <c r="B113" s="0" t="s">
        <v>61</v>
      </c>
      <c r="C113" s="34" t="n">
        <f aca="false">m_ads*m_x</f>
        <v>9.11</v>
      </c>
    </row>
    <row r="114" customFormat="false" ht="17.15" hidden="false" customHeight="false" outlineLevel="0" collapsed="false">
      <c r="A114" s="5" t="s">
        <v>994</v>
      </c>
      <c r="B114" s="0" t="s">
        <v>91</v>
      </c>
      <c r="C114" s="40" t="n">
        <f aca="false">Val!$C$112*Val!$C$113</f>
        <v>518.530715923981</v>
      </c>
    </row>
    <row r="115" customFormat="false" ht="17.15" hidden="false" customHeight="false" outlineLevel="0" collapsed="false">
      <c r="A115" s="5" t="s">
        <v>995</v>
      </c>
      <c r="B115" s="0" t="s">
        <v>91</v>
      </c>
      <c r="C115" s="40" t="n">
        <f aca="false">(1-tp_yf)*(PL!$H$63+sbc_ab*CF!$H$18*(Seg!$H$20-Seg!$H$13)/Seg!$H$30+IF(internal_ai_reading=2,1,0)*(1-ext_sh)*Thesis!$H$28)+tp_yf*(PL!$I$63+sbc_ab*CF!$I$18*(Seg!$I$20-Seg!$I$13)/Seg!$I$30+IF(internal_ai_reading=2,1,0)*(1-ext_sh)*Thesis!$I$28)</f>
        <v>57.7589406701679</v>
      </c>
    </row>
    <row r="116" customFormat="false" ht="17.15" hidden="false" customHeight="false" outlineLevel="0" collapsed="false">
      <c r="A116" s="5" t="s">
        <v>996</v>
      </c>
      <c r="B116" s="0" t="s">
        <v>61</v>
      </c>
      <c r="C116" s="34" t="n">
        <f aca="false">m_retail*m_x</f>
        <v>17.72</v>
      </c>
    </row>
    <row r="117" customFormat="false" ht="17.15" hidden="false" customHeight="false" outlineLevel="0" collapsed="false">
      <c r="A117" s="5" t="s">
        <v>997</v>
      </c>
      <c r="B117" s="0" t="s">
        <v>91</v>
      </c>
      <c r="C117" s="40" t="n">
        <f aca="false">Val!$C$115*Val!$C$116</f>
        <v>1023.48842867538</v>
      </c>
    </row>
    <row r="118" customFormat="false" ht="17.15" hidden="false" customHeight="false" outlineLevel="0" collapsed="false">
      <c r="A118" s="0" t="s">
        <v>998</v>
      </c>
      <c r="B118" s="0" t="s">
        <v>91</v>
      </c>
      <c r="C118" s="40" t="n">
        <f aca="false">(1-tp_yf)*(PL!$H$64+sbc_ab*CF!$H$18*Seg!$H$28/Seg!$H$30)+tp_yf*(PL!$I$64+sbc_ab*CF!$I$18*Seg!$I$28/Seg!$I$30)</f>
        <v>101.29670394553</v>
      </c>
    </row>
    <row r="119" customFormat="false" ht="17.15" hidden="false" customHeight="false" outlineLevel="0" collapsed="false">
      <c r="A119" s="0" t="s">
        <v>999</v>
      </c>
      <c r="B119" s="0" t="s">
        <v>61</v>
      </c>
      <c r="C119" s="34" t="n">
        <f aca="false">m_cloud*m_x</f>
        <v>13.82</v>
      </c>
    </row>
    <row r="120" customFormat="false" ht="17.15" hidden="false" customHeight="false" outlineLevel="0" collapsed="false">
      <c r="A120" s="0" t="s">
        <v>1000</v>
      </c>
      <c r="B120" s="0" t="s">
        <v>91</v>
      </c>
      <c r="C120" s="40" t="n">
        <f aca="false">Val!$C$118*Val!$C$119</f>
        <v>1399.92044852722</v>
      </c>
    </row>
    <row r="121" customFormat="false" ht="17.15" hidden="false" customHeight="false" outlineLevel="0" collapsed="false">
      <c r="A121" s="0" t="s">
        <v>1001</v>
      </c>
      <c r="B121" s="0" t="s">
        <v>91</v>
      </c>
      <c r="H121" s="40" t="n">
        <f aca="false">Thesis!$H$53-tax*Thesis!$H$54-ext_sh*Thesis!$H$35</f>
        <v>-87.8198412956096</v>
      </c>
      <c r="I121" s="40" t="n">
        <f aca="false">Thesis!$I$53-tax*Thesis!$I$54-ext_sh*Thesis!$I$35</f>
        <v>-51.8561393323732</v>
      </c>
      <c r="J121" s="40" t="n">
        <f aca="false">Thesis!$J$53-tax*Thesis!$J$54-ext_sh*Thesis!$J$35</f>
        <v>-14.9248097425941</v>
      </c>
      <c r="K121" s="40" t="n">
        <f aca="false">Thesis!$K$53-tax*Thesis!$K$54-ext_sh*Thesis!$K$35</f>
        <v>58.999141929504</v>
      </c>
      <c r="L121" s="40" t="n">
        <f aca="false">Thesis!$L$53-tax*Thesis!$L$54-ext_sh*Thesis!$L$35</f>
        <v>100.438859114026</v>
      </c>
      <c r="M121" s="40" t="n">
        <f aca="false">Thesis!$M$53-tax*Thesis!$M$54-ext_sh*Thesis!$M$35</f>
        <v>112.635776819746</v>
      </c>
    </row>
    <row r="122" customFormat="false" ht="17.15" hidden="false" customHeight="false" outlineLevel="0" collapsed="false">
      <c r="A122" s="5" t="s">
        <v>1002</v>
      </c>
      <c r="B122" s="0" t="s">
        <v>91</v>
      </c>
      <c r="H122" s="40" t="n">
        <f aca="false">Val!$H$121*Val!$H$99</f>
        <v>-83.2824104724685</v>
      </c>
      <c r="I122" s="40" t="n">
        <f aca="false">Val!$I$121*Val!$I$99</f>
        <v>-44.2264516464216</v>
      </c>
      <c r="J122" s="40" t="n">
        <f aca="false">Val!$J$121*Val!$J$99</f>
        <v>-11.4475354484936</v>
      </c>
      <c r="K122" s="40" t="n">
        <f aca="false">Val!$K$121*Val!$K$99</f>
        <v>40.6977281291896</v>
      </c>
      <c r="L122" s="40" t="n">
        <f aca="false">Val!$L$121*Val!$L$99</f>
        <v>62.3085319771975</v>
      </c>
      <c r="M122" s="40" t="n">
        <f aca="false">Val!$M$121*Val!$M$99</f>
        <v>62.8410429487187</v>
      </c>
    </row>
    <row r="123" customFormat="false" ht="17.15" hidden="false" customHeight="false" outlineLevel="0" collapsed="false">
      <c r="A123" s="5" t="s">
        <v>1003</v>
      </c>
      <c r="B123" s="0" t="s">
        <v>91</v>
      </c>
      <c r="C123" s="40" t="n">
        <f aca="false">Thesis!$M$54*(1-tax)*(1+tg)*(1-tg/ronic)/(wacc-tg)</f>
        <v>883.696459372266</v>
      </c>
    </row>
    <row r="124" customFormat="false" ht="17.15" hidden="false" customHeight="false" outlineLevel="0" collapsed="false">
      <c r="A124" s="0" t="s">
        <v>1004</v>
      </c>
      <c r="B124" s="0" t="s">
        <v>91</v>
      </c>
      <c r="C124" s="40" t="n">
        <f aca="false">(SUM(Val!$I$122:$M$122)+Val!$C$123/(1+wacc)^6)*(1+wacc)^tp_yf</f>
        <v>631.102629871177</v>
      </c>
    </row>
    <row r="125" customFormat="false" ht="17.15" hidden="false" customHeight="false" outlineLevel="0" collapsed="false">
      <c r="A125" s="5" t="s">
        <v>1005</v>
      </c>
      <c r="B125" s="0" t="s">
        <v>91</v>
      </c>
      <c r="C125" s="40" t="n">
        <f aca="false">(1-tp_yf)*(PL!$H$65)+tp_yf*(PL!$I$65)</f>
        <v>95.3445955595587</v>
      </c>
    </row>
    <row r="126" customFormat="false" ht="17.15" hidden="false" customHeight="false" outlineLevel="0" collapsed="false">
      <c r="A126" s="5" t="s">
        <v>1006</v>
      </c>
      <c r="B126" s="0" t="s">
        <v>91</v>
      </c>
      <c r="C126" s="40" t="n">
        <f aca="false">Val!$C$125*m_ai</f>
        <v>572.067573357352</v>
      </c>
    </row>
    <row r="127" customFormat="false" ht="17.15" hidden="false" customHeight="false" outlineLevel="0" collapsed="false">
      <c r="A127" s="0" t="s">
        <v>1007</v>
      </c>
      <c r="B127" s="0" t="s">
        <v>91</v>
      </c>
      <c r="C127" s="40" t="n">
        <f aca="false">IF(ai_leg=1,Val!$C$124,Val!$C$126)</f>
        <v>631.102629871177</v>
      </c>
    </row>
    <row r="128" customFormat="false" ht="17.15" hidden="false" customHeight="false" outlineLevel="0" collapsed="false">
      <c r="A128" s="5" t="s">
        <v>1008</v>
      </c>
      <c r="B128" s="0" t="s">
        <v>91</v>
      </c>
      <c r="C128" s="40" t="n">
        <f aca="false">Val!$C$114+Val!$C$117+Val!$C$120+Val!$C$127</f>
        <v>3573.04222299776</v>
      </c>
    </row>
    <row r="129" customFormat="false" ht="17.15" hidden="false" customHeight="false" outlineLevel="0" collapsed="false">
      <c r="A129" s="5" t="s">
        <v>1009</v>
      </c>
      <c r="B129" s="0" t="s">
        <v>91</v>
      </c>
      <c r="C129" s="40" t="n">
        <f aca="false">CF!$H$36+fin_debt</f>
        <v>82.5447430449908</v>
      </c>
    </row>
    <row r="130" customFormat="false" ht="15" hidden="false" customHeight="false" outlineLevel="0" collapsed="false">
      <c r="A130" s="5" t="s">
        <v>1010</v>
      </c>
      <c r="B130" s="0" t="s">
        <v>91</v>
      </c>
      <c r="C130" s="40" t="n">
        <f aca="false">Val!$C$128-Val!$C$129+Val!$C$107</f>
        <v>3669.44147995276</v>
      </c>
    </row>
    <row r="131" customFormat="false" ht="15" hidden="false" customHeight="false" outlineLevel="0" collapsed="false">
      <c r="A131" s="3" t="s">
        <v>1011</v>
      </c>
      <c r="B131" s="8" t="s">
        <v>27</v>
      </c>
      <c r="C131" s="34" t="n">
        <f aca="false">Val!$C$130/sh_val</f>
        <v>332.557683519373</v>
      </c>
    </row>
    <row r="132" customFormat="false" ht="17.15" hidden="false" customHeight="false" outlineLevel="0" collapsed="false">
      <c r="A132" s="48" t="s">
        <v>1012</v>
      </c>
      <c r="B132" s="14" t="s">
        <v>27</v>
      </c>
      <c r="C132" s="46" t="n">
        <f aca="false">w_dcf*Val!$C$110+(1-w_dcf)*Val!$C$131</f>
        <v>262.864043096511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</row>
    <row r="133" customFormat="false" ht="17.15" hidden="false" customHeight="false" outlineLevel="0" collapsed="false">
      <c r="A133" s="5" t="s">
        <v>1013</v>
      </c>
      <c r="B133" s="0" t="s">
        <v>27</v>
      </c>
      <c r="C133" s="34" t="n">
        <f aca="false">(Val!$C$130-Val!$C$127+Val!$C$126)/sh_val</f>
        <v>327.207397447792</v>
      </c>
    </row>
    <row r="136" customFormat="false" ht="19.4" hidden="false" customHeight="false" outlineLevel="0" collapsed="false">
      <c r="A136" s="35" t="s">
        <v>1014</v>
      </c>
    </row>
    <row r="137" customFormat="false" ht="17.15" hidden="false" customHeight="false" outlineLevel="0" collapsed="false">
      <c r="A137" s="6" t="s">
        <v>16</v>
      </c>
      <c r="B137" s="6" t="s">
        <v>17</v>
      </c>
      <c r="C137" s="23" t="s">
        <v>542</v>
      </c>
      <c r="D137" s="23" t="s">
        <v>543</v>
      </c>
      <c r="E137" s="23" t="s">
        <v>631</v>
      </c>
      <c r="F137" s="23" t="s">
        <v>632</v>
      </c>
      <c r="G137" s="23" t="s">
        <v>633</v>
      </c>
      <c r="H137" s="23" t="s">
        <v>634</v>
      </c>
      <c r="I137" s="23" t="s">
        <v>635</v>
      </c>
      <c r="J137" s="23" t="s">
        <v>636</v>
      </c>
      <c r="K137" s="23" t="s">
        <v>637</v>
      </c>
      <c r="L137" s="23" t="s">
        <v>638</v>
      </c>
      <c r="M137" s="23" t="s">
        <v>639</v>
      </c>
      <c r="N137" s="23" t="s">
        <v>640</v>
      </c>
      <c r="O137" s="23" t="s">
        <v>641</v>
      </c>
      <c r="P137" s="6" t="s">
        <v>23</v>
      </c>
      <c r="R137" s="23" t="n">
        <v>2023</v>
      </c>
      <c r="S137" s="23" t="n">
        <v>2024</v>
      </c>
      <c r="T137" s="23" t="n">
        <v>2025</v>
      </c>
      <c r="U137" s="23" t="n">
        <v>2026</v>
      </c>
      <c r="V137" s="23" t="n">
        <v>2027</v>
      </c>
      <c r="W137" s="23" t="n">
        <v>2028</v>
      </c>
      <c r="X137" s="23" t="n">
        <v>2029</v>
      </c>
      <c r="Y137" s="23" t="n">
        <v>2030</v>
      </c>
      <c r="Z137" s="23" t="n">
        <v>2031</v>
      </c>
      <c r="AA137" s="23" t="n">
        <v>2032</v>
      </c>
    </row>
    <row r="138" customFormat="false" ht="17.15" hidden="false" customHeight="false" outlineLevel="0" collapsed="false">
      <c r="A138" s="1" t="s">
        <v>972</v>
      </c>
    </row>
    <row r="139" customFormat="false" ht="17.15" hidden="false" customHeight="false" outlineLevel="0" collapsed="false">
      <c r="A139" s="0" t="s">
        <v>973</v>
      </c>
      <c r="B139" s="0" t="s">
        <v>91</v>
      </c>
      <c r="H139" s="40" t="n">
        <f aca="false">PL!$H$120*(1-tax)</f>
        <v>120.981717753072</v>
      </c>
      <c r="I139" s="40" t="n">
        <f aca="false">PL!$I$120*(1-tax)</f>
        <v>136.451468756655</v>
      </c>
      <c r="J139" s="40" t="n">
        <f aca="false">PL!$J$120*(1-tax)</f>
        <v>156.578112773447</v>
      </c>
      <c r="K139" s="40" t="n">
        <f aca="false">PL!$K$120*(1-tax)</f>
        <v>171.283007967907</v>
      </c>
      <c r="L139" s="40" t="n">
        <f aca="false">PL!$L$120*(1-tax)</f>
        <v>184.018296886549</v>
      </c>
      <c r="M139" s="40" t="n">
        <f aca="false">PL!$M$120*(1-tax)</f>
        <v>197.000121933901</v>
      </c>
    </row>
    <row r="140" customFormat="false" ht="15" hidden="false" customHeight="false" outlineLevel="0" collapsed="false">
      <c r="A140" s="5" t="s">
        <v>974</v>
      </c>
      <c r="B140" s="0" t="s">
        <v>91</v>
      </c>
      <c r="H140" s="40" t="n">
        <f aca="false">PL!$H$131</f>
        <v>78.7771455603241</v>
      </c>
      <c r="I140" s="40" t="n">
        <f aca="false">PL!$I$131</f>
        <v>114.930756142734</v>
      </c>
      <c r="J140" s="40" t="n">
        <f aca="false">PL!$J$131</f>
        <v>144.950446317972</v>
      </c>
      <c r="K140" s="40" t="n">
        <f aca="false">PL!$K$131</f>
        <v>175.039176433454</v>
      </c>
      <c r="L140" s="40" t="n">
        <f aca="false">PL!$L$131</f>
        <v>197.676468176405</v>
      </c>
      <c r="M140" s="40" t="n">
        <f aca="false">PL!$M$131</f>
        <v>211.857899598634</v>
      </c>
    </row>
    <row r="141" customFormat="false" ht="15" hidden="false" customHeight="false" outlineLevel="0" collapsed="false">
      <c r="A141" s="5" t="s">
        <v>975</v>
      </c>
      <c r="B141" s="0" t="s">
        <v>91</v>
      </c>
      <c r="H141" s="40" t="n">
        <f aca="false">CF!$H$54</f>
        <v>253.080086249122</v>
      </c>
      <c r="I141" s="40" t="n">
        <f aca="false">CF!$I$54</f>
        <v>266.971568381453</v>
      </c>
      <c r="J141" s="40" t="n">
        <f aca="false">CF!$J$54</f>
        <v>278.405889539959</v>
      </c>
      <c r="K141" s="40" t="n">
        <f aca="false">CF!$K$54</f>
        <v>235.400884498646</v>
      </c>
      <c r="L141" s="40" t="n">
        <f aca="false">CF!$L$54</f>
        <v>218.641632083122</v>
      </c>
      <c r="M141" s="40" t="n">
        <f aca="false">CF!$M$54</f>
        <v>224.388773908596</v>
      </c>
    </row>
    <row r="142" customFormat="false" ht="15" hidden="false" customHeight="false" outlineLevel="0" collapsed="false">
      <c r="A142" s="5" t="s">
        <v>976</v>
      </c>
      <c r="B142" s="0" t="s">
        <v>91</v>
      </c>
      <c r="H142" s="40" t="n">
        <f aca="false">CF!$H$55</f>
        <v>1.6</v>
      </c>
      <c r="I142" s="40" t="n">
        <f aca="false">CF!$I$55</f>
        <v>1.6</v>
      </c>
      <c r="J142" s="40" t="n">
        <f aca="false">CF!$J$55</f>
        <v>1.6</v>
      </c>
      <c r="K142" s="40" t="n">
        <f aca="false">CF!$K$55</f>
        <v>1.6</v>
      </c>
      <c r="L142" s="40" t="n">
        <f aca="false">CF!$L$55</f>
        <v>1.6</v>
      </c>
      <c r="M142" s="40" t="n">
        <f aca="false">CF!$M$55</f>
        <v>1.6</v>
      </c>
    </row>
    <row r="143" customFormat="false" ht="15" hidden="false" customHeight="false" outlineLevel="0" collapsed="false">
      <c r="A143" s="5" t="s">
        <v>977</v>
      </c>
      <c r="B143" s="0" t="s">
        <v>91</v>
      </c>
      <c r="H143" s="40" t="n">
        <f aca="false">CF!$H$49</f>
        <v>11.3144280776777</v>
      </c>
      <c r="I143" s="40" t="n">
        <f aca="false">CF!$I$49</f>
        <v>12.7486312580637</v>
      </c>
      <c r="J143" s="40" t="n">
        <f aca="false">CF!$J$49</f>
        <v>14.1223181309909</v>
      </c>
      <c r="K143" s="40" t="n">
        <f aca="false">CF!$K$49</f>
        <v>15.3352955460563</v>
      </c>
      <c r="L143" s="40" t="n">
        <f aca="false">CF!$L$49</f>
        <v>16.4856799874519</v>
      </c>
      <c r="M143" s="40" t="n">
        <f aca="false">CF!$M$49</f>
        <v>17.5777535633631</v>
      </c>
    </row>
    <row r="144" customFormat="false" ht="17.15" hidden="false" customHeight="false" outlineLevel="0" collapsed="false">
      <c r="A144" s="1" t="s">
        <v>978</v>
      </c>
      <c r="B144" s="8" t="s">
        <v>91</v>
      </c>
      <c r="H144" s="40" t="n">
        <f aca="false">Val!$H$139+Val!$H$140-Val!$H$141-Val!$H$142+Val!$H$143</f>
        <v>-43.6067948580478</v>
      </c>
      <c r="I144" s="40" t="n">
        <f aca="false">Val!$I$139+Val!$I$140-Val!$I$141-Val!$I$142+Val!$I$143</f>
        <v>-4.44071222399949</v>
      </c>
      <c r="J144" s="40" t="n">
        <f aca="false">Val!$J$139+Val!$J$140-Val!$J$141-Val!$J$142+Val!$J$143</f>
        <v>35.6449876824511</v>
      </c>
      <c r="K144" s="40" t="n">
        <f aca="false">Val!$K$139+Val!$K$140-Val!$K$141-Val!$K$142+Val!$K$143</f>
        <v>124.656595448772</v>
      </c>
      <c r="L144" s="40" t="n">
        <f aca="false">Val!$L$139+Val!$L$140-Val!$L$141-Val!$L$142+Val!$L$143</f>
        <v>177.938812967284</v>
      </c>
      <c r="M144" s="40" t="n">
        <f aca="false">Val!$M$139+Val!$M$140-Val!$M$141-Val!$M$142+Val!$M$143</f>
        <v>200.447001187303</v>
      </c>
    </row>
    <row r="145" customFormat="false" ht="15" hidden="false" customHeight="false" outlineLevel="0" collapsed="false">
      <c r="A145" s="5" t="s">
        <v>979</v>
      </c>
      <c r="B145" s="0" t="s">
        <v>61</v>
      </c>
      <c r="H145" s="42" t="n">
        <f aca="false">1/(1+wacc)^(2027-2026-0.5)</f>
        <v>0.948332509417004</v>
      </c>
      <c r="I145" s="42" t="n">
        <f aca="false">1/(1+wacc)^(2028-2026-0.5)</f>
        <v>0.852868189105847</v>
      </c>
      <c r="J145" s="42" t="n">
        <f aca="false">1/(1+wacc)^(2029-2026-0.5)</f>
        <v>0.767013827708861</v>
      </c>
      <c r="K145" s="42" t="n">
        <f aca="false">1/(1+wacc)^(2030-2026-0.5)</f>
        <v>0.68980203437226</v>
      </c>
      <c r="L145" s="42" t="n">
        <f aca="false">1/(1+wacc)^(2031-2026-0.5)</f>
        <v>0.62036280107941</v>
      </c>
      <c r="M145" s="42" t="n">
        <f aca="false">1/(1+wacc)^(2032-2026-0.5)</f>
        <v>0.557913699563551</v>
      </c>
    </row>
    <row r="146" customFormat="false" ht="15" hidden="false" customHeight="false" outlineLevel="0" collapsed="false">
      <c r="A146" s="5" t="s">
        <v>980</v>
      </c>
      <c r="B146" s="0" t="s">
        <v>91</v>
      </c>
      <c r="H146" s="40" t="n">
        <f aca="false">Val!$H$144*Val!$H$145</f>
        <v>-41.353741195365</v>
      </c>
      <c r="I146" s="40" t="n">
        <f aca="false">Val!$I$144*Val!$I$145</f>
        <v>-3.78734219282264</v>
      </c>
      <c r="J146" s="40" t="n">
        <f aca="false">Val!$J$144*Val!$J$145</f>
        <v>27.340198440952</v>
      </c>
      <c r="K146" s="40" t="n">
        <f aca="false">Val!$K$144*Val!$K$145</f>
        <v>85.9883731384828</v>
      </c>
      <c r="L146" s="40" t="n">
        <f aca="false">Val!$L$144*Val!$L$145</f>
        <v>110.386620433129</v>
      </c>
      <c r="M146" s="40" t="n">
        <f aca="false">Val!$M$144*Val!$M$145</f>
        <v>111.832127998827</v>
      </c>
    </row>
    <row r="147" customFormat="false" ht="15" hidden="false" customHeight="false" outlineLevel="0" collapsed="false">
      <c r="A147" s="5" t="s">
        <v>981</v>
      </c>
      <c r="B147" s="0" t="s">
        <v>91</v>
      </c>
      <c r="C147" s="40" t="n">
        <f aca="false">SUM(Val!$H$146:$M$146)</f>
        <v>290.406236623204</v>
      </c>
    </row>
    <row r="148" customFormat="false" ht="17.15" hidden="false" customHeight="false" outlineLevel="0" collapsed="false">
      <c r="A148" s="5" t="s">
        <v>982</v>
      </c>
      <c r="B148" s="0" t="s">
        <v>91</v>
      </c>
      <c r="C148" s="40" t="n">
        <f aca="false">Val!$M$139*(1+tg)*(1-tg/ronic)/(wacc-tg)</f>
        <v>1812.77770376157</v>
      </c>
    </row>
    <row r="149" customFormat="false" ht="15" hidden="false" customHeight="false" outlineLevel="0" collapsed="false">
      <c r="A149" s="5" t="s">
        <v>983</v>
      </c>
      <c r="B149" s="0" t="s">
        <v>91</v>
      </c>
      <c r="C149" s="40" t="n">
        <f aca="false">Val!$C$148/(1+wacc)^6</f>
        <v>959.118383619864</v>
      </c>
    </row>
    <row r="150" customFormat="false" ht="17.15" hidden="false" customHeight="false" outlineLevel="0" collapsed="false">
      <c r="A150" s="5" t="s">
        <v>984</v>
      </c>
      <c r="B150" s="0" t="s">
        <v>91</v>
      </c>
      <c r="C150" s="40" t="n">
        <f aca="false">Val!$C$147+Val!$C$149</f>
        <v>1249.52462024307</v>
      </c>
    </row>
    <row r="151" customFormat="false" ht="17.15" hidden="false" customHeight="false" outlineLevel="0" collapsed="false">
      <c r="A151" s="5" t="s">
        <v>985</v>
      </c>
      <c r="B151" s="0" t="s">
        <v>56</v>
      </c>
      <c r="C151" s="13" t="n">
        <f aca="false">Val!$C$149/Val!$C$150</f>
        <v>0.767586623009708</v>
      </c>
    </row>
    <row r="152" customFormat="false" ht="17.15" hidden="false" customHeight="false" outlineLevel="0" collapsed="false">
      <c r="A152" s="5" t="s">
        <v>986</v>
      </c>
      <c r="B152" s="0" t="s">
        <v>91</v>
      </c>
      <c r="C152" s="40" t="n">
        <f aca="false">CF!$G$66+fin_debt</f>
        <v>68.7579141457843</v>
      </c>
    </row>
    <row r="153" customFormat="false" ht="17.15" hidden="false" customHeight="false" outlineLevel="0" collapsed="false">
      <c r="A153" s="5" t="s">
        <v>987</v>
      </c>
      <c r="B153" s="0" t="s">
        <v>91</v>
      </c>
      <c r="C153" s="40" t="n">
        <f aca="false">(ant_val*ant_sh+oai_val*oai_sh)*(1-liq_disc)</f>
        <v>178.944</v>
      </c>
    </row>
    <row r="154" customFormat="false" ht="15" hidden="false" customHeight="false" outlineLevel="0" collapsed="false">
      <c r="A154" s="5" t="s">
        <v>988</v>
      </c>
      <c r="B154" s="0" t="s">
        <v>91</v>
      </c>
      <c r="C154" s="40" t="n">
        <f aca="false">Val!$C$150-Val!$C$152+Val!$C$153</f>
        <v>1359.71070609728</v>
      </c>
    </row>
    <row r="155" customFormat="false" ht="17.15" hidden="false" customHeight="false" outlineLevel="0" collapsed="false">
      <c r="A155" s="5" t="s">
        <v>989</v>
      </c>
      <c r="B155" s="0" t="s">
        <v>27</v>
      </c>
      <c r="C155" s="34" t="n">
        <f aca="false">Val!$C$154/sh_out</f>
        <v>125.771039320811</v>
      </c>
    </row>
    <row r="156" customFormat="false" ht="17.15" hidden="false" customHeight="false" outlineLevel="0" collapsed="false">
      <c r="A156" s="1" t="s">
        <v>990</v>
      </c>
      <c r="B156" s="8" t="s">
        <v>27</v>
      </c>
      <c r="C156" s="34" t="n">
        <f aca="false">Val!$C$155*(1+ke)^tp_yf-dps*tp_yf</f>
        <v>137.922820018837</v>
      </c>
    </row>
    <row r="157" customFormat="false" ht="17.15" hidden="false" customHeight="false" outlineLevel="0" collapsed="false">
      <c r="A157" s="3" t="s">
        <v>991</v>
      </c>
    </row>
    <row r="158" customFormat="false" ht="17.15" hidden="false" customHeight="false" outlineLevel="0" collapsed="false">
      <c r="A158" s="5" t="s">
        <v>992</v>
      </c>
      <c r="B158" s="0" t="s">
        <v>91</v>
      </c>
      <c r="C158" s="40" t="n">
        <f aca="false">(1-tp_yf)*(PL!$H$132+sbc_ab*CF!$H$48*Seg!$H$48/Seg!$H$65)+tp_yf*(PL!$I$132+sbc_ab*CF!$I$48*Seg!$I$48/Seg!$I$65)</f>
        <v>56.9188491683843</v>
      </c>
    </row>
    <row r="159" customFormat="false" ht="15" hidden="false" customHeight="false" outlineLevel="0" collapsed="false">
      <c r="A159" s="5" t="s">
        <v>993</v>
      </c>
      <c r="B159" s="0" t="s">
        <v>61</v>
      </c>
      <c r="C159" s="34" t="n">
        <f aca="false">m_ads*m_x</f>
        <v>9.11</v>
      </c>
    </row>
    <row r="160" customFormat="false" ht="17.15" hidden="false" customHeight="false" outlineLevel="0" collapsed="false">
      <c r="A160" s="5" t="s">
        <v>994</v>
      </c>
      <c r="B160" s="0" t="s">
        <v>91</v>
      </c>
      <c r="C160" s="40" t="n">
        <f aca="false">Val!$C$158*Val!$C$159</f>
        <v>518.530715923981</v>
      </c>
    </row>
    <row r="161" customFormat="false" ht="17.15" hidden="false" customHeight="false" outlineLevel="0" collapsed="false">
      <c r="A161" s="5" t="s">
        <v>995</v>
      </c>
      <c r="B161" s="0" t="s">
        <v>91</v>
      </c>
      <c r="C161" s="40" t="n">
        <f aca="false">(1-tp_yf)*(PL!$H$133+sbc_ab*CF!$H$48*(Seg!$H$55-Seg!$H$48)/Seg!$H$65+IF(internal_ai_reading=2,1,0)*(1-ext_sh)*Thesis!$H$94)+tp_yf*(PL!$I$133+sbc_ab*CF!$I$48*(Seg!$I$55-Seg!$I$48)/Seg!$I$65+IF(internal_ai_reading=2,1,0)*(1-ext_sh)*Thesis!$I$94)</f>
        <v>57.7589406701679</v>
      </c>
    </row>
    <row r="162" customFormat="false" ht="17.15" hidden="false" customHeight="false" outlineLevel="0" collapsed="false">
      <c r="A162" s="5" t="s">
        <v>996</v>
      </c>
      <c r="B162" s="0" t="s">
        <v>61</v>
      </c>
      <c r="C162" s="34" t="n">
        <f aca="false">m_retail*m_x</f>
        <v>17.72</v>
      </c>
    </row>
    <row r="163" customFormat="false" ht="17.15" hidden="false" customHeight="false" outlineLevel="0" collapsed="false">
      <c r="A163" s="5" t="s">
        <v>997</v>
      </c>
      <c r="B163" s="0" t="s">
        <v>91</v>
      </c>
      <c r="C163" s="40" t="n">
        <f aca="false">Val!$C$161*Val!$C$162</f>
        <v>1023.48842867538</v>
      </c>
    </row>
    <row r="164" customFormat="false" ht="17.15" hidden="false" customHeight="false" outlineLevel="0" collapsed="false">
      <c r="A164" s="0" t="s">
        <v>998</v>
      </c>
      <c r="B164" s="0" t="s">
        <v>91</v>
      </c>
      <c r="C164" s="40" t="n">
        <f aca="false">(1-tp_yf)*(PL!$H$134+sbc_ab*CF!$H$48*Seg!$H$63/Seg!$H$65)+tp_yf*(PL!$I$134+sbc_ab*CF!$I$48*Seg!$I$63/Seg!$I$65)</f>
        <v>101.29670394553</v>
      </c>
    </row>
    <row r="165" customFormat="false" ht="17.15" hidden="false" customHeight="false" outlineLevel="0" collapsed="false">
      <c r="A165" s="0" t="s">
        <v>999</v>
      </c>
      <c r="B165" s="0" t="s">
        <v>61</v>
      </c>
      <c r="C165" s="34" t="n">
        <f aca="false">m_cloud*m_x</f>
        <v>13.82</v>
      </c>
    </row>
    <row r="166" customFormat="false" ht="17.15" hidden="false" customHeight="false" outlineLevel="0" collapsed="false">
      <c r="A166" s="0" t="s">
        <v>1000</v>
      </c>
      <c r="B166" s="0" t="s">
        <v>91</v>
      </c>
      <c r="C166" s="40" t="n">
        <f aca="false">Val!$C$164*Val!$C$165</f>
        <v>1399.92044852722</v>
      </c>
    </row>
    <row r="167" customFormat="false" ht="17.15" hidden="false" customHeight="false" outlineLevel="0" collapsed="false">
      <c r="A167" s="0" t="s">
        <v>1001</v>
      </c>
      <c r="B167" s="0" t="s">
        <v>91</v>
      </c>
      <c r="H167" s="40" t="n">
        <f aca="false">Thesis!$H$119-tax*Thesis!$H$120-ext_sh*Thesis!$H$101</f>
        <v>-104.326862952347</v>
      </c>
      <c r="I167" s="40" t="n">
        <f aca="false">Thesis!$I$119-tax*Thesis!$I$120-ext_sh*Thesis!$I$101</f>
        <v>-83.2397629296139</v>
      </c>
      <c r="J167" s="40" t="n">
        <f aca="false">Thesis!$J$119-tax*Thesis!$J$120-ext_sh*Thesis!$J$101</f>
        <v>-61.1885159389834</v>
      </c>
      <c r="K167" s="40" t="n">
        <f aca="false">Thesis!$K$119-tax*Thesis!$K$120-ext_sh*Thesis!$K$101</f>
        <v>0.7020854501326</v>
      </c>
      <c r="L167" s="40" t="n">
        <f aca="false">Thesis!$L$119-tax*Thesis!$L$120-ext_sh*Thesis!$L$101</f>
        <v>34.4580683411343</v>
      </c>
      <c r="M167" s="40" t="n">
        <f aca="false">Thesis!$M$119-tax*Thesis!$M$120-ext_sh*Thesis!$M$101</f>
        <v>42.9340034127716</v>
      </c>
    </row>
    <row r="168" customFormat="false" ht="17.15" hidden="false" customHeight="false" outlineLevel="0" collapsed="false">
      <c r="A168" s="5" t="s">
        <v>1002</v>
      </c>
      <c r="B168" s="0" t="s">
        <v>91</v>
      </c>
      <c r="H168" s="40" t="n">
        <f aca="false">Val!$H$167*Val!$H$145</f>
        <v>-98.9365557432028</v>
      </c>
      <c r="I168" s="40" t="n">
        <f aca="false">Val!$I$167*Val!$I$145</f>
        <v>-70.9925458713798</v>
      </c>
      <c r="J168" s="40" t="n">
        <f aca="false">Val!$J$167*Val!$J$145</f>
        <v>-46.9324378221843</v>
      </c>
      <c r="K168" s="40" t="n">
        <f aca="false">Val!$K$167*Val!$K$145</f>
        <v>0.484299971804631</v>
      </c>
      <c r="L168" s="40" t="n">
        <f aca="false">Val!$L$167*Val!$L$145</f>
        <v>21.3765037958918</v>
      </c>
      <c r="M168" s="40" t="n">
        <f aca="false">Val!$M$167*Val!$M$145</f>
        <v>23.9534686810935</v>
      </c>
    </row>
    <row r="169" customFormat="false" ht="17.15" hidden="false" customHeight="false" outlineLevel="0" collapsed="false">
      <c r="A169" s="5" t="s">
        <v>1003</v>
      </c>
      <c r="B169" s="0" t="s">
        <v>91</v>
      </c>
      <c r="C169" s="40" t="n">
        <f aca="false">Thesis!$M$120*(1-tax)*(1+tg)*(1-tg/ronic)/(wacc-tg)</f>
        <v>236.922840646448</v>
      </c>
    </row>
    <row r="170" customFormat="false" ht="17.15" hidden="false" customHeight="false" outlineLevel="0" collapsed="false">
      <c r="A170" s="0" t="s">
        <v>1004</v>
      </c>
      <c r="B170" s="0" t="s">
        <v>91</v>
      </c>
      <c r="C170" s="40" t="n">
        <f aca="false">(SUM(Val!$I$168:$M$168)+Val!$C$169/(1+wacc)^6)*(1+wacc)^tp_yf</f>
        <v>58.1613246968235</v>
      </c>
    </row>
    <row r="171" customFormat="false" ht="17.15" hidden="false" customHeight="false" outlineLevel="0" collapsed="false">
      <c r="A171" s="5" t="s">
        <v>1005</v>
      </c>
      <c r="B171" s="0" t="s">
        <v>91</v>
      </c>
      <c r="C171" s="40" t="n">
        <f aca="false">(1-tp_yf)*(PL!$H$135)+tp_yf*(PL!$I$135)</f>
        <v>62.9347807909731</v>
      </c>
    </row>
    <row r="172" customFormat="false" ht="17.15" hidden="false" customHeight="false" outlineLevel="0" collapsed="false">
      <c r="A172" s="5" t="s">
        <v>1006</v>
      </c>
      <c r="B172" s="0" t="s">
        <v>91</v>
      </c>
      <c r="C172" s="40" t="n">
        <f aca="false">Val!$C$171*m_ai</f>
        <v>377.608684745839</v>
      </c>
    </row>
    <row r="173" customFormat="false" ht="17.15" hidden="false" customHeight="false" outlineLevel="0" collapsed="false">
      <c r="A173" s="0" t="s">
        <v>1007</v>
      </c>
      <c r="B173" s="0" t="s">
        <v>91</v>
      </c>
      <c r="C173" s="40" t="n">
        <f aca="false">IF(ai_leg=1,Val!$C$170,Val!$C$172)</f>
        <v>58.1613246968235</v>
      </c>
    </row>
    <row r="174" customFormat="false" ht="17.15" hidden="false" customHeight="false" outlineLevel="0" collapsed="false">
      <c r="A174" s="5" t="s">
        <v>1008</v>
      </c>
      <c r="B174" s="0" t="s">
        <v>91</v>
      </c>
      <c r="C174" s="40" t="n">
        <f aca="false">Val!$C$160+Val!$C$163+Val!$C$166+Val!$C$173</f>
        <v>3000.1009178234</v>
      </c>
    </row>
    <row r="175" customFormat="false" ht="17.15" hidden="false" customHeight="false" outlineLevel="0" collapsed="false">
      <c r="A175" s="5" t="s">
        <v>1009</v>
      </c>
      <c r="B175" s="0" t="s">
        <v>91</v>
      </c>
      <c r="C175" s="40" t="n">
        <f aca="false">CF!$H$66+fin_debt</f>
        <v>101.806906698151</v>
      </c>
    </row>
    <row r="176" customFormat="false" ht="15" hidden="false" customHeight="false" outlineLevel="0" collapsed="false">
      <c r="A176" s="5" t="s">
        <v>1010</v>
      </c>
      <c r="B176" s="0" t="s">
        <v>91</v>
      </c>
      <c r="C176" s="40" t="n">
        <f aca="false">Val!$C$174-Val!$C$175+Val!$C$153</f>
        <v>3077.23801112525</v>
      </c>
    </row>
    <row r="177" customFormat="false" ht="15" hidden="false" customHeight="false" outlineLevel="0" collapsed="false">
      <c r="A177" s="3" t="s">
        <v>1011</v>
      </c>
      <c r="B177" s="8" t="s">
        <v>27</v>
      </c>
      <c r="C177" s="34" t="n">
        <f aca="false">Val!$C$176/sh_val</f>
        <v>278.886896059928</v>
      </c>
    </row>
    <row r="178" customFormat="false" ht="17.15" hidden="false" customHeight="false" outlineLevel="0" collapsed="false">
      <c r="A178" s="48" t="s">
        <v>1012</v>
      </c>
      <c r="B178" s="14" t="s">
        <v>27</v>
      </c>
      <c r="C178" s="46" t="n">
        <f aca="false">w_dcf*Val!$C$156+(1-w_dcf)*Val!$C$177</f>
        <v>208.404858039383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</row>
    <row r="179" customFormat="false" ht="17.15" hidden="false" customHeight="false" outlineLevel="0" collapsed="false">
      <c r="A179" s="5" t="s">
        <v>1013</v>
      </c>
      <c r="B179" s="0" t="s">
        <v>27</v>
      </c>
      <c r="C179" s="34" t="n">
        <f aca="false">(Val!$C$176-Val!$C$173+Val!$C$172)/sh_val</f>
        <v>307.838079678654</v>
      </c>
    </row>
    <row r="182" customFormat="false" ht="19.4" hidden="false" customHeight="false" outlineLevel="0" collapsed="false">
      <c r="A182" s="35" t="s">
        <v>1015</v>
      </c>
    </row>
    <row r="183" customFormat="false" ht="17.15" hidden="false" customHeight="false" outlineLevel="0" collapsed="false">
      <c r="A183" s="6" t="s">
        <v>16</v>
      </c>
      <c r="B183" s="6" t="s">
        <v>17</v>
      </c>
      <c r="C183" s="23" t="s">
        <v>542</v>
      </c>
      <c r="D183" s="23" t="s">
        <v>543</v>
      </c>
      <c r="E183" s="23" t="s">
        <v>631</v>
      </c>
      <c r="F183" s="23" t="s">
        <v>632</v>
      </c>
      <c r="G183" s="23" t="s">
        <v>633</v>
      </c>
      <c r="H183" s="23" t="s">
        <v>634</v>
      </c>
      <c r="I183" s="23" t="s">
        <v>635</v>
      </c>
      <c r="J183" s="23" t="s">
        <v>636</v>
      </c>
      <c r="K183" s="23" t="s">
        <v>637</v>
      </c>
      <c r="L183" s="23" t="s">
        <v>638</v>
      </c>
      <c r="M183" s="23" t="s">
        <v>639</v>
      </c>
      <c r="N183" s="23" t="s">
        <v>640</v>
      </c>
      <c r="O183" s="23" t="s">
        <v>641</v>
      </c>
      <c r="P183" s="6" t="s">
        <v>23</v>
      </c>
      <c r="R183" s="23" t="n">
        <v>2023</v>
      </c>
      <c r="S183" s="23" t="n">
        <v>2024</v>
      </c>
      <c r="T183" s="23" t="n">
        <v>2025</v>
      </c>
      <c r="U183" s="23" t="n">
        <v>2026</v>
      </c>
      <c r="V183" s="23" t="n">
        <v>2027</v>
      </c>
      <c r="W183" s="23" t="n">
        <v>2028</v>
      </c>
      <c r="X183" s="23" t="n">
        <v>2029</v>
      </c>
      <c r="Y183" s="23" t="n">
        <v>2030</v>
      </c>
      <c r="Z183" s="23" t="n">
        <v>2031</v>
      </c>
      <c r="AA183" s="23" t="n">
        <v>2032</v>
      </c>
    </row>
    <row r="184" customFormat="false" ht="17.15" hidden="false" customHeight="false" outlineLevel="0" collapsed="false">
      <c r="A184" s="1" t="s">
        <v>972</v>
      </c>
    </row>
    <row r="185" customFormat="false" ht="17.15" hidden="false" customHeight="false" outlineLevel="0" collapsed="false">
      <c r="A185" s="0" t="s">
        <v>973</v>
      </c>
      <c r="B185" s="0" t="s">
        <v>91</v>
      </c>
      <c r="H185" s="40" t="n">
        <f aca="false">PL!$H$190*(1-tax)</f>
        <v>116.281837815838</v>
      </c>
      <c r="I185" s="40" t="n">
        <f aca="false">PL!$I$190*(1-tax)</f>
        <v>126.86496194987</v>
      </c>
      <c r="J185" s="40" t="n">
        <f aca="false">PL!$J$190*(1-tax)</f>
        <v>142.078300963923</v>
      </c>
      <c r="K185" s="40" t="n">
        <f aca="false">PL!$K$190*(1-tax)</f>
        <v>152.592821368289</v>
      </c>
      <c r="L185" s="40" t="n">
        <f aca="false">PL!$L$190*(1-tax)</f>
        <v>162.575562711274</v>
      </c>
      <c r="M185" s="40" t="n">
        <f aca="false">PL!$M$190*(1-tax)</f>
        <v>174.247009262038</v>
      </c>
    </row>
    <row r="186" customFormat="false" ht="15" hidden="false" customHeight="false" outlineLevel="0" collapsed="false">
      <c r="A186" s="5" t="s">
        <v>974</v>
      </c>
      <c r="B186" s="0" t="s">
        <v>91</v>
      </c>
      <c r="H186" s="40" t="n">
        <f aca="false">PL!$H$201</f>
        <v>78.7771455603241</v>
      </c>
      <c r="I186" s="40" t="n">
        <f aca="false">PL!$I$201</f>
        <v>114.930756142734</v>
      </c>
      <c r="J186" s="40" t="n">
        <f aca="false">PL!$J$201</f>
        <v>144.950446317972</v>
      </c>
      <c r="K186" s="40" t="n">
        <f aca="false">PL!$K$201</f>
        <v>175.039176433454</v>
      </c>
      <c r="L186" s="40" t="n">
        <f aca="false">PL!$L$201</f>
        <v>197.676468176405</v>
      </c>
      <c r="M186" s="40" t="n">
        <f aca="false">PL!$M$201</f>
        <v>211.857899598634</v>
      </c>
    </row>
    <row r="187" customFormat="false" ht="15" hidden="false" customHeight="false" outlineLevel="0" collapsed="false">
      <c r="A187" s="5" t="s">
        <v>975</v>
      </c>
      <c r="B187" s="0" t="s">
        <v>91</v>
      </c>
      <c r="H187" s="40" t="n">
        <f aca="false">CF!$H$84</f>
        <v>253.080086249122</v>
      </c>
      <c r="I187" s="40" t="n">
        <f aca="false">CF!$I$84</f>
        <v>266.971568381453</v>
      </c>
      <c r="J187" s="40" t="n">
        <f aca="false">CF!$J$84</f>
        <v>278.405889539959</v>
      </c>
      <c r="K187" s="40" t="n">
        <f aca="false">CF!$K$84</f>
        <v>235.400884498646</v>
      </c>
      <c r="L187" s="40" t="n">
        <f aca="false">CF!$L$84</f>
        <v>218.641632083122</v>
      </c>
      <c r="M187" s="40" t="n">
        <f aca="false">CF!$M$84</f>
        <v>224.388773908596</v>
      </c>
    </row>
    <row r="188" customFormat="false" ht="15" hidden="false" customHeight="false" outlineLevel="0" collapsed="false">
      <c r="A188" s="5" t="s">
        <v>976</v>
      </c>
      <c r="B188" s="0" t="s">
        <v>91</v>
      </c>
      <c r="H188" s="40" t="n">
        <f aca="false">CF!$H$85</f>
        <v>1.6</v>
      </c>
      <c r="I188" s="40" t="n">
        <f aca="false">CF!$I$85</f>
        <v>1.6</v>
      </c>
      <c r="J188" s="40" t="n">
        <f aca="false">CF!$J$85</f>
        <v>1.6</v>
      </c>
      <c r="K188" s="40" t="n">
        <f aca="false">CF!$K$85</f>
        <v>1.6</v>
      </c>
      <c r="L188" s="40" t="n">
        <f aca="false">CF!$L$85</f>
        <v>1.6</v>
      </c>
      <c r="M188" s="40" t="n">
        <f aca="false">CF!$M$85</f>
        <v>1.6</v>
      </c>
    </row>
    <row r="189" customFormat="false" ht="15" hidden="false" customHeight="false" outlineLevel="0" collapsed="false">
      <c r="A189" s="5" t="s">
        <v>977</v>
      </c>
      <c r="B189" s="0" t="s">
        <v>91</v>
      </c>
      <c r="H189" s="40" t="n">
        <f aca="false">CF!$H$79</f>
        <v>11.2462709643786</v>
      </c>
      <c r="I189" s="40" t="n">
        <f aca="false">CF!$I$79</f>
        <v>12.6096088491301</v>
      </c>
      <c r="J189" s="40" t="n">
        <f aca="false">CF!$J$79</f>
        <v>13.912043543232</v>
      </c>
      <c r="K189" s="40" t="n">
        <f aca="false">CF!$K$79</f>
        <v>15.0642526295</v>
      </c>
      <c r="L189" s="40" t="n">
        <f aca="false">CF!$L$79</f>
        <v>16.1747199454624</v>
      </c>
      <c r="M189" s="40" t="n">
        <f aca="false">CF!$M$79</f>
        <v>17.2477905645217</v>
      </c>
    </row>
    <row r="190" customFormat="false" ht="17.15" hidden="false" customHeight="false" outlineLevel="0" collapsed="false">
      <c r="A190" s="1" t="s">
        <v>978</v>
      </c>
      <c r="B190" s="8" t="s">
        <v>91</v>
      </c>
      <c r="H190" s="40" t="n">
        <f aca="false">Val!$H$185+Val!$H$186-Val!$H$187-Val!$H$188+Val!$H$189</f>
        <v>-48.3748319085811</v>
      </c>
      <c r="I190" s="40" t="n">
        <f aca="false">Val!$I$185+Val!$I$186-Val!$I$187-Val!$I$188+Val!$I$189</f>
        <v>-14.1662414397182</v>
      </c>
      <c r="J190" s="40" t="n">
        <f aca="false">Val!$J$185+Val!$J$186-Val!$J$187-Val!$J$188+Val!$J$189</f>
        <v>20.9349012851683</v>
      </c>
      <c r="K190" s="40" t="n">
        <f aca="false">Val!$K$185+Val!$K$186-Val!$K$187-Val!$K$188+Val!$K$189</f>
        <v>105.695365932598</v>
      </c>
      <c r="L190" s="40" t="n">
        <f aca="false">Val!$L$185+Val!$L$186-Val!$L$187-Val!$L$188+Val!$L$189</f>
        <v>156.185118750019</v>
      </c>
      <c r="M190" s="40" t="n">
        <f aca="false">Val!$M$185+Val!$M$186-Val!$M$187-Val!$M$188+Val!$M$189</f>
        <v>177.363925516598</v>
      </c>
    </row>
    <row r="191" customFormat="false" ht="15" hidden="false" customHeight="false" outlineLevel="0" collapsed="false">
      <c r="A191" s="5" t="s">
        <v>979</v>
      </c>
      <c r="B191" s="0" t="s">
        <v>61</v>
      </c>
      <c r="H191" s="42" t="n">
        <f aca="false">1/(1+wacc)^(2027-2026-0.5)</f>
        <v>0.948332509417004</v>
      </c>
      <c r="I191" s="42" t="n">
        <f aca="false">1/(1+wacc)^(2028-2026-0.5)</f>
        <v>0.852868189105847</v>
      </c>
      <c r="J191" s="42" t="n">
        <f aca="false">1/(1+wacc)^(2029-2026-0.5)</f>
        <v>0.767013827708861</v>
      </c>
      <c r="K191" s="42" t="n">
        <f aca="false">1/(1+wacc)^(2030-2026-0.5)</f>
        <v>0.68980203437226</v>
      </c>
      <c r="L191" s="42" t="n">
        <f aca="false">1/(1+wacc)^(2031-2026-0.5)</f>
        <v>0.62036280107941</v>
      </c>
      <c r="M191" s="42" t="n">
        <f aca="false">1/(1+wacc)^(2032-2026-0.5)</f>
        <v>0.557913699563551</v>
      </c>
    </row>
    <row r="192" customFormat="false" ht="15" hidden="false" customHeight="false" outlineLevel="0" collapsed="false">
      <c r="A192" s="5" t="s">
        <v>980</v>
      </c>
      <c r="B192" s="0" t="s">
        <v>91</v>
      </c>
      <c r="H192" s="40" t="n">
        <f aca="false">Val!$H$190*Val!$H$191</f>
        <v>-45.8754257364905</v>
      </c>
      <c r="I192" s="40" t="n">
        <f aca="false">Val!$I$190*Val!$I$191</f>
        <v>-12.0819366831286</v>
      </c>
      <c r="J192" s="40" t="n">
        <f aca="false">Val!$J$190*Val!$J$191</f>
        <v>16.0573587674441</v>
      </c>
      <c r="K192" s="40" t="n">
        <f aca="false">Val!$K$190*Val!$K$191</f>
        <v>72.9088784440262</v>
      </c>
      <c r="L192" s="40" t="n">
        <f aca="false">Val!$L$190*Val!$L$191</f>
        <v>96.8914377546822</v>
      </c>
      <c r="M192" s="40" t="n">
        <f aca="false">Val!$M$190*Val!$M$191</f>
        <v>98.9537638540793</v>
      </c>
    </row>
    <row r="193" customFormat="false" ht="15" hidden="false" customHeight="false" outlineLevel="0" collapsed="false">
      <c r="A193" s="5" t="s">
        <v>981</v>
      </c>
      <c r="B193" s="0" t="s">
        <v>91</v>
      </c>
      <c r="C193" s="40" t="n">
        <f aca="false">SUM(Val!$H$192:$M$192)</f>
        <v>226.854076400613</v>
      </c>
    </row>
    <row r="194" customFormat="false" ht="17.15" hidden="false" customHeight="false" outlineLevel="0" collapsed="false">
      <c r="A194" s="5" t="s">
        <v>982</v>
      </c>
      <c r="B194" s="0" t="s">
        <v>91</v>
      </c>
      <c r="C194" s="40" t="n">
        <f aca="false">Val!$M$185*(1+tg)*(1-tg/ronic)/(wacc-tg)</f>
        <v>1603.40557273026</v>
      </c>
    </row>
    <row r="195" customFormat="false" ht="15" hidden="false" customHeight="false" outlineLevel="0" collapsed="false">
      <c r="A195" s="5" t="s">
        <v>983</v>
      </c>
      <c r="B195" s="0" t="s">
        <v>91</v>
      </c>
      <c r="C195" s="40" t="n">
        <f aca="false">Val!$C$194/(1+wacc)^6</f>
        <v>848.342164631126</v>
      </c>
    </row>
    <row r="196" customFormat="false" ht="17.15" hidden="false" customHeight="false" outlineLevel="0" collapsed="false">
      <c r="A196" s="5" t="s">
        <v>984</v>
      </c>
      <c r="B196" s="0" t="s">
        <v>91</v>
      </c>
      <c r="C196" s="40" t="n">
        <f aca="false">Val!$C$193+Val!$C$195</f>
        <v>1075.19624103174</v>
      </c>
    </row>
    <row r="197" customFormat="false" ht="17.15" hidden="false" customHeight="false" outlineLevel="0" collapsed="false">
      <c r="A197" s="5" t="s">
        <v>985</v>
      </c>
      <c r="B197" s="0" t="s">
        <v>56</v>
      </c>
      <c r="C197" s="13" t="n">
        <f aca="false">Val!$C$195/Val!$C$196</f>
        <v>0.789011468099137</v>
      </c>
    </row>
    <row r="198" customFormat="false" ht="17.15" hidden="false" customHeight="false" outlineLevel="0" collapsed="false">
      <c r="A198" s="5" t="s">
        <v>986</v>
      </c>
      <c r="B198" s="0" t="s">
        <v>91</v>
      </c>
      <c r="C198" s="40" t="n">
        <f aca="false">CF!$G$96+fin_debt</f>
        <v>69.2458899309444</v>
      </c>
    </row>
    <row r="199" customFormat="false" ht="17.15" hidden="false" customHeight="false" outlineLevel="0" collapsed="false">
      <c r="A199" s="5" t="s">
        <v>987</v>
      </c>
      <c r="B199" s="0" t="s">
        <v>91</v>
      </c>
      <c r="C199" s="40" t="n">
        <f aca="false">(ant_val*ant_sh+oai_val*oai_sh)*(1-liq_disc)</f>
        <v>178.944</v>
      </c>
    </row>
    <row r="200" customFormat="false" ht="15" hidden="false" customHeight="false" outlineLevel="0" collapsed="false">
      <c r="A200" s="5" t="s">
        <v>988</v>
      </c>
      <c r="B200" s="0" t="s">
        <v>91</v>
      </c>
      <c r="C200" s="40" t="n">
        <f aca="false">Val!$C$196-Val!$C$198+Val!$C$199</f>
        <v>1184.89435110079</v>
      </c>
    </row>
    <row r="201" customFormat="false" ht="17.15" hidden="false" customHeight="false" outlineLevel="0" collapsed="false">
      <c r="A201" s="5" t="s">
        <v>989</v>
      </c>
      <c r="B201" s="0" t="s">
        <v>27</v>
      </c>
      <c r="C201" s="34" t="n">
        <f aca="false">Val!$C$200/sh_out</f>
        <v>109.600809462658</v>
      </c>
    </row>
    <row r="202" customFormat="false" ht="17.15" hidden="false" customHeight="false" outlineLevel="0" collapsed="false">
      <c r="A202" s="1" t="s">
        <v>990</v>
      </c>
      <c r="B202" s="8" t="s">
        <v>27</v>
      </c>
      <c r="C202" s="34" t="n">
        <f aca="false">Val!$C$201*(1+ke)^tp_yf-dps*tp_yf</f>
        <v>120.190250466792</v>
      </c>
    </row>
    <row r="203" customFormat="false" ht="17.15" hidden="false" customHeight="false" outlineLevel="0" collapsed="false">
      <c r="A203" s="3" t="s">
        <v>991</v>
      </c>
    </row>
    <row r="204" customFormat="false" ht="17.15" hidden="false" customHeight="false" outlineLevel="0" collapsed="false">
      <c r="A204" s="5" t="s">
        <v>992</v>
      </c>
      <c r="B204" s="0" t="s">
        <v>91</v>
      </c>
      <c r="C204" s="40" t="n">
        <f aca="false">(1-tp_yf)*(PL!$H$202+sbc_ab*CF!$H$78*Seg!$H$83/Seg!$H$100)+tp_yf*(PL!$I$202+sbc_ab*CF!$I$78*Seg!$I$83/Seg!$I$100)</f>
        <v>56.9188491683843</v>
      </c>
    </row>
    <row r="205" customFormat="false" ht="15" hidden="false" customHeight="false" outlineLevel="0" collapsed="false">
      <c r="A205" s="5" t="s">
        <v>993</v>
      </c>
      <c r="B205" s="0" t="s">
        <v>61</v>
      </c>
      <c r="C205" s="34" t="n">
        <f aca="false">m_ads*m_x</f>
        <v>9.11</v>
      </c>
    </row>
    <row r="206" customFormat="false" ht="17.15" hidden="false" customHeight="false" outlineLevel="0" collapsed="false">
      <c r="A206" s="5" t="s">
        <v>994</v>
      </c>
      <c r="B206" s="0" t="s">
        <v>91</v>
      </c>
      <c r="C206" s="40" t="n">
        <f aca="false">Val!$C$204*Val!$C$205</f>
        <v>518.530715923981</v>
      </c>
    </row>
    <row r="207" customFormat="false" ht="17.15" hidden="false" customHeight="false" outlineLevel="0" collapsed="false">
      <c r="A207" s="5" t="s">
        <v>995</v>
      </c>
      <c r="B207" s="0" t="s">
        <v>91</v>
      </c>
      <c r="C207" s="40" t="n">
        <f aca="false">(1-tp_yf)*(PL!$H$203+sbc_ab*CF!$H$78*(Seg!$H$90-Seg!$H$83)/Seg!$H$100+IF(internal_ai_reading=2,1,0)*(1-ext_sh)*Thesis!$H$160)+tp_yf*(PL!$I$203+sbc_ab*CF!$I$78*(Seg!$I$90-Seg!$I$83)/Seg!$I$100+IF(internal_ai_reading=2,1,0)*(1-ext_sh)*Thesis!$I$160)</f>
        <v>57.7589406701679</v>
      </c>
    </row>
    <row r="208" customFormat="false" ht="17.15" hidden="false" customHeight="false" outlineLevel="0" collapsed="false">
      <c r="A208" s="5" t="s">
        <v>996</v>
      </c>
      <c r="B208" s="0" t="s">
        <v>61</v>
      </c>
      <c r="C208" s="34" t="n">
        <f aca="false">m_retail*m_x</f>
        <v>17.72</v>
      </c>
    </row>
    <row r="209" customFormat="false" ht="17.15" hidden="false" customHeight="false" outlineLevel="0" collapsed="false">
      <c r="A209" s="5" t="s">
        <v>997</v>
      </c>
      <c r="B209" s="0" t="s">
        <v>91</v>
      </c>
      <c r="C209" s="40" t="n">
        <f aca="false">Val!$C$207*Val!$C$208</f>
        <v>1023.48842867538</v>
      </c>
    </row>
    <row r="210" customFormat="false" ht="17.15" hidden="false" customHeight="false" outlineLevel="0" collapsed="false">
      <c r="A210" s="0" t="s">
        <v>998</v>
      </c>
      <c r="B210" s="0" t="s">
        <v>91</v>
      </c>
      <c r="C210" s="40" t="n">
        <f aca="false">(1-tp_yf)*(PL!$H$204+sbc_ab*CF!$H$78*Seg!$H$98/Seg!$H$100)+tp_yf*(PL!$I$204+sbc_ab*CF!$I$78*Seg!$I$98/Seg!$I$100)</f>
        <v>101.29670394553</v>
      </c>
    </row>
    <row r="211" customFormat="false" ht="17.15" hidden="false" customHeight="false" outlineLevel="0" collapsed="false">
      <c r="A211" s="0" t="s">
        <v>999</v>
      </c>
      <c r="B211" s="0" t="s">
        <v>61</v>
      </c>
      <c r="C211" s="34" t="n">
        <f aca="false">m_cloud*m_x</f>
        <v>13.82</v>
      </c>
    </row>
    <row r="212" customFormat="false" ht="17.15" hidden="false" customHeight="false" outlineLevel="0" collapsed="false">
      <c r="A212" s="0" t="s">
        <v>1000</v>
      </c>
      <c r="B212" s="0" t="s">
        <v>91</v>
      </c>
      <c r="C212" s="40" t="n">
        <f aca="false">Val!$C$210*Val!$C$211</f>
        <v>1399.92044852722</v>
      </c>
    </row>
    <row r="213" customFormat="false" ht="17.15" hidden="false" customHeight="false" outlineLevel="0" collapsed="false">
      <c r="A213" s="0" t="s">
        <v>1001</v>
      </c>
      <c r="B213" s="0" t="s">
        <v>91</v>
      </c>
      <c r="H213" s="40" t="n">
        <f aca="false">Thesis!$H$185-tax*Thesis!$H$186-ext_sh*Thesis!$H$167</f>
        <v>-109.026742889581</v>
      </c>
      <c r="I213" s="40" t="n">
        <f aca="false">Thesis!$I$185-tax*Thesis!$I$186-ext_sh*Thesis!$I$167</f>
        <v>-92.8262697363989</v>
      </c>
      <c r="J213" s="40" t="n">
        <f aca="false">Thesis!$J$185-tax*Thesis!$J$186-ext_sh*Thesis!$J$167</f>
        <v>-75.6883277485074</v>
      </c>
      <c r="K213" s="40" t="n">
        <f aca="false">Thesis!$K$185-tax*Thesis!$K$186-ext_sh*Thesis!$K$167</f>
        <v>-17.9881011494856</v>
      </c>
      <c r="L213" s="40" t="n">
        <f aca="false">Thesis!$L$185-tax*Thesis!$L$186-ext_sh*Thesis!$L$167</f>
        <v>13.0153341658594</v>
      </c>
      <c r="M213" s="40" t="n">
        <f aca="false">Thesis!$M$185-tax*Thesis!$M$186-ext_sh*Thesis!$M$167</f>
        <v>20.1808907409085</v>
      </c>
    </row>
    <row r="214" customFormat="false" ht="17.15" hidden="false" customHeight="false" outlineLevel="0" collapsed="false">
      <c r="A214" s="5" t="s">
        <v>1002</v>
      </c>
      <c r="B214" s="0" t="s">
        <v>91</v>
      </c>
      <c r="H214" s="40" t="n">
        <f aca="false">Val!$H$213*Val!$H$191</f>
        <v>-103.393604678039</v>
      </c>
      <c r="I214" s="40" t="n">
        <f aca="false">Val!$I$213*Val!$I$191</f>
        <v>-79.1685725715334</v>
      </c>
      <c r="J214" s="40" t="n">
        <f aca="false">Val!$J$213*Val!$J$191</f>
        <v>-58.0539939792654</v>
      </c>
      <c r="K214" s="40" t="n">
        <f aca="false">Val!$K$213*Val!$K$191</f>
        <v>-12.4082287674092</v>
      </c>
      <c r="L214" s="40" t="n">
        <f aca="false">Val!$L$213*Val!$L$191</f>
        <v>8.07422916011706</v>
      </c>
      <c r="M214" s="40" t="n">
        <f aca="false">Val!$M$213*Val!$M$191</f>
        <v>11.2591954137481</v>
      </c>
    </row>
    <row r="215" customFormat="false" ht="17.15" hidden="false" customHeight="false" outlineLevel="0" collapsed="false">
      <c r="A215" s="5" t="s">
        <v>1003</v>
      </c>
      <c r="B215" s="0" t="s">
        <v>91</v>
      </c>
      <c r="C215" s="40" t="n">
        <f aca="false">Thesis!$M$186*(1-tax)*(1+tg)*(1-tg/ronic)/(wacc-tg)</f>
        <v>27.5507096151407</v>
      </c>
    </row>
    <row r="216" customFormat="false" ht="17.15" hidden="false" customHeight="false" outlineLevel="0" collapsed="false">
      <c r="A216" s="0" t="s">
        <v>1004</v>
      </c>
      <c r="B216" s="0" t="s">
        <v>91</v>
      </c>
      <c r="C216" s="40" t="n">
        <f aca="false">(SUM(Val!$I$214:$M$214)+Val!$C$215/(1+wacc)^6)*(1+wacc)^tp_yf</f>
        <v>-126.412110271739</v>
      </c>
    </row>
    <row r="217" customFormat="false" ht="17.15" hidden="false" customHeight="false" outlineLevel="0" collapsed="false">
      <c r="A217" s="5" t="s">
        <v>1005</v>
      </c>
      <c r="B217" s="0" t="s">
        <v>91</v>
      </c>
      <c r="C217" s="40" t="n">
        <f aca="false">(1-tp_yf)*(PL!$H$205)+tp_yf*(PL!$I$205)</f>
        <v>52.3228816419098</v>
      </c>
    </row>
    <row r="218" customFormat="false" ht="17.15" hidden="false" customHeight="false" outlineLevel="0" collapsed="false">
      <c r="A218" s="5" t="s">
        <v>1006</v>
      </c>
      <c r="B218" s="0" t="s">
        <v>91</v>
      </c>
      <c r="C218" s="40" t="n">
        <f aca="false">Val!$C$217*m_ai</f>
        <v>313.937289851459</v>
      </c>
    </row>
    <row r="219" customFormat="false" ht="17.15" hidden="false" customHeight="false" outlineLevel="0" collapsed="false">
      <c r="A219" s="0" t="s">
        <v>1007</v>
      </c>
      <c r="B219" s="0" t="s">
        <v>91</v>
      </c>
      <c r="C219" s="40" t="n">
        <f aca="false">IF(ai_leg=1,Val!$C$216,Val!$C$218)</f>
        <v>-126.412110271739</v>
      </c>
    </row>
    <row r="220" customFormat="false" ht="17.15" hidden="false" customHeight="false" outlineLevel="0" collapsed="false">
      <c r="A220" s="5" t="s">
        <v>1008</v>
      </c>
      <c r="B220" s="0" t="s">
        <v>91</v>
      </c>
      <c r="C220" s="40" t="n">
        <f aca="false">Val!$C$206+Val!$C$209+Val!$C$212+Val!$C$219</f>
        <v>2815.52748285484</v>
      </c>
    </row>
    <row r="221" customFormat="false" ht="17.15" hidden="false" customHeight="false" outlineLevel="0" collapsed="false">
      <c r="A221" s="5" t="s">
        <v>1009</v>
      </c>
      <c r="B221" s="0" t="s">
        <v>91</v>
      </c>
      <c r="C221" s="40" t="n">
        <f aca="false">CF!$H$96+fin_debt</f>
        <v>107.221406883133</v>
      </c>
    </row>
    <row r="222" customFormat="false" ht="15" hidden="false" customHeight="false" outlineLevel="0" collapsed="false">
      <c r="A222" s="5" t="s">
        <v>1010</v>
      </c>
      <c r="B222" s="0" t="s">
        <v>91</v>
      </c>
      <c r="C222" s="40" t="n">
        <f aca="false">Val!$C$220-Val!$C$221+Val!$C$199</f>
        <v>2887.25007597171</v>
      </c>
    </row>
    <row r="223" customFormat="false" ht="15" hidden="false" customHeight="false" outlineLevel="0" collapsed="false">
      <c r="A223" s="3" t="s">
        <v>1011</v>
      </c>
      <c r="B223" s="8" t="s">
        <v>27</v>
      </c>
      <c r="C223" s="34" t="n">
        <f aca="false">Val!$C$222/sh_val</f>
        <v>261.668486131204</v>
      </c>
    </row>
    <row r="224" customFormat="false" ht="17.15" hidden="false" customHeight="false" outlineLevel="0" collapsed="false">
      <c r="A224" s="48" t="s">
        <v>1012</v>
      </c>
      <c r="B224" s="14" t="s">
        <v>27</v>
      </c>
      <c r="C224" s="46" t="n">
        <f aca="false">w_dcf*Val!$C$202+(1-w_dcf)*Val!$C$223</f>
        <v>190.929368298998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</row>
    <row r="225" customFormat="false" ht="17.15" hidden="false" customHeight="false" outlineLevel="0" collapsed="false">
      <c r="A225" s="5" t="s">
        <v>1013</v>
      </c>
      <c r="B225" s="0" t="s">
        <v>27</v>
      </c>
      <c r="C225" s="34" t="n">
        <f aca="false">(Val!$C$222-Val!$C$219+Val!$C$218)/sh_val</f>
        <v>301.576896510323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3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1016</v>
      </c>
    </row>
    <row r="3" customFormat="false" ht="17.15" hidden="false" customHeight="false" outlineLevel="0" collapsed="false">
      <c r="A3" s="6" t="s">
        <v>16</v>
      </c>
      <c r="B3" s="6" t="s">
        <v>1017</v>
      </c>
      <c r="C3" s="6" t="s">
        <v>1018</v>
      </c>
      <c r="D3" s="6" t="s">
        <v>1019</v>
      </c>
      <c r="E3" s="6" t="s">
        <v>1020</v>
      </c>
      <c r="F3" s="6" t="s">
        <v>1021</v>
      </c>
      <c r="G3" s="6" t="s">
        <v>22</v>
      </c>
      <c r="H3" s="6" t="s">
        <v>23</v>
      </c>
    </row>
    <row r="4" customFormat="false" ht="17.15" hidden="false" customHeight="false" outlineLevel="0" collapsed="false">
      <c r="A4" s="1" t="s">
        <v>1022</v>
      </c>
    </row>
    <row r="5" customFormat="false" ht="17.15" hidden="false" customHeight="false" outlineLevel="0" collapsed="false">
      <c r="A5" s="0" t="s">
        <v>1023</v>
      </c>
      <c r="B5" s="20" t="n">
        <f aca="false">c_rev26</f>
        <v>828.285</v>
      </c>
      <c r="C5" s="20" t="n">
        <f aca="false">PL!$G$27</f>
        <v>829.184340021111</v>
      </c>
      <c r="D5" s="20" t="n">
        <f aca="false">PL!$G$97</f>
        <v>827.569</v>
      </c>
      <c r="E5" s="20" t="n">
        <f aca="false">PL!$G$167</f>
        <v>827.049078054089</v>
      </c>
      <c r="F5" s="13" t="n">
        <f aca="false">D5/B5-1</f>
        <v>-0.000864436757879283</v>
      </c>
      <c r="G5" s="8" t="s">
        <v>1024</v>
      </c>
      <c r="H5" s="8" t="s">
        <v>1025</v>
      </c>
    </row>
    <row r="6" customFormat="false" ht="17.15" hidden="false" customHeight="false" outlineLevel="0" collapsed="false">
      <c r="A6" s="0" t="s">
        <v>1026</v>
      </c>
      <c r="B6" s="20" t="n">
        <f aca="false">c_sprev26</f>
        <v>828.74</v>
      </c>
      <c r="C6" s="20" t="n">
        <f aca="false">PL!$G$27</f>
        <v>829.184340021111</v>
      </c>
      <c r="D6" s="20" t="n">
        <f aca="false">PL!$G$97</f>
        <v>827.569</v>
      </c>
      <c r="E6" s="20" t="n">
        <f aca="false">PL!$G$167</f>
        <v>827.049078054089</v>
      </c>
      <c r="F6" s="13" t="n">
        <f aca="false">D6/B6-1</f>
        <v>-0.00141298839201687</v>
      </c>
      <c r="G6" s="8" t="s">
        <v>1027</v>
      </c>
    </row>
    <row r="7" customFormat="false" ht="17.15" hidden="false" customHeight="false" outlineLevel="0" collapsed="false">
      <c r="A7" s="0" t="s">
        <v>1028</v>
      </c>
      <c r="B7" s="20" t="n">
        <f aca="false">c_ebitda26</f>
        <v>216.957</v>
      </c>
      <c r="C7" s="20" t="n">
        <f aca="false">PL!$G$66</f>
        <v>172.416492719348</v>
      </c>
      <c r="D7" s="20" t="n">
        <f aca="false">PL!$G$136</f>
        <v>170.796270106594</v>
      </c>
      <c r="E7" s="20" t="n">
        <f aca="false">PL!$G$206</f>
        <v>170.276348160683</v>
      </c>
      <c r="F7" s="13" t="n">
        <f aca="false">D7/B7-1</f>
        <v>-0.212764418264476</v>
      </c>
      <c r="G7" s="8" t="s">
        <v>1024</v>
      </c>
      <c r="H7" s="5" t="s">
        <v>1029</v>
      </c>
    </row>
    <row r="8" customFormat="false" ht="17.15" hidden="false" customHeight="false" outlineLevel="0" collapsed="false">
      <c r="A8" s="0" t="s">
        <v>1030</v>
      </c>
      <c r="B8" s="20" t="n">
        <f aca="false">c_ebit26</f>
        <v>109.867</v>
      </c>
      <c r="C8" s="20" t="n">
        <f aca="false">PL!$G$47</f>
        <v>115.603648183681</v>
      </c>
      <c r="D8" s="20" t="n">
        <f aca="false">PL!$G$117</f>
        <v>113.983425570927</v>
      </c>
      <c r="E8" s="20" t="n">
        <f aca="false">PL!$G$187</f>
        <v>113.463503625016</v>
      </c>
      <c r="F8" s="13" t="n">
        <f aca="false">D8/B8-1</f>
        <v>0.0374673520795805</v>
      </c>
      <c r="G8" s="8" t="s">
        <v>1024</v>
      </c>
    </row>
    <row r="9" customFormat="false" ht="17.15" hidden="false" customHeight="false" outlineLevel="0" collapsed="false">
      <c r="A9" s="0" t="s">
        <v>1031</v>
      </c>
      <c r="B9" s="20" t="n">
        <f aca="false">c_ni26</f>
        <v>140.133</v>
      </c>
      <c r="C9" s="20" t="n">
        <f aca="false">PL!$G$73</f>
        <v>142.884841581818</v>
      </c>
      <c r="D9" s="20" t="n">
        <f aca="false">PL!$G$143</f>
        <v>141.54586454432</v>
      </c>
      <c r="E9" s="20" t="n">
        <f aca="false">PL!$G$213</f>
        <v>141.11619300327</v>
      </c>
      <c r="F9" s="13" t="n">
        <f aca="false">D9/B9-1</f>
        <v>0.0100823114064521</v>
      </c>
      <c r="G9" s="8" t="s">
        <v>1024</v>
      </c>
      <c r="H9" s="5" t="s">
        <v>1032</v>
      </c>
    </row>
    <row r="10" customFormat="false" ht="17.15" hidden="false" customHeight="false" outlineLevel="0" collapsed="false">
      <c r="A10" s="0" t="s">
        <v>1033</v>
      </c>
      <c r="B10" s="34" t="n">
        <f aca="false">c_eps26</f>
        <v>12.88</v>
      </c>
      <c r="C10" s="34" t="n">
        <f aca="false">PL!$G$77</f>
        <v>13.0907289329084</v>
      </c>
      <c r="D10" s="34" t="n">
        <f aca="false">PL!$G$147</f>
        <v>12.9680554200905</v>
      </c>
      <c r="E10" s="34" t="n">
        <f aca="false">PL!$G$217</f>
        <v>12.9286900569645</v>
      </c>
      <c r="F10" s="13" t="n">
        <f aca="false">D10/B10-1</f>
        <v>0.00683660093870309</v>
      </c>
      <c r="G10" s="8" t="s">
        <v>1024</v>
      </c>
    </row>
    <row r="11" customFormat="false" ht="17.15" hidden="false" customHeight="false" outlineLevel="0" collapsed="false">
      <c r="A11" s="0" t="s">
        <v>1034</v>
      </c>
      <c r="B11" s="34" t="n">
        <f aca="false">c_speps26</f>
        <v>7.92</v>
      </c>
      <c r="C11" s="34" t="n">
        <f aca="false">PL!$G$78</f>
        <v>7.64113904996149</v>
      </c>
      <c r="D11" s="34" t="n">
        <f aca="false">PL!$G$148</f>
        <v>7.51846553714355</v>
      </c>
      <c r="E11" s="34" t="n">
        <f aca="false">PL!$G$218</f>
        <v>7.47910017401752</v>
      </c>
      <c r="F11" s="13" t="n">
        <f aca="false">D11/B11-1</f>
        <v>-0.050698795815208</v>
      </c>
      <c r="G11" s="8" t="s">
        <v>1035</v>
      </c>
      <c r="H11" s="5" t="s">
        <v>1036</v>
      </c>
    </row>
    <row r="12" customFormat="false" ht="17.15" hidden="false" customHeight="false" outlineLevel="0" collapsed="false">
      <c r="A12" s="0" t="s">
        <v>1037</v>
      </c>
      <c r="B12" s="20" t="n">
        <f aca="false">c_capex26</f>
        <v>220.5</v>
      </c>
      <c r="C12" s="20" t="n">
        <f aca="false">CF!$G$24</f>
        <v>220</v>
      </c>
      <c r="D12" s="20" t="n">
        <f aca="false">CF!$G$54</f>
        <v>220</v>
      </c>
      <c r="E12" s="20" t="n">
        <f aca="false">CF!$G$84</f>
        <v>220</v>
      </c>
      <c r="F12" s="13" t="n">
        <f aca="false">D12/B12-1</f>
        <v>-0.00226757369614516</v>
      </c>
      <c r="G12" s="8" t="s">
        <v>1024</v>
      </c>
    </row>
    <row r="13" customFormat="false" ht="17.15" hidden="false" customHeight="false" outlineLevel="0" collapsed="false">
      <c r="A13" s="0" t="s">
        <v>1038</v>
      </c>
      <c r="B13" s="20" t="n">
        <f aca="false">c_fcf26</f>
        <v>-34.027</v>
      </c>
      <c r="C13" s="20" t="n">
        <f aca="false">CF!$G$26</f>
        <v>-35.4957922659654</v>
      </c>
      <c r="D13" s="20" t="n">
        <f aca="false">CF!$G$56</f>
        <v>-37.0159141457843</v>
      </c>
      <c r="E13" s="20" t="n">
        <f aca="false">CF!$G$86</f>
        <v>-37.5038899309444</v>
      </c>
      <c r="G13" s="8" t="s">
        <v>1024</v>
      </c>
      <c r="H13" s="5" t="s">
        <v>1039</v>
      </c>
    </row>
    <row r="14" customFormat="false" ht="17.15" hidden="false" customHeight="false" outlineLevel="0" collapsed="false">
      <c r="A14" s="0" t="s">
        <v>1040</v>
      </c>
      <c r="B14" s="20" t="n">
        <f aca="false">c_rev27</f>
        <v>947.853</v>
      </c>
      <c r="C14" s="20" t="n">
        <f aca="false">PL!$H$27</f>
        <v>961.430167262876</v>
      </c>
      <c r="D14" s="20" t="n">
        <f aca="false">PL!$H$97</f>
        <v>944.082052258761</v>
      </c>
      <c r="E14" s="20" t="n">
        <f aca="false">PL!$H$167</f>
        <v>938.394985536719</v>
      </c>
      <c r="F14" s="13" t="n">
        <f aca="false">D14/B14-1</f>
        <v>-0.00397840988132037</v>
      </c>
      <c r="G14" s="8" t="s">
        <v>1024</v>
      </c>
      <c r="H14" s="8" t="s">
        <v>1025</v>
      </c>
    </row>
    <row r="15" customFormat="false" ht="17.15" hidden="false" customHeight="false" outlineLevel="0" collapsed="false">
      <c r="A15" s="0" t="s">
        <v>1041</v>
      </c>
      <c r="B15" s="20" t="n">
        <f aca="false">c_sprev27</f>
        <v>949.92</v>
      </c>
      <c r="C15" s="20" t="n">
        <f aca="false">PL!$H$27</f>
        <v>961.430167262876</v>
      </c>
      <c r="D15" s="20" t="n">
        <f aca="false">PL!$H$97</f>
        <v>944.082052258761</v>
      </c>
      <c r="E15" s="20" t="n">
        <f aca="false">PL!$H$167</f>
        <v>938.394985536719</v>
      </c>
      <c r="F15" s="13" t="n">
        <f aca="false">D15/B15-1</f>
        <v>-0.00614572568346727</v>
      </c>
      <c r="G15" s="8" t="s">
        <v>1027</v>
      </c>
    </row>
    <row r="16" customFormat="false" ht="17.15" hidden="false" customHeight="false" outlineLevel="0" collapsed="false">
      <c r="A16" s="0" t="s">
        <v>1042</v>
      </c>
      <c r="B16" s="20" t="n">
        <f aca="false">c_ebitda27</f>
        <v>273.452</v>
      </c>
      <c r="C16" s="20" t="n">
        <f aca="false">PL!$H$66</f>
        <v>229.054838929681</v>
      </c>
      <c r="D16" s="20" t="n">
        <f aca="false">PL!$H$136</f>
        <v>211.588357981451</v>
      </c>
      <c r="E16" s="20" t="n">
        <f aca="false">PL!$H$206</f>
        <v>205.901291259409</v>
      </c>
      <c r="F16" s="13" t="n">
        <f aca="false">D16/B16-1</f>
        <v>-0.226232179755675</v>
      </c>
      <c r="G16" s="8" t="s">
        <v>1024</v>
      </c>
      <c r="H16" s="5" t="s">
        <v>1029</v>
      </c>
    </row>
    <row r="17" customFormat="false" ht="17.15" hidden="false" customHeight="false" outlineLevel="0" collapsed="false">
      <c r="A17" s="0" t="s">
        <v>1043</v>
      </c>
      <c r="B17" s="20" t="n">
        <f aca="false">c_ebit27</f>
        <v>140.372</v>
      </c>
      <c r="C17" s="20" t="n">
        <f aca="false">PL!$H$47</f>
        <v>150.277693369357</v>
      </c>
      <c r="D17" s="20" t="n">
        <f aca="false">PL!$H$117</f>
        <v>132.811212421127</v>
      </c>
      <c r="E17" s="20" t="n">
        <f aca="false">PL!$H$187</f>
        <v>127.124145699085</v>
      </c>
      <c r="F17" s="13" t="n">
        <f aca="false">D17/B17-1</f>
        <v>-0.0538625051924389</v>
      </c>
      <c r="G17" s="8" t="s">
        <v>1024</v>
      </c>
    </row>
    <row r="18" customFormat="false" ht="17.15" hidden="false" customHeight="false" outlineLevel="0" collapsed="false">
      <c r="A18" s="0" t="s">
        <v>1044</v>
      </c>
      <c r="B18" s="20" t="n">
        <f aca="false">c_ni27</f>
        <v>115.541</v>
      </c>
      <c r="C18" s="20" t="n">
        <f aca="false">PL!$H$73</f>
        <v>122.499284838756</v>
      </c>
      <c r="D18" s="20" t="n">
        <f aca="false">PL!$H$143</f>
        <v>108.012496434175</v>
      </c>
      <c r="E18" s="20" t="n">
        <f aca="false">PL!$H$213</f>
        <v>103.295853855588</v>
      </c>
      <c r="F18" s="13" t="n">
        <f aca="false">D18/B18-1</f>
        <v>-0.06515871911984</v>
      </c>
      <c r="G18" s="8" t="s">
        <v>1024</v>
      </c>
      <c r="H18" s="5" t="s">
        <v>1032</v>
      </c>
    </row>
    <row r="19" customFormat="false" ht="17.15" hidden="false" customHeight="false" outlineLevel="0" collapsed="false">
      <c r="A19" s="0" t="s">
        <v>1045</v>
      </c>
      <c r="B19" s="34" t="n">
        <f aca="false">c_eps27</f>
        <v>10.51</v>
      </c>
      <c r="C19" s="34" t="n">
        <f aca="false">PL!$H$77</f>
        <v>11.1339865825873</v>
      </c>
      <c r="D19" s="34" t="n">
        <f aca="false">PL!$H$147</f>
        <v>9.81727924071423</v>
      </c>
      <c r="E19" s="34" t="n">
        <f aca="false">PL!$H$217</f>
        <v>9.38858257318702</v>
      </c>
      <c r="F19" s="13" t="n">
        <f aca="false">D19/B19-1</f>
        <v>-0.0659106336142508</v>
      </c>
      <c r="G19" s="8" t="s">
        <v>1024</v>
      </c>
    </row>
    <row r="20" customFormat="false" ht="17.15" hidden="false" customHeight="false" outlineLevel="0" collapsed="false">
      <c r="A20" s="0" t="s">
        <v>1046</v>
      </c>
      <c r="B20" s="34" t="n">
        <f aca="false">c_speps27</f>
        <v>10.43</v>
      </c>
      <c r="C20" s="34" t="n">
        <f aca="false">PL!$H$78</f>
        <v>11.1339865825873</v>
      </c>
      <c r="D20" s="34" t="n">
        <f aca="false">PL!$H$148</f>
        <v>9.81727924071423</v>
      </c>
      <c r="E20" s="34" t="n">
        <f aca="false">PL!$H$218</f>
        <v>9.38858257318702</v>
      </c>
      <c r="F20" s="13" t="n">
        <f aca="false">D20/B20-1</f>
        <v>-0.0587459980139765</v>
      </c>
      <c r="G20" s="8" t="s">
        <v>1035</v>
      </c>
      <c r="H20" s="5" t="s">
        <v>1036</v>
      </c>
    </row>
    <row r="21" customFormat="false" ht="17.15" hidden="false" customHeight="false" outlineLevel="0" collapsed="false">
      <c r="A21" s="0" t="s">
        <v>1047</v>
      </c>
      <c r="B21" s="20" t="n">
        <f aca="false">c_capex27</f>
        <v>275.063</v>
      </c>
      <c r="C21" s="20" t="n">
        <f aca="false">CF!$H$24</f>
        <v>250.465066967637</v>
      </c>
      <c r="D21" s="20" t="n">
        <f aca="false">CF!$H$54</f>
        <v>253.080086249122</v>
      </c>
      <c r="E21" s="20" t="n">
        <f aca="false">CF!$H$84</f>
        <v>253.080086249122</v>
      </c>
      <c r="F21" s="13" t="n">
        <f aca="false">D21/B21-1</f>
        <v>-0.0799195593405069</v>
      </c>
      <c r="G21" s="8" t="s">
        <v>1024</v>
      </c>
    </row>
    <row r="22" customFormat="false" ht="17.15" hidden="false" customHeight="false" outlineLevel="0" collapsed="false">
      <c r="A22" s="0" t="s">
        <v>1048</v>
      </c>
      <c r="B22" s="20" t="n">
        <f aca="false">c_fcf27</f>
        <v>-5.631</v>
      </c>
      <c r="C22" s="20" t="n">
        <f aca="false">CF!$H$26</f>
        <v>-15.3069507790254</v>
      </c>
      <c r="D22" s="20" t="n">
        <f aca="false">CF!$H$56</f>
        <v>-33.0489925523671</v>
      </c>
      <c r="E22" s="20" t="n">
        <f aca="false">CF!$H$86</f>
        <v>-37.9755169521887</v>
      </c>
      <c r="G22" s="8" t="s">
        <v>1024</v>
      </c>
      <c r="H22" s="5" t="s">
        <v>1039</v>
      </c>
    </row>
    <row r="23" customFormat="false" ht="17.15" hidden="false" customHeight="false" outlineLevel="0" collapsed="false">
      <c r="A23" s="0" t="s">
        <v>1049</v>
      </c>
      <c r="B23" s="20" t="n">
        <f aca="false">c_rev28</f>
        <v>1097.389</v>
      </c>
      <c r="C23" s="20" t="n">
        <f aca="false">PL!$I$27</f>
        <v>1098.94344549877</v>
      </c>
      <c r="D23" s="20" t="n">
        <f aca="false">PL!$I$97</f>
        <v>1063.75274817013</v>
      </c>
      <c r="E23" s="20" t="n">
        <f aca="false">PL!$I$167</f>
        <v>1052.15264251433</v>
      </c>
      <c r="F23" s="13" t="n">
        <f aca="false">D23/B23-1</f>
        <v>-0.030651165475387</v>
      </c>
      <c r="G23" s="8" t="s">
        <v>1024</v>
      </c>
      <c r="H23" s="8" t="s">
        <v>1025</v>
      </c>
    </row>
    <row r="24" customFormat="false" ht="17.15" hidden="false" customHeight="false" outlineLevel="0" collapsed="false">
      <c r="A24" s="0" t="s">
        <v>1050</v>
      </c>
      <c r="B24" s="20" t="n">
        <f aca="false">c_ebitda28</f>
        <v>355.29</v>
      </c>
      <c r="C24" s="20" t="n">
        <f aca="false">PL!$I$66</f>
        <v>293.079019268185</v>
      </c>
      <c r="D24" s="20" t="n">
        <f aca="false">PL!$I$136</f>
        <v>257.610364993396</v>
      </c>
      <c r="E24" s="20" t="n">
        <f aca="false">PL!$I$206</f>
        <v>246.010259337595</v>
      </c>
      <c r="F24" s="13" t="n">
        <f aca="false">D24/B24-1</f>
        <v>-0.274929311285439</v>
      </c>
      <c r="G24" s="8" t="s">
        <v>1024</v>
      </c>
      <c r="H24" s="5" t="s">
        <v>1029</v>
      </c>
    </row>
    <row r="25" customFormat="false" ht="17.15" hidden="false" customHeight="false" outlineLevel="0" collapsed="false">
      <c r="A25" s="0" t="s">
        <v>1051</v>
      </c>
      <c r="B25" s="20" t="n">
        <f aca="false">c_ebit28</f>
        <v>182.749</v>
      </c>
      <c r="C25" s="20" t="n">
        <f aca="false">PL!$I$47</f>
        <v>178.501470155698</v>
      </c>
      <c r="D25" s="20" t="n">
        <f aca="false">PL!$I$117</f>
        <v>142.679608850662</v>
      </c>
      <c r="E25" s="20" t="n">
        <f aca="false">PL!$I$187</f>
        <v>131.079503194861</v>
      </c>
      <c r="F25" s="13" t="n">
        <f aca="false">D25/B25-1</f>
        <v>-0.219259154082036</v>
      </c>
      <c r="G25" s="8" t="s">
        <v>1024</v>
      </c>
    </row>
    <row r="26" customFormat="false" ht="17.15" hidden="false" customHeight="false" outlineLevel="0" collapsed="false">
      <c r="A26" s="0" t="s">
        <v>1052</v>
      </c>
      <c r="B26" s="20" t="n">
        <f aca="false">c_ni28</f>
        <v>147.701</v>
      </c>
      <c r="C26" s="20" t="n">
        <f aca="false">PL!$I$73</f>
        <v>145.298035817944</v>
      </c>
      <c r="D26" s="20" t="n">
        <f aca="false">PL!$I$143</f>
        <v>115.032613457794</v>
      </c>
      <c r="E26" s="20" t="n">
        <f aca="false">PL!$I$213</f>
        <v>105.260111100691</v>
      </c>
      <c r="F26" s="13" t="n">
        <f aca="false">D26/B26-1</f>
        <v>-0.221179183229675</v>
      </c>
      <c r="G26" s="8" t="s">
        <v>1024</v>
      </c>
      <c r="H26" s="5" t="s">
        <v>1032</v>
      </c>
    </row>
    <row r="27" customFormat="false" ht="17.15" hidden="false" customHeight="false" outlineLevel="0" collapsed="false">
      <c r="A27" s="0" t="s">
        <v>1053</v>
      </c>
      <c r="B27" s="34" t="n">
        <f aca="false">c_eps28</f>
        <v>13.81</v>
      </c>
      <c r="C27" s="34" t="n">
        <f aca="false">PL!$I$77</f>
        <v>13.1013591335783</v>
      </c>
      <c r="D27" s="34" t="n">
        <f aca="false">PL!$I$147</f>
        <v>10.3723603178848</v>
      </c>
      <c r="E27" s="34" t="n">
        <f aca="false">PL!$I$217</f>
        <v>9.49118486156573</v>
      </c>
      <c r="F27" s="13" t="n">
        <f aca="false">D27/B27-1</f>
        <v>-0.248923945120579</v>
      </c>
      <c r="G27" s="8" t="s">
        <v>1024</v>
      </c>
    </row>
    <row r="28" customFormat="false" ht="17.15" hidden="false" customHeight="false" outlineLevel="0" collapsed="false">
      <c r="A28" s="0" t="s">
        <v>1054</v>
      </c>
      <c r="B28" s="20" t="n">
        <f aca="false">c_capex28</f>
        <v>292.927</v>
      </c>
      <c r="C28" s="20" t="n">
        <f aca="false">CF!$I$24</f>
        <v>264.263106520218</v>
      </c>
      <c r="D28" s="20" t="n">
        <f aca="false">CF!$I$54</f>
        <v>266.971568381453</v>
      </c>
      <c r="E28" s="20" t="n">
        <f aca="false">CF!$I$84</f>
        <v>266.971568381453</v>
      </c>
      <c r="F28" s="13" t="n">
        <f aca="false">D28/B28-1</f>
        <v>-0.0886071670366587</v>
      </c>
      <c r="G28" s="8" t="s">
        <v>1024</v>
      </c>
    </row>
    <row r="29" customFormat="false" ht="17.15" hidden="false" customHeight="false" outlineLevel="0" collapsed="false">
      <c r="A29" s="0" t="s">
        <v>1055</v>
      </c>
      <c r="B29" s="20" t="n">
        <f aca="false">c_fcf28</f>
        <v>41.402</v>
      </c>
      <c r="C29" s="20" t="n">
        <f aca="false">CF!$I$26</f>
        <v>34.5691068179333</v>
      </c>
      <c r="D29" s="20" t="n">
        <f aca="false">CF!$I$56</f>
        <v>0.649713081543234</v>
      </c>
      <c r="E29" s="20" t="n">
        <f aca="false">CF!$I$86</f>
        <v>-9.55089244729184</v>
      </c>
      <c r="G29" s="8" t="s">
        <v>1024</v>
      </c>
      <c r="H29" s="5" t="s">
        <v>1039</v>
      </c>
    </row>
    <row r="30" customFormat="false" ht="17.15" hidden="false" customHeight="false" outlineLevel="0" collapsed="false">
      <c r="A30" s="5" t="s">
        <v>1056</v>
      </c>
      <c r="B30" s="34" t="n">
        <f aca="false">cons_mb</f>
        <v>325.12</v>
      </c>
      <c r="G30" s="8" t="s">
        <v>1057</v>
      </c>
      <c r="H30" s="8" t="s">
        <v>1058</v>
      </c>
    </row>
    <row r="31" customFormat="false" ht="17.15" hidden="false" customHeight="false" outlineLevel="0" collapsed="false">
      <c r="A31" s="1" t="s">
        <v>1059</v>
      </c>
    </row>
    <row r="32" customFormat="false" ht="15" hidden="false" customHeight="false" outlineLevel="0" collapsed="false">
      <c r="A32" s="0" t="s">
        <v>1060</v>
      </c>
      <c r="B32" s="53" t="s">
        <v>1061</v>
      </c>
      <c r="C32" s="20" t="n">
        <f aca="false">PL!$G$22</f>
        <v>474.975933639977</v>
      </c>
      <c r="D32" s="20" t="n">
        <f aca="false">PL!$G$92</f>
        <v>474.975933639977</v>
      </c>
      <c r="E32" s="20" t="n">
        <f aca="false">PL!$G$162</f>
        <v>474.975933639977</v>
      </c>
      <c r="G32" s="5" t="s">
        <v>1062</v>
      </c>
    </row>
    <row r="33" customFormat="false" ht="15" hidden="false" customHeight="false" outlineLevel="0" collapsed="false">
      <c r="A33" s="0" t="s">
        <v>1063</v>
      </c>
      <c r="B33" s="53" t="s">
        <v>1061</v>
      </c>
      <c r="C33" s="20" t="n">
        <f aca="false">PL!$H$22</f>
        <v>524.566728590708</v>
      </c>
      <c r="D33" s="20" t="n">
        <f aca="false">PL!$H$92</f>
        <v>524.566728590708</v>
      </c>
      <c r="E33" s="20" t="n">
        <f aca="false">PL!$H$162</f>
        <v>524.566728590708</v>
      </c>
      <c r="G33" s="5" t="s">
        <v>1062</v>
      </c>
    </row>
    <row r="34" customFormat="false" ht="15" hidden="false" customHeight="false" outlineLevel="0" collapsed="false">
      <c r="A34" s="0" t="s">
        <v>1064</v>
      </c>
      <c r="B34" s="53" t="s">
        <v>1061</v>
      </c>
      <c r="C34" s="20" t="n">
        <f aca="false">PL!$G$23</f>
        <v>181.69372403826</v>
      </c>
      <c r="D34" s="20" t="n">
        <f aca="false">PL!$G$93</f>
        <v>181.69372403826</v>
      </c>
      <c r="E34" s="20" t="n">
        <f aca="false">PL!$G$163</f>
        <v>181.69372403826</v>
      </c>
      <c r="G34" s="5" t="s">
        <v>1062</v>
      </c>
    </row>
    <row r="35" customFormat="false" ht="15" hidden="false" customHeight="false" outlineLevel="0" collapsed="false">
      <c r="A35" s="0" t="s">
        <v>1065</v>
      </c>
      <c r="B35" s="53" t="s">
        <v>1061</v>
      </c>
      <c r="C35" s="20" t="n">
        <f aca="false">PL!$H$23</f>
        <v>200.663814045906</v>
      </c>
      <c r="D35" s="20" t="n">
        <f aca="false">PL!$H$93</f>
        <v>200.663814045906</v>
      </c>
      <c r="E35" s="20" t="n">
        <f aca="false">PL!$H$163</f>
        <v>200.663814045906</v>
      </c>
      <c r="G35" s="5" t="s">
        <v>1062</v>
      </c>
    </row>
    <row r="36" customFormat="false" ht="15" hidden="false" customHeight="false" outlineLevel="0" collapsed="false">
      <c r="A36" s="0" t="s">
        <v>1066</v>
      </c>
      <c r="B36" s="53" t="s">
        <v>1061</v>
      </c>
      <c r="C36" s="20" t="n">
        <f aca="false">PL!$G$24</f>
        <v>172.514682342874</v>
      </c>
      <c r="D36" s="20" t="n">
        <f aca="false">PL!$G$94</f>
        <v>170.899342321763</v>
      </c>
      <c r="E36" s="20" t="n">
        <f aca="false">PL!$G$164</f>
        <v>170.379420375852</v>
      </c>
      <c r="G36" s="5" t="s">
        <v>1062</v>
      </c>
    </row>
    <row r="37" customFormat="false" ht="15" hidden="false" customHeight="false" outlineLevel="0" collapsed="false">
      <c r="A37" s="0" t="s">
        <v>1067</v>
      </c>
      <c r="B37" s="53" t="s">
        <v>1061</v>
      </c>
      <c r="C37" s="20" t="n">
        <f aca="false">PL!$H$24</f>
        <v>236.199624626263</v>
      </c>
      <c r="D37" s="20" t="n">
        <f aca="false">PL!$H$94</f>
        <v>218.851509622147</v>
      </c>
      <c r="E37" s="20" t="n">
        <f aca="false">PL!$H$164</f>
        <v>213.164442900105</v>
      </c>
      <c r="G37" s="5" t="s">
        <v>1062</v>
      </c>
    </row>
    <row r="38" customFormat="false" ht="15" hidden="false" customHeight="false" outlineLevel="0" collapsed="false">
      <c r="A38" s="0" t="s">
        <v>1068</v>
      </c>
      <c r="B38" s="53" t="s">
        <v>1061</v>
      </c>
      <c r="C38" s="20" t="n">
        <f aca="false">PL!$G$18</f>
        <v>82.1970393747055</v>
      </c>
      <c r="D38" s="20" t="n">
        <f aca="false">PL!$G$88</f>
        <v>82.1970393747055</v>
      </c>
      <c r="E38" s="20" t="n">
        <f aca="false">PL!$G$158</f>
        <v>82.1970393747055</v>
      </c>
      <c r="G38" s="5" t="s">
        <v>1062</v>
      </c>
    </row>
    <row r="39" customFormat="false" ht="15" hidden="false" customHeight="false" outlineLevel="0" collapsed="false">
      <c r="A39" s="0" t="s">
        <v>1069</v>
      </c>
      <c r="B39" s="53" t="s">
        <v>1061</v>
      </c>
      <c r="C39" s="20" t="n">
        <f aca="false">PL!$H$18</f>
        <v>96.4608782883025</v>
      </c>
      <c r="D39" s="20" t="n">
        <f aca="false">PL!$H$88</f>
        <v>96.4608782883025</v>
      </c>
      <c r="E39" s="20" t="n">
        <f aca="false">PL!$H$158</f>
        <v>96.4608782883025</v>
      </c>
      <c r="G39" s="5" t="s">
        <v>1062</v>
      </c>
    </row>
    <row r="40" customFormat="false" ht="17.15" hidden="false" customHeight="false" outlineLevel="0" collapsed="false">
      <c r="A40" s="0" t="s">
        <v>1070</v>
      </c>
      <c r="B40" s="53" t="s">
        <v>1061</v>
      </c>
      <c r="C40" s="20" t="n">
        <f aca="false">PL!$G$25</f>
        <v>25.9327300632709</v>
      </c>
      <c r="D40" s="20" t="n">
        <f aca="false">PL!$G$95</f>
        <v>24.3173900421601</v>
      </c>
      <c r="E40" s="20" t="n">
        <f aca="false">PL!$G$165</f>
        <v>23.797468096249</v>
      </c>
      <c r="G40" s="5" t="s">
        <v>1062</v>
      </c>
      <c r="H40" s="5" t="s">
        <v>1071</v>
      </c>
    </row>
    <row r="41" customFormat="false" ht="17.15" hidden="false" customHeight="false" outlineLevel="0" collapsed="false">
      <c r="A41" s="0" t="s">
        <v>1072</v>
      </c>
      <c r="B41" s="53" t="s">
        <v>1061</v>
      </c>
      <c r="C41" s="20" t="n">
        <f aca="false">PL!$H$25</f>
        <v>71.2392094580459</v>
      </c>
      <c r="D41" s="20" t="n">
        <f aca="false">PL!$H$95</f>
        <v>53.8910944539304</v>
      </c>
      <c r="E41" s="20" t="n">
        <f aca="false">PL!$H$165</f>
        <v>48.2040277318885</v>
      </c>
      <c r="G41" s="5" t="s">
        <v>1062</v>
      </c>
      <c r="H41" s="5" t="s">
        <v>1071</v>
      </c>
    </row>
    <row r="42" customFormat="false" ht="17.15" hidden="false" customHeight="false" outlineLevel="0" collapsed="false">
      <c r="A42" s="1" t="s">
        <v>1073</v>
      </c>
    </row>
    <row r="43" customFormat="false" ht="17.15" hidden="false" customHeight="false" outlineLevel="0" collapsed="false">
      <c r="A43" s="0" t="s">
        <v>1074</v>
      </c>
      <c r="B43" s="20" t="n">
        <f aca="false">capex_g26</f>
        <v>220</v>
      </c>
      <c r="C43" s="20" t="n">
        <f aca="false">CF!$G$24</f>
        <v>220</v>
      </c>
      <c r="D43" s="20" t="n">
        <f aca="false">CF!$G$54</f>
        <v>220</v>
      </c>
      <c r="E43" s="20" t="n">
        <f aca="false">CF!$G$84</f>
        <v>220</v>
      </c>
      <c r="F43" s="13" t="n">
        <f aca="false">D43/B43-1</f>
        <v>0</v>
      </c>
      <c r="G43" s="8" t="s">
        <v>1075</v>
      </c>
      <c r="H43" s="8" t="s">
        <v>1076</v>
      </c>
    </row>
    <row r="44" customFormat="false" ht="17.15" hidden="false" customHeight="false" outlineLevel="0" collapsed="false">
      <c r="A44" s="0" t="s">
        <v>1077</v>
      </c>
      <c r="B44" s="20" t="n">
        <f aca="false">g26q4_mid</f>
        <v>243.5</v>
      </c>
      <c r="C44" s="20" t="n">
        <f aca="false">PL!$F$27</f>
        <v>245.115340021111</v>
      </c>
      <c r="D44" s="20" t="n">
        <f aca="false">PL!$F$97</f>
        <v>243.5</v>
      </c>
      <c r="E44" s="20" t="n">
        <f aca="false">PL!$F$167</f>
        <v>242.980078054089</v>
      </c>
      <c r="F44" s="13" t="n">
        <f aca="false">D44/B44-1</f>
        <v>0</v>
      </c>
      <c r="G44" s="8" t="s">
        <v>1078</v>
      </c>
      <c r="H44" s="5" t="s">
        <v>1079</v>
      </c>
    </row>
    <row r="45" customFormat="false" ht="17.15" hidden="false" customHeight="false" outlineLevel="0" collapsed="false">
      <c r="A45" s="0" t="s">
        <v>1080</v>
      </c>
      <c r="B45" s="20" t="n">
        <f aca="false">(g26q4_oilo+g26q4_oihi)/2</f>
        <v>31</v>
      </c>
      <c r="C45" s="20" t="n">
        <f aca="false">PL!$F$47</f>
        <v>36.2146481836808</v>
      </c>
      <c r="D45" s="20" t="n">
        <f aca="false">PL!$F$117</f>
        <v>34.5944255709273</v>
      </c>
      <c r="E45" s="20" t="n">
        <f aca="false">PL!$F$187</f>
        <v>34.0745036250161</v>
      </c>
      <c r="F45" s="13" t="n">
        <f aca="false">D45/B45-1</f>
        <v>0.115949211965396</v>
      </c>
      <c r="G45" s="8" t="s">
        <v>1078</v>
      </c>
      <c r="H45" s="5" t="s">
        <v>1081</v>
      </c>
    </row>
    <row r="46" customFormat="false" ht="17.15" hidden="false" customHeight="false" outlineLevel="0" collapsed="false">
      <c r="A46" s="0" t="s">
        <v>1082</v>
      </c>
      <c r="C46" s="20" t="n">
        <f aca="false">Thesis!$F$37</f>
        <v>0.630918802051482</v>
      </c>
      <c r="D46" s="20" t="n">
        <f aca="false">Thesis!$F$103</f>
        <v>0.000524626617739443</v>
      </c>
      <c r="E46" s="20" t="n">
        <f aca="false">Thesis!$F$169</f>
        <v>0.000524626617739443</v>
      </c>
      <c r="G46" s="8" t="s">
        <v>751</v>
      </c>
      <c r="H46" s="5" t="s">
        <v>1083</v>
      </c>
    </row>
    <row r="47" customFormat="false" ht="17.15" hidden="false" customHeight="false" outlineLevel="0" collapsed="false">
      <c r="A47" s="0" t="s">
        <v>1084</v>
      </c>
      <c r="C47" s="20" t="n">
        <f aca="false">Thesis!$F$38</f>
        <v>-13.4020811979485</v>
      </c>
      <c r="D47" s="20" t="n">
        <f aca="false">Thesis!$F$104</f>
        <v>-14.0324753733822</v>
      </c>
      <c r="E47" s="20" t="n">
        <f aca="false">Thesis!$F$170</f>
        <v>-14.0324753733822</v>
      </c>
      <c r="G47" s="8" t="s">
        <v>751</v>
      </c>
      <c r="H47" s="5" t="s">
        <v>1085</v>
      </c>
    </row>
    <row r="48" customFormat="false" ht="17.15" hidden="false" customHeight="false" outlineLevel="0" collapsed="false">
      <c r="A48" s="0" t="s">
        <v>1086</v>
      </c>
      <c r="B48" s="13" t="n">
        <f aca="false">aws_g40</f>
        <v>0.4</v>
      </c>
      <c r="C48" s="13" t="n">
        <f aca="false">PL!$H$24/PL!$G$24-1</f>
        <v>0.36915665042825</v>
      </c>
      <c r="D48" s="13" t="n">
        <f aca="false">PL!$H$94/PL!$G$94-1</f>
        <v>0.280587196234503</v>
      </c>
      <c r="E48" s="13" t="n">
        <f aca="false">PL!$H$164/PL!$G$164-1</f>
        <v>0.25111614084536</v>
      </c>
      <c r="G48" s="8" t="s">
        <v>1087</v>
      </c>
      <c r="H48" s="5" t="s">
        <v>1088</v>
      </c>
    </row>
    <row r="49" customFormat="false" ht="17.15" hidden="false" customHeight="false" outlineLevel="0" collapsed="false">
      <c r="A49" s="0" t="s">
        <v>1089</v>
      </c>
      <c r="B49" s="13" t="n">
        <f aca="false">aws_g40</f>
        <v>0.4</v>
      </c>
      <c r="C49" s="13" t="n">
        <f aca="false">PL!$I$24/PL!$H$24-1</f>
        <v>0.301218954018424</v>
      </c>
      <c r="D49" s="13" t="n">
        <f aca="false">PL!$I$94/PL!$H$94-1</f>
        <v>0.243567986517316</v>
      </c>
      <c r="E49" s="13" t="n">
        <f aca="false">PL!$I$164/PL!$H$164-1</f>
        <v>0.222326866368569</v>
      </c>
      <c r="G49" s="5" t="s">
        <v>143</v>
      </c>
    </row>
    <row r="50" customFormat="false" ht="17.15" hidden="false" customHeight="false" outlineLevel="0" collapsed="false">
      <c r="A50" s="0" t="s">
        <v>1090</v>
      </c>
      <c r="B50" s="20" t="n">
        <f aca="false">aws_rr</f>
        <v>184</v>
      </c>
      <c r="C50" s="20" t="n">
        <f aca="false">PL!$F$24*4</f>
        <v>186.846729371496</v>
      </c>
      <c r="D50" s="20" t="n">
        <f aca="false">PL!$F$94*4</f>
        <v>180.385369287053</v>
      </c>
      <c r="E50" s="20" t="n">
        <f aca="false">PL!$F$164*4</f>
        <v>178.305681503408</v>
      </c>
      <c r="F50" s="13" t="n">
        <f aca="false">D50/B50-1</f>
        <v>-0.0196447321355823</v>
      </c>
      <c r="G50" s="8" t="s">
        <v>1078</v>
      </c>
    </row>
    <row r="51" customFormat="false" ht="17.15" hidden="false" customHeight="false" outlineLevel="0" collapsed="false">
      <c r="A51" s="0" t="s">
        <v>1091</v>
      </c>
      <c r="B51" s="20" t="n">
        <f aca="false">aws_bl</f>
        <v>578</v>
      </c>
      <c r="C51" s="20" t="n">
        <f aca="false">PL!$F$24+PL!$H$24+0.75*PL!$I$24</f>
        <v>513.421878340935</v>
      </c>
      <c r="D51" s="20" t="n">
        <f aca="false">PL!$F$94+PL!$H$94+0.75*PL!$I$94</f>
        <v>468.065400319227</v>
      </c>
      <c r="E51" s="20" t="n">
        <f aca="false">PL!$F$164+PL!$H$164+0.75*PL!$I$164</f>
        <v>453.158332409423</v>
      </c>
      <c r="G51" s="8" t="s">
        <v>1092</v>
      </c>
      <c r="H51" s="8" t="s">
        <v>1093</v>
      </c>
    </row>
    <row r="52" customFormat="false" ht="17.15" hidden="false" customHeight="false" outlineLevel="0" collapsed="false">
      <c r="A52" s="0" t="s">
        <v>1094</v>
      </c>
      <c r="B52" s="20" t="n">
        <f aca="false">ai_rr</f>
        <v>25</v>
      </c>
      <c r="C52" s="20" t="n">
        <f aca="false">mw_open*rpm_open/1000</f>
        <v>20.1153797604382</v>
      </c>
      <c r="D52" s="20" t="n">
        <f aca="false">mw_open*rpm_open/1000</f>
        <v>20.1153797604382</v>
      </c>
      <c r="E52" s="20" t="n">
        <f aca="false">mw_open*rpm_open/1000</f>
        <v>20.1153797604382</v>
      </c>
      <c r="F52" s="13" t="n">
        <f aca="false">D52/B52-1</f>
        <v>-0.195384809582471</v>
      </c>
      <c r="G52" s="8" t="s">
        <v>1095</v>
      </c>
      <c r="H52" s="8" t="s">
        <v>1096</v>
      </c>
    </row>
    <row r="53" customFormat="false" ht="17.15" hidden="false" customHeight="false" outlineLevel="0" collapsed="false">
      <c r="A53" s="5" t="s">
        <v>1097</v>
      </c>
      <c r="C53" s="21" t="n">
        <f aca="false">ai_rr*1000/(mw_open*he_open)</f>
        <v>1.23282411092991</v>
      </c>
      <c r="D53" s="21" t="n">
        <f aca="false">ai_rr*1000/(mw_open*he_open)</f>
        <v>1.23282411092991</v>
      </c>
      <c r="E53" s="21" t="n">
        <f aca="false">ai_rr*1000/(mw_open*he_open)</f>
        <v>1.23282411092991</v>
      </c>
      <c r="H53" s="5" t="s">
        <v>1098</v>
      </c>
    </row>
    <row r="54" customFormat="false" ht="17.15" hidden="false" customHeight="false" outlineLevel="0" collapsed="false">
      <c r="A54" s="5" t="s">
        <v>1099</v>
      </c>
      <c r="C54" s="36" t="n">
        <f aca="false">ai_rr*1000/rpm_open</f>
        <v>2585.08666598831</v>
      </c>
      <c r="D54" s="36" t="n">
        <f aca="false">ai_rr*1000/rpm_open</f>
        <v>2585.08666598831</v>
      </c>
      <c r="E54" s="36" t="n">
        <f aca="false">ai_rr*1000/rpm_open</f>
        <v>2585.08666598831</v>
      </c>
      <c r="H54" s="5" t="s">
        <v>1100</v>
      </c>
    </row>
    <row r="55" customFormat="false" ht="17.15" hidden="false" customHeight="false" outlineLevel="0" collapsed="false">
      <c r="A55" s="5" t="s">
        <v>1101</v>
      </c>
      <c r="C55" s="34" t="n">
        <f aca="false">Sens!D25-Val!B19</f>
        <v>-5.02538834921461</v>
      </c>
      <c r="D55" s="34" t="n">
        <f aca="false">Sens!D25-Val!B19</f>
        <v>-5.02538834921461</v>
      </c>
      <c r="E55" s="34" t="n">
        <f aca="false">Sens!D25-Val!B19</f>
        <v>-5.02538834921461</v>
      </c>
      <c r="G55" s="8" t="s">
        <v>1102</v>
      </c>
      <c r="H55" s="5" t="s">
        <v>1103</v>
      </c>
    </row>
    <row r="56" customFormat="false" ht="17.15" hidden="false" customHeight="false" outlineLevel="0" collapsed="false">
      <c r="A56" s="5" t="s">
        <v>1104</v>
      </c>
      <c r="C56" s="13" t="n">
        <f aca="false">Thesis!$I$67</f>
        <v>0.262383909065715</v>
      </c>
      <c r="D56" s="13" t="n">
        <f aca="false">Thesis!$I$133</f>
        <v>0.186135387468757</v>
      </c>
      <c r="E56" s="13" t="n">
        <f aca="false">Thesis!$I$199</f>
        <v>0.161877240702116</v>
      </c>
      <c r="G56" s="8" t="s">
        <v>1105</v>
      </c>
      <c r="H56" s="5" t="s">
        <v>235</v>
      </c>
    </row>
    <row r="57" customFormat="false" ht="17.15" hidden="false" customHeight="false" outlineLevel="0" collapsed="false">
      <c r="A57" s="1" t="s">
        <v>1106</v>
      </c>
    </row>
    <row r="58" customFormat="false" ht="17.15" hidden="false" customHeight="false" outlineLevel="0" collapsed="false">
      <c r="A58" s="0" t="s">
        <v>1107</v>
      </c>
      <c r="B58" s="34" t="n">
        <f aca="false">v03_tp</f>
        <v>215.578882385843</v>
      </c>
      <c r="G58" s="8" t="s">
        <v>1108</v>
      </c>
    </row>
    <row r="59" customFormat="false" ht="17.15" hidden="false" customHeight="false" outlineLevel="0" collapsed="false">
      <c r="A59" s="0" t="s">
        <v>1109</v>
      </c>
      <c r="B59" s="34" t="n">
        <f aca="false">IF(ABS(Sens!E100)&lt;0.000001,217.031536154571-v03_tp,"快照過期")</f>
        <v>1.452653768728</v>
      </c>
      <c r="G59" s="5" t="s">
        <v>1110</v>
      </c>
      <c r="H59" s="8" t="s">
        <v>1111</v>
      </c>
    </row>
    <row r="60" customFormat="false" ht="17.15" hidden="false" customHeight="false" outlineLevel="0" collapsed="false">
      <c r="A60" s="0" t="s">
        <v>1112</v>
      </c>
      <c r="B60" s="34" t="n">
        <f aca="false">IF(ABS(Sens!E100)&lt;0.000001,224.420305013339-217.031536154571,"快照過期")</f>
        <v>7.388768858768</v>
      </c>
      <c r="G60" s="5" t="s">
        <v>1113</v>
      </c>
      <c r="H60" s="8" t="s">
        <v>1114</v>
      </c>
    </row>
    <row r="61" customFormat="false" ht="17.15" hidden="false" customHeight="false" outlineLevel="0" collapsed="false">
      <c r="A61" s="0" t="s">
        <v>1115</v>
      </c>
      <c r="B61" s="34" t="n">
        <f aca="false">IF(ABS(Sens!E100)&lt;0.000001,226.382618959875-224.420305013339,"快照過期")</f>
        <v>1.962313946536</v>
      </c>
      <c r="G61" s="5" t="s">
        <v>1116</v>
      </c>
      <c r="H61" s="8" t="s">
        <v>1117</v>
      </c>
    </row>
    <row r="62" customFormat="false" ht="17.15" hidden="false" customHeight="false" outlineLevel="0" collapsed="false">
      <c r="A62" s="0" t="s">
        <v>1118</v>
      </c>
      <c r="B62" s="34" t="n">
        <f aca="false">IF(ABS(Sens!E100)&lt;0.000001,215.615592897719-226.382618959875,"快照過期")</f>
        <v>-10.767026062156</v>
      </c>
      <c r="G62" s="5" t="s">
        <v>1119</v>
      </c>
      <c r="H62" s="8" t="s">
        <v>1120</v>
      </c>
    </row>
    <row r="63" customFormat="false" ht="17.15" hidden="false" customHeight="false" outlineLevel="0" collapsed="false">
      <c r="A63" s="0" t="s">
        <v>1121</v>
      </c>
      <c r="B63" s="34" t="n">
        <v>0</v>
      </c>
    </row>
    <row r="64" customFormat="false" ht="17.15" hidden="false" customHeight="false" outlineLevel="0" collapsed="false">
      <c r="A64" s="0" t="s">
        <v>1122</v>
      </c>
      <c r="B64" s="34" t="n">
        <f aca="false">Val!B19-215.615592897719</f>
        <v>2.03518897084959</v>
      </c>
      <c r="G64" s="5" t="s">
        <v>1123</v>
      </c>
    </row>
    <row r="65" customFormat="false" ht="17.15" hidden="false" customHeight="false" outlineLevel="0" collapsed="false">
      <c r="A65" s="5" t="s">
        <v>1124</v>
      </c>
      <c r="B65" s="34" t="n">
        <f aca="false">B59+B60+B61+B62+B63+B64</f>
        <v>2.0718994827256</v>
      </c>
    </row>
    <row r="66" customFormat="false" ht="17.15" hidden="false" customHeight="false" outlineLevel="0" collapsed="false">
      <c r="A66" s="5" t="s">
        <v>1125</v>
      </c>
      <c r="B66" s="34" t="n">
        <f aca="false">Val!B19-B58</f>
        <v>2.0718994827256</v>
      </c>
    </row>
    <row r="67" customFormat="false" ht="17.15" hidden="false" customHeight="false" outlineLevel="0" collapsed="false">
      <c r="A67" s="27" t="s">
        <v>1126</v>
      </c>
      <c r="B67" s="54" t="n">
        <f aca="false">B65-B66</f>
        <v>0</v>
      </c>
      <c r="C67" s="28"/>
      <c r="D67" s="28"/>
      <c r="E67" s="28"/>
      <c r="F67" s="28"/>
      <c r="G67" s="28"/>
      <c r="H67" s="28"/>
    </row>
    <row r="68" customFormat="false" ht="17.15" hidden="false" customHeight="false" outlineLevel="0" collapsed="false">
      <c r="A68" s="5" t="s">
        <v>1127</v>
      </c>
      <c r="B68" s="34" t="n">
        <f aca="false">v03_tp1</f>
        <v>194.26</v>
      </c>
    </row>
    <row r="69" customFormat="false" ht="17.15" hidden="false" customHeight="false" outlineLevel="0" collapsed="false">
      <c r="A69" s="5" t="s">
        <v>1128</v>
      </c>
      <c r="B69" s="13" t="n">
        <f aca="false">v03_tp/v03_px-1</f>
        <v>-0.134534174853093</v>
      </c>
      <c r="H69" s="8" t="s">
        <v>1129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1130</v>
      </c>
    </row>
    <row r="2" customFormat="false" ht="17.15" hidden="false" customHeight="false" outlineLevel="0" collapsed="false">
      <c r="A2" s="5" t="s">
        <v>1131</v>
      </c>
    </row>
    <row r="3" customFormat="false" ht="17.15" hidden="false" customHeight="false" outlineLevel="0" collapsed="false">
      <c r="A3" s="6" t="s">
        <v>1132</v>
      </c>
      <c r="B3" s="6" t="s">
        <v>1133</v>
      </c>
      <c r="C3" s="6" t="s">
        <v>1134</v>
      </c>
      <c r="D3" s="6" t="s">
        <v>1135</v>
      </c>
      <c r="E3" s="6" t="s">
        <v>1136</v>
      </c>
      <c r="F3" s="6" t="s">
        <v>15</v>
      </c>
      <c r="G3" s="6" t="s">
        <v>902</v>
      </c>
      <c r="H3" s="6" t="s">
        <v>1137</v>
      </c>
      <c r="I3" s="23" t="s">
        <v>1138</v>
      </c>
      <c r="J3" s="6" t="s">
        <v>1139</v>
      </c>
      <c r="K3" s="6" t="s">
        <v>1140</v>
      </c>
      <c r="L3" s="23" t="s">
        <v>1141</v>
      </c>
    </row>
    <row r="4" customFormat="false" ht="17.15" hidden="false" customHeight="false" outlineLevel="0" collapsed="false">
      <c r="A4" s="5" t="s">
        <v>1142</v>
      </c>
      <c r="B4" s="5" t="s">
        <v>1143</v>
      </c>
      <c r="C4" s="5" t="s">
        <v>1144</v>
      </c>
      <c r="D4" s="41" t="n">
        <v>198.507777904831</v>
      </c>
      <c r="E4" s="55" t="n">
        <f aca="false">D4/Val!$B$19-1</f>
        <v>-0.0879528380251691</v>
      </c>
      <c r="F4" s="8" t="s">
        <v>315</v>
      </c>
      <c r="G4" s="5" t="s">
        <v>1145</v>
      </c>
      <c r="H4" s="41" t="n">
        <v>189.206490576851</v>
      </c>
      <c r="I4" s="10" t="n">
        <v>0.328239600060685</v>
      </c>
      <c r="J4" s="56" t="n">
        <v>89.6117652783997</v>
      </c>
      <c r="K4" s="56" t="n">
        <v>118.798712136454</v>
      </c>
      <c r="L4" s="56" t="n">
        <v>253.080086249122</v>
      </c>
    </row>
    <row r="5" customFormat="false" ht="17.15" hidden="false" customHeight="false" outlineLevel="0" collapsed="false">
      <c r="A5" s="0" t="s">
        <v>1146</v>
      </c>
      <c r="B5" s="0" t="s">
        <v>1147</v>
      </c>
      <c r="C5" s="5" t="s">
        <v>1144</v>
      </c>
      <c r="D5" s="41" t="n">
        <v>205.519324123913</v>
      </c>
      <c r="E5" s="55" t="n">
        <f aca="false">D5/Val!$B$19-1</f>
        <v>-0.0557381767274392</v>
      </c>
      <c r="F5" s="8" t="s">
        <v>1148</v>
      </c>
      <c r="G5" s="5" t="s">
        <v>1145</v>
      </c>
      <c r="H5" s="41" t="n">
        <v>199.495288243232</v>
      </c>
      <c r="I5" s="10" t="n">
        <v>0.317478556825942</v>
      </c>
      <c r="J5" s="56" t="n">
        <v>69.6954610078899</v>
      </c>
      <c r="K5" s="56" t="n">
        <v>89.3017151075627</v>
      </c>
      <c r="L5" s="56" t="n">
        <v>253.909371403389</v>
      </c>
    </row>
    <row r="6" customFormat="false" ht="17.15" hidden="false" customHeight="false" outlineLevel="0" collapsed="false">
      <c r="A6" s="0" t="s">
        <v>1149</v>
      </c>
      <c r="B6" s="0" t="s">
        <v>1147</v>
      </c>
      <c r="C6" s="5" t="s">
        <v>1150</v>
      </c>
      <c r="D6" s="41" t="n">
        <v>257.192773021298</v>
      </c>
      <c r="E6" s="55" t="n">
        <f aca="false">D6/Val!$B$19-1</f>
        <v>0.181676311076187</v>
      </c>
      <c r="F6" s="8" t="s">
        <v>1148</v>
      </c>
      <c r="G6" s="5" t="s">
        <v>1145</v>
      </c>
      <c r="H6" s="41" t="n">
        <v>239.235967904795</v>
      </c>
      <c r="I6" s="10" t="n">
        <v>0.367246766117573</v>
      </c>
      <c r="J6" s="56" t="n">
        <v>162.960862524657</v>
      </c>
      <c r="K6" s="56" t="n">
        <v>218.302364604198</v>
      </c>
      <c r="L6" s="56" t="n">
        <v>251.248610399193</v>
      </c>
    </row>
    <row r="7" customFormat="false" ht="17.15" hidden="false" customHeight="false" outlineLevel="0" collapsed="false">
      <c r="A7" s="0" t="s">
        <v>1151</v>
      </c>
      <c r="B7" s="0" t="s">
        <v>1152</v>
      </c>
      <c r="C7" s="5" t="s">
        <v>1144</v>
      </c>
      <c r="D7" s="41" t="n">
        <v>213.516271006866</v>
      </c>
      <c r="E7" s="55" t="n">
        <f aca="false">D7/Val!$B$19-1</f>
        <v>-0.01899607631182</v>
      </c>
      <c r="F7" s="8" t="s">
        <v>288</v>
      </c>
      <c r="G7" s="5" t="s">
        <v>1145</v>
      </c>
      <c r="H7" s="41" t="n">
        <v>205.122740827044</v>
      </c>
      <c r="I7" s="10" t="n">
        <v>0.318975259596108</v>
      </c>
      <c r="J7" s="56" t="n">
        <v>107.146891731387</v>
      </c>
      <c r="K7" s="56" t="n">
        <v>133.671029607351</v>
      </c>
      <c r="L7" s="56" t="n">
        <v>240.885750257294</v>
      </c>
    </row>
    <row r="8" customFormat="false" ht="17.15" hidden="false" customHeight="false" outlineLevel="0" collapsed="false">
      <c r="A8" s="0" t="s">
        <v>1153</v>
      </c>
      <c r="B8" s="0" t="s">
        <v>1152</v>
      </c>
      <c r="C8" s="5" t="s">
        <v>1150</v>
      </c>
      <c r="D8" s="41" t="n">
        <v>219.983503320801</v>
      </c>
      <c r="E8" s="55" t="n">
        <f aca="false">D8/Val!$B$19-1</f>
        <v>0.0107177260389584</v>
      </c>
      <c r="F8" s="8" t="s">
        <v>288</v>
      </c>
      <c r="G8" s="5" t="s">
        <v>1145</v>
      </c>
      <c r="H8" s="41" t="n">
        <v>210.258108063848</v>
      </c>
      <c r="I8" s="10" t="n">
        <v>0.333324523826552</v>
      </c>
      <c r="J8" s="56" t="n">
        <v>79.7349806042479</v>
      </c>
      <c r="K8" s="56" t="n">
        <v>110.419757514727</v>
      </c>
      <c r="L8" s="56" t="n">
        <v>259.939400244525</v>
      </c>
    </row>
    <row r="9" customFormat="false" ht="17.15" hidden="false" customHeight="false" outlineLevel="0" collapsed="false">
      <c r="A9" s="5" t="s">
        <v>1154</v>
      </c>
      <c r="B9" s="0" t="s">
        <v>1155</v>
      </c>
      <c r="C9" s="5" t="s">
        <v>1150</v>
      </c>
      <c r="D9" s="41" t="n">
        <v>227.788268956149</v>
      </c>
      <c r="E9" s="55" t="n">
        <f aca="false">D9/Val!$B$19-1</f>
        <v>0.0465768466372984</v>
      </c>
      <c r="F9" s="8" t="s">
        <v>1156</v>
      </c>
      <c r="G9" s="5" t="s">
        <v>1145</v>
      </c>
      <c r="H9" s="41" t="n">
        <v>216.464635606639</v>
      </c>
      <c r="I9" s="10" t="n">
        <v>0.349599198956037</v>
      </c>
      <c r="J9" s="56" t="n">
        <v>46.7577730407007</v>
      </c>
      <c r="K9" s="56" t="n">
        <v>82.410903870674</v>
      </c>
      <c r="L9" s="56" t="n">
        <v>282.803780229203</v>
      </c>
    </row>
    <row r="10" customFormat="false" ht="17.15" hidden="false" customHeight="false" outlineLevel="0" collapsed="false">
      <c r="A10" s="0" t="s">
        <v>1157</v>
      </c>
      <c r="B10" s="5" t="s">
        <v>1158</v>
      </c>
      <c r="C10" s="5" t="s">
        <v>19</v>
      </c>
      <c r="D10" s="41" t="n">
        <v>209.571924946614</v>
      </c>
      <c r="E10" s="55" t="n">
        <f aca="false">D10/Val!$B$19-1</f>
        <v>-0.0371184374004828</v>
      </c>
      <c r="F10" s="8" t="s">
        <v>1159</v>
      </c>
      <c r="G10" s="5" t="s">
        <v>1145</v>
      </c>
      <c r="H10" s="41" t="n">
        <v>200.895059067631</v>
      </c>
      <c r="I10" s="10" t="n">
        <v>0.316948780767408</v>
      </c>
      <c r="J10" s="56" t="n">
        <v>69.7221282322511</v>
      </c>
      <c r="K10" s="56" t="n">
        <v>97.1939985327281</v>
      </c>
      <c r="L10" s="56" t="n">
        <v>253.093853993175</v>
      </c>
    </row>
    <row r="11" customFormat="false" ht="17.15" hidden="false" customHeight="false" outlineLevel="0" collapsed="false">
      <c r="A11" s="0" t="s">
        <v>1160</v>
      </c>
      <c r="B11" s="5" t="s">
        <v>1158</v>
      </c>
      <c r="C11" s="5" t="s">
        <v>1144</v>
      </c>
      <c r="D11" s="41" t="n">
        <v>194.883094179641</v>
      </c>
      <c r="E11" s="55" t="n">
        <f aca="false">D11/Val!$B$19-1</f>
        <v>-0.104606505400363</v>
      </c>
      <c r="F11" s="8" t="s">
        <v>1159</v>
      </c>
      <c r="G11" s="5" t="s">
        <v>1145</v>
      </c>
      <c r="H11" s="41" t="n">
        <v>187.240879119208</v>
      </c>
      <c r="I11" s="10" t="n">
        <v>0.295416513287231</v>
      </c>
      <c r="J11" s="56" t="n">
        <v>33.5591517854582</v>
      </c>
      <c r="K11" s="56" t="n">
        <v>57.9127010721585</v>
      </c>
      <c r="L11" s="56" t="n">
        <v>253.118886255091</v>
      </c>
    </row>
    <row r="12" customFormat="false" ht="17.15" hidden="false" customHeight="false" outlineLevel="0" collapsed="false">
      <c r="A12" s="0" t="s">
        <v>1161</v>
      </c>
      <c r="B12" s="5" t="s">
        <v>1158</v>
      </c>
      <c r="C12" s="5" t="s">
        <v>1150</v>
      </c>
      <c r="D12" s="41" t="n">
        <v>231.605171097597</v>
      </c>
      <c r="E12" s="55" t="n">
        <f aca="false">D12/Val!$B$19-1</f>
        <v>0.0641136646017424</v>
      </c>
      <c r="F12" s="8" t="s">
        <v>1159</v>
      </c>
      <c r="G12" s="5" t="s">
        <v>1145</v>
      </c>
      <c r="H12" s="41" t="n">
        <v>221.376328990788</v>
      </c>
      <c r="I12" s="10" t="n">
        <v>0.346886770221608</v>
      </c>
      <c r="J12" s="56" t="n">
        <v>123.966592904255</v>
      </c>
      <c r="K12" s="56" t="n">
        <v>156.115944725397</v>
      </c>
      <c r="L12" s="56" t="n">
        <v>253.056305600303</v>
      </c>
    </row>
    <row r="13" customFormat="false" ht="17.15" hidden="false" customHeight="false" outlineLevel="0" collapsed="false">
      <c r="A13" s="0" t="s">
        <v>1162</v>
      </c>
      <c r="B13" s="5" t="s">
        <v>1163</v>
      </c>
      <c r="C13" s="5" t="s">
        <v>1144</v>
      </c>
      <c r="D13" s="41" t="n">
        <v>221.396414316985</v>
      </c>
      <c r="E13" s="55" t="n">
        <f aca="false">D13/Val!$B$19-1</f>
        <v>0.0172093682193994</v>
      </c>
      <c r="F13" s="8" t="s">
        <v>156</v>
      </c>
      <c r="G13" s="5" t="s">
        <v>1145</v>
      </c>
      <c r="H13" s="41" t="n">
        <v>211.792792230677</v>
      </c>
      <c r="I13" s="10" t="n">
        <v>0.31791815123915</v>
      </c>
      <c r="J13" s="56" t="n">
        <v>248.392340869943</v>
      </c>
      <c r="K13" s="56" t="n">
        <v>239.967204530589</v>
      </c>
      <c r="L13" s="56" t="n">
        <v>194.940216433494</v>
      </c>
    </row>
    <row r="14" customFormat="false" ht="17.15" hidden="false" customHeight="false" outlineLevel="0" collapsed="false">
      <c r="A14" s="0" t="s">
        <v>1164</v>
      </c>
      <c r="B14" s="5" t="s">
        <v>1163</v>
      </c>
      <c r="C14" s="5" t="s">
        <v>1150</v>
      </c>
      <c r="D14" s="41" t="n">
        <v>219.47772933298</v>
      </c>
      <c r="E14" s="55" t="n">
        <f aca="false">D14/Val!$B$19-1</f>
        <v>0.00839393935885169</v>
      </c>
      <c r="F14" s="8" t="s">
        <v>156</v>
      </c>
      <c r="G14" s="5" t="s">
        <v>1145</v>
      </c>
      <c r="H14" s="41" t="n">
        <v>210.057328280349</v>
      </c>
      <c r="I14" s="10" t="n">
        <v>0.323415707201802</v>
      </c>
      <c r="J14" s="56" t="n">
        <v>167.052295977219</v>
      </c>
      <c r="K14" s="56" t="n">
        <v>177.895440797316</v>
      </c>
      <c r="L14" s="56" t="n">
        <v>224.724280333602</v>
      </c>
    </row>
    <row r="15" customFormat="false" ht="17.15" hidden="false" customHeight="false" outlineLevel="0" collapsed="false">
      <c r="A15" s="0" t="s">
        <v>1165</v>
      </c>
      <c r="B15" s="5" t="s">
        <v>1166</v>
      </c>
      <c r="C15" s="5" t="s">
        <v>1144</v>
      </c>
      <c r="D15" s="41" t="n">
        <v>220.352810146193</v>
      </c>
      <c r="E15" s="55" t="n">
        <f aca="false">D15/Val!$B$19-1</f>
        <v>0.0124145121576271</v>
      </c>
      <c r="F15" s="8" t="s">
        <v>1167</v>
      </c>
      <c r="G15" s="5" t="s">
        <v>1145</v>
      </c>
      <c r="H15" s="41" t="n">
        <v>210.979438122796</v>
      </c>
      <c r="I15" s="10" t="n">
        <v>0.328802220762415</v>
      </c>
      <c r="J15" s="56" t="n">
        <v>156.644900987084</v>
      </c>
      <c r="K15" s="56" t="n">
        <v>172.432942811145</v>
      </c>
      <c r="L15" s="56" t="n">
        <v>232.368019319525</v>
      </c>
    </row>
    <row r="16" customFormat="false" ht="17.15" hidden="false" customHeight="false" outlineLevel="0" collapsed="false">
      <c r="A16" s="0" t="s">
        <v>1168</v>
      </c>
      <c r="B16" s="5" t="s">
        <v>1166</v>
      </c>
      <c r="C16" s="5" t="s">
        <v>1150</v>
      </c>
      <c r="D16" s="41" t="n">
        <v>214.948313767868</v>
      </c>
      <c r="E16" s="55" t="n">
        <f aca="false">D16/Val!$B$19-1</f>
        <v>-0.0124165329317885</v>
      </c>
      <c r="F16" s="8" t="s">
        <v>1167</v>
      </c>
      <c r="G16" s="5" t="s">
        <v>1145</v>
      </c>
      <c r="H16" s="41" t="n">
        <v>205.82988752566</v>
      </c>
      <c r="I16" s="10" t="n">
        <v>0.327708121516142</v>
      </c>
      <c r="J16" s="56" t="n">
        <v>22.5653745224309</v>
      </c>
      <c r="K16" s="56" t="n">
        <v>65.0729545760228</v>
      </c>
      <c r="L16" s="56" t="n">
        <v>273.796805484858</v>
      </c>
    </row>
    <row r="17" customFormat="false" ht="17.15" hidden="false" customHeight="false" outlineLevel="0" collapsed="false">
      <c r="A17" s="0" t="s">
        <v>1169</v>
      </c>
      <c r="B17" s="0" t="s">
        <v>1170</v>
      </c>
      <c r="C17" s="5" t="s">
        <v>1144</v>
      </c>
      <c r="D17" s="41" t="n">
        <v>217.922378537817</v>
      </c>
      <c r="E17" s="55" t="n">
        <f aca="false">D17/Val!$B$19-1</f>
        <v>0.00124785524277327</v>
      </c>
      <c r="F17" s="8" t="s">
        <v>163</v>
      </c>
      <c r="G17" s="5" t="s">
        <v>1145</v>
      </c>
      <c r="H17" s="41" t="n">
        <v>210.825053159867</v>
      </c>
      <c r="I17" s="10" t="n">
        <v>0.321947548426346</v>
      </c>
      <c r="J17" s="56" t="n">
        <v>212.506616136381</v>
      </c>
      <c r="K17" s="56" t="n">
        <v>235.132426051068</v>
      </c>
      <c r="L17" s="56" t="n">
        <v>208.785400390215</v>
      </c>
    </row>
    <row r="18" customFormat="false" ht="17.15" hidden="false" customHeight="false" outlineLevel="0" collapsed="false">
      <c r="A18" s="0" t="s">
        <v>1171</v>
      </c>
      <c r="B18" s="0" t="s">
        <v>1170</v>
      </c>
      <c r="C18" s="5" t="s">
        <v>1150</v>
      </c>
      <c r="D18" s="41" t="n">
        <v>217.378960350481</v>
      </c>
      <c r="E18" s="55" t="n">
        <f aca="false">D18/Val!$B$19-1</f>
        <v>-0.00124888831436287</v>
      </c>
      <c r="F18" s="8" t="s">
        <v>163</v>
      </c>
      <c r="G18" s="5" t="s">
        <v>1145</v>
      </c>
      <c r="H18" s="41" t="n">
        <v>205.984456879113</v>
      </c>
      <c r="I18" s="10" t="n">
        <v>0.333866205424762</v>
      </c>
      <c r="J18" s="56" t="n">
        <v>-34.1267394758144</v>
      </c>
      <c r="K18" s="56" t="n">
        <v>1.58901159149011</v>
      </c>
      <c r="L18" s="56" t="n">
        <v>297.37477210803</v>
      </c>
    </row>
    <row r="19" customFormat="false" ht="17.15" hidden="false" customHeight="false" outlineLevel="0" collapsed="false">
      <c r="A19" s="5" t="s">
        <v>1172</v>
      </c>
      <c r="B19" s="0" t="s">
        <v>1173</v>
      </c>
      <c r="C19" s="5" t="s">
        <v>1144</v>
      </c>
      <c r="D19" s="41" t="n">
        <v>223.461472589657</v>
      </c>
      <c r="E19" s="55" t="n">
        <f aca="false">D19/Val!$B$19-1</f>
        <v>0.0266973114968971</v>
      </c>
      <c r="F19" s="8" t="s">
        <v>169</v>
      </c>
      <c r="G19" s="5" t="s">
        <v>1145</v>
      </c>
      <c r="H19" s="41" t="n">
        <v>214.200031469254</v>
      </c>
      <c r="I19" s="10" t="n">
        <v>0.350139362171736</v>
      </c>
      <c r="J19" s="56" t="n">
        <v>-164.790373039627</v>
      </c>
      <c r="K19" s="56" t="n">
        <v>-134.216618084416</v>
      </c>
      <c r="L19" s="56" t="n">
        <v>312.162057361934</v>
      </c>
    </row>
    <row r="20" customFormat="false" ht="17.15" hidden="false" customHeight="false" outlineLevel="0" collapsed="false">
      <c r="A20" s="5" t="s">
        <v>1174</v>
      </c>
      <c r="B20" s="0" t="s">
        <v>1173</v>
      </c>
      <c r="C20" s="5" t="s">
        <v>1150</v>
      </c>
      <c r="D20" s="41" t="n">
        <v>213.614199227872</v>
      </c>
      <c r="E20" s="55" t="n">
        <f aca="false">D20/Val!$B$19-1</f>
        <v>-0.0185461435334248</v>
      </c>
      <c r="F20" s="8" t="s">
        <v>169</v>
      </c>
      <c r="G20" s="5" t="s">
        <v>1145</v>
      </c>
      <c r="H20" s="41" t="n">
        <v>204.377585773417</v>
      </c>
      <c r="I20" s="10" t="n">
        <v>0.306339837949634</v>
      </c>
      <c r="J20" s="56" t="n">
        <v>239.965225964766</v>
      </c>
      <c r="K20" s="56" t="n">
        <v>268.58671032026</v>
      </c>
      <c r="L20" s="56" t="n">
        <v>217.630903581435</v>
      </c>
    </row>
    <row r="21" customFormat="false" ht="17.15" hidden="false" customHeight="false" outlineLevel="0" collapsed="false">
      <c r="A21" s="0" t="s">
        <v>1175</v>
      </c>
      <c r="B21" s="0" t="s">
        <v>1176</v>
      </c>
      <c r="C21" s="5" t="s">
        <v>1144</v>
      </c>
      <c r="D21" s="41" t="n">
        <v>208.337714633292</v>
      </c>
      <c r="E21" s="55" t="n">
        <f aca="false">D21/Val!$B$19-1</f>
        <v>-0.0427890364340636</v>
      </c>
      <c r="F21" s="8" t="s">
        <v>236</v>
      </c>
      <c r="G21" s="5" t="s">
        <v>1145</v>
      </c>
      <c r="H21" s="41" t="n">
        <v>194.662929675588</v>
      </c>
      <c r="I21" s="10" t="n">
        <v>0.301708319469776</v>
      </c>
      <c r="J21" s="56" t="n">
        <v>42.7655829769521</v>
      </c>
      <c r="K21" s="56" t="n">
        <v>85.0984769247609</v>
      </c>
      <c r="L21" s="56" t="n">
        <v>254.148498857109</v>
      </c>
    </row>
    <row r="22" customFormat="false" ht="17.15" hidden="false" customHeight="false" outlineLevel="0" collapsed="false">
      <c r="A22" s="0" t="s">
        <v>1177</v>
      </c>
      <c r="B22" s="0" t="s">
        <v>1178</v>
      </c>
      <c r="C22" s="5" t="s">
        <v>1150</v>
      </c>
      <c r="D22" s="41" t="n">
        <v>247.957723696528</v>
      </c>
      <c r="E22" s="55" t="n">
        <f aca="false">D22/Val!$B$19-1</f>
        <v>0.139245729180338</v>
      </c>
      <c r="F22" s="8" t="s">
        <v>240</v>
      </c>
      <c r="G22" s="5" t="s">
        <v>1145</v>
      </c>
      <c r="H22" s="41" t="n">
        <v>252.480721092188</v>
      </c>
      <c r="I22" s="10" t="n">
        <v>0.403498979130691</v>
      </c>
      <c r="J22" s="56" t="n">
        <v>239.316531056962</v>
      </c>
      <c r="K22" s="56" t="n">
        <v>227.61244590023</v>
      </c>
      <c r="L22" s="56" t="n">
        <v>249.780612397656</v>
      </c>
    </row>
    <row r="23" customFormat="false" ht="17.15" hidden="false" customHeight="false" outlineLevel="0" collapsed="false">
      <c r="A23" s="5" t="s">
        <v>1179</v>
      </c>
      <c r="B23" s="0" t="s">
        <v>1180</v>
      </c>
      <c r="C23" s="5" t="s">
        <v>1144</v>
      </c>
      <c r="D23" s="41" t="n">
        <v>233.608158277291</v>
      </c>
      <c r="E23" s="55" t="n">
        <f aca="false">D23/Val!$B$19-1</f>
        <v>0.0733164212493318</v>
      </c>
      <c r="F23" s="8" t="s">
        <v>173</v>
      </c>
      <c r="G23" s="5" t="s">
        <v>1145</v>
      </c>
      <c r="H23" s="41" t="n">
        <v>217.063733960567</v>
      </c>
      <c r="I23" s="10" t="n">
        <v>0.344153788029555</v>
      </c>
      <c r="J23" s="56" t="n">
        <v>119.087220142666</v>
      </c>
      <c r="K23" s="56" t="n">
        <v>169.964522004266</v>
      </c>
      <c r="L23" s="56" t="n">
        <v>252.416737862213</v>
      </c>
    </row>
    <row r="24" customFormat="false" ht="17.15" hidden="false" customHeight="false" outlineLevel="0" collapsed="false">
      <c r="A24" s="5" t="s">
        <v>1181</v>
      </c>
      <c r="B24" s="0" t="s">
        <v>1180</v>
      </c>
      <c r="C24" s="5" t="s">
        <v>1150</v>
      </c>
      <c r="D24" s="41" t="n">
        <v>201.739284295993</v>
      </c>
      <c r="E24" s="55" t="n">
        <f aca="false">D24/Val!$B$19-1</f>
        <v>-0.0731056302025323</v>
      </c>
      <c r="F24" s="8" t="s">
        <v>173</v>
      </c>
      <c r="G24" s="5" t="s">
        <v>1145</v>
      </c>
      <c r="H24" s="41" t="n">
        <v>199.791860954345</v>
      </c>
      <c r="I24" s="10" t="n">
        <v>0.311800344006171</v>
      </c>
      <c r="J24" s="56" t="n">
        <v>60.2598880181601</v>
      </c>
      <c r="K24" s="56" t="n">
        <v>67.756479872668</v>
      </c>
      <c r="L24" s="56" t="n">
        <v>253.747466182141</v>
      </c>
    </row>
    <row r="25" customFormat="false" ht="17.15" hidden="false" customHeight="false" outlineLevel="0" collapsed="false">
      <c r="A25" s="5" t="s">
        <v>1182</v>
      </c>
      <c r="B25" s="5" t="s">
        <v>1183</v>
      </c>
      <c r="C25" s="5" t="s">
        <v>1150</v>
      </c>
      <c r="D25" s="41" t="n">
        <v>212.625393519354</v>
      </c>
      <c r="E25" s="55" t="n">
        <f aca="false">D25/Val!$B$19-1</f>
        <v>-0.0230892271834303</v>
      </c>
      <c r="F25" s="8" t="s">
        <v>274</v>
      </c>
      <c r="G25" s="5" t="s">
        <v>1145</v>
      </c>
      <c r="H25" s="41" t="n">
        <v>203.379469690168</v>
      </c>
      <c r="I25" s="10" t="n">
        <v>0.324449373338289</v>
      </c>
      <c r="J25" s="56" t="n">
        <v>83.4464903587193</v>
      </c>
      <c r="K25" s="56" t="n">
        <v>112.633437216773</v>
      </c>
      <c r="L25" s="56" t="n">
        <v>251.606329308032</v>
      </c>
    </row>
    <row r="26" customFormat="false" ht="17.15" hidden="false" customHeight="false" outlineLevel="0" collapsed="false">
      <c r="A26" s="5" t="s">
        <v>1184</v>
      </c>
      <c r="B26" s="0" t="s">
        <v>1185</v>
      </c>
      <c r="C26" s="5" t="s">
        <v>1144</v>
      </c>
      <c r="D26" s="41" t="n">
        <v>219.011128573833</v>
      </c>
      <c r="E26" s="55" t="n">
        <f aca="false">D26/Val!$B$19-1</f>
        <v>0.0062501347047117</v>
      </c>
      <c r="F26" s="8" t="s">
        <v>144</v>
      </c>
      <c r="G26" s="5" t="s">
        <v>1145</v>
      </c>
      <c r="H26" s="41" t="n">
        <v>209.765204744647</v>
      </c>
      <c r="I26" s="10" t="n">
        <v>0.327142458365066</v>
      </c>
      <c r="J26" s="56" t="n">
        <v>91.452813249661</v>
      </c>
      <c r="K26" s="56" t="n">
        <v>120.639760107715</v>
      </c>
      <c r="L26" s="56" t="n">
        <v>253.920990101405</v>
      </c>
    </row>
    <row r="27" customFormat="false" ht="17.15" hidden="false" customHeight="false" outlineLevel="0" collapsed="false">
      <c r="A27" s="5" t="s">
        <v>1186</v>
      </c>
      <c r="B27" s="0" t="s">
        <v>1185</v>
      </c>
      <c r="C27" s="5" t="s">
        <v>1150</v>
      </c>
      <c r="D27" s="41" t="n">
        <v>216.257542973767</v>
      </c>
      <c r="E27" s="55" t="n">
        <f aca="false">D27/Val!$B$19-1</f>
        <v>-0.0064012583958597</v>
      </c>
      <c r="F27" s="8" t="s">
        <v>144</v>
      </c>
      <c r="G27" s="5" t="s">
        <v>1145</v>
      </c>
      <c r="H27" s="41" t="n">
        <v>207.011619144581</v>
      </c>
      <c r="I27" s="10" t="n">
        <v>0.329376655081496</v>
      </c>
      <c r="J27" s="56" t="n">
        <v>87.7260141889724</v>
      </c>
      <c r="K27" s="56" t="n">
        <v>116.912961047026</v>
      </c>
      <c r="L27" s="56" t="n">
        <v>252.206706034853</v>
      </c>
    </row>
    <row r="28" customFormat="false" ht="17.15" hidden="false" customHeight="false" outlineLevel="0" collapsed="false">
      <c r="A28" s="5" t="s">
        <v>1187</v>
      </c>
      <c r="B28" s="0" t="s">
        <v>1188</v>
      </c>
      <c r="C28" s="5" t="s">
        <v>1144</v>
      </c>
      <c r="D28" s="41" t="n">
        <v>217.458172132801</v>
      </c>
      <c r="E28" s="55" t="n">
        <f aca="false">D28/Val!$B$19-1</f>
        <v>-0.000884948512998696</v>
      </c>
      <c r="F28" s="8" t="s">
        <v>147</v>
      </c>
      <c r="G28" s="5" t="s">
        <v>1145</v>
      </c>
      <c r="H28" s="41" t="n">
        <v>208.224737006849</v>
      </c>
      <c r="I28" s="10" t="n">
        <v>0.322765021810669</v>
      </c>
      <c r="J28" s="56" t="n">
        <v>79.6734570944941</v>
      </c>
      <c r="K28" s="56" t="n">
        <v>108.857881023048</v>
      </c>
      <c r="L28" s="56" t="n">
        <v>253.742428128971</v>
      </c>
    </row>
    <row r="29" customFormat="false" ht="17.15" hidden="false" customHeight="false" outlineLevel="0" collapsed="false">
      <c r="A29" s="5" t="s">
        <v>1189</v>
      </c>
      <c r="B29" s="0" t="s">
        <v>1188</v>
      </c>
      <c r="C29" s="5" t="s">
        <v>1150</v>
      </c>
      <c r="D29" s="41" t="n">
        <v>217.896967749233</v>
      </c>
      <c r="E29" s="55" t="n">
        <f aca="false">D29/Val!$B$19-1</f>
        <v>0.00113110496801738</v>
      </c>
      <c r="F29" s="8" t="s">
        <v>147</v>
      </c>
      <c r="G29" s="5" t="s">
        <v>1145</v>
      </c>
      <c r="H29" s="41" t="n">
        <v>208.634698835423</v>
      </c>
      <c r="I29" s="10" t="n">
        <v>0.335188231422015</v>
      </c>
      <c r="J29" s="56" t="n">
        <v>102.590822503525</v>
      </c>
      <c r="K29" s="56" t="n">
        <v>131.78107138304</v>
      </c>
      <c r="L29" s="56" t="n">
        <v>252.213197612261</v>
      </c>
    </row>
    <row r="30" customFormat="false" ht="17.15" hidden="false" customHeight="false" outlineLevel="0" collapsed="false">
      <c r="A30" s="5" t="s">
        <v>1190</v>
      </c>
      <c r="B30" s="0" t="s">
        <v>1191</v>
      </c>
      <c r="C30" s="5" t="s">
        <v>1144</v>
      </c>
      <c r="D30" s="41" t="n">
        <v>219.567972669918</v>
      </c>
      <c r="E30" s="55" t="n">
        <f aca="false">D30/Val!$B$19-1</f>
        <v>0.00880856381442774</v>
      </c>
      <c r="F30" s="8" t="s">
        <v>277</v>
      </c>
      <c r="G30" s="5" t="s">
        <v>1145</v>
      </c>
      <c r="H30" s="41" t="n">
        <v>209.805577377773</v>
      </c>
      <c r="I30" s="10" t="n">
        <v>0.333317691134806</v>
      </c>
      <c r="J30" s="56" t="n">
        <v>75.2853035716287</v>
      </c>
      <c r="K30" s="56" t="n">
        <v>106.052997802226</v>
      </c>
      <c r="L30" s="56" t="n">
        <v>260.291531987588</v>
      </c>
    </row>
    <row r="31" customFormat="false" ht="17.15" hidden="false" customHeight="false" outlineLevel="0" collapsed="false">
      <c r="A31" s="5" t="s">
        <v>1192</v>
      </c>
      <c r="B31" s="0" t="s">
        <v>1191</v>
      </c>
      <c r="C31" s="5" t="s">
        <v>1150</v>
      </c>
      <c r="D31" s="41" t="n">
        <v>215.737282777481</v>
      </c>
      <c r="E31" s="55" t="n">
        <f aca="false">D31/Val!$B$19-1</f>
        <v>-0.0087916021925577</v>
      </c>
      <c r="F31" s="8" t="s">
        <v>277</v>
      </c>
      <c r="G31" s="5" t="s">
        <v>1145</v>
      </c>
      <c r="H31" s="41" t="n">
        <v>207.007830411254</v>
      </c>
      <c r="I31" s="10" t="n">
        <v>0.32305387737202</v>
      </c>
      <c r="J31" s="56" t="n">
        <v>103.931283980965</v>
      </c>
      <c r="K31" s="56" t="n">
        <v>131.537483466476</v>
      </c>
      <c r="L31" s="56" t="n">
        <v>245.868640510656</v>
      </c>
    </row>
    <row r="32" customFormat="false" ht="17.15" hidden="false" customHeight="false" outlineLevel="0" collapsed="false">
      <c r="A32" s="5" t="s">
        <v>1193</v>
      </c>
      <c r="B32" s="0" t="s">
        <v>1194</v>
      </c>
      <c r="C32" s="5" t="s">
        <v>1144</v>
      </c>
      <c r="D32" s="41" t="n">
        <v>216.88769143801</v>
      </c>
      <c r="E32" s="55" t="n">
        <f aca="false">D32/Val!$B$19-1</f>
        <v>-0.00350603119367343</v>
      </c>
      <c r="F32" s="8" t="s">
        <v>301</v>
      </c>
      <c r="G32" s="5" t="s">
        <v>1145</v>
      </c>
      <c r="H32" s="41" t="n">
        <v>207.638909328915</v>
      </c>
      <c r="I32" s="10" t="n">
        <v>0.332754793274594</v>
      </c>
      <c r="J32" s="56" t="n">
        <v>70.6899830564058</v>
      </c>
      <c r="K32" s="56" t="n">
        <v>99.9454962234031</v>
      </c>
      <c r="L32" s="56" t="n">
        <v>259.080756624122</v>
      </c>
    </row>
    <row r="33" customFormat="false" ht="17.15" hidden="false" customHeight="false" outlineLevel="0" collapsed="false">
      <c r="A33" s="5" t="s">
        <v>1195</v>
      </c>
      <c r="B33" s="0" t="s">
        <v>1194</v>
      </c>
      <c r="C33" s="5" t="s">
        <v>1150</v>
      </c>
      <c r="D33" s="41" t="n">
        <v>218.407454104585</v>
      </c>
      <c r="E33" s="55" t="n">
        <f aca="false">D33/Val!$B$19-1</f>
        <v>0.00347654269614961</v>
      </c>
      <c r="F33" s="8" t="s">
        <v>301</v>
      </c>
      <c r="G33" s="5" t="s">
        <v>1145</v>
      </c>
      <c r="H33" s="41" t="n">
        <v>209.164388555308</v>
      </c>
      <c r="I33" s="10" t="n">
        <v>0.323592178403771</v>
      </c>
      <c r="J33" s="56" t="n">
        <v>108.584008655226</v>
      </c>
      <c r="K33" s="56" t="n">
        <v>137.702389204337</v>
      </c>
      <c r="L33" s="56" t="n">
        <v>247.079415874122</v>
      </c>
    </row>
    <row r="34" customFormat="false" ht="17.15" hidden="false" customHeight="false" outlineLevel="0" collapsed="false">
      <c r="A34" s="0" t="s">
        <v>1196</v>
      </c>
      <c r="B34" s="0" t="s">
        <v>1197</v>
      </c>
      <c r="C34" s="5" t="s">
        <v>1144</v>
      </c>
      <c r="D34" s="41" t="n">
        <v>203.869616426691</v>
      </c>
      <c r="E34" s="55" t="n">
        <f aca="false">D34/Val!$B$19-1</f>
        <v>-0.0633177851398648</v>
      </c>
      <c r="F34" s="8" t="s">
        <v>226</v>
      </c>
      <c r="G34" s="5" t="s">
        <v>1145</v>
      </c>
      <c r="H34" s="41" t="n">
        <v>194.566705146416</v>
      </c>
      <c r="I34" s="10" t="n">
        <v>0.303644355919972</v>
      </c>
      <c r="J34" s="56" t="n">
        <v>65.1478888643829</v>
      </c>
      <c r="K34" s="56" t="n">
        <v>94.3174940705366</v>
      </c>
      <c r="L34" s="56" t="n">
        <v>253.080086249122</v>
      </c>
    </row>
    <row r="35" customFormat="false" ht="17.15" hidden="false" customHeight="false" outlineLevel="0" collapsed="false">
      <c r="A35" s="0" t="s">
        <v>1198</v>
      </c>
      <c r="B35" s="0" t="s">
        <v>1197</v>
      </c>
      <c r="C35" s="5" t="s">
        <v>1150</v>
      </c>
      <c r="D35" s="41" t="n">
        <v>226.200323355929</v>
      </c>
      <c r="E35" s="55" t="n">
        <f aca="false">D35/Val!$B$19-1</f>
        <v>0.039281005167825</v>
      </c>
      <c r="F35" s="8" t="s">
        <v>226</v>
      </c>
      <c r="G35" s="5" t="s">
        <v>1145</v>
      </c>
      <c r="H35" s="41" t="n">
        <v>216.976568602716</v>
      </c>
      <c r="I35" s="10" t="n">
        <v>0.345807631589766</v>
      </c>
      <c r="J35" s="56" t="n">
        <v>87.9092615933484</v>
      </c>
      <c r="K35" s="56" t="n">
        <v>117.108595345617</v>
      </c>
      <c r="L35" s="56" t="n">
        <v>253.080086249122</v>
      </c>
    </row>
    <row r="36" customFormat="false" ht="17.15" hidden="false" customHeight="false" outlineLevel="0" collapsed="false">
      <c r="A36" s="5" t="s">
        <v>1199</v>
      </c>
      <c r="B36" s="0" t="s">
        <v>1200</v>
      </c>
      <c r="C36" s="5" t="s">
        <v>1144</v>
      </c>
      <c r="D36" s="41" t="n">
        <v>216.593430406916</v>
      </c>
      <c r="E36" s="55" t="n">
        <f aca="false">D36/Val!$B$19-1</f>
        <v>-0.00485801820960641</v>
      </c>
      <c r="F36" s="8" t="s">
        <v>229</v>
      </c>
      <c r="G36" s="5" t="s">
        <v>1145</v>
      </c>
      <c r="H36" s="41" t="n">
        <v>207.343530518876</v>
      </c>
      <c r="I36" s="10" t="n">
        <v>0.323571161787189</v>
      </c>
      <c r="J36" s="56" t="n">
        <v>92.2931430785732</v>
      </c>
      <c r="K36" s="56" t="n">
        <v>121.476945401126</v>
      </c>
      <c r="L36" s="56" t="n">
        <v>253.080086249122</v>
      </c>
    </row>
    <row r="37" customFormat="false" ht="17.15" hidden="false" customHeight="false" outlineLevel="0" collapsed="false">
      <c r="A37" s="5" t="s">
        <v>1201</v>
      </c>
      <c r="B37" s="0" t="s">
        <v>1200</v>
      </c>
      <c r="C37" s="5" t="s">
        <v>1150</v>
      </c>
      <c r="D37" s="41" t="n">
        <v>218.708133330221</v>
      </c>
      <c r="E37" s="55" t="n">
        <f aca="false">D37/Val!$B$19-1</f>
        <v>0.00485801820960563</v>
      </c>
      <c r="F37" s="8" t="s">
        <v>229</v>
      </c>
      <c r="G37" s="5" t="s">
        <v>1145</v>
      </c>
      <c r="H37" s="41" t="n">
        <v>209.46618555989</v>
      </c>
      <c r="I37" s="10" t="n">
        <v>0.332908038334181</v>
      </c>
      <c r="J37" s="56" t="n">
        <v>86.930387478226</v>
      </c>
      <c r="K37" s="56" t="n">
        <v>116.120478871781</v>
      </c>
      <c r="L37" s="56" t="n">
        <v>253.080086249122</v>
      </c>
    </row>
    <row r="38" customFormat="false" ht="17.15" hidden="false" customHeight="false" outlineLevel="0" collapsed="false">
      <c r="A38" s="5" t="s">
        <v>1202</v>
      </c>
      <c r="B38" s="0" t="s">
        <v>1203</v>
      </c>
      <c r="C38" s="5" t="s">
        <v>1150</v>
      </c>
      <c r="D38" s="41" t="n">
        <v>214.587875791276</v>
      </c>
      <c r="E38" s="55" t="n">
        <f aca="false">D38/Val!$B$19-1</f>
        <v>-0.0140725709827323</v>
      </c>
      <c r="F38" s="8" t="s">
        <v>320</v>
      </c>
      <c r="G38" s="5" t="s">
        <v>1145</v>
      </c>
      <c r="H38" s="41" t="n">
        <v>205.34195196209</v>
      </c>
      <c r="I38" s="10" t="n">
        <v>0.343170985004207</v>
      </c>
      <c r="J38" s="56" t="n">
        <v>80.3307164853694</v>
      </c>
      <c r="K38" s="56" t="n">
        <v>109.517663343423</v>
      </c>
      <c r="L38" s="56" t="n">
        <v>253.080086249122</v>
      </c>
    </row>
    <row r="39" customFormat="false" ht="17.15" hidden="false" customHeight="false" outlineLevel="0" collapsed="false">
      <c r="A39" s="0" t="s">
        <v>1204</v>
      </c>
      <c r="B39" s="0" t="s">
        <v>1205</v>
      </c>
      <c r="C39" s="5" t="s">
        <v>1144</v>
      </c>
      <c r="D39" s="41" t="n">
        <v>217.650781868569</v>
      </c>
      <c r="E39" s="55" t="n">
        <f aca="false">D39/Val!$B$19-1</f>
        <v>0</v>
      </c>
      <c r="F39" s="8" t="s">
        <v>233</v>
      </c>
      <c r="G39" s="5" t="s">
        <v>1145</v>
      </c>
      <c r="H39" s="41" t="n">
        <v>208.404858039383</v>
      </c>
      <c r="I39" s="10" t="n">
        <v>0.328239600060685</v>
      </c>
      <c r="J39" s="56" t="n">
        <v>89.6117652783997</v>
      </c>
      <c r="K39" s="56" t="n">
        <v>118.798712136454</v>
      </c>
      <c r="L39" s="56" t="n">
        <v>253.080086249122</v>
      </c>
    </row>
    <row r="40" customFormat="false" ht="17.15" hidden="false" customHeight="false" outlineLevel="0" collapsed="false">
      <c r="A40" s="0" t="s">
        <v>1206</v>
      </c>
      <c r="B40" s="0" t="s">
        <v>1205</v>
      </c>
      <c r="C40" s="5" t="s">
        <v>1150</v>
      </c>
      <c r="D40" s="41" t="n">
        <v>217.650781868569</v>
      </c>
      <c r="E40" s="55" t="n">
        <f aca="false">D40/Val!$B$19-1</f>
        <v>0</v>
      </c>
      <c r="F40" s="8" t="s">
        <v>233</v>
      </c>
      <c r="G40" s="5" t="s">
        <v>1145</v>
      </c>
      <c r="H40" s="41" t="n">
        <v>208.404858039383</v>
      </c>
      <c r="I40" s="10" t="n">
        <v>0.328239600060685</v>
      </c>
      <c r="J40" s="56" t="n">
        <v>89.6117652783997</v>
      </c>
      <c r="K40" s="56" t="n">
        <v>118.798712136454</v>
      </c>
      <c r="L40" s="56" t="n">
        <v>253.080086249122</v>
      </c>
    </row>
    <row r="41" customFormat="false" ht="17.15" hidden="false" customHeight="false" outlineLevel="0" collapsed="false">
      <c r="A41" s="0" t="s">
        <v>1207</v>
      </c>
      <c r="B41" s="0" t="s">
        <v>1208</v>
      </c>
      <c r="C41" s="5" t="s">
        <v>1144</v>
      </c>
      <c r="D41" s="41" t="n">
        <v>213.508649870892</v>
      </c>
      <c r="E41" s="55" t="n">
        <f aca="false">D41/Val!$B$19-1</f>
        <v>-0.0190310917430009</v>
      </c>
      <c r="F41" s="8" t="s">
        <v>339</v>
      </c>
      <c r="G41" s="5" t="s">
        <v>1145</v>
      </c>
      <c r="H41" s="41" t="n">
        <v>204.262726041706</v>
      </c>
      <c r="I41" s="10" t="n">
        <v>0.327663043447162</v>
      </c>
      <c r="J41" s="56" t="n">
        <v>80.9336920510504</v>
      </c>
      <c r="K41" s="56" t="n">
        <v>110.120638909104</v>
      </c>
      <c r="L41" s="56" t="n">
        <v>252.860213320703</v>
      </c>
    </row>
    <row r="42" customFormat="false" ht="17.15" hidden="false" customHeight="false" outlineLevel="0" collapsed="false">
      <c r="A42" s="0" t="s">
        <v>1209</v>
      </c>
      <c r="B42" s="0" t="s">
        <v>1208</v>
      </c>
      <c r="C42" s="5" t="s">
        <v>1150</v>
      </c>
      <c r="D42" s="41" t="n">
        <v>222.089840212094</v>
      </c>
      <c r="E42" s="55" t="n">
        <f aca="false">D42/Val!$B$19-1</f>
        <v>0.0203953245902235</v>
      </c>
      <c r="F42" s="8" t="s">
        <v>339</v>
      </c>
      <c r="G42" s="5" t="s">
        <v>1145</v>
      </c>
      <c r="H42" s="41" t="n">
        <v>212.843916382908</v>
      </c>
      <c r="I42" s="10" t="n">
        <v>0.328805742740327</v>
      </c>
      <c r="J42" s="56" t="n">
        <v>98.5854715669021</v>
      </c>
      <c r="K42" s="56" t="n">
        <v>127.772418424956</v>
      </c>
      <c r="L42" s="56" t="n">
        <v>253.299959177542</v>
      </c>
    </row>
    <row r="43" customFormat="false" ht="17.15" hidden="false" customHeight="false" outlineLevel="0" collapsed="false">
      <c r="A43" s="0" t="s">
        <v>1210</v>
      </c>
      <c r="B43" s="0" t="s">
        <v>1211</v>
      </c>
      <c r="C43" s="5" t="s">
        <v>1144</v>
      </c>
      <c r="D43" s="41" t="n">
        <v>220.720102551441</v>
      </c>
      <c r="E43" s="55" t="n">
        <f aca="false">D43/Val!$B$19-1</f>
        <v>0.0141020429907108</v>
      </c>
      <c r="F43" s="8" t="s">
        <v>348</v>
      </c>
      <c r="G43" s="5" t="s">
        <v>1145</v>
      </c>
      <c r="H43" s="41" t="n">
        <v>211.474178722255</v>
      </c>
      <c r="I43" s="10" t="n">
        <v>0.323419353728</v>
      </c>
      <c r="J43" s="56" t="n">
        <v>133.38959195796</v>
      </c>
      <c r="K43" s="56" t="n">
        <v>162.576538816014</v>
      </c>
      <c r="L43" s="56" t="n">
        <v>244.832065490711</v>
      </c>
    </row>
    <row r="44" customFormat="false" ht="17.15" hidden="false" customHeight="false" outlineLevel="0" collapsed="false">
      <c r="A44" s="0" t="s">
        <v>1212</v>
      </c>
      <c r="B44" s="0" t="s">
        <v>1211</v>
      </c>
      <c r="C44" s="5" t="s">
        <v>1150</v>
      </c>
      <c r="D44" s="41" t="n">
        <v>213.354408196638</v>
      </c>
      <c r="E44" s="55" t="n">
        <f aca="false">D44/Val!$B$19-1</f>
        <v>-0.0197397575834349</v>
      </c>
      <c r="F44" s="8" t="s">
        <v>348</v>
      </c>
      <c r="G44" s="5" t="s">
        <v>1145</v>
      </c>
      <c r="H44" s="41" t="n">
        <v>204.108484367452</v>
      </c>
      <c r="I44" s="10" t="n">
        <v>0.334987944926444</v>
      </c>
      <c r="J44" s="56" t="n">
        <v>28.3336468187584</v>
      </c>
      <c r="K44" s="56" t="n">
        <v>57.5205936768123</v>
      </c>
      <c r="L44" s="56" t="n">
        <v>264.627315310897</v>
      </c>
    </row>
    <row r="45" customFormat="false" ht="17.15" hidden="false" customHeight="false" outlineLevel="0" collapsed="false">
      <c r="A45" s="0" t="s">
        <v>1213</v>
      </c>
      <c r="B45" s="0" t="s">
        <v>1214</v>
      </c>
      <c r="C45" s="5" t="s">
        <v>1150</v>
      </c>
      <c r="D45" s="41" t="n">
        <v>232.340027589091</v>
      </c>
      <c r="E45" s="55" t="n">
        <f aca="false">D45/Val!$B$19-1</f>
        <v>0.0674899745106026</v>
      </c>
      <c r="F45" s="8" t="s">
        <v>343</v>
      </c>
      <c r="G45" s="5" t="s">
        <v>1145</v>
      </c>
      <c r="H45" s="41" t="n">
        <v>223.094103759905</v>
      </c>
      <c r="I45" s="10" t="n">
        <v>0.332392492568875</v>
      </c>
      <c r="J45" s="56" t="n">
        <v>128.528123832417</v>
      </c>
      <c r="K45" s="56" t="n">
        <v>157.715070690471</v>
      </c>
      <c r="L45" s="56" t="n">
        <v>256.147280474861</v>
      </c>
    </row>
    <row r="46" customFormat="false" ht="17.15" hidden="false" customHeight="false" outlineLevel="0" collapsed="false">
      <c r="A46" s="0" t="s">
        <v>1215</v>
      </c>
      <c r="B46" s="0" t="s">
        <v>1216</v>
      </c>
      <c r="C46" s="5" t="s">
        <v>1144</v>
      </c>
      <c r="D46" s="41" t="n">
        <v>217.170980825199</v>
      </c>
      <c r="E46" s="55" t="n">
        <f aca="false">D46/Val!$B$19-1</f>
        <v>-0.00220445357122279</v>
      </c>
      <c r="F46" s="8" t="s">
        <v>353</v>
      </c>
      <c r="G46" s="5" t="s">
        <v>1145</v>
      </c>
      <c r="H46" s="41" t="n">
        <v>207.925056996013</v>
      </c>
      <c r="I46" s="10" t="n">
        <v>0.328239600060685</v>
      </c>
      <c r="J46" s="56" t="n">
        <v>88.498557261975</v>
      </c>
      <c r="K46" s="56" t="n">
        <v>117.685504120029</v>
      </c>
      <c r="L46" s="56" t="n">
        <v>252.993382383524</v>
      </c>
    </row>
    <row r="47" customFormat="false" ht="17.15" hidden="false" customHeight="false" outlineLevel="0" collapsed="false">
      <c r="A47" s="0" t="s">
        <v>1217</v>
      </c>
      <c r="B47" s="0" t="s">
        <v>1216</v>
      </c>
      <c r="C47" s="5" t="s">
        <v>1150</v>
      </c>
      <c r="D47" s="41" t="n">
        <v>218.146373073207</v>
      </c>
      <c r="E47" s="55" t="n">
        <f aca="false">D47/Val!$B$19-1</f>
        <v>0.00227700171983614</v>
      </c>
      <c r="F47" s="8" t="s">
        <v>353</v>
      </c>
      <c r="G47" s="5" t="s">
        <v>1145</v>
      </c>
      <c r="H47" s="41" t="n">
        <v>208.900449244021</v>
      </c>
      <c r="I47" s="10" t="n">
        <v>0.328239600060685</v>
      </c>
      <c r="J47" s="56" t="n">
        <v>90.7512568099495</v>
      </c>
      <c r="K47" s="56" t="n">
        <v>119.938203668003</v>
      </c>
      <c r="L47" s="56" t="n">
        <v>253.16679011472</v>
      </c>
    </row>
    <row r="48" customFormat="false" ht="17.15" hidden="false" customHeight="false" outlineLevel="0" collapsed="false">
      <c r="A48" s="0" t="s">
        <v>1218</v>
      </c>
      <c r="B48" s="0" t="s">
        <v>1219</v>
      </c>
      <c r="C48" s="5" t="s">
        <v>1144</v>
      </c>
      <c r="D48" s="41" t="n">
        <v>217.61559571424</v>
      </c>
      <c r="E48" s="55" t="n">
        <f aca="false">D48/Val!$B$19-1</f>
        <v>-0.000161663349088514</v>
      </c>
      <c r="F48" s="8" t="s">
        <v>356</v>
      </c>
      <c r="G48" s="5" t="s">
        <v>1145</v>
      </c>
      <c r="H48" s="41" t="n">
        <v>208.369671885054</v>
      </c>
      <c r="I48" s="10" t="n">
        <v>0.328239600060685</v>
      </c>
      <c r="J48" s="56" t="n">
        <v>89.5300691529222</v>
      </c>
      <c r="K48" s="56" t="n">
        <v>118.717016010976</v>
      </c>
      <c r="L48" s="56" t="n">
        <v>253.073192030511</v>
      </c>
    </row>
    <row r="49" customFormat="false" ht="17.15" hidden="false" customHeight="false" outlineLevel="0" collapsed="false">
      <c r="A49" s="0" t="s">
        <v>1220</v>
      </c>
      <c r="B49" s="0" t="s">
        <v>1219</v>
      </c>
      <c r="C49" s="5" t="s">
        <v>1150</v>
      </c>
      <c r="D49" s="41" t="n">
        <v>217.687100513842</v>
      </c>
      <c r="E49" s="55" t="n">
        <f aca="false">D49/Val!$B$19-1</f>
        <v>0.000166866596855719</v>
      </c>
      <c r="F49" s="8" t="s">
        <v>356</v>
      </c>
      <c r="G49" s="5" t="s">
        <v>1145</v>
      </c>
      <c r="H49" s="41" t="n">
        <v>208.441176684656</v>
      </c>
      <c r="I49" s="10" t="n">
        <v>0.328239600060685</v>
      </c>
      <c r="J49" s="56" t="n">
        <v>89.6954291156984</v>
      </c>
      <c r="K49" s="56" t="n">
        <v>118.882375973752</v>
      </c>
      <c r="L49" s="56" t="n">
        <v>253.086980467733</v>
      </c>
    </row>
    <row r="50" customFormat="false" ht="17.15" hidden="false" customHeight="false" outlineLevel="0" collapsed="false">
      <c r="A50" s="0" t="s">
        <v>1221</v>
      </c>
      <c r="B50" s="0" t="s">
        <v>1222</v>
      </c>
      <c r="C50" s="5" t="s">
        <v>1144</v>
      </c>
      <c r="D50" s="41" t="n">
        <v>217.310995646654</v>
      </c>
      <c r="E50" s="55" t="n">
        <f aca="false">D50/Val!$B$19-1</f>
        <v>-0.0015611532336226</v>
      </c>
      <c r="F50" s="8" t="s">
        <v>358</v>
      </c>
      <c r="G50" s="5" t="s">
        <v>1145</v>
      </c>
      <c r="H50" s="41" t="n">
        <v>208.065071817469</v>
      </c>
      <c r="I50" s="10" t="n">
        <v>0.328239600060685</v>
      </c>
      <c r="J50" s="56" t="n">
        <v>88.8269631774656</v>
      </c>
      <c r="K50" s="56" t="n">
        <v>118.01391003552</v>
      </c>
      <c r="L50" s="56" t="n">
        <v>253.022650134602</v>
      </c>
    </row>
    <row r="51" customFormat="false" ht="17.15" hidden="false" customHeight="false" outlineLevel="0" collapsed="false">
      <c r="A51" s="0" t="s">
        <v>1223</v>
      </c>
      <c r="B51" s="0" t="s">
        <v>1222</v>
      </c>
      <c r="C51" s="5" t="s">
        <v>1150</v>
      </c>
      <c r="D51" s="41" t="n">
        <v>218.001960869395</v>
      </c>
      <c r="E51" s="55" t="n">
        <f aca="false">D51/Val!$B$19-1</f>
        <v>0.0016134975386326</v>
      </c>
      <c r="F51" s="8" t="s">
        <v>358</v>
      </c>
      <c r="G51" s="5" t="s">
        <v>1145</v>
      </c>
      <c r="H51" s="41" t="n">
        <v>208.75603704021</v>
      </c>
      <c r="I51" s="10" t="n">
        <v>0.328239600060685</v>
      </c>
      <c r="J51" s="56" t="n">
        <v>90.4148051152562</v>
      </c>
      <c r="K51" s="56" t="n">
        <v>119.60175197331</v>
      </c>
      <c r="L51" s="56" t="n">
        <v>253.137522363642</v>
      </c>
    </row>
    <row r="52" customFormat="false" ht="17.15" hidden="false" customHeight="false" outlineLevel="0" collapsed="false">
      <c r="A52" s="0" t="s">
        <v>1224</v>
      </c>
      <c r="B52" s="0" t="s">
        <v>1225</v>
      </c>
      <c r="C52" s="5" t="s">
        <v>1144</v>
      </c>
      <c r="D52" s="41" t="n">
        <v>214.583748043876</v>
      </c>
      <c r="E52" s="55" t="n">
        <f aca="false">D52/Val!$B$19-1</f>
        <v>-0.014091535984211</v>
      </c>
      <c r="F52" s="8" t="s">
        <v>360</v>
      </c>
      <c r="G52" s="5" t="s">
        <v>1145</v>
      </c>
      <c r="H52" s="41" t="n">
        <v>205.33782421469</v>
      </c>
      <c r="I52" s="10" t="n">
        <v>0.328239600060685</v>
      </c>
      <c r="J52" s="56" t="n">
        <v>82.4089868570931</v>
      </c>
      <c r="K52" s="56" t="n">
        <v>111.595933715147</v>
      </c>
      <c r="L52" s="56" t="n">
        <v>253.043668592169</v>
      </c>
    </row>
    <row r="53" customFormat="false" ht="17.15" hidden="false" customHeight="false" outlineLevel="0" collapsed="false">
      <c r="A53" s="0" t="s">
        <v>1226</v>
      </c>
      <c r="B53" s="0" t="s">
        <v>1225</v>
      </c>
      <c r="C53" s="5" t="s">
        <v>1150</v>
      </c>
      <c r="D53" s="41" t="n">
        <v>220.965643948376</v>
      </c>
      <c r="E53" s="55" t="n">
        <f aca="false">D53/Val!$B$19-1</f>
        <v>0.015230186867921</v>
      </c>
      <c r="F53" s="8" t="s">
        <v>360</v>
      </c>
      <c r="G53" s="5" t="s">
        <v>1145</v>
      </c>
      <c r="H53" s="41" t="n">
        <v>211.71972011919</v>
      </c>
      <c r="I53" s="10" t="n">
        <v>0.328239600060685</v>
      </c>
      <c r="J53" s="56" t="n">
        <v>97.0552787398207</v>
      </c>
      <c r="K53" s="56" t="n">
        <v>126.242225597875</v>
      </c>
      <c r="L53" s="56" t="n">
        <v>253.116503906076</v>
      </c>
    </row>
    <row r="54" customFormat="false" ht="17.15" hidden="false" customHeight="false" outlineLevel="0" collapsed="false">
      <c r="A54" s="0" t="s">
        <v>1227</v>
      </c>
      <c r="B54" s="0" t="s">
        <v>1222</v>
      </c>
      <c r="C54" s="5" t="s">
        <v>1144</v>
      </c>
      <c r="D54" s="41" t="n">
        <v>217.553199803876</v>
      </c>
      <c r="E54" s="55" t="n">
        <f aca="false">D54/Val!$B$19-1</f>
        <v>-0.000448342357674325</v>
      </c>
      <c r="F54" s="8" t="s">
        <v>362</v>
      </c>
      <c r="G54" s="5" t="s">
        <v>1145</v>
      </c>
      <c r="H54" s="41" t="n">
        <v>208.30727597469</v>
      </c>
      <c r="I54" s="10" t="n">
        <v>0.328239600060685</v>
      </c>
      <c r="J54" s="56" t="n">
        <v>89.3864331755102</v>
      </c>
      <c r="K54" s="56" t="n">
        <v>118.573380033564</v>
      </c>
      <c r="L54" s="56" t="n">
        <v>253.063561891199</v>
      </c>
    </row>
    <row r="55" customFormat="false" ht="17.15" hidden="false" customHeight="false" outlineLevel="0" collapsed="false">
      <c r="A55" s="0" t="s">
        <v>1228</v>
      </c>
      <c r="B55" s="0" t="s">
        <v>1222</v>
      </c>
      <c r="C55" s="5" t="s">
        <v>1150</v>
      </c>
      <c r="D55" s="41" t="n">
        <v>217.751635026042</v>
      </c>
      <c r="E55" s="55" t="n">
        <f aca="false">D55/Val!$B$19-1</f>
        <v>0.000463371445797556</v>
      </c>
      <c r="F55" s="8" t="s">
        <v>362</v>
      </c>
      <c r="G55" s="5" t="s">
        <v>1145</v>
      </c>
      <c r="H55" s="41" t="n">
        <v>208.505711196856</v>
      </c>
      <c r="I55" s="10" t="n">
        <v>0.328239600060685</v>
      </c>
      <c r="J55" s="56" t="n">
        <v>89.8423362776644</v>
      </c>
      <c r="K55" s="56" t="n">
        <v>119.029283135718</v>
      </c>
      <c r="L55" s="56" t="n">
        <v>253.096610607045</v>
      </c>
    </row>
    <row r="56" customFormat="false" ht="17.15" hidden="false" customHeight="false" outlineLevel="0" collapsed="false">
      <c r="A56" s="0" t="s">
        <v>1229</v>
      </c>
      <c r="B56" s="0" t="s">
        <v>1230</v>
      </c>
      <c r="C56" s="5" t="s">
        <v>1144</v>
      </c>
      <c r="D56" s="41" t="n">
        <v>217.631401831249</v>
      </c>
      <c r="E56" s="55" t="n">
        <f aca="false">D56/Val!$B$19-1</f>
        <v>-8.90418915715507E-005</v>
      </c>
      <c r="F56" s="8" t="s">
        <v>364</v>
      </c>
      <c r="G56" s="5" t="s">
        <v>1145</v>
      </c>
      <c r="H56" s="41" t="n">
        <v>208.385478002063</v>
      </c>
      <c r="I56" s="10" t="n">
        <v>0.328239600060685</v>
      </c>
      <c r="J56" s="56" t="n">
        <v>89.5660341328861</v>
      </c>
      <c r="K56" s="56" t="n">
        <v>118.75298099094</v>
      </c>
      <c r="L56" s="56" t="n">
        <v>253.076902182804</v>
      </c>
    </row>
    <row r="57" customFormat="false" ht="17.15" hidden="false" customHeight="false" outlineLevel="0" collapsed="false">
      <c r="A57" s="0" t="s">
        <v>1231</v>
      </c>
      <c r="B57" s="0" t="s">
        <v>1230</v>
      </c>
      <c r="C57" s="5" t="s">
        <v>1150</v>
      </c>
      <c r="D57" s="41" t="n">
        <v>217.671140579849</v>
      </c>
      <c r="E57" s="55" t="n">
        <f aca="false">D57/Val!$B$19-1</f>
        <v>9.35384247444659E-005</v>
      </c>
      <c r="F57" s="8" t="s">
        <v>364</v>
      </c>
      <c r="G57" s="5" t="s">
        <v>1145</v>
      </c>
      <c r="H57" s="41" t="n">
        <v>208.425216750664</v>
      </c>
      <c r="I57" s="10" t="n">
        <v>0.328239600060685</v>
      </c>
      <c r="J57" s="56" t="n">
        <v>89.6590810703751</v>
      </c>
      <c r="K57" s="56" t="n">
        <v>118.846027928429</v>
      </c>
      <c r="L57" s="56" t="n">
        <v>253.08327031544</v>
      </c>
    </row>
    <row r="58" customFormat="false" ht="17.15" hidden="false" customHeight="false" outlineLevel="0" collapsed="false">
      <c r="A58" s="5" t="s">
        <v>1232</v>
      </c>
      <c r="B58" s="0" t="s">
        <v>1191</v>
      </c>
      <c r="C58" s="5" t="s">
        <v>1144</v>
      </c>
      <c r="D58" s="41" t="n">
        <v>219.594018073326</v>
      </c>
      <c r="E58" s="55" t="n">
        <f aca="false">D58/Val!$B$19-1</f>
        <v>0.00892822983714736</v>
      </c>
      <c r="F58" s="8" t="s">
        <v>366</v>
      </c>
      <c r="G58" s="5" t="s">
        <v>1145</v>
      </c>
      <c r="H58" s="41" t="n">
        <v>210.34809424414</v>
      </c>
      <c r="I58" s="10" t="n">
        <v>0.328239600060685</v>
      </c>
      <c r="J58" s="56" t="n">
        <v>83.8399552108262</v>
      </c>
      <c r="K58" s="56" t="n">
        <v>113.02690206888</v>
      </c>
      <c r="L58" s="56" t="n">
        <v>253.080086249122</v>
      </c>
    </row>
    <row r="59" customFormat="false" ht="17.15" hidden="false" customHeight="false" outlineLevel="0" collapsed="false">
      <c r="A59" s="5" t="s">
        <v>1233</v>
      </c>
      <c r="B59" s="0" t="s">
        <v>1191</v>
      </c>
      <c r="C59" s="5" t="s">
        <v>1150</v>
      </c>
      <c r="D59" s="41" t="n">
        <v>215.707545663811</v>
      </c>
      <c r="E59" s="55" t="n">
        <f aca="false">D59/Val!$B$19-1</f>
        <v>-0.00892822983714825</v>
      </c>
      <c r="F59" s="8" t="s">
        <v>366</v>
      </c>
      <c r="G59" s="5" t="s">
        <v>1145</v>
      </c>
      <c r="H59" s="41" t="n">
        <v>206.461621834625</v>
      </c>
      <c r="I59" s="10" t="n">
        <v>0.328239600060685</v>
      </c>
      <c r="J59" s="56" t="n">
        <v>95.3835753459731</v>
      </c>
      <c r="K59" s="56" t="n">
        <v>124.570522204027</v>
      </c>
      <c r="L59" s="56" t="n">
        <v>253.080086249122</v>
      </c>
    </row>
    <row r="60" customFormat="false" ht="17.15" hidden="false" customHeight="false" outlineLevel="0" collapsed="false">
      <c r="A60" s="5" t="s">
        <v>1234</v>
      </c>
      <c r="B60" s="0" t="s">
        <v>1235</v>
      </c>
      <c r="C60" s="5" t="s">
        <v>1144</v>
      </c>
      <c r="D60" s="41" t="n">
        <v>213.043776961952</v>
      </c>
      <c r="E60" s="55" t="n">
        <f aca="false">D60/Val!$B$19-1</f>
        <v>-0.0211669577617166</v>
      </c>
      <c r="F60" s="8" t="s">
        <v>370</v>
      </c>
      <c r="G60" s="5" t="s">
        <v>1145</v>
      </c>
      <c r="H60" s="41" t="n">
        <v>203.797853132766</v>
      </c>
      <c r="I60" s="10" t="n">
        <v>0.328239600060685</v>
      </c>
      <c r="J60" s="56" t="n">
        <v>76.1624667239693</v>
      </c>
      <c r="K60" s="56" t="n">
        <v>105.349413582023</v>
      </c>
      <c r="L60" s="56" t="n">
        <v>253.080086249122</v>
      </c>
    </row>
    <row r="61" customFormat="false" ht="17.15" hidden="false" customHeight="false" outlineLevel="0" collapsed="false">
      <c r="A61" s="5" t="s">
        <v>1236</v>
      </c>
      <c r="B61" s="0" t="s">
        <v>1235</v>
      </c>
      <c r="C61" s="5" t="s">
        <v>1150</v>
      </c>
      <c r="D61" s="41" t="n">
        <v>222.257786775185</v>
      </c>
      <c r="E61" s="55" t="n">
        <f aca="false">D61/Val!$B$19-1</f>
        <v>0.0211669577617157</v>
      </c>
      <c r="F61" s="8" t="s">
        <v>370</v>
      </c>
      <c r="G61" s="5" t="s">
        <v>1145</v>
      </c>
      <c r="H61" s="41" t="n">
        <v>213.011862945999</v>
      </c>
      <c r="I61" s="10" t="n">
        <v>0.328239600060685</v>
      </c>
      <c r="J61" s="56" t="n">
        <v>103.06106383283</v>
      </c>
      <c r="K61" s="56" t="n">
        <v>132.248010690884</v>
      </c>
      <c r="L61" s="56" t="n">
        <v>253.080086249122</v>
      </c>
    </row>
    <row r="62" customFormat="false" ht="17.15" hidden="false" customHeight="false" outlineLevel="0" collapsed="false">
      <c r="A62" s="5" t="s">
        <v>1237</v>
      </c>
      <c r="B62" s="0" t="s">
        <v>1238</v>
      </c>
      <c r="C62" s="5" t="s">
        <v>1144</v>
      </c>
      <c r="D62" s="41" t="n">
        <v>215.888452834904</v>
      </c>
      <c r="E62" s="55" t="n">
        <f aca="false">D62/Val!$B$19-1</f>
        <v>-0.00809704894480368</v>
      </c>
      <c r="F62" s="8" t="s">
        <v>373</v>
      </c>
      <c r="G62" s="5" t="s">
        <v>1145</v>
      </c>
      <c r="H62" s="41" t="n">
        <v>206.642529005718</v>
      </c>
      <c r="I62" s="10" t="n">
        <v>0.328239600060685</v>
      </c>
      <c r="J62" s="56" t="n">
        <v>84.4669716857435</v>
      </c>
      <c r="K62" s="56" t="n">
        <v>113.653918543797</v>
      </c>
      <c r="L62" s="56" t="n">
        <v>253.080086249122</v>
      </c>
    </row>
    <row r="63" customFormat="false" ht="17.15" hidden="false" customHeight="false" outlineLevel="0" collapsed="false">
      <c r="A63" s="5" t="s">
        <v>1239</v>
      </c>
      <c r="B63" s="0" t="s">
        <v>1238</v>
      </c>
      <c r="C63" s="5" t="s">
        <v>1150</v>
      </c>
      <c r="D63" s="41" t="n">
        <v>219.413110902233</v>
      </c>
      <c r="E63" s="55" t="n">
        <f aca="false">D63/Val!$B$19-1</f>
        <v>0.0080970489448029</v>
      </c>
      <c r="F63" s="8" t="s">
        <v>373</v>
      </c>
      <c r="G63" s="5" t="s">
        <v>1145</v>
      </c>
      <c r="H63" s="41" t="n">
        <v>210.167187073047</v>
      </c>
      <c r="I63" s="10" t="n">
        <v>0.328239600060685</v>
      </c>
      <c r="J63" s="56" t="n">
        <v>94.7565588710559</v>
      </c>
      <c r="K63" s="56" t="n">
        <v>123.94350572911</v>
      </c>
      <c r="L63" s="56" t="n">
        <v>253.080086249122</v>
      </c>
    </row>
    <row r="64" customFormat="false" ht="17.15" hidden="false" customHeight="false" outlineLevel="0" collapsed="false">
      <c r="A64" s="5" t="s">
        <v>1240</v>
      </c>
      <c r="B64" s="0" t="s">
        <v>1241</v>
      </c>
      <c r="C64" s="5" t="s">
        <v>1144</v>
      </c>
      <c r="D64" s="41" t="n">
        <v>212.357159775111</v>
      </c>
      <c r="E64" s="55" t="n">
        <f aca="false">D64/Val!$B$19-1</f>
        <v>-0.0243216314134549</v>
      </c>
      <c r="F64" s="8" t="s">
        <v>383</v>
      </c>
      <c r="G64" s="5" t="s">
        <v>1145</v>
      </c>
      <c r="H64" s="41" t="n">
        <v>203.146597899708</v>
      </c>
      <c r="I64" s="10" t="n">
        <v>0.328239600060685</v>
      </c>
      <c r="J64" s="56" t="n">
        <v>10.1021362120327</v>
      </c>
      <c r="K64" s="56" t="n">
        <v>38.7762835558602</v>
      </c>
      <c r="L64" s="56" t="n">
        <v>253.080086249122</v>
      </c>
    </row>
    <row r="65" customFormat="false" ht="17.15" hidden="false" customHeight="false" outlineLevel="0" collapsed="false">
      <c r="A65" s="5" t="s">
        <v>1242</v>
      </c>
      <c r="B65" s="0" t="s">
        <v>1241</v>
      </c>
      <c r="C65" s="5" t="s">
        <v>1150</v>
      </c>
      <c r="D65" s="41" t="n">
        <v>220.148965193141</v>
      </c>
      <c r="E65" s="55" t="n">
        <f aca="false">D65/Val!$B$19-1</f>
        <v>0.0114779432590366</v>
      </c>
      <c r="F65" s="8" t="s">
        <v>383</v>
      </c>
      <c r="G65" s="5" t="s">
        <v>1145</v>
      </c>
      <c r="H65" s="41" t="n">
        <v>210.88635323592</v>
      </c>
      <c r="I65" s="10" t="n">
        <v>0.328239600060685</v>
      </c>
      <c r="J65" s="56" t="n">
        <v>127.134207562686</v>
      </c>
      <c r="K65" s="56" t="n">
        <v>156.563156432345</v>
      </c>
      <c r="L65" s="56" t="n">
        <v>253.080086249122</v>
      </c>
    </row>
    <row r="66" customFormat="false" ht="17.15" hidden="false" customHeight="false" outlineLevel="0" collapsed="false">
      <c r="A66" s="5" t="s">
        <v>1243</v>
      </c>
      <c r="B66" s="0" t="s">
        <v>1244</v>
      </c>
      <c r="C66" s="5" t="s">
        <v>1144</v>
      </c>
      <c r="D66" s="41" t="n">
        <v>217.680252898377</v>
      </c>
      <c r="E66" s="55" t="n">
        <f aca="false">D66/Val!$B$19-1</f>
        <v>0.000135405118030674</v>
      </c>
      <c r="F66" s="8" t="s">
        <v>390</v>
      </c>
      <c r="G66" s="5" t="s">
        <v>1145</v>
      </c>
      <c r="H66" s="41" t="n">
        <v>208.434329069191</v>
      </c>
      <c r="I66" s="10" t="n">
        <v>0.328239600060685</v>
      </c>
      <c r="J66" s="56" t="n">
        <v>90.061468395359</v>
      </c>
      <c r="K66" s="56" t="n">
        <v>119.248415253413</v>
      </c>
      <c r="L66" s="56" t="n">
        <v>253.080086249122</v>
      </c>
    </row>
    <row r="67" customFormat="false" ht="17.15" hidden="false" customHeight="false" outlineLevel="0" collapsed="false">
      <c r="A67" s="5" t="s">
        <v>1245</v>
      </c>
      <c r="B67" s="0" t="s">
        <v>1244</v>
      </c>
      <c r="C67" s="5" t="s">
        <v>1150</v>
      </c>
      <c r="D67" s="41" t="n">
        <v>217.238187451258</v>
      </c>
      <c r="E67" s="55" t="n">
        <f aca="false">D67/Val!$B$19-1</f>
        <v>-0.00189567165239846</v>
      </c>
      <c r="F67" s="8" t="s">
        <v>390</v>
      </c>
      <c r="G67" s="5" t="s">
        <v>1145</v>
      </c>
      <c r="H67" s="41" t="n">
        <v>207.992263622072</v>
      </c>
      <c r="I67" s="10" t="n">
        <v>0.328239600060685</v>
      </c>
      <c r="J67" s="56" t="n">
        <v>83.3159216409681</v>
      </c>
      <c r="K67" s="56" t="n">
        <v>112.502868499022</v>
      </c>
      <c r="L67" s="56" t="n">
        <v>253.080086249122</v>
      </c>
    </row>
    <row r="68" customFormat="false" ht="17.15" hidden="false" customHeight="false" outlineLevel="0" collapsed="false">
      <c r="A68" s="5" t="s">
        <v>1246</v>
      </c>
      <c r="B68" s="0" t="s">
        <v>1247</v>
      </c>
      <c r="C68" s="5" t="s">
        <v>1144</v>
      </c>
      <c r="D68" s="41" t="n">
        <v>217.650781868569</v>
      </c>
      <c r="E68" s="55" t="n">
        <f aca="false">D68/Val!$B$19-1</f>
        <v>0</v>
      </c>
      <c r="F68" s="8" t="s">
        <v>393</v>
      </c>
      <c r="G68" s="5" t="s">
        <v>1145</v>
      </c>
      <c r="H68" s="41" t="n">
        <v>208.404858039383</v>
      </c>
      <c r="I68" s="10" t="n">
        <v>0.328239600060685</v>
      </c>
      <c r="J68" s="56" t="n">
        <v>89.6117652783997</v>
      </c>
      <c r="K68" s="56" t="n">
        <v>118.798712136454</v>
      </c>
      <c r="L68" s="56" t="n">
        <v>253.080086249122</v>
      </c>
    </row>
    <row r="69" customFormat="false" ht="17.15" hidden="false" customHeight="false" outlineLevel="0" collapsed="false">
      <c r="A69" s="5" t="s">
        <v>1248</v>
      </c>
      <c r="B69" s="0" t="s">
        <v>1247</v>
      </c>
      <c r="C69" s="5" t="s">
        <v>1150</v>
      </c>
      <c r="D69" s="41" t="n">
        <v>217.650781868569</v>
      </c>
      <c r="E69" s="55" t="n">
        <f aca="false">D69/Val!$B$19-1</f>
        <v>0</v>
      </c>
      <c r="F69" s="8" t="s">
        <v>393</v>
      </c>
      <c r="G69" s="5" t="s">
        <v>1145</v>
      </c>
      <c r="H69" s="41" t="n">
        <v>208.404858039383</v>
      </c>
      <c r="I69" s="10" t="n">
        <v>0.328239600060685</v>
      </c>
      <c r="J69" s="56" t="n">
        <v>89.6117652783997</v>
      </c>
      <c r="K69" s="56" t="n">
        <v>118.798712136454</v>
      </c>
      <c r="L69" s="56" t="n">
        <v>253.080086249122</v>
      </c>
    </row>
    <row r="70" customFormat="false" ht="17.15" hidden="false" customHeight="false" outlineLevel="0" collapsed="false">
      <c r="A70" s="5" t="s">
        <v>1249</v>
      </c>
      <c r="B70" s="0" t="s">
        <v>1250</v>
      </c>
      <c r="C70" s="5" t="s">
        <v>1144</v>
      </c>
      <c r="D70" s="41" t="n">
        <v>217.650781868569</v>
      </c>
      <c r="E70" s="55" t="n">
        <f aca="false">D70/Val!$B$19-1</f>
        <v>0</v>
      </c>
      <c r="F70" s="8" t="s">
        <v>405</v>
      </c>
      <c r="G70" s="5" t="s">
        <v>1145</v>
      </c>
      <c r="H70" s="41" t="n">
        <v>208.404858039383</v>
      </c>
      <c r="I70" s="10" t="n">
        <v>0.328239600060685</v>
      </c>
      <c r="J70" s="56" t="n">
        <v>89.6117652783997</v>
      </c>
      <c r="K70" s="56" t="n">
        <v>118.798712136454</v>
      </c>
      <c r="L70" s="56" t="n">
        <v>253.080086249122</v>
      </c>
    </row>
    <row r="71" customFormat="false" ht="17.15" hidden="false" customHeight="false" outlineLevel="0" collapsed="false">
      <c r="A71" s="5" t="s">
        <v>1251</v>
      </c>
      <c r="B71" s="0" t="s">
        <v>1250</v>
      </c>
      <c r="C71" s="5" t="s">
        <v>1150</v>
      </c>
      <c r="D71" s="41" t="n">
        <v>217.650781868569</v>
      </c>
      <c r="E71" s="55" t="n">
        <f aca="false">D71/Val!$B$19-1</f>
        <v>0</v>
      </c>
      <c r="F71" s="8" t="s">
        <v>405</v>
      </c>
      <c r="G71" s="5" t="s">
        <v>1145</v>
      </c>
      <c r="H71" s="41" t="n">
        <v>208.404858039383</v>
      </c>
      <c r="I71" s="10" t="n">
        <v>0.328239600060685</v>
      </c>
      <c r="J71" s="56" t="n">
        <v>89.6117652783997</v>
      </c>
      <c r="K71" s="56" t="n">
        <v>118.798712136454</v>
      </c>
      <c r="L71" s="56" t="n">
        <v>253.080086249122</v>
      </c>
    </row>
    <row r="72" customFormat="false" ht="17.15" hidden="false" customHeight="false" outlineLevel="0" collapsed="false">
      <c r="A72" s="0" t="s">
        <v>1252</v>
      </c>
      <c r="B72" s="0" t="s">
        <v>1253</v>
      </c>
      <c r="C72" s="5" t="s">
        <v>1150</v>
      </c>
      <c r="D72" s="41" t="n">
        <v>216.186949792233</v>
      </c>
      <c r="E72" s="55" t="n">
        <f aca="false">D72/Val!$B$19-1</f>
        <v>-0.00672559989800337</v>
      </c>
      <c r="F72" s="8" t="s">
        <v>408</v>
      </c>
      <c r="G72" s="5" t="s">
        <v>1145</v>
      </c>
      <c r="H72" s="41" t="n">
        <v>206.941025963047</v>
      </c>
      <c r="I72" s="10" t="n">
        <v>0.328239600060685</v>
      </c>
      <c r="J72" s="56" t="n">
        <v>87.4420279580616</v>
      </c>
      <c r="K72" s="56" t="n">
        <v>116.628974816116</v>
      </c>
      <c r="L72" s="56" t="n">
        <v>253.080086249122</v>
      </c>
    </row>
    <row r="73" customFormat="false" ht="17.15" hidden="false" customHeight="false" outlineLevel="0" collapsed="false">
      <c r="A73" s="0" t="s">
        <v>1254</v>
      </c>
      <c r="B73" s="0" t="s">
        <v>1255</v>
      </c>
      <c r="C73" s="5" t="s">
        <v>1144</v>
      </c>
      <c r="D73" s="41" t="n">
        <v>228.035733371399</v>
      </c>
      <c r="E73" s="55" t="n">
        <f aca="false">D73/Val!$B$19-1</f>
        <v>0.0477138258529275</v>
      </c>
      <c r="F73" s="8" t="s">
        <v>105</v>
      </c>
      <c r="G73" s="5" t="s">
        <v>1145</v>
      </c>
      <c r="H73" s="41" t="n">
        <v>217.79835948455</v>
      </c>
      <c r="I73" s="10" t="n">
        <v>0.328239600060685</v>
      </c>
      <c r="J73" s="56" t="n">
        <v>89.6117652783997</v>
      </c>
      <c r="K73" s="56" t="n">
        <v>118.798712136454</v>
      </c>
      <c r="L73" s="56" t="n">
        <v>253.080086249122</v>
      </c>
    </row>
    <row r="74" customFormat="false" ht="17.15" hidden="false" customHeight="false" outlineLevel="0" collapsed="false">
      <c r="A74" s="0" t="s">
        <v>1256</v>
      </c>
      <c r="B74" s="0" t="s">
        <v>1255</v>
      </c>
      <c r="C74" s="5" t="s">
        <v>1150</v>
      </c>
      <c r="D74" s="41" t="n">
        <v>209.060272893884</v>
      </c>
      <c r="E74" s="55" t="n">
        <f aca="false">D74/Val!$B$19-1</f>
        <v>-0.0394692309438709</v>
      </c>
      <c r="F74" s="8" t="s">
        <v>105</v>
      </c>
      <c r="G74" s="5" t="s">
        <v>1145</v>
      </c>
      <c r="H74" s="41" t="n">
        <v>200.638678225371</v>
      </c>
      <c r="I74" s="10" t="n">
        <v>0.328239600060685</v>
      </c>
      <c r="J74" s="56" t="n">
        <v>89.6117652783997</v>
      </c>
      <c r="K74" s="56" t="n">
        <v>118.798712136454</v>
      </c>
      <c r="L74" s="56" t="n">
        <v>253.080086249122</v>
      </c>
    </row>
    <row r="75" customFormat="false" ht="17.15" hidden="false" customHeight="false" outlineLevel="0" collapsed="false">
      <c r="A75" s="0" t="s">
        <v>1257</v>
      </c>
      <c r="B75" s="0" t="s">
        <v>1258</v>
      </c>
      <c r="C75" s="5" t="s">
        <v>1144</v>
      </c>
      <c r="D75" s="41" t="n">
        <v>219.137728848215</v>
      </c>
      <c r="E75" s="55" t="n">
        <f aca="false">D75/Val!$B$19-1</f>
        <v>0.0068318016911344</v>
      </c>
      <c r="F75" s="8" t="s">
        <v>67</v>
      </c>
      <c r="G75" s="5" t="s">
        <v>1145</v>
      </c>
      <c r="H75" s="41" t="n">
        <v>209.746321796206</v>
      </c>
      <c r="I75" s="10" t="n">
        <v>0.328239600060685</v>
      </c>
      <c r="J75" s="56" t="n">
        <v>89.6117652783997</v>
      </c>
      <c r="K75" s="56" t="n">
        <v>118.798712136454</v>
      </c>
      <c r="L75" s="56" t="n">
        <v>253.080086249122</v>
      </c>
    </row>
    <row r="76" customFormat="false" ht="17.15" hidden="false" customHeight="false" outlineLevel="0" collapsed="false">
      <c r="A76" s="0" t="s">
        <v>1259</v>
      </c>
      <c r="B76" s="0" t="s">
        <v>1258</v>
      </c>
      <c r="C76" s="5" t="s">
        <v>1150</v>
      </c>
      <c r="D76" s="41" t="n">
        <v>216.209316833489</v>
      </c>
      <c r="E76" s="55" t="n">
        <f aca="false">D76/Val!$B$19-1</f>
        <v>-0.00662283416904996</v>
      </c>
      <c r="F76" s="8" t="s">
        <v>67</v>
      </c>
      <c r="G76" s="5" t="s">
        <v>1145</v>
      </c>
      <c r="H76" s="41" t="n">
        <v>207.104514022918</v>
      </c>
      <c r="I76" s="10" t="n">
        <v>0.328239600060685</v>
      </c>
      <c r="J76" s="56" t="n">
        <v>89.6117652783997</v>
      </c>
      <c r="K76" s="56" t="n">
        <v>118.798712136454</v>
      </c>
      <c r="L76" s="56" t="n">
        <v>253.080086249122</v>
      </c>
    </row>
    <row r="77" customFormat="false" ht="17.15" hidden="false" customHeight="false" outlineLevel="0" collapsed="false">
      <c r="A77" s="5" t="s">
        <v>1260</v>
      </c>
      <c r="B77" s="0" t="s">
        <v>1261</v>
      </c>
      <c r="C77" s="5" t="s">
        <v>1144</v>
      </c>
      <c r="D77" s="41" t="n">
        <v>230.068643907121</v>
      </c>
      <c r="E77" s="55" t="n">
        <f aca="false">D77/Val!$B$19-1</f>
        <v>0.0570540658386014</v>
      </c>
      <c r="F77" s="8" t="s">
        <v>71</v>
      </c>
      <c r="G77" s="5" t="s">
        <v>1145</v>
      </c>
      <c r="H77" s="41" t="n">
        <v>219.61022453937</v>
      </c>
      <c r="I77" s="10" t="n">
        <v>0.328239600060685</v>
      </c>
      <c r="J77" s="56" t="n">
        <v>89.6117652783997</v>
      </c>
      <c r="K77" s="56" t="n">
        <v>118.798712136454</v>
      </c>
      <c r="L77" s="56" t="n">
        <v>253.080086249122</v>
      </c>
    </row>
    <row r="78" customFormat="false" ht="17.15" hidden="false" customHeight="false" outlineLevel="0" collapsed="false">
      <c r="A78" s="5" t="s">
        <v>1262</v>
      </c>
      <c r="B78" s="0" t="s">
        <v>1261</v>
      </c>
      <c r="C78" s="5" t="s">
        <v>1150</v>
      </c>
      <c r="D78" s="41" t="n">
        <v>207.822536180463</v>
      </c>
      <c r="E78" s="55" t="n">
        <f aca="false">D78/Val!$B$19-1</f>
        <v>-0.0451560320791337</v>
      </c>
      <c r="F78" s="8" t="s">
        <v>71</v>
      </c>
      <c r="G78" s="5" t="s">
        <v>1145</v>
      </c>
      <c r="H78" s="41" t="n">
        <v>199.540741660159</v>
      </c>
      <c r="I78" s="10" t="n">
        <v>0.328239600060685</v>
      </c>
      <c r="J78" s="56" t="n">
        <v>89.6117652783997</v>
      </c>
      <c r="K78" s="56" t="n">
        <v>118.798712136454</v>
      </c>
      <c r="L78" s="56" t="n">
        <v>253.080086249122</v>
      </c>
    </row>
    <row r="79" customFormat="false" ht="17.15" hidden="false" customHeight="false" outlineLevel="0" collapsed="false">
      <c r="A79" s="0" t="s">
        <v>1263</v>
      </c>
      <c r="B79" s="0" t="s">
        <v>1264</v>
      </c>
      <c r="C79" s="5" t="s">
        <v>1144</v>
      </c>
      <c r="D79" s="41" t="n">
        <v>217.736359519361</v>
      </c>
      <c r="E79" s="55" t="n">
        <f aca="false">D79/Val!$B$19-1</f>
        <v>0.00039318788592313</v>
      </c>
      <c r="F79" s="8" t="s">
        <v>79</v>
      </c>
      <c r="G79" s="5" t="s">
        <v>1145</v>
      </c>
      <c r="H79" s="41" t="n">
        <v>208.482244708595</v>
      </c>
      <c r="I79" s="10" t="n">
        <v>0.328239600060685</v>
      </c>
      <c r="J79" s="56" t="n">
        <v>89.6117652783997</v>
      </c>
      <c r="K79" s="56" t="n">
        <v>118.798712136454</v>
      </c>
      <c r="L79" s="56" t="n">
        <v>253.080086249122</v>
      </c>
    </row>
    <row r="80" customFormat="false" ht="17.15" hidden="false" customHeight="false" outlineLevel="0" collapsed="false">
      <c r="A80" s="0" t="s">
        <v>1265</v>
      </c>
      <c r="B80" s="0" t="s">
        <v>1264</v>
      </c>
      <c r="C80" s="5" t="s">
        <v>1150</v>
      </c>
      <c r="D80" s="41" t="n">
        <v>217.451671972153</v>
      </c>
      <c r="E80" s="55" t="n">
        <f aca="false">D80/Val!$B$19-1</f>
        <v>-0.000914813605107256</v>
      </c>
      <c r="F80" s="8" t="s">
        <v>79</v>
      </c>
      <c r="G80" s="5" t="s">
        <v>1145</v>
      </c>
      <c r="H80" s="41" t="n">
        <v>208.224807225491</v>
      </c>
      <c r="I80" s="10" t="n">
        <v>0.328239600060685</v>
      </c>
      <c r="J80" s="56" t="n">
        <v>89.6117652783997</v>
      </c>
      <c r="K80" s="56" t="n">
        <v>118.798712136454</v>
      </c>
      <c r="L80" s="56" t="n">
        <v>253.080086249122</v>
      </c>
    </row>
    <row r="81" customFormat="false" ht="17.15" hidden="false" customHeight="false" outlineLevel="0" collapsed="false">
      <c r="A81" s="5" t="s">
        <v>1266</v>
      </c>
      <c r="B81" s="0" t="s">
        <v>1267</v>
      </c>
      <c r="C81" s="5" t="s">
        <v>1144</v>
      </c>
      <c r="D81" s="41" t="n">
        <v>222.662745624692</v>
      </c>
      <c r="E81" s="55" t="n">
        <f aca="false">D81/Val!$B$19-1</f>
        <v>0.0230275476756612</v>
      </c>
      <c r="F81" s="8" t="s">
        <v>85</v>
      </c>
      <c r="G81" s="5" t="s">
        <v>1145</v>
      </c>
      <c r="H81" s="41" t="n">
        <v>213.008144905362</v>
      </c>
      <c r="I81" s="10" t="n">
        <v>0.328239600060685</v>
      </c>
      <c r="J81" s="56" t="n">
        <v>115.088635451938</v>
      </c>
      <c r="K81" s="56" t="n">
        <v>145.541190458312</v>
      </c>
      <c r="L81" s="56" t="n">
        <v>253.080086249122</v>
      </c>
    </row>
    <row r="82" customFormat="false" ht="17.15" hidden="false" customHeight="false" outlineLevel="0" collapsed="false">
      <c r="A82" s="5" t="s">
        <v>1268</v>
      </c>
      <c r="B82" s="0" t="s">
        <v>1267</v>
      </c>
      <c r="C82" s="5" t="s">
        <v>1150</v>
      </c>
      <c r="D82" s="41" t="n">
        <v>210.297654172101</v>
      </c>
      <c r="E82" s="55" t="n">
        <f aca="false">D82/Val!$B$19-1</f>
        <v>-0.0337840628613404</v>
      </c>
      <c r="F82" s="8" t="s">
        <v>85</v>
      </c>
      <c r="G82" s="5" t="s">
        <v>1145</v>
      </c>
      <c r="H82" s="41" t="n">
        <v>201.651600699799</v>
      </c>
      <c r="I82" s="10" t="n">
        <v>0.328239600060685</v>
      </c>
      <c r="J82" s="56" t="n">
        <v>52.5866467412803</v>
      </c>
      <c r="K82" s="56" t="n">
        <v>79.9304861053552</v>
      </c>
      <c r="L82" s="56" t="n">
        <v>253.080086249122</v>
      </c>
    </row>
    <row r="83" customFormat="false" ht="17.15" hidden="false" customHeight="false" outlineLevel="0" collapsed="false">
      <c r="A83" s="5" t="s">
        <v>1269</v>
      </c>
      <c r="B83" s="0" t="s">
        <v>1270</v>
      </c>
      <c r="C83" s="5" t="s">
        <v>1144</v>
      </c>
      <c r="D83" s="41" t="n">
        <v>217.251257224515</v>
      </c>
      <c r="E83" s="55" t="n">
        <f aca="false">D83/Val!$B$19-1</f>
        <v>-0.00183562237003521</v>
      </c>
      <c r="F83" s="8" t="s">
        <v>111</v>
      </c>
      <c r="G83" s="5" t="s">
        <v>1145</v>
      </c>
      <c r="H83" s="41" t="n">
        <v>208.153935518978</v>
      </c>
      <c r="I83" s="10" t="n">
        <v>0.328239600060685</v>
      </c>
      <c r="J83" s="56" t="n">
        <v>91.9408165619135</v>
      </c>
      <c r="K83" s="56" t="n">
        <v>121.102223570114</v>
      </c>
      <c r="L83" s="56" t="n">
        <v>253.080086249122</v>
      </c>
    </row>
    <row r="84" customFormat="false" ht="17.15" hidden="false" customHeight="false" outlineLevel="0" collapsed="false">
      <c r="A84" s="5" t="s">
        <v>1271</v>
      </c>
      <c r="B84" s="0" t="s">
        <v>1270</v>
      </c>
      <c r="C84" s="5" t="s">
        <v>1150</v>
      </c>
      <c r="D84" s="41" t="n">
        <v>218.058908716427</v>
      </c>
      <c r="E84" s="55" t="n">
        <f aca="false">D84/Val!$B$19-1</f>
        <v>0.00187514533306321</v>
      </c>
      <c r="F84" s="8" t="s">
        <v>111</v>
      </c>
      <c r="G84" s="5" t="s">
        <v>1145</v>
      </c>
      <c r="H84" s="41" t="n">
        <v>208.662911086108</v>
      </c>
      <c r="I84" s="10" t="n">
        <v>0.328239600060685</v>
      </c>
      <c r="J84" s="56" t="n">
        <v>87.2826972529917</v>
      </c>
      <c r="K84" s="56" t="n">
        <v>116.495182322169</v>
      </c>
      <c r="L84" s="56" t="n">
        <v>253.080086249122</v>
      </c>
    </row>
    <row r="85" customFormat="false" ht="17.15" hidden="false" customHeight="false" outlineLevel="0" collapsed="false">
      <c r="A85" s="0" t="s">
        <v>1272</v>
      </c>
      <c r="B85" s="0" t="s">
        <v>1273</v>
      </c>
      <c r="C85" s="5" t="s">
        <v>1150</v>
      </c>
      <c r="D85" s="41" t="n">
        <v>224.506614522774</v>
      </c>
      <c r="E85" s="55" t="n">
        <f aca="false">D85/Val!$B$19-1</f>
        <v>0.0314992328322781</v>
      </c>
      <c r="F85" s="8" t="s">
        <v>114</v>
      </c>
      <c r="G85" s="5" t="s">
        <v>1145</v>
      </c>
      <c r="H85" s="41" t="n">
        <v>214.605930160461</v>
      </c>
      <c r="I85" s="10" t="n">
        <v>0.328239600060685</v>
      </c>
      <c r="J85" s="56" t="n">
        <v>89.6117652783997</v>
      </c>
      <c r="K85" s="56" t="n">
        <v>118.798712136454</v>
      </c>
      <c r="L85" s="56" t="n">
        <v>253.080086249122</v>
      </c>
    </row>
    <row r="86" customFormat="false" ht="17.15" hidden="false" customHeight="false" outlineLevel="0" collapsed="false">
      <c r="A86" s="5" t="s">
        <v>1274</v>
      </c>
      <c r="B86" s="0" t="s">
        <v>1275</v>
      </c>
      <c r="C86" s="5" t="s">
        <v>1144</v>
      </c>
      <c r="D86" s="41" t="n">
        <v>190.988287821744</v>
      </c>
      <c r="E86" s="55" t="n">
        <f aca="false">D86/Val!$B$19-1</f>
        <v>-0.122501255533854</v>
      </c>
      <c r="F86" s="8" t="s">
        <v>443</v>
      </c>
      <c r="G86" s="5" t="s">
        <v>1145</v>
      </c>
      <c r="H86" s="41" t="n">
        <v>181.742363992559</v>
      </c>
      <c r="I86" s="10" t="n">
        <v>0.328239600060685</v>
      </c>
      <c r="J86" s="56" t="n">
        <v>89.6117652783997</v>
      </c>
      <c r="K86" s="56" t="n">
        <v>118.798712136454</v>
      </c>
      <c r="L86" s="56" t="n">
        <v>253.080086249122</v>
      </c>
    </row>
    <row r="87" customFormat="false" ht="17.15" hidden="false" customHeight="false" outlineLevel="0" collapsed="false">
      <c r="A87" s="5" t="s">
        <v>1276</v>
      </c>
      <c r="B87" s="0" t="s">
        <v>1275</v>
      </c>
      <c r="C87" s="5" t="s">
        <v>1150</v>
      </c>
      <c r="D87" s="41" t="n">
        <v>244.313275915393</v>
      </c>
      <c r="E87" s="55" t="n">
        <f aca="false">D87/Val!$B$19-1</f>
        <v>0.122501255533853</v>
      </c>
      <c r="F87" s="8" t="s">
        <v>443</v>
      </c>
      <c r="G87" s="5" t="s">
        <v>1145</v>
      </c>
      <c r="H87" s="41" t="n">
        <v>235.067352086207</v>
      </c>
      <c r="I87" s="10" t="n">
        <v>0.328239600060685</v>
      </c>
      <c r="J87" s="56" t="n">
        <v>89.6117652783997</v>
      </c>
      <c r="K87" s="56" t="n">
        <v>118.798712136454</v>
      </c>
      <c r="L87" s="56" t="n">
        <v>253.080086249122</v>
      </c>
    </row>
    <row r="88" customFormat="false" ht="17.15" hidden="false" customHeight="false" outlineLevel="0" collapsed="false">
      <c r="A88" s="0" t="s">
        <v>1277</v>
      </c>
      <c r="B88" s="5" t="s">
        <v>1278</v>
      </c>
      <c r="C88" s="5" t="s">
        <v>19</v>
      </c>
      <c r="D88" s="41" t="n">
        <v>229.208343311692</v>
      </c>
      <c r="E88" s="55" t="n">
        <f aca="false">D88/Val!$B$19-1</f>
        <v>0.0531014009869379</v>
      </c>
      <c r="F88" s="8" t="s">
        <v>1279</v>
      </c>
      <c r="G88" s="5" t="s">
        <v>1145</v>
      </c>
      <c r="H88" s="41" t="n">
        <v>222.880449848745</v>
      </c>
      <c r="I88" s="10" t="n">
        <v>0.328239600060685</v>
      </c>
      <c r="J88" s="56" t="n">
        <v>89.6117652783997</v>
      </c>
      <c r="K88" s="56" t="n">
        <v>118.798712136454</v>
      </c>
      <c r="L88" s="56" t="n">
        <v>253.080086249122</v>
      </c>
    </row>
    <row r="89" customFormat="false" ht="17.15" hidden="false" customHeight="false" outlineLevel="0" collapsed="false">
      <c r="A89" s="0" t="s">
        <v>1280</v>
      </c>
      <c r="B89" s="5" t="s">
        <v>1278</v>
      </c>
      <c r="C89" s="5" t="s">
        <v>1144</v>
      </c>
      <c r="D89" s="41" t="n">
        <v>223.010748631988</v>
      </c>
      <c r="E89" s="55" t="n">
        <f aca="false">D89/Val!$B$19-1</f>
        <v>0.0246264530611984</v>
      </c>
      <c r="F89" s="8" t="s">
        <v>1279</v>
      </c>
      <c r="G89" s="5" t="s">
        <v>1145</v>
      </c>
      <c r="H89" s="41" t="n">
        <v>217.176735802074</v>
      </c>
      <c r="I89" s="10" t="n">
        <v>0.328239600060685</v>
      </c>
      <c r="J89" s="56" t="n">
        <v>89.6117652783997</v>
      </c>
      <c r="K89" s="56" t="n">
        <v>118.798712136454</v>
      </c>
      <c r="L89" s="56" t="n">
        <v>253.080086249122</v>
      </c>
    </row>
    <row r="90" customFormat="false" ht="17.15" hidden="false" customHeight="false" outlineLevel="0" collapsed="false">
      <c r="A90" s="0" t="s">
        <v>1281</v>
      </c>
      <c r="B90" s="5" t="s">
        <v>1278</v>
      </c>
      <c r="C90" s="5" t="s">
        <v>1150</v>
      </c>
      <c r="D90" s="41" t="n">
        <v>241.6035326711</v>
      </c>
      <c r="E90" s="55" t="n">
        <f aca="false">D90/Val!$B$19-1</f>
        <v>0.110051296838417</v>
      </c>
      <c r="F90" s="8" t="s">
        <v>1279</v>
      </c>
      <c r="G90" s="5" t="s">
        <v>1145</v>
      </c>
      <c r="H90" s="41" t="n">
        <v>234.287877942088</v>
      </c>
      <c r="I90" s="10" t="n">
        <v>0.328239600060685</v>
      </c>
      <c r="J90" s="56" t="n">
        <v>89.6117652783997</v>
      </c>
      <c r="K90" s="56" t="n">
        <v>118.798712136454</v>
      </c>
      <c r="L90" s="56" t="n">
        <v>253.080086249122</v>
      </c>
    </row>
    <row r="91" customFormat="false" ht="17.15" hidden="false" customHeight="false" outlineLevel="0" collapsed="false">
      <c r="A91" s="5" t="s">
        <v>1282</v>
      </c>
      <c r="B91" s="5" t="s">
        <v>1283</v>
      </c>
      <c r="C91" s="5" t="s">
        <v>1144</v>
      </c>
      <c r="D91" s="41" t="n">
        <v>200.275938783816</v>
      </c>
      <c r="E91" s="55" t="n">
        <f aca="false">D91/Val!$B$19-1</f>
        <v>-0.0798289945737233</v>
      </c>
      <c r="F91" s="8" t="s">
        <v>436</v>
      </c>
      <c r="G91" s="5" t="s">
        <v>1145</v>
      </c>
      <c r="H91" s="41" t="n">
        <v>191.03001495463</v>
      </c>
      <c r="I91" s="10" t="n">
        <v>0.328239600060685</v>
      </c>
      <c r="J91" s="56" t="n">
        <v>89.6117652783997</v>
      </c>
      <c r="K91" s="56" t="n">
        <v>118.798712136454</v>
      </c>
      <c r="L91" s="56" t="n">
        <v>253.080086249122</v>
      </c>
    </row>
    <row r="92" customFormat="false" ht="17.15" hidden="false" customHeight="false" outlineLevel="0" collapsed="false">
      <c r="A92" s="0" t="s">
        <v>1284</v>
      </c>
      <c r="B92" s="0" t="s">
        <v>1285</v>
      </c>
      <c r="C92" s="5" t="s">
        <v>1144</v>
      </c>
      <c r="D92" s="41" t="n">
        <v>215.426676345705</v>
      </c>
      <c r="E92" s="55" t="n">
        <f aca="false">D92/Val!$B$19-1</f>
        <v>-0.0102186884134726</v>
      </c>
      <c r="F92" s="8" t="s">
        <v>419</v>
      </c>
      <c r="G92" s="5" t="s">
        <v>1145</v>
      </c>
      <c r="H92" s="41" t="n">
        <v>206.180752516519</v>
      </c>
      <c r="I92" s="10" t="n">
        <v>0.328239600060685</v>
      </c>
      <c r="J92" s="56" t="n">
        <v>89.6117652783997</v>
      </c>
      <c r="K92" s="56" t="n">
        <v>118.798712136454</v>
      </c>
      <c r="L92" s="56" t="n">
        <v>253.080086249122</v>
      </c>
    </row>
    <row r="93" customFormat="false" ht="17.15" hidden="false" customHeight="false" outlineLevel="0" collapsed="false">
      <c r="A93" s="0" t="s">
        <v>1286</v>
      </c>
      <c r="B93" s="0" t="s">
        <v>1285</v>
      </c>
      <c r="C93" s="5" t="s">
        <v>1150</v>
      </c>
      <c r="D93" s="41" t="n">
        <v>219.874887391433</v>
      </c>
      <c r="E93" s="55" t="n">
        <f aca="false">D93/Val!$B$19-1</f>
        <v>0.0102186884134763</v>
      </c>
      <c r="F93" s="8" t="s">
        <v>419</v>
      </c>
      <c r="G93" s="5" t="s">
        <v>1145</v>
      </c>
      <c r="H93" s="41" t="n">
        <v>210.628963562247</v>
      </c>
      <c r="I93" s="10" t="n">
        <v>0.328239600060685</v>
      </c>
      <c r="J93" s="56" t="n">
        <v>89.6117652783997</v>
      </c>
      <c r="K93" s="56" t="n">
        <v>118.798712136454</v>
      </c>
      <c r="L93" s="56" t="n">
        <v>253.080086249122</v>
      </c>
    </row>
    <row r="94" customFormat="false" ht="17.15" hidden="false" customHeight="false" outlineLevel="0" collapsed="false">
      <c r="A94" s="5" t="s">
        <v>1287</v>
      </c>
      <c r="B94" s="0" t="s">
        <v>1288</v>
      </c>
      <c r="C94" s="5" t="s">
        <v>1144</v>
      </c>
      <c r="D94" s="41" t="n">
        <v>221.946877925168</v>
      </c>
      <c r="E94" s="55" t="n">
        <f aca="false">D94/Val!$B$19-1</f>
        <v>0.0197384820753534</v>
      </c>
      <c r="F94" s="8" t="s">
        <v>429</v>
      </c>
      <c r="G94" s="5" t="s">
        <v>1145</v>
      </c>
      <c r="H94" s="41" t="n">
        <v>212.700954095982</v>
      </c>
      <c r="I94" s="10" t="n">
        <v>0.328239600060685</v>
      </c>
      <c r="J94" s="56" t="n">
        <v>89.6117652783997</v>
      </c>
      <c r="K94" s="56" t="n">
        <v>118.798712136454</v>
      </c>
      <c r="L94" s="56" t="n">
        <v>253.080086249122</v>
      </c>
    </row>
    <row r="95" customFormat="false" ht="17.15" hidden="false" customHeight="false" outlineLevel="0" collapsed="false">
      <c r="A95" s="5" t="s">
        <v>1289</v>
      </c>
      <c r="B95" s="0" t="s">
        <v>1288</v>
      </c>
      <c r="C95" s="5" t="s">
        <v>1150</v>
      </c>
      <c r="D95" s="41" t="n">
        <v>213.354685811969</v>
      </c>
      <c r="E95" s="55" t="n">
        <f aca="false">D95/Val!$B$19-1</f>
        <v>-0.0197384820753543</v>
      </c>
      <c r="F95" s="8" t="s">
        <v>429</v>
      </c>
      <c r="G95" s="5" t="s">
        <v>1145</v>
      </c>
      <c r="H95" s="41" t="n">
        <v>204.108761982783</v>
      </c>
      <c r="I95" s="10" t="n">
        <v>0.328239600060685</v>
      </c>
      <c r="J95" s="56" t="n">
        <v>89.6117652783997</v>
      </c>
      <c r="K95" s="56" t="n">
        <v>118.798712136454</v>
      </c>
      <c r="L95" s="56" t="n">
        <v>253.080086249122</v>
      </c>
    </row>
    <row r="96" customFormat="false" ht="17.15" hidden="false" customHeight="false" outlineLevel="0" collapsed="false">
      <c r="A96" s="0" t="s">
        <v>1290</v>
      </c>
      <c r="B96" s="0" t="s">
        <v>1291</v>
      </c>
      <c r="C96" s="5" t="s">
        <v>1144</v>
      </c>
      <c r="D96" s="41" t="n">
        <v>245.790465298185</v>
      </c>
      <c r="E96" s="55" t="n">
        <f aca="false">D96/Val!$B$19-1</f>
        <v>0.129288225790105</v>
      </c>
      <c r="F96" s="8" t="s">
        <v>118</v>
      </c>
      <c r="G96" s="5" t="s">
        <v>1145</v>
      </c>
      <c r="H96" s="41" t="n">
        <v>236.597673247601</v>
      </c>
      <c r="I96" s="10" t="n">
        <v>0.328239600060685</v>
      </c>
      <c r="J96" s="56" t="n">
        <v>89.6117652783997</v>
      </c>
      <c r="K96" s="56" t="n">
        <v>118.798712136454</v>
      </c>
      <c r="L96" s="56" t="n">
        <v>253.080086249122</v>
      </c>
    </row>
    <row r="97" customFormat="false" ht="17.15" hidden="false" customHeight="false" outlineLevel="0" collapsed="false">
      <c r="A97" s="0" t="s">
        <v>1292</v>
      </c>
      <c r="B97" s="0" t="s">
        <v>1291</v>
      </c>
      <c r="C97" s="5" t="s">
        <v>1150</v>
      </c>
      <c r="D97" s="41" t="n">
        <v>189.511098438953</v>
      </c>
      <c r="E97" s="55" t="n">
        <f aca="false">D97/Val!$B$19-1</f>
        <v>-0.129288225790101</v>
      </c>
      <c r="F97" s="8" t="s">
        <v>118</v>
      </c>
      <c r="G97" s="5" t="s">
        <v>1145</v>
      </c>
      <c r="H97" s="41" t="n">
        <v>180.212042831164</v>
      </c>
      <c r="I97" s="10" t="n">
        <v>0.328239600060685</v>
      </c>
      <c r="J97" s="56" t="n">
        <v>89.6117652783997</v>
      </c>
      <c r="K97" s="56" t="n">
        <v>118.798712136454</v>
      </c>
      <c r="L97" s="56" t="n">
        <v>253.080086249122</v>
      </c>
    </row>
    <row r="99" customFormat="false" ht="17.15" hidden="false" customHeight="false" outlineLevel="0" collapsed="false">
      <c r="A99" s="5" t="s">
        <v>1293</v>
      </c>
      <c r="D99" s="40" t="n">
        <f aca="false">Val!B19</f>
        <v>217.650781868569</v>
      </c>
      <c r="G99" s="0" t="str">
        <f aca="false">Val!B24</f>
        <v>中立</v>
      </c>
      <c r="H99" s="40" t="n">
        <f aca="false">Val!C7</f>
        <v>208.404858039383</v>
      </c>
      <c r="I99" s="13" t="n">
        <f aca="false">Val!C10</f>
        <v>0.328239600060685</v>
      </c>
      <c r="J99" s="20" t="n">
        <f aca="false">CF!C6</f>
        <v>89.6117652783997</v>
      </c>
      <c r="K99" s="20" t="n">
        <f aca="false">CF!E6</f>
        <v>118.798712136454</v>
      </c>
    </row>
    <row r="100" customFormat="false" ht="15" hidden="false" customHeight="false" outlineLevel="0" collapsed="false">
      <c r="A100" s="5" t="s">
        <v>1294</v>
      </c>
      <c r="D100" s="41" t="n">
        <v>217.650781868569</v>
      </c>
      <c r="E100" s="57" t="n">
        <f aca="false">D100-D99</f>
        <v>0</v>
      </c>
    </row>
    <row r="102" customFormat="false" ht="17.15" hidden="false" customHeight="false" outlineLevel="0" collapsed="false">
      <c r="A102" s="3" t="s">
        <v>1295</v>
      </c>
    </row>
    <row r="103" customFormat="false" ht="17.15" hidden="false" customHeight="false" outlineLevel="0" collapsed="false">
      <c r="A103" s="3" t="s">
        <v>1296</v>
      </c>
    </row>
    <row r="104" customFormat="false" ht="15" hidden="false" customHeight="false" outlineLevel="0" collapsed="false">
      <c r="A104" s="6" t="s">
        <v>1297</v>
      </c>
      <c r="B104" s="6" t="s">
        <v>1298</v>
      </c>
      <c r="C104" s="23" t="s">
        <v>1299</v>
      </c>
      <c r="D104" s="6" t="s">
        <v>1300</v>
      </c>
    </row>
    <row r="105" customFormat="false" ht="17.15" hidden="false" customHeight="false" outlineLevel="0" collapsed="false">
      <c r="A105" s="0" t="s">
        <v>1301</v>
      </c>
      <c r="B105" s="34" t="n">
        <f aca="false">Sens!$C$353</f>
        <v>243.887129629158</v>
      </c>
      <c r="C105" s="34" t="n">
        <f aca="false">Sens!$C$331</f>
        <v>163.247932156345</v>
      </c>
      <c r="D105" s="34" t="n">
        <f aca="false">Sens!$C$352</f>
        <v>324.52632710197</v>
      </c>
    </row>
    <row r="106" customFormat="false" ht="17.15" hidden="false" customHeight="false" outlineLevel="0" collapsed="false">
      <c r="A106" s="0" t="s">
        <v>1302</v>
      </c>
      <c r="B106" s="34" t="n">
        <f aca="false">Sens!$C$600</f>
        <v>189.206490576851</v>
      </c>
      <c r="C106" s="34" t="n">
        <f aca="false">Sens!$C$578</f>
        <v>107.63815168622</v>
      </c>
      <c r="D106" s="34" t="n">
        <f aca="false">Sens!$C$599</f>
        <v>270.774829467482</v>
      </c>
    </row>
    <row r="107" customFormat="false" ht="17.15" hidden="false" customHeight="false" outlineLevel="0" collapsed="false">
      <c r="A107" s="0" t="s">
        <v>1303</v>
      </c>
      <c r="B107" s="34" t="n">
        <f aca="false">Sens!$C$847</f>
        <v>171.731000836466</v>
      </c>
      <c r="C107" s="34" t="n">
        <f aca="false">Sens!$C$825</f>
        <v>89.9055821341748</v>
      </c>
      <c r="D107" s="34" t="n">
        <f aca="false">Sens!$C$846</f>
        <v>253.556419538757</v>
      </c>
    </row>
    <row r="110" customFormat="false" ht="19.4" hidden="false" customHeight="false" outlineLevel="0" collapsed="false">
      <c r="A110" s="35" t="s">
        <v>1304</v>
      </c>
    </row>
    <row r="111" customFormat="false" ht="17.15" hidden="false" customHeight="false" outlineLevel="0" collapsed="false">
      <c r="A111" s="6" t="s">
        <v>16</v>
      </c>
      <c r="B111" s="6" t="s">
        <v>17</v>
      </c>
      <c r="C111" s="23" t="s">
        <v>542</v>
      </c>
      <c r="D111" s="23" t="s">
        <v>543</v>
      </c>
      <c r="E111" s="23" t="s">
        <v>631</v>
      </c>
      <c r="F111" s="23" t="s">
        <v>632</v>
      </c>
      <c r="G111" s="23" t="s">
        <v>633</v>
      </c>
      <c r="H111" s="23" t="s">
        <v>634</v>
      </c>
      <c r="I111" s="23" t="s">
        <v>635</v>
      </c>
      <c r="J111" s="23" t="s">
        <v>636</v>
      </c>
      <c r="K111" s="23" t="s">
        <v>637</v>
      </c>
      <c r="L111" s="23" t="s">
        <v>638</v>
      </c>
      <c r="M111" s="23" t="s">
        <v>639</v>
      </c>
      <c r="N111" s="23" t="s">
        <v>640</v>
      </c>
      <c r="O111" s="23" t="s">
        <v>641</v>
      </c>
      <c r="P111" s="6" t="s">
        <v>23</v>
      </c>
      <c r="R111" s="23" t="n">
        <v>2023</v>
      </c>
      <c r="S111" s="23" t="n">
        <v>2024</v>
      </c>
      <c r="T111" s="23" t="n">
        <v>2025</v>
      </c>
      <c r="U111" s="23" t="n">
        <v>2026</v>
      </c>
      <c r="V111" s="23" t="n">
        <v>2027</v>
      </c>
      <c r="W111" s="23" t="n">
        <v>2028</v>
      </c>
      <c r="X111" s="23" t="n">
        <v>2029</v>
      </c>
      <c r="Y111" s="23" t="n">
        <v>2030</v>
      </c>
      <c r="Z111" s="23" t="n">
        <v>2031</v>
      </c>
      <c r="AA111" s="23" t="n">
        <v>2032</v>
      </c>
    </row>
    <row r="112" customFormat="false" ht="17.15" hidden="false" customHeight="false" outlineLevel="0" collapsed="false">
      <c r="A112" s="1" t="s">
        <v>725</v>
      </c>
    </row>
    <row r="113" customFormat="false" ht="17.15" hidden="false" customHeight="false" outlineLevel="0" collapsed="false">
      <c r="A113" s="0" t="s">
        <v>564</v>
      </c>
      <c r="B113" s="0" t="s">
        <v>91</v>
      </c>
      <c r="C113" s="40" t="n">
        <f aca="false">Q!$D$10</f>
        <v>247.029</v>
      </c>
      <c r="D113" s="40" t="n">
        <f aca="false">Q!$E$10</f>
        <v>269.287</v>
      </c>
      <c r="E113" s="40" t="n">
        <f aca="false">Q!$O$10</f>
        <v>203.156</v>
      </c>
      <c r="F113" s="40" t="n">
        <f aca="false">Sens!$O$113*(1+Sens!$F$114)*Sens!$F$125</f>
        <v>90.388463759573</v>
      </c>
      <c r="G113" s="40" t="n">
        <f aca="false">Sens!$E$113+Sens!$F$113</f>
        <v>293.544463759573</v>
      </c>
      <c r="H113" s="40" t="n">
        <f aca="false">Sens!$G$113*(1+Sens!$H$114)</f>
        <v>317.13448447826</v>
      </c>
      <c r="I113" s="40" t="n">
        <f aca="false">Sens!$H$113*(1+Sens!$I$114)</f>
        <v>339.410577938345</v>
      </c>
      <c r="J113" s="40" t="n">
        <f aca="false">Sens!$I$113*(1+Sens!$J$114)</f>
        <v>359.816245442206</v>
      </c>
      <c r="K113" s="40" t="n">
        <f aca="false">Sens!$J$113*(1+Sens!$K$114)</f>
        <v>377.807057714316</v>
      </c>
      <c r="L113" s="40" t="n">
        <f aca="false">Sens!$K$113*(1+Sens!$L$114)</f>
        <v>396.697410600032</v>
      </c>
      <c r="M113" s="40" t="n">
        <f aca="false">Sens!$L$113*(1+Sens!$M$114)</f>
        <v>416.532281130034</v>
      </c>
      <c r="N113" s="40" t="n">
        <f aca="false">Q!$N$10</f>
        <v>186.299</v>
      </c>
      <c r="O113" s="40" t="n">
        <f aca="false">Q!$J$10</f>
        <v>82.988</v>
      </c>
      <c r="P113" s="8" t="s">
        <v>726</v>
      </c>
    </row>
    <row r="114" customFormat="false" ht="17.15" hidden="false" customHeight="false" outlineLevel="0" collapsed="false">
      <c r="A114" s="0" t="s">
        <v>727</v>
      </c>
      <c r="B114" s="0" t="s">
        <v>56</v>
      </c>
      <c r="E114" s="13" t="n">
        <f aca="false">Sens!$E$113/Sens!$N$113-1</f>
        <v>0.0904835774749195</v>
      </c>
      <c r="F114" s="13" t="n">
        <f aca="false">Sens!$E$114</f>
        <v>0.0904835774749195</v>
      </c>
      <c r="G114" s="13" t="n">
        <f aca="false">Sens!$G$113/Sens!$D$113-1</f>
        <v>0.0900803371851333</v>
      </c>
      <c r="H114" s="13" t="n">
        <f aca="false">Sens!$F$114+(g_os-Sens!$F$114)*1/4</f>
        <v>0.0803626831061896</v>
      </c>
      <c r="I114" s="13" t="n">
        <f aca="false">Sens!$F$114+(g_os-Sens!$F$114)*2/4</f>
        <v>0.0702417887374598</v>
      </c>
      <c r="J114" s="13" t="n">
        <f aca="false">Sens!$F$114+(g_os-Sens!$F$114)*3/4</f>
        <v>0.0601208943687299</v>
      </c>
      <c r="K114" s="13" t="n">
        <f aca="false">Sens!$F$114+(g_os-Sens!$F$114)*4/4</f>
        <v>0.05</v>
      </c>
      <c r="L114" s="13" t="n">
        <f aca="false">g_os</f>
        <v>0.05</v>
      </c>
      <c r="M114" s="13" t="n">
        <f aca="false">g_os</f>
        <v>0.05</v>
      </c>
      <c r="P114" s="8" t="s">
        <v>728</v>
      </c>
    </row>
    <row r="115" customFormat="false" ht="17.15" hidden="false" customHeight="false" outlineLevel="0" collapsed="false">
      <c r="A115" s="0" t="s">
        <v>565</v>
      </c>
      <c r="B115" s="0" t="s">
        <v>91</v>
      </c>
      <c r="C115" s="40" t="n">
        <f aca="false">Q!$D$11</f>
        <v>21.215</v>
      </c>
      <c r="D115" s="40" t="n">
        <f aca="false">Q!$E$11</f>
        <v>22.561</v>
      </c>
      <c r="E115" s="40" t="n">
        <f aca="false">Q!$O$11</f>
        <v>17.289</v>
      </c>
      <c r="F115" s="40" t="n">
        <f aca="false">Sens!$O$115*(1+Sens!$F$116)*Sens!$F$125</f>
        <v>6.05205510939944</v>
      </c>
      <c r="G115" s="40" t="n">
        <f aca="false">Sens!$E$115+Sens!$F$115</f>
        <v>23.3410551093994</v>
      </c>
      <c r="H115" s="40" t="n">
        <f aca="false">Sens!$G$115*(1+Sens!$H$116)</f>
        <v>24.1270238539533</v>
      </c>
      <c r="I115" s="40" t="n">
        <f aca="false">Sens!$H$115*(1+Sens!$I$116)</f>
        <v>24.9099173270163</v>
      </c>
      <c r="J115" s="40" t="n">
        <f aca="false">Sens!$I$115*(1+Sens!$J$116)</f>
        <v>25.6877148084528</v>
      </c>
      <c r="K115" s="40" t="n">
        <f aca="false">Sens!$J$115*(1+Sens!$K$116)</f>
        <v>26.4583462527063</v>
      </c>
      <c r="L115" s="40" t="n">
        <f aca="false">Sens!$K$115*(1+Sens!$L$116)</f>
        <v>27.2520966402875</v>
      </c>
      <c r="M115" s="40" t="n">
        <f aca="false">Sens!$L$115*(1+Sens!$M$116)</f>
        <v>28.0696595394962</v>
      </c>
      <c r="N115" s="40" t="n">
        <f aca="false">Q!$N$11</f>
        <v>16.706</v>
      </c>
      <c r="O115" s="40" t="n">
        <f aca="false">Q!$J$11</f>
        <v>5.855</v>
      </c>
      <c r="P115" s="8" t="s">
        <v>726</v>
      </c>
    </row>
    <row r="116" customFormat="false" ht="17.15" hidden="false" customHeight="false" outlineLevel="0" collapsed="false">
      <c r="A116" s="0" t="s">
        <v>729</v>
      </c>
      <c r="B116" s="0" t="s">
        <v>56</v>
      </c>
      <c r="E116" s="13" t="n">
        <f aca="false">Sens!$E$115/Sens!$N$115-1</f>
        <v>0.0348976415659046</v>
      </c>
      <c r="F116" s="13" t="n">
        <f aca="false">Sens!$E$116</f>
        <v>0.0348976415659046</v>
      </c>
      <c r="G116" s="13" t="n">
        <f aca="false">Sens!$G$115/Sens!$D$115-1</f>
        <v>0.0345753782810796</v>
      </c>
      <c r="H116" s="13" t="n">
        <f aca="false">Sens!$F$116+(g_ps-Sens!$F$116)*1/4</f>
        <v>0.0336732311744284</v>
      </c>
      <c r="I116" s="13" t="n">
        <f aca="false">Sens!$F$116+(g_ps-Sens!$F$116)*2/4</f>
        <v>0.0324488207829523</v>
      </c>
      <c r="J116" s="13" t="n">
        <f aca="false">Sens!$F$116+(g_ps-Sens!$F$116)*3/4</f>
        <v>0.0312244103914761</v>
      </c>
      <c r="K116" s="13" t="n">
        <f aca="false">Sens!$F$116+(g_ps-Sens!$F$116)*4/4</f>
        <v>0.03</v>
      </c>
      <c r="L116" s="13" t="n">
        <f aca="false">g_ps</f>
        <v>0.03</v>
      </c>
      <c r="M116" s="13" t="n">
        <f aca="false">g_ps</f>
        <v>0.03</v>
      </c>
      <c r="P116" s="8" t="s">
        <v>730</v>
      </c>
    </row>
    <row r="117" customFormat="false" ht="17.15" hidden="false" customHeight="false" outlineLevel="0" collapsed="false">
      <c r="A117" s="0" t="s">
        <v>566</v>
      </c>
      <c r="B117" s="0" t="s">
        <v>91</v>
      </c>
      <c r="C117" s="40" t="n">
        <f aca="false">Q!$D$12</f>
        <v>156.146</v>
      </c>
      <c r="D117" s="40" t="n">
        <f aca="false">Q!$E$12</f>
        <v>172.162</v>
      </c>
      <c r="E117" s="40" t="n">
        <f aca="false">Q!$O$12</f>
        <v>134.85</v>
      </c>
      <c r="F117" s="40" t="n">
        <f aca="false">Sens!$O$117*(1+Sens!$F$118)*Sens!$F$125</f>
        <v>59.6056141851888</v>
      </c>
      <c r="G117" s="40" t="n">
        <f aca="false">Sens!$E$117+Sens!$F$117</f>
        <v>194.455614185189</v>
      </c>
      <c r="H117" s="40" t="n">
        <f aca="false">Sens!$G$117*(1+Sens!$H$118)</f>
        <v>216.80459217381</v>
      </c>
      <c r="I117" s="40" t="n">
        <f aca="false">Sens!$H$117*(1+Sens!$I$118)</f>
        <v>238.475078227356</v>
      </c>
      <c r="J117" s="40" t="n">
        <f aca="false">Sens!$I$117*(1+Sens!$J$118)</f>
        <v>258.739974865958</v>
      </c>
      <c r="K117" s="40" t="n">
        <f aca="false">Sens!$J$117*(1+Sens!$K$118)</f>
        <v>276.851773106575</v>
      </c>
      <c r="L117" s="40" t="n">
        <f aca="false">Sens!$K$117*(1+Sens!$L$118)</f>
        <v>296.231397224035</v>
      </c>
      <c r="M117" s="40" t="n">
        <f aca="false">Sens!$L$117*(1+Sens!$M$118)</f>
        <v>316.967595029718</v>
      </c>
      <c r="N117" s="40" t="n">
        <f aca="false">Q!$N$12</f>
        <v>119.346</v>
      </c>
      <c r="O117" s="40" t="n">
        <f aca="false">Q!$J$12</f>
        <v>52.816</v>
      </c>
      <c r="P117" s="8" t="s">
        <v>726</v>
      </c>
    </row>
    <row r="118" customFormat="false" ht="17.15" hidden="false" customHeight="false" outlineLevel="0" collapsed="false">
      <c r="A118" s="0" t="s">
        <v>731</v>
      </c>
      <c r="B118" s="0" t="s">
        <v>56</v>
      </c>
      <c r="E118" s="13" t="n">
        <f aca="false">Sens!$E$117/Sens!$N$117-1</f>
        <v>0.129907998592328</v>
      </c>
      <c r="F118" s="13" t="n">
        <f aca="false">Sens!$E$118</f>
        <v>0.129907998592328</v>
      </c>
      <c r="G118" s="13" t="n">
        <f aca="false">Sens!$G$117/Sens!$D$117-1</f>
        <v>0.129492072496769</v>
      </c>
      <c r="H118" s="13" t="n">
        <f aca="false">Sens!$F$118+(g_sp-Sens!$F$118)*1/4</f>
        <v>0.114930998944246</v>
      </c>
      <c r="I118" s="13" t="n">
        <f aca="false">Sens!$F$118+(g_sp-Sens!$F$118)*2/4</f>
        <v>0.0999539992961641</v>
      </c>
      <c r="J118" s="13" t="n">
        <f aca="false">Sens!$F$118+(g_sp-Sens!$F$118)*3/4</f>
        <v>0.084976999648082</v>
      </c>
      <c r="K118" s="13" t="n">
        <f aca="false">Sens!$F$118+(g_sp-Sens!$F$118)*4/4</f>
        <v>0.07</v>
      </c>
      <c r="L118" s="13" t="n">
        <f aca="false">g_sp</f>
        <v>0.07</v>
      </c>
      <c r="M118" s="13" t="n">
        <f aca="false">g_sp</f>
        <v>0.07</v>
      </c>
      <c r="P118" s="8" t="s">
        <v>732</v>
      </c>
    </row>
    <row r="119" customFormat="false" ht="17.15" hidden="false" customHeight="false" outlineLevel="0" collapsed="false">
      <c r="A119" s="0" t="s">
        <v>567</v>
      </c>
      <c r="B119" s="0" t="s">
        <v>91</v>
      </c>
      <c r="C119" s="40" t="n">
        <f aca="false">Q!$D$13</f>
        <v>56.214</v>
      </c>
      <c r="D119" s="40" t="n">
        <f aca="false">Q!$E$13</f>
        <v>68.635</v>
      </c>
      <c r="E119" s="40" t="n">
        <f aca="false">Q!$O$13</f>
        <v>56.689</v>
      </c>
      <c r="F119" s="40" t="n">
        <f aca="false">Sens!$O$119*(1+Sens!$F$120)*Sens!$F$125</f>
        <v>25.5080393747055</v>
      </c>
      <c r="G119" s="40" t="n">
        <f aca="false">Sens!$E$119+Sens!$F$119</f>
        <v>82.1970393747055</v>
      </c>
      <c r="H119" s="40" t="n">
        <f aca="false">Sens!$G$119*(1+Sens!$H$120)</f>
        <v>96.4608782883025</v>
      </c>
      <c r="I119" s="40" t="n">
        <f aca="false">Sens!$H$119*(1+Sens!$I$120)</f>
        <v>110.835624413712</v>
      </c>
      <c r="J119" s="40" t="n">
        <f aca="false">Sens!$I$119*(1+Sens!$J$120)</f>
        <v>124.635851912673</v>
      </c>
      <c r="K119" s="40" t="n">
        <f aca="false">Sens!$J$119*(1+Sens!$K$120)</f>
        <v>137.09943710394</v>
      </c>
      <c r="L119" s="40" t="n">
        <f aca="false">Sens!$K$119*(1+Sens!$L$120)</f>
        <v>150.809380814334</v>
      </c>
      <c r="M119" s="40" t="n">
        <f aca="false">Sens!$L$119*(1+Sens!$M$120)</f>
        <v>165.890318895768</v>
      </c>
      <c r="N119" s="40" t="n">
        <f aca="false">Q!$N$13</f>
        <v>47.318</v>
      </c>
      <c r="O119" s="40" t="n">
        <f aca="false">Q!$J$13</f>
        <v>21.317</v>
      </c>
      <c r="P119" s="8" t="s">
        <v>726</v>
      </c>
    </row>
    <row r="120" customFormat="false" ht="17.15" hidden="false" customHeight="false" outlineLevel="0" collapsed="false">
      <c r="A120" s="0" t="s">
        <v>733</v>
      </c>
      <c r="B120" s="0" t="s">
        <v>56</v>
      </c>
      <c r="E120" s="13" t="n">
        <f aca="false">Sens!$E$119/Sens!$N$119-1</f>
        <v>0.198043028023162</v>
      </c>
      <c r="F120" s="13" t="n">
        <f aca="false">Sens!$E$120</f>
        <v>0.198043028023162</v>
      </c>
      <c r="G120" s="13" t="n">
        <f aca="false">Sens!$G$119/Sens!$D$119-1</f>
        <v>0.197596552410657</v>
      </c>
      <c r="H120" s="13" t="n">
        <f aca="false">Sens!$F$120+(g_ad-Sens!$F$120)*1/4</f>
        <v>0.173532271017372</v>
      </c>
      <c r="I120" s="13" t="n">
        <f aca="false">Sens!$F$120+(g_ad-Sens!$F$120)*2/4</f>
        <v>0.149021514011581</v>
      </c>
      <c r="J120" s="13" t="n">
        <f aca="false">Sens!$F$120+(g_ad-Sens!$F$120)*3/4</f>
        <v>0.124510757005791</v>
      </c>
      <c r="K120" s="13" t="n">
        <f aca="false">Sens!$F$120+(g_ad-Sens!$F$120)*4/4</f>
        <v>0.1</v>
      </c>
      <c r="L120" s="13" t="n">
        <f aca="false">g_ad</f>
        <v>0.1</v>
      </c>
      <c r="M120" s="13" t="n">
        <f aca="false">g_ad</f>
        <v>0.1</v>
      </c>
      <c r="P120" s="8" t="s">
        <v>734</v>
      </c>
    </row>
    <row r="121" customFormat="false" ht="17.15" hidden="false" customHeight="false" outlineLevel="0" collapsed="false">
      <c r="A121" s="0" t="s">
        <v>568</v>
      </c>
      <c r="B121" s="0" t="s">
        <v>91</v>
      </c>
      <c r="C121" s="40" t="n">
        <f aca="false">Q!$D$14</f>
        <v>44.374</v>
      </c>
      <c r="D121" s="40" t="n">
        <f aca="false">Q!$E$14</f>
        <v>49.619</v>
      </c>
      <c r="E121" s="40" t="n">
        <f aca="false">Q!$O$14</f>
        <v>41.163</v>
      </c>
      <c r="F121" s="40" t="n">
        <f aca="false">Sens!$O$121*(1+Sens!$F$122)*Sens!$F$125</f>
        <v>14.7818388144754</v>
      </c>
      <c r="G121" s="40" t="n">
        <f aca="false">Sens!$E$121+Sens!$F$121</f>
        <v>55.9448388144754</v>
      </c>
      <c r="H121" s="40" t="n">
        <f aca="false">Sens!$G$121*(1+Sens!$H$122)</f>
        <v>62.2881216081287</v>
      </c>
      <c r="I121" s="40" t="n">
        <f aca="false">Sens!$H$121*(1+Sens!$I$122)</f>
        <v>68.4498533343906</v>
      </c>
      <c r="J121" s="40" t="n">
        <f aca="false">Sens!$I$121*(1+Sens!$J$122)</f>
        <v>74.2312327495396</v>
      </c>
      <c r="K121" s="40" t="n">
        <f aca="false">Sens!$J$121*(1+Sens!$K$122)</f>
        <v>79.4274190420074</v>
      </c>
      <c r="L121" s="40" t="n">
        <f aca="false">Sens!$K$121*(1+Sens!$L$122)</f>
        <v>84.9873383749479</v>
      </c>
      <c r="M121" s="40" t="n">
        <f aca="false">Sens!$L$121*(1+Sens!$M$122)</f>
        <v>90.9364520611943</v>
      </c>
      <c r="N121" s="40" t="n">
        <f aca="false">Q!$N$14</f>
        <v>36.497</v>
      </c>
      <c r="O121" s="40" t="n">
        <f aca="false">Q!$J$14</f>
        <v>13.122</v>
      </c>
      <c r="P121" s="8" t="s">
        <v>726</v>
      </c>
    </row>
    <row r="122" customFormat="false" ht="17.15" hidden="false" customHeight="false" outlineLevel="0" collapsed="false">
      <c r="A122" s="0" t="s">
        <v>735</v>
      </c>
      <c r="B122" s="0" t="s">
        <v>56</v>
      </c>
      <c r="E122" s="13" t="n">
        <f aca="false">Sens!$E$121/Sens!$N$121-1</f>
        <v>0.127846124338987</v>
      </c>
      <c r="F122" s="13" t="n">
        <f aca="false">Sens!$E$122</f>
        <v>0.127846124338987</v>
      </c>
      <c r="G122" s="13" t="n">
        <f aca="false">Sens!$G$121/Sens!$D$121-1</f>
        <v>0.127488236652803</v>
      </c>
      <c r="H122" s="13" t="n">
        <f aca="false">Sens!$F$122+(g_sub-Sens!$F$122)*1/4</f>
        <v>0.11338459325424</v>
      </c>
      <c r="I122" s="13" t="n">
        <f aca="false">Sens!$F$122+(g_sub-Sens!$F$122)*2/4</f>
        <v>0.0989230621694934</v>
      </c>
      <c r="J122" s="13" t="n">
        <f aca="false">Sens!$F$122+(g_sub-Sens!$F$122)*3/4</f>
        <v>0.0844615310847467</v>
      </c>
      <c r="K122" s="13" t="n">
        <f aca="false">Sens!$F$122+(g_sub-Sens!$F$122)*4/4</f>
        <v>0.07</v>
      </c>
      <c r="L122" s="13" t="n">
        <f aca="false">g_sub</f>
        <v>0.07</v>
      </c>
      <c r="M122" s="13" t="n">
        <f aca="false">g_sub</f>
        <v>0.07</v>
      </c>
      <c r="P122" s="8" t="s">
        <v>736</v>
      </c>
    </row>
    <row r="123" customFormat="false" ht="17.15" hidden="false" customHeight="false" outlineLevel="0" collapsed="false">
      <c r="A123" s="0" t="s">
        <v>569</v>
      </c>
      <c r="B123" s="0" t="s">
        <v>91</v>
      </c>
      <c r="C123" s="40" t="n">
        <f aca="false">Q!$D$15</f>
        <v>5.425</v>
      </c>
      <c r="D123" s="40" t="n">
        <f aca="false">Q!$E$15</f>
        <v>5.935</v>
      </c>
      <c r="E123" s="40" t="n">
        <f aca="false">Q!$O$15</f>
        <v>5.119</v>
      </c>
      <c r="F123" s="40" t="n">
        <f aca="false">Sens!$O$123*(1+Sens!$F$124)*Sens!$F$125</f>
        <v>2.06764643489463</v>
      </c>
      <c r="G123" s="40" t="n">
        <f aca="false">Sens!$E$123+Sens!$F$123</f>
        <v>7.18664643489463</v>
      </c>
      <c r="H123" s="40" t="n">
        <f aca="false">Sens!$G$123*(1+Sens!$H$124)</f>
        <v>8.41544223415965</v>
      </c>
      <c r="I123" s="40" t="n">
        <f aca="false">Sens!$H$123*(1+Sens!$I$124)</f>
        <v>9.51496576222195</v>
      </c>
      <c r="J123" s="40" t="n">
        <f aca="false">Sens!$I$123*(1+Sens!$J$124)</f>
        <v>10.3744310498661</v>
      </c>
      <c r="K123" s="40" t="n">
        <f aca="false">Sens!$J$123*(1+Sens!$K$124)</f>
        <v>10.8931526023594</v>
      </c>
      <c r="L123" s="40" t="n">
        <f aca="false">Sens!$K$123*(1+Sens!$L$124)</f>
        <v>11.4378102324774</v>
      </c>
      <c r="M123" s="40" t="n">
        <f aca="false">Sens!$L$123*(1+Sens!$M$124)</f>
        <v>12.0097007441012</v>
      </c>
      <c r="N123" s="40" t="n">
        <f aca="false">Q!$N$15</f>
        <v>4.226</v>
      </c>
      <c r="O123" s="40" t="n">
        <f aca="false">Q!$J$15</f>
        <v>1.709</v>
      </c>
      <c r="P123" s="8" t="s">
        <v>726</v>
      </c>
    </row>
    <row r="124" customFormat="false" ht="17.15" hidden="false" customHeight="false" outlineLevel="0" collapsed="false">
      <c r="A124" s="0" t="s">
        <v>737</v>
      </c>
      <c r="B124" s="0" t="s">
        <v>56</v>
      </c>
      <c r="E124" s="13" t="n">
        <f aca="false">Sens!$E$123/Sens!$N$123-1</f>
        <v>0.21131093232371</v>
      </c>
      <c r="F124" s="13" t="n">
        <f aca="false">Sens!$E$124</f>
        <v>0.21131093232371</v>
      </c>
      <c r="G124" s="13" t="n">
        <f aca="false">Sens!$G$123/Sens!$D$123-1</f>
        <v>0.210892406890418</v>
      </c>
      <c r="H124" s="13" t="n">
        <f aca="false">Sens!$F$124+(g_ot-Sens!$F$124)*1/4</f>
        <v>0.170983199242783</v>
      </c>
      <c r="I124" s="13" t="n">
        <f aca="false">Sens!$F$124+(g_ot-Sens!$F$124)*2/4</f>
        <v>0.130655466161855</v>
      </c>
      <c r="J124" s="13" t="n">
        <f aca="false">Sens!$F$124+(g_ot-Sens!$F$124)*3/4</f>
        <v>0.0903277330809276</v>
      </c>
      <c r="K124" s="13" t="n">
        <f aca="false">Sens!$F$124+(g_ot-Sens!$F$124)*4/4</f>
        <v>0.05</v>
      </c>
      <c r="L124" s="13" t="n">
        <f aca="false">g_ot</f>
        <v>0.05</v>
      </c>
      <c r="M124" s="13" t="n">
        <f aca="false">g_ot</f>
        <v>0.05</v>
      </c>
      <c r="P124" s="8" t="s">
        <v>738</v>
      </c>
    </row>
    <row r="125" customFormat="false" ht="17.15" hidden="false" customHeight="false" outlineLevel="0" collapsed="false">
      <c r="A125" s="0" t="s">
        <v>739</v>
      </c>
      <c r="B125" s="0" t="s">
        <v>61</v>
      </c>
      <c r="F125" s="42" t="n">
        <f aca="false">(g26q4_mid-Thesis!$F$92-Thesis!$F$96)/(Sens!$O$113*(1+Sens!$F$114)+Sens!$O$115*(1+Sens!$F$116)+Sens!$O$117*(1+Sens!$F$118)+Sens!$O$119*(1+Sens!$F$120)+Sens!$O$121*(1+Sens!$F$122)+Sens!$O$123*(1+Sens!$F$124))</f>
        <v>0.998800100483245</v>
      </c>
      <c r="P125" s="8" t="s">
        <v>740</v>
      </c>
    </row>
    <row r="126" customFormat="false" ht="17.15" hidden="false" customHeight="false" outlineLevel="0" collapsed="false">
      <c r="A126" s="3" t="s">
        <v>741</v>
      </c>
      <c r="B126" s="8" t="s">
        <v>91</v>
      </c>
      <c r="C126" s="40" t="n">
        <f aca="false">Sens!$C$113+Sens!$C$115+Sens!$C$117+Sens!$C$119+Sens!$C$121+Sens!$C$123</f>
        <v>530.403</v>
      </c>
      <c r="D126" s="40" t="n">
        <f aca="false">Sens!$D$113+Sens!$D$115+Sens!$D$117+Sens!$D$119+Sens!$D$121+Sens!$D$123</f>
        <v>588.199</v>
      </c>
      <c r="E126" s="40" t="n">
        <f aca="false">Sens!$E$113+Sens!$E$115+Sens!$E$117+Sens!$E$119+Sens!$E$121+Sens!$E$123</f>
        <v>458.266</v>
      </c>
      <c r="F126" s="40" t="n">
        <f aca="false">Sens!$F$113+Sens!$F$115+Sens!$F$117+Sens!$F$119+Sens!$F$121+Sens!$F$123</f>
        <v>198.403657678237</v>
      </c>
      <c r="G126" s="40" t="n">
        <f aca="false">Sens!$G$113+Sens!$G$115+Sens!$G$117+Sens!$G$119+Sens!$G$121+Sens!$G$123</f>
        <v>656.669657678237</v>
      </c>
      <c r="H126" s="40" t="n">
        <f aca="false">Sens!$H$113+Sens!$H$115+Sens!$H$117+Sens!$H$119+Sens!$H$121+Sens!$H$123</f>
        <v>725.230542636613</v>
      </c>
      <c r="I126" s="40" t="n">
        <f aca="false">Sens!$I$113+Sens!$I$115+Sens!$I$117+Sens!$I$119+Sens!$I$121+Sens!$I$123</f>
        <v>791.596017003042</v>
      </c>
      <c r="J126" s="40" t="n">
        <f aca="false">Sens!$J$113+Sens!$J$115+Sens!$J$117+Sens!$J$119+Sens!$J$121+Sens!$J$123</f>
        <v>853.485450828695</v>
      </c>
      <c r="K126" s="40" t="n">
        <f aca="false">Sens!$K$113+Sens!$K$115+Sens!$K$117+Sens!$K$119+Sens!$K$121+Sens!$K$123</f>
        <v>908.537185821905</v>
      </c>
      <c r="L126" s="40" t="n">
        <f aca="false">Sens!$L$113+Sens!$L$115+Sens!$L$117+Sens!$L$119+Sens!$L$121+Sens!$L$123</f>
        <v>967.415433886114</v>
      </c>
      <c r="M126" s="40" t="n">
        <f aca="false">Sens!$M$113+Sens!$M$115+Sens!$M$117+Sens!$M$119+Sens!$M$121+Sens!$M$123</f>
        <v>1030.40600740031</v>
      </c>
      <c r="N126" s="40" t="n">
        <f aca="false">Sens!$N$113+Sens!$N$115+Sens!$N$117+Sens!$N$119+Sens!$N$121+Sens!$N$123</f>
        <v>410.392</v>
      </c>
      <c r="O126" s="40" t="n">
        <f aca="false">Sens!$O$113+Sens!$O$115+Sens!$O$117+Sens!$O$119+Sens!$O$121+Sens!$O$123</f>
        <v>177.807</v>
      </c>
    </row>
    <row r="127" customFormat="false" ht="17.15" hidden="false" customHeight="false" outlineLevel="0" collapsed="false">
      <c r="A127" s="5" t="s">
        <v>742</v>
      </c>
      <c r="B127" s="0" t="s">
        <v>56</v>
      </c>
      <c r="C127" s="13" t="n">
        <f aca="false">Q!$D$5/(Q!$D$5+Q!$D$6)</f>
        <v>0.730570905519011</v>
      </c>
      <c r="D127" s="13" t="n">
        <f aca="false">Q!$E$5/(Q!$E$5+Q!$E$6)</f>
        <v>0.724763217890544</v>
      </c>
      <c r="E127" s="13" t="n">
        <f aca="false">Q!$O$5/(Q!$O$5+Q!$O$6)</f>
        <v>0.727027534226846</v>
      </c>
      <c r="F127" s="13" t="n">
        <f aca="false">Sens!$O$127</f>
        <v>0.714724392178036</v>
      </c>
      <c r="G127" s="13" t="n">
        <f aca="false">Sens!$G$128/Sens!$G$126</f>
        <v>0.723310309965184</v>
      </c>
      <c r="H127" s="13" t="n">
        <f aca="false">Sens!$G$127</f>
        <v>0.723310309965184</v>
      </c>
      <c r="I127" s="13" t="n">
        <f aca="false">Sens!$G$127</f>
        <v>0.723310309965184</v>
      </c>
      <c r="J127" s="13" t="n">
        <f aca="false">Sens!$G$127</f>
        <v>0.723310309965184</v>
      </c>
      <c r="K127" s="13" t="n">
        <f aca="false">Sens!$G$127</f>
        <v>0.723310309965184</v>
      </c>
      <c r="L127" s="13" t="n">
        <f aca="false">Sens!$G$127</f>
        <v>0.723310309965184</v>
      </c>
      <c r="M127" s="13" t="n">
        <f aca="false">Sens!$G$127</f>
        <v>0.723310309965184</v>
      </c>
      <c r="N127" s="13" t="n">
        <f aca="false">Q!$N$5/(Q!$N$5+Q!$N$6)</f>
        <v>0.729112653268095</v>
      </c>
      <c r="O127" s="13" t="n">
        <f aca="false">Q!$J$5/(Q!$J$5+Q!$J$6)</f>
        <v>0.714724392178036</v>
      </c>
      <c r="P127" s="8" t="s">
        <v>743</v>
      </c>
    </row>
    <row r="128" customFormat="false" ht="17.15" hidden="false" customHeight="false" outlineLevel="0" collapsed="false">
      <c r="A128" s="1" t="s">
        <v>557</v>
      </c>
      <c r="B128" s="8" t="s">
        <v>91</v>
      </c>
      <c r="C128" s="40" t="n">
        <f aca="false">Q!$D$5</f>
        <v>387.497</v>
      </c>
      <c r="D128" s="40" t="n">
        <f aca="false">Q!$E$5</f>
        <v>426.305</v>
      </c>
      <c r="E128" s="40" t="n">
        <f aca="false">Q!$O$5</f>
        <v>333.172</v>
      </c>
      <c r="F128" s="40" t="n">
        <f aca="false">Sens!$F$126*Sens!$F$127</f>
        <v>141.803933639977</v>
      </c>
      <c r="G128" s="40" t="n">
        <f aca="false">Sens!$E$128+Sens!$F$128</f>
        <v>474.975933639977</v>
      </c>
      <c r="H128" s="40" t="n">
        <f aca="false">Sens!$H$126*Sens!$H$127</f>
        <v>524.566728590708</v>
      </c>
      <c r="I128" s="40" t="n">
        <f aca="false">Sens!$I$126*Sens!$I$127</f>
        <v>572.569560425675</v>
      </c>
      <c r="J128" s="40" t="n">
        <f aca="false">Sens!$J$126*Sens!$J$127</f>
        <v>617.334825989679</v>
      </c>
      <c r="K128" s="40" t="n">
        <f aca="false">Sens!$K$126*Sens!$K$127</f>
        <v>657.154313491738</v>
      </c>
      <c r="L128" s="40" t="n">
        <f aca="false">Sens!$L$126*Sens!$L$127</f>
        <v>699.741557349269</v>
      </c>
      <c r="M128" s="40" t="n">
        <f aca="false">Sens!$M$126*Sens!$M$127</f>
        <v>745.303288602707</v>
      </c>
      <c r="N128" s="40" t="n">
        <f aca="false">Q!$N$5</f>
        <v>299.222</v>
      </c>
      <c r="O128" s="40" t="n">
        <f aca="false">Q!$J$5</f>
        <v>127.083</v>
      </c>
      <c r="P128" s="5" t="s">
        <v>744</v>
      </c>
    </row>
    <row r="129" customFormat="false" ht="17.15" hidden="false" customHeight="false" outlineLevel="0" collapsed="false">
      <c r="A129" s="1" t="s">
        <v>560</v>
      </c>
      <c r="B129" s="8" t="s">
        <v>91</v>
      </c>
      <c r="C129" s="40" t="n">
        <f aca="false">Q!$D$6</f>
        <v>142.906</v>
      </c>
      <c r="D129" s="40" t="n">
        <f aca="false">Q!$E$6</f>
        <v>161.894</v>
      </c>
      <c r="E129" s="40" t="n">
        <f aca="false">Q!$O$6</f>
        <v>125.094</v>
      </c>
      <c r="F129" s="40" t="n">
        <f aca="false">Sens!$F$126*(1-Sens!$F$127)</f>
        <v>56.5997240382599</v>
      </c>
      <c r="G129" s="40" t="n">
        <f aca="false">Sens!$E$129+Sens!$F$129</f>
        <v>181.69372403826</v>
      </c>
      <c r="H129" s="40" t="n">
        <f aca="false">Sens!$H$126*(1-Sens!$H$127)</f>
        <v>200.663814045906</v>
      </c>
      <c r="I129" s="40" t="n">
        <f aca="false">Sens!$I$126*(1-Sens!$I$127)</f>
        <v>219.026456577366</v>
      </c>
      <c r="J129" s="40" t="n">
        <f aca="false">Sens!$J$126*(1-Sens!$J$127)</f>
        <v>236.150624839017</v>
      </c>
      <c r="K129" s="40" t="n">
        <f aca="false">Sens!$K$126*(1-Sens!$K$127)</f>
        <v>251.382872330167</v>
      </c>
      <c r="L129" s="40" t="n">
        <f aca="false">Sens!$L$126*(1-Sens!$L$127)</f>
        <v>267.673876536846</v>
      </c>
      <c r="M129" s="40" t="n">
        <f aca="false">Sens!$M$126*(1-Sens!$M$127)</f>
        <v>285.102718797604</v>
      </c>
      <c r="N129" s="40" t="n">
        <f aca="false">Q!$N$6</f>
        <v>111.17</v>
      </c>
      <c r="O129" s="40" t="n">
        <f aca="false">Q!$J$6</f>
        <v>50.724</v>
      </c>
      <c r="P129" s="5" t="s">
        <v>745</v>
      </c>
    </row>
    <row r="130" customFormat="false" ht="17.15" hidden="false" customHeight="false" outlineLevel="0" collapsed="false">
      <c r="A130" s="5" t="s">
        <v>746</v>
      </c>
      <c r="B130" s="0" t="s">
        <v>91</v>
      </c>
      <c r="C130" s="40" t="n">
        <f aca="false">Sens!$C$119*Sens!$C$127</f>
        <v>41.0683128828457</v>
      </c>
      <c r="D130" s="40" t="n">
        <f aca="false">Sens!$D$119*Sens!$D$127</f>
        <v>49.7441234599175</v>
      </c>
      <c r="E130" s="40" t="n">
        <f aca="false">Sens!$E$119*Sens!$E$127</f>
        <v>41.2144638877857</v>
      </c>
      <c r="F130" s="40" t="n">
        <f aca="false">Sens!$F$119*Sens!$F$127</f>
        <v>18.2312179377398</v>
      </c>
      <c r="G130" s="40" t="n">
        <f aca="false">Sens!$G$119*Sens!$G$127</f>
        <v>59.4539660283387</v>
      </c>
      <c r="H130" s="40" t="n">
        <f aca="false">Sens!$H$119*Sens!$H$127</f>
        <v>69.771147774226</v>
      </c>
      <c r="I130" s="40" t="n">
        <f aca="false">Sens!$I$119*Sens!$I$127</f>
        <v>80.1685498498669</v>
      </c>
      <c r="J130" s="40" t="n">
        <f aca="false">Sens!$J$119*Sens!$J$127</f>
        <v>90.1503966797303</v>
      </c>
      <c r="K130" s="40" t="n">
        <f aca="false">Sens!$K$119*Sens!$K$127</f>
        <v>99.1654363477033</v>
      </c>
      <c r="L130" s="40" t="n">
        <f aca="false">Sens!$L$119*Sens!$L$127</f>
        <v>109.081979982474</v>
      </c>
      <c r="M130" s="40" t="n">
        <f aca="false">Sens!$M$119*Sens!$M$127</f>
        <v>119.990177980721</v>
      </c>
      <c r="N130" s="40" t="n">
        <f aca="false">Sens!$N$119*Sens!$N$127</f>
        <v>34.5001525273397</v>
      </c>
      <c r="O130" s="40" t="n">
        <f aca="false">Sens!$O$119*Sens!$O$127</f>
        <v>15.2357798680592</v>
      </c>
      <c r="P130" s="5" t="s">
        <v>747</v>
      </c>
    </row>
    <row r="131" customFormat="false" ht="15" hidden="false" customHeight="false" outlineLevel="0" collapsed="false">
      <c r="A131" s="5" t="s">
        <v>748</v>
      </c>
      <c r="B131" s="0" t="s">
        <v>91</v>
      </c>
      <c r="C131" s="40" t="n">
        <f aca="false">Sens!$C$119-Sens!$C$130</f>
        <v>15.1456871171543</v>
      </c>
      <c r="D131" s="40" t="n">
        <f aca="false">Sens!$D$119-Sens!$D$130</f>
        <v>18.8908765400825</v>
      </c>
      <c r="E131" s="40" t="n">
        <f aca="false">Sens!$E$119-Sens!$E$130</f>
        <v>15.4745361122143</v>
      </c>
      <c r="F131" s="40" t="n">
        <f aca="false">Sens!$F$119-Sens!$F$130</f>
        <v>7.2768214369657</v>
      </c>
      <c r="G131" s="40" t="n">
        <f aca="false">Sens!$G$119-Sens!$G$130</f>
        <v>22.7430733463668</v>
      </c>
      <c r="H131" s="40" t="n">
        <f aca="false">Sens!$H$119-Sens!$H$130</f>
        <v>26.6897305140765</v>
      </c>
      <c r="I131" s="40" t="n">
        <f aca="false">Sens!$I$119-Sens!$I$130</f>
        <v>30.6670745638453</v>
      </c>
      <c r="J131" s="40" t="n">
        <f aca="false">Sens!$J$119-Sens!$J$130</f>
        <v>34.4854552329427</v>
      </c>
      <c r="K131" s="40" t="n">
        <f aca="false">Sens!$K$119-Sens!$K$130</f>
        <v>37.934000756237</v>
      </c>
      <c r="L131" s="40" t="n">
        <f aca="false">Sens!$L$119-Sens!$L$130</f>
        <v>41.7274008318607</v>
      </c>
      <c r="M131" s="40" t="n">
        <f aca="false">Sens!$M$119-Sens!$M$130</f>
        <v>45.9001409150467</v>
      </c>
      <c r="N131" s="40" t="n">
        <f aca="false">Sens!$N$119-Sens!$N$130</f>
        <v>12.8178474726603</v>
      </c>
      <c r="O131" s="40" t="n">
        <f aca="false">Sens!$O$119-Sens!$O$130</f>
        <v>6.08122013194081</v>
      </c>
    </row>
    <row r="132" customFormat="false" ht="19.4" hidden="false" customHeight="false" outlineLevel="0" collapsed="false">
      <c r="A132" s="35" t="s">
        <v>1305</v>
      </c>
    </row>
    <row r="133" customFormat="false" ht="17.15" hidden="false" customHeight="false" outlineLevel="0" collapsed="false">
      <c r="A133" s="6" t="s">
        <v>16</v>
      </c>
      <c r="B133" s="6" t="s">
        <v>17</v>
      </c>
      <c r="C133" s="23" t="s">
        <v>542</v>
      </c>
      <c r="D133" s="23" t="s">
        <v>543</v>
      </c>
      <c r="E133" s="23" t="s">
        <v>631</v>
      </c>
      <c r="F133" s="23" t="s">
        <v>632</v>
      </c>
      <c r="G133" s="23" t="s">
        <v>633</v>
      </c>
      <c r="H133" s="23" t="s">
        <v>634</v>
      </c>
      <c r="I133" s="23" t="s">
        <v>635</v>
      </c>
      <c r="J133" s="23" t="s">
        <v>636</v>
      </c>
      <c r="K133" s="23" t="s">
        <v>637</v>
      </c>
      <c r="L133" s="23" t="s">
        <v>638</v>
      </c>
      <c r="M133" s="23" t="s">
        <v>639</v>
      </c>
      <c r="N133" s="23" t="s">
        <v>640</v>
      </c>
      <c r="O133" s="23" t="s">
        <v>641</v>
      </c>
      <c r="P133" s="6" t="s">
        <v>23</v>
      </c>
      <c r="R133" s="23" t="n">
        <v>2023</v>
      </c>
      <c r="S133" s="23" t="n">
        <v>2024</v>
      </c>
      <c r="T133" s="23" t="n">
        <v>2025</v>
      </c>
      <c r="U133" s="23" t="n">
        <v>2026</v>
      </c>
      <c r="V133" s="23" t="n">
        <v>2027</v>
      </c>
      <c r="W133" s="23" t="n">
        <v>2028</v>
      </c>
      <c r="X133" s="23" t="n">
        <v>2029</v>
      </c>
      <c r="Y133" s="23" t="n">
        <v>2030</v>
      </c>
      <c r="Z133" s="23" t="n">
        <v>2031</v>
      </c>
      <c r="AA133" s="23" t="n">
        <v>2032</v>
      </c>
    </row>
    <row r="134" customFormat="false" ht="17.15" hidden="false" customHeight="false" outlineLevel="0" collapsed="false">
      <c r="A134" s="1" t="s">
        <v>642</v>
      </c>
    </row>
    <row r="135" customFormat="false" ht="17.15" hidden="false" customHeight="false" outlineLevel="0" collapsed="false">
      <c r="A135" s="5" t="s">
        <v>643</v>
      </c>
      <c r="B135" s="0" t="s">
        <v>153</v>
      </c>
      <c r="H135" s="36" t="n">
        <f aca="false">(pace_A*pace_x)</f>
        <v>3733</v>
      </c>
      <c r="I135" s="36" t="n">
        <f aca="false">(pace_A*pace_x)</f>
        <v>3733</v>
      </c>
      <c r="J135" s="36" t="n">
        <f aca="false">(pace_A*pace_x)</f>
        <v>3733</v>
      </c>
      <c r="K135" s="36" t="n">
        <f aca="false">(pace_A*pace_x)+(Sens!$J$136*tg-(pace_A*pace_x))*1/3</f>
        <v>2640.26141666667</v>
      </c>
      <c r="L135" s="36" t="n">
        <f aca="false">(pace_A*pace_x)+(Sens!$J$136*tg-(pace_A*pace_x))*2/3</f>
        <v>1547.52283333333</v>
      </c>
      <c r="M135" s="36" t="n">
        <f aca="false">(pace_A*pace_x)+(Sens!$J$136*tg-(pace_A*pace_x))*3/3</f>
        <v>454.78425</v>
      </c>
      <c r="P135" s="5" t="s">
        <v>644</v>
      </c>
    </row>
    <row r="136" customFormat="false" ht="17.15" hidden="false" customHeight="false" outlineLevel="0" collapsed="false">
      <c r="A136" s="15" t="s">
        <v>645</v>
      </c>
      <c r="B136" s="14" t="s">
        <v>138</v>
      </c>
      <c r="C136" s="37" t="n">
        <f aca="false">mw_ye24</f>
        <v>360</v>
      </c>
      <c r="D136" s="37" t="n">
        <f aca="false">mw_ye25</f>
        <v>1440</v>
      </c>
      <c r="E136" s="37" t="n">
        <f aca="false">mw_q3</f>
        <v>3027.225</v>
      </c>
      <c r="F136" s="37" t="n">
        <f aca="false">Sens!$E$136+(pace_A*pace_x)*0.25</f>
        <v>3960.475</v>
      </c>
      <c r="G136" s="37" t="n">
        <f aca="false">Sens!$F$136</f>
        <v>3960.475</v>
      </c>
      <c r="H136" s="37" t="n">
        <f aca="false">Sens!$G$136+Sens!$H$135</f>
        <v>7693.475</v>
      </c>
      <c r="I136" s="37" t="n">
        <f aca="false">Sens!$H$136+Sens!$I$135</f>
        <v>11426.475</v>
      </c>
      <c r="J136" s="37" t="n">
        <f aca="false">Sens!$I$136+Sens!$J$135</f>
        <v>15159.475</v>
      </c>
      <c r="K136" s="37" t="n">
        <f aca="false">Sens!$J$136+Sens!$K$135</f>
        <v>17799.7364166667</v>
      </c>
      <c r="L136" s="37" t="n">
        <f aca="false">Sens!$K$136+Sens!$L$135</f>
        <v>19347.25925</v>
      </c>
      <c r="M136" s="37" t="n">
        <f aca="false">Sens!$L$136+Sens!$M$135</f>
        <v>19802.0435</v>
      </c>
      <c r="N136" s="37" t="n">
        <f aca="false">mw_ye24+(mw_ye25-mw_ye24)*0.75</f>
        <v>1170</v>
      </c>
      <c r="O136" s="37" t="n">
        <f aca="false">mw_ye25</f>
        <v>1440</v>
      </c>
      <c r="P136" s="5" t="s">
        <v>646</v>
      </c>
    </row>
    <row r="137" customFormat="false" ht="17.15" hidden="false" customHeight="false" outlineLevel="0" collapsed="false">
      <c r="A137" s="5" t="s">
        <v>647</v>
      </c>
      <c r="B137" s="0" t="s">
        <v>138</v>
      </c>
      <c r="C137" s="36" t="n">
        <f aca="false">(mw_ye23+mw_ye24)/2</f>
        <v>240</v>
      </c>
      <c r="D137" s="36" t="n">
        <f aca="false">(Sens!$C$136+Sens!$D$136)/2</f>
        <v>900</v>
      </c>
      <c r="E137" s="36" t="n">
        <f aca="false">(Sens!$D$136+Sens!$E$136)/2</f>
        <v>2233.6125</v>
      </c>
      <c r="F137" s="36" t="n">
        <f aca="false">(Sens!$E$136+Sens!$F$136)/2</f>
        <v>3493.85</v>
      </c>
      <c r="G137" s="36" t="n">
        <f aca="false">Sens!$E$137*0.75+Sens!$F$137*0.25</f>
        <v>2548.671875</v>
      </c>
      <c r="H137" s="36" t="n">
        <f aca="false">(Sens!$G$136+Sens!$H$136)/2</f>
        <v>5826.975</v>
      </c>
      <c r="I137" s="36" t="n">
        <f aca="false">(Sens!$H$136+Sens!$I$136)/2</f>
        <v>9559.975</v>
      </c>
      <c r="J137" s="36" t="n">
        <f aca="false">(Sens!$I$136+Sens!$J$136)/2</f>
        <v>13292.975</v>
      </c>
      <c r="K137" s="36" t="n">
        <f aca="false">(Sens!$J$136+Sens!$K$136)/2</f>
        <v>16479.6057083333</v>
      </c>
      <c r="L137" s="36" t="n">
        <f aca="false">(Sens!$K$136+Sens!$L$136)/2</f>
        <v>18573.4978333333</v>
      </c>
      <c r="M137" s="36" t="n">
        <f aca="false">(Sens!$L$136+Sens!$M$136)/2</f>
        <v>19574.651375</v>
      </c>
      <c r="N137" s="36" t="n">
        <f aca="false">(Sens!$C$136+Sens!$N$136)/2</f>
        <v>765</v>
      </c>
      <c r="O137" s="36" t="n">
        <f aca="false">(Sens!$N$136+Sens!$O$136)/2</f>
        <v>1305</v>
      </c>
    </row>
    <row r="138" customFormat="false" ht="15" hidden="false" customHeight="false" outlineLevel="0" collapsed="false">
      <c r="A138" s="5" t="s">
        <v>648</v>
      </c>
      <c r="B138" s="5" t="s">
        <v>132</v>
      </c>
      <c r="C138" s="38" t="n">
        <v>1</v>
      </c>
      <c r="D138" s="38" t="n">
        <v>1</v>
      </c>
      <c r="E138" s="38" t="n">
        <v>0.75</v>
      </c>
      <c r="F138" s="38" t="n">
        <v>0.25</v>
      </c>
      <c r="G138" s="38" t="n">
        <v>1</v>
      </c>
      <c r="H138" s="38" t="n">
        <v>1</v>
      </c>
      <c r="I138" s="38" t="n">
        <v>1</v>
      </c>
      <c r="J138" s="38" t="n">
        <v>1</v>
      </c>
      <c r="K138" s="38" t="n">
        <v>1</v>
      </c>
      <c r="L138" s="38" t="n">
        <v>1</v>
      </c>
      <c r="M138" s="38" t="n">
        <v>1</v>
      </c>
      <c r="N138" s="38" t="n">
        <v>0.75</v>
      </c>
      <c r="O138" s="38" t="n">
        <v>0.25</v>
      </c>
    </row>
    <row r="139" customFormat="false" ht="17.15" hidden="false" customHeight="false" outlineLevel="0" collapsed="false">
      <c r="A139" s="5" t="s">
        <v>649</v>
      </c>
      <c r="B139" s="0" t="s">
        <v>138</v>
      </c>
      <c r="C139" s="36" t="n">
        <f aca="false">Sens!$C$136-mw_ye23</f>
        <v>240</v>
      </c>
      <c r="D139" s="36" t="n">
        <f aca="false">Sens!$D$136-Sens!$C$136</f>
        <v>1080</v>
      </c>
      <c r="E139" s="36" t="n">
        <f aca="false">Sens!$E$136-Sens!$D$136</f>
        <v>1587.225</v>
      </c>
      <c r="F139" s="36" t="n">
        <f aca="false">Sens!$F$136-Sens!$E$136</f>
        <v>933.25</v>
      </c>
      <c r="G139" s="36" t="n">
        <f aca="false">Sens!$E$139+Sens!$F$139</f>
        <v>2520.475</v>
      </c>
      <c r="H139" s="36" t="n">
        <f aca="false">Sens!$H$136-Sens!$G$136</f>
        <v>3733</v>
      </c>
      <c r="I139" s="36" t="n">
        <f aca="false">Sens!$I$136-Sens!$H$136</f>
        <v>3733</v>
      </c>
      <c r="J139" s="36" t="n">
        <f aca="false">Sens!$J$136-Sens!$I$136</f>
        <v>3733</v>
      </c>
      <c r="K139" s="36" t="n">
        <f aca="false">Sens!$K$136-Sens!$J$136</f>
        <v>2640.26141666667</v>
      </c>
      <c r="L139" s="36" t="n">
        <f aca="false">Sens!$L$136-Sens!$K$136</f>
        <v>1547.52283333333</v>
      </c>
      <c r="M139" s="36" t="n">
        <f aca="false">Sens!$M$136-Sens!$L$136</f>
        <v>454.784250000001</v>
      </c>
      <c r="N139" s="36" t="n">
        <f aca="false">Sens!$N$136-Sens!$C$136</f>
        <v>810</v>
      </c>
      <c r="O139" s="36" t="n">
        <f aca="false">Sens!$O$136-Sens!$N$136</f>
        <v>270</v>
      </c>
    </row>
    <row r="140" customFormat="false" ht="17.15" hidden="false" customHeight="false" outlineLevel="0" collapsed="false">
      <c r="A140" s="5" t="s">
        <v>650</v>
      </c>
      <c r="B140" s="0" t="s">
        <v>138</v>
      </c>
      <c r="C140" s="36" t="n">
        <f aca="false">Sens!$C$139/ext_sh</f>
        <v>300</v>
      </c>
      <c r="D140" s="36" t="n">
        <f aca="false">Sens!$D$139/ext_sh</f>
        <v>1350</v>
      </c>
      <c r="E140" s="36" t="n">
        <f aca="false">Sens!$E$139/ext_sh</f>
        <v>1984.03125</v>
      </c>
      <c r="F140" s="36" t="n">
        <f aca="false">Sens!$F$139/ext_sh</f>
        <v>1166.5625</v>
      </c>
      <c r="G140" s="36" t="n">
        <f aca="false">Sens!$G$139/ext_sh</f>
        <v>3150.59375</v>
      </c>
      <c r="H140" s="36" t="n">
        <f aca="false">Sens!$H$139/ext_sh</f>
        <v>4666.25</v>
      </c>
      <c r="I140" s="36" t="n">
        <f aca="false">Sens!$I$139/ext_sh</f>
        <v>4666.25</v>
      </c>
      <c r="J140" s="36" t="n">
        <f aca="false">Sens!$J$139/ext_sh</f>
        <v>4666.25</v>
      </c>
      <c r="K140" s="36" t="n">
        <f aca="false">Sens!$K$139/ext_sh</f>
        <v>3300.32677083333</v>
      </c>
      <c r="L140" s="36" t="n">
        <f aca="false">Sens!$L$139/ext_sh</f>
        <v>1934.40354166667</v>
      </c>
      <c r="M140" s="36" t="n">
        <f aca="false">Sens!$M$139/ext_sh</f>
        <v>568.480312500001</v>
      </c>
      <c r="N140" s="36" t="n">
        <f aca="false">Sens!$N$139/ext_sh</f>
        <v>1012.5</v>
      </c>
      <c r="O140" s="36" t="n">
        <f aca="false">Sens!$O$139/ext_sh</f>
        <v>337.5</v>
      </c>
      <c r="P140" s="8" t="s">
        <v>651</v>
      </c>
      <c r="R140" s="36" t="n">
        <f aca="false">mw_ye23/ext_sh</f>
        <v>150</v>
      </c>
      <c r="S140" s="36" t="n">
        <f aca="false">Sens!$C$140</f>
        <v>300</v>
      </c>
      <c r="T140" s="36" t="n">
        <f aca="false">Sens!$D$140</f>
        <v>1350</v>
      </c>
      <c r="U140" s="36" t="n">
        <f aca="false">Sens!$G$140</f>
        <v>3150.59375</v>
      </c>
      <c r="V140" s="36" t="n">
        <f aca="false">Sens!$H$140</f>
        <v>4666.25</v>
      </c>
      <c r="W140" s="36" t="n">
        <f aca="false">Sens!$I$140</f>
        <v>4666.25</v>
      </c>
      <c r="X140" s="36" t="n">
        <f aca="false">Sens!$J$140</f>
        <v>4666.25</v>
      </c>
      <c r="Y140" s="36" t="n">
        <f aca="false">Sens!$K$140</f>
        <v>3300.32677083333</v>
      </c>
      <c r="Z140" s="36" t="n">
        <f aca="false">Sens!$L$140</f>
        <v>1934.40354166667</v>
      </c>
      <c r="AA140" s="36" t="n">
        <f aca="false">Sens!$M$140</f>
        <v>568.480312500001</v>
      </c>
    </row>
    <row r="141" customFormat="false" ht="17.15" hidden="false" customHeight="false" outlineLevel="0" collapsed="false">
      <c r="A141" s="1" t="s">
        <v>652</v>
      </c>
    </row>
    <row r="142" customFormat="false" ht="17.15" hidden="false" customHeight="false" outlineLevel="0" collapsed="false">
      <c r="A142" s="0" t="s">
        <v>653</v>
      </c>
      <c r="B142" s="0" t="s">
        <v>56</v>
      </c>
      <c r="F142" s="22" t="n">
        <f aca="false">na_vr26</f>
        <v>0</v>
      </c>
      <c r="G142" s="22" t="n">
        <f aca="false">na_vr26</f>
        <v>0</v>
      </c>
      <c r="H142" s="22" t="n">
        <f aca="false">na_vr27</f>
        <v>0.5</v>
      </c>
      <c r="I142" s="22" t="n">
        <f aca="false">na_vr28</f>
        <v>1</v>
      </c>
      <c r="J142" s="22" t="n">
        <f aca="false">na_vr28</f>
        <v>1</v>
      </c>
      <c r="K142" s="22" t="n">
        <f aca="false">na_vr28</f>
        <v>1</v>
      </c>
      <c r="L142" s="22" t="n">
        <f aca="false">na_vr28</f>
        <v>1</v>
      </c>
      <c r="M142" s="22" t="n">
        <f aca="false">na_vr28</f>
        <v>1</v>
      </c>
    </row>
    <row r="143" customFormat="false" ht="17.15" hidden="false" customHeight="false" outlineLevel="0" collapsed="false">
      <c r="A143" s="5" t="s">
        <v>654</v>
      </c>
      <c r="B143" s="0" t="s">
        <v>187</v>
      </c>
      <c r="F143" s="21" t="n">
        <f aca="false">cust_sh*tk_he_gb300*cf_chip+(1-cust_sh)*((1-Sens!$F$142)*tk_he_gb300+Sens!$F$142*tk_he_vr200)</f>
        <v>8.76356085669863</v>
      </c>
      <c r="G143" s="21" t="n">
        <f aca="false">cust_sh*tk_he_gb300*cf_chip+(1-cust_sh)*((1-Sens!$G$142)*tk_he_gb300+Sens!$G$142*tk_he_vr200)</f>
        <v>8.76356085669863</v>
      </c>
      <c r="H143" s="21" t="n">
        <f aca="false">cust_sh*tk_he_gb300*cf_chip+(1-cust_sh)*((1-Sens!$H$142)*tk_he_gb300+Sens!$H$142*tk_he_vr200)</f>
        <v>9.09832585731713</v>
      </c>
      <c r="I143" s="21" t="n">
        <f aca="false">cust_sh*tk_he_gb300*cf_chip+(1-cust_sh)*((1-Sens!$I$142)*tk_he_gb300+Sens!$I$142*tk_he_vr200)</f>
        <v>9.43309085793563</v>
      </c>
      <c r="J143" s="21" t="n">
        <f aca="false">cust_sh*tk_he_gb300*cf_chip+(1-cust_sh)*((1-Sens!$J$142)*tk_he_gb300+Sens!$J$142*tk_he_vr200)</f>
        <v>9.43309085793563</v>
      </c>
      <c r="K143" s="21" t="n">
        <f aca="false">cust_sh*tk_he_gb300*cf_chip+(1-cust_sh)*((1-Sens!$K$142)*tk_he_gb300+Sens!$K$142*tk_he_vr200)</f>
        <v>9.43309085793563</v>
      </c>
      <c r="L143" s="21" t="n">
        <f aca="false">cust_sh*tk_he_gb300*cf_chip+(1-cust_sh)*((1-Sens!$L$142)*tk_he_gb300+Sens!$L$142*tk_he_vr200)</f>
        <v>9.43309085793563</v>
      </c>
      <c r="M143" s="21" t="n">
        <f aca="false">cust_sh*tk_he_gb300*cf_chip+(1-cust_sh)*((1-Sens!$M$142)*tk_he_gb300+Sens!$M$142*tk_he_vr200)</f>
        <v>9.43309085793563</v>
      </c>
    </row>
    <row r="144" customFormat="false" ht="17.15" hidden="false" customHeight="false" outlineLevel="0" collapsed="false">
      <c r="A144" s="5" t="s">
        <v>655</v>
      </c>
      <c r="B144" s="0" t="s">
        <v>187</v>
      </c>
      <c r="F144" s="21" t="n">
        <f aca="false">cust_sh*tk_ox_gb300+(1-cust_sh)*((1-Sens!$F$142)*tk_ox_gb300+Sens!$F$142*tk_ox_vr200)</f>
        <v>1.98263481314457</v>
      </c>
      <c r="G144" s="21" t="n">
        <f aca="false">cust_sh*tk_ox_gb300+(1-cust_sh)*((1-Sens!$G$142)*tk_ox_gb300+Sens!$G$142*tk_ox_vr200)</f>
        <v>1.98263481314457</v>
      </c>
      <c r="H144" s="21" t="n">
        <f aca="false">cust_sh*tk_ox_gb300+(1-cust_sh)*((1-Sens!$H$142)*tk_ox_gb300+Sens!$H$142*tk_ox_vr200)</f>
        <v>2.01034999693694</v>
      </c>
      <c r="I144" s="21" t="n">
        <f aca="false">cust_sh*tk_ox_gb300+(1-cust_sh)*((1-Sens!$I$142)*tk_ox_gb300+Sens!$I$142*tk_ox_vr200)</f>
        <v>2.0380651807293</v>
      </c>
      <c r="J144" s="21" t="n">
        <f aca="false">cust_sh*tk_ox_gb300+(1-cust_sh)*((1-Sens!$J$142)*tk_ox_gb300+Sens!$J$142*tk_ox_vr200)</f>
        <v>2.0380651807293</v>
      </c>
      <c r="K144" s="21" t="n">
        <f aca="false">cust_sh*tk_ox_gb300+(1-cust_sh)*((1-Sens!$K$142)*tk_ox_gb300+Sens!$K$142*tk_ox_vr200)</f>
        <v>2.0380651807293</v>
      </c>
      <c r="L144" s="21" t="n">
        <f aca="false">cust_sh*tk_ox_gb300+(1-cust_sh)*((1-Sens!$L$142)*tk_ox_gb300+Sens!$L$142*tk_ox_vr200)</f>
        <v>2.0380651807293</v>
      </c>
      <c r="M144" s="21" t="n">
        <f aca="false">cust_sh*tk_ox_gb300+(1-cust_sh)*((1-Sens!$M$142)*tk_ox_gb300+Sens!$M$142*tk_ox_vr200)</f>
        <v>2.0380651807293</v>
      </c>
    </row>
    <row r="145" customFormat="false" ht="17.15" hidden="false" customHeight="false" outlineLevel="0" collapsed="false">
      <c r="A145" s="5" t="s">
        <v>656</v>
      </c>
      <c r="B145" s="0" t="s">
        <v>206</v>
      </c>
      <c r="F145" s="21" t="n">
        <f aca="false">cust_sh*tk_cx_gb300*cf_cx+(1-cust_sh)*((1-Sens!$F$142)*tk_cx_gb300+Sens!$F$142*tk_cx_vr200)</f>
        <v>25.95096532</v>
      </c>
      <c r="G145" s="21" t="n">
        <f aca="false">cust_sh*tk_cx_gb300*cf_cx+(1-cust_sh)*((1-Sens!$G$142)*tk_cx_gb300+Sens!$G$142*tk_cx_vr200)</f>
        <v>25.95096532</v>
      </c>
      <c r="H145" s="21" t="n">
        <f aca="false">cust_sh*tk_cx_gb300*cf_cx+(1-cust_sh)*((1-Sens!$H$142)*tk_cx_gb300+Sens!$H$142*tk_cx_vr200)</f>
        <v>27.28824732</v>
      </c>
      <c r="I145" s="21" t="n">
        <f aca="false">cust_sh*tk_cx_gb300*cf_cx+(1-cust_sh)*((1-Sens!$I$142)*tk_cx_gb300+Sens!$I$142*tk_cx_vr200)</f>
        <v>28.62552932</v>
      </c>
      <c r="J145" s="21" t="n">
        <f aca="false">cust_sh*tk_cx_gb300*cf_cx+(1-cust_sh)*((1-Sens!$J$142)*tk_cx_gb300+Sens!$J$142*tk_cx_vr200)</f>
        <v>28.62552932</v>
      </c>
      <c r="K145" s="21" t="n">
        <f aca="false">cust_sh*tk_cx_gb300*cf_cx+(1-cust_sh)*((1-Sens!$K$142)*tk_cx_gb300+Sens!$K$142*tk_cx_vr200)</f>
        <v>28.62552932</v>
      </c>
      <c r="L145" s="21" t="n">
        <f aca="false">cust_sh*tk_cx_gb300*cf_cx+(1-cust_sh)*((1-Sens!$L$142)*tk_cx_gb300+Sens!$L$142*tk_cx_vr200)</f>
        <v>28.62552932</v>
      </c>
      <c r="M145" s="21" t="n">
        <f aca="false">cust_sh*tk_cx_gb300*cf_cx+(1-cust_sh)*((1-Sens!$M$142)*tk_cx_gb300+Sens!$M$142*tk_cx_vr200)</f>
        <v>28.62552932</v>
      </c>
    </row>
    <row r="146" customFormat="false" ht="17.15" hidden="false" customHeight="false" outlineLevel="0" collapsed="false">
      <c r="A146" s="5" t="s">
        <v>657</v>
      </c>
      <c r="B146" s="0" t="s">
        <v>138</v>
      </c>
      <c r="E146" s="36" t="n">
        <f aca="false">Sens!$E$136-mw_open</f>
        <v>947.225</v>
      </c>
      <c r="F146" s="36" t="n">
        <f aca="false">Sens!$F$136-mw_open</f>
        <v>1880.475</v>
      </c>
      <c r="G146" s="36" t="n">
        <f aca="false">Sens!$F$146</f>
        <v>1880.475</v>
      </c>
      <c r="H146" s="36" t="n">
        <f aca="false">Sens!$H$136-mw_open</f>
        <v>5613.475</v>
      </c>
      <c r="I146" s="36" t="n">
        <f aca="false">Sens!$I$136-mw_open</f>
        <v>9346.475</v>
      </c>
      <c r="J146" s="36" t="n">
        <f aca="false">Sens!$J$136-mw_open</f>
        <v>13079.475</v>
      </c>
      <c r="K146" s="36" t="n">
        <f aca="false">Sens!$K$136-mw_open</f>
        <v>15719.7364166667</v>
      </c>
      <c r="L146" s="36" t="n">
        <f aca="false">Sens!$L$136-mw_open</f>
        <v>17267.25925</v>
      </c>
      <c r="M146" s="36" t="n">
        <f aca="false">Sens!$M$136-mw_open</f>
        <v>17722.0435</v>
      </c>
    </row>
    <row r="147" customFormat="false" ht="17.15" hidden="false" customHeight="false" outlineLevel="0" collapsed="false">
      <c r="A147" s="0" t="s">
        <v>658</v>
      </c>
      <c r="B147" s="0" t="s">
        <v>659</v>
      </c>
      <c r="E147" s="36" t="n">
        <f aca="false">Sens!$E$146*Sens!$F$143</f>
        <v>8301.06393248636</v>
      </c>
      <c r="F147" s="36" t="n">
        <f aca="false">Sens!$E$147+Sens!$F$139*Sens!$F$143</f>
        <v>16479.6571020004</v>
      </c>
      <c r="G147" s="36" t="n">
        <f aca="false">Sens!$F$147</f>
        <v>16479.6571020004</v>
      </c>
      <c r="H147" s="36" t="n">
        <f aca="false">Sens!$G$147+Sens!$H$139*Sens!$H$143</f>
        <v>50443.7075273652</v>
      </c>
      <c r="I147" s="36" t="n">
        <f aca="false">Sens!$H$147+Sens!$I$139*Sens!$I$143</f>
        <v>85657.4357000389</v>
      </c>
      <c r="J147" s="36" t="n">
        <f aca="false">Sens!$I$147+Sens!$J$139*Sens!$J$143</f>
        <v>120871.163872713</v>
      </c>
      <c r="K147" s="36" t="n">
        <f aca="false">Sens!$J$147+Sens!$K$139*Sens!$K$143</f>
        <v>145776.989704831</v>
      </c>
      <c r="L147" s="36" t="n">
        <f aca="false">Sens!$K$147+Sens!$L$139*Sens!$L$143</f>
        <v>160374.913196394</v>
      </c>
      <c r="M147" s="36" t="n">
        <f aca="false">Sens!$L$147+Sens!$M$139*Sens!$M$143</f>
        <v>164664.934347403</v>
      </c>
    </row>
    <row r="148" customFormat="false" ht="17.15" hidden="false" customHeight="false" outlineLevel="0" collapsed="false">
      <c r="A148" s="0" t="s">
        <v>660</v>
      </c>
      <c r="B148" s="0" t="s">
        <v>659</v>
      </c>
      <c r="E148" s="36" t="n">
        <f aca="false">Sens!$E$146*Sens!$F$144</f>
        <v>1878.00126088087</v>
      </c>
      <c r="F148" s="36" t="n">
        <f aca="false">Sens!$E$148+Sens!$F$139*Sens!$F$144</f>
        <v>3728.29520024804</v>
      </c>
      <c r="G148" s="36" t="n">
        <f aca="false">Sens!$F$148</f>
        <v>3728.29520024804</v>
      </c>
      <c r="H148" s="36" t="n">
        <f aca="false">Sens!$G$148+Sens!$H$139*Sens!$H$144</f>
        <v>11232.9317388136</v>
      </c>
      <c r="I148" s="36" t="n">
        <f aca="false">Sens!$H$148+Sens!$I$139*Sens!$I$144</f>
        <v>18841.0290584761</v>
      </c>
      <c r="J148" s="36" t="n">
        <f aca="false">Sens!$I$148+Sens!$J$139*Sens!$J$144</f>
        <v>26449.1263781386</v>
      </c>
      <c r="K148" s="36" t="n">
        <f aca="false">Sens!$J$148+Sens!$K$139*Sens!$K$144</f>
        <v>31830.1512394699</v>
      </c>
      <c r="L148" s="36" t="n">
        <f aca="false">Sens!$K$148+Sens!$L$139*Sens!$L$144</f>
        <v>34984.1036424701</v>
      </c>
      <c r="M148" s="36" t="n">
        <f aca="false">Sens!$L$148+Sens!$M$139*Sens!$M$144</f>
        <v>35910.9835871392</v>
      </c>
    </row>
    <row r="149" customFormat="false" ht="17.15" hidden="false" customHeight="false" outlineLevel="0" collapsed="false">
      <c r="A149" s="5" t="s">
        <v>661</v>
      </c>
      <c r="B149" s="0" t="s">
        <v>187</v>
      </c>
      <c r="F149" s="21" t="n">
        <f aca="false">IF(Sens!$F$146&gt;0,Sens!$F$147/Sens!$F$146,Sens!$F$143)</f>
        <v>8.76356085669863</v>
      </c>
      <c r="G149" s="21" t="n">
        <f aca="false">IF(Sens!$G$146&gt;0,Sens!$G$147/Sens!$G$146,Sens!$G$143)</f>
        <v>8.76356085669863</v>
      </c>
      <c r="H149" s="21" t="n">
        <f aca="false">IF(Sens!$H$146&gt;0,Sens!$H$147/Sens!$H$146,Sens!$H$143)</f>
        <v>8.98618191536708</v>
      </c>
      <c r="I149" s="21" t="n">
        <f aca="false">IF(Sens!$I$146&gt;0,Sens!$I$147/Sens!$I$146,Sens!$I$143)</f>
        <v>9.16467820221409</v>
      </c>
      <c r="J149" s="21" t="n">
        <f aca="false">IF(Sens!$J$146&gt;0,Sens!$J$147/Sens!$J$146,Sens!$J$143)</f>
        <v>9.24128559232787</v>
      </c>
      <c r="K149" s="21" t="n">
        <f aca="false">IF(Sens!$K$146&gt;0,Sens!$K$147/Sens!$K$146,Sens!$K$143)</f>
        <v>9.27350089345473</v>
      </c>
      <c r="L149" s="21" t="n">
        <f aca="false">IF(Sens!$L$146&gt;0,Sens!$L$147/Sens!$L$146,Sens!$L$143)</f>
        <v>9.28780363313271</v>
      </c>
      <c r="M149" s="21" t="n">
        <f aca="false">IF(Sens!$M$146&gt;0,Sens!$M$147/Sens!$M$146,Sens!$M$143)</f>
        <v>9.29153200348496</v>
      </c>
    </row>
    <row r="150" customFormat="false" ht="17.15" hidden="false" customHeight="false" outlineLevel="0" collapsed="false">
      <c r="A150" s="5" t="s">
        <v>662</v>
      </c>
      <c r="B150" s="0" t="s">
        <v>187</v>
      </c>
      <c r="F150" s="21" t="n">
        <f aca="false">IF(Sens!$F$146&gt;0,Sens!$F$148/Sens!$F$146,Sens!$F$144)</f>
        <v>1.98263481314457</v>
      </c>
      <c r="G150" s="21" t="n">
        <f aca="false">IF(Sens!$G$146&gt;0,Sens!$G$148/Sens!$G$146,Sens!$G$144)</f>
        <v>1.98263481314457</v>
      </c>
      <c r="H150" s="21" t="n">
        <f aca="false">IF(Sens!$H$146&gt;0,Sens!$H$148/Sens!$H$146,Sens!$H$144)</f>
        <v>2.00106560353678</v>
      </c>
      <c r="I150" s="21" t="n">
        <f aca="false">IF(Sens!$I$146&gt;0,Sens!$I$148/Sens!$I$146,Sens!$I$144)</f>
        <v>2.01584330546822</v>
      </c>
      <c r="J150" s="21" t="n">
        <f aca="false">IF(Sens!$J$146&gt;0,Sens!$J$148/Sens!$J$146,Sens!$J$144)</f>
        <v>2.02218562886802</v>
      </c>
      <c r="K150" s="21" t="n">
        <f aca="false">IF(Sens!$K$146&gt;0,Sens!$K$148/Sens!$K$146,Sens!$K$144)</f>
        <v>2.0248527326274</v>
      </c>
      <c r="L150" s="21" t="n">
        <f aca="false">IF(Sens!$L$146&gt;0,Sens!$L$148/Sens!$L$146,Sens!$L$144)</f>
        <v>2.02603685599208</v>
      </c>
      <c r="M150" s="21" t="n">
        <f aca="false">IF(Sens!$M$146&gt;0,Sens!$M$148/Sens!$M$146,Sens!$M$144)</f>
        <v>2.02634552765539</v>
      </c>
    </row>
    <row r="151" customFormat="false" ht="17.15" hidden="false" customHeight="false" outlineLevel="0" collapsed="false">
      <c r="A151" s="15" t="s">
        <v>663</v>
      </c>
      <c r="B151" s="14" t="s">
        <v>187</v>
      </c>
      <c r="C151" s="14"/>
      <c r="D151" s="14"/>
      <c r="E151" s="14"/>
      <c r="F151" s="39" t="n">
        <f aca="false">Sens!$F$149*k_A</f>
        <v>13.3060142652009</v>
      </c>
      <c r="G151" s="39" t="n">
        <f aca="false">Sens!$G$149*k_A</f>
        <v>13.3060142652009</v>
      </c>
      <c r="H151" s="39" t="n">
        <f aca="false">Sens!$H$149*k_A</f>
        <v>13.6440274348261</v>
      </c>
      <c r="I151" s="39" t="n">
        <f aca="false">Sens!$I$149*k_A</f>
        <v>13.9150444538106</v>
      </c>
      <c r="J151" s="39" t="n">
        <f aca="false">Sens!$J$149*k_A</f>
        <v>14.0313600750909</v>
      </c>
      <c r="K151" s="39" t="n">
        <f aca="false">Sens!$K$149*k_A</f>
        <v>14.0802736689326</v>
      </c>
      <c r="L151" s="39" t="n">
        <f aca="false">Sens!$L$149*k_A</f>
        <v>14.1019900079069</v>
      </c>
      <c r="M151" s="39" t="n">
        <f aca="false">Sens!$M$149*k_A</f>
        <v>14.1076509201667</v>
      </c>
      <c r="N151" s="14"/>
      <c r="O151" s="14"/>
      <c r="P151" s="8" t="s">
        <v>664</v>
      </c>
    </row>
    <row r="152" customFormat="false" ht="17.15" hidden="false" customHeight="false" outlineLevel="0" collapsed="false">
      <c r="A152" s="5" t="s">
        <v>665</v>
      </c>
      <c r="B152" s="0" t="s">
        <v>138</v>
      </c>
      <c r="F152" s="36" t="n">
        <f aca="false">(Sens!$E$146+Sens!$F$146)/2</f>
        <v>1413.85</v>
      </c>
      <c r="H152" s="36" t="n">
        <f aca="false">(Sens!$G$146+Sens!$H$146)/2</f>
        <v>3746.975</v>
      </c>
      <c r="I152" s="36" t="n">
        <f aca="false">(Sens!$H$146+Sens!$I$146)/2</f>
        <v>7479.975</v>
      </c>
      <c r="J152" s="36" t="n">
        <f aca="false">(Sens!$I$146+Sens!$J$146)/2</f>
        <v>11212.975</v>
      </c>
      <c r="K152" s="36" t="n">
        <f aca="false">(Sens!$J$146+Sens!$K$146)/2</f>
        <v>14399.6057083333</v>
      </c>
      <c r="L152" s="36" t="n">
        <f aca="false">(Sens!$K$146+Sens!$L$146)/2</f>
        <v>16493.4978333333</v>
      </c>
      <c r="M152" s="36" t="n">
        <f aca="false">(Sens!$L$146+Sens!$M$146)/2</f>
        <v>17494.651375</v>
      </c>
    </row>
    <row r="153" customFormat="false" ht="17.15" hidden="false" customHeight="false" outlineLevel="0" collapsed="false">
      <c r="A153" s="1" t="s">
        <v>666</v>
      </c>
    </row>
    <row r="154" customFormat="false" ht="17.15" hidden="false" customHeight="false" outlineLevel="0" collapsed="false">
      <c r="A154" s="1" t="s">
        <v>667</v>
      </c>
      <c r="B154" s="8" t="s">
        <v>91</v>
      </c>
      <c r="C154" s="40" t="n">
        <f aca="false">Sens!$C$137*rpm_open*Sens!$C$138/1000</f>
        <v>2.32100535697364</v>
      </c>
      <c r="D154" s="40" t="n">
        <f aca="false">Sens!$D$137*rpm_open*Sens!$D$138/1000</f>
        <v>8.70377008865116</v>
      </c>
      <c r="E154" s="40" t="n">
        <f aca="false">Sens!$E$137*rpm_open*Sens!$E$138/1000</f>
        <v>16.2007080559478</v>
      </c>
      <c r="F154" s="40" t="n">
        <f aca="false">(mw_open*rpm_open+Sens!$F$152*Sens!$F$151)*Sens!$F$138/1000</f>
        <v>9.73202200732313</v>
      </c>
      <c r="G154" s="40" t="n">
        <f aca="false">Sens!$E$154+Sens!$F$154</f>
        <v>25.9327300632709</v>
      </c>
      <c r="H154" s="40" t="n">
        <f aca="false">(mw_open*rpm_open+Sens!$H$152*Sens!$H$151)/1000</f>
        <v>71.2392094580459</v>
      </c>
      <c r="I154" s="40" t="n">
        <f aca="false">(mw_open*rpm_open+Sens!$I$152*Sens!$I$151)/1000</f>
        <v>124.19956439883</v>
      </c>
      <c r="J154" s="40" t="n">
        <f aca="false">(mw_open*rpm_open+Sens!$J$152*Sens!$J$151)/1000</f>
        <v>177.44866949843</v>
      </c>
      <c r="K154" s="40" t="n">
        <f aca="false">(mw_open*rpm_open+Sens!$K$152*Sens!$K$151)/1000</f>
        <v>222.865768858495</v>
      </c>
      <c r="L154" s="40" t="n">
        <f aca="false">(mw_open*rpm_open+Sens!$L$152*Sens!$L$151)/1000</f>
        <v>252.70652140154</v>
      </c>
      <c r="M154" s="40" t="n">
        <f aca="false">(mw_open*rpm_open+Sens!$M$152*Sens!$M$151)/1000</f>
        <v>266.923814328953</v>
      </c>
      <c r="N154" s="40" t="n">
        <f aca="false">Sens!$N$137*rpm_open*Sens!$N$138/1000</f>
        <v>5.54865343151512</v>
      </c>
      <c r="O154" s="40" t="n">
        <f aca="false">Sens!$O$137*rpm_open*Sens!$O$138/1000</f>
        <v>3.15511665713605</v>
      </c>
      <c r="P154" s="5" t="s">
        <v>668</v>
      </c>
    </row>
    <row r="155" customFormat="false" ht="17.15" hidden="false" customHeight="false" outlineLevel="0" collapsed="false">
      <c r="A155" s="5" t="s">
        <v>669</v>
      </c>
      <c r="B155" s="0" t="s">
        <v>187</v>
      </c>
      <c r="C155" s="21" t="n">
        <f aca="false">Sens!$C$154*1000/(Sens!$C$137*Sens!$C$138)</f>
        <v>9.67085565405685</v>
      </c>
      <c r="D155" s="21" t="n">
        <f aca="false">Sens!$D$154*1000/(Sens!$D$137*Sens!$D$138)</f>
        <v>9.67085565405685</v>
      </c>
      <c r="E155" s="21" t="n">
        <f aca="false">Sens!$E$154*1000/(Sens!$E$137*Sens!$E$138)</f>
        <v>9.67085565405684</v>
      </c>
      <c r="F155" s="21" t="n">
        <f aca="false">Sens!$F$154*1000/(Sens!$F$137*Sens!$F$138)</f>
        <v>11.1418887557544</v>
      </c>
      <c r="G155" s="21" t="n">
        <f aca="false">Sens!$G$154*1000/(Sens!$G$137*Sens!$G$138)</f>
        <v>10.1749975419142</v>
      </c>
      <c r="H155" s="21" t="n">
        <f aca="false">Sens!$H$154*1000/(Sens!$H$137*Sens!$H$138)</f>
        <v>12.2257619876601</v>
      </c>
      <c r="I155" s="21" t="n">
        <f aca="false">Sens!$I$154*1000/(Sens!$I$137*Sens!$I$138)</f>
        <v>12.9916202080895</v>
      </c>
      <c r="J155" s="21" t="n">
        <f aca="false">Sens!$J$154*1000/(Sens!$J$137*Sens!$J$138)</f>
        <v>13.349056136676</v>
      </c>
      <c r="K155" s="21" t="n">
        <f aca="false">Sens!$K$154*1000/(Sens!$K$137*Sens!$K$138)</f>
        <v>13.5237318660966</v>
      </c>
      <c r="L155" s="21" t="n">
        <f aca="false">Sens!$L$154*1000/(Sens!$L$137*Sens!$L$138)</f>
        <v>13.6057582513087</v>
      </c>
      <c r="M155" s="21" t="n">
        <f aca="false">Sens!$M$154*1000/(Sens!$M$137*Sens!$M$138)</f>
        <v>13.6361976116651</v>
      </c>
      <c r="N155" s="21" t="n">
        <f aca="false">Sens!$N$154*1000/(Sens!$N$137*Sens!$N$138)</f>
        <v>9.67085565405685</v>
      </c>
      <c r="O155" s="21" t="n">
        <f aca="false">Sens!$O$154*1000/(Sens!$O$137*Sens!$O$138)</f>
        <v>9.67085565405685</v>
      </c>
    </row>
    <row r="156" customFormat="false" ht="17.15" hidden="false" customHeight="false" outlineLevel="0" collapsed="false">
      <c r="A156" s="0" t="s">
        <v>670</v>
      </c>
      <c r="B156" s="0" t="s">
        <v>91</v>
      </c>
      <c r="C156" s="40" t="n">
        <f aca="false">Sens!$C$137/ext_sh*(ox_open+rent_mw)*Sens!$C$138/1000</f>
        <v>0.642569210675032</v>
      </c>
      <c r="D156" s="40" t="n">
        <f aca="false">Sens!$D$137/ext_sh*(ox_open+rent_mw)*Sens!$D$138/1000</f>
        <v>2.40963454003137</v>
      </c>
      <c r="E156" s="40" t="n">
        <f aca="false">Sens!$E$137/ext_sh*(ox_open+rent_mw)*Sens!$E$138/1000</f>
        <v>4.48515819087152</v>
      </c>
      <c r="F156" s="40" t="n">
        <f aca="false">((mw_open*ox_open+Sens!$F$152*Sens!$F$150)/ext_sh+Sens!$F$137/ext_sh*rent_mw)*Sens!$F$138/1000</f>
        <v>2.38017635872229</v>
      </c>
      <c r="G156" s="40" t="n">
        <f aca="false">Sens!$E$156+Sens!$F$156</f>
        <v>6.86533454959381</v>
      </c>
      <c r="H156" s="40" t="n">
        <f aca="false">((mw_open*ox_open+Sens!$H$152*Sens!$H$150)/ext_sh+Sens!$H$137/ext_sh*rent_mw)*Sens!$H$138/1000</f>
        <v>16.1282159776989</v>
      </c>
      <c r="I156" s="40" t="n">
        <f aca="false">((mw_open*ox_open+Sens!$I$152*Sens!$I$150)/ext_sh+Sens!$I$137/ext_sh*rent_mw)*Sens!$I$138/1000</f>
        <v>26.7862871514582</v>
      </c>
      <c r="J156" s="40" t="n">
        <f aca="false">((mw_open*ox_open+Sens!$J$152*Sens!$J$150)/ext_sh+Sens!$J$137/ext_sh*rent_mw)*Sens!$J$138/1000</f>
        <v>37.4640391177541</v>
      </c>
      <c r="K156" s="40" t="n">
        <f aca="false">((mw_open*ox_open+Sens!$K$152*Sens!$K$150)/ext_sh+Sens!$K$137/ext_sh*rent_mw)*Sens!$K$138/1000</f>
        <v>46.576359476393</v>
      </c>
      <c r="L156" s="40" t="n">
        <f aca="false">((mw_open*ox_open+Sens!$L$152*Sens!$L$150)/ext_sh+Sens!$L$137/ext_sh*rent_mw)*Sens!$L$138/1000</f>
        <v>52.5637917160905</v>
      </c>
      <c r="M156" s="40" t="n">
        <f aca="false">((mw_open*ox_open+Sens!$M$152*Sens!$M$150)/ext_sh+Sens!$M$137/ext_sh*rent_mw)*Sens!$M$138/1000</f>
        <v>55.4231246967416</v>
      </c>
      <c r="N156" s="40" t="n">
        <f aca="false">Sens!$N$137/ext_sh*(ox_open+rent_mw)*Sens!$N$138/1000</f>
        <v>1.53614201927</v>
      </c>
      <c r="O156" s="40" t="n">
        <f aca="false">Sens!$O$137/ext_sh*(ox_open+rent_mw)*Sens!$O$138/1000</f>
        <v>0.873492520761372</v>
      </c>
    </row>
    <row r="157" customFormat="false" ht="17.15" hidden="false" customHeight="false" outlineLevel="0" collapsed="false">
      <c r="A157" s="0" t="s">
        <v>671</v>
      </c>
      <c r="B157" s="0" t="s">
        <v>91</v>
      </c>
      <c r="C157" s="40" t="n">
        <f aca="false">Q!$D$7</f>
        <v>107.556</v>
      </c>
      <c r="D157" s="40" t="n">
        <f aca="false">Q!$E$7</f>
        <v>128.725</v>
      </c>
      <c r="E157" s="40" t="n">
        <f aca="false">Q!$O$7</f>
        <v>125.803</v>
      </c>
      <c r="N157" s="40" t="n">
        <f aca="false">Q!$N$7</f>
        <v>93.146</v>
      </c>
      <c r="O157" s="40" t="n">
        <f aca="false">Q!$J$7</f>
        <v>35.579</v>
      </c>
    </row>
    <row r="158" customFormat="false" ht="17.15" hidden="false" customHeight="false" outlineLevel="0" collapsed="false">
      <c r="A158" s="1" t="s">
        <v>672</v>
      </c>
      <c r="B158" s="8" t="s">
        <v>91</v>
      </c>
      <c r="C158" s="40" t="n">
        <f aca="false">Sens!$C$157-Sens!$C$154</f>
        <v>105.234994643026</v>
      </c>
      <c r="D158" s="40" t="n">
        <f aca="false">Sens!$D$157-Sens!$D$154</f>
        <v>120.021229911349</v>
      </c>
      <c r="E158" s="40" t="n">
        <f aca="false">Sens!$E$157-Sens!$E$154</f>
        <v>109.602291944052</v>
      </c>
      <c r="F158" s="40" t="n">
        <f aca="false">Sens!$O$158*(1+Sens!$F$159)</f>
        <v>36.9796603355509</v>
      </c>
      <c r="G158" s="40" t="n">
        <f aca="false">Sens!$E$158+Sens!$F$158</f>
        <v>146.581952279603</v>
      </c>
      <c r="H158" s="40" t="n">
        <f aca="false">Sens!$G$158*(1+Sens!$H$159)</f>
        <v>164.960415168217</v>
      </c>
      <c r="I158" s="40" t="n">
        <f aca="false">Sens!$H$158*(1+Sens!$I$159)</f>
        <v>183.1478640969</v>
      </c>
      <c r="J158" s="40" t="n">
        <f aca="false">Sens!$I$158*(1+Sens!$J$159)</f>
        <v>200.570117292268</v>
      </c>
      <c r="K158" s="40" t="n">
        <f aca="false">Sens!$J$158*(1+Sens!$K$159)</f>
        <v>216.615726675649</v>
      </c>
      <c r="L158" s="40" t="n">
        <f aca="false">Sens!$K$158*(1+Sens!$L$159)</f>
        <v>233.944984809701</v>
      </c>
      <c r="M158" s="40" t="n">
        <f aca="false">Sens!$L$158*(1+Sens!$M$159)</f>
        <v>252.660583594477</v>
      </c>
      <c r="N158" s="40" t="n">
        <f aca="false">Sens!$N$157-Sens!$N$154</f>
        <v>87.5973465684849</v>
      </c>
      <c r="O158" s="40" t="n">
        <f aca="false">Sens!$O$157-Sens!$O$154</f>
        <v>32.423883342864</v>
      </c>
      <c r="P158" s="5" t="s">
        <v>673</v>
      </c>
    </row>
    <row r="159" customFormat="false" ht="17.15" hidden="false" customHeight="false" outlineLevel="0" collapsed="false">
      <c r="A159" s="0" t="s">
        <v>674</v>
      </c>
      <c r="B159" s="0" t="s">
        <v>56</v>
      </c>
      <c r="D159" s="13" t="n">
        <f aca="false">Sens!$D$158/Sens!$C$158-1</f>
        <v>0.140506827776062</v>
      </c>
      <c r="E159" s="13" t="n">
        <f aca="false">Sens!$E$158/Sens!$N$158-1</f>
        <v>0.251205615667405</v>
      </c>
      <c r="F159" s="13" t="n">
        <f aca="false">IF(awso_g0=1,Sens!$E$159,Sens!$D$159)</f>
        <v>0.140506827776062</v>
      </c>
      <c r="G159" s="13" t="n">
        <f aca="false">Sens!$G$158/Sens!$D$158-1</f>
        <v>0.221300201538284</v>
      </c>
      <c r="H159" s="13" t="n">
        <f aca="false">Sens!$F$159+(g_awso_lt-Sens!$F$159)*1/4</f>
        <v>0.125380120832046</v>
      </c>
      <c r="I159" s="13" t="n">
        <f aca="false">Sens!$F$159+(g_awso_lt-Sens!$F$159)*2/4</f>
        <v>0.110253413888031</v>
      </c>
      <c r="J159" s="13" t="n">
        <f aca="false">Sens!$F$159+(g_awso_lt-Sens!$F$159)*3/4</f>
        <v>0.0951267069440154</v>
      </c>
      <c r="K159" s="13" t="n">
        <f aca="false">Sens!$F$159+(g_awso_lt-Sens!$F$159)*4/4</f>
        <v>0.08</v>
      </c>
      <c r="L159" s="13" t="n">
        <f aca="false">g_awso_lt</f>
        <v>0.08</v>
      </c>
      <c r="M159" s="13" t="n">
        <f aca="false">g_awso_lt</f>
        <v>0.08</v>
      </c>
      <c r="P159" s="5" t="s">
        <v>675</v>
      </c>
    </row>
    <row r="160" customFormat="false" ht="17.15" hidden="false" customHeight="false" outlineLevel="0" collapsed="false">
      <c r="A160" s="1" t="s">
        <v>676</v>
      </c>
    </row>
    <row r="161" customFormat="false" ht="17.15" hidden="false" customHeight="false" outlineLevel="0" collapsed="false">
      <c r="A161" s="0" t="s">
        <v>677</v>
      </c>
      <c r="B161" s="0" t="s">
        <v>91</v>
      </c>
      <c r="F161" s="40" t="n">
        <f aca="false">cx_rt*Sens!$F$126+cx_awso*Sens!$F$158</f>
        <v>19.116380716836</v>
      </c>
    </row>
    <row r="162" customFormat="false" ht="17.15" hidden="false" customHeight="false" outlineLevel="0" collapsed="false">
      <c r="A162" s="0" t="s">
        <v>678</v>
      </c>
      <c r="B162" s="0" t="s">
        <v>56</v>
      </c>
      <c r="C162" s="13" t="n">
        <f aca="false">tk_cx_h100/(tk_cx_h100+tk_fac*(1-colo_sh))</f>
        <v>0.730756458006641</v>
      </c>
      <c r="D162" s="13" t="n">
        <f aca="false">tk_cx_h100/(tk_cx_h100+tk_fac*(1-colo_sh))</f>
        <v>0.730756458006641</v>
      </c>
      <c r="E162" s="13" t="n">
        <f aca="false">Sens!$F$162</f>
        <v>0.719122960046118</v>
      </c>
      <c r="F162" s="13" t="n">
        <f aca="false">Sens!$F$145/(Sens!$F$145+tk_fac*(1-colo_sh))</f>
        <v>0.719122960046118</v>
      </c>
      <c r="G162" s="13" t="n">
        <f aca="false">Sens!$G$145/(Sens!$G$145+tk_fac*(1-colo_sh))</f>
        <v>0.719122960046118</v>
      </c>
      <c r="H162" s="13" t="n">
        <f aca="false">Sens!$H$145/(Sens!$H$145+tk_fac*(1-colo_sh))</f>
        <v>0.729159549600796</v>
      </c>
      <c r="I162" s="13" t="n">
        <f aca="false">Sens!$I$145/(Sens!$I$145+tk_fac*(1-colo_sh))</f>
        <v>0.738503609691941</v>
      </c>
      <c r="J162" s="13" t="n">
        <f aca="false">Sens!$J$145/(Sens!$J$145+tk_fac*(1-colo_sh))</f>
        <v>0.738503609691941</v>
      </c>
      <c r="K162" s="13" t="n">
        <f aca="false">Sens!$K$145/(Sens!$K$145+tk_fac*(1-colo_sh))</f>
        <v>0.738503609691941</v>
      </c>
      <c r="L162" s="13" t="n">
        <f aca="false">Sens!$L$145/(Sens!$L$145+tk_fac*(1-colo_sh))</f>
        <v>0.738503609691941</v>
      </c>
      <c r="M162" s="13" t="n">
        <f aca="false">Sens!$M$145/(Sens!$M$145+tk_fac*(1-colo_sh))</f>
        <v>0.738503609691941</v>
      </c>
    </row>
    <row r="163" customFormat="false" ht="17.15" hidden="false" customHeight="false" outlineLevel="0" collapsed="false">
      <c r="A163" s="1" t="s">
        <v>679</v>
      </c>
      <c r="B163" s="8" t="s">
        <v>91</v>
      </c>
      <c r="C163" s="40" t="n">
        <f aca="false">Q!$D$48-cx_rt*Q!$D$16-cx_awso*Sens!$C$158</f>
        <v>25.2781053077374</v>
      </c>
      <c r="D163" s="40" t="n">
        <f aca="false">Q!$E$48-cx_rt*Q!$E$16-cx_awso*Sens!$D$158</f>
        <v>69.5686316310026</v>
      </c>
      <c r="E163" s="40" t="n">
        <f aca="false">Q!$O$48-cx_rt*Q!$O$16-cx_awso*Sens!$E$158</f>
        <v>123.196049161056</v>
      </c>
      <c r="F163" s="40" t="n">
        <f aca="false">capex_g26-Q!$O$48-Sens!$F$161</f>
        <v>28.695619283164</v>
      </c>
      <c r="G163" s="40" t="n">
        <f aca="false">Sens!$E$163+Sens!$F$163</f>
        <v>151.89166844422</v>
      </c>
      <c r="H163" s="40" t="n">
        <f aca="false">Sens!$H$140*(Sens!$H$145+tk_fac*(1-colo_sh))/1000+Sens!$H$167</f>
        <v>174.63089405695</v>
      </c>
      <c r="I163" s="40" t="n">
        <f aca="false">Sens!$I$140*(Sens!$I$145+tk_fac*(1-colo_sh))/1000+Sens!$I$167</f>
        <v>180.87098618945</v>
      </c>
      <c r="J163" s="40" t="n">
        <f aca="false">Sens!$J$140*(Sens!$J$145+tk_fac*(1-colo_sh))/1000+Sens!$J$167</f>
        <v>185.16481558745</v>
      </c>
      <c r="K163" s="40" t="n">
        <f aca="false">Sens!$K$140*(Sens!$K$145+tk_fac*(1-colo_sh))/1000+Sens!$K$167</f>
        <v>136.513371689237</v>
      </c>
      <c r="L163" s="40" t="n">
        <f aca="false">Sens!$L$140*(Sens!$L$145+tk_fac*(1-colo_sh))/1000+Sens!$L$167</f>
        <v>113.624904179024</v>
      </c>
      <c r="M163" s="40" t="n">
        <f aca="false">Sens!$M$140*(Sens!$M$145+tk_fac*(1-colo_sh))/1000+Sens!$M$167</f>
        <v>112.222580066845</v>
      </c>
      <c r="P163" s="5" t="s">
        <v>680</v>
      </c>
      <c r="R163" s="40" t="n">
        <f aca="false">Q!$C$48-cx_rt*Q!$C$16-cx_awso*(Q!$C$7-mw_ye23/2*rpm_open/1000)</f>
        <v>1.50429979529945</v>
      </c>
      <c r="S163" s="40" t="n">
        <f aca="false">Sens!$C$163</f>
        <v>25.2781053077374</v>
      </c>
      <c r="T163" s="40" t="n">
        <f aca="false">Sens!$D$163</f>
        <v>69.5686316310026</v>
      </c>
      <c r="U163" s="40" t="n">
        <f aca="false">Sens!$G$163</f>
        <v>151.89166844422</v>
      </c>
      <c r="V163" s="40" t="n">
        <f aca="false">Sens!$H$163</f>
        <v>174.63089405695</v>
      </c>
      <c r="W163" s="40" t="n">
        <f aca="false">Sens!$I$163</f>
        <v>180.87098618945</v>
      </c>
      <c r="X163" s="40" t="n">
        <f aca="false">Sens!$J$163</f>
        <v>185.16481558745</v>
      </c>
      <c r="Y163" s="40" t="n">
        <f aca="false">Sens!$K$163</f>
        <v>136.513371689237</v>
      </c>
      <c r="Z163" s="40" t="n">
        <f aca="false">Sens!$L$163</f>
        <v>113.624904179024</v>
      </c>
      <c r="AA163" s="40" t="n">
        <f aca="false">Sens!$M$163</f>
        <v>112.222580066845</v>
      </c>
    </row>
    <row r="164" customFormat="false" ht="17.15" hidden="false" customHeight="false" outlineLevel="0" collapsed="false">
      <c r="A164" s="0" t="s">
        <v>681</v>
      </c>
      <c r="B164" s="0" t="s">
        <v>91</v>
      </c>
      <c r="F164" s="40" t="n">
        <f aca="false">Sens!$F$140*(Sens!$F$145+tk_fac*(1-colo_sh))/1000</f>
        <v>42.0977004811125</v>
      </c>
    </row>
    <row r="165" customFormat="false" ht="17.15" hidden="false" customHeight="false" outlineLevel="0" collapsed="false">
      <c r="A165" s="0" t="s">
        <v>682</v>
      </c>
      <c r="B165" s="0" t="s">
        <v>91</v>
      </c>
      <c r="F165" s="40" t="n">
        <f aca="false">(capex_g26-Q!$P$48)/2-(Sens!$F$164+Sens!$F$161)</f>
        <v>0.630918802051482</v>
      </c>
      <c r="P165" s="5" t="s">
        <v>683</v>
      </c>
    </row>
    <row r="166" customFormat="false" ht="17.15" hidden="false" customHeight="false" outlineLevel="0" collapsed="false">
      <c r="A166" s="5" t="s">
        <v>684</v>
      </c>
      <c r="B166" s="0" t="s">
        <v>91</v>
      </c>
      <c r="F166" s="40" t="n">
        <f aca="false">Sens!$F$163-Sens!$F$164</f>
        <v>-13.4020811979485</v>
      </c>
    </row>
    <row r="167" customFormat="false" ht="17.15" hidden="false" customHeight="false" outlineLevel="0" collapsed="false">
      <c r="A167" s="0" t="s">
        <v>685</v>
      </c>
      <c r="B167" s="0" t="s">
        <v>91</v>
      </c>
      <c r="H167" s="40" t="n">
        <f aca="false">SUMPRODUCT(--(Sens!$R$133:$AA$133=2027-tk_life),Sens!$R$140:$AA$140)*Sens!$H$145/1000</f>
        <v>0</v>
      </c>
      <c r="I167" s="40" t="n">
        <f aca="false">SUMPRODUCT(--(Sens!$R$133:$AA$133=2028-tk_life),Sens!$R$140:$AA$140)*Sens!$I$145/1000</f>
        <v>0</v>
      </c>
      <c r="J167" s="40" t="n">
        <f aca="false">SUMPRODUCT(--(Sens!$R$133:$AA$133=2029-tk_life),Sens!$R$140:$AA$140)*Sens!$J$145/1000</f>
        <v>4.293829398</v>
      </c>
      <c r="K167" s="40" t="n">
        <f aca="false">SUMPRODUCT(--(Sens!$R$133:$AA$133=2030-tk_life),Sens!$R$140:$AA$140)*Sens!$K$145/1000</f>
        <v>8.587658796</v>
      </c>
      <c r="L167" s="40" t="n">
        <f aca="false">SUMPRODUCT(--(Sens!$R$133:$AA$133=2031-tk_life),Sens!$R$140:$AA$140)*Sens!$L$145/1000</f>
        <v>38.644464582</v>
      </c>
      <c r="M167" s="40" t="n">
        <f aca="false">SUMPRODUCT(--(Sens!$R$133:$AA$133=2032-tk_life),Sens!$R$140:$AA$140)*Sens!$M$145/1000</f>
        <v>90.1874137660337</v>
      </c>
    </row>
    <row r="168" customFormat="false" ht="17.15" hidden="false" customHeight="false" outlineLevel="0" collapsed="false">
      <c r="A168" s="0" t="s">
        <v>686</v>
      </c>
      <c r="B168" s="0" t="s">
        <v>91</v>
      </c>
      <c r="C168" s="40" t="n">
        <f aca="false">MIN(Sens!$C$163,Sens!$C$140*(tk_cx_h100+tk_fac*(1-colo_sh))/1000)</f>
        <v>11.2938642</v>
      </c>
      <c r="D168" s="40" t="n">
        <f aca="false">MIN(Sens!$D$163,Sens!$D$140*(tk_cx_h100+tk_fac*(1-colo_sh))/1000)</f>
        <v>50.8223889</v>
      </c>
      <c r="E168" s="40" t="n">
        <f aca="false">MIN(Sens!$E$163,Sens!$E$140*(Sens!$F$145+tk_fac*(1-colo_sh))/1000)</f>
        <v>71.5976669125462</v>
      </c>
      <c r="F168" s="40" t="n">
        <f aca="false">Sens!$F$163</f>
        <v>28.695619283164</v>
      </c>
      <c r="G168" s="40" t="n">
        <f aca="false">Sens!$E$168+Sens!$F$168</f>
        <v>100.29328619571</v>
      </c>
      <c r="H168" s="40" t="n">
        <f aca="false">Sens!$H$163</f>
        <v>174.63089405695</v>
      </c>
      <c r="I168" s="40" t="n">
        <f aca="false">Sens!$I$163</f>
        <v>180.87098618945</v>
      </c>
      <c r="J168" s="40" t="n">
        <f aca="false">Sens!$J$163</f>
        <v>185.16481558745</v>
      </c>
      <c r="K168" s="40" t="n">
        <f aca="false">Sens!$K$163</f>
        <v>136.513371689237</v>
      </c>
      <c r="L168" s="40" t="n">
        <f aca="false">Sens!$L$163</f>
        <v>113.624904179024</v>
      </c>
      <c r="M168" s="40" t="n">
        <f aca="false">Sens!$M$163</f>
        <v>112.222580066845</v>
      </c>
      <c r="P168" s="5" t="s">
        <v>687</v>
      </c>
      <c r="R168" s="40" t="n">
        <f aca="false">MIN(Sens!$R$163,Sens!$R$140*(tk_cx_h100+tk_fac*(1-colo_sh))/1000)</f>
        <v>1.50429979529945</v>
      </c>
      <c r="S168" s="40" t="n">
        <f aca="false">Sens!$C$168</f>
        <v>11.2938642</v>
      </c>
      <c r="T168" s="40" t="n">
        <f aca="false">Sens!$D$168</f>
        <v>50.8223889</v>
      </c>
      <c r="U168" s="40" t="n">
        <f aca="false">Sens!$G$168</f>
        <v>100.29328619571</v>
      </c>
      <c r="V168" s="40" t="n">
        <f aca="false">Sens!$H$168</f>
        <v>174.63089405695</v>
      </c>
      <c r="W168" s="40" t="n">
        <f aca="false">Sens!$I$168</f>
        <v>180.87098618945</v>
      </c>
      <c r="X168" s="40" t="n">
        <f aca="false">Sens!$J$168</f>
        <v>185.16481558745</v>
      </c>
      <c r="Y168" s="40" t="n">
        <f aca="false">Sens!$K$168</f>
        <v>136.513371689237</v>
      </c>
      <c r="Z168" s="40" t="n">
        <f aca="false">Sens!$L$168</f>
        <v>113.624904179024</v>
      </c>
      <c r="AA168" s="40" t="n">
        <f aca="false">Sens!$M$168</f>
        <v>112.222580066845</v>
      </c>
    </row>
    <row r="169" customFormat="false" ht="17.15" hidden="false" customHeight="false" outlineLevel="0" collapsed="false">
      <c r="A169" s="5" t="s">
        <v>688</v>
      </c>
      <c r="B169" s="0" t="s">
        <v>91</v>
      </c>
      <c r="C169" s="40" t="n">
        <f aca="false">Sens!$C$163-Sens!$C$168</f>
        <v>13.9842411077374</v>
      </c>
      <c r="D169" s="40" t="n">
        <f aca="false">Sens!$D$163-Sens!$D$168</f>
        <v>18.7462427310026</v>
      </c>
      <c r="E169" s="40" t="n">
        <f aca="false">Sens!$E$163-Sens!$E$168</f>
        <v>51.5983822485098</v>
      </c>
      <c r="F169" s="40" t="n">
        <f aca="false">Sens!$F$163-Sens!$F$168</f>
        <v>0</v>
      </c>
      <c r="G169" s="40" t="n">
        <f aca="false">Sens!$G$163-Sens!$G$168</f>
        <v>51.5983822485098</v>
      </c>
      <c r="H169" s="40" t="n">
        <f aca="false">Sens!$H$163-Sens!$H$168</f>
        <v>0</v>
      </c>
      <c r="I169" s="40" t="n">
        <f aca="false">Sens!$I$163-Sens!$I$168</f>
        <v>0</v>
      </c>
      <c r="J169" s="40" t="n">
        <f aca="false">Sens!$J$163-Sens!$J$168</f>
        <v>0</v>
      </c>
      <c r="K169" s="40" t="n">
        <f aca="false">Sens!$K$163-Sens!$K$168</f>
        <v>0</v>
      </c>
      <c r="L169" s="40" t="n">
        <f aca="false">Sens!$L$163-Sens!$L$168</f>
        <v>0</v>
      </c>
      <c r="M169" s="40" t="n">
        <f aca="false">Sens!$M$163-Sens!$M$168</f>
        <v>0</v>
      </c>
      <c r="P169" s="5" t="s">
        <v>689</v>
      </c>
      <c r="R169" s="40" t="n">
        <f aca="false">Sens!$R$163-Sens!$R$168</f>
        <v>0</v>
      </c>
      <c r="S169" s="40" t="n">
        <f aca="false">Sens!$S$163-Sens!$S$168</f>
        <v>13.9842411077374</v>
      </c>
      <c r="T169" s="40" t="n">
        <f aca="false">Sens!$T$163-Sens!$T$168</f>
        <v>18.7462427310026</v>
      </c>
      <c r="U169" s="40" t="n">
        <f aca="false">Sens!$U$163-Sens!$U$168</f>
        <v>51.5983822485098</v>
      </c>
      <c r="V169" s="40" t="n">
        <f aca="false">Sens!$V$163-Sens!$V$168</f>
        <v>0</v>
      </c>
      <c r="W169" s="40" t="n">
        <f aca="false">Sens!$W$163-Sens!$W$168</f>
        <v>0</v>
      </c>
      <c r="X169" s="40" t="n">
        <f aca="false">Sens!$X$163-Sens!$X$168</f>
        <v>0</v>
      </c>
      <c r="Y169" s="40" t="n">
        <f aca="false">Sens!$Y$163-Sens!$Y$168</f>
        <v>0</v>
      </c>
      <c r="Z169" s="40" t="n">
        <f aca="false">Sens!$Z$163-Sens!$Z$168</f>
        <v>0</v>
      </c>
      <c r="AA169" s="40" t="n">
        <f aca="false">Sens!$AA$163-Sens!$AA$168</f>
        <v>0</v>
      </c>
    </row>
    <row r="170" customFormat="false" ht="17.15" hidden="false" customHeight="false" outlineLevel="0" collapsed="false">
      <c r="A170" s="5" t="s">
        <v>690</v>
      </c>
      <c r="B170" s="0" t="s">
        <v>91</v>
      </c>
      <c r="R170" s="40" t="n">
        <f aca="false">Sens!$R$169*Sens!$C$162</f>
        <v>0</v>
      </c>
      <c r="S170" s="40" t="n">
        <f aca="false">Sens!$S$169*Sens!$C$162</f>
        <v>10.219074499801</v>
      </c>
      <c r="T170" s="40" t="n">
        <f aca="false">Sens!$T$169*Sens!$C$162</f>
        <v>13.6989379390402</v>
      </c>
      <c r="U170" s="40" t="n">
        <f aca="false">Sens!$U$169*Sens!$E$162</f>
        <v>37.1055813761394</v>
      </c>
      <c r="V170" s="40" t="n">
        <f aca="false">Sens!$V$169*Sens!$E$162</f>
        <v>0</v>
      </c>
      <c r="W170" s="40" t="n">
        <f aca="false">Sens!$W$169*Sens!$E$162</f>
        <v>0</v>
      </c>
      <c r="X170" s="40" t="n">
        <f aca="false">Sens!$X$169*Sens!$E$162</f>
        <v>0</v>
      </c>
      <c r="Y170" s="40" t="n">
        <f aca="false">Sens!$Y$169*Sens!$E$162</f>
        <v>0</v>
      </c>
      <c r="Z170" s="40" t="n">
        <f aca="false">Sens!$Z$169*Sens!$E$162</f>
        <v>0</v>
      </c>
      <c r="AA170" s="40" t="n">
        <f aca="false">Sens!$AA$169*Sens!$E$162</f>
        <v>0</v>
      </c>
    </row>
    <row r="171" customFormat="false" ht="17.15" hidden="false" customHeight="false" outlineLevel="0" collapsed="false">
      <c r="A171" s="5" t="s">
        <v>691</v>
      </c>
      <c r="B171" s="0" t="s">
        <v>91</v>
      </c>
      <c r="R171" s="40" t="n">
        <f aca="false">SUMPRODUCT(--(Sens!$R$133:$AA$133=2023-cip_lag),Sens!$R$170:$AA$170)</f>
        <v>0</v>
      </c>
      <c r="S171" s="40" t="n">
        <f aca="false">SUMPRODUCT(--(Sens!$R$133:$AA$133=2024-cip_lag),Sens!$R$170:$AA$170)</f>
        <v>0</v>
      </c>
      <c r="T171" s="40" t="n">
        <f aca="false">SUMPRODUCT(--(Sens!$R$133:$AA$133=2025-cip_lag),Sens!$R$170:$AA$170)</f>
        <v>10.219074499801</v>
      </c>
      <c r="U171" s="40" t="n">
        <f aca="false">SUMPRODUCT(--(Sens!$R$133:$AA$133=2026-cip_lag),Sens!$R$170:$AA$170)</f>
        <v>13.6989379390402</v>
      </c>
      <c r="V171" s="40" t="n">
        <f aca="false">SUMPRODUCT(--(Sens!$R$133:$AA$133=2027-cip_lag),Sens!$R$170:$AA$170)</f>
        <v>37.1055813761394</v>
      </c>
      <c r="W171" s="40" t="n">
        <f aca="false">SUMPRODUCT(--(Sens!$R$133:$AA$133=2028-cip_lag),Sens!$R$170:$AA$170)</f>
        <v>0</v>
      </c>
      <c r="X171" s="40" t="n">
        <f aca="false">SUMPRODUCT(--(Sens!$R$133:$AA$133=2029-cip_lag),Sens!$R$170:$AA$170)</f>
        <v>0</v>
      </c>
      <c r="Y171" s="40" t="n">
        <f aca="false">SUMPRODUCT(--(Sens!$R$133:$AA$133=2030-cip_lag),Sens!$R$170:$AA$170)</f>
        <v>0</v>
      </c>
      <c r="Z171" s="40" t="n">
        <f aca="false">SUMPRODUCT(--(Sens!$R$133:$AA$133=2031-cip_lag),Sens!$R$170:$AA$170)</f>
        <v>0</v>
      </c>
      <c r="AA171" s="40" t="n">
        <f aca="false">SUMPRODUCT(--(Sens!$R$133:$AA$133=2032-cip_lag),Sens!$R$170:$AA$170)</f>
        <v>0</v>
      </c>
    </row>
    <row r="172" customFormat="false" ht="15" hidden="false" customHeight="false" outlineLevel="0" collapsed="false">
      <c r="A172" s="5" t="s">
        <v>692</v>
      </c>
      <c r="B172" s="0" t="s">
        <v>91</v>
      </c>
      <c r="R172" s="40" t="n">
        <f aca="false">SUMPRODUCT(--(Sens!$R$133:$AA$133=2023-cip_lag),Sens!$R$169:$AA$169)-Sens!$R$171</f>
        <v>0</v>
      </c>
      <c r="S172" s="40" t="n">
        <f aca="false">SUMPRODUCT(--(Sens!$R$133:$AA$133=2024-cip_lag),Sens!$R$169:$AA$169)-Sens!$S$171</f>
        <v>0</v>
      </c>
      <c r="T172" s="40" t="n">
        <f aca="false">SUMPRODUCT(--(Sens!$R$133:$AA$133=2025-cip_lag),Sens!$R$169:$AA$169)-Sens!$T$171</f>
        <v>3.76516660793636</v>
      </c>
      <c r="U172" s="40" t="n">
        <f aca="false">SUMPRODUCT(--(Sens!$R$133:$AA$133=2026-cip_lag),Sens!$R$169:$AA$169)-Sens!$U$171</f>
        <v>5.04730479196242</v>
      </c>
      <c r="V172" s="40" t="n">
        <f aca="false">SUMPRODUCT(--(Sens!$R$133:$AA$133=2027-cip_lag),Sens!$R$169:$AA$169)-Sens!$V$171</f>
        <v>14.4928008723704</v>
      </c>
      <c r="W172" s="40" t="n">
        <f aca="false">SUMPRODUCT(--(Sens!$R$133:$AA$133=2028-cip_lag),Sens!$R$169:$AA$169)-Sens!$W$171</f>
        <v>0</v>
      </c>
      <c r="X172" s="40" t="n">
        <f aca="false">SUMPRODUCT(--(Sens!$R$133:$AA$133=2029-cip_lag),Sens!$R$169:$AA$169)-Sens!$X$171</f>
        <v>0</v>
      </c>
      <c r="Y172" s="40" t="n">
        <f aca="false">SUMPRODUCT(--(Sens!$R$133:$AA$133=2030-cip_lag),Sens!$R$169:$AA$169)-Sens!$Y$171</f>
        <v>0</v>
      </c>
      <c r="Z172" s="40" t="n">
        <f aca="false">SUMPRODUCT(--(Sens!$R$133:$AA$133=2031-cip_lag),Sens!$R$169:$AA$169)-Sens!$Z$171</f>
        <v>0</v>
      </c>
      <c r="AA172" s="40" t="n">
        <f aca="false">SUMPRODUCT(--(Sens!$R$133:$AA$133=2032-cip_lag),Sens!$R$169:$AA$169)-Sens!$AA$171</f>
        <v>0</v>
      </c>
    </row>
    <row r="173" customFormat="false" ht="17.15" hidden="false" customHeight="false" outlineLevel="0" collapsed="false">
      <c r="A173" s="5" t="s">
        <v>693</v>
      </c>
      <c r="B173" s="0" t="s">
        <v>91</v>
      </c>
      <c r="C173" s="40" t="n">
        <f aca="false">Sens!$C$168*Sens!$C$162</f>
        <v>8.2530642</v>
      </c>
      <c r="D173" s="40" t="n">
        <f aca="false">Sens!$D$168*Sens!$D$162</f>
        <v>37.1387889</v>
      </c>
      <c r="E173" s="40" t="n">
        <f aca="false">Sens!$E$168*Sens!$E$162</f>
        <v>51.4875261625462</v>
      </c>
      <c r="F173" s="40" t="n">
        <f aca="false">Sens!$F$168*Sens!$F$162</f>
        <v>20.6356786792653</v>
      </c>
      <c r="G173" s="40" t="n">
        <f aca="false">Sens!$E$173+Sens!$F$173</f>
        <v>72.1232048418116</v>
      </c>
      <c r="H173" s="40" t="n">
        <f aca="false">(Sens!$H$168-Sens!$H$167)*Sens!$H$162+Sens!$H$167</f>
        <v>127.33378405695</v>
      </c>
      <c r="I173" s="40" t="n">
        <f aca="false">(Sens!$I$168-Sens!$I$167)*Sens!$I$162+Sens!$I$167</f>
        <v>133.57387618945</v>
      </c>
      <c r="J173" s="40" t="n">
        <f aca="false">(Sens!$J$168-Sens!$J$167)*Sens!$J$162+Sens!$J$167</f>
        <v>137.86770558745</v>
      </c>
      <c r="K173" s="40" t="n">
        <f aca="false">(Sens!$K$168-Sens!$K$167)*Sens!$K$162+Sens!$K$167</f>
        <v>103.06125954007</v>
      </c>
      <c r="L173" s="40" t="n">
        <f aca="false">(Sens!$L$168-Sens!$L$167)*Sens!$L$162+Sens!$L$167</f>
        <v>94.017789880691</v>
      </c>
      <c r="M173" s="40" t="n">
        <f aca="false">(Sens!$M$168-Sens!$M$167)*Sens!$M$162+Sens!$M$167</f>
        <v>106.460463619345</v>
      </c>
      <c r="R173" s="40" t="n">
        <f aca="false">Sens!$R$168*Sens!$C$162</f>
        <v>1.09927679019314</v>
      </c>
      <c r="S173" s="40" t="n">
        <f aca="false">Sens!$C$173</f>
        <v>8.2530642</v>
      </c>
      <c r="T173" s="40" t="n">
        <f aca="false">Sens!$D$173</f>
        <v>37.1387889</v>
      </c>
      <c r="U173" s="40" t="n">
        <f aca="false">Sens!$G$173</f>
        <v>72.1232048418116</v>
      </c>
      <c r="V173" s="40" t="n">
        <f aca="false">Sens!$H$173</f>
        <v>127.33378405695</v>
      </c>
      <c r="W173" s="40" t="n">
        <f aca="false">Sens!$I$173</f>
        <v>133.57387618945</v>
      </c>
      <c r="X173" s="40" t="n">
        <f aca="false">Sens!$J$173</f>
        <v>137.86770558745</v>
      </c>
      <c r="Y173" s="40" t="n">
        <f aca="false">Sens!$K$173</f>
        <v>103.06125954007</v>
      </c>
      <c r="Z173" s="40" t="n">
        <f aca="false">Sens!$L$173</f>
        <v>94.017789880691</v>
      </c>
      <c r="AA173" s="40" t="n">
        <f aca="false">Sens!$M$173</f>
        <v>106.460463619345</v>
      </c>
    </row>
    <row r="174" customFormat="false" ht="15" hidden="false" customHeight="false" outlineLevel="0" collapsed="false">
      <c r="A174" s="5" t="s">
        <v>694</v>
      </c>
      <c r="B174" s="0" t="s">
        <v>91</v>
      </c>
      <c r="C174" s="40" t="n">
        <f aca="false">Sens!$C$168-Sens!$C$173</f>
        <v>3.0408</v>
      </c>
      <c r="D174" s="40" t="n">
        <f aca="false">Sens!$D$168-Sens!$D$173</f>
        <v>13.6836</v>
      </c>
      <c r="E174" s="40" t="n">
        <f aca="false">Sens!$E$168-Sens!$E$173</f>
        <v>20.11014075</v>
      </c>
      <c r="F174" s="40" t="n">
        <f aca="false">Sens!$F$168-Sens!$F$173</f>
        <v>8.05994060389864</v>
      </c>
      <c r="G174" s="40" t="n">
        <f aca="false">Sens!$G$168-Sens!$G$173</f>
        <v>28.1700813538986</v>
      </c>
      <c r="H174" s="40" t="n">
        <f aca="false">Sens!$H$168-Sens!$H$173</f>
        <v>47.29711</v>
      </c>
      <c r="I174" s="40" t="n">
        <f aca="false">Sens!$I$168-Sens!$I$173</f>
        <v>47.29711</v>
      </c>
      <c r="J174" s="40" t="n">
        <f aca="false">Sens!$J$168-Sens!$J$173</f>
        <v>47.29711</v>
      </c>
      <c r="K174" s="40" t="n">
        <f aca="false">Sens!$K$168-Sens!$K$173</f>
        <v>33.4521121491667</v>
      </c>
      <c r="L174" s="40" t="n">
        <f aca="false">Sens!$L$168-Sens!$L$173</f>
        <v>19.6071142983333</v>
      </c>
      <c r="M174" s="40" t="n">
        <f aca="false">Sens!$M$168-Sens!$M$173</f>
        <v>5.76211644750001</v>
      </c>
      <c r="R174" s="40" t="n">
        <f aca="false">Sens!$R$168-Sens!$R$173</f>
        <v>0.405023005106309</v>
      </c>
      <c r="S174" s="40" t="n">
        <f aca="false">Sens!$S$168-Sens!$S$173</f>
        <v>3.0408</v>
      </c>
      <c r="T174" s="40" t="n">
        <f aca="false">Sens!$T$168-Sens!$T$173</f>
        <v>13.6836</v>
      </c>
      <c r="U174" s="40" t="n">
        <f aca="false">Sens!$U$168-Sens!$U$173</f>
        <v>28.1700813538986</v>
      </c>
      <c r="V174" s="40" t="n">
        <f aca="false">Sens!$V$168-Sens!$V$173</f>
        <v>47.29711</v>
      </c>
      <c r="W174" s="40" t="n">
        <f aca="false">Sens!$W$168-Sens!$W$173</f>
        <v>47.29711</v>
      </c>
      <c r="X174" s="40" t="n">
        <f aca="false">Sens!$X$168-Sens!$X$173</f>
        <v>47.29711</v>
      </c>
      <c r="Y174" s="40" t="n">
        <f aca="false">Sens!$Y$168-Sens!$Y$173</f>
        <v>33.4521121491667</v>
      </c>
      <c r="Z174" s="40" t="n">
        <f aca="false">Sens!$Z$168-Sens!$Z$173</f>
        <v>19.6071142983333</v>
      </c>
      <c r="AA174" s="40" t="n">
        <f aca="false">Sens!$AA$168-Sens!$AA$173</f>
        <v>5.76211644750001</v>
      </c>
    </row>
    <row r="175" customFormat="false" ht="17.15" hidden="false" customHeight="false" outlineLevel="0" collapsed="false">
      <c r="A175" s="0" t="s">
        <v>695</v>
      </c>
      <c r="B175" s="0" t="s">
        <v>56</v>
      </c>
      <c r="C175" s="13" t="n">
        <f aca="false">Sens!$C$163/Sens!$C$291</f>
        <v>0.325505489553393</v>
      </c>
      <c r="D175" s="13" t="n">
        <f aca="false">Sens!$D$163/Sens!$D$291</f>
        <v>0.54214956071542</v>
      </c>
      <c r="E175" s="13" t="n">
        <f aca="false">Sens!$E$163/Sens!$E$291</f>
        <v>0.715474069976166</v>
      </c>
      <c r="F175" s="13" t="n">
        <f aca="false">Sens!$F$163/Sens!$F$291</f>
        <v>0.600176091423994</v>
      </c>
      <c r="G175" s="13" t="n">
        <f aca="false">Sens!$G$163/Sens!$G$291</f>
        <v>0.690416674746455</v>
      </c>
      <c r="H175" s="13" t="n">
        <f aca="false">Sens!$H$163/Sens!$H$291</f>
        <v>0.69722654808191</v>
      </c>
      <c r="I175" s="13" t="n">
        <f aca="false">Sens!$I$163/Sens!$I$291</f>
        <v>0.684435253074618</v>
      </c>
      <c r="J175" s="13" t="n">
        <f aca="false">Sens!$J$163/Sens!$J$291</f>
        <v>0.671623297854004</v>
      </c>
      <c r="K175" s="13" t="n">
        <f aca="false">Sens!$K$163/Sens!$K$291</f>
        <v>0.584621634885143</v>
      </c>
      <c r="L175" s="13" t="n">
        <f aca="false">Sens!$L$163/Sens!$L$291</f>
        <v>0.522262649297437</v>
      </c>
      <c r="M175" s="13" t="n">
        <f aca="false">Sens!$M$163/Sens!$M$291</f>
        <v>0.501834577458528</v>
      </c>
    </row>
    <row r="176" customFormat="false" ht="17.15" hidden="false" customHeight="false" outlineLevel="0" collapsed="false">
      <c r="A176" s="0" t="s">
        <v>696</v>
      </c>
      <c r="B176" s="0" t="s">
        <v>91</v>
      </c>
      <c r="C176" s="40" t="n">
        <f aca="false">Sens!$S$176</f>
        <v>0.183212798365523</v>
      </c>
      <c r="D176" s="40" t="n">
        <f aca="false">Sens!$T$176</f>
        <v>1.55872349836552</v>
      </c>
      <c r="E176" s="40" t="n">
        <f aca="false">Sens!$G$176*0.75</f>
        <v>7.08877554874927</v>
      </c>
      <c r="F176" s="40" t="n">
        <f aca="false">Sens!$G$176*0.25</f>
        <v>2.36292518291642</v>
      </c>
      <c r="G176" s="40" t="n">
        <f aca="false">Sens!$U$176</f>
        <v>9.4517007316657</v>
      </c>
      <c r="H176" s="40" t="n">
        <f aca="false">Sens!$V$176</f>
        <v>23.755391195141</v>
      </c>
      <c r="I176" s="40" t="n">
        <f aca="false">Sens!$W$176</f>
        <v>51.1619521006559</v>
      </c>
      <c r="J176" s="40" t="n">
        <f aca="false">Sens!$X$176</f>
        <v>73.4242647988976</v>
      </c>
      <c r="K176" s="40" t="n">
        <f aca="false">Sens!$Y$176</f>
        <v>96.2190029317737</v>
      </c>
      <c r="L176" s="40" t="n">
        <f aca="false">Sens!$Z$176</f>
        <v>112.020368821785</v>
      </c>
      <c r="M176" s="40" t="n">
        <f aca="false">Sens!$AA$176</f>
        <v>119.797023235267</v>
      </c>
      <c r="N176" s="40" t="n">
        <f aca="false">Sens!$D$176*0.75</f>
        <v>1.16904262377414</v>
      </c>
      <c r="O176" s="40" t="n">
        <f aca="false">Sens!$D$176*0.25</f>
        <v>0.389680874591381</v>
      </c>
      <c r="R176" s="40" t="n">
        <f aca="false">(SUMPRODUCT(--(Sens!$R$133:$AA$133&lt;Sens!R$133),--(Sens!$R$133:$AA$133&gt;=Sens!R$133-tk_life),Sens!$R$173:$AA$173)+SUMPRODUCT(--(Sens!$R$133:$AA$133&lt;Sens!R$133),--(Sens!$R$133:$AA$133&gt;=Sens!R$133-tk_life),Sens!$R$171:$AA$171))/tk_life</f>
        <v>0</v>
      </c>
      <c r="S176" s="40" t="n">
        <f aca="false">(SUMPRODUCT(--(Sens!$R$133:$AA$133&lt;Sens!S$133),--(Sens!$R$133:$AA$133&gt;=Sens!S$133-tk_life),Sens!$R$173:$AA$173)+SUMPRODUCT(--(Sens!$R$133:$AA$133&lt;Sens!S$133),--(Sens!$R$133:$AA$133&gt;=Sens!S$133-tk_life),Sens!$R$171:$AA$171))/tk_life</f>
        <v>0.183212798365523</v>
      </c>
      <c r="T176" s="40" t="n">
        <f aca="false">(SUMPRODUCT(--(Sens!$R$133:$AA$133&lt;Sens!T$133),--(Sens!$R$133:$AA$133&gt;=Sens!T$133-tk_life),Sens!$R$173:$AA$173)+SUMPRODUCT(--(Sens!$R$133:$AA$133&lt;Sens!T$133),--(Sens!$R$133:$AA$133&gt;=Sens!T$133-tk_life),Sens!$R$171:$AA$171))/tk_life</f>
        <v>1.55872349836552</v>
      </c>
      <c r="U176" s="40" t="n">
        <f aca="false">(SUMPRODUCT(--(Sens!$R$133:$AA$133&lt;Sens!U$133),--(Sens!$R$133:$AA$133&gt;=Sens!U$133-tk_life),Sens!$R$173:$AA$173)+SUMPRODUCT(--(Sens!$R$133:$AA$133&lt;Sens!U$133),--(Sens!$R$133:$AA$133&gt;=Sens!U$133-tk_life),Sens!$R$171:$AA$171))/tk_life</f>
        <v>9.4517007316657</v>
      </c>
      <c r="V176" s="40" t="n">
        <f aca="false">(SUMPRODUCT(--(Sens!$R$133:$AA$133&lt;Sens!V$133),--(Sens!$R$133:$AA$133&gt;=Sens!V$133-tk_life),Sens!$R$173:$AA$173)+SUMPRODUCT(--(Sens!$R$133:$AA$133&lt;Sens!V$133),--(Sens!$R$133:$AA$133&gt;=Sens!V$133-tk_life),Sens!$R$171:$AA$171))/tk_life</f>
        <v>23.755391195141</v>
      </c>
      <c r="W176" s="40" t="n">
        <f aca="false">(SUMPRODUCT(--(Sens!$R$133:$AA$133&lt;Sens!W$133),--(Sens!$R$133:$AA$133&gt;=Sens!W$133-tk_life),Sens!$R$173:$AA$173)+SUMPRODUCT(--(Sens!$R$133:$AA$133&lt;Sens!W$133),--(Sens!$R$133:$AA$133&gt;=Sens!W$133-tk_life),Sens!$R$171:$AA$171))/tk_life</f>
        <v>51.1619521006559</v>
      </c>
      <c r="X176" s="40" t="n">
        <f aca="false">(SUMPRODUCT(--(Sens!$R$133:$AA$133&lt;Sens!X$133),--(Sens!$R$133:$AA$133&gt;=Sens!X$133-tk_life),Sens!$R$173:$AA$173)+SUMPRODUCT(--(Sens!$R$133:$AA$133&lt;Sens!X$133),--(Sens!$R$133:$AA$133&gt;=Sens!X$133-tk_life),Sens!$R$171:$AA$171))/tk_life</f>
        <v>73.4242647988976</v>
      </c>
      <c r="Y176" s="40" t="n">
        <f aca="false">(SUMPRODUCT(--(Sens!$R$133:$AA$133&lt;Sens!Y$133),--(Sens!$R$133:$AA$133&gt;=Sens!Y$133-tk_life),Sens!$R$173:$AA$173)+SUMPRODUCT(--(Sens!$R$133:$AA$133&lt;Sens!Y$133),--(Sens!$R$133:$AA$133&gt;=Sens!Y$133-tk_life),Sens!$R$171:$AA$171))/tk_life</f>
        <v>96.2190029317737</v>
      </c>
      <c r="Z176" s="40" t="n">
        <f aca="false">(SUMPRODUCT(--(Sens!$R$133:$AA$133&lt;Sens!Z$133),--(Sens!$R$133:$AA$133&gt;=Sens!Z$133-tk_life),Sens!$R$173:$AA$173)+SUMPRODUCT(--(Sens!$R$133:$AA$133&lt;Sens!Z$133),--(Sens!$R$133:$AA$133&gt;=Sens!Z$133-tk_life),Sens!$R$171:$AA$171))/tk_life</f>
        <v>112.020368821785</v>
      </c>
      <c r="AA176" s="40" t="n">
        <f aca="false">(SUMPRODUCT(--(Sens!$R$133:$AA$133&lt;Sens!AA$133),--(Sens!$R$133:$AA$133&gt;=Sens!AA$133-tk_life),Sens!$R$173:$AA$173)+SUMPRODUCT(--(Sens!$R$133:$AA$133&lt;Sens!AA$133),--(Sens!$R$133:$AA$133&gt;=Sens!AA$133-tk_life),Sens!$R$171:$AA$171))/tk_life</f>
        <v>119.797023235267</v>
      </c>
    </row>
    <row r="177" customFormat="false" ht="17.15" hidden="false" customHeight="false" outlineLevel="0" collapsed="false">
      <c r="A177" s="0" t="s">
        <v>697</v>
      </c>
      <c r="B177" s="0" t="s">
        <v>91</v>
      </c>
      <c r="C177" s="40" t="n">
        <f aca="false">Sens!$S$177</f>
        <v>0.0202511502553155</v>
      </c>
      <c r="D177" s="40" t="n">
        <f aca="false">Sens!$T$177</f>
        <v>0.172291150255315</v>
      </c>
      <c r="E177" s="40" t="n">
        <f aca="false">Sens!$G$177*0.75</f>
        <v>0.7835471104891</v>
      </c>
      <c r="F177" s="40" t="n">
        <f aca="false">Sens!$G$177*0.25</f>
        <v>0.261182370163033</v>
      </c>
      <c r="G177" s="40" t="n">
        <f aca="false">Sens!$U$177</f>
        <v>1.04472948065213</v>
      </c>
      <c r="H177" s="40" t="n">
        <f aca="false">Sens!$V$177</f>
        <v>2.70559878794519</v>
      </c>
      <c r="I177" s="40" t="n">
        <f aca="false">Sens!$W$177</f>
        <v>5.7950943315637</v>
      </c>
      <c r="J177" s="40" t="n">
        <f aca="false">Sens!$X$177</f>
        <v>8.1599498315637</v>
      </c>
      <c r="K177" s="40" t="n">
        <f aca="false">Sens!$Y$177</f>
        <v>10.5248053315637</v>
      </c>
      <c r="L177" s="40" t="n">
        <f aca="false">Sens!$Z$177</f>
        <v>12.197410939022</v>
      </c>
      <c r="M177" s="40" t="n">
        <f aca="false">Sens!$AA$177</f>
        <v>13.1777666539387</v>
      </c>
      <c r="N177" s="40" t="n">
        <f aca="false">Sens!$D$177*0.75</f>
        <v>0.129218362691487</v>
      </c>
      <c r="O177" s="40" t="n">
        <f aca="false">Sens!$D$177*0.25</f>
        <v>0.0430727875638289</v>
      </c>
      <c r="R177" s="40" t="n">
        <f aca="false">(SUMPRODUCT(--(Sens!$R$133:$AA$133&lt;Sens!R$133),Sens!$R$174:$AA$174)+SUMPRODUCT(--(Sens!$R$133:$AA$133&lt;Sens!R$133),Sens!$R$172:$AA$172))/fac_life</f>
        <v>0</v>
      </c>
      <c r="S177" s="40" t="n">
        <f aca="false">(SUMPRODUCT(--(Sens!$R$133:$AA$133&lt;Sens!S$133),Sens!$R$174:$AA$174)+SUMPRODUCT(--(Sens!$R$133:$AA$133&lt;Sens!S$133),Sens!$R$172:$AA$172))/fac_life</f>
        <v>0.0202511502553155</v>
      </c>
      <c r="T177" s="40" t="n">
        <f aca="false">(SUMPRODUCT(--(Sens!$R$133:$AA$133&lt;Sens!T$133),Sens!$R$174:$AA$174)+SUMPRODUCT(--(Sens!$R$133:$AA$133&lt;Sens!T$133),Sens!$R$172:$AA$172))/fac_life</f>
        <v>0.172291150255315</v>
      </c>
      <c r="U177" s="40" t="n">
        <f aca="false">(SUMPRODUCT(--(Sens!$R$133:$AA$133&lt;Sens!U$133),Sens!$R$174:$AA$174)+SUMPRODUCT(--(Sens!$R$133:$AA$133&lt;Sens!U$133),Sens!$R$172:$AA$172))/fac_life</f>
        <v>1.04472948065213</v>
      </c>
      <c r="V177" s="40" t="n">
        <f aca="false">(SUMPRODUCT(--(Sens!$R$133:$AA$133&lt;Sens!V$133),Sens!$R$174:$AA$174)+SUMPRODUCT(--(Sens!$R$133:$AA$133&lt;Sens!V$133),Sens!$R$172:$AA$172))/fac_life</f>
        <v>2.70559878794519</v>
      </c>
      <c r="W177" s="40" t="n">
        <f aca="false">(SUMPRODUCT(--(Sens!$R$133:$AA$133&lt;Sens!W$133),Sens!$R$174:$AA$174)+SUMPRODUCT(--(Sens!$R$133:$AA$133&lt;Sens!W$133),Sens!$R$172:$AA$172))/fac_life</f>
        <v>5.7950943315637</v>
      </c>
      <c r="X177" s="40" t="n">
        <f aca="false">(SUMPRODUCT(--(Sens!$R$133:$AA$133&lt;Sens!X$133),Sens!$R$174:$AA$174)+SUMPRODUCT(--(Sens!$R$133:$AA$133&lt;Sens!X$133),Sens!$R$172:$AA$172))/fac_life</f>
        <v>8.1599498315637</v>
      </c>
      <c r="Y177" s="40" t="n">
        <f aca="false">(SUMPRODUCT(--(Sens!$R$133:$AA$133&lt;Sens!Y$133),Sens!$R$174:$AA$174)+SUMPRODUCT(--(Sens!$R$133:$AA$133&lt;Sens!Y$133),Sens!$R$172:$AA$172))/fac_life</f>
        <v>10.5248053315637</v>
      </c>
      <c r="Z177" s="40" t="n">
        <f aca="false">(SUMPRODUCT(--(Sens!$R$133:$AA$133&lt;Sens!Z$133),Sens!$R$174:$AA$174)+SUMPRODUCT(--(Sens!$R$133:$AA$133&lt;Sens!Z$133),Sens!$R$172:$AA$172))/fac_life</f>
        <v>12.197410939022</v>
      </c>
      <c r="AA177" s="40" t="n">
        <f aca="false">(SUMPRODUCT(--(Sens!$R$133:$AA$133&lt;Sens!AA$133),Sens!$R$174:$AA$174)+SUMPRODUCT(--(Sens!$R$133:$AA$133&lt;Sens!AA$133),Sens!$R$172:$AA$172))/fac_life</f>
        <v>13.1777666539387</v>
      </c>
    </row>
    <row r="178" customFormat="false" ht="17.15" hidden="false" customHeight="false" outlineLevel="0" collapsed="false">
      <c r="A178" s="1" t="s">
        <v>698</v>
      </c>
      <c r="B178" s="8" t="s">
        <v>91</v>
      </c>
      <c r="C178" s="40" t="n">
        <f aca="false">Sens!$C$176+Sens!$C$177</f>
        <v>0.203463948620839</v>
      </c>
      <c r="D178" s="40" t="n">
        <f aca="false">Sens!$D$176+Sens!$D$177</f>
        <v>1.73101464862084</v>
      </c>
      <c r="E178" s="40" t="n">
        <f aca="false">Sens!$E$176+Sens!$E$177</f>
        <v>7.87232265923837</v>
      </c>
      <c r="F178" s="40" t="n">
        <f aca="false">Sens!$F$176+Sens!$F$177</f>
        <v>2.62410755307946</v>
      </c>
      <c r="G178" s="40" t="n">
        <f aca="false">Sens!$G$176+Sens!$G$177</f>
        <v>10.4964302123178</v>
      </c>
      <c r="H178" s="40" t="n">
        <f aca="false">Sens!$H$176+Sens!$H$177</f>
        <v>26.4609899830862</v>
      </c>
      <c r="I178" s="40" t="n">
        <f aca="false">Sens!$I$176+Sens!$I$177</f>
        <v>56.9570464322196</v>
      </c>
      <c r="J178" s="40" t="n">
        <f aca="false">Sens!$J$176+Sens!$J$177</f>
        <v>81.5842146304613</v>
      </c>
      <c r="K178" s="40" t="n">
        <f aca="false">Sens!$K$176+Sens!$K$177</f>
        <v>106.743808263337</v>
      </c>
      <c r="L178" s="40" t="n">
        <f aca="false">Sens!$L$176+Sens!$L$177</f>
        <v>124.217779760807</v>
      </c>
      <c r="M178" s="40" t="n">
        <f aca="false">Sens!$M$176+Sens!$M$177</f>
        <v>132.974789889206</v>
      </c>
      <c r="N178" s="40" t="n">
        <f aca="false">Sens!$N$176+Sens!$N$177</f>
        <v>1.29826098646563</v>
      </c>
      <c r="O178" s="40" t="n">
        <f aca="false">Sens!$O$176+Sens!$O$177</f>
        <v>0.43275366215521</v>
      </c>
      <c r="R178" s="40" t="n">
        <f aca="false">Sens!$R$176+Sens!$R$177</f>
        <v>0</v>
      </c>
      <c r="S178" s="40" t="n">
        <f aca="false">Sens!$S$176+Sens!$S$177</f>
        <v>0.203463948620839</v>
      </c>
      <c r="T178" s="40" t="n">
        <f aca="false">Sens!$T$176+Sens!$T$177</f>
        <v>1.73101464862084</v>
      </c>
      <c r="U178" s="40" t="n">
        <f aca="false">Sens!$U$176+Sens!$U$177</f>
        <v>10.4964302123178</v>
      </c>
      <c r="V178" s="40" t="n">
        <f aca="false">Sens!$V$176+Sens!$V$177</f>
        <v>26.4609899830862</v>
      </c>
      <c r="W178" s="40" t="n">
        <f aca="false">Sens!$W$176+Sens!$W$177</f>
        <v>56.9570464322196</v>
      </c>
      <c r="X178" s="40" t="n">
        <f aca="false">Sens!$X$176+Sens!$X$177</f>
        <v>81.5842146304613</v>
      </c>
      <c r="Y178" s="40" t="n">
        <f aca="false">Sens!$Y$176+Sens!$Y$177</f>
        <v>106.743808263337</v>
      </c>
      <c r="Z178" s="40" t="n">
        <f aca="false">Sens!$Z$176+Sens!$Z$177</f>
        <v>124.217779760807</v>
      </c>
      <c r="AA178" s="40" t="n">
        <f aca="false">Sens!$AA$176+Sens!$AA$177</f>
        <v>132.974789889206</v>
      </c>
    </row>
    <row r="179" customFormat="false" ht="17.15" hidden="false" customHeight="false" outlineLevel="0" collapsed="false">
      <c r="A179" s="0" t="s">
        <v>699</v>
      </c>
      <c r="B179" s="0" t="s">
        <v>91</v>
      </c>
      <c r="C179" s="40" t="n">
        <f aca="false">Sens!$S$179</f>
        <v>26.578941154416</v>
      </c>
      <c r="D179" s="40" t="n">
        <f aca="false">Sens!$T$179</f>
        <v>94.4165581367978</v>
      </c>
      <c r="G179" s="40" t="n">
        <f aca="false">Sens!$U$179</f>
        <v>235.8117963687</v>
      </c>
      <c r="H179" s="40" t="n">
        <f aca="false">Sens!$V$179</f>
        <v>383.981700442564</v>
      </c>
      <c r="I179" s="40" t="n">
        <f aca="false">Sens!$W$179</f>
        <v>507.895640199794</v>
      </c>
      <c r="J179" s="40" t="n">
        <f aca="false">Sens!$X$179</f>
        <v>611.476241156783</v>
      </c>
      <c r="K179" s="40" t="n">
        <f aca="false">Sens!$Y$179</f>
        <v>641.245804582683</v>
      </c>
      <c r="L179" s="40" t="n">
        <f aca="false">Sens!$Z$179</f>
        <v>630.6529290009</v>
      </c>
      <c r="M179" s="40" t="n">
        <f aca="false">Sens!$AA$179</f>
        <v>609.900719178539</v>
      </c>
      <c r="R179" s="40" t="n">
        <f aca="false">SUM(Sens!$R$163:$R$163)-SUM(Sens!$R$178:$R$178)</f>
        <v>1.50429979529945</v>
      </c>
      <c r="S179" s="40" t="n">
        <f aca="false">SUM(Sens!$R$163:$S$163)-SUM(Sens!$R$178:$S$178)</f>
        <v>26.578941154416</v>
      </c>
      <c r="T179" s="40" t="n">
        <f aca="false">SUM(Sens!$R$163:$T$163)-SUM(Sens!$R$178:$T$178)</f>
        <v>94.4165581367978</v>
      </c>
      <c r="U179" s="40" t="n">
        <f aca="false">SUM(Sens!$R$163:$U$163)-SUM(Sens!$R$178:$U$178)</f>
        <v>235.8117963687</v>
      </c>
      <c r="V179" s="40" t="n">
        <f aca="false">SUM(Sens!$R$163:$V$163)-SUM(Sens!$R$178:$V$178)</f>
        <v>383.981700442564</v>
      </c>
      <c r="W179" s="40" t="n">
        <f aca="false">SUM(Sens!$R$163:$W$163)-SUM(Sens!$R$178:$W$178)</f>
        <v>507.895640199794</v>
      </c>
      <c r="X179" s="40" t="n">
        <f aca="false">SUM(Sens!$R$163:$X$163)-SUM(Sens!$R$178:$X$178)</f>
        <v>611.476241156783</v>
      </c>
      <c r="Y179" s="40" t="n">
        <f aca="false">SUM(Sens!$R$163:$Y$163)-SUM(Sens!$R$178:$Y$178)</f>
        <v>641.245804582683</v>
      </c>
      <c r="Z179" s="40" t="n">
        <f aca="false">SUM(Sens!$R$163:$Z$163)-SUM(Sens!$R$178:$Z$178)</f>
        <v>630.6529290009</v>
      </c>
      <c r="AA179" s="40" t="n">
        <f aca="false">SUM(Sens!$R$163:$AA$163)-SUM(Sens!$R$178:$AA$178)</f>
        <v>609.900719178539</v>
      </c>
    </row>
    <row r="180" customFormat="false" ht="17.15" hidden="false" customHeight="false" outlineLevel="0" collapsed="false">
      <c r="A180" s="1" t="s">
        <v>700</v>
      </c>
    </row>
    <row r="181" customFormat="false" ht="17.15" hidden="false" customHeight="false" outlineLevel="0" collapsed="false">
      <c r="A181" s="0" t="s">
        <v>701</v>
      </c>
      <c r="B181" s="0" t="s">
        <v>91</v>
      </c>
      <c r="C181" s="40" t="n">
        <f aca="false">Sens!$C$154-ext_sh*Sens!$C$156</f>
        <v>1.80694998843362</v>
      </c>
      <c r="D181" s="40" t="n">
        <f aca="false">Sens!$D$154-ext_sh*Sens!$D$156</f>
        <v>6.77606245662607</v>
      </c>
      <c r="E181" s="40" t="n">
        <f aca="false">Sens!$E$154-ext_sh*Sens!$E$156</f>
        <v>12.6125815032506</v>
      </c>
      <c r="F181" s="40" t="n">
        <f aca="false">Sens!$F$154-ext_sh*Sens!$F$156</f>
        <v>7.82788092034529</v>
      </c>
      <c r="G181" s="40" t="n">
        <f aca="false">Sens!$G$154-ext_sh*Sens!$G$156</f>
        <v>20.4404624235959</v>
      </c>
      <c r="H181" s="40" t="n">
        <f aca="false">Sens!$H$154-ext_sh*Sens!$H$156</f>
        <v>58.3366366758868</v>
      </c>
      <c r="I181" s="40" t="n">
        <f aca="false">Sens!$I$154-ext_sh*Sens!$I$156</f>
        <v>102.770534677664</v>
      </c>
      <c r="J181" s="40" t="n">
        <f aca="false">Sens!$J$154-ext_sh*Sens!$J$156</f>
        <v>147.477438204227</v>
      </c>
      <c r="K181" s="40" t="n">
        <f aca="false">Sens!$K$154-ext_sh*Sens!$K$156</f>
        <v>185.604681277381</v>
      </c>
      <c r="L181" s="40" t="n">
        <f aca="false">Sens!$L$154-ext_sh*Sens!$L$156</f>
        <v>210.655488028667</v>
      </c>
      <c r="M181" s="40" t="n">
        <f aca="false">Sens!$M$154-ext_sh*Sens!$M$156</f>
        <v>222.58531457156</v>
      </c>
      <c r="N181" s="40" t="n">
        <f aca="false">Sens!$N$154-ext_sh*Sens!$N$156</f>
        <v>4.31973981609912</v>
      </c>
      <c r="O181" s="40" t="n">
        <f aca="false">Sens!$O$154-ext_sh*Sens!$O$156</f>
        <v>2.45632264052695</v>
      </c>
    </row>
    <row r="182" customFormat="false" ht="17.15" hidden="false" customHeight="false" outlineLevel="0" collapsed="false">
      <c r="A182" s="1" t="s">
        <v>702</v>
      </c>
      <c r="B182" s="8" t="s">
        <v>91</v>
      </c>
      <c r="C182" s="40" t="n">
        <f aca="false">Sens!$C$181-ext_sh*Sens!$C$178</f>
        <v>1.64417882953695</v>
      </c>
      <c r="D182" s="40" t="n">
        <f aca="false">Sens!$D$181-ext_sh*Sens!$D$178</f>
        <v>5.39125073772939</v>
      </c>
      <c r="E182" s="40" t="n">
        <f aca="false">Sens!$E$181-ext_sh*Sens!$E$178</f>
        <v>6.31472337585987</v>
      </c>
      <c r="F182" s="40" t="n">
        <f aca="false">Sens!$F$181-ext_sh*Sens!$F$178</f>
        <v>5.72859487788173</v>
      </c>
      <c r="G182" s="40" t="n">
        <f aca="false">Sens!$G$181-ext_sh*Sens!$G$178</f>
        <v>12.0433182537416</v>
      </c>
      <c r="H182" s="40" t="n">
        <f aca="false">Sens!$H$181-ext_sh*Sens!$H$178</f>
        <v>37.1678446894179</v>
      </c>
      <c r="I182" s="40" t="n">
        <f aca="false">Sens!$I$181-ext_sh*Sens!$I$178</f>
        <v>57.2048975318883</v>
      </c>
      <c r="J182" s="40" t="n">
        <f aca="false">Sens!$J$181-ext_sh*Sens!$J$178</f>
        <v>82.2100664998577</v>
      </c>
      <c r="K182" s="40" t="n">
        <f aca="false">Sens!$K$181-ext_sh*Sens!$K$178</f>
        <v>100.209634666711</v>
      </c>
      <c r="L182" s="40" t="n">
        <f aca="false">Sens!$L$181-ext_sh*Sens!$L$178</f>
        <v>111.281264220021</v>
      </c>
      <c r="M182" s="40" t="n">
        <f aca="false">Sens!$M$181-ext_sh*Sens!$M$178</f>
        <v>116.205482660195</v>
      </c>
      <c r="N182" s="40" t="n">
        <f aca="false">Sens!$N$181-ext_sh*Sens!$N$178</f>
        <v>3.28113102692661</v>
      </c>
      <c r="O182" s="40" t="n">
        <f aca="false">Sens!$O$181-ext_sh*Sens!$O$178</f>
        <v>2.11011971080278</v>
      </c>
    </row>
    <row r="183" customFormat="false" ht="17.15" hidden="false" customHeight="false" outlineLevel="0" collapsed="false">
      <c r="A183" s="0" t="s">
        <v>703</v>
      </c>
      <c r="B183" s="0" t="s">
        <v>56</v>
      </c>
      <c r="C183" s="13" t="n">
        <f aca="false">Sens!$C$182/Sens!$C$154</f>
        <v>0.708390794789371</v>
      </c>
      <c r="D183" s="13" t="n">
        <f aca="false">Sens!$D$182/Sens!$D$154</f>
        <v>0.619415573115729</v>
      </c>
      <c r="E183" s="13" t="n">
        <f aca="false">Sens!$E$182/Sens!$E$154</f>
        <v>0.38978070304412</v>
      </c>
      <c r="F183" s="13" t="n">
        <f aca="false">Sens!$F$182/Sens!$F$154</f>
        <v>0.588633572095407</v>
      </c>
      <c r="G183" s="13" t="n">
        <f aca="false">Sens!$G$182/Sens!$G$154</f>
        <v>0.464406108587804</v>
      </c>
      <c r="H183" s="13" t="n">
        <f aca="false">Sens!$H$182/Sens!$H$154</f>
        <v>0.521732975031211</v>
      </c>
      <c r="I183" s="13" t="n">
        <f aca="false">Sens!$I$182/Sens!$I$154</f>
        <v>0.460588552051531</v>
      </c>
      <c r="J183" s="13" t="n">
        <f aca="false">Sens!$J$182/Sens!$J$154</f>
        <v>0.463289280963502</v>
      </c>
      <c r="K183" s="13" t="n">
        <f aca="false">Sens!$K$182/Sens!$K$154</f>
        <v>0.449641213094224</v>
      </c>
      <c r="L183" s="13" t="n">
        <f aca="false">Sens!$L$182/Sens!$L$154</f>
        <v>0.440357706650555</v>
      </c>
      <c r="M183" s="13" t="n">
        <f aca="false">Sens!$M$182/Sens!$M$154</f>
        <v>0.435350749622456</v>
      </c>
      <c r="N183" s="13" t="n">
        <f aca="false">Sens!$N$182/Sens!$N$154</f>
        <v>0.591338253041814</v>
      </c>
      <c r="O183" s="13" t="n">
        <f aca="false">Sens!$O$182/Sens!$O$154</f>
        <v>0.668792929107785</v>
      </c>
    </row>
    <row r="184" customFormat="false" ht="17.15" hidden="false" customHeight="false" outlineLevel="0" collapsed="false">
      <c r="A184" s="5" t="s">
        <v>704</v>
      </c>
      <c r="B184" s="0" t="s">
        <v>91</v>
      </c>
      <c r="C184" s="41" t="n">
        <v>0</v>
      </c>
      <c r="D184" s="41" t="n">
        <v>0</v>
      </c>
      <c r="E184" s="41" t="n">
        <v>0</v>
      </c>
      <c r="F184" s="40" t="n">
        <f aca="false">IF(1=2,1,0)*(1-ext_sh)/ext_sh*(mw_open*he_open+Sens!$F$152*Sens!$F$149)*Sens!$F$138/1000</f>
        <v>0</v>
      </c>
      <c r="G184" s="40" t="n">
        <f aca="false">Sens!$E$184+Sens!$F$184</f>
        <v>0</v>
      </c>
      <c r="H184" s="40" t="n">
        <f aca="false">IF(1=2,1,0)*(1-ext_sh)/ext_sh*(mw_open*he_open+Sens!$H$152*Sens!$H$149)*Sens!$H$138/1000</f>
        <v>0</v>
      </c>
      <c r="I184" s="40" t="n">
        <f aca="false">IF(1=2,1,0)*(1-ext_sh)/ext_sh*(mw_open*he_open+Sens!$I$152*Sens!$I$149)*Sens!$I$138/1000</f>
        <v>0</v>
      </c>
      <c r="J184" s="40" t="n">
        <f aca="false">IF(1=2,1,0)*(1-ext_sh)/ext_sh*(mw_open*he_open+Sens!$J$152*Sens!$J$149)*Sens!$J$138/1000</f>
        <v>0</v>
      </c>
      <c r="K184" s="40" t="n">
        <f aca="false">IF(1=2,1,0)*(1-ext_sh)/ext_sh*(mw_open*he_open+Sens!$K$152*Sens!$K$149)*Sens!$K$138/1000</f>
        <v>0</v>
      </c>
      <c r="L184" s="40" t="n">
        <f aca="false">IF(1=2,1,0)*(1-ext_sh)/ext_sh*(mw_open*he_open+Sens!$L$152*Sens!$L$149)*Sens!$L$138/1000</f>
        <v>0</v>
      </c>
      <c r="M184" s="40" t="n">
        <f aca="false">IF(1=2,1,0)*(1-ext_sh)/ext_sh*(mw_open*he_open+Sens!$M$152*Sens!$M$149)*Sens!$M$138/1000</f>
        <v>0</v>
      </c>
      <c r="N184" s="41" t="n">
        <v>0</v>
      </c>
      <c r="O184" s="41" t="n">
        <v>0</v>
      </c>
      <c r="P184" s="8" t="s">
        <v>705</v>
      </c>
    </row>
    <row r="185" customFormat="false" ht="17.15" hidden="false" customHeight="false" outlineLevel="0" collapsed="false">
      <c r="A185" s="5" t="s">
        <v>706</v>
      </c>
      <c r="B185" s="0" t="s">
        <v>91</v>
      </c>
      <c r="C185" s="40" t="n">
        <f aca="false">(1-ext_sh)*(Sens!$C$156+Sens!$C$178)</f>
        <v>0.169206631859174</v>
      </c>
      <c r="D185" s="40" t="n">
        <f aca="false">(1-ext_sh)*(Sens!$D$156+Sens!$D$178)</f>
        <v>0.828129837730442</v>
      </c>
      <c r="E185" s="40" t="n">
        <f aca="false">(1-ext_sh)*(Sens!$E$156+Sens!$E$178)</f>
        <v>2.47149617002198</v>
      </c>
      <c r="F185" s="40" t="n">
        <f aca="false">(1-ext_sh)*(Sens!$F$156+Sens!$F$178)</f>
        <v>1.00085678236035</v>
      </c>
      <c r="G185" s="40" t="n">
        <f aca="false">(1-ext_sh)*(Sens!$G$156+Sens!$G$178)</f>
        <v>3.47235295238233</v>
      </c>
      <c r="H185" s="40" t="n">
        <f aca="false">(1-ext_sh)*(Sens!$H$156+Sens!$H$178)</f>
        <v>8.51784119215701</v>
      </c>
      <c r="I185" s="40" t="n">
        <f aca="false">(1-ext_sh)*(Sens!$I$156+Sens!$I$178)</f>
        <v>16.7486667167356</v>
      </c>
      <c r="J185" s="40" t="n">
        <f aca="false">(1-ext_sh)*(Sens!$J$156+Sens!$J$178)</f>
        <v>23.8096507496431</v>
      </c>
      <c r="K185" s="40" t="n">
        <f aca="false">(1-ext_sh)*(Sens!$K$156+Sens!$K$178)</f>
        <v>30.6640335479461</v>
      </c>
      <c r="L185" s="40" t="n">
        <f aca="false">(1-ext_sh)*(Sens!$L$156+Sens!$L$178)</f>
        <v>35.3563142953796</v>
      </c>
      <c r="M185" s="40" t="n">
        <f aca="false">(1-ext_sh)*(Sens!$M$156+Sens!$M$178)</f>
        <v>37.6795829171895</v>
      </c>
      <c r="N185" s="40" t="n">
        <f aca="false">(1-ext_sh)*(Sens!$N$156+Sens!$N$178)</f>
        <v>0.566880601147126</v>
      </c>
      <c r="O185" s="40" t="n">
        <f aca="false">(1-ext_sh)*(Sens!$O$156+Sens!$O$178)</f>
        <v>0.261249236583316</v>
      </c>
    </row>
    <row r="186" customFormat="false" ht="17.15" hidden="false" customHeight="false" outlineLevel="0" collapsed="false">
      <c r="A186" s="0" t="s">
        <v>707</v>
      </c>
      <c r="B186" s="0" t="s">
        <v>91</v>
      </c>
      <c r="C186" s="40" t="n">
        <f aca="false">Q!$D$25</f>
        <v>39.834</v>
      </c>
      <c r="D186" s="40" t="n">
        <f aca="false">Q!$E$25</f>
        <v>45.606</v>
      </c>
      <c r="E186" s="40" t="n">
        <f aca="false">Q!$O$25</f>
        <v>48.555</v>
      </c>
      <c r="N186" s="40" t="n">
        <f aca="false">Q!$N$25</f>
        <v>33.141</v>
      </c>
      <c r="O186" s="40" t="n">
        <f aca="false">Q!$J$25</f>
        <v>12.465</v>
      </c>
    </row>
    <row r="187" customFormat="false" ht="17.15" hidden="false" customHeight="false" outlineLevel="0" collapsed="false">
      <c r="A187" s="0" t="s">
        <v>708</v>
      </c>
      <c r="B187" s="0" t="s">
        <v>91</v>
      </c>
      <c r="C187" s="40" t="n">
        <f aca="false">Sens!$C$186-Sens!$C$182</f>
        <v>38.1898211704631</v>
      </c>
      <c r="D187" s="40" t="n">
        <f aca="false">Sens!$D$186-Sens!$D$182</f>
        <v>40.2147492622706</v>
      </c>
      <c r="E187" s="40" t="n">
        <f aca="false">Sens!$E$186-Sens!$E$182</f>
        <v>42.2402766241401</v>
      </c>
      <c r="F187" s="40" t="n">
        <f aca="false">Sens!$F$158*Sens!$F$188</f>
        <v>13.6943139813566</v>
      </c>
      <c r="G187" s="40" t="n">
        <f aca="false">Sens!$E$187+Sens!$F$187</f>
        <v>55.9345906054967</v>
      </c>
      <c r="H187" s="40" t="n">
        <f aca="false">Sens!$H$158*Sens!$H$188</f>
        <v>61.088168450178</v>
      </c>
      <c r="I187" s="40" t="n">
        <f aca="false">Sens!$I$158*Sens!$I$188</f>
        <v>67.8233475699772</v>
      </c>
      <c r="J187" s="40" t="n">
        <f aca="false">Sens!$J$158*Sens!$J$188</f>
        <v>74.2751592782286</v>
      </c>
      <c r="K187" s="40" t="n">
        <f aca="false">Sens!$K$158*Sens!$K$188</f>
        <v>80.2171720204868</v>
      </c>
      <c r="L187" s="40" t="n">
        <f aca="false">Sens!$L$158*Sens!$L$188</f>
        <v>86.6345457821258</v>
      </c>
      <c r="M187" s="40" t="n">
        <f aca="false">Sens!$M$158*Sens!$M$188</f>
        <v>93.5653094446959</v>
      </c>
      <c r="N187" s="40" t="n">
        <f aca="false">Sens!$N$186-Sens!$N$182</f>
        <v>29.8598689730734</v>
      </c>
      <c r="O187" s="40" t="n">
        <f aca="false">Sens!$O$186-Sens!$O$182</f>
        <v>10.3548802891972</v>
      </c>
      <c r="P187" s="5" t="s">
        <v>709</v>
      </c>
    </row>
    <row r="188" customFormat="false" ht="17.15" hidden="false" customHeight="false" outlineLevel="0" collapsed="false">
      <c r="A188" s="0" t="s">
        <v>710</v>
      </c>
      <c r="B188" s="0" t="s">
        <v>56</v>
      </c>
      <c r="C188" s="13" t="n">
        <f aca="false">Sens!$C$187/Sens!$C$158</f>
        <v>0.362900395443635</v>
      </c>
      <c r="D188" s="13" t="n">
        <f aca="false">Sens!$D$187/Sens!$D$158</f>
        <v>0.335063632425483</v>
      </c>
      <c r="E188" s="13" t="n">
        <f aca="false">Sens!$E$187/Sens!$E$158</f>
        <v>0.385395924436527</v>
      </c>
      <c r="F188" s="13" t="n">
        <f aca="false">(Sens!$O$187+Sens!$E$187)/(Sens!$O$158+Sens!$E$158)</f>
        <v>0.37032016673748</v>
      </c>
      <c r="G188" s="13" t="n">
        <f aca="false">Sens!$G$187/Sens!$G$158</f>
        <v>0.381592615841289</v>
      </c>
      <c r="H188" s="13" t="n">
        <f aca="false">Sens!$F$188</f>
        <v>0.37032016673748</v>
      </c>
      <c r="I188" s="13" t="n">
        <f aca="false">Sens!$F$188</f>
        <v>0.37032016673748</v>
      </c>
      <c r="J188" s="13" t="n">
        <f aca="false">Sens!$F$188</f>
        <v>0.37032016673748</v>
      </c>
      <c r="K188" s="13" t="n">
        <f aca="false">Sens!$F$188</f>
        <v>0.37032016673748</v>
      </c>
      <c r="L188" s="13" t="n">
        <f aca="false">Sens!$F$188</f>
        <v>0.37032016673748</v>
      </c>
      <c r="M188" s="13" t="n">
        <f aca="false">Sens!$F$188</f>
        <v>0.37032016673748</v>
      </c>
      <c r="N188" s="13" t="n">
        <f aca="false">Sens!$N$187/Sens!$N$158</f>
        <v>0.340876409421015</v>
      </c>
      <c r="O188" s="13" t="n">
        <f aca="false">Sens!$O$187/Sens!$O$158</f>
        <v>0.319359657808422</v>
      </c>
      <c r="P188" s="8" t="s">
        <v>711</v>
      </c>
    </row>
    <row r="189" customFormat="false" ht="17.15" hidden="false" customHeight="false" outlineLevel="0" collapsed="false">
      <c r="A189" s="0" t="s">
        <v>712</v>
      </c>
      <c r="B189" s="0" t="s">
        <v>56</v>
      </c>
      <c r="D189" s="13" t="n">
        <f aca="false">(Q!$E$33-ext_sh*Sens!$D$178)/Sens!$D$158</f>
        <v>0.167180325480118</v>
      </c>
    </row>
    <row r="190" customFormat="false" ht="17.15" hidden="false" customHeight="false" outlineLevel="0" collapsed="false">
      <c r="A190" s="0" t="s">
        <v>713</v>
      </c>
      <c r="B190" s="0" t="s">
        <v>91</v>
      </c>
      <c r="C190" s="40" t="n">
        <f aca="false">Q!$D$33</f>
        <v>13.32</v>
      </c>
      <c r="D190" s="40" t="n">
        <f aca="false">Q!$E$33</f>
        <v>21.45</v>
      </c>
      <c r="E190" s="40" t="n">
        <f aca="false">Q!$O$33</f>
        <v>23.8172847708625</v>
      </c>
      <c r="F190" s="40" t="n">
        <f aca="false">ext_sh*Sens!$F$178+Sens!$D$189*Sens!$F$158</f>
        <v>8.28155769350516</v>
      </c>
      <c r="G190" s="40" t="n">
        <f aca="false">Sens!$E$190+Sens!$F$190</f>
        <v>32.0988424643677</v>
      </c>
      <c r="H190" s="40" t="n">
        <f aca="false">ext_sh*Sens!$H$178+Sens!$D$189*Sens!$H$158</f>
        <v>48.7469278856268</v>
      </c>
      <c r="I190" s="40" t="n">
        <f aca="false">ext_sh*Sens!$I$178+Sens!$D$189*Sens!$I$158</f>
        <v>76.1843566764837</v>
      </c>
      <c r="J190" s="40" t="n">
        <f aca="false">ext_sh*Sens!$J$178+Sens!$D$189*Sens!$J$158</f>
        <v>98.7987491948757</v>
      </c>
      <c r="K190" s="40" t="n">
        <f aca="false">ext_sh*Sens!$K$178+Sens!$D$189*Sens!$K$158</f>
        <v>121.608934300417</v>
      </c>
      <c r="L190" s="40" t="n">
        <f aca="false">ext_sh*Sens!$L$178+Sens!$D$189*Sens!$L$158</f>
        <v>138.485222513573</v>
      </c>
      <c r="M190" s="40" t="n">
        <f aca="false">ext_sh*Sens!$M$178+Sens!$D$189*Sens!$M$158</f>
        <v>148.619710512686</v>
      </c>
      <c r="N190" s="40" t="n">
        <f aca="false">Q!$N$33</f>
        <v>14.882</v>
      </c>
      <c r="O190" s="40" t="n">
        <f aca="false">Q!$J$33</f>
        <v>6.568</v>
      </c>
    </row>
    <row r="191" customFormat="false" ht="17.15" hidden="false" customHeight="false" outlineLevel="0" collapsed="false">
      <c r="A191" s="1" t="s">
        <v>714</v>
      </c>
    </row>
    <row r="192" customFormat="false" ht="17.15" hidden="false" customHeight="false" outlineLevel="0" collapsed="false">
      <c r="A192" s="15" t="s">
        <v>715</v>
      </c>
      <c r="B192" s="14" t="s">
        <v>56</v>
      </c>
      <c r="C192" s="14"/>
      <c r="D192" s="14"/>
      <c r="E192" s="14"/>
      <c r="F192" s="14"/>
      <c r="G192" s="17" t="n">
        <f aca="false">Sens!$G$182*(1-tax)/(ext_sh*(Sens!$D$179+Sens!$G$179)/2)</f>
        <v>0.0753477436138347</v>
      </c>
      <c r="H192" s="17" t="n">
        <f aca="false">Sens!$H$182*(1-tax)/(ext_sh*(Sens!$G$179+Sens!$H$179)/2)</f>
        <v>0.123896435351091</v>
      </c>
      <c r="I192" s="17" t="n">
        <f aca="false">Sens!$I$182*(1-tax)/(ext_sh*(Sens!$H$179+Sens!$I$179)/2)</f>
        <v>0.132515454533698</v>
      </c>
      <c r="J192" s="17" t="n">
        <f aca="false">Sens!$J$182*(1-tax)/(ext_sh*(Sens!$I$179+Sens!$J$179)/2)</f>
        <v>0.151736148090169</v>
      </c>
      <c r="K192" s="17" t="n">
        <f aca="false">Sens!$K$182*(1-tax)/(ext_sh*(Sens!$J$179+Sens!$K$179)/2)</f>
        <v>0.165269688020337</v>
      </c>
      <c r="L192" s="17" t="n">
        <f aca="false">Sens!$L$182*(1-tax)/(ext_sh*(Sens!$K$179+Sens!$L$179)/2)</f>
        <v>0.18076234416377</v>
      </c>
      <c r="M192" s="17" t="n">
        <f aca="false">Sens!$M$182*(1-tax)/(ext_sh*(Sens!$L$179+Sens!$M$179)/2)</f>
        <v>0.193530544009102</v>
      </c>
      <c r="N192" s="14"/>
      <c r="O192" s="14"/>
      <c r="P192" s="8" t="s">
        <v>716</v>
      </c>
    </row>
    <row r="193" customFormat="false" ht="17.15" hidden="false" customHeight="false" outlineLevel="0" collapsed="false">
      <c r="A193" s="5" t="s">
        <v>717</v>
      </c>
      <c r="B193" s="0" t="s">
        <v>61</v>
      </c>
      <c r="H193" s="21" t="n">
        <f aca="false">Sens!$H$154*1000/(mw_open*he_open+Sens!$H$152*Sens!$H$149)</f>
        <v>1.32047603783282</v>
      </c>
      <c r="I193" s="21" t="n">
        <f aca="false">Sens!$I$154*1000/(mw_open*he_open+Sens!$I$152*Sens!$I$149)</f>
        <v>1.39816813282544</v>
      </c>
      <c r="J193" s="21" t="n">
        <f aca="false">Sens!$J$154*1000/(mw_open*he_open+Sens!$J$152*Sens!$J$149)</f>
        <v>1.43218170140039</v>
      </c>
      <c r="K193" s="21" t="n">
        <f aca="false">Sens!$K$154*1000/(mw_open*he_open+Sens!$K$152*Sens!$K$149)</f>
        <v>1.44893598189517</v>
      </c>
      <c r="L193" s="21" t="n">
        <f aca="false">Sens!$L$154*1000/(mw_open*he_open+Sens!$L$152*Sens!$L$149)</f>
        <v>1.45679872141278</v>
      </c>
      <c r="M193" s="21" t="n">
        <f aca="false">Sens!$M$154*1000/(mw_open*he_open+Sens!$M$152*Sens!$M$149)</f>
        <v>1.4599502840541</v>
      </c>
    </row>
    <row r="194" customFormat="false" ht="17.15" hidden="false" customHeight="false" outlineLevel="0" collapsed="false">
      <c r="A194" s="5" t="s">
        <v>718</v>
      </c>
      <c r="B194" s="0" t="s">
        <v>61</v>
      </c>
      <c r="H194" s="21" t="n">
        <f aca="false">Sens!$H$193*(Sens!$H$154+wacc*ext_sh*(Sens!$G$179+Sens!$H$179)/2/(1-tax)-Sens!$H$182)/Sens!$H$154</f>
        <v>1.25395388178086</v>
      </c>
      <c r="I194" s="21" t="n">
        <f aca="false">Sens!$I$193*(Sens!$I$154+wacc*ext_sh*(Sens!$H$179+Sens!$I$179)/2/(1-tax)-Sens!$I$182)/Sens!$I$154</f>
        <v>1.29814565731513</v>
      </c>
      <c r="J194" s="21" t="n">
        <f aca="false">Sens!$J$193*(Sens!$J$154+wacc*ext_sh*(Sens!$I$179+Sens!$J$179)/2/(1-tax)-Sens!$J$182)/Sens!$J$154</f>
        <v>1.25813096796156</v>
      </c>
      <c r="K194" s="21" t="n">
        <f aca="false">Sens!$K$193*(Sens!$K$154+wacc*ext_sh*(Sens!$J$179+Sens!$K$179)/2/(1-tax)-Sens!$K$182)/Sens!$K$154</f>
        <v>1.23868114549846</v>
      </c>
      <c r="L194" s="21" t="n">
        <f aca="false">Sens!$L$193*(Sens!$L$154+wacc*ext_sh*(Sens!$K$179+Sens!$L$179)/2/(1-tax)-Sens!$L$182)/Sens!$L$154</f>
        <v>1.21252927240339</v>
      </c>
      <c r="M194" s="21" t="n">
        <f aca="false">Sens!$M$193*(Sens!$M$154+wacc*ext_sh*(Sens!$L$179+Sens!$M$179)/2/(1-tax)-Sens!$M$182)/Sens!$M$154</f>
        <v>1.19196957782615</v>
      </c>
    </row>
    <row r="195" customFormat="false" ht="17.15" hidden="false" customHeight="false" outlineLevel="0" collapsed="false">
      <c r="A195" s="5" t="s">
        <v>719</v>
      </c>
      <c r="B195" s="0" t="s">
        <v>56</v>
      </c>
      <c r="C195" s="13" t="n">
        <f aca="false">Sens!$C$155/tk_pq</f>
        <v>0.195316432429398</v>
      </c>
      <c r="D195" s="13" t="n">
        <f aca="false">Sens!$D$155/tk_pq</f>
        <v>0.195316432429398</v>
      </c>
      <c r="E195" s="13" t="n">
        <f aca="false">Sens!$E$155/tk_pq</f>
        <v>0.195316432429398</v>
      </c>
      <c r="F195" s="13" t="n">
        <f aca="false">Sens!$F$155/tk_pq</f>
        <v>0.225025999781754</v>
      </c>
      <c r="G195" s="13" t="n">
        <f aca="false">Sens!$G$155/tk_pq</f>
        <v>0.205498281740034</v>
      </c>
      <c r="H195" s="13" t="n">
        <f aca="false">Sens!$H$155/tk_pq</f>
        <v>0.24691633300917</v>
      </c>
      <c r="I195" s="13" t="n">
        <f aca="false">Sens!$I$155/tk_pq</f>
        <v>0.262383909065715</v>
      </c>
      <c r="J195" s="13" t="n">
        <f aca="false">Sens!$J$155/tk_pq</f>
        <v>0.269602826697301</v>
      </c>
      <c r="K195" s="13" t="n">
        <f aca="false">Sens!$K$155/tk_pq</f>
        <v>0.273130646936055</v>
      </c>
      <c r="L195" s="13" t="n">
        <f aca="false">Sens!$L$155/tk_pq</f>
        <v>0.274787284311052</v>
      </c>
      <c r="M195" s="13" t="n">
        <f aca="false">Sens!$M$155/tk_pq</f>
        <v>0.275402049693033</v>
      </c>
      <c r="N195" s="13" t="n">
        <f aca="false">Sens!$N$155/tk_pq</f>
        <v>0.195316432429398</v>
      </c>
      <c r="O195" s="13" t="n">
        <f aca="false">Sens!$O$155/tk_pq</f>
        <v>0.195316432429398</v>
      </c>
      <c r="P195" s="5" t="s">
        <v>720</v>
      </c>
    </row>
    <row r="198" customFormat="false" ht="17.15" hidden="false" customHeight="false" outlineLevel="0" collapsed="false">
      <c r="A198" s="1" t="s">
        <v>749</v>
      </c>
    </row>
    <row r="199" customFormat="false" ht="17.15" hidden="false" customHeight="false" outlineLevel="0" collapsed="false">
      <c r="A199" s="0" t="s">
        <v>750</v>
      </c>
      <c r="B199" s="0" t="s">
        <v>91</v>
      </c>
      <c r="C199" s="40" t="n">
        <f aca="false">Sens!$C$154</f>
        <v>2.32100535697364</v>
      </c>
      <c r="D199" s="40" t="n">
        <f aca="false">Sens!$D$154</f>
        <v>8.70377008865116</v>
      </c>
      <c r="E199" s="40" t="n">
        <f aca="false">Sens!$E$154</f>
        <v>16.2007080559478</v>
      </c>
      <c r="F199" s="40" t="n">
        <f aca="false">Sens!$F$154</f>
        <v>9.73202200732313</v>
      </c>
      <c r="G199" s="40" t="n">
        <f aca="false">Sens!$G$154</f>
        <v>25.9327300632709</v>
      </c>
      <c r="H199" s="40" t="n">
        <f aca="false">Sens!$H$154</f>
        <v>71.2392094580459</v>
      </c>
      <c r="I199" s="40" t="n">
        <f aca="false">Sens!$I$154</f>
        <v>124.19956439883</v>
      </c>
      <c r="J199" s="40" t="n">
        <f aca="false">Sens!$J$154</f>
        <v>177.44866949843</v>
      </c>
      <c r="K199" s="40" t="n">
        <f aca="false">Sens!$K$154</f>
        <v>222.865768858495</v>
      </c>
      <c r="L199" s="40" t="n">
        <f aca="false">Sens!$L$154</f>
        <v>252.70652140154</v>
      </c>
      <c r="M199" s="40" t="n">
        <f aca="false">Sens!$M$154</f>
        <v>266.923814328953</v>
      </c>
      <c r="N199" s="40" t="n">
        <f aca="false">Sens!$N$154</f>
        <v>5.54865343151512</v>
      </c>
      <c r="O199" s="40" t="n">
        <f aca="false">Sens!$O$154</f>
        <v>3.15511665713605</v>
      </c>
      <c r="P199" s="8" t="s">
        <v>751</v>
      </c>
    </row>
    <row r="200" customFormat="false" ht="17.15" hidden="false" customHeight="false" outlineLevel="0" collapsed="false">
      <c r="A200" s="0" t="s">
        <v>752</v>
      </c>
      <c r="B200" s="0" t="s">
        <v>91</v>
      </c>
      <c r="C200" s="40" t="n">
        <f aca="false">Sens!$C$158</f>
        <v>105.234994643026</v>
      </c>
      <c r="D200" s="40" t="n">
        <f aca="false">Sens!$D$158</f>
        <v>120.021229911349</v>
      </c>
      <c r="E200" s="40" t="n">
        <f aca="false">Sens!$E$158</f>
        <v>109.602291944052</v>
      </c>
      <c r="F200" s="40" t="n">
        <f aca="false">Sens!$F$158</f>
        <v>36.9796603355509</v>
      </c>
      <c r="G200" s="40" t="n">
        <f aca="false">Sens!$G$158</f>
        <v>146.581952279603</v>
      </c>
      <c r="H200" s="40" t="n">
        <f aca="false">Sens!$H$158</f>
        <v>164.960415168217</v>
      </c>
      <c r="I200" s="40" t="n">
        <f aca="false">Sens!$I$158</f>
        <v>183.1478640969</v>
      </c>
      <c r="J200" s="40" t="n">
        <f aca="false">Sens!$J$158</f>
        <v>200.570117292268</v>
      </c>
      <c r="K200" s="40" t="n">
        <f aca="false">Sens!$K$158</f>
        <v>216.615726675649</v>
      </c>
      <c r="L200" s="40" t="n">
        <f aca="false">Sens!$L$158</f>
        <v>233.944984809701</v>
      </c>
      <c r="M200" s="40" t="n">
        <f aca="false">Sens!$M$158</f>
        <v>252.660583594477</v>
      </c>
      <c r="N200" s="40" t="n">
        <f aca="false">Sens!$N$158</f>
        <v>87.5973465684849</v>
      </c>
      <c r="O200" s="40" t="n">
        <f aca="false">Sens!$O$158</f>
        <v>32.423883342864</v>
      </c>
      <c r="P200" s="8" t="s">
        <v>751</v>
      </c>
    </row>
    <row r="201" customFormat="false" ht="17.15" hidden="false" customHeight="false" outlineLevel="0" collapsed="false">
      <c r="A201" s="1" t="s">
        <v>561</v>
      </c>
      <c r="B201" s="8" t="s">
        <v>91</v>
      </c>
      <c r="C201" s="40" t="n">
        <f aca="false">Q!$D$7</f>
        <v>107.556</v>
      </c>
      <c r="D201" s="40" t="n">
        <f aca="false">Q!$E$7</f>
        <v>128.725</v>
      </c>
      <c r="E201" s="40" t="n">
        <f aca="false">Q!$O$7</f>
        <v>125.803</v>
      </c>
      <c r="F201" s="40" t="n">
        <f aca="false">Sens!$F$199+Sens!$F$200</f>
        <v>46.711682342874</v>
      </c>
      <c r="G201" s="40" t="n">
        <f aca="false">Sens!$G$199+Sens!$G$200</f>
        <v>172.514682342874</v>
      </c>
      <c r="H201" s="40" t="n">
        <f aca="false">Sens!$H$199+Sens!$H$200</f>
        <v>236.199624626263</v>
      </c>
      <c r="I201" s="40" t="n">
        <f aca="false">Sens!$I$199+Sens!$I$200</f>
        <v>307.34742849573</v>
      </c>
      <c r="J201" s="40" t="n">
        <f aca="false">Sens!$J$199+Sens!$J$200</f>
        <v>378.018786790698</v>
      </c>
      <c r="K201" s="40" t="n">
        <f aca="false">Sens!$K$199+Sens!$K$200</f>
        <v>439.481495534144</v>
      </c>
      <c r="L201" s="40" t="n">
        <f aca="false">Sens!$L$199+Sens!$L$200</f>
        <v>486.651506211241</v>
      </c>
      <c r="M201" s="40" t="n">
        <f aca="false">Sens!$M$199+Sens!$M$200</f>
        <v>519.58439792343</v>
      </c>
      <c r="N201" s="40" t="n">
        <f aca="false">Q!$N$7</f>
        <v>93.146</v>
      </c>
      <c r="O201" s="40" t="n">
        <f aca="false">Q!$J$7</f>
        <v>35.579</v>
      </c>
      <c r="P201" s="5" t="s">
        <v>753</v>
      </c>
    </row>
    <row r="202" customFormat="false" ht="15" hidden="false" customHeight="false" outlineLevel="0" collapsed="false">
      <c r="A202" s="3" t="s">
        <v>754</v>
      </c>
      <c r="B202" s="8" t="s">
        <v>91</v>
      </c>
      <c r="C202" s="40" t="n">
        <f aca="false">Q!$D$8</f>
        <v>637.959</v>
      </c>
      <c r="D202" s="40" t="n">
        <f aca="false">Q!$E$8</f>
        <v>716.924</v>
      </c>
      <c r="E202" s="40" t="n">
        <f aca="false">Q!$O$8</f>
        <v>584.069</v>
      </c>
      <c r="F202" s="40" t="n">
        <f aca="false">Sens!$F$126+Sens!$F$201</f>
        <v>245.115340021111</v>
      </c>
      <c r="G202" s="40" t="n">
        <f aca="false">Sens!$G$126+Sens!$G$201</f>
        <v>829.184340021111</v>
      </c>
      <c r="H202" s="40" t="n">
        <f aca="false">Sens!$H$126+Sens!$H$201</f>
        <v>961.430167262876</v>
      </c>
      <c r="I202" s="40" t="n">
        <f aca="false">Sens!$I$126+Sens!$I$201</f>
        <v>1098.94344549877</v>
      </c>
      <c r="J202" s="40" t="n">
        <f aca="false">Sens!$J$126+Sens!$J$201</f>
        <v>1231.50423761939</v>
      </c>
      <c r="K202" s="40" t="n">
        <f aca="false">Sens!$K$126+Sens!$K$201</f>
        <v>1348.01868135605</v>
      </c>
      <c r="L202" s="40" t="n">
        <f aca="false">Sens!$L$126+Sens!$L$201</f>
        <v>1454.06694009736</v>
      </c>
      <c r="M202" s="40" t="n">
        <f aca="false">Sens!$M$126+Sens!$M$201</f>
        <v>1549.99040532374</v>
      </c>
      <c r="N202" s="40" t="n">
        <f aca="false">Q!$N$8</f>
        <v>503.538</v>
      </c>
      <c r="O202" s="40" t="n">
        <f aca="false">Q!$J$8</f>
        <v>213.386</v>
      </c>
    </row>
    <row r="203" customFormat="false" ht="17.15" hidden="false" customHeight="false" outlineLevel="0" collapsed="false">
      <c r="A203" s="27" t="s">
        <v>755</v>
      </c>
      <c r="B203" s="28" t="s">
        <v>91</v>
      </c>
      <c r="C203" s="43" t="n">
        <f aca="false">Sens!$C$126-(Sens!$C$128+Sens!$C$129)</f>
        <v>0</v>
      </c>
      <c r="D203" s="43" t="n">
        <f aca="false">Sens!$D$126-(Sens!$D$128+Sens!$D$129)</f>
        <v>0</v>
      </c>
      <c r="E203" s="43" t="n">
        <f aca="false">Sens!$E$126-(Sens!$E$128+Sens!$E$129)</f>
        <v>0</v>
      </c>
      <c r="F203" s="43" t="n">
        <f aca="false">Sens!$F$126-(Sens!$F$128+Sens!$F$129)</f>
        <v>0</v>
      </c>
      <c r="G203" s="43" t="n">
        <f aca="false">Sens!$G$126-(Sens!$G$128+Sens!$G$129)</f>
        <v>0</v>
      </c>
      <c r="H203" s="43" t="n">
        <f aca="false">Sens!$H$126-(Sens!$H$128+Sens!$H$129)</f>
        <v>0</v>
      </c>
      <c r="I203" s="43" t="n">
        <f aca="false">Sens!$I$126-(Sens!$I$128+Sens!$I$129)</f>
        <v>0</v>
      </c>
      <c r="J203" s="43" t="n">
        <f aca="false">Sens!$J$126-(Sens!$J$128+Sens!$J$129)</f>
        <v>0</v>
      </c>
      <c r="K203" s="43" t="n">
        <f aca="false">Sens!$K$126-(Sens!$K$128+Sens!$K$129)</f>
        <v>0</v>
      </c>
      <c r="L203" s="43" t="n">
        <f aca="false">Sens!$L$126-(Sens!$L$128+Sens!$L$129)</f>
        <v>0</v>
      </c>
      <c r="M203" s="43" t="n">
        <f aca="false">Sens!$M$126-(Sens!$M$128+Sens!$M$129)</f>
        <v>0</v>
      </c>
      <c r="N203" s="43" t="n">
        <f aca="false">Sens!$N$126-(Sens!$N$128+Sens!$N$129)</f>
        <v>0</v>
      </c>
      <c r="O203" s="43" t="n">
        <f aca="false">Sens!$O$126-(Sens!$O$128+Sens!$O$129)</f>
        <v>0</v>
      </c>
    </row>
    <row r="204" customFormat="false" ht="17.15" hidden="false" customHeight="false" outlineLevel="0" collapsed="false">
      <c r="A204" s="27" t="s">
        <v>756</v>
      </c>
      <c r="B204" s="28" t="s">
        <v>91</v>
      </c>
      <c r="C204" s="43" t="n">
        <f aca="false">Sens!$C$199+Sens!$C$200-Sens!$C$201</f>
        <v>0</v>
      </c>
      <c r="D204" s="43" t="n">
        <f aca="false">Sens!$D$199+Sens!$D$200-Sens!$D$201</f>
        <v>0</v>
      </c>
      <c r="E204" s="43" t="n">
        <f aca="false">Sens!$E$199+Sens!$E$200-Sens!$E$201</f>
        <v>0</v>
      </c>
      <c r="F204" s="43" t="n">
        <f aca="false">Sens!$F$199+Sens!$F$200-Sens!$F$201</f>
        <v>0</v>
      </c>
      <c r="G204" s="43" t="n">
        <f aca="false">Sens!$G$199+Sens!$G$200-Sens!$G$201</f>
        <v>0</v>
      </c>
      <c r="H204" s="43" t="n">
        <f aca="false">Sens!$H$199+Sens!$H$200-Sens!$H$201</f>
        <v>0</v>
      </c>
      <c r="I204" s="43" t="n">
        <f aca="false">Sens!$I$199+Sens!$I$200-Sens!$I$201</f>
        <v>0</v>
      </c>
      <c r="J204" s="43" t="n">
        <f aca="false">Sens!$J$199+Sens!$J$200-Sens!$J$201</f>
        <v>0</v>
      </c>
      <c r="K204" s="43" t="n">
        <f aca="false">Sens!$K$199+Sens!$K$200-Sens!$K$201</f>
        <v>0</v>
      </c>
      <c r="L204" s="43" t="n">
        <f aca="false">Sens!$L$199+Sens!$L$200-Sens!$L$201</f>
        <v>0</v>
      </c>
      <c r="M204" s="43" t="n">
        <f aca="false">Sens!$M$199+Sens!$M$200-Sens!$M$201</f>
        <v>0</v>
      </c>
      <c r="N204" s="43" t="n">
        <f aca="false">Sens!$N$199+Sens!$N$200-Sens!$N$201</f>
        <v>0</v>
      </c>
      <c r="O204" s="43" t="n">
        <f aca="false">Sens!$O$199+Sens!$O$200-Sens!$O$201</f>
        <v>0</v>
      </c>
    </row>
    <row r="205" customFormat="false" ht="17.15" hidden="false" customHeight="false" outlineLevel="0" collapsed="false">
      <c r="A205" s="27" t="s">
        <v>757</v>
      </c>
      <c r="B205" s="28" t="s">
        <v>91</v>
      </c>
      <c r="C205" s="43" t="n">
        <f aca="false">Sens!$C$128+Sens!$C$129+Sens!$C$201-Sens!$C$202</f>
        <v>0</v>
      </c>
      <c r="D205" s="43" t="n">
        <f aca="false">Sens!$D$128+Sens!$D$129+Sens!$D$201-Sens!$D$202</f>
        <v>0</v>
      </c>
      <c r="E205" s="43" t="n">
        <f aca="false">Sens!$E$128+Sens!$E$129+Sens!$E$201-Sens!$E$202</f>
        <v>0</v>
      </c>
      <c r="F205" s="43" t="n">
        <f aca="false">Sens!$F$128+Sens!$F$129+Sens!$F$201-Sens!$F$202</f>
        <v>0</v>
      </c>
      <c r="G205" s="43" t="n">
        <f aca="false">Sens!$G$128+Sens!$G$129+Sens!$G$201-Sens!$G$202</f>
        <v>0</v>
      </c>
      <c r="H205" s="43" t="n">
        <f aca="false">Sens!$H$128+Sens!$H$129+Sens!$H$201-Sens!$H$202</f>
        <v>0</v>
      </c>
      <c r="I205" s="43" t="n">
        <f aca="false">Sens!$I$128+Sens!$I$129+Sens!$I$201-Sens!$I$202</f>
        <v>0</v>
      </c>
      <c r="J205" s="43" t="n">
        <f aca="false">Sens!$J$128+Sens!$J$129+Sens!$J$201-Sens!$J$202</f>
        <v>0</v>
      </c>
      <c r="K205" s="43" t="n">
        <f aca="false">Sens!$K$128+Sens!$K$129+Sens!$K$201-Sens!$K$202</f>
        <v>0</v>
      </c>
      <c r="L205" s="43" t="n">
        <f aca="false">Sens!$L$128+Sens!$L$129+Sens!$L$201-Sens!$L$202</f>
        <v>0</v>
      </c>
      <c r="M205" s="43" t="n">
        <f aca="false">Sens!$M$128+Sens!$M$129+Sens!$M$201-Sens!$M$202</f>
        <v>0</v>
      </c>
      <c r="N205" s="43" t="n">
        <f aca="false">Sens!$N$128+Sens!$N$129+Sens!$N$201-Sens!$N$202</f>
        <v>0</v>
      </c>
      <c r="O205" s="43" t="n">
        <f aca="false">Sens!$O$128+Sens!$O$129+Sens!$O$201-Sens!$O$202</f>
        <v>0</v>
      </c>
    </row>
    <row r="206" customFormat="false" ht="15" hidden="false" customHeight="false" outlineLevel="0" collapsed="false">
      <c r="A206" s="5" t="s">
        <v>758</v>
      </c>
      <c r="B206" s="0" t="s">
        <v>56</v>
      </c>
      <c r="G206" s="13" t="n">
        <f aca="false">Sens!$G$202/Sens!$D$202-1</f>
        <v>0.156586109575228</v>
      </c>
      <c r="H206" s="13" t="n">
        <f aca="false">Sens!$H$202/Sens!$G$202-1</f>
        <v>0.159489055519788</v>
      </c>
      <c r="I206" s="13" t="n">
        <f aca="false">Sens!$I$202/Sens!$H$202-1</f>
        <v>0.143029918259572</v>
      </c>
      <c r="J206" s="13" t="n">
        <f aca="false">Sens!$J$202/Sens!$I$202-1</f>
        <v>0.120625672470758</v>
      </c>
      <c r="K206" s="13" t="n">
        <f aca="false">Sens!$K$202/Sens!$J$202-1</f>
        <v>0.0946114842137191</v>
      </c>
      <c r="L206" s="13" t="n">
        <f aca="false">Sens!$L$202/Sens!$K$202-1</f>
        <v>0.0786697248398862</v>
      </c>
      <c r="M206" s="13" t="n">
        <f aca="false">Sens!$M$202/Sens!$L$202-1</f>
        <v>0.0659690847657695</v>
      </c>
    </row>
    <row r="207" customFormat="false" ht="17.15" hidden="false" customHeight="false" outlineLevel="0" collapsed="false">
      <c r="A207" s="0" t="s">
        <v>759</v>
      </c>
      <c r="B207" s="0" t="s">
        <v>56</v>
      </c>
      <c r="C207" s="13" t="n">
        <f aca="false">Sens!$C$201/Sens!$C$202</f>
        <v>0.168593906504964</v>
      </c>
      <c r="D207" s="13" t="n">
        <f aca="false">Sens!$D$201/Sens!$D$202</f>
        <v>0.179551807444025</v>
      </c>
      <c r="E207" s="13" t="n">
        <f aca="false">Sens!$E$201/Sens!$E$202</f>
        <v>0.2153906473379</v>
      </c>
      <c r="F207" s="13" t="n">
        <f aca="false">Sens!$F$201/Sens!$F$202</f>
        <v>0.190570212124834</v>
      </c>
      <c r="G207" s="13" t="n">
        <f aca="false">Sens!$G$201/Sens!$G$202</f>
        <v>0.208053473776991</v>
      </c>
      <c r="H207" s="13" t="n">
        <f aca="false">Sens!$H$201/Sens!$H$202</f>
        <v>0.245675279046742</v>
      </c>
      <c r="I207" s="13" t="n">
        <f aca="false">Sens!$I$201/Sens!$I$202</f>
        <v>0.279675382527293</v>
      </c>
      <c r="J207" s="13" t="n">
        <f aca="false">Sens!$J$201/Sens!$J$202</f>
        <v>0.306956951704398</v>
      </c>
      <c r="K207" s="13" t="n">
        <f aca="false">Sens!$K$201/Sens!$K$202</f>
        <v>0.326020330142639</v>
      </c>
      <c r="L207" s="13" t="n">
        <f aca="false">Sens!$L$201/Sens!$L$202</f>
        <v>0.334683014097451</v>
      </c>
      <c r="M207" s="13" t="n">
        <f aca="false">Sens!$M$201/Sens!$M$202</f>
        <v>0.33521781563216</v>
      </c>
      <c r="N207" s="13" t="n">
        <f aca="false">Sens!$N$201/Sens!$N$202</f>
        <v>0.184983059868371</v>
      </c>
      <c r="O207" s="13" t="n">
        <f aca="false">Sens!$O$201/Sens!$O$202</f>
        <v>0.1667353996982</v>
      </c>
    </row>
    <row r="208" customFormat="false" ht="17.15" hidden="false" customHeight="false" outlineLevel="0" collapsed="false">
      <c r="A208" s="0" t="s">
        <v>760</v>
      </c>
      <c r="B208" s="0" t="s">
        <v>56</v>
      </c>
      <c r="C208" s="13" t="n">
        <f aca="false">Sens!$C$199/Sens!$C$201</f>
        <v>0.0215795060896058</v>
      </c>
      <c r="D208" s="13" t="n">
        <f aca="false">Sens!$D$199/Sens!$D$201</f>
        <v>0.0676152269462122</v>
      </c>
      <c r="E208" s="13" t="n">
        <f aca="false">Sens!$E$199/Sens!$E$201</f>
        <v>0.128778392057008</v>
      </c>
      <c r="F208" s="13" t="n">
        <f aca="false">Sens!$F$199/Sens!$F$201</f>
        <v>0.20834235718354</v>
      </c>
      <c r="G208" s="13" t="n">
        <f aca="false">Sens!$G$199/Sens!$G$201</f>
        <v>0.150321872382604</v>
      </c>
      <c r="H208" s="13" t="n">
        <f aca="false">Sens!$H$199/Sens!$H$201</f>
        <v>0.301605938497012</v>
      </c>
      <c r="I208" s="13" t="n">
        <f aca="false">Sens!$I$199/Sens!$I$201</f>
        <v>0.404101524475764</v>
      </c>
      <c r="J208" s="13" t="n">
        <f aca="false">Sens!$J$199/Sens!$J$201</f>
        <v>0.469417594307767</v>
      </c>
      <c r="K208" s="13" t="n">
        <f aca="false">Sens!$K$199/Sens!$K$201</f>
        <v>0.507110700048075</v>
      </c>
      <c r="L208" s="13" t="n">
        <f aca="false">Sens!$L$199/Sens!$L$201</f>
        <v>0.519276151776354</v>
      </c>
      <c r="M208" s="13" t="n">
        <f aca="false">Sens!$M$199/Sens!$M$201</f>
        <v>0.513725614925583</v>
      </c>
      <c r="N208" s="13" t="n">
        <f aca="false">Sens!$N$199/Sens!$N$201</f>
        <v>0.0595694225357516</v>
      </c>
      <c r="O208" s="13" t="n">
        <f aca="false">Sens!$O$199/Sens!$O$201</f>
        <v>0.0886791831455647</v>
      </c>
    </row>
    <row r="211" customFormat="false" ht="19.4" hidden="false" customHeight="false" outlineLevel="0" collapsed="false">
      <c r="A211" s="35" t="s">
        <v>1306</v>
      </c>
    </row>
    <row r="212" customFormat="false" ht="17.15" hidden="false" customHeight="false" outlineLevel="0" collapsed="false">
      <c r="A212" s="6" t="s">
        <v>16</v>
      </c>
      <c r="B212" s="6" t="s">
        <v>17</v>
      </c>
      <c r="C212" s="23" t="s">
        <v>542</v>
      </c>
      <c r="D212" s="23" t="s">
        <v>543</v>
      </c>
      <c r="E212" s="23" t="s">
        <v>631</v>
      </c>
      <c r="F212" s="23" t="s">
        <v>632</v>
      </c>
      <c r="G212" s="23" t="s">
        <v>633</v>
      </c>
      <c r="H212" s="23" t="s">
        <v>634</v>
      </c>
      <c r="I212" s="23" t="s">
        <v>635</v>
      </c>
      <c r="J212" s="23" t="s">
        <v>636</v>
      </c>
      <c r="K212" s="23" t="s">
        <v>637</v>
      </c>
      <c r="L212" s="23" t="s">
        <v>638</v>
      </c>
      <c r="M212" s="23" t="s">
        <v>639</v>
      </c>
      <c r="N212" s="23" t="s">
        <v>640</v>
      </c>
      <c r="O212" s="23" t="s">
        <v>641</v>
      </c>
      <c r="P212" s="6" t="s">
        <v>23</v>
      </c>
      <c r="R212" s="23" t="n">
        <v>2023</v>
      </c>
      <c r="S212" s="23" t="n">
        <v>2024</v>
      </c>
      <c r="T212" s="23" t="n">
        <v>2025</v>
      </c>
      <c r="U212" s="23" t="n">
        <v>2026</v>
      </c>
      <c r="V212" s="23" t="n">
        <v>2027</v>
      </c>
      <c r="W212" s="23" t="n">
        <v>2028</v>
      </c>
      <c r="X212" s="23" t="n">
        <v>2029</v>
      </c>
      <c r="Y212" s="23" t="n">
        <v>2030</v>
      </c>
      <c r="Z212" s="23" t="n">
        <v>2031</v>
      </c>
      <c r="AA212" s="23" t="n">
        <v>2032</v>
      </c>
    </row>
    <row r="213" customFormat="false" ht="17.15" hidden="false" customHeight="false" outlineLevel="0" collapsed="false">
      <c r="A213" s="1" t="s">
        <v>775</v>
      </c>
    </row>
    <row r="214" customFormat="false" ht="15" hidden="false" customHeight="false" outlineLevel="0" collapsed="false">
      <c r="A214" s="0" t="s">
        <v>564</v>
      </c>
      <c r="B214" s="0" t="s">
        <v>91</v>
      </c>
      <c r="C214" s="40" t="n">
        <f aca="false">Sens!$C$113</f>
        <v>247.029</v>
      </c>
      <c r="D214" s="40" t="n">
        <f aca="false">Sens!$D$113</f>
        <v>269.287</v>
      </c>
      <c r="E214" s="40" t="n">
        <f aca="false">Sens!$E$113</f>
        <v>203.156</v>
      </c>
      <c r="F214" s="40" t="n">
        <f aca="false">Sens!$F$113</f>
        <v>90.388463759573</v>
      </c>
      <c r="G214" s="40" t="n">
        <f aca="false">Sens!$G$113</f>
        <v>293.544463759573</v>
      </c>
      <c r="H214" s="40" t="n">
        <f aca="false">Sens!$H$113</f>
        <v>317.13448447826</v>
      </c>
      <c r="I214" s="40" t="n">
        <f aca="false">Sens!$I$113</f>
        <v>339.410577938345</v>
      </c>
      <c r="J214" s="40" t="n">
        <f aca="false">Sens!$J$113</f>
        <v>359.816245442206</v>
      </c>
      <c r="K214" s="40" t="n">
        <f aca="false">Sens!$K$113</f>
        <v>377.807057714316</v>
      </c>
      <c r="L214" s="40" t="n">
        <f aca="false">Sens!$L$113</f>
        <v>396.697410600032</v>
      </c>
      <c r="M214" s="40" t="n">
        <f aca="false">Sens!$M$113</f>
        <v>416.532281130034</v>
      </c>
      <c r="N214" s="40" t="n">
        <f aca="false">Sens!$N$113</f>
        <v>186.299</v>
      </c>
      <c r="O214" s="40" t="n">
        <f aca="false">Sens!$O$113</f>
        <v>82.988</v>
      </c>
    </row>
    <row r="215" customFormat="false" ht="15" hidden="false" customHeight="false" outlineLevel="0" collapsed="false">
      <c r="A215" s="0" t="s">
        <v>565</v>
      </c>
      <c r="B215" s="0" t="s">
        <v>91</v>
      </c>
      <c r="C215" s="40" t="n">
        <f aca="false">Sens!$C$115</f>
        <v>21.215</v>
      </c>
      <c r="D215" s="40" t="n">
        <f aca="false">Sens!$D$115</f>
        <v>22.561</v>
      </c>
      <c r="E215" s="40" t="n">
        <f aca="false">Sens!$E$115</f>
        <v>17.289</v>
      </c>
      <c r="F215" s="40" t="n">
        <f aca="false">Sens!$F$115</f>
        <v>6.05205510939944</v>
      </c>
      <c r="G215" s="40" t="n">
        <f aca="false">Sens!$G$115</f>
        <v>23.3410551093994</v>
      </c>
      <c r="H215" s="40" t="n">
        <f aca="false">Sens!$H$115</f>
        <v>24.1270238539533</v>
      </c>
      <c r="I215" s="40" t="n">
        <f aca="false">Sens!$I$115</f>
        <v>24.9099173270163</v>
      </c>
      <c r="J215" s="40" t="n">
        <f aca="false">Sens!$J$115</f>
        <v>25.6877148084528</v>
      </c>
      <c r="K215" s="40" t="n">
        <f aca="false">Sens!$K$115</f>
        <v>26.4583462527063</v>
      </c>
      <c r="L215" s="40" t="n">
        <f aca="false">Sens!$L$115</f>
        <v>27.2520966402875</v>
      </c>
      <c r="M215" s="40" t="n">
        <f aca="false">Sens!$M$115</f>
        <v>28.0696595394962</v>
      </c>
      <c r="N215" s="40" t="n">
        <f aca="false">Sens!$N$115</f>
        <v>16.706</v>
      </c>
      <c r="O215" s="40" t="n">
        <f aca="false">Sens!$O$115</f>
        <v>5.855</v>
      </c>
    </row>
    <row r="216" customFormat="false" ht="15" hidden="false" customHeight="false" outlineLevel="0" collapsed="false">
      <c r="A216" s="0" t="s">
        <v>566</v>
      </c>
      <c r="B216" s="0" t="s">
        <v>91</v>
      </c>
      <c r="C216" s="40" t="n">
        <f aca="false">Sens!$C$117</f>
        <v>156.146</v>
      </c>
      <c r="D216" s="40" t="n">
        <f aca="false">Sens!$D$117</f>
        <v>172.162</v>
      </c>
      <c r="E216" s="40" t="n">
        <f aca="false">Sens!$E$117</f>
        <v>134.85</v>
      </c>
      <c r="F216" s="40" t="n">
        <f aca="false">Sens!$F$117</f>
        <v>59.6056141851888</v>
      </c>
      <c r="G216" s="40" t="n">
        <f aca="false">Sens!$G$117</f>
        <v>194.455614185189</v>
      </c>
      <c r="H216" s="40" t="n">
        <f aca="false">Sens!$H$117</f>
        <v>216.80459217381</v>
      </c>
      <c r="I216" s="40" t="n">
        <f aca="false">Sens!$I$117</f>
        <v>238.475078227356</v>
      </c>
      <c r="J216" s="40" t="n">
        <f aca="false">Sens!$J$117</f>
        <v>258.739974865958</v>
      </c>
      <c r="K216" s="40" t="n">
        <f aca="false">Sens!$K$117</f>
        <v>276.851773106575</v>
      </c>
      <c r="L216" s="40" t="n">
        <f aca="false">Sens!$L$117</f>
        <v>296.231397224035</v>
      </c>
      <c r="M216" s="40" t="n">
        <f aca="false">Sens!$M$117</f>
        <v>316.967595029718</v>
      </c>
      <c r="N216" s="40" t="n">
        <f aca="false">Sens!$N$117</f>
        <v>119.346</v>
      </c>
      <c r="O216" s="40" t="n">
        <f aca="false">Sens!$O$117</f>
        <v>52.816</v>
      </c>
    </row>
    <row r="217" customFormat="false" ht="15" hidden="false" customHeight="false" outlineLevel="0" collapsed="false">
      <c r="A217" s="0" t="s">
        <v>567</v>
      </c>
      <c r="B217" s="0" t="s">
        <v>91</v>
      </c>
      <c r="C217" s="40" t="n">
        <f aca="false">Sens!$C$119</f>
        <v>56.214</v>
      </c>
      <c r="D217" s="40" t="n">
        <f aca="false">Sens!$D$119</f>
        <v>68.635</v>
      </c>
      <c r="E217" s="40" t="n">
        <f aca="false">Sens!$E$119</f>
        <v>56.689</v>
      </c>
      <c r="F217" s="40" t="n">
        <f aca="false">Sens!$F$119</f>
        <v>25.5080393747055</v>
      </c>
      <c r="G217" s="40" t="n">
        <f aca="false">Sens!$G$119</f>
        <v>82.1970393747055</v>
      </c>
      <c r="H217" s="40" t="n">
        <f aca="false">Sens!$H$119</f>
        <v>96.4608782883025</v>
      </c>
      <c r="I217" s="40" t="n">
        <f aca="false">Sens!$I$119</f>
        <v>110.835624413712</v>
      </c>
      <c r="J217" s="40" t="n">
        <f aca="false">Sens!$J$119</f>
        <v>124.635851912673</v>
      </c>
      <c r="K217" s="40" t="n">
        <f aca="false">Sens!$K$119</f>
        <v>137.09943710394</v>
      </c>
      <c r="L217" s="40" t="n">
        <f aca="false">Sens!$L$119</f>
        <v>150.809380814334</v>
      </c>
      <c r="M217" s="40" t="n">
        <f aca="false">Sens!$M$119</f>
        <v>165.890318895768</v>
      </c>
      <c r="N217" s="40" t="n">
        <f aca="false">Sens!$N$119</f>
        <v>47.318</v>
      </c>
      <c r="O217" s="40" t="n">
        <f aca="false">Sens!$O$119</f>
        <v>21.317</v>
      </c>
    </row>
    <row r="218" customFormat="false" ht="15" hidden="false" customHeight="false" outlineLevel="0" collapsed="false">
      <c r="A218" s="0" t="s">
        <v>568</v>
      </c>
      <c r="B218" s="0" t="s">
        <v>91</v>
      </c>
      <c r="C218" s="40" t="n">
        <f aca="false">Sens!$C$121</f>
        <v>44.374</v>
      </c>
      <c r="D218" s="40" t="n">
        <f aca="false">Sens!$D$121</f>
        <v>49.619</v>
      </c>
      <c r="E218" s="40" t="n">
        <f aca="false">Sens!$E$121</f>
        <v>41.163</v>
      </c>
      <c r="F218" s="40" t="n">
        <f aca="false">Sens!$F$121</f>
        <v>14.7818388144754</v>
      </c>
      <c r="G218" s="40" t="n">
        <f aca="false">Sens!$G$121</f>
        <v>55.9448388144754</v>
      </c>
      <c r="H218" s="40" t="n">
        <f aca="false">Sens!$H$121</f>
        <v>62.2881216081287</v>
      </c>
      <c r="I218" s="40" t="n">
        <f aca="false">Sens!$I$121</f>
        <v>68.4498533343906</v>
      </c>
      <c r="J218" s="40" t="n">
        <f aca="false">Sens!$J$121</f>
        <v>74.2312327495396</v>
      </c>
      <c r="K218" s="40" t="n">
        <f aca="false">Sens!$K$121</f>
        <v>79.4274190420074</v>
      </c>
      <c r="L218" s="40" t="n">
        <f aca="false">Sens!$L$121</f>
        <v>84.9873383749479</v>
      </c>
      <c r="M218" s="40" t="n">
        <f aca="false">Sens!$M$121</f>
        <v>90.9364520611943</v>
      </c>
      <c r="N218" s="40" t="n">
        <f aca="false">Sens!$N$121</f>
        <v>36.497</v>
      </c>
      <c r="O218" s="40" t="n">
        <f aca="false">Sens!$O$121</f>
        <v>13.122</v>
      </c>
    </row>
    <row r="219" customFormat="false" ht="15" hidden="false" customHeight="false" outlineLevel="0" collapsed="false">
      <c r="A219" s="0" t="s">
        <v>569</v>
      </c>
      <c r="B219" s="0" t="s">
        <v>91</v>
      </c>
      <c r="C219" s="40" t="n">
        <f aca="false">Sens!$C$123</f>
        <v>5.425</v>
      </c>
      <c r="D219" s="40" t="n">
        <f aca="false">Sens!$D$123</f>
        <v>5.935</v>
      </c>
      <c r="E219" s="40" t="n">
        <f aca="false">Sens!$E$123</f>
        <v>5.119</v>
      </c>
      <c r="F219" s="40" t="n">
        <f aca="false">Sens!$F$123</f>
        <v>2.06764643489463</v>
      </c>
      <c r="G219" s="40" t="n">
        <f aca="false">Sens!$G$123</f>
        <v>7.18664643489463</v>
      </c>
      <c r="H219" s="40" t="n">
        <f aca="false">Sens!$H$123</f>
        <v>8.41544223415965</v>
      </c>
      <c r="I219" s="40" t="n">
        <f aca="false">Sens!$I$123</f>
        <v>9.51496576222195</v>
      </c>
      <c r="J219" s="40" t="n">
        <f aca="false">Sens!$J$123</f>
        <v>10.3744310498661</v>
      </c>
      <c r="K219" s="40" t="n">
        <f aca="false">Sens!$K$123</f>
        <v>10.8931526023594</v>
      </c>
      <c r="L219" s="40" t="n">
        <f aca="false">Sens!$L$123</f>
        <v>11.4378102324774</v>
      </c>
      <c r="M219" s="40" t="n">
        <f aca="false">Sens!$M$123</f>
        <v>12.0097007441012</v>
      </c>
      <c r="N219" s="40" t="n">
        <f aca="false">Sens!$N$123</f>
        <v>4.226</v>
      </c>
      <c r="O219" s="40" t="n">
        <f aca="false">Sens!$O$123</f>
        <v>1.709</v>
      </c>
    </row>
    <row r="220" customFormat="false" ht="17.15" hidden="false" customHeight="false" outlineLevel="0" collapsed="false">
      <c r="A220" s="0" t="s">
        <v>776</v>
      </c>
      <c r="B220" s="0" t="s">
        <v>91</v>
      </c>
      <c r="C220" s="40" t="n">
        <f aca="false">Sens!$C$201</f>
        <v>107.556</v>
      </c>
      <c r="D220" s="40" t="n">
        <f aca="false">Sens!$D$201</f>
        <v>128.725</v>
      </c>
      <c r="E220" s="40" t="n">
        <f aca="false">Sens!$E$201</f>
        <v>125.803</v>
      </c>
      <c r="F220" s="40" t="n">
        <f aca="false">Sens!$F$201</f>
        <v>46.711682342874</v>
      </c>
      <c r="G220" s="40" t="n">
        <f aca="false">Sens!$G$201</f>
        <v>172.514682342874</v>
      </c>
      <c r="H220" s="40" t="n">
        <f aca="false">Sens!$H$201</f>
        <v>236.199624626263</v>
      </c>
      <c r="I220" s="40" t="n">
        <f aca="false">Sens!$I$201</f>
        <v>307.34742849573</v>
      </c>
      <c r="J220" s="40" t="n">
        <f aca="false">Sens!$J$201</f>
        <v>378.018786790698</v>
      </c>
      <c r="K220" s="40" t="n">
        <f aca="false">Sens!$K$201</f>
        <v>439.481495534144</v>
      </c>
      <c r="L220" s="40" t="n">
        <f aca="false">Sens!$L$201</f>
        <v>486.651506211241</v>
      </c>
      <c r="M220" s="40" t="n">
        <f aca="false">Sens!$M$201</f>
        <v>519.58439792343</v>
      </c>
      <c r="N220" s="40" t="n">
        <f aca="false">Sens!$N$201</f>
        <v>93.146</v>
      </c>
      <c r="O220" s="40" t="n">
        <f aca="false">Sens!$O$201</f>
        <v>35.579</v>
      </c>
    </row>
    <row r="221" customFormat="false" ht="15" hidden="false" customHeight="false" outlineLevel="0" collapsed="false">
      <c r="A221" s="1" t="s">
        <v>557</v>
      </c>
      <c r="B221" s="8" t="s">
        <v>91</v>
      </c>
      <c r="C221" s="40" t="n">
        <f aca="false">Sens!$C$128</f>
        <v>387.497</v>
      </c>
      <c r="D221" s="40" t="n">
        <f aca="false">Sens!$D$128</f>
        <v>426.305</v>
      </c>
      <c r="E221" s="40" t="n">
        <f aca="false">Sens!$E$128</f>
        <v>333.172</v>
      </c>
      <c r="F221" s="40" t="n">
        <f aca="false">Sens!$F$128</f>
        <v>141.803933639977</v>
      </c>
      <c r="G221" s="40" t="n">
        <f aca="false">Sens!$G$128</f>
        <v>474.975933639977</v>
      </c>
      <c r="H221" s="40" t="n">
        <f aca="false">Sens!$H$128</f>
        <v>524.566728590708</v>
      </c>
      <c r="I221" s="40" t="n">
        <f aca="false">Sens!$I$128</f>
        <v>572.569560425675</v>
      </c>
      <c r="J221" s="40" t="n">
        <f aca="false">Sens!$J$128</f>
        <v>617.334825989679</v>
      </c>
      <c r="K221" s="40" t="n">
        <f aca="false">Sens!$K$128</f>
        <v>657.154313491738</v>
      </c>
      <c r="L221" s="40" t="n">
        <f aca="false">Sens!$L$128</f>
        <v>699.741557349269</v>
      </c>
      <c r="M221" s="40" t="n">
        <f aca="false">Sens!$M$128</f>
        <v>745.303288602707</v>
      </c>
      <c r="N221" s="40" t="n">
        <f aca="false">Sens!$N$128</f>
        <v>299.222</v>
      </c>
      <c r="O221" s="40" t="n">
        <f aca="false">Sens!$O$128</f>
        <v>127.083</v>
      </c>
    </row>
    <row r="222" customFormat="false" ht="15" hidden="false" customHeight="false" outlineLevel="0" collapsed="false">
      <c r="A222" s="1" t="s">
        <v>560</v>
      </c>
      <c r="B222" s="8" t="s">
        <v>91</v>
      </c>
      <c r="C222" s="40" t="n">
        <f aca="false">Sens!$C$129</f>
        <v>142.906</v>
      </c>
      <c r="D222" s="40" t="n">
        <f aca="false">Sens!$D$129</f>
        <v>161.894</v>
      </c>
      <c r="E222" s="40" t="n">
        <f aca="false">Sens!$E$129</f>
        <v>125.094</v>
      </c>
      <c r="F222" s="40" t="n">
        <f aca="false">Sens!$F$129</f>
        <v>56.5997240382599</v>
      </c>
      <c r="G222" s="40" t="n">
        <f aca="false">Sens!$G$129</f>
        <v>181.69372403826</v>
      </c>
      <c r="H222" s="40" t="n">
        <f aca="false">Sens!$H$129</f>
        <v>200.663814045906</v>
      </c>
      <c r="I222" s="40" t="n">
        <f aca="false">Sens!$I$129</f>
        <v>219.026456577366</v>
      </c>
      <c r="J222" s="40" t="n">
        <f aca="false">Sens!$J$129</f>
        <v>236.150624839017</v>
      </c>
      <c r="K222" s="40" t="n">
        <f aca="false">Sens!$K$129</f>
        <v>251.382872330167</v>
      </c>
      <c r="L222" s="40" t="n">
        <f aca="false">Sens!$L$129</f>
        <v>267.673876536846</v>
      </c>
      <c r="M222" s="40" t="n">
        <f aca="false">Sens!$M$129</f>
        <v>285.102718797604</v>
      </c>
      <c r="N222" s="40" t="n">
        <f aca="false">Sens!$N$129</f>
        <v>111.17</v>
      </c>
      <c r="O222" s="40" t="n">
        <f aca="false">Sens!$O$129</f>
        <v>50.724</v>
      </c>
    </row>
    <row r="223" customFormat="false" ht="15" hidden="false" customHeight="false" outlineLevel="0" collapsed="false">
      <c r="A223" s="1" t="s">
        <v>561</v>
      </c>
      <c r="B223" s="8" t="s">
        <v>91</v>
      </c>
      <c r="C223" s="40" t="n">
        <f aca="false">Sens!$C$201</f>
        <v>107.556</v>
      </c>
      <c r="D223" s="40" t="n">
        <f aca="false">Sens!$D$201</f>
        <v>128.725</v>
      </c>
      <c r="E223" s="40" t="n">
        <f aca="false">Sens!$E$201</f>
        <v>125.803</v>
      </c>
      <c r="F223" s="40" t="n">
        <f aca="false">Sens!$F$201</f>
        <v>46.711682342874</v>
      </c>
      <c r="G223" s="40" t="n">
        <f aca="false">Sens!$G$201</f>
        <v>172.514682342874</v>
      </c>
      <c r="H223" s="40" t="n">
        <f aca="false">Sens!$H$201</f>
        <v>236.199624626263</v>
      </c>
      <c r="I223" s="40" t="n">
        <f aca="false">Sens!$I$201</f>
        <v>307.34742849573</v>
      </c>
      <c r="J223" s="40" t="n">
        <f aca="false">Sens!$J$201</f>
        <v>378.018786790698</v>
      </c>
      <c r="K223" s="40" t="n">
        <f aca="false">Sens!$K$201</f>
        <v>439.481495534144</v>
      </c>
      <c r="L223" s="40" t="n">
        <f aca="false">Sens!$L$201</f>
        <v>486.651506211241</v>
      </c>
      <c r="M223" s="40" t="n">
        <f aca="false">Sens!$M$201</f>
        <v>519.58439792343</v>
      </c>
      <c r="N223" s="40" t="n">
        <f aca="false">Sens!$N$201</f>
        <v>93.146</v>
      </c>
      <c r="O223" s="40" t="n">
        <f aca="false">Sens!$O$201</f>
        <v>35.579</v>
      </c>
    </row>
    <row r="224" customFormat="false" ht="17.15" hidden="false" customHeight="false" outlineLevel="0" collapsed="false">
      <c r="A224" s="0" t="s">
        <v>750</v>
      </c>
      <c r="B224" s="0" t="s">
        <v>91</v>
      </c>
      <c r="C224" s="40" t="n">
        <f aca="false">Sens!$C$199</f>
        <v>2.32100535697364</v>
      </c>
      <c r="D224" s="40" t="n">
        <f aca="false">Sens!$D$199</f>
        <v>8.70377008865116</v>
      </c>
      <c r="E224" s="40" t="n">
        <f aca="false">Sens!$E$199</f>
        <v>16.2007080559478</v>
      </c>
      <c r="F224" s="40" t="n">
        <f aca="false">Sens!$F$199</f>
        <v>9.73202200732313</v>
      </c>
      <c r="G224" s="40" t="n">
        <f aca="false">Sens!$G$199</f>
        <v>25.9327300632709</v>
      </c>
      <c r="H224" s="40" t="n">
        <f aca="false">Sens!$H$199</f>
        <v>71.2392094580459</v>
      </c>
      <c r="I224" s="40" t="n">
        <f aca="false">Sens!$I$199</f>
        <v>124.19956439883</v>
      </c>
      <c r="J224" s="40" t="n">
        <f aca="false">Sens!$J$199</f>
        <v>177.44866949843</v>
      </c>
      <c r="K224" s="40" t="n">
        <f aca="false">Sens!$K$199</f>
        <v>222.865768858495</v>
      </c>
      <c r="L224" s="40" t="n">
        <f aca="false">Sens!$L$199</f>
        <v>252.70652140154</v>
      </c>
      <c r="M224" s="40" t="n">
        <f aca="false">Sens!$M$199</f>
        <v>266.923814328953</v>
      </c>
      <c r="N224" s="40" t="n">
        <f aca="false">Sens!$N$199</f>
        <v>5.54865343151512</v>
      </c>
      <c r="O224" s="40" t="n">
        <f aca="false">Sens!$O$199</f>
        <v>3.15511665713605</v>
      </c>
    </row>
    <row r="225" customFormat="false" ht="17.15" hidden="false" customHeight="false" outlineLevel="0" collapsed="false">
      <c r="A225" s="0" t="s">
        <v>752</v>
      </c>
      <c r="B225" s="0" t="s">
        <v>91</v>
      </c>
      <c r="C225" s="40" t="n">
        <f aca="false">Sens!$C$200</f>
        <v>105.234994643026</v>
      </c>
      <c r="D225" s="40" t="n">
        <f aca="false">Sens!$D$200</f>
        <v>120.021229911349</v>
      </c>
      <c r="E225" s="40" t="n">
        <f aca="false">Sens!$E$200</f>
        <v>109.602291944052</v>
      </c>
      <c r="F225" s="40" t="n">
        <f aca="false">Sens!$F$200</f>
        <v>36.9796603355509</v>
      </c>
      <c r="G225" s="40" t="n">
        <f aca="false">Sens!$G$200</f>
        <v>146.581952279603</v>
      </c>
      <c r="H225" s="40" t="n">
        <f aca="false">Sens!$H$200</f>
        <v>164.960415168217</v>
      </c>
      <c r="I225" s="40" t="n">
        <f aca="false">Sens!$I$200</f>
        <v>183.1478640969</v>
      </c>
      <c r="J225" s="40" t="n">
        <f aca="false">Sens!$J$200</f>
        <v>200.570117292268</v>
      </c>
      <c r="K225" s="40" t="n">
        <f aca="false">Sens!$K$200</f>
        <v>216.615726675649</v>
      </c>
      <c r="L225" s="40" t="n">
        <f aca="false">Sens!$L$200</f>
        <v>233.944984809701</v>
      </c>
      <c r="M225" s="40" t="n">
        <f aca="false">Sens!$M$200</f>
        <v>252.660583594477</v>
      </c>
      <c r="N225" s="40" t="n">
        <f aca="false">Sens!$N$200</f>
        <v>87.5973465684849</v>
      </c>
      <c r="O225" s="40" t="n">
        <f aca="false">Sens!$O$200</f>
        <v>32.423883342864</v>
      </c>
    </row>
    <row r="226" customFormat="false" ht="15" hidden="false" customHeight="false" outlineLevel="0" collapsed="false">
      <c r="A226" s="3" t="s">
        <v>562</v>
      </c>
      <c r="B226" s="8" t="s">
        <v>91</v>
      </c>
      <c r="C226" s="40" t="n">
        <f aca="false">Sens!$C$202</f>
        <v>637.959</v>
      </c>
      <c r="D226" s="40" t="n">
        <f aca="false">Sens!$D$202</f>
        <v>716.924</v>
      </c>
      <c r="E226" s="40" t="n">
        <f aca="false">Sens!$E$202</f>
        <v>584.069</v>
      </c>
      <c r="F226" s="40" t="n">
        <f aca="false">Sens!$F$202</f>
        <v>245.115340021111</v>
      </c>
      <c r="G226" s="40" t="n">
        <f aca="false">Sens!$G$202</f>
        <v>829.184340021111</v>
      </c>
      <c r="H226" s="40" t="n">
        <f aca="false">Sens!$H$202</f>
        <v>961.430167262876</v>
      </c>
      <c r="I226" s="40" t="n">
        <f aca="false">Sens!$I$202</f>
        <v>1098.94344549877</v>
      </c>
      <c r="J226" s="40" t="n">
        <f aca="false">Sens!$J$202</f>
        <v>1231.50423761939</v>
      </c>
      <c r="K226" s="40" t="n">
        <f aca="false">Sens!$K$202</f>
        <v>1348.01868135605</v>
      </c>
      <c r="L226" s="40" t="n">
        <f aca="false">Sens!$L$202</f>
        <v>1454.06694009736</v>
      </c>
      <c r="M226" s="40" t="n">
        <f aca="false">Sens!$M$202</f>
        <v>1549.99040532374</v>
      </c>
      <c r="N226" s="40" t="n">
        <f aca="false">Sens!$N$202</f>
        <v>503.538</v>
      </c>
      <c r="O226" s="40" t="n">
        <f aca="false">Sens!$O$202</f>
        <v>213.386</v>
      </c>
    </row>
    <row r="227" customFormat="false" ht="17.15" hidden="false" customHeight="false" outlineLevel="0" collapsed="false">
      <c r="A227" s="27" t="s">
        <v>755</v>
      </c>
      <c r="B227" s="28" t="s">
        <v>91</v>
      </c>
      <c r="C227" s="43" t="n">
        <f aca="false">Sens!$C$214+Sens!$C$215+Sens!$C$216+Sens!$C$217+Sens!$C$218+Sens!$C$219-(Sens!$C$221+Sens!$C$222)</f>
        <v>0</v>
      </c>
      <c r="D227" s="43" t="n">
        <f aca="false">Sens!$D$214+Sens!$D$215+Sens!$D$216+Sens!$D$217+Sens!$D$218+Sens!$D$219-(Sens!$D$221+Sens!$D$222)</f>
        <v>0</v>
      </c>
      <c r="E227" s="43" t="n">
        <f aca="false">Sens!$E$214+Sens!$E$215+Sens!$E$216+Sens!$E$217+Sens!$E$218+Sens!$E$219-(Sens!$E$221+Sens!$E$222)</f>
        <v>0</v>
      </c>
      <c r="F227" s="43" t="n">
        <f aca="false">Sens!$F$214+Sens!$F$215+Sens!$F$216+Sens!$F$217+Sens!$F$218+Sens!$F$219-(Sens!$F$221+Sens!$F$222)</f>
        <v>0</v>
      </c>
      <c r="G227" s="43" t="n">
        <f aca="false">Sens!$G$214+Sens!$G$215+Sens!$G$216+Sens!$G$217+Sens!$G$218+Sens!$G$219-(Sens!$G$221+Sens!$G$222)</f>
        <v>0</v>
      </c>
      <c r="H227" s="43" t="n">
        <f aca="false">Sens!$H$214+Sens!$H$215+Sens!$H$216+Sens!$H$217+Sens!$H$218+Sens!$H$219-(Sens!$H$221+Sens!$H$222)</f>
        <v>0</v>
      </c>
      <c r="I227" s="43" t="n">
        <f aca="false">Sens!$I$214+Sens!$I$215+Sens!$I$216+Sens!$I$217+Sens!$I$218+Sens!$I$219-(Sens!$I$221+Sens!$I$222)</f>
        <v>0</v>
      </c>
      <c r="J227" s="43" t="n">
        <f aca="false">Sens!$J$214+Sens!$J$215+Sens!$J$216+Sens!$J$217+Sens!$J$218+Sens!$J$219-(Sens!$J$221+Sens!$J$222)</f>
        <v>0</v>
      </c>
      <c r="K227" s="43" t="n">
        <f aca="false">Sens!$K$214+Sens!$K$215+Sens!$K$216+Sens!$K$217+Sens!$K$218+Sens!$K$219-(Sens!$K$221+Sens!$K$222)</f>
        <v>0</v>
      </c>
      <c r="L227" s="43" t="n">
        <f aca="false">Sens!$L$214+Sens!$L$215+Sens!$L$216+Sens!$L$217+Sens!$L$218+Sens!$L$219-(Sens!$L$221+Sens!$L$222)</f>
        <v>0</v>
      </c>
      <c r="M227" s="43" t="n">
        <f aca="false">Sens!$M$214+Sens!$M$215+Sens!$M$216+Sens!$M$217+Sens!$M$218+Sens!$M$219-(Sens!$M$221+Sens!$M$222)</f>
        <v>0</v>
      </c>
      <c r="N227" s="43" t="n">
        <f aca="false">Sens!$N$214+Sens!$N$215+Sens!$N$216+Sens!$N$217+Sens!$N$218+Sens!$N$219-(Sens!$N$221+Sens!$N$222)</f>
        <v>0</v>
      </c>
      <c r="O227" s="43" t="n">
        <f aca="false">Sens!$O$214+Sens!$O$215+Sens!$O$216+Sens!$O$217+Sens!$O$218+Sens!$O$219-(Sens!$O$221+Sens!$O$222)</f>
        <v>0</v>
      </c>
    </row>
    <row r="228" customFormat="false" ht="17.15" hidden="false" customHeight="false" outlineLevel="0" collapsed="false">
      <c r="A228" s="27" t="s">
        <v>756</v>
      </c>
      <c r="B228" s="28" t="s">
        <v>91</v>
      </c>
      <c r="C228" s="43" t="n">
        <f aca="false">Sens!$C$224+Sens!$C$225-Sens!$C$223</f>
        <v>0</v>
      </c>
      <c r="D228" s="43" t="n">
        <f aca="false">Sens!$D$224+Sens!$D$225-Sens!$D$223</f>
        <v>0</v>
      </c>
      <c r="E228" s="43" t="n">
        <f aca="false">Sens!$E$224+Sens!$E$225-Sens!$E$223</f>
        <v>0</v>
      </c>
      <c r="F228" s="43" t="n">
        <f aca="false">Sens!$F$224+Sens!$F$225-Sens!$F$223</f>
        <v>0</v>
      </c>
      <c r="G228" s="43" t="n">
        <f aca="false">Sens!$G$224+Sens!$G$225-Sens!$G$223</f>
        <v>0</v>
      </c>
      <c r="H228" s="43" t="n">
        <f aca="false">Sens!$H$224+Sens!$H$225-Sens!$H$223</f>
        <v>0</v>
      </c>
      <c r="I228" s="43" t="n">
        <f aca="false">Sens!$I$224+Sens!$I$225-Sens!$I$223</f>
        <v>0</v>
      </c>
      <c r="J228" s="43" t="n">
        <f aca="false">Sens!$J$224+Sens!$J$225-Sens!$J$223</f>
        <v>0</v>
      </c>
      <c r="K228" s="43" t="n">
        <f aca="false">Sens!$K$224+Sens!$K$225-Sens!$K$223</f>
        <v>0</v>
      </c>
      <c r="L228" s="43" t="n">
        <f aca="false">Sens!$L$224+Sens!$L$225-Sens!$L$223</f>
        <v>0</v>
      </c>
      <c r="M228" s="43" t="n">
        <f aca="false">Sens!$M$224+Sens!$M$225-Sens!$M$223</f>
        <v>0</v>
      </c>
      <c r="N228" s="43" t="n">
        <f aca="false">Sens!$N$224+Sens!$N$225-Sens!$N$223</f>
        <v>0</v>
      </c>
      <c r="O228" s="43" t="n">
        <f aca="false">Sens!$O$224+Sens!$O$225-Sens!$O$223</f>
        <v>0</v>
      </c>
    </row>
    <row r="229" customFormat="false" ht="17.15" hidden="false" customHeight="false" outlineLevel="0" collapsed="false">
      <c r="A229" s="27" t="s">
        <v>777</v>
      </c>
      <c r="B229" s="28" t="s">
        <v>91</v>
      </c>
      <c r="C229" s="43" t="n">
        <f aca="false">Sens!$C$214+Sens!$C$215+Sens!$C$216+Sens!$C$217+Sens!$C$218+Sens!$C$219+Sens!$C$220-Sens!$C$226</f>
        <v>0</v>
      </c>
      <c r="D229" s="43" t="n">
        <f aca="false">Sens!$D$214+Sens!$D$215+Sens!$D$216+Sens!$D$217+Sens!$D$218+Sens!$D$219+Sens!$D$220-Sens!$D$226</f>
        <v>0</v>
      </c>
      <c r="E229" s="43" t="n">
        <f aca="false">Sens!$E$214+Sens!$E$215+Sens!$E$216+Sens!$E$217+Sens!$E$218+Sens!$E$219+Sens!$E$220-Sens!$E$226</f>
        <v>0</v>
      </c>
      <c r="F229" s="43" t="n">
        <f aca="false">Sens!$F$214+Sens!$F$215+Sens!$F$216+Sens!$F$217+Sens!$F$218+Sens!$F$219+Sens!$F$220-Sens!$F$226</f>
        <v>0</v>
      </c>
      <c r="G229" s="43" t="n">
        <f aca="false">Sens!$G$214+Sens!$G$215+Sens!$G$216+Sens!$G$217+Sens!$G$218+Sens!$G$219+Sens!$G$220-Sens!$G$226</f>
        <v>0</v>
      </c>
      <c r="H229" s="43" t="n">
        <f aca="false">Sens!$H$214+Sens!$H$215+Sens!$H$216+Sens!$H$217+Sens!$H$218+Sens!$H$219+Sens!$H$220-Sens!$H$226</f>
        <v>0</v>
      </c>
      <c r="I229" s="43" t="n">
        <f aca="false">Sens!$I$214+Sens!$I$215+Sens!$I$216+Sens!$I$217+Sens!$I$218+Sens!$I$219+Sens!$I$220-Sens!$I$226</f>
        <v>0</v>
      </c>
      <c r="J229" s="43" t="n">
        <f aca="false">Sens!$J$214+Sens!$J$215+Sens!$J$216+Sens!$J$217+Sens!$J$218+Sens!$J$219+Sens!$J$220-Sens!$J$226</f>
        <v>0</v>
      </c>
      <c r="K229" s="43" t="n">
        <f aca="false">Sens!$K$214+Sens!$K$215+Sens!$K$216+Sens!$K$217+Sens!$K$218+Sens!$K$219+Sens!$K$220-Sens!$K$226</f>
        <v>0</v>
      </c>
      <c r="L229" s="43" t="n">
        <f aca="false">Sens!$L$214+Sens!$L$215+Sens!$L$216+Sens!$L$217+Sens!$L$218+Sens!$L$219+Sens!$L$220-Sens!$L$226</f>
        <v>0</v>
      </c>
      <c r="M229" s="43" t="n">
        <f aca="false">Sens!$M$214+Sens!$M$215+Sens!$M$216+Sens!$M$217+Sens!$M$218+Sens!$M$219+Sens!$M$220-Sens!$M$226</f>
        <v>0</v>
      </c>
      <c r="N229" s="43" t="n">
        <f aca="false">Sens!$N$214+Sens!$N$215+Sens!$N$216+Sens!$N$217+Sens!$N$218+Sens!$N$219+Sens!$N$220-Sens!$N$226</f>
        <v>0</v>
      </c>
      <c r="O229" s="43" t="n">
        <f aca="false">Sens!$O$214+Sens!$O$215+Sens!$O$216+Sens!$O$217+Sens!$O$218+Sens!$O$219+Sens!$O$220-Sens!$O$226</f>
        <v>0</v>
      </c>
    </row>
    <row r="230" customFormat="false" ht="17.15" hidden="false" customHeight="false" outlineLevel="0" collapsed="false">
      <c r="A230" s="27" t="s">
        <v>757</v>
      </c>
      <c r="B230" s="28" t="s">
        <v>91</v>
      </c>
      <c r="C230" s="43" t="n">
        <f aca="false">Sens!$C$221+Sens!$C$222+Sens!$C$223-Sens!$C$226</f>
        <v>0</v>
      </c>
      <c r="D230" s="43" t="n">
        <f aca="false">Sens!$D$221+Sens!$D$222+Sens!$D$223-Sens!$D$226</f>
        <v>0</v>
      </c>
      <c r="E230" s="43" t="n">
        <f aca="false">Sens!$E$221+Sens!$E$222+Sens!$E$223-Sens!$E$226</f>
        <v>0</v>
      </c>
      <c r="F230" s="43" t="n">
        <f aca="false">Sens!$F$221+Sens!$F$222+Sens!$F$223-Sens!$F$226</f>
        <v>0</v>
      </c>
      <c r="G230" s="43" t="n">
        <f aca="false">Sens!$G$221+Sens!$G$222+Sens!$G$223-Sens!$G$226</f>
        <v>0</v>
      </c>
      <c r="H230" s="43" t="n">
        <f aca="false">Sens!$H$221+Sens!$H$222+Sens!$H$223-Sens!$H$226</f>
        <v>0</v>
      </c>
      <c r="I230" s="43" t="n">
        <f aca="false">Sens!$I$221+Sens!$I$222+Sens!$I$223-Sens!$I$226</f>
        <v>0</v>
      </c>
      <c r="J230" s="43" t="n">
        <f aca="false">Sens!$J$221+Sens!$J$222+Sens!$J$223-Sens!$J$226</f>
        <v>0</v>
      </c>
      <c r="K230" s="43" t="n">
        <f aca="false">Sens!$K$221+Sens!$K$222+Sens!$K$223-Sens!$K$226</f>
        <v>0</v>
      </c>
      <c r="L230" s="43" t="n">
        <f aca="false">Sens!$L$221+Sens!$L$222+Sens!$L$223-Sens!$L$226</f>
        <v>0</v>
      </c>
      <c r="M230" s="43" t="n">
        <f aca="false">Sens!$M$221+Sens!$M$222+Sens!$M$223-Sens!$M$226</f>
        <v>0</v>
      </c>
      <c r="N230" s="43" t="n">
        <f aca="false">Sens!$N$221+Sens!$N$222+Sens!$N$223-Sens!$N$226</f>
        <v>0</v>
      </c>
      <c r="O230" s="43" t="n">
        <f aca="false">Sens!$O$221+Sens!$O$222+Sens!$O$223-Sens!$O$226</f>
        <v>0</v>
      </c>
    </row>
    <row r="231" customFormat="false" ht="17.15" hidden="false" customHeight="false" outlineLevel="0" collapsed="false">
      <c r="A231" s="1" t="s">
        <v>778</v>
      </c>
    </row>
    <row r="232" customFormat="false" ht="17.15" hidden="false" customHeight="false" outlineLevel="0" collapsed="false">
      <c r="A232" s="0" t="s">
        <v>779</v>
      </c>
      <c r="B232" s="0" t="s">
        <v>91</v>
      </c>
      <c r="C232" s="40" t="n">
        <f aca="false">Sens!$C$130*m_ad</f>
        <v>20.5341564414228</v>
      </c>
      <c r="D232" s="40" t="n">
        <f aca="false">Sens!$D$130*m_ad</f>
        <v>24.8720617299587</v>
      </c>
      <c r="E232" s="40" t="n">
        <f aca="false">Sens!$E$130*m_ad</f>
        <v>20.6072319438929</v>
      </c>
      <c r="F232" s="40" t="n">
        <f aca="false">Sens!$F$130*m_ad</f>
        <v>9.11560896886989</v>
      </c>
      <c r="G232" s="40" t="n">
        <f aca="false">Sens!$G$130*m_ad</f>
        <v>29.7269830141693</v>
      </c>
      <c r="H232" s="40" t="n">
        <f aca="false">Sens!$H$130*m_ad</f>
        <v>34.885573887113</v>
      </c>
      <c r="I232" s="40" t="n">
        <f aca="false">Sens!$I$130*m_ad</f>
        <v>40.0842749249334</v>
      </c>
      <c r="J232" s="40" t="n">
        <f aca="false">Sens!$J$130*m_ad</f>
        <v>45.0751983398651</v>
      </c>
      <c r="K232" s="40" t="n">
        <f aca="false">Sens!$K$130*m_ad</f>
        <v>49.5827181738516</v>
      </c>
      <c r="L232" s="40" t="n">
        <f aca="false">Sens!$L$130*m_ad</f>
        <v>54.5409899912368</v>
      </c>
      <c r="M232" s="40" t="n">
        <f aca="false">Sens!$M$130*m_ad</f>
        <v>59.9950889903605</v>
      </c>
      <c r="N232" s="40" t="n">
        <f aca="false">Sens!$N$130*m_ad</f>
        <v>17.2500762636699</v>
      </c>
      <c r="O232" s="40" t="n">
        <f aca="false">Sens!$O$130*m_ad</f>
        <v>7.61788993402959</v>
      </c>
    </row>
    <row r="233" customFormat="false" ht="17.15" hidden="false" customHeight="false" outlineLevel="0" collapsed="false">
      <c r="A233" s="0" t="s">
        <v>780</v>
      </c>
      <c r="B233" s="0" t="s">
        <v>91</v>
      </c>
      <c r="C233" s="40" t="n">
        <f aca="false">Sens!$C$128-Sens!$C$130</f>
        <v>346.428687117154</v>
      </c>
      <c r="D233" s="40" t="n">
        <f aca="false">Sens!$D$128-Sens!$D$130</f>
        <v>376.560876540083</v>
      </c>
      <c r="E233" s="40" t="n">
        <f aca="false">Sens!$E$128-Sens!$E$130</f>
        <v>291.957536112214</v>
      </c>
      <c r="F233" s="40" t="n">
        <f aca="false">Sens!$F$128-Sens!$F$130</f>
        <v>123.572715702237</v>
      </c>
      <c r="G233" s="40" t="n">
        <f aca="false">Sens!$G$128-Sens!$G$130</f>
        <v>415.521967611638</v>
      </c>
      <c r="H233" s="40" t="n">
        <f aca="false">Sens!$H$128-Sens!$H$130</f>
        <v>454.795580816482</v>
      </c>
      <c r="I233" s="40" t="n">
        <f aca="false">Sens!$I$128-Sens!$I$130</f>
        <v>492.401010575808</v>
      </c>
      <c r="J233" s="40" t="n">
        <f aca="false">Sens!$J$128-Sens!$J$130</f>
        <v>527.184429309948</v>
      </c>
      <c r="K233" s="40" t="n">
        <f aca="false">Sens!$K$128-Sens!$K$130</f>
        <v>557.988877144035</v>
      </c>
      <c r="L233" s="40" t="n">
        <f aca="false">Sens!$L$128-Sens!$L$130</f>
        <v>590.659577366795</v>
      </c>
      <c r="M233" s="40" t="n">
        <f aca="false">Sens!$M$128-Sens!$M$130</f>
        <v>625.313110621986</v>
      </c>
      <c r="N233" s="40" t="n">
        <f aca="false">Sens!$N$128-Sens!$N$130</f>
        <v>264.72184747266</v>
      </c>
      <c r="O233" s="40" t="n">
        <f aca="false">Sens!$O$128-Sens!$O$130</f>
        <v>111.847220131941</v>
      </c>
    </row>
    <row r="234" customFormat="false" ht="17.15" hidden="false" customHeight="false" outlineLevel="0" collapsed="false">
      <c r="A234" s="0" t="s">
        <v>781</v>
      </c>
      <c r="B234" s="0" t="s">
        <v>91</v>
      </c>
      <c r="C234" s="40" t="n">
        <f aca="false">Sens!$C$185*Sens!$C$127</f>
        <v>0.123617442257179</v>
      </c>
      <c r="D234" s="40" t="n">
        <f aca="false">Sens!$D$185*Sens!$D$127</f>
        <v>0.600198046024689</v>
      </c>
      <c r="E234" s="40" t="n">
        <f aca="false">Sens!$E$185*Sens!$E$127</f>
        <v>1.79684576634217</v>
      </c>
      <c r="F234" s="40" t="n">
        <f aca="false">Sens!$F$185*Sens!$F$127</f>
        <v>0.715336755429766</v>
      </c>
      <c r="G234" s="40" t="n">
        <f aca="false">Sens!$G$185*Sens!$G$127</f>
        <v>2.51158869029618</v>
      </c>
      <c r="H234" s="40" t="n">
        <f aca="false">Sens!$H$185*Sens!$H$127</f>
        <v>6.1610423529333</v>
      </c>
      <c r="I234" s="40" t="n">
        <f aca="false">Sens!$I$185*Sens!$I$127</f>
        <v>12.1144833143856</v>
      </c>
      <c r="J234" s="40" t="n">
        <f aca="false">Sens!$J$185*Sens!$J$127</f>
        <v>17.2217658638871</v>
      </c>
      <c r="K234" s="40" t="n">
        <f aca="false">Sens!$K$185*Sens!$K$127</f>
        <v>22.1796116103477</v>
      </c>
      <c r="L234" s="40" t="n">
        <f aca="false">Sens!$L$185*Sens!$L$127</f>
        <v>25.5735866522175</v>
      </c>
      <c r="M234" s="40" t="n">
        <f aca="false">Sens!$M$185*Sens!$M$127</f>
        <v>27.2540307991912</v>
      </c>
      <c r="N234" s="40" t="n">
        <f aca="false">Sens!$N$185*Sens!$N$127</f>
        <v>0.413319819188593</v>
      </c>
      <c r="O234" s="40" t="n">
        <f aca="false">Sens!$O$185*Sens!$O$127</f>
        <v>0.186721201823987</v>
      </c>
    </row>
    <row r="235" customFormat="false" ht="17.15" hidden="false" customHeight="false" outlineLevel="0" collapsed="false">
      <c r="A235" s="0" t="s">
        <v>782</v>
      </c>
      <c r="B235" s="0" t="s">
        <v>56</v>
      </c>
      <c r="C235" s="32" t="n">
        <f aca="false">(Sens!$C$236-Sens!$C$232+Sens!$C$234)/Sens!$C$233</f>
        <v>0.0131526665379575</v>
      </c>
      <c r="D235" s="32" t="n">
        <f aca="false">(Sens!$D$236-Sens!$D$232+Sens!$D$234)/Sens!$D$233</f>
        <v>0.0141999252954702</v>
      </c>
      <c r="E235" s="32" t="n">
        <f aca="false">(Sens!$E$236-Sens!$E$232+Sens!$E$234)/Sens!$E$233</f>
        <v>0.0250125888843046</v>
      </c>
      <c r="F235" s="32" t="n">
        <f aca="false">Sens!$O$235+(Sens!$E$235-Sens!$N$235)</f>
        <v>0.056191211622316</v>
      </c>
      <c r="G235" s="32" t="n">
        <f aca="false">(Sens!$G$236-Sens!$G$232+Sens!$G$234)/Sens!$G$233</f>
        <v>0.0342739484754422</v>
      </c>
      <c r="H235" s="32" t="n">
        <f aca="false">Sens!$G$235+step_na</f>
        <v>0.0372739484754422</v>
      </c>
      <c r="I235" s="32" t="n">
        <f aca="false">Sens!$H$235+step_na</f>
        <v>0.0402739484754422</v>
      </c>
      <c r="J235" s="32" t="n">
        <f aca="false">Sens!$I$235+step_na</f>
        <v>0.0432739484754422</v>
      </c>
      <c r="K235" s="32" t="n">
        <f aca="false">Sens!$J$235+step_na</f>
        <v>0.0462739484754422</v>
      </c>
      <c r="L235" s="32" t="n">
        <f aca="false">Sens!$K$235</f>
        <v>0.0462739484754422</v>
      </c>
      <c r="M235" s="32" t="n">
        <f aca="false">Sens!$L$235</f>
        <v>0.0462739484754422</v>
      </c>
      <c r="N235" s="32" t="n">
        <f aca="false">(Sens!$N$236-Sens!$N$232+Sens!$N$234)/Sens!$N$233</f>
        <v>0.00494951046930139</v>
      </c>
      <c r="O235" s="32" t="n">
        <f aca="false">(Sens!$O$236-Sens!$O$232+Sens!$O$234)/Sens!$O$233</f>
        <v>0.0361281332073128</v>
      </c>
      <c r="P235" s="8" t="s">
        <v>783</v>
      </c>
    </row>
    <row r="236" customFormat="false" ht="17.15" hidden="false" customHeight="false" outlineLevel="0" collapsed="false">
      <c r="A236" s="1" t="s">
        <v>784</v>
      </c>
      <c r="B236" s="8" t="s">
        <v>91</v>
      </c>
      <c r="C236" s="40" t="n">
        <f aca="false">Q!$D$23</f>
        <v>24.967</v>
      </c>
      <c r="D236" s="40" t="n">
        <f aca="false">Q!$E$23</f>
        <v>29.619</v>
      </c>
      <c r="E236" s="40" t="n">
        <f aca="false">Q!$O$23</f>
        <v>26.113</v>
      </c>
      <c r="F236" s="40" t="n">
        <f aca="false">Sens!$F$232+Sens!$F$233*Sens!$F$235-Sens!$F$234</f>
        <v>15.3439728322088</v>
      </c>
      <c r="G236" s="40" t="n">
        <f aca="false">Sens!$E$236+Sens!$F$236</f>
        <v>41.4569728322088</v>
      </c>
      <c r="H236" s="40" t="n">
        <f aca="false">Sens!$H$232+Sens!$H$233*Sens!$H$235-Sens!$H$234</f>
        <v>45.676558580392</v>
      </c>
      <c r="I236" s="40" t="n">
        <f aca="false">Sens!$I$232+Sens!$I$233*Sens!$I$235-Sens!$I$234</f>
        <v>47.8007245397337</v>
      </c>
      <c r="J236" s="40" t="n">
        <f aca="false">Sens!$J$232+Sens!$J$233*Sens!$J$235-Sens!$J$234</f>
        <v>50.6667843069921</v>
      </c>
      <c r="K236" s="40" t="n">
        <f aca="false">Sens!$K$232+Sens!$K$233*Sens!$K$235-Sens!$K$234</f>
        <v>53.2234551143369</v>
      </c>
      <c r="L236" s="40" t="n">
        <f aca="false">Sens!$L$232+Sens!$L$233*Sens!$L$235-Sens!$L$234</f>
        <v>56.2995541886169</v>
      </c>
      <c r="M236" s="40" t="n">
        <f aca="false">Sens!$M$232+Sens!$M$233*Sens!$M$235-Sens!$M$234</f>
        <v>61.6767648531096</v>
      </c>
      <c r="N236" s="40" t="n">
        <f aca="false">Q!$N$23</f>
        <v>18.147</v>
      </c>
      <c r="O236" s="40" t="n">
        <f aca="false">Q!$J$23</f>
        <v>11.472</v>
      </c>
    </row>
    <row r="237" customFormat="false" ht="17.15" hidden="false" customHeight="false" outlineLevel="0" collapsed="false">
      <c r="A237" s="0" t="s">
        <v>785</v>
      </c>
      <c r="B237" s="0" t="s">
        <v>91</v>
      </c>
      <c r="C237" s="40" t="n">
        <f aca="false">Sens!$C$131*m_ad</f>
        <v>7.57284355857716</v>
      </c>
      <c r="D237" s="40" t="n">
        <f aca="false">Sens!$D$131*m_ad</f>
        <v>9.44543827004127</v>
      </c>
      <c r="E237" s="40" t="n">
        <f aca="false">Sens!$E$131*m_ad</f>
        <v>7.73726805610715</v>
      </c>
      <c r="F237" s="40" t="n">
        <f aca="false">Sens!$F$131*m_ad</f>
        <v>3.63841071848285</v>
      </c>
      <c r="G237" s="40" t="n">
        <f aca="false">Sens!$G$131*m_ad</f>
        <v>11.3715366731834</v>
      </c>
      <c r="H237" s="40" t="n">
        <f aca="false">Sens!$H$131*m_ad</f>
        <v>13.3448652570383</v>
      </c>
      <c r="I237" s="40" t="n">
        <f aca="false">Sens!$I$131*m_ad</f>
        <v>15.3335372819226</v>
      </c>
      <c r="J237" s="40" t="n">
        <f aca="false">Sens!$J$131*m_ad</f>
        <v>17.2427276164713</v>
      </c>
      <c r="K237" s="40" t="n">
        <f aca="false">Sens!$K$131*m_ad</f>
        <v>18.9670003781185</v>
      </c>
      <c r="L237" s="40" t="n">
        <f aca="false">Sens!$L$131*m_ad</f>
        <v>20.8637004159303</v>
      </c>
      <c r="M237" s="40" t="n">
        <f aca="false">Sens!$M$131*m_ad</f>
        <v>22.9500704575234</v>
      </c>
      <c r="N237" s="40" t="n">
        <f aca="false">Sens!$N$131*m_ad</f>
        <v>6.40892373633015</v>
      </c>
      <c r="O237" s="40" t="n">
        <f aca="false">Sens!$O$131*m_ad</f>
        <v>3.04061006597041</v>
      </c>
    </row>
    <row r="238" customFormat="false" ht="17.15" hidden="false" customHeight="false" outlineLevel="0" collapsed="false">
      <c r="A238" s="0" t="s">
        <v>786</v>
      </c>
      <c r="B238" s="0" t="s">
        <v>91</v>
      </c>
      <c r="C238" s="40" t="n">
        <f aca="false">Sens!$C$129-Sens!$C$131</f>
        <v>127.760312882846</v>
      </c>
      <c r="D238" s="40" t="n">
        <f aca="false">Sens!$D$129-Sens!$D$131</f>
        <v>143.003123459917</v>
      </c>
      <c r="E238" s="40" t="n">
        <f aca="false">Sens!$E$129-Sens!$E$131</f>
        <v>109.619463887786</v>
      </c>
      <c r="F238" s="40" t="n">
        <f aca="false">Sens!$F$129-Sens!$F$131</f>
        <v>49.3229026012942</v>
      </c>
      <c r="G238" s="40" t="n">
        <f aca="false">Sens!$G$129-Sens!$G$131</f>
        <v>158.950650691893</v>
      </c>
      <c r="H238" s="40" t="n">
        <f aca="false">Sens!$H$129-Sens!$H$131</f>
        <v>173.974083531829</v>
      </c>
      <c r="I238" s="40" t="n">
        <f aca="false">Sens!$I$129-Sens!$I$131</f>
        <v>188.359382013521</v>
      </c>
      <c r="J238" s="40" t="n">
        <f aca="false">Sens!$J$129-Sens!$J$131</f>
        <v>201.665169606074</v>
      </c>
      <c r="K238" s="40" t="n">
        <f aca="false">Sens!$K$129-Sens!$K$131</f>
        <v>213.44887157393</v>
      </c>
      <c r="L238" s="40" t="n">
        <f aca="false">Sens!$L$129-Sens!$L$131</f>
        <v>225.946475704985</v>
      </c>
      <c r="M238" s="40" t="n">
        <f aca="false">Sens!$M$129-Sens!$M$131</f>
        <v>239.202577882557</v>
      </c>
      <c r="N238" s="40" t="n">
        <f aca="false">Sens!$N$129-Sens!$N$131</f>
        <v>98.3521525273397</v>
      </c>
      <c r="O238" s="40" t="n">
        <f aca="false">Sens!$O$129-Sens!$O$131</f>
        <v>44.6427798680592</v>
      </c>
    </row>
    <row r="239" customFormat="false" ht="17.15" hidden="false" customHeight="false" outlineLevel="0" collapsed="false">
      <c r="A239" s="0" t="s">
        <v>787</v>
      </c>
      <c r="B239" s="0" t="s">
        <v>91</v>
      </c>
      <c r="C239" s="40" t="n">
        <f aca="false">Sens!$C$185*(1-Sens!$C$127)</f>
        <v>0.0455891896019953</v>
      </c>
      <c r="D239" s="40" t="n">
        <f aca="false">Sens!$D$185*(1-Sens!$D$127)</f>
        <v>0.227931791705753</v>
      </c>
      <c r="E239" s="40" t="n">
        <f aca="false">Sens!$E$185*(1-Sens!$E$127)</f>
        <v>0.674650403679804</v>
      </c>
      <c r="F239" s="40" t="n">
        <f aca="false">Sens!$F$185*(1-Sens!$F$127)</f>
        <v>0.285520026930584</v>
      </c>
      <c r="G239" s="40" t="n">
        <f aca="false">Sens!$G$185*(1-Sens!$G$127)</f>
        <v>0.960764262086144</v>
      </c>
      <c r="H239" s="40" t="n">
        <f aca="false">Sens!$H$185*(1-Sens!$H$127)</f>
        <v>2.35679883922371</v>
      </c>
      <c r="I239" s="40" t="n">
        <f aca="false">Sens!$I$185*(1-Sens!$I$127)</f>
        <v>4.63418340235</v>
      </c>
      <c r="J239" s="40" t="n">
        <f aca="false">Sens!$J$185*(1-Sens!$J$127)</f>
        <v>6.58788488575596</v>
      </c>
      <c r="K239" s="40" t="n">
        <f aca="false">Sens!$K$185*(1-Sens!$K$127)</f>
        <v>8.48442193759839</v>
      </c>
      <c r="L239" s="40" t="n">
        <f aca="false">Sens!$L$185*(1-Sens!$L$127)</f>
        <v>9.7827276431621</v>
      </c>
      <c r="M239" s="40" t="n">
        <f aca="false">Sens!$M$185*(1-Sens!$M$127)</f>
        <v>10.4255521179983</v>
      </c>
      <c r="N239" s="40" t="n">
        <f aca="false">Sens!$N$185*(1-Sens!$N$127)</f>
        <v>0.153560781958532</v>
      </c>
      <c r="O239" s="40" t="n">
        <f aca="false">Sens!$O$185*(1-Sens!$O$127)</f>
        <v>0.0745280347593297</v>
      </c>
    </row>
    <row r="240" customFormat="false" ht="17.15" hidden="false" customHeight="false" outlineLevel="0" collapsed="false">
      <c r="A240" s="0" t="s">
        <v>788</v>
      </c>
      <c r="B240" s="0" t="s">
        <v>56</v>
      </c>
      <c r="C240" s="32" t="n">
        <f aca="false">(Sens!$C$241-Sens!$C$237+Sens!$C$239)/Sens!$C$238</f>
        <v>-0.0292364215826579</v>
      </c>
      <c r="D240" s="32" t="n">
        <f aca="false">(Sens!$D$241-Sens!$D$237+Sens!$D$239)/Sens!$D$238</f>
        <v>-0.0312406216748665</v>
      </c>
      <c r="E240" s="32" t="n">
        <f aca="false">(Sens!$E$241-Sens!$E$237+Sens!$E$239)/Sens!$E$238</f>
        <v>-0.0213613310025343</v>
      </c>
      <c r="F240" s="32" t="n">
        <f aca="false">Sens!$O$240+(Sens!$E$240-Sens!$N$240)</f>
        <v>-0.0386255491636166</v>
      </c>
      <c r="G240" s="32" t="n">
        <f aca="false">(Sens!$G$241-Sens!$G$237+Sens!$G$239)/Sens!$G$238</f>
        <v>-0.0266875656085622</v>
      </c>
      <c r="H240" s="32" t="n">
        <f aca="false">Sens!$G$240+step_in</f>
        <v>-0.0266875656085622</v>
      </c>
      <c r="I240" s="32" t="n">
        <f aca="false">Sens!$H$240+step_in</f>
        <v>-0.0266875656085622</v>
      </c>
      <c r="J240" s="32" t="n">
        <f aca="false">Sens!$I$240+step_in</f>
        <v>-0.0266875656085622</v>
      </c>
      <c r="K240" s="32" t="n">
        <f aca="false">Sens!$J$240+step_in</f>
        <v>-0.0266875656085622</v>
      </c>
      <c r="L240" s="32" t="n">
        <f aca="false">Sens!$K$240</f>
        <v>-0.0266875656085622</v>
      </c>
      <c r="M240" s="32" t="n">
        <f aca="false">Sens!$L$240</f>
        <v>-0.0266875656085622</v>
      </c>
      <c r="N240" s="32" t="n">
        <f aca="false">(Sens!$N$241-Sens!$N$237+Sens!$N$239)/Sens!$N$238</f>
        <v>-0.0258800940189292</v>
      </c>
      <c r="O240" s="32" t="n">
        <f aca="false">(Sens!$O$241-Sens!$O$237+Sens!$O$239)/Sens!$O$238</f>
        <v>-0.0431443121800115</v>
      </c>
      <c r="P240" s="8" t="s">
        <v>783</v>
      </c>
    </row>
    <row r="241" customFormat="false" ht="17.15" hidden="false" customHeight="false" outlineLevel="0" collapsed="false">
      <c r="A241" s="1" t="s">
        <v>789</v>
      </c>
      <c r="B241" s="8" t="s">
        <v>91</v>
      </c>
      <c r="C241" s="40" t="n">
        <f aca="false">Q!$D$24</f>
        <v>3.792</v>
      </c>
      <c r="D241" s="40" t="n">
        <f aca="false">Q!$E$24</f>
        <v>4.75</v>
      </c>
      <c r="E241" s="40" t="n">
        <f aca="false">Q!$O$24</f>
        <v>4.721</v>
      </c>
      <c r="F241" s="40" t="n">
        <f aca="false">Sens!$F$237+Sens!$F$238*Sens!$F$240-Sens!$F$239</f>
        <v>1.4477664922337</v>
      </c>
      <c r="G241" s="40" t="n">
        <f aca="false">Sens!$E$241+Sens!$F$241</f>
        <v>6.1687664922337</v>
      </c>
      <c r="H241" s="40" t="n">
        <f aca="false">Sens!$H$237+Sens!$H$238*Sens!$H$240-Sens!$H$239</f>
        <v>6.34512164936936</v>
      </c>
      <c r="I241" s="40" t="n">
        <f aca="false">Sens!$I$237+Sens!$I$238*Sens!$I$240-Sens!$I$239</f>
        <v>5.67250051409856</v>
      </c>
      <c r="J241" s="40" t="n">
        <f aca="false">Sens!$J$237+Sens!$J$238*Sens!$J$240-Sens!$J$239</f>
        <v>5.27289028589144</v>
      </c>
      <c r="K241" s="40" t="n">
        <f aca="false">Sens!$K$237+Sens!$K$238*Sens!$K$240-Sens!$K$239</f>
        <v>4.78614767631726</v>
      </c>
      <c r="L241" s="40" t="n">
        <f aca="false">Sens!$L$237+Sens!$L$238*Sens!$L$240-Sens!$L$239</f>
        <v>5.05101137836802</v>
      </c>
      <c r="M241" s="40" t="n">
        <f aca="false">Sens!$M$237+Sens!$M$238*Sens!$M$240-Sens!$M$239</f>
        <v>6.1407838485471</v>
      </c>
      <c r="N241" s="40" t="n">
        <f aca="false">Q!$N$24</f>
        <v>3.71</v>
      </c>
      <c r="O241" s="40" t="n">
        <f aca="false">Q!$J$24</f>
        <v>1.04</v>
      </c>
    </row>
    <row r="242" customFormat="false" ht="17.15" hidden="false" customHeight="false" outlineLevel="0" collapsed="false">
      <c r="A242" s="0" t="s">
        <v>790</v>
      </c>
      <c r="B242" s="0" t="s">
        <v>91</v>
      </c>
      <c r="C242" s="40" t="n">
        <f aca="false">Sens!$C$182</f>
        <v>1.64417882953695</v>
      </c>
      <c r="D242" s="40" t="n">
        <f aca="false">Sens!$D$182</f>
        <v>5.39125073772939</v>
      </c>
      <c r="E242" s="40" t="n">
        <f aca="false">Sens!$E$182</f>
        <v>6.31472337585987</v>
      </c>
      <c r="F242" s="40" t="n">
        <f aca="false">Sens!$F$182</f>
        <v>5.72859487788173</v>
      </c>
      <c r="G242" s="40" t="n">
        <f aca="false">Sens!$G$182</f>
        <v>12.0433182537416</v>
      </c>
      <c r="H242" s="40" t="n">
        <f aca="false">Sens!$H$182</f>
        <v>37.1678446894179</v>
      </c>
      <c r="I242" s="40" t="n">
        <f aca="false">Sens!$I$182</f>
        <v>57.2048975318883</v>
      </c>
      <c r="J242" s="40" t="n">
        <f aca="false">Sens!$J$182</f>
        <v>82.2100664998577</v>
      </c>
      <c r="K242" s="40" t="n">
        <f aca="false">Sens!$K$182</f>
        <v>100.209634666711</v>
      </c>
      <c r="L242" s="40" t="n">
        <f aca="false">Sens!$L$182</f>
        <v>111.281264220021</v>
      </c>
      <c r="M242" s="40" t="n">
        <f aca="false">Sens!$M$182</f>
        <v>116.205482660195</v>
      </c>
      <c r="N242" s="40" t="n">
        <f aca="false">Sens!$N$182</f>
        <v>3.28113102692661</v>
      </c>
      <c r="O242" s="40" t="n">
        <f aca="false">Sens!$O$182</f>
        <v>2.11011971080278</v>
      </c>
    </row>
    <row r="243" customFormat="false" ht="17.15" hidden="false" customHeight="false" outlineLevel="0" collapsed="false">
      <c r="A243" s="0" t="s">
        <v>708</v>
      </c>
      <c r="B243" s="0" t="s">
        <v>91</v>
      </c>
      <c r="C243" s="40" t="n">
        <f aca="false">Sens!$C$187</f>
        <v>38.1898211704631</v>
      </c>
      <c r="D243" s="40" t="n">
        <f aca="false">Sens!$D$187</f>
        <v>40.2147492622706</v>
      </c>
      <c r="E243" s="40" t="n">
        <f aca="false">Sens!$E$187</f>
        <v>42.2402766241401</v>
      </c>
      <c r="F243" s="40" t="n">
        <f aca="false">Sens!$F$187</f>
        <v>13.6943139813566</v>
      </c>
      <c r="G243" s="40" t="n">
        <f aca="false">Sens!$G$187</f>
        <v>55.9345906054967</v>
      </c>
      <c r="H243" s="40" t="n">
        <f aca="false">Sens!$H$187</f>
        <v>61.088168450178</v>
      </c>
      <c r="I243" s="40" t="n">
        <f aca="false">Sens!$I$187</f>
        <v>67.8233475699772</v>
      </c>
      <c r="J243" s="40" t="n">
        <f aca="false">Sens!$J$187</f>
        <v>74.2751592782286</v>
      </c>
      <c r="K243" s="40" t="n">
        <f aca="false">Sens!$K$187</f>
        <v>80.2171720204868</v>
      </c>
      <c r="L243" s="40" t="n">
        <f aca="false">Sens!$L$187</f>
        <v>86.6345457821258</v>
      </c>
      <c r="M243" s="40" t="n">
        <f aca="false">Sens!$M$187</f>
        <v>93.5653094446959</v>
      </c>
      <c r="N243" s="40" t="n">
        <f aca="false">Sens!$N$187</f>
        <v>29.8598689730734</v>
      </c>
      <c r="O243" s="40" t="n">
        <f aca="false">Sens!$O$187</f>
        <v>10.3548802891972</v>
      </c>
    </row>
    <row r="244" customFormat="false" ht="17.15" hidden="false" customHeight="false" outlineLevel="0" collapsed="false">
      <c r="A244" s="1" t="s">
        <v>791</v>
      </c>
      <c r="B244" s="8" t="s">
        <v>91</v>
      </c>
      <c r="C244" s="40" t="n">
        <f aca="false">Q!$D$25</f>
        <v>39.834</v>
      </c>
      <c r="D244" s="40" t="n">
        <f aca="false">Q!$E$25</f>
        <v>45.606</v>
      </c>
      <c r="E244" s="40" t="n">
        <f aca="false">Q!$O$25</f>
        <v>48.555</v>
      </c>
      <c r="F244" s="40" t="n">
        <f aca="false">Sens!$F$242+Sens!$F$243</f>
        <v>19.4229088592383</v>
      </c>
      <c r="G244" s="40" t="n">
        <f aca="false">Sens!$G$242+Sens!$G$243</f>
        <v>67.9779088592383</v>
      </c>
      <c r="H244" s="40" t="n">
        <f aca="false">Sens!$H$242+Sens!$H$243</f>
        <v>98.2560131395959</v>
      </c>
      <c r="I244" s="40" t="n">
        <f aca="false">Sens!$I$242+Sens!$I$243</f>
        <v>125.028245101865</v>
      </c>
      <c r="J244" s="40" t="n">
        <f aca="false">Sens!$J$242+Sens!$J$243</f>
        <v>156.485225778086</v>
      </c>
      <c r="K244" s="40" t="n">
        <f aca="false">Sens!$K$242+Sens!$K$243</f>
        <v>180.426806687198</v>
      </c>
      <c r="L244" s="40" t="n">
        <f aca="false">Sens!$L$242+Sens!$L$243</f>
        <v>197.915810002147</v>
      </c>
      <c r="M244" s="40" t="n">
        <f aca="false">Sens!$M$242+Sens!$M$243</f>
        <v>209.770792104891</v>
      </c>
      <c r="N244" s="40" t="n">
        <f aca="false">Q!$N$25</f>
        <v>33.141</v>
      </c>
      <c r="O244" s="40" t="n">
        <f aca="false">Q!$J$25</f>
        <v>12.465</v>
      </c>
    </row>
    <row r="245" customFormat="false" ht="17.15" hidden="false" customHeight="false" outlineLevel="0" collapsed="false">
      <c r="A245" s="5" t="s">
        <v>792</v>
      </c>
      <c r="B245" s="0" t="s">
        <v>91</v>
      </c>
      <c r="C245" s="40" t="n">
        <f aca="false">Q!$D$27</f>
        <v>0</v>
      </c>
      <c r="D245" s="40" t="n">
        <f aca="false">Q!$E$27</f>
        <v>0</v>
      </c>
      <c r="E245" s="40" t="n">
        <f aca="false">Q!$O$27</f>
        <v>0</v>
      </c>
      <c r="F245" s="41" t="n">
        <v>0</v>
      </c>
      <c r="G245" s="40" t="n">
        <f aca="false">Sens!$E$245+Sens!$F$245</f>
        <v>0</v>
      </c>
      <c r="H245" s="41" t="n">
        <v>0</v>
      </c>
      <c r="I245" s="41" t="n">
        <v>0</v>
      </c>
      <c r="J245" s="41" t="n">
        <v>0</v>
      </c>
      <c r="K245" s="41" t="n">
        <v>0</v>
      </c>
      <c r="L245" s="41" t="n">
        <v>0</v>
      </c>
      <c r="M245" s="41" t="n">
        <v>0</v>
      </c>
      <c r="N245" s="40" t="n">
        <f aca="false">Q!$N$27</f>
        <v>0</v>
      </c>
      <c r="O245" s="40" t="n">
        <f aca="false">Q!$J$27</f>
        <v>0</v>
      </c>
    </row>
    <row r="246" customFormat="false" ht="15" hidden="false" customHeight="false" outlineLevel="0" collapsed="false">
      <c r="A246" s="3" t="s">
        <v>580</v>
      </c>
      <c r="B246" s="8" t="s">
        <v>91</v>
      </c>
      <c r="C246" s="40" t="n">
        <f aca="false">Q!$D$26</f>
        <v>68.593</v>
      </c>
      <c r="D246" s="40" t="n">
        <f aca="false">Q!$E$26</f>
        <v>79.975</v>
      </c>
      <c r="E246" s="40" t="n">
        <f aca="false">Q!$O$26</f>
        <v>79.389</v>
      </c>
      <c r="F246" s="40" t="n">
        <f aca="false">Sens!$F$236+Sens!$F$241+Sens!$F$244+Sens!$F$245</f>
        <v>36.2146481836808</v>
      </c>
      <c r="G246" s="40" t="n">
        <f aca="false">Sens!$G$236+Sens!$G$241+Sens!$G$244+Sens!$G$245</f>
        <v>115.603648183681</v>
      </c>
      <c r="H246" s="40" t="n">
        <f aca="false">Sens!$H$236+Sens!$H$241+Sens!$H$244+Sens!$H$245</f>
        <v>150.277693369357</v>
      </c>
      <c r="I246" s="40" t="n">
        <f aca="false">Sens!$I$236+Sens!$I$241+Sens!$I$244+Sens!$I$245</f>
        <v>178.501470155698</v>
      </c>
      <c r="J246" s="40" t="n">
        <f aca="false">Sens!$J$236+Sens!$J$241+Sens!$J$244+Sens!$J$245</f>
        <v>212.42490037097</v>
      </c>
      <c r="K246" s="40" t="n">
        <f aca="false">Sens!$K$236+Sens!$K$241+Sens!$K$244+Sens!$K$245</f>
        <v>238.436409477852</v>
      </c>
      <c r="L246" s="40" t="n">
        <f aca="false">Sens!$L$236+Sens!$L$241+Sens!$L$244+Sens!$L$245</f>
        <v>259.266375569132</v>
      </c>
      <c r="M246" s="40" t="n">
        <f aca="false">Sens!$M$236+Sens!$M$241+Sens!$M$244+Sens!$M$245</f>
        <v>277.588340806548</v>
      </c>
      <c r="N246" s="40" t="n">
        <f aca="false">Q!$N$26</f>
        <v>54.998</v>
      </c>
      <c r="O246" s="40" t="n">
        <f aca="false">Q!$J$26</f>
        <v>24.977</v>
      </c>
    </row>
    <row r="247" customFormat="false" ht="17.15" hidden="false" customHeight="false" outlineLevel="0" collapsed="false">
      <c r="A247" s="27" t="s">
        <v>793</v>
      </c>
      <c r="B247" s="28" t="s">
        <v>91</v>
      </c>
      <c r="C247" s="43" t="n">
        <f aca="false">Sens!$C$236+Sens!$C$241+Sens!$C$244+Sens!$C$245-Sens!$C$246</f>
        <v>0</v>
      </c>
      <c r="D247" s="43" t="n">
        <f aca="false">Sens!$D$236+Sens!$D$241+Sens!$D$244+Sens!$D$245-Sens!$D$246</f>
        <v>0</v>
      </c>
      <c r="E247" s="43" t="n">
        <f aca="false">Sens!$E$236+Sens!$E$241+Sens!$E$244+Sens!$E$245-Sens!$E$246</f>
        <v>0</v>
      </c>
      <c r="F247" s="43" t="n">
        <f aca="false">Sens!$F$236+Sens!$F$241+Sens!$F$244+Sens!$F$245-Sens!$F$246</f>
        <v>0</v>
      </c>
      <c r="G247" s="43" t="n">
        <f aca="false">Sens!$G$236+Sens!$G$241+Sens!$G$244+Sens!$G$245-Sens!$G$246</f>
        <v>0</v>
      </c>
      <c r="H247" s="43" t="n">
        <f aca="false">Sens!$H$236+Sens!$H$241+Sens!$H$244+Sens!$H$245-Sens!$H$246</f>
        <v>0</v>
      </c>
      <c r="I247" s="43" t="n">
        <f aca="false">Sens!$I$236+Sens!$I$241+Sens!$I$244+Sens!$I$245-Sens!$I$246</f>
        <v>0</v>
      </c>
      <c r="J247" s="43" t="n">
        <f aca="false">Sens!$J$236+Sens!$J$241+Sens!$J$244+Sens!$J$245-Sens!$J$246</f>
        <v>0</v>
      </c>
      <c r="K247" s="43" t="n">
        <f aca="false">Sens!$K$236+Sens!$K$241+Sens!$K$244+Sens!$K$245-Sens!$K$246</f>
        <v>0</v>
      </c>
      <c r="L247" s="43" t="n">
        <f aca="false">Sens!$L$236+Sens!$L$241+Sens!$L$244+Sens!$L$245-Sens!$L$246</f>
        <v>0</v>
      </c>
      <c r="M247" s="43" t="n">
        <f aca="false">Sens!$M$236+Sens!$M$241+Sens!$M$244+Sens!$M$245-Sens!$M$246</f>
        <v>0</v>
      </c>
      <c r="N247" s="43" t="n">
        <f aca="false">Sens!$N$236+Sens!$N$241+Sens!$N$244+Sens!$N$245-Sens!$N$246</f>
        <v>0</v>
      </c>
      <c r="O247" s="43" t="n">
        <f aca="false">Sens!$O$236+Sens!$O$241+Sens!$O$244+Sens!$O$245-Sens!$O$246</f>
        <v>0</v>
      </c>
    </row>
    <row r="248" customFormat="false" ht="17.15" hidden="false" customHeight="false" outlineLevel="0" collapsed="false">
      <c r="A248" s="5" t="s">
        <v>794</v>
      </c>
      <c r="B248" s="0" t="s">
        <v>91</v>
      </c>
      <c r="C248" s="40" t="n">
        <f aca="false">Sens!$C$184</f>
        <v>0</v>
      </c>
      <c r="D248" s="40" t="n">
        <f aca="false">Sens!$D$184</f>
        <v>0</v>
      </c>
      <c r="E248" s="40" t="n">
        <f aca="false">Sens!$E$184</f>
        <v>0</v>
      </c>
      <c r="F248" s="40" t="n">
        <f aca="false">Sens!$F$184</f>
        <v>0</v>
      </c>
      <c r="G248" s="40" t="n">
        <f aca="false">Sens!$G$184</f>
        <v>0</v>
      </c>
      <c r="H248" s="40" t="n">
        <f aca="false">Sens!$H$184</f>
        <v>0</v>
      </c>
      <c r="I248" s="40" t="n">
        <f aca="false">Sens!$I$184</f>
        <v>0</v>
      </c>
      <c r="J248" s="40" t="n">
        <f aca="false">Sens!$J$184</f>
        <v>0</v>
      </c>
      <c r="K248" s="40" t="n">
        <f aca="false">Sens!$K$184</f>
        <v>0</v>
      </c>
      <c r="L248" s="40" t="n">
        <f aca="false">Sens!$L$184</f>
        <v>0</v>
      </c>
      <c r="M248" s="40" t="n">
        <f aca="false">Sens!$M$184</f>
        <v>0</v>
      </c>
      <c r="N248" s="40" t="n">
        <f aca="false">Sens!$N$184</f>
        <v>0</v>
      </c>
      <c r="O248" s="40" t="n">
        <f aca="false">Sens!$O$184</f>
        <v>0</v>
      </c>
      <c r="P248" s="5" t="s">
        <v>795</v>
      </c>
    </row>
    <row r="249" customFormat="false" ht="17.15" hidden="false" customHeight="false" outlineLevel="0" collapsed="false">
      <c r="A249" s="5" t="s">
        <v>796</v>
      </c>
      <c r="B249" s="0" t="s">
        <v>91</v>
      </c>
      <c r="C249" s="40" t="n">
        <f aca="false">Sens!$C$246+Sens!$C$248</f>
        <v>68.593</v>
      </c>
      <c r="D249" s="40" t="n">
        <f aca="false">Sens!$D$246+Sens!$D$248</f>
        <v>79.975</v>
      </c>
      <c r="E249" s="40" t="n">
        <f aca="false">Sens!$E$246+Sens!$E$248</f>
        <v>79.389</v>
      </c>
      <c r="F249" s="40" t="n">
        <f aca="false">Sens!$F$246+Sens!$F$248</f>
        <v>36.2146481836808</v>
      </c>
      <c r="G249" s="40" t="n">
        <f aca="false">Sens!$G$246+Sens!$G$248</f>
        <v>115.603648183681</v>
      </c>
      <c r="H249" s="40" t="n">
        <f aca="false">Sens!$H$246+Sens!$H$248</f>
        <v>150.277693369357</v>
      </c>
      <c r="I249" s="40" t="n">
        <f aca="false">Sens!$I$246+Sens!$I$248</f>
        <v>178.501470155698</v>
      </c>
      <c r="J249" s="40" t="n">
        <f aca="false">Sens!$J$246+Sens!$J$248</f>
        <v>212.42490037097</v>
      </c>
      <c r="K249" s="40" t="n">
        <f aca="false">Sens!$K$246+Sens!$K$248</f>
        <v>238.436409477852</v>
      </c>
      <c r="L249" s="40" t="n">
        <f aca="false">Sens!$L$246+Sens!$L$248</f>
        <v>259.266375569132</v>
      </c>
      <c r="M249" s="40" t="n">
        <f aca="false">Sens!$M$246+Sens!$M$248</f>
        <v>277.588340806548</v>
      </c>
      <c r="N249" s="40" t="n">
        <f aca="false">Sens!$N$246+Sens!$N$248</f>
        <v>54.998</v>
      </c>
      <c r="O249" s="40" t="n">
        <f aca="false">Sens!$O$246+Sens!$O$248</f>
        <v>24.977</v>
      </c>
    </row>
    <row r="250" customFormat="false" ht="17.15" hidden="false" customHeight="false" outlineLevel="0" collapsed="false">
      <c r="A250" s="0" t="s">
        <v>797</v>
      </c>
      <c r="B250" s="0" t="s">
        <v>56</v>
      </c>
      <c r="C250" s="13" t="n">
        <f aca="false">Sens!$C$236/Sens!$C$221</f>
        <v>0.0644314665661928</v>
      </c>
      <c r="D250" s="13" t="n">
        <f aca="false">Sens!$D$236/Sens!$D$221</f>
        <v>0.0694784250712518</v>
      </c>
      <c r="E250" s="13" t="n">
        <f aca="false">Sens!$E$236/Sens!$E$221</f>
        <v>0.0783769344362671</v>
      </c>
      <c r="F250" s="13" t="n">
        <f aca="false">Sens!$F$236/Sens!$F$221</f>
        <v>0.108205551414147</v>
      </c>
      <c r="G250" s="13" t="n">
        <f aca="false">Sens!$G$236/Sens!$G$221</f>
        <v>0.0872822597863083</v>
      </c>
      <c r="H250" s="13" t="n">
        <f aca="false">Sens!$H$236/Sens!$H$221</f>
        <v>0.0870748297420729</v>
      </c>
      <c r="I250" s="13" t="n">
        <f aca="false">Sens!$I$236/Sens!$I$221</f>
        <v>0.0834845717334263</v>
      </c>
      <c r="J250" s="13" t="n">
        <f aca="false">Sens!$J$236/Sens!$J$221</f>
        <v>0.0820734262412068</v>
      </c>
      <c r="K250" s="13" t="n">
        <f aca="false">Sens!$K$236/Sens!$K$221</f>
        <v>0.0809908023452486</v>
      </c>
      <c r="L250" s="13" t="n">
        <f aca="false">Sens!$L$236/Sens!$L$221</f>
        <v>0.0804576398204624</v>
      </c>
      <c r="M250" s="13" t="n">
        <f aca="false">Sens!$M$236/Sens!$M$221</f>
        <v>0.0827539148106284</v>
      </c>
      <c r="N250" s="13" t="n">
        <f aca="false">Sens!$N$236/Sens!$N$221</f>
        <v>0.0606472786091932</v>
      </c>
      <c r="O250" s="13" t="n">
        <f aca="false">Sens!$O$236/Sens!$O$221</f>
        <v>0.0902717121880975</v>
      </c>
    </row>
    <row r="251" customFormat="false" ht="17.15" hidden="false" customHeight="false" outlineLevel="0" collapsed="false">
      <c r="A251" s="0" t="s">
        <v>798</v>
      </c>
      <c r="B251" s="0" t="s">
        <v>56</v>
      </c>
      <c r="C251" s="13" t="n">
        <f aca="false">Sens!$C$241/Sens!$C$222</f>
        <v>0.026534925055631</v>
      </c>
      <c r="D251" s="13" t="n">
        <f aca="false">Sens!$D$241/Sens!$D$222</f>
        <v>0.0293401855535103</v>
      </c>
      <c r="E251" s="13" t="n">
        <f aca="false">Sens!$E$241/Sens!$E$222</f>
        <v>0.037739619805906</v>
      </c>
      <c r="F251" s="13" t="n">
        <f aca="false">Sens!$F$241/Sens!$F$222</f>
        <v>0.0255790380047622</v>
      </c>
      <c r="G251" s="13" t="n">
        <f aca="false">Sens!$G$241/Sens!$G$222</f>
        <v>0.033951456082956</v>
      </c>
      <c r="H251" s="13" t="n">
        <f aca="false">Sens!$H$241/Sens!$H$222</f>
        <v>0.0316206570653431</v>
      </c>
      <c r="I251" s="13" t="n">
        <f aca="false">Sens!$I$241/Sens!$I$222</f>
        <v>0.0258987001056417</v>
      </c>
      <c r="J251" s="13" t="n">
        <f aca="false">Sens!$J$241/Sens!$J$222</f>
        <v>0.0223285044851605</v>
      </c>
      <c r="K251" s="13" t="n">
        <f aca="false">Sens!$K$241/Sens!$K$222</f>
        <v>0.019039275158059</v>
      </c>
      <c r="L251" s="13" t="n">
        <f aca="false">Sens!$L$241/Sens!$L$222</f>
        <v>0.0188700199052586</v>
      </c>
      <c r="M251" s="13" t="n">
        <f aca="false">Sens!$M$241/Sens!$M$222</f>
        <v>0.0215388470318533</v>
      </c>
      <c r="N251" s="13" t="n">
        <f aca="false">Sens!$N$241/Sens!$N$222</f>
        <v>0.0333723126742826</v>
      </c>
      <c r="O251" s="13" t="n">
        <f aca="false">Sens!$O$241/Sens!$O$222</f>
        <v>0.0205031148963016</v>
      </c>
    </row>
    <row r="252" customFormat="false" ht="17.15" hidden="false" customHeight="false" outlineLevel="0" collapsed="false">
      <c r="A252" s="14" t="s">
        <v>799</v>
      </c>
      <c r="B252" s="14" t="s">
        <v>56</v>
      </c>
      <c r="C252" s="17" t="n">
        <f aca="false">Sens!$C$244/Sens!$C$223</f>
        <v>0.370355907620217</v>
      </c>
      <c r="D252" s="17" t="n">
        <f aca="false">Sens!$D$244/Sens!$D$223</f>
        <v>0.35429015342785</v>
      </c>
      <c r="E252" s="17" t="n">
        <f aca="false">Sens!$E$244/Sens!$E$223</f>
        <v>0.385960589175139</v>
      </c>
      <c r="F252" s="17" t="n">
        <f aca="false">Sens!$F$244/Sens!$F$223</f>
        <v>0.415804096214516</v>
      </c>
      <c r="G252" s="17" t="n">
        <f aca="false">Sens!$G$244/Sens!$G$223</f>
        <v>0.394041295129488</v>
      </c>
      <c r="H252" s="17" t="n">
        <f aca="false">Sens!$H$244/Sens!$H$223</f>
        <v>0.415987168883379</v>
      </c>
      <c r="I252" s="17" t="n">
        <f aca="false">Sens!$I$244/Sens!$I$223</f>
        <v>0.406797758854854</v>
      </c>
      <c r="J252" s="17" t="n">
        <f aca="false">Sens!$J$244/Sens!$J$223</f>
        <v>0.413961504682383</v>
      </c>
      <c r="K252" s="17" t="n">
        <f aca="false">Sens!$K$244/Sens!$K$223</f>
        <v>0.410544718083994</v>
      </c>
      <c r="L252" s="17" t="n">
        <f aca="false">Sens!$L$244/Sens!$L$223</f>
        <v>0.406688990943424</v>
      </c>
      <c r="M252" s="17" t="n">
        <f aca="false">Sens!$M$244/Sens!$M$223</f>
        <v>0.403728042919033</v>
      </c>
      <c r="N252" s="17" t="n">
        <f aca="false">Sens!$N$244/Sens!$N$223</f>
        <v>0.355796276812746</v>
      </c>
      <c r="O252" s="17" t="n">
        <f aca="false">Sens!$O$244/Sens!$O$223</f>
        <v>0.350347114871132</v>
      </c>
    </row>
    <row r="253" customFormat="false" ht="17.15" hidden="false" customHeight="false" outlineLevel="0" collapsed="false">
      <c r="A253" s="0" t="s">
        <v>800</v>
      </c>
      <c r="B253" s="0" t="s">
        <v>56</v>
      </c>
      <c r="C253" s="13" t="n">
        <f aca="false">Sens!$C$242/Sens!$C$224</f>
        <v>0.708390794789371</v>
      </c>
      <c r="D253" s="13" t="n">
        <f aca="false">Sens!$D$242/Sens!$D$224</f>
        <v>0.619415573115729</v>
      </c>
      <c r="E253" s="13" t="n">
        <f aca="false">Sens!$E$242/Sens!$E$224</f>
        <v>0.38978070304412</v>
      </c>
      <c r="F253" s="13" t="n">
        <f aca="false">Sens!$F$242/Sens!$F$224</f>
        <v>0.588633572095407</v>
      </c>
      <c r="G253" s="13" t="n">
        <f aca="false">Sens!$G$242/Sens!$G$224</f>
        <v>0.464406108587804</v>
      </c>
      <c r="H253" s="13" t="n">
        <f aca="false">Sens!$H$242/Sens!$H$224</f>
        <v>0.521732975031211</v>
      </c>
      <c r="I253" s="13" t="n">
        <f aca="false">Sens!$I$242/Sens!$I$224</f>
        <v>0.460588552051531</v>
      </c>
      <c r="J253" s="13" t="n">
        <f aca="false">Sens!$J$242/Sens!$J$224</f>
        <v>0.463289280963502</v>
      </c>
      <c r="K253" s="13" t="n">
        <f aca="false">Sens!$K$242/Sens!$K$224</f>
        <v>0.449641213094224</v>
      </c>
      <c r="L253" s="13" t="n">
        <f aca="false">Sens!$L$242/Sens!$L$224</f>
        <v>0.440357706650555</v>
      </c>
      <c r="M253" s="13" t="n">
        <f aca="false">Sens!$M$242/Sens!$M$224</f>
        <v>0.435350749622456</v>
      </c>
      <c r="N253" s="13" t="n">
        <f aca="false">Sens!$N$242/Sens!$N$224</f>
        <v>0.591338253041814</v>
      </c>
      <c r="O253" s="13" t="n">
        <f aca="false">Sens!$O$242/Sens!$O$224</f>
        <v>0.668792929107785</v>
      </c>
    </row>
    <row r="254" customFormat="false" ht="15" hidden="false" customHeight="false" outlineLevel="0" collapsed="false">
      <c r="A254" s="5" t="s">
        <v>801</v>
      </c>
      <c r="B254" s="0" t="s">
        <v>56</v>
      </c>
      <c r="C254" s="13" t="n">
        <f aca="false">Sens!$C$246/Sens!$C$226</f>
        <v>0.107519448742004</v>
      </c>
      <c r="D254" s="13" t="n">
        <f aca="false">Sens!$D$246/Sens!$D$226</f>
        <v>0.111552967957552</v>
      </c>
      <c r="E254" s="13" t="n">
        <f aca="false">Sens!$E$246/Sens!$E$226</f>
        <v>0.135924008978391</v>
      </c>
      <c r="F254" s="13" t="n">
        <f aca="false">Sens!$F$246/Sens!$F$226</f>
        <v>0.147745335647136</v>
      </c>
      <c r="G254" s="13" t="n">
        <f aca="false">Sens!$G$246/Sens!$G$226</f>
        <v>0.139418513597034</v>
      </c>
      <c r="H254" s="13" t="n">
        <f aca="false">Sens!$H$246/Sens!$H$226</f>
        <v>0.156306405276617</v>
      </c>
      <c r="I254" s="13" t="n">
        <f aca="false">Sens!$I$246/Sens!$I$226</f>
        <v>0.162430078533006</v>
      </c>
      <c r="J254" s="13" t="n">
        <f aca="false">Sens!$J$246/Sens!$J$226</f>
        <v>0.172492220393497</v>
      </c>
      <c r="K254" s="13" t="n">
        <f aca="false">Sens!$K$246/Sens!$K$226</f>
        <v>0.176879158112256</v>
      </c>
      <c r="L254" s="13" t="n">
        <f aca="false">Sens!$L$246/Sens!$L$226</f>
        <v>0.178304291514786</v>
      </c>
      <c r="M254" s="13" t="n">
        <f aca="false">Sens!$M$246/Sens!$M$226</f>
        <v>0.179090360722955</v>
      </c>
      <c r="N254" s="13" t="n">
        <f aca="false">Sens!$N$246/Sens!$N$226</f>
        <v>0.109223137082008</v>
      </c>
      <c r="O254" s="13" t="n">
        <f aca="false">Sens!$O$246/Sens!$O$226</f>
        <v>0.117050790586074</v>
      </c>
    </row>
    <row r="255" customFormat="false" ht="17.15" hidden="false" customHeight="false" outlineLevel="0" collapsed="false">
      <c r="A255" s="1" t="s">
        <v>802</v>
      </c>
    </row>
    <row r="256" customFormat="false" ht="17.15" hidden="false" customHeight="false" outlineLevel="0" collapsed="false">
      <c r="A256" s="5" t="s">
        <v>803</v>
      </c>
      <c r="B256" s="0" t="s">
        <v>56</v>
      </c>
      <c r="D256" s="32" t="n">
        <f aca="false">(Q!$E$31+Q!$E$32-(1-ext_sh)*Sens!$D$178)/Sens!$D$126</f>
        <v>0.0341105596409988</v>
      </c>
    </row>
    <row r="257" customFormat="false" ht="17.15" hidden="false" customHeight="false" outlineLevel="0" collapsed="false">
      <c r="A257" s="0" t="s">
        <v>585</v>
      </c>
      <c r="B257" s="0" t="s">
        <v>91</v>
      </c>
      <c r="C257" s="40" t="n">
        <f aca="false">Q!$D$31</f>
        <v>14.285</v>
      </c>
      <c r="D257" s="40" t="n">
        <f aca="false">Q!$E$31</f>
        <v>15.503</v>
      </c>
      <c r="E257" s="40" t="n">
        <f aca="false">Q!$O$31</f>
        <v>13.4963548128877</v>
      </c>
      <c r="F257" s="40" t="n">
        <f aca="false">(Sens!$D$256*Sens!$F$126+(1-ext_sh)*Sens!$F$178)*Sens!$F$127</f>
        <v>5.21211427093156</v>
      </c>
      <c r="G257" s="40" t="n">
        <f aca="false">Sens!$E$257+Sens!$F$257</f>
        <v>18.7084690838193</v>
      </c>
      <c r="H257" s="40" t="n">
        <f aca="false">(Sens!$D$256*Sens!$H$126+(1-ext_sh)*Sens!$H$178)*Sens!$H$127</f>
        <v>21.7211660546073</v>
      </c>
      <c r="I257" s="40" t="n">
        <f aca="false">(Sens!$D$256*Sens!$I$126+(1-ext_sh)*Sens!$I$178)*Sens!$I$127</f>
        <v>27.7701919214385</v>
      </c>
      <c r="J257" s="40" t="n">
        <f aca="false">(Sens!$D$256*Sens!$J$126+(1-ext_sh)*Sens!$J$178)*Sens!$J$127</f>
        <v>32.8597771149115</v>
      </c>
      <c r="K257" s="40" t="n">
        <f aca="false">(Sens!$D$256*Sens!$K$126+(1-ext_sh)*Sens!$K$178)*Sens!$K$127</f>
        <v>37.8576808120633</v>
      </c>
      <c r="L257" s="40" t="n">
        <f aca="false">(Sens!$D$256*Sens!$L$126+(1-ext_sh)*Sens!$L$178)*Sens!$L$127</f>
        <v>41.8381762816429</v>
      </c>
      <c r="M257" s="40" t="n">
        <f aca="false">(Sens!$D$256*Sens!$M$126+(1-ext_sh)*Sens!$M$178)*Sens!$M$127</f>
        <v>44.6591195749785</v>
      </c>
      <c r="N257" s="40" t="n">
        <f aca="false">Q!$N$31</f>
        <v>11.273</v>
      </c>
      <c r="O257" s="40" t="n">
        <f aca="false">Q!$J$31</f>
        <v>4.23</v>
      </c>
    </row>
    <row r="258" customFormat="false" ht="17.15" hidden="false" customHeight="false" outlineLevel="0" collapsed="false">
      <c r="A258" s="0" t="s">
        <v>588</v>
      </c>
      <c r="B258" s="0" t="s">
        <v>91</v>
      </c>
      <c r="C258" s="40" t="n">
        <f aca="false">Q!$D$32</f>
        <v>4.462</v>
      </c>
      <c r="D258" s="40" t="n">
        <f aca="false">Q!$E$32</f>
        <v>4.907</v>
      </c>
      <c r="E258" s="40" t="n">
        <f aca="false">Q!$O$32</f>
        <v>3.92516594956974</v>
      </c>
      <c r="F258" s="40" t="n">
        <f aca="false">(Sens!$D$256*Sens!$F$126+(1-ext_sh)*Sens!$F$178)*(1-Sens!$F$127)</f>
        <v>2.08036703791013</v>
      </c>
      <c r="G258" s="40" t="n">
        <f aca="false">Sens!$E$258+Sens!$F$258</f>
        <v>6.00553298747987</v>
      </c>
      <c r="H258" s="40" t="n">
        <f aca="false">(Sens!$D$256*Sens!$H$126+(1-ext_sh)*Sens!$H$178)*(1-Sens!$H$127)</f>
        <v>8.30905162009005</v>
      </c>
      <c r="I258" s="40" t="n">
        <f aca="false">(Sens!$D$256*Sens!$I$126+(1-ext_sh)*Sens!$I$178)*(1-Sens!$I$127)</f>
        <v>10.6230005145648</v>
      </c>
      <c r="J258" s="40" t="n">
        <f aca="false">(Sens!$D$256*Sens!$J$126+(1-ext_sh)*Sens!$J$178)*(1-Sens!$J$127)</f>
        <v>12.5699321843976</v>
      </c>
      <c r="K258" s="40" t="n">
        <f aca="false">(Sens!$D$256*Sens!$K$126+(1-ext_sh)*Sens!$K$178)*(1-Sens!$K$127)</f>
        <v>14.4817927036475</v>
      </c>
      <c r="L258" s="40" t="n">
        <f aca="false">(Sens!$D$256*Sens!$L$126+(1-ext_sh)*Sens!$L$178)*(1-Sens!$L$127)</f>
        <v>16.0044615257136</v>
      </c>
      <c r="M258" s="40" t="n">
        <f aca="false">(Sens!$D$256*Sens!$M$126+(1-ext_sh)*Sens!$M$178)*(1-Sens!$M$127)</f>
        <v>17.0835639727344</v>
      </c>
      <c r="N258" s="40" t="n">
        <f aca="false">Q!$N$32</f>
        <v>3.592</v>
      </c>
      <c r="O258" s="40" t="n">
        <f aca="false">Q!$J$32</f>
        <v>1.315</v>
      </c>
    </row>
    <row r="259" customFormat="false" ht="17.15" hidden="false" customHeight="false" outlineLevel="0" collapsed="false">
      <c r="A259" s="0" t="s">
        <v>589</v>
      </c>
      <c r="B259" s="0" t="s">
        <v>91</v>
      </c>
      <c r="C259" s="40" t="n">
        <f aca="false">Sens!$C$190</f>
        <v>13.32</v>
      </c>
      <c r="D259" s="40" t="n">
        <f aca="false">Sens!$D$190</f>
        <v>21.45</v>
      </c>
      <c r="E259" s="40" t="n">
        <f aca="false">Sens!$E$190</f>
        <v>23.8172847708625</v>
      </c>
      <c r="F259" s="40" t="n">
        <f aca="false">Sens!$F$190</f>
        <v>8.28155769350516</v>
      </c>
      <c r="G259" s="40" t="n">
        <f aca="false">Sens!$G$190</f>
        <v>32.0988424643677</v>
      </c>
      <c r="H259" s="40" t="n">
        <f aca="false">Sens!$H$190</f>
        <v>48.7469278856268</v>
      </c>
      <c r="I259" s="40" t="n">
        <f aca="false">Sens!$I$190</f>
        <v>76.1843566764837</v>
      </c>
      <c r="J259" s="40" t="n">
        <f aca="false">Sens!$J$190</f>
        <v>98.7987491948757</v>
      </c>
      <c r="K259" s="40" t="n">
        <f aca="false">Sens!$K$190</f>
        <v>121.608934300417</v>
      </c>
      <c r="L259" s="40" t="n">
        <f aca="false">Sens!$L$190</f>
        <v>138.485222513573</v>
      </c>
      <c r="M259" s="40" t="n">
        <f aca="false">Sens!$M$190</f>
        <v>148.619710512686</v>
      </c>
      <c r="N259" s="40" t="n">
        <f aca="false">Sens!$N$190</f>
        <v>14.882</v>
      </c>
      <c r="O259" s="40" t="n">
        <f aca="false">Sens!$O$190</f>
        <v>6.568</v>
      </c>
    </row>
    <row r="260" customFormat="false" ht="17.15" hidden="false" customHeight="false" outlineLevel="0" collapsed="false">
      <c r="A260" s="5" t="s">
        <v>804</v>
      </c>
      <c r="B260" s="0" t="s">
        <v>91</v>
      </c>
      <c r="C260" s="40" t="n">
        <f aca="false">Sens!$C$257+Sens!$C$258+Sens!$C$259</f>
        <v>32.067</v>
      </c>
      <c r="D260" s="40" t="n">
        <f aca="false">Sens!$D$257+Sens!$D$258+Sens!$D$259</f>
        <v>41.86</v>
      </c>
      <c r="E260" s="40" t="n">
        <f aca="false">Sens!$E$257+Sens!$E$258+Sens!$E$259</f>
        <v>41.23880553332</v>
      </c>
      <c r="F260" s="40" t="n">
        <f aca="false">Sens!$F$257+Sens!$F$258+Sens!$F$259</f>
        <v>15.5740390023468</v>
      </c>
      <c r="G260" s="40" t="n">
        <f aca="false">Sens!$G$257+Sens!$G$258+Sens!$G$259</f>
        <v>56.8128445356668</v>
      </c>
      <c r="H260" s="40" t="n">
        <f aca="false">Sens!$H$257+Sens!$H$258+Sens!$H$259</f>
        <v>78.7771455603241</v>
      </c>
      <c r="I260" s="40" t="n">
        <f aca="false">Sens!$I$257+Sens!$I$258+Sens!$I$259</f>
        <v>114.577549112487</v>
      </c>
      <c r="J260" s="40" t="n">
        <f aca="false">Sens!$J$257+Sens!$J$258+Sens!$J$259</f>
        <v>144.228458494185</v>
      </c>
      <c r="K260" s="40" t="n">
        <f aca="false">Sens!$K$257+Sens!$K$258+Sens!$K$259</f>
        <v>173.948407816128</v>
      </c>
      <c r="L260" s="40" t="n">
        <f aca="false">Sens!$L$257+Sens!$L$258+Sens!$L$259</f>
        <v>196.32786032093</v>
      </c>
      <c r="M260" s="40" t="n">
        <f aca="false">Sens!$M$257+Sens!$M$258+Sens!$M$259</f>
        <v>210.362394060399</v>
      </c>
      <c r="N260" s="40" t="n">
        <f aca="false">Sens!$N$257+Sens!$N$258+Sens!$N$259</f>
        <v>29.747</v>
      </c>
      <c r="O260" s="40" t="n">
        <f aca="false">Sens!$O$257+Sens!$O$258+Sens!$O$259</f>
        <v>12.113</v>
      </c>
    </row>
    <row r="261" customFormat="false" ht="17.15" hidden="false" customHeight="false" outlineLevel="0" collapsed="false">
      <c r="A261" s="0" t="s">
        <v>805</v>
      </c>
      <c r="B261" s="0" t="s">
        <v>91</v>
      </c>
      <c r="C261" s="40" t="n">
        <f aca="false">Sens!$C$232+Sens!$C$237</f>
        <v>28.107</v>
      </c>
      <c r="D261" s="40" t="n">
        <f aca="false">Sens!$D$232+Sens!$D$237</f>
        <v>34.3175</v>
      </c>
      <c r="E261" s="40" t="n">
        <f aca="false">Sens!$E$232+Sens!$E$237</f>
        <v>28.3445</v>
      </c>
      <c r="F261" s="40" t="n">
        <f aca="false">Sens!$F$232+Sens!$F$237</f>
        <v>12.7540196873527</v>
      </c>
      <c r="G261" s="40" t="n">
        <f aca="false">Sens!$G$232+Sens!$G$237</f>
        <v>41.0985196873527</v>
      </c>
      <c r="H261" s="40" t="n">
        <f aca="false">Sens!$H$232+Sens!$H$237</f>
        <v>48.2304391441512</v>
      </c>
      <c r="I261" s="40" t="n">
        <f aca="false">Sens!$I$232+Sens!$I$237</f>
        <v>55.4178122068561</v>
      </c>
      <c r="J261" s="40" t="n">
        <f aca="false">Sens!$J$232+Sens!$J$237</f>
        <v>62.3179259563365</v>
      </c>
      <c r="K261" s="40" t="n">
        <f aca="false">Sens!$K$232+Sens!$K$237</f>
        <v>68.5497185519701</v>
      </c>
      <c r="L261" s="40" t="n">
        <f aca="false">Sens!$L$232+Sens!$L$237</f>
        <v>75.4046904071671</v>
      </c>
      <c r="M261" s="40" t="n">
        <f aca="false">Sens!$M$232+Sens!$M$237</f>
        <v>82.9451594478839</v>
      </c>
      <c r="N261" s="40" t="n">
        <f aca="false">Sens!$N$232+Sens!$N$237</f>
        <v>23.659</v>
      </c>
      <c r="O261" s="40" t="n">
        <f aca="false">Sens!$O$232+Sens!$O$237</f>
        <v>10.6585</v>
      </c>
    </row>
    <row r="262" customFormat="false" ht="17.15" hidden="false" customHeight="false" outlineLevel="0" collapsed="false">
      <c r="A262" s="0" t="s">
        <v>806</v>
      </c>
      <c r="B262" s="0" t="s">
        <v>91</v>
      </c>
      <c r="C262" s="40" t="n">
        <f aca="false">Sens!$C$236+Sens!$C$241+Sens!$C$257+Sens!$C$258-Sens!$C$261</f>
        <v>19.399</v>
      </c>
      <c r="D262" s="40" t="n">
        <f aca="false">Sens!$D$236+Sens!$D$241+Sens!$D$257+Sens!$D$258-Sens!$D$261</f>
        <v>20.4615</v>
      </c>
      <c r="E262" s="40" t="n">
        <f aca="false">Sens!$E$236+Sens!$E$241+Sens!$E$257+Sens!$E$258-Sens!$E$261</f>
        <v>19.9110207624575</v>
      </c>
      <c r="F262" s="40" t="n">
        <f aca="false">Sens!$F$236+Sens!$F$241+Sens!$F$257+Sens!$F$258-Sens!$F$261</f>
        <v>11.3302009459315</v>
      </c>
      <c r="G262" s="40" t="n">
        <f aca="false">Sens!$G$236+Sens!$G$241+Sens!$G$257+Sens!$G$258-Sens!$G$261</f>
        <v>31.241221708389</v>
      </c>
      <c r="H262" s="40" t="n">
        <f aca="false">Sens!$H$236+Sens!$H$241+Sens!$H$257+Sens!$H$258-Sens!$H$261</f>
        <v>33.8214587603075</v>
      </c>
      <c r="I262" s="40" t="n">
        <f aca="false">Sens!$I$236+Sens!$I$241+Sens!$I$257+Sens!$I$258-Sens!$I$261</f>
        <v>36.4486052829794</v>
      </c>
      <c r="J262" s="40" t="n">
        <f aca="false">Sens!$J$236+Sens!$J$241+Sens!$J$257+Sens!$J$258-Sens!$J$261</f>
        <v>39.0514579358563</v>
      </c>
      <c r="K262" s="40" t="n">
        <f aca="false">Sens!$K$236+Sens!$K$241+Sens!$K$257+Sens!$K$258-Sens!$K$261</f>
        <v>41.7993577543948</v>
      </c>
      <c r="L262" s="40" t="n">
        <f aca="false">Sens!$L$236+Sens!$L$241+Sens!$L$257+Sens!$L$258-Sens!$L$261</f>
        <v>43.7885129671743</v>
      </c>
      <c r="M262" s="40" t="n">
        <f aca="false">Sens!$M$236+Sens!$M$241+Sens!$M$257+Sens!$M$258-Sens!$M$261</f>
        <v>46.6150728014857</v>
      </c>
      <c r="N262" s="40" t="n">
        <f aca="false">Sens!$N$236+Sens!$N$241+Sens!$N$257+Sens!$N$258-Sens!$N$261</f>
        <v>13.063</v>
      </c>
      <c r="O262" s="40" t="n">
        <f aca="false">Sens!$O$236+Sens!$O$241+Sens!$O$257+Sens!$O$258-Sens!$O$261</f>
        <v>7.3985</v>
      </c>
    </row>
    <row r="263" customFormat="false" ht="17.15" hidden="false" customHeight="false" outlineLevel="0" collapsed="false">
      <c r="A263" s="0" t="s">
        <v>807</v>
      </c>
      <c r="B263" s="0" t="s">
        <v>91</v>
      </c>
      <c r="C263" s="40" t="n">
        <f aca="false">Sens!$C$243+Sens!$C$259-ext_sh*Sens!$C$178</f>
        <v>51.3470500115664</v>
      </c>
      <c r="D263" s="40" t="n">
        <f aca="false">Sens!$D$243+Sens!$D$259-ext_sh*Sens!$D$178</f>
        <v>60.2799375433739</v>
      </c>
      <c r="E263" s="40" t="n">
        <f aca="false">Sens!$E$243+Sens!$E$259-ext_sh*Sens!$E$178</f>
        <v>59.7597032676119</v>
      </c>
      <c r="F263" s="40" t="n">
        <f aca="false">Sens!$F$243+Sens!$F$259-ext_sh*Sens!$F$178</f>
        <v>19.8765856323982</v>
      </c>
      <c r="G263" s="40" t="n">
        <f aca="false">Sens!$G$243+Sens!$G$259-ext_sh*Sens!$G$178</f>
        <v>79.6362889000101</v>
      </c>
      <c r="H263" s="40" t="n">
        <f aca="false">Sens!$H$243+Sens!$H$259-ext_sh*Sens!$H$178</f>
        <v>88.6663043493359</v>
      </c>
      <c r="I263" s="40" t="n">
        <f aca="false">Sens!$I$243+Sens!$I$259-ext_sh*Sens!$I$178</f>
        <v>98.4420671006853</v>
      </c>
      <c r="J263" s="40" t="n">
        <f aca="false">Sens!$J$243+Sens!$J$259-ext_sh*Sens!$J$178</f>
        <v>107.806536768735</v>
      </c>
      <c r="K263" s="40" t="n">
        <f aca="false">Sens!$K$243+Sens!$K$259-ext_sh*Sens!$K$178</f>
        <v>116.431059710234</v>
      </c>
      <c r="L263" s="40" t="n">
        <f aca="false">Sens!$L$243+Sens!$L$259-ext_sh*Sens!$L$178</f>
        <v>125.745544487053</v>
      </c>
      <c r="M263" s="40" t="n">
        <f aca="false">Sens!$M$243+Sens!$M$259-ext_sh*Sens!$M$178</f>
        <v>135.805188046017</v>
      </c>
      <c r="N263" s="40" t="n">
        <f aca="false">Sens!$N$243+Sens!$N$259-ext_sh*Sens!$N$178</f>
        <v>43.7032601839009</v>
      </c>
      <c r="O263" s="40" t="n">
        <f aca="false">Sens!$O$243+Sens!$O$259-ext_sh*Sens!$O$178</f>
        <v>16.5766773594731</v>
      </c>
    </row>
    <row r="264" customFormat="false" ht="17.15" hidden="false" customHeight="false" outlineLevel="0" collapsed="false">
      <c r="A264" s="0" t="s">
        <v>808</v>
      </c>
      <c r="B264" s="0" t="s">
        <v>91</v>
      </c>
      <c r="C264" s="40" t="n">
        <f aca="false">Sens!$C$181</f>
        <v>1.80694998843362</v>
      </c>
      <c r="D264" s="40" t="n">
        <f aca="false">Sens!$D$181</f>
        <v>6.77606245662607</v>
      </c>
      <c r="E264" s="40" t="n">
        <f aca="false">Sens!$E$181</f>
        <v>12.6125815032506</v>
      </c>
      <c r="F264" s="40" t="n">
        <f aca="false">Sens!$F$181</f>
        <v>7.82788092034529</v>
      </c>
      <c r="G264" s="40" t="n">
        <f aca="false">Sens!$G$181</f>
        <v>20.4404624235959</v>
      </c>
      <c r="H264" s="40" t="n">
        <f aca="false">Sens!$H$181</f>
        <v>58.3366366758868</v>
      </c>
      <c r="I264" s="40" t="n">
        <f aca="false">Sens!$I$181</f>
        <v>102.770534677664</v>
      </c>
      <c r="J264" s="40" t="n">
        <f aca="false">Sens!$J$181</f>
        <v>147.477438204227</v>
      </c>
      <c r="K264" s="40" t="n">
        <f aca="false">Sens!$K$181</f>
        <v>185.604681277381</v>
      </c>
      <c r="L264" s="40" t="n">
        <f aca="false">Sens!$L$181</f>
        <v>210.655488028667</v>
      </c>
      <c r="M264" s="40" t="n">
        <f aca="false">Sens!$M$181</f>
        <v>222.58531457156</v>
      </c>
      <c r="N264" s="40" t="n">
        <f aca="false">Sens!$N$181</f>
        <v>4.31973981609912</v>
      </c>
      <c r="O264" s="40" t="n">
        <f aca="false">Sens!$O$181</f>
        <v>2.45632264052695</v>
      </c>
    </row>
    <row r="265" customFormat="false" ht="17.15" hidden="false" customHeight="false" outlineLevel="0" collapsed="false">
      <c r="A265" s="0" t="s">
        <v>809</v>
      </c>
      <c r="B265" s="0" t="s">
        <v>91</v>
      </c>
      <c r="C265" s="40" t="n">
        <f aca="false">Sens!$C$246+Sens!$C$260</f>
        <v>100.66</v>
      </c>
      <c r="D265" s="40" t="n">
        <f aca="false">Sens!$D$246+Sens!$D$260</f>
        <v>121.835</v>
      </c>
      <c r="E265" s="40" t="n">
        <f aca="false">Sens!$E$246+Sens!$E$260</f>
        <v>120.62780553332</v>
      </c>
      <c r="F265" s="40" t="n">
        <f aca="false">Sens!$F$246+Sens!$F$260</f>
        <v>51.7886871860277</v>
      </c>
      <c r="G265" s="40" t="n">
        <f aca="false">Sens!$G$246+Sens!$G$260</f>
        <v>172.416492719348</v>
      </c>
      <c r="H265" s="40" t="n">
        <f aca="false">Sens!$H$246+Sens!$H$260</f>
        <v>229.054838929681</v>
      </c>
      <c r="I265" s="40" t="n">
        <f aca="false">Sens!$I$246+Sens!$I$260</f>
        <v>293.079019268185</v>
      </c>
      <c r="J265" s="40" t="n">
        <f aca="false">Sens!$J$246+Sens!$J$260</f>
        <v>356.653358865155</v>
      </c>
      <c r="K265" s="40" t="n">
        <f aca="false">Sens!$K$246+Sens!$K$260</f>
        <v>412.38481729398</v>
      </c>
      <c r="L265" s="40" t="n">
        <f aca="false">Sens!$L$246+Sens!$L$260</f>
        <v>455.594235890062</v>
      </c>
      <c r="M265" s="40" t="n">
        <f aca="false">Sens!$M$246+Sens!$M$260</f>
        <v>487.950734866946</v>
      </c>
      <c r="N265" s="40" t="n">
        <f aca="false">Sens!$N$246+Sens!$N$260</f>
        <v>84.745</v>
      </c>
      <c r="O265" s="40" t="n">
        <f aca="false">Sens!$O$246+Sens!$O$260</f>
        <v>37.09</v>
      </c>
    </row>
    <row r="266" customFormat="false" ht="17.15" hidden="false" customHeight="false" outlineLevel="0" collapsed="false">
      <c r="A266" s="1" t="s">
        <v>810</v>
      </c>
    </row>
    <row r="267" customFormat="false" ht="15" hidden="false" customHeight="false" outlineLevel="0" collapsed="false">
      <c r="A267" s="5" t="s">
        <v>592</v>
      </c>
      <c r="B267" s="0" t="s">
        <v>91</v>
      </c>
      <c r="C267" s="40" t="n">
        <f aca="false">Q!$D$36</f>
        <v>2.406</v>
      </c>
      <c r="D267" s="40" t="n">
        <f aca="false">Q!$E$36</f>
        <v>2.274</v>
      </c>
      <c r="E267" s="40" t="n">
        <f aca="false">Q!$O$36</f>
        <v>3.805</v>
      </c>
      <c r="F267" s="40" t="n">
        <f aca="false">Sens!$F$304</f>
        <v>1.94993832879634</v>
      </c>
      <c r="G267" s="40" t="n">
        <f aca="false">Sens!$E$267+Sens!$F$267</f>
        <v>5.75493832879634</v>
      </c>
      <c r="H267" s="40" t="n">
        <f aca="false">Sens!$H$304</f>
        <v>7.79975331518538</v>
      </c>
      <c r="I267" s="40" t="n">
        <f aca="false">Sens!$I$304</f>
        <v>7.79975331518538</v>
      </c>
      <c r="J267" s="40" t="n">
        <f aca="false">Sens!$J$304</f>
        <v>7.79975331518538</v>
      </c>
      <c r="K267" s="40" t="n">
        <f aca="false">Sens!$K$304</f>
        <v>7.79975331518538</v>
      </c>
      <c r="L267" s="40" t="n">
        <f aca="false">Sens!$L$304</f>
        <v>7.79975331518538</v>
      </c>
      <c r="M267" s="40" t="n">
        <f aca="false">Sens!$M$304</f>
        <v>7.79975331518538</v>
      </c>
      <c r="N267" s="40" t="n">
        <f aca="false">Q!$N$36</f>
        <v>1.595</v>
      </c>
      <c r="O267" s="40" t="n">
        <f aca="false">Q!$J$36</f>
        <v>0.679</v>
      </c>
    </row>
    <row r="268" customFormat="false" ht="15" hidden="false" customHeight="false" outlineLevel="0" collapsed="false">
      <c r="A268" s="5" t="s">
        <v>811</v>
      </c>
      <c r="B268" s="0" t="s">
        <v>91</v>
      </c>
      <c r="F268" s="40" t="n">
        <f aca="false">Sens!$F$305</f>
        <v>1.187</v>
      </c>
      <c r="H268" s="40" t="n">
        <f aca="false">Sens!$H$305</f>
        <v>5.75172018910928</v>
      </c>
      <c r="I268" s="40" t="n">
        <f aca="false">Sens!$I$305</f>
        <v>5.11546047329315</v>
      </c>
      <c r="J268" s="40" t="n">
        <f aca="false">Sens!$J$305</f>
        <v>6.5523848090096</v>
      </c>
      <c r="K268" s="40" t="n">
        <f aca="false">Sens!$K$305</f>
        <v>10.1645413753386</v>
      </c>
      <c r="L268" s="40" t="n">
        <f aca="false">Sens!$L$305</f>
        <v>17.9621170448348</v>
      </c>
      <c r="M268" s="40" t="n">
        <f aca="false">Sens!$M$305</f>
        <v>28.4987680250234</v>
      </c>
    </row>
    <row r="269" customFormat="false" ht="17.15" hidden="false" customHeight="false" outlineLevel="0" collapsed="false">
      <c r="A269" s="5" t="s">
        <v>812</v>
      </c>
      <c r="B269" s="0" t="s">
        <v>91</v>
      </c>
      <c r="C269" s="40" t="n">
        <f aca="false">Q!$D$41</f>
        <v>2.427</v>
      </c>
      <c r="D269" s="40" t="n">
        <f aca="false">Q!$E$41</f>
        <v>19.61</v>
      </c>
      <c r="E269" s="40" t="n">
        <f aca="false">Q!$O$41</f>
        <v>71.976</v>
      </c>
      <c r="F269" s="41" t="n">
        <v>0</v>
      </c>
      <c r="G269" s="40" t="n">
        <f aca="false">Sens!$E$269+Sens!$F$269</f>
        <v>71.976</v>
      </c>
      <c r="H269" s="41" t="n">
        <v>0</v>
      </c>
      <c r="I269" s="41" t="n">
        <v>0</v>
      </c>
      <c r="J269" s="41" t="n">
        <v>0</v>
      </c>
      <c r="K269" s="41" t="n">
        <v>0</v>
      </c>
      <c r="L269" s="41" t="n">
        <v>0</v>
      </c>
      <c r="M269" s="41" t="n">
        <v>0</v>
      </c>
      <c r="N269" s="40" t="n">
        <f aca="false">Q!$N$41</f>
        <v>17.303</v>
      </c>
      <c r="O269" s="40" t="n">
        <f aca="false">Q!$J$41</f>
        <v>2.307</v>
      </c>
      <c r="P269" s="5" t="s">
        <v>813</v>
      </c>
    </row>
    <row r="270" customFormat="false" ht="15" hidden="false" customHeight="false" outlineLevel="0" collapsed="false">
      <c r="A270" s="5" t="s">
        <v>595</v>
      </c>
      <c r="B270" s="0" t="s">
        <v>91</v>
      </c>
      <c r="C270" s="40" t="n">
        <f aca="false">Q!$D$38</f>
        <v>68.614</v>
      </c>
      <c r="D270" s="40" t="n">
        <f aca="false">Q!$E$38</f>
        <v>97.311</v>
      </c>
      <c r="E270" s="40" t="n">
        <f aca="false">Q!$O$38</f>
        <v>147.56</v>
      </c>
      <c r="F270" s="40" t="n">
        <f aca="false">Sens!$F$246-Sens!$F$267+Sens!$F$268+Sens!$F$269</f>
        <v>35.4517098548845</v>
      </c>
      <c r="G270" s="40" t="n">
        <f aca="false">Sens!$E$270+Sens!$F$270</f>
        <v>183.011709854884</v>
      </c>
      <c r="H270" s="40" t="n">
        <f aca="false">Sens!$H$246-Sens!$H$267+Sens!$H$268+Sens!$H$269</f>
        <v>148.229660243281</v>
      </c>
      <c r="I270" s="40" t="n">
        <f aca="false">Sens!$I$246-Sens!$I$267+Sens!$I$268+Sens!$I$269</f>
        <v>175.817177313805</v>
      </c>
      <c r="J270" s="40" t="n">
        <f aca="false">Sens!$J$246-Sens!$J$267+Sens!$J$268+Sens!$J$269</f>
        <v>211.177531864794</v>
      </c>
      <c r="K270" s="40" t="n">
        <f aca="false">Sens!$K$246-Sens!$K$267+Sens!$K$268+Sens!$K$269</f>
        <v>240.801197538005</v>
      </c>
      <c r="L270" s="40" t="n">
        <f aca="false">Sens!$L$246-Sens!$L$267+Sens!$L$268+Sens!$L$269</f>
        <v>269.428739298782</v>
      </c>
      <c r="M270" s="40" t="n">
        <f aca="false">Sens!$M$246-Sens!$M$267+Sens!$M$268+Sens!$M$269</f>
        <v>298.287355516385</v>
      </c>
      <c r="N270" s="40" t="n">
        <f aca="false">Q!$N$38</f>
        <v>70.706</v>
      </c>
      <c r="O270" s="40" t="n">
        <f aca="false">Q!$J$38</f>
        <v>26.605</v>
      </c>
    </row>
    <row r="271" customFormat="false" ht="15" hidden="false" customHeight="false" outlineLevel="0" collapsed="false">
      <c r="A271" s="5" t="s">
        <v>596</v>
      </c>
      <c r="B271" s="0" t="s">
        <v>91</v>
      </c>
      <c r="C271" s="40" t="n">
        <f aca="false">Q!$D$39</f>
        <v>9.265</v>
      </c>
      <c r="D271" s="40" t="n">
        <f aca="false">Q!$E$39</f>
        <v>19.087</v>
      </c>
      <c r="E271" s="40" t="n">
        <f aca="false">Q!$O$39</f>
        <v>33.939</v>
      </c>
      <c r="F271" s="40" t="n">
        <f aca="false">Sens!$F$270*tax</f>
        <v>6.15386827306608</v>
      </c>
      <c r="G271" s="40" t="n">
        <f aca="false">Sens!$E$271+Sens!$F$271</f>
        <v>40.0928682730661</v>
      </c>
      <c r="H271" s="40" t="n">
        <f aca="false">Sens!$H$270*tax</f>
        <v>25.7303754045255</v>
      </c>
      <c r="I271" s="40" t="n">
        <f aca="false">Sens!$I$270*tax</f>
        <v>30.5191414958619</v>
      </c>
      <c r="J271" s="40" t="n">
        <f aca="false">Sens!$J$270*tax</f>
        <v>36.6571519017469</v>
      </c>
      <c r="K271" s="40" t="n">
        <f aca="false">Sens!$K$270*tax</f>
        <v>41.7993618844107</v>
      </c>
      <c r="L271" s="40" t="n">
        <f aca="false">Sens!$L$270*tax</f>
        <v>46.7686601692788</v>
      </c>
      <c r="M271" s="40" t="n">
        <f aca="false">Sens!$M$270*tax</f>
        <v>51.7780694043494</v>
      </c>
      <c r="N271" s="40" t="n">
        <f aca="false">Q!$N$39</f>
        <v>14.141</v>
      </c>
      <c r="O271" s="40" t="n">
        <f aca="false">Q!$J$39</f>
        <v>4.946</v>
      </c>
    </row>
    <row r="272" customFormat="false" ht="15" hidden="false" customHeight="false" outlineLevel="0" collapsed="false">
      <c r="A272" s="3" t="s">
        <v>597</v>
      </c>
      <c r="B272" s="8" t="s">
        <v>91</v>
      </c>
      <c r="C272" s="40" t="n">
        <f aca="false">Q!$D$40</f>
        <v>59.248</v>
      </c>
      <c r="D272" s="40" t="n">
        <f aca="false">Q!$E$40</f>
        <v>77.67</v>
      </c>
      <c r="E272" s="40" t="n">
        <f aca="false">Q!$O$40</f>
        <v>113.587</v>
      </c>
      <c r="F272" s="40" t="n">
        <f aca="false">Sens!$F$270-Sens!$F$271</f>
        <v>29.2978415818184</v>
      </c>
      <c r="G272" s="40" t="n">
        <f aca="false">Sens!$E$272+Sens!$F$272</f>
        <v>142.884841581818</v>
      </c>
      <c r="H272" s="40" t="n">
        <f aca="false">Sens!$H$270-Sens!$H$271</f>
        <v>122.499284838756</v>
      </c>
      <c r="I272" s="40" t="n">
        <f aca="false">Sens!$I$270-Sens!$I$271</f>
        <v>145.298035817944</v>
      </c>
      <c r="J272" s="40" t="n">
        <f aca="false">Sens!$J$270-Sens!$J$271</f>
        <v>174.520379963047</v>
      </c>
      <c r="K272" s="40" t="n">
        <f aca="false">Sens!$K$270-Sens!$K$271</f>
        <v>199.001835653594</v>
      </c>
      <c r="L272" s="40" t="n">
        <f aca="false">Sens!$L$270-Sens!$L$271</f>
        <v>222.660079129503</v>
      </c>
      <c r="M272" s="40" t="n">
        <f aca="false">Sens!$M$270-Sens!$M$271</f>
        <v>246.509286112036</v>
      </c>
      <c r="N272" s="40" t="n">
        <f aca="false">Q!$N$40</f>
        <v>56.478</v>
      </c>
      <c r="O272" s="40" t="n">
        <f aca="false">Q!$J$40</f>
        <v>21.192</v>
      </c>
    </row>
    <row r="273" customFormat="false" ht="17.15" hidden="false" customHeight="false" outlineLevel="0" collapsed="false">
      <c r="A273" s="5" t="s">
        <v>600</v>
      </c>
      <c r="B273" s="5" t="s">
        <v>37</v>
      </c>
      <c r="C273" s="25" t="n">
        <f aca="false">Q!$D$43</f>
        <v>10.721</v>
      </c>
      <c r="D273" s="25" t="n">
        <f aca="false">Q!$E$43</f>
        <v>10.827</v>
      </c>
      <c r="E273" s="25" t="n">
        <f aca="false">Q!$O$43</f>
        <v>10.903</v>
      </c>
      <c r="F273" s="25" t="n">
        <f aca="false">Q!$M$43*(1+sh_g*0.25)</f>
        <v>10.950858</v>
      </c>
      <c r="G273" s="25" t="n">
        <f aca="false">(3*Sens!$E$273+Sens!$F$273)/4</f>
        <v>10.9149645</v>
      </c>
      <c r="H273" s="25" t="n">
        <f aca="false">Sens!$G$273*(1+sh_g)</f>
        <v>11.002284216</v>
      </c>
      <c r="I273" s="25" t="n">
        <f aca="false">Sens!$H$273*(1+sh_g)</f>
        <v>11.090302489728</v>
      </c>
      <c r="J273" s="25" t="n">
        <f aca="false">Sens!$I$273*(1+sh_g)</f>
        <v>11.1790249096458</v>
      </c>
      <c r="K273" s="25" t="n">
        <f aca="false">Sens!$J$273*(1+sh_g)</f>
        <v>11.268457108923</v>
      </c>
      <c r="L273" s="25" t="n">
        <f aca="false">Sens!$K$273*(1+sh_g)</f>
        <v>11.3586047657944</v>
      </c>
      <c r="M273" s="25" t="n">
        <f aca="false">Sens!$L$273*(1+sh_g)</f>
        <v>11.4494736039207</v>
      </c>
      <c r="P273" s="5" t="s">
        <v>814</v>
      </c>
    </row>
    <row r="274" customFormat="false" ht="17.15" hidden="false" customHeight="false" outlineLevel="0" collapsed="false">
      <c r="A274" s="5" t="s">
        <v>815</v>
      </c>
      <c r="B274" s="0" t="s">
        <v>91</v>
      </c>
      <c r="C274" s="40" t="n">
        <f aca="false">Sens!$C$272+Sens!$C$248*(1-tax)</f>
        <v>59.248</v>
      </c>
      <c r="D274" s="40" t="n">
        <f aca="false">Sens!$D$272+Sens!$D$248*(1-tax)</f>
        <v>77.67</v>
      </c>
      <c r="E274" s="40" t="n">
        <f aca="false">Sens!$E$272+Sens!$E$248*(1-tax)</f>
        <v>113.587</v>
      </c>
      <c r="F274" s="40" t="n">
        <f aca="false">Sens!$F$272+Sens!$F$248*(1-tax)</f>
        <v>29.2978415818184</v>
      </c>
      <c r="G274" s="40" t="n">
        <f aca="false">Sens!$G$272+Sens!$G$248*(1-tax)</f>
        <v>142.884841581818</v>
      </c>
      <c r="H274" s="40" t="n">
        <f aca="false">Sens!$H$272+Sens!$H$248*(1-tax)</f>
        <v>122.499284838756</v>
      </c>
      <c r="I274" s="40" t="n">
        <f aca="false">Sens!$I$272+Sens!$I$248*(1-tax)</f>
        <v>145.298035817944</v>
      </c>
      <c r="J274" s="40" t="n">
        <f aca="false">Sens!$J$272+Sens!$J$248*(1-tax)</f>
        <v>174.520379963047</v>
      </c>
      <c r="K274" s="40" t="n">
        <f aca="false">Sens!$K$272+Sens!$K$248*(1-tax)</f>
        <v>199.001835653594</v>
      </c>
      <c r="L274" s="40" t="n">
        <f aca="false">Sens!$L$272+Sens!$L$248*(1-tax)</f>
        <v>222.660079129503</v>
      </c>
      <c r="M274" s="40" t="n">
        <f aca="false">Sens!$M$272+Sens!$M$248*(1-tax)</f>
        <v>246.509286112036</v>
      </c>
      <c r="N274" s="40" t="n">
        <f aca="false">Sens!$N$272+Sens!$N$248*(1-tax)</f>
        <v>56.478</v>
      </c>
      <c r="O274" s="40" t="n">
        <f aca="false">Sens!$O$272+Sens!$O$248*(1-tax)</f>
        <v>21.192</v>
      </c>
    </row>
    <row r="275" customFormat="false" ht="17.15" hidden="false" customHeight="false" outlineLevel="0" collapsed="false">
      <c r="A275" s="45" t="s">
        <v>816</v>
      </c>
      <c r="B275" s="14" t="s">
        <v>27</v>
      </c>
      <c r="C275" s="46" t="n">
        <f aca="false">Sens!$C$274/Sens!$C$273</f>
        <v>5.52635015390355</v>
      </c>
      <c r="D275" s="46" t="n">
        <f aca="false">Sens!$D$274/Sens!$D$273</f>
        <v>7.1737323358271</v>
      </c>
      <c r="E275" s="46" t="n">
        <f aca="false">Sens!$E$274/Sens!$E$273</f>
        <v>10.4179583600844</v>
      </c>
      <c r="F275" s="14"/>
      <c r="G275" s="46" t="n">
        <f aca="false">Sens!$G$274/Sens!$G$273</f>
        <v>13.0907289329084</v>
      </c>
      <c r="H275" s="46" t="n">
        <f aca="false">Sens!$H$274/Sens!$H$273</f>
        <v>11.1339865825873</v>
      </c>
      <c r="I275" s="46" t="n">
        <f aca="false">Sens!$I$274/Sens!$I$273</f>
        <v>13.1013591335783</v>
      </c>
      <c r="J275" s="46" t="n">
        <f aca="false">Sens!$J$274/Sens!$J$273</f>
        <v>15.6114134616931</v>
      </c>
      <c r="K275" s="46" t="n">
        <f aca="false">Sens!$K$274/Sens!$K$273</f>
        <v>17.6600783700915</v>
      </c>
      <c r="L275" s="46" t="n">
        <f aca="false">Sens!$L$274/Sens!$L$273</f>
        <v>19.6027666883901</v>
      </c>
      <c r="M275" s="46" t="n">
        <f aca="false">Sens!$M$274/Sens!$M$273</f>
        <v>21.5301851106606</v>
      </c>
      <c r="N275" s="14"/>
      <c r="O275" s="14"/>
    </row>
    <row r="276" customFormat="false" ht="17.15" hidden="false" customHeight="false" outlineLevel="0" collapsed="false">
      <c r="A276" s="0" t="s">
        <v>817</v>
      </c>
      <c r="B276" s="0" t="s">
        <v>27</v>
      </c>
      <c r="C276" s="34" t="n">
        <f aca="false">Sens!$C$272/Sens!$C$273</f>
        <v>5.52635015390355</v>
      </c>
      <c r="D276" s="34" t="n">
        <f aca="false">Sens!$D$272/Sens!$D$273</f>
        <v>7.1737323358271</v>
      </c>
      <c r="E276" s="34" t="n">
        <f aca="false">Sens!$E$272/Sens!$E$273</f>
        <v>10.4179583600844</v>
      </c>
      <c r="G276" s="34" t="n">
        <f aca="false">Sens!$G$272/Sens!$G$273</f>
        <v>13.0907289329084</v>
      </c>
      <c r="H276" s="34" t="n">
        <f aca="false">Sens!$H$272/Sens!$H$273</f>
        <v>11.1339865825873</v>
      </c>
      <c r="I276" s="34" t="n">
        <f aca="false">Sens!$I$272/Sens!$I$273</f>
        <v>13.1013591335783</v>
      </c>
      <c r="J276" s="34" t="n">
        <f aca="false">Sens!$J$272/Sens!$J$273</f>
        <v>15.6114134616931</v>
      </c>
      <c r="K276" s="34" t="n">
        <f aca="false">Sens!$K$272/Sens!$K$273</f>
        <v>17.6600783700915</v>
      </c>
      <c r="L276" s="34" t="n">
        <f aca="false">Sens!$L$272/Sens!$L$273</f>
        <v>19.6027666883901</v>
      </c>
      <c r="M276" s="34" t="n">
        <f aca="false">Sens!$M$272/Sens!$M$273</f>
        <v>21.5301851106606</v>
      </c>
    </row>
    <row r="277" customFormat="false" ht="17.15" hidden="false" customHeight="false" outlineLevel="0" collapsed="false">
      <c r="A277" s="0" t="s">
        <v>818</v>
      </c>
      <c r="B277" s="0" t="s">
        <v>27</v>
      </c>
      <c r="C277" s="34" t="n">
        <f aca="false">(Sens!$C$272-Sens!$C$269*(1-tax))/Sens!$C$273</f>
        <v>5.33926775917445</v>
      </c>
      <c r="D277" s="34" t="n">
        <f aca="false">(Sens!$D$272-Sens!$D$269*(1-tax))/Sens!$D$273</f>
        <v>5.67691812755503</v>
      </c>
      <c r="E277" s="34" t="n">
        <f aca="false">(Sens!$E$272-Sens!$E$269*(1-tax))/Sens!$E$273</f>
        <v>4.96238832322067</v>
      </c>
      <c r="G277" s="34" t="n">
        <f aca="false">(Sens!$G$272-Sens!$G$269*(1-tax))/Sens!$G$273</f>
        <v>7.64113904996149</v>
      </c>
      <c r="H277" s="34" t="n">
        <f aca="false">(Sens!$H$272-Sens!$H$269*(1-tax))/Sens!$H$273</f>
        <v>11.1339865825873</v>
      </c>
      <c r="I277" s="34" t="n">
        <f aca="false">(Sens!$I$272-Sens!$I$269*(1-tax))/Sens!$I$273</f>
        <v>13.1013591335783</v>
      </c>
      <c r="J277" s="34" t="n">
        <f aca="false">(Sens!$J$272-Sens!$J$269*(1-tax))/Sens!$J$273</f>
        <v>15.6114134616931</v>
      </c>
      <c r="K277" s="34" t="n">
        <f aca="false">(Sens!$K$272-Sens!$K$269*(1-tax))/Sens!$K$273</f>
        <v>17.6600783700915</v>
      </c>
      <c r="L277" s="34" t="n">
        <f aca="false">(Sens!$L$272-Sens!$L$269*(1-tax))/Sens!$L$273</f>
        <v>19.6027666883901</v>
      </c>
      <c r="M277" s="34" t="n">
        <f aca="false">(Sens!$M$272-Sens!$M$269*(1-tax))/Sens!$M$273</f>
        <v>21.5301851106606</v>
      </c>
      <c r="P277" s="5" t="s">
        <v>819</v>
      </c>
    </row>
    <row r="278" customFormat="false" ht="17.15" hidden="false" customHeight="false" outlineLevel="0" collapsed="false">
      <c r="A278" s="0" t="s">
        <v>820</v>
      </c>
      <c r="B278" s="0" t="s">
        <v>56</v>
      </c>
      <c r="H278" s="13" t="n">
        <f aca="false">Sens!$H$275/Sens!$G$275-1</f>
        <v>-0.149475431074137</v>
      </c>
      <c r="I278" s="13" t="n">
        <f aca="false">Sens!$I$275/Sens!$H$275-1</f>
        <v>0.176699741498504</v>
      </c>
      <c r="J278" s="13" t="n">
        <f aca="false">Sens!$J$275/Sens!$I$275-1</f>
        <v>0.191587323309203</v>
      </c>
      <c r="K278" s="13" t="n">
        <f aca="false">Sens!$K$275/Sens!$J$275-1</f>
        <v>0.131228662505501</v>
      </c>
      <c r="L278" s="13" t="n">
        <f aca="false">Sens!$L$275/Sens!$K$275-1</f>
        <v>0.110004512867208</v>
      </c>
      <c r="M278" s="13" t="n">
        <f aca="false">Sens!$M$275/Sens!$L$275-1</f>
        <v>0.0983237954575098</v>
      </c>
    </row>
    <row r="281" customFormat="false" ht="19.4" hidden="false" customHeight="false" outlineLevel="0" collapsed="false">
      <c r="A281" s="35" t="s">
        <v>1307</v>
      </c>
    </row>
    <row r="282" customFormat="false" ht="17.15" hidden="false" customHeight="false" outlineLevel="0" collapsed="false">
      <c r="A282" s="6" t="s">
        <v>16</v>
      </c>
      <c r="B282" s="6" t="s">
        <v>17</v>
      </c>
      <c r="C282" s="23" t="s">
        <v>542</v>
      </c>
      <c r="D282" s="23" t="s">
        <v>543</v>
      </c>
      <c r="E282" s="23" t="s">
        <v>631</v>
      </c>
      <c r="F282" s="23" t="s">
        <v>632</v>
      </c>
      <c r="G282" s="23" t="s">
        <v>633</v>
      </c>
      <c r="H282" s="23" t="s">
        <v>634</v>
      </c>
      <c r="I282" s="23" t="s">
        <v>635</v>
      </c>
      <c r="J282" s="23" t="s">
        <v>636</v>
      </c>
      <c r="K282" s="23" t="s">
        <v>637</v>
      </c>
      <c r="L282" s="23" t="s">
        <v>638</v>
      </c>
      <c r="M282" s="23" t="s">
        <v>639</v>
      </c>
      <c r="N282" s="23" t="s">
        <v>640</v>
      </c>
      <c r="O282" s="23" t="s">
        <v>641</v>
      </c>
      <c r="P282" s="6" t="s">
        <v>23</v>
      </c>
      <c r="R282" s="23" t="n">
        <v>2023</v>
      </c>
      <c r="S282" s="23" t="n">
        <v>2024</v>
      </c>
      <c r="T282" s="23" t="n">
        <v>2025</v>
      </c>
      <c r="U282" s="23" t="n">
        <v>2026</v>
      </c>
      <c r="V282" s="23" t="n">
        <v>2027</v>
      </c>
      <c r="W282" s="23" t="n">
        <v>2028</v>
      </c>
      <c r="X282" s="23" t="n">
        <v>2029</v>
      </c>
      <c r="Y282" s="23" t="n">
        <v>2030</v>
      </c>
      <c r="Z282" s="23" t="n">
        <v>2031</v>
      </c>
      <c r="AA282" s="23" t="n">
        <v>2032</v>
      </c>
    </row>
    <row r="283" customFormat="false" ht="15" hidden="false" customHeight="false" outlineLevel="0" collapsed="false">
      <c r="A283" s="5" t="s">
        <v>597</v>
      </c>
      <c r="B283" s="0" t="s">
        <v>91</v>
      </c>
      <c r="C283" s="40" t="n">
        <f aca="false">Sens!$C$272</f>
        <v>59.248</v>
      </c>
      <c r="D283" s="40" t="n">
        <f aca="false">Sens!$D$272</f>
        <v>77.67</v>
      </c>
      <c r="E283" s="40" t="n">
        <f aca="false">Sens!$E$272</f>
        <v>113.587</v>
      </c>
      <c r="F283" s="40" t="n">
        <f aca="false">Sens!$F$272</f>
        <v>29.2978415818184</v>
      </c>
      <c r="G283" s="40" t="n">
        <f aca="false">Sens!$G$272</f>
        <v>142.884841581818</v>
      </c>
      <c r="H283" s="40" t="n">
        <f aca="false">Sens!$H$272</f>
        <v>122.499284838756</v>
      </c>
      <c r="I283" s="40" t="n">
        <f aca="false">Sens!$I$272</f>
        <v>145.298035817944</v>
      </c>
      <c r="J283" s="40" t="n">
        <f aca="false">Sens!$J$272</f>
        <v>174.520379963047</v>
      </c>
      <c r="K283" s="40" t="n">
        <f aca="false">Sens!$K$272</f>
        <v>199.001835653594</v>
      </c>
      <c r="L283" s="40" t="n">
        <f aca="false">Sens!$L$272</f>
        <v>222.660079129503</v>
      </c>
      <c r="M283" s="40" t="n">
        <f aca="false">Sens!$M$272</f>
        <v>246.509286112036</v>
      </c>
    </row>
    <row r="284" customFormat="false" ht="17.15" hidden="false" customHeight="false" outlineLevel="0" collapsed="false">
      <c r="A284" s="5" t="s">
        <v>843</v>
      </c>
      <c r="B284" s="0" t="s">
        <v>91</v>
      </c>
      <c r="C284" s="40" t="n">
        <f aca="false">Sens!$C$260</f>
        <v>32.067</v>
      </c>
      <c r="D284" s="40" t="n">
        <f aca="false">Sens!$D$260</f>
        <v>41.86</v>
      </c>
      <c r="E284" s="40" t="n">
        <f aca="false">Sens!$E$260</f>
        <v>41.23880553332</v>
      </c>
      <c r="F284" s="40" t="n">
        <f aca="false">Sens!$F$260</f>
        <v>15.5740390023468</v>
      </c>
      <c r="G284" s="40" t="n">
        <f aca="false">Sens!$G$260</f>
        <v>56.8128445356668</v>
      </c>
      <c r="H284" s="40" t="n">
        <f aca="false">Sens!$H$260</f>
        <v>78.7771455603241</v>
      </c>
      <c r="I284" s="40" t="n">
        <f aca="false">Sens!$I$260</f>
        <v>114.577549112487</v>
      </c>
      <c r="J284" s="40" t="n">
        <f aca="false">Sens!$J$260</f>
        <v>144.228458494185</v>
      </c>
      <c r="K284" s="40" t="n">
        <f aca="false">Sens!$K$260</f>
        <v>173.948407816128</v>
      </c>
      <c r="L284" s="40" t="n">
        <f aca="false">Sens!$L$260</f>
        <v>196.32786032093</v>
      </c>
      <c r="M284" s="40" t="n">
        <f aca="false">Sens!$M$260</f>
        <v>210.362394060399</v>
      </c>
    </row>
    <row r="285" customFormat="false" ht="15" hidden="false" customHeight="false" outlineLevel="0" collapsed="false">
      <c r="A285" s="5" t="s">
        <v>844</v>
      </c>
      <c r="B285" s="0" t="s">
        <v>91</v>
      </c>
      <c r="C285" s="40" t="n">
        <f aca="false">Q!$D$50</f>
        <v>22.011</v>
      </c>
      <c r="D285" s="40" t="n">
        <f aca="false">Q!$E$50</f>
        <v>19.467</v>
      </c>
      <c r="E285" s="40" t="n">
        <f aca="false">Q!$O$50</f>
        <v>15.476</v>
      </c>
      <c r="F285" s="40" t="n">
        <f aca="false">sbc_r*Sens!$F$202</f>
        <v>6.10840379988781</v>
      </c>
      <c r="G285" s="40" t="n">
        <f aca="false">Sens!$E$285+Sens!$F$285</f>
        <v>21.5844037998878</v>
      </c>
      <c r="H285" s="40" t="n">
        <f aca="false">sbc_r*Sens!$H$202</f>
        <v>23.9593478177642</v>
      </c>
      <c r="I285" s="40" t="n">
        <f aca="false">sbc_r*Sens!$I$202</f>
        <v>27.3862513776917</v>
      </c>
      <c r="J285" s="40" t="n">
        <f aca="false">sbc_r*Sens!$J$202</f>
        <v>30.6897363665789</v>
      </c>
      <c r="K285" s="40" t="n">
        <f aca="false">sbc_r*Sens!$K$202</f>
        <v>33.5933378743487</v>
      </c>
      <c r="L285" s="40" t="n">
        <f aca="false">sbc_r*Sens!$L$202</f>
        <v>36.2361165213771</v>
      </c>
      <c r="M285" s="40" t="n">
        <f aca="false">sbc_r*Sens!$M$202</f>
        <v>38.6265799637581</v>
      </c>
    </row>
    <row r="286" customFormat="false" ht="17.15" hidden="false" customHeight="false" outlineLevel="0" collapsed="false">
      <c r="A286" s="5" t="s">
        <v>845</v>
      </c>
      <c r="B286" s="0" t="s">
        <v>91</v>
      </c>
      <c r="C286" s="40" t="n">
        <f aca="false">Q!$D$46-Sens!$C$283-Sens!$C$284-Sens!$C$285</f>
        <v>2.551</v>
      </c>
      <c r="D286" s="40" t="n">
        <f aca="false">Q!$E$46-Sens!$D$283-Sens!$D$284-Sens!$D$285</f>
        <v>0.51700000000001</v>
      </c>
      <c r="E286" s="40" t="n">
        <f aca="false">Q!$O$46-Sens!$E$283-Sens!$E$284-Sens!$E$285</f>
        <v>-56.46080553332</v>
      </c>
      <c r="F286" s="40" t="n">
        <f aca="false">oth_q4*Sens!$F$202</f>
        <v>21.3789233499816</v>
      </c>
      <c r="G286" s="40" t="n">
        <f aca="false">Sens!$E$286+Sens!$F$286</f>
        <v>-35.0818821833384</v>
      </c>
      <c r="H286" s="40" t="n">
        <f aca="false">oth_r*Sens!$H$202</f>
        <v>11.5223379717677</v>
      </c>
      <c r="I286" s="40" t="n">
        <f aca="false">oth_r*Sens!$I$202</f>
        <v>13.1703770300288</v>
      </c>
      <c r="J286" s="40" t="n">
        <f aca="false">oth_r*Sens!$J$202</f>
        <v>14.7590626159694</v>
      </c>
      <c r="K286" s="40" t="n">
        <f aca="false">oth_r*Sens!$K$202</f>
        <v>16.1554394356695</v>
      </c>
      <c r="L286" s="40" t="n">
        <f aca="false">oth_r*Sens!$L$202</f>
        <v>17.4263834107411</v>
      </c>
      <c r="M286" s="40" t="n">
        <f aca="false">oth_r*Sens!$M$202</f>
        <v>18.575985975125</v>
      </c>
      <c r="P286" s="8" t="s">
        <v>846</v>
      </c>
    </row>
    <row r="287" customFormat="false" ht="15" hidden="false" customHeight="false" outlineLevel="0" collapsed="false">
      <c r="A287" s="3" t="s">
        <v>604</v>
      </c>
      <c r="B287" s="8" t="s">
        <v>91</v>
      </c>
      <c r="C287" s="40" t="n">
        <f aca="false">Q!$D$46</f>
        <v>115.877</v>
      </c>
      <c r="D287" s="40" t="n">
        <f aca="false">Q!$E$46</f>
        <v>139.514</v>
      </c>
      <c r="E287" s="40" t="n">
        <f aca="false">Q!$O$46</f>
        <v>113.841</v>
      </c>
      <c r="F287" s="40" t="n">
        <f aca="false">Sens!$F$283+Sens!$F$284+Sens!$F$285+Sens!$F$286</f>
        <v>72.3592077340346</v>
      </c>
      <c r="G287" s="40" t="n">
        <f aca="false">Sens!$E$287+Sens!$F$287</f>
        <v>186.200207734035</v>
      </c>
      <c r="H287" s="40" t="n">
        <f aca="false">Sens!$H$283+Sens!$H$284+Sens!$H$285+Sens!$H$286</f>
        <v>236.758116188612</v>
      </c>
      <c r="I287" s="40" t="n">
        <f aca="false">Sens!$I$283+Sens!$I$284+Sens!$I$285+Sens!$I$286</f>
        <v>300.432213338151</v>
      </c>
      <c r="J287" s="40" t="n">
        <f aca="false">Sens!$J$283+Sens!$J$284+Sens!$J$285+Sens!$J$286</f>
        <v>364.19763743978</v>
      </c>
      <c r="K287" s="40" t="n">
        <f aca="false">Sens!$K$283+Sens!$K$284+Sens!$K$285+Sens!$K$286</f>
        <v>422.69902077974</v>
      </c>
      <c r="L287" s="40" t="n">
        <f aca="false">Sens!$L$283+Sens!$L$284+Sens!$L$285+Sens!$L$286</f>
        <v>472.650439382551</v>
      </c>
      <c r="M287" s="40" t="n">
        <f aca="false">Sens!$M$283+Sens!$M$284+Sens!$M$285+Sens!$M$286</f>
        <v>514.074246111318</v>
      </c>
    </row>
    <row r="288" customFormat="false" ht="17.15" hidden="false" customHeight="false" outlineLevel="0" collapsed="false">
      <c r="A288" s="5" t="s">
        <v>847</v>
      </c>
      <c r="B288" s="0" t="s">
        <v>91</v>
      </c>
      <c r="C288" s="40" t="n">
        <f aca="false">Sens!$C$163</f>
        <v>25.2781053077374</v>
      </c>
      <c r="D288" s="40" t="n">
        <f aca="false">Sens!$D$163</f>
        <v>69.5686316310026</v>
      </c>
      <c r="E288" s="40" t="n">
        <f aca="false">Sens!$E$163</f>
        <v>123.196049161056</v>
      </c>
      <c r="F288" s="40" t="n">
        <f aca="false">Sens!$F$163</f>
        <v>28.695619283164</v>
      </c>
      <c r="G288" s="40" t="n">
        <f aca="false">Sens!$G$163</f>
        <v>151.89166844422</v>
      </c>
      <c r="H288" s="40" t="n">
        <f aca="false">Sens!$H$163</f>
        <v>174.63089405695</v>
      </c>
      <c r="I288" s="40" t="n">
        <f aca="false">Sens!$I$163</f>
        <v>180.87098618945</v>
      </c>
      <c r="J288" s="40" t="n">
        <f aca="false">Sens!$J$163</f>
        <v>185.16481558745</v>
      </c>
      <c r="K288" s="40" t="n">
        <f aca="false">Sens!$K$163</f>
        <v>136.513371689237</v>
      </c>
      <c r="L288" s="40" t="n">
        <f aca="false">Sens!$L$163</f>
        <v>113.624904179024</v>
      </c>
      <c r="M288" s="40" t="n">
        <f aca="false">Sens!$M$163</f>
        <v>112.222580066845</v>
      </c>
    </row>
    <row r="289" customFormat="false" ht="17.15" hidden="false" customHeight="false" outlineLevel="0" collapsed="false">
      <c r="A289" s="5" t="s">
        <v>848</v>
      </c>
      <c r="B289" s="0" t="s">
        <v>91</v>
      </c>
      <c r="C289" s="40" t="n">
        <f aca="false">cx_awso*Sens!$C$200</f>
        <v>21.0469989286053</v>
      </c>
      <c r="D289" s="40" t="n">
        <f aca="false">cx_awso*Sens!$D$200</f>
        <v>24.0042459822698</v>
      </c>
      <c r="E289" s="40" t="n">
        <f aca="false">cx_awso*Sens!$E$200</f>
        <v>21.9204583888104</v>
      </c>
      <c r="F289" s="40" t="n">
        <f aca="false">cx_awso*Sens!$F$200</f>
        <v>7.39593206711017</v>
      </c>
      <c r="G289" s="40" t="n">
        <f aca="false">Sens!$E$289+Sens!$F$289</f>
        <v>29.3163904559206</v>
      </c>
      <c r="H289" s="40" t="n">
        <f aca="false">cx_awso*Sens!$H$200</f>
        <v>32.9920830336434</v>
      </c>
      <c r="I289" s="40" t="n">
        <f aca="false">cx_awso*Sens!$I$200</f>
        <v>36.62957281938</v>
      </c>
      <c r="J289" s="40" t="n">
        <f aca="false">cx_awso*Sens!$J$200</f>
        <v>40.1140234584536</v>
      </c>
      <c r="K289" s="40" t="n">
        <f aca="false">cx_awso*Sens!$K$200</f>
        <v>43.3231453351299</v>
      </c>
      <c r="L289" s="40" t="n">
        <f aca="false">cx_awso*Sens!$L$200</f>
        <v>46.7889969619403</v>
      </c>
      <c r="M289" s="40" t="n">
        <f aca="false">cx_awso*Sens!$M$200</f>
        <v>50.5321167188955</v>
      </c>
    </row>
    <row r="290" customFormat="false" ht="17.15" hidden="false" customHeight="false" outlineLevel="0" collapsed="false">
      <c r="A290" s="5" t="s">
        <v>849</v>
      </c>
      <c r="B290" s="0" t="s">
        <v>91</v>
      </c>
      <c r="C290" s="40" t="n">
        <f aca="false">Q!$D$48-Sens!$C$288-Sens!$C$289</f>
        <v>31.3328957636573</v>
      </c>
      <c r="D290" s="40" t="n">
        <f aca="false">Q!$E$48-Sens!$D$288-Sens!$D$289</f>
        <v>34.7471223867276</v>
      </c>
      <c r="E290" s="40" t="n">
        <f aca="false">Q!$O$48-Sens!$E$288-Sens!$E$289</f>
        <v>27.0714924501335</v>
      </c>
      <c r="F290" s="40" t="n">
        <f aca="false">cx_rt*Sens!$F$126</f>
        <v>11.7204486497259</v>
      </c>
      <c r="G290" s="40" t="n">
        <f aca="false">Sens!$E$290+Sens!$F$290</f>
        <v>38.7919410998594</v>
      </c>
      <c r="H290" s="40" t="n">
        <f aca="false">cx_rt*Sens!$H$126</f>
        <v>42.8420898770438</v>
      </c>
      <c r="I290" s="40" t="n">
        <f aca="false">cx_rt*Sens!$I$126</f>
        <v>46.7625475113878</v>
      </c>
      <c r="J290" s="40" t="n">
        <f aca="false">cx_rt*Sens!$J$126</f>
        <v>50.4185886328199</v>
      </c>
      <c r="K290" s="40" t="n">
        <f aca="false">cx_rt*Sens!$K$126</f>
        <v>53.670701222965</v>
      </c>
      <c r="L290" s="40" t="n">
        <f aca="false">cx_rt*Sens!$L$126</f>
        <v>57.1488603007655</v>
      </c>
      <c r="M290" s="40" t="n">
        <f aca="false">cx_rt*Sens!$M$126</f>
        <v>60.8699498760758</v>
      </c>
    </row>
    <row r="291" customFormat="false" ht="15" hidden="false" customHeight="false" outlineLevel="0" collapsed="false">
      <c r="A291" s="3" t="s">
        <v>850</v>
      </c>
      <c r="B291" s="8" t="s">
        <v>91</v>
      </c>
      <c r="C291" s="40" t="n">
        <f aca="false">Q!$D$48</f>
        <v>77.658</v>
      </c>
      <c r="D291" s="40" t="n">
        <f aca="false">Q!$E$48</f>
        <v>128.32</v>
      </c>
      <c r="E291" s="40" t="n">
        <f aca="false">Q!$O$48</f>
        <v>172.188</v>
      </c>
      <c r="F291" s="40" t="n">
        <f aca="false">Sens!$F$288+Sens!$F$289+Sens!$F$290</f>
        <v>47.812</v>
      </c>
      <c r="G291" s="40" t="n">
        <f aca="false">Sens!$E$291+Sens!$F$291</f>
        <v>220</v>
      </c>
      <c r="H291" s="40" t="n">
        <f aca="false">Sens!$H$288+Sens!$H$289+Sens!$H$290</f>
        <v>250.465066967637</v>
      </c>
      <c r="I291" s="40" t="n">
        <f aca="false">Sens!$I$288+Sens!$I$289+Sens!$I$290</f>
        <v>264.263106520218</v>
      </c>
      <c r="J291" s="40" t="n">
        <f aca="false">Sens!$J$288+Sens!$J$289+Sens!$J$290</f>
        <v>275.697427678724</v>
      </c>
      <c r="K291" s="40" t="n">
        <f aca="false">Sens!$K$288+Sens!$K$289+Sens!$K$290</f>
        <v>233.507218247332</v>
      </c>
      <c r="L291" s="40" t="n">
        <f aca="false">Sens!$L$288+Sens!$L$289+Sens!$L$290</f>
        <v>217.56276144173</v>
      </c>
      <c r="M291" s="40" t="n">
        <f aca="false">Sens!$M$288+Sens!$M$289+Sens!$M$290</f>
        <v>223.624646661817</v>
      </c>
    </row>
    <row r="292" customFormat="false" ht="17.15" hidden="false" customHeight="false" outlineLevel="0" collapsed="false">
      <c r="A292" s="5" t="s">
        <v>612</v>
      </c>
      <c r="B292" s="0" t="s">
        <v>91</v>
      </c>
      <c r="C292" s="40" t="n">
        <f aca="false">Q!$D$52</f>
        <v>2.043</v>
      </c>
      <c r="D292" s="40" t="n">
        <f aca="false">Q!$E$52</f>
        <v>1.557</v>
      </c>
      <c r="E292" s="40" t="n">
        <f aca="false">Q!$O$52</f>
        <v>1.296</v>
      </c>
      <c r="F292" s="40" t="n">
        <f aca="false">lease_pr/4</f>
        <v>0.4</v>
      </c>
      <c r="G292" s="40" t="n">
        <f aca="false">Sens!$E$292+Sens!$F$292</f>
        <v>1.696</v>
      </c>
      <c r="H292" s="40" t="n">
        <f aca="false">lease_pr</f>
        <v>1.6</v>
      </c>
      <c r="I292" s="40" t="n">
        <f aca="false">lease_pr</f>
        <v>1.6</v>
      </c>
      <c r="J292" s="40" t="n">
        <f aca="false">lease_pr</f>
        <v>1.6</v>
      </c>
      <c r="K292" s="40" t="n">
        <f aca="false">lease_pr</f>
        <v>1.6</v>
      </c>
      <c r="L292" s="40" t="n">
        <f aca="false">lease_pr</f>
        <v>1.6</v>
      </c>
      <c r="M292" s="40" t="n">
        <f aca="false">lease_pr</f>
        <v>1.6</v>
      </c>
      <c r="P292" s="8" t="s">
        <v>851</v>
      </c>
    </row>
    <row r="293" customFormat="false" ht="15" hidden="false" customHeight="false" outlineLevel="0" collapsed="false">
      <c r="A293" s="48" t="s">
        <v>852</v>
      </c>
      <c r="B293" s="14" t="s">
        <v>91</v>
      </c>
      <c r="C293" s="49" t="n">
        <f aca="false">Sens!$C$287-Sens!$C$291-Sens!$C$292</f>
        <v>36.176</v>
      </c>
      <c r="D293" s="49" t="n">
        <f aca="false">Sens!$D$287-Sens!$D$291-Sens!$D$292</f>
        <v>9.63700000000002</v>
      </c>
      <c r="E293" s="49" t="n">
        <f aca="false">Sens!$E$287-Sens!$E$291-Sens!$E$292</f>
        <v>-59.643</v>
      </c>
      <c r="F293" s="49" t="n">
        <f aca="false">Sens!$F$287-Sens!$F$291-Sens!$F$292</f>
        <v>24.1472077340346</v>
      </c>
      <c r="G293" s="49" t="n">
        <f aca="false">Sens!$G$287-Sens!$G$291-Sens!$G$292</f>
        <v>-35.4957922659654</v>
      </c>
      <c r="H293" s="49" t="n">
        <f aca="false">Sens!$H$287-Sens!$H$291-Sens!$H$292</f>
        <v>-15.3069507790254</v>
      </c>
      <c r="I293" s="49" t="n">
        <f aca="false">Sens!$I$287-Sens!$I$291-Sens!$I$292</f>
        <v>34.5691068179333</v>
      </c>
      <c r="J293" s="49" t="n">
        <f aca="false">Sens!$J$287-Sens!$J$291-Sens!$J$292</f>
        <v>86.9002097610569</v>
      </c>
      <c r="K293" s="49" t="n">
        <f aca="false">Sens!$K$287-Sens!$K$291-Sens!$K$292</f>
        <v>187.591802532408</v>
      </c>
      <c r="L293" s="49" t="n">
        <f aca="false">Sens!$L$287-Sens!$L$291-Sens!$L$292</f>
        <v>253.48767794082</v>
      </c>
      <c r="M293" s="49" t="n">
        <f aca="false">Sens!$M$287-Sens!$M$291-Sens!$M$292</f>
        <v>288.849599449501</v>
      </c>
      <c r="N293" s="14"/>
      <c r="O293" s="14"/>
    </row>
    <row r="294" customFormat="false" ht="17.15" hidden="false" customHeight="false" outlineLevel="0" collapsed="false">
      <c r="A294" s="5" t="s">
        <v>853</v>
      </c>
      <c r="B294" s="0" t="s">
        <v>91</v>
      </c>
      <c r="C294" s="40" t="n">
        <f aca="false">dps*Sens!$C$273</f>
        <v>0</v>
      </c>
      <c r="D294" s="40" t="n">
        <f aca="false">dps*Sens!$D$273</f>
        <v>0</v>
      </c>
      <c r="E294" s="40" t="n">
        <f aca="false">dps*Sens!$E$273</f>
        <v>0</v>
      </c>
      <c r="F294" s="40" t="n">
        <f aca="false">0</f>
        <v>0</v>
      </c>
      <c r="G294" s="40" t="n">
        <f aca="false">dps*Sens!$G$273</f>
        <v>0</v>
      </c>
      <c r="H294" s="40" t="n">
        <f aca="false">dps*Sens!$H$273</f>
        <v>0</v>
      </c>
      <c r="I294" s="40" t="n">
        <f aca="false">dps*Sens!$I$273</f>
        <v>0</v>
      </c>
      <c r="J294" s="40" t="n">
        <f aca="false">dps*Sens!$J$273</f>
        <v>0</v>
      </c>
      <c r="K294" s="40" t="n">
        <f aca="false">dps*Sens!$K$273</f>
        <v>0</v>
      </c>
      <c r="L294" s="40" t="n">
        <f aca="false">dps*Sens!$L$273</f>
        <v>0</v>
      </c>
      <c r="M294" s="40" t="n">
        <f aca="false">dps*Sens!$M$273</f>
        <v>0</v>
      </c>
      <c r="P294" s="8" t="s">
        <v>854</v>
      </c>
    </row>
    <row r="295" customFormat="false" ht="17.15" hidden="false" customHeight="false" outlineLevel="0" collapsed="false">
      <c r="A295" s="5" t="s">
        <v>855</v>
      </c>
      <c r="B295" s="0" t="s">
        <v>91</v>
      </c>
      <c r="C295" s="40" t="n">
        <f aca="false">0</f>
        <v>0</v>
      </c>
      <c r="D295" s="40" t="n">
        <f aca="false">0</f>
        <v>0</v>
      </c>
      <c r="E295" s="40" t="n">
        <f aca="false">0</f>
        <v>0</v>
      </c>
      <c r="F295" s="40" t="n">
        <f aca="false">0</f>
        <v>0</v>
      </c>
      <c r="G295" s="40" t="n">
        <f aca="false">0</f>
        <v>0</v>
      </c>
      <c r="H295" s="40" t="n">
        <f aca="false">0</f>
        <v>0</v>
      </c>
      <c r="I295" s="40" t="n">
        <f aca="false">0</f>
        <v>0</v>
      </c>
      <c r="J295" s="40" t="n">
        <f aca="false">0</f>
        <v>0</v>
      </c>
      <c r="K295" s="40" t="n">
        <f aca="false">0</f>
        <v>0</v>
      </c>
      <c r="L295" s="40" t="n">
        <f aca="false">0</f>
        <v>0</v>
      </c>
      <c r="M295" s="40" t="n">
        <f aca="false">0</f>
        <v>0</v>
      </c>
      <c r="P295" s="8" t="s">
        <v>856</v>
      </c>
    </row>
    <row r="296" customFormat="false" ht="15" hidden="false" customHeight="false" outlineLevel="0" collapsed="false">
      <c r="A296" s="3" t="s">
        <v>857</v>
      </c>
      <c r="B296" s="8" t="s">
        <v>91</v>
      </c>
      <c r="C296" s="40" t="n">
        <f aca="false">Sens!$C$293-Sens!$C$294</f>
        <v>36.176</v>
      </c>
      <c r="D296" s="40" t="n">
        <f aca="false">Sens!$D$293-Sens!$D$294</f>
        <v>9.63700000000002</v>
      </c>
      <c r="E296" s="40" t="n">
        <f aca="false">Sens!$E$293-Sens!$E$294</f>
        <v>-59.643</v>
      </c>
      <c r="F296" s="40" t="n">
        <f aca="false">Sens!$F$293-Sens!$F$294</f>
        <v>24.1472077340346</v>
      </c>
      <c r="G296" s="40" t="n">
        <f aca="false">Sens!$G$293-Sens!$G$294</f>
        <v>-35.4957922659654</v>
      </c>
      <c r="H296" s="40" t="n">
        <f aca="false">Sens!$H$293-Sens!$H$294</f>
        <v>-15.3069507790254</v>
      </c>
      <c r="I296" s="40" t="n">
        <f aca="false">Sens!$I$293-Sens!$I$294</f>
        <v>34.5691068179333</v>
      </c>
      <c r="J296" s="40" t="n">
        <f aca="false">Sens!$J$293-Sens!$J$294</f>
        <v>86.9002097610569</v>
      </c>
      <c r="K296" s="40" t="n">
        <f aca="false">Sens!$K$293-Sens!$K$294</f>
        <v>187.591802532408</v>
      </c>
      <c r="L296" s="40" t="n">
        <f aca="false">Sens!$L$293-Sens!$L$294</f>
        <v>253.48767794082</v>
      </c>
      <c r="M296" s="40" t="n">
        <f aca="false">Sens!$M$293-Sens!$M$294</f>
        <v>288.849599449501</v>
      </c>
    </row>
    <row r="297" customFormat="false" ht="17.15" hidden="false" customHeight="false" outlineLevel="0" collapsed="false">
      <c r="A297" s="5" t="s">
        <v>858</v>
      </c>
      <c r="B297" s="0" t="s">
        <v>91</v>
      </c>
      <c r="E297" s="40" t="n">
        <f aca="false">Q!$O$55</f>
        <v>63.753</v>
      </c>
      <c r="F297" s="40" t="n">
        <f aca="false">inv_q4</f>
        <v>0</v>
      </c>
      <c r="G297" s="40" t="n">
        <f aca="false">Sens!$E$297+Sens!$F$297</f>
        <v>63.753</v>
      </c>
      <c r="H297" s="41" t="n">
        <v>0</v>
      </c>
      <c r="I297" s="41" t="n">
        <v>0</v>
      </c>
      <c r="J297" s="41" t="n">
        <v>0</v>
      </c>
      <c r="K297" s="41" t="n">
        <v>0</v>
      </c>
      <c r="L297" s="41" t="n">
        <v>0</v>
      </c>
      <c r="M297" s="41" t="n">
        <v>0</v>
      </c>
    </row>
    <row r="298" customFormat="false" ht="17.15" hidden="false" customHeight="false" outlineLevel="0" collapsed="false">
      <c r="A298" s="5" t="s">
        <v>859</v>
      </c>
      <c r="B298" s="0" t="s">
        <v>91</v>
      </c>
      <c r="F298" s="40" t="n">
        <f aca="false">cash_q3</f>
        <v>114.226</v>
      </c>
      <c r="G298" s="40" t="n">
        <f aca="false">cash_q3</f>
        <v>114.226</v>
      </c>
      <c r="H298" s="40" t="n">
        <f aca="false">Sens!$G$301</f>
        <v>138.373207734035</v>
      </c>
      <c r="I298" s="40" t="n">
        <f aca="false">Sens!$H$301</f>
        <v>123.066256955009</v>
      </c>
      <c r="J298" s="40" t="n">
        <f aca="false">Sens!$I$301</f>
        <v>157.635363772943</v>
      </c>
      <c r="K298" s="40" t="n">
        <f aca="false">Sens!$J$301</f>
        <v>244.535573533999</v>
      </c>
      <c r="L298" s="40" t="n">
        <f aca="false">Sens!$K$301</f>
        <v>432.127376066408</v>
      </c>
      <c r="M298" s="40" t="n">
        <f aca="false">Sens!$L$301</f>
        <v>685.615054007228</v>
      </c>
    </row>
    <row r="299" customFormat="false" ht="15" hidden="false" customHeight="false" outlineLevel="0" collapsed="false">
      <c r="A299" s="5" t="s">
        <v>860</v>
      </c>
      <c r="B299" s="0" t="s">
        <v>91</v>
      </c>
      <c r="F299" s="40" t="n">
        <f aca="false">Sens!$F$298+Sens!$F$296-Sens!$F$295-Sens!$F$297</f>
        <v>138.373207734035</v>
      </c>
      <c r="H299" s="40" t="n">
        <f aca="false">Sens!$H$298+Sens!$H$296-Sens!$H$295-Sens!$H$297</f>
        <v>123.066256955009</v>
      </c>
      <c r="I299" s="40" t="n">
        <f aca="false">Sens!$I$298+Sens!$I$296-Sens!$I$295-Sens!$I$297</f>
        <v>157.635363772943</v>
      </c>
      <c r="J299" s="40" t="n">
        <f aca="false">Sens!$J$298+Sens!$J$296-Sens!$J$295-Sens!$J$297</f>
        <v>244.535573533999</v>
      </c>
      <c r="K299" s="40" t="n">
        <f aca="false">Sens!$K$298+Sens!$K$296-Sens!$K$295-Sens!$K$297</f>
        <v>432.127376066408</v>
      </c>
      <c r="L299" s="40" t="n">
        <f aca="false">Sens!$L$298+Sens!$L$296-Sens!$L$295-Sens!$L$297</f>
        <v>685.615054007228</v>
      </c>
      <c r="M299" s="40" t="n">
        <f aca="false">Sens!$M$298+Sens!$M$296-Sens!$M$295-Sens!$M$297</f>
        <v>974.46465345673</v>
      </c>
    </row>
    <row r="300" customFormat="false" ht="17.15" hidden="false" customHeight="false" outlineLevel="0" collapsed="false">
      <c r="A300" s="5" t="s">
        <v>861</v>
      </c>
      <c r="B300" s="0" t="s">
        <v>91</v>
      </c>
      <c r="F300" s="40" t="n">
        <f aca="false">MAX(0,min_cash-Sens!$F$299)</f>
        <v>0</v>
      </c>
      <c r="G300" s="40" t="n">
        <f aca="false">Sens!$F$300</f>
        <v>0</v>
      </c>
      <c r="H300" s="40" t="n">
        <f aca="false">MAX(0,min_cash-Sens!$H$299)</f>
        <v>0</v>
      </c>
      <c r="I300" s="40" t="n">
        <f aca="false">MAX(0,min_cash-Sens!$I$299)</f>
        <v>0</v>
      </c>
      <c r="J300" s="40" t="n">
        <f aca="false">MAX(0,min_cash-Sens!$J$299)</f>
        <v>0</v>
      </c>
      <c r="K300" s="40" t="n">
        <f aca="false">MAX(0,min_cash-Sens!$K$299)</f>
        <v>0</v>
      </c>
      <c r="L300" s="40" t="n">
        <f aca="false">MAX(0,min_cash-Sens!$L$299)</f>
        <v>0</v>
      </c>
      <c r="M300" s="40" t="n">
        <f aca="false">MAX(0,min_cash-Sens!$M$299)</f>
        <v>0</v>
      </c>
      <c r="P300" s="5" t="s">
        <v>862</v>
      </c>
    </row>
    <row r="301" customFormat="false" ht="15" hidden="false" customHeight="false" outlineLevel="0" collapsed="false">
      <c r="A301" s="5" t="s">
        <v>863</v>
      </c>
      <c r="B301" s="0" t="s">
        <v>91</v>
      </c>
      <c r="D301" s="40" t="n">
        <f aca="false">Q!$E$63</f>
        <v>123.029</v>
      </c>
      <c r="E301" s="40" t="n">
        <f aca="false">Q!$M$63</f>
        <v>114.226</v>
      </c>
      <c r="F301" s="40" t="n">
        <f aca="false">Sens!$F$299+Sens!$F$300</f>
        <v>138.373207734035</v>
      </c>
      <c r="G301" s="40" t="n">
        <f aca="false">Sens!$F$301</f>
        <v>138.373207734035</v>
      </c>
      <c r="H301" s="40" t="n">
        <f aca="false">Sens!$H$299+Sens!$H$300</f>
        <v>123.066256955009</v>
      </c>
      <c r="I301" s="40" t="n">
        <f aca="false">Sens!$I$299+Sens!$I$300</f>
        <v>157.635363772943</v>
      </c>
      <c r="J301" s="40" t="n">
        <f aca="false">Sens!$J$299+Sens!$J$300</f>
        <v>244.535573533999</v>
      </c>
      <c r="K301" s="40" t="n">
        <f aca="false">Sens!$K$299+Sens!$K$300</f>
        <v>432.127376066408</v>
      </c>
      <c r="L301" s="40" t="n">
        <f aca="false">Sens!$L$299+Sens!$L$300</f>
        <v>685.615054007228</v>
      </c>
      <c r="M301" s="40" t="n">
        <f aca="false">Sens!$M$299+Sens!$M$300</f>
        <v>974.46465345673</v>
      </c>
    </row>
    <row r="302" customFormat="false" ht="15" hidden="false" customHeight="false" outlineLevel="0" collapsed="false">
      <c r="A302" s="5" t="s">
        <v>864</v>
      </c>
      <c r="B302" s="0" t="s">
        <v>91</v>
      </c>
      <c r="D302" s="40" t="n">
        <f aca="false">Q!$E$64</f>
        <v>68.836</v>
      </c>
      <c r="E302" s="40" t="n">
        <f aca="false">Q!$M$64</f>
        <v>181.09</v>
      </c>
      <c r="F302" s="40" t="n">
        <f aca="false">debt_q3+Sens!$F$300</f>
        <v>181.09</v>
      </c>
      <c r="G302" s="40" t="n">
        <f aca="false">Sens!$F$302</f>
        <v>181.09</v>
      </c>
      <c r="H302" s="40" t="n">
        <f aca="false">Sens!$G$302+Sens!$H$300</f>
        <v>181.09</v>
      </c>
      <c r="I302" s="40" t="n">
        <f aca="false">Sens!$H$302+Sens!$I$300</f>
        <v>181.09</v>
      </c>
      <c r="J302" s="40" t="n">
        <f aca="false">Sens!$I$302+Sens!$J$300</f>
        <v>181.09</v>
      </c>
      <c r="K302" s="40" t="n">
        <f aca="false">Sens!$J$302+Sens!$K$300</f>
        <v>181.09</v>
      </c>
      <c r="L302" s="40" t="n">
        <f aca="false">Sens!$K$302+Sens!$L$300</f>
        <v>181.09</v>
      </c>
      <c r="M302" s="40" t="n">
        <f aca="false">Sens!$L$302+Sens!$M$300</f>
        <v>181.09</v>
      </c>
    </row>
    <row r="303" customFormat="false" ht="15" hidden="false" customHeight="false" outlineLevel="0" collapsed="false">
      <c r="A303" s="5" t="s">
        <v>865</v>
      </c>
      <c r="B303" s="0" t="s">
        <v>91</v>
      </c>
      <c r="D303" s="40" t="n">
        <f aca="false">Sens!$D$302-Sens!$D$301</f>
        <v>-54.193</v>
      </c>
      <c r="E303" s="40" t="n">
        <f aca="false">Sens!$E$302-Sens!$E$301</f>
        <v>66.864</v>
      </c>
      <c r="F303" s="40" t="n">
        <f aca="false">Sens!$F$302-Sens!$F$301</f>
        <v>42.7167922659654</v>
      </c>
      <c r="G303" s="40" t="n">
        <f aca="false">Sens!$G$302-Sens!$G$301</f>
        <v>42.7167922659654</v>
      </c>
      <c r="H303" s="40" t="n">
        <f aca="false">Sens!$H$302-Sens!$H$301</f>
        <v>58.0237430449908</v>
      </c>
      <c r="I303" s="40" t="n">
        <f aca="false">Sens!$I$302-Sens!$I$301</f>
        <v>23.4546362270575</v>
      </c>
      <c r="J303" s="40" t="n">
        <f aca="false">Sens!$J$302-Sens!$J$301</f>
        <v>-63.4455735339994</v>
      </c>
      <c r="K303" s="40" t="n">
        <f aca="false">Sens!$K$302-Sens!$K$301</f>
        <v>-251.037376066408</v>
      </c>
      <c r="L303" s="40" t="n">
        <f aca="false">Sens!$L$302-Sens!$L$301</f>
        <v>-504.525054007228</v>
      </c>
      <c r="M303" s="40" t="n">
        <f aca="false">Sens!$M$302-Sens!$M$301</f>
        <v>-793.37465345673</v>
      </c>
    </row>
    <row r="304" customFormat="false" ht="17.15" hidden="false" customHeight="false" outlineLevel="0" collapsed="false">
      <c r="A304" s="5" t="s">
        <v>866</v>
      </c>
      <c r="B304" s="0" t="s">
        <v>91</v>
      </c>
      <c r="F304" s="40" t="n">
        <f aca="false">debt_q3*kd_book*0.25</f>
        <v>1.94993832879634</v>
      </c>
      <c r="H304" s="40" t="n">
        <f aca="false">debt_q3*kd_book+(Sens!$G$302-debt_q3)*kd_new</f>
        <v>7.79975331518538</v>
      </c>
      <c r="I304" s="40" t="n">
        <f aca="false">debt_q3*kd_book+(Sens!$H$302-debt_q3)*kd_new</f>
        <v>7.79975331518538</v>
      </c>
      <c r="J304" s="40" t="n">
        <f aca="false">debt_q3*kd_book+(Sens!$I$302-debt_q3)*kd_new</f>
        <v>7.79975331518538</v>
      </c>
      <c r="K304" s="40" t="n">
        <f aca="false">debt_q3*kd_book+(Sens!$J$302-debt_q3)*kd_new</f>
        <v>7.79975331518538</v>
      </c>
      <c r="L304" s="40" t="n">
        <f aca="false">debt_q3*kd_book+(Sens!$K$302-debt_q3)*kd_new</f>
        <v>7.79975331518538</v>
      </c>
      <c r="M304" s="40" t="n">
        <f aca="false">debt_q3*kd_book+(Sens!$L$302-debt_q3)*kd_new</f>
        <v>7.79975331518538</v>
      </c>
    </row>
    <row r="305" customFormat="false" ht="17.15" hidden="false" customHeight="false" outlineLevel="0" collapsed="false">
      <c r="A305" s="5" t="s">
        <v>867</v>
      </c>
      <c r="B305" s="0" t="s">
        <v>91</v>
      </c>
      <c r="F305" s="40" t="n">
        <f aca="false">cash_q3*y_cash*0.25</f>
        <v>1.187</v>
      </c>
      <c r="H305" s="40" t="n">
        <f aca="false">Sens!$G$301*y_cash</f>
        <v>5.75172018910928</v>
      </c>
      <c r="I305" s="40" t="n">
        <f aca="false">Sens!$H$301*y_cash</f>
        <v>5.11546047329315</v>
      </c>
      <c r="J305" s="40" t="n">
        <f aca="false">Sens!$I$301*y_cash</f>
        <v>6.5523848090096</v>
      </c>
      <c r="K305" s="40" t="n">
        <f aca="false">Sens!$J$301*y_cash</f>
        <v>10.1645413753386</v>
      </c>
      <c r="L305" s="40" t="n">
        <f aca="false">Sens!$K$301*y_cash</f>
        <v>17.9621170448348</v>
      </c>
      <c r="M305" s="40" t="n">
        <f aca="false">Sens!$L$301*y_cash</f>
        <v>28.4987680250234</v>
      </c>
    </row>
    <row r="306" customFormat="false" ht="17.15" hidden="false" customHeight="false" outlineLevel="0" collapsed="false">
      <c r="A306" s="48" t="s">
        <v>868</v>
      </c>
      <c r="B306" s="14" t="s">
        <v>91</v>
      </c>
      <c r="C306" s="14"/>
      <c r="D306" s="14"/>
      <c r="E306" s="14"/>
      <c r="F306" s="14"/>
      <c r="G306" s="49" t="n">
        <f aca="false">SUM(Sens!$G$296:$K$296)</f>
        <v>258.258376066408</v>
      </c>
      <c r="H306" s="14"/>
      <c r="I306" s="14"/>
      <c r="J306" s="14"/>
      <c r="K306" s="14"/>
      <c r="L306" s="14"/>
      <c r="M306" s="14"/>
      <c r="N306" s="14"/>
      <c r="O306" s="14"/>
    </row>
    <row r="307" customFormat="false" ht="17.15" hidden="false" customHeight="false" outlineLevel="0" collapsed="false">
      <c r="A307" s="0" t="s">
        <v>835</v>
      </c>
      <c r="B307" s="0" t="s">
        <v>91</v>
      </c>
      <c r="G307" s="40" t="n">
        <f aca="false">SUM(Sens!$G$300:$K$300)</f>
        <v>0</v>
      </c>
    </row>
    <row r="308" customFormat="false" ht="17.15" hidden="false" customHeight="false" outlineLevel="0" collapsed="false">
      <c r="A308" s="27" t="s">
        <v>869</v>
      </c>
      <c r="B308" s="28" t="s">
        <v>91</v>
      </c>
      <c r="C308" s="28"/>
      <c r="D308" s="28"/>
      <c r="E308" s="28"/>
      <c r="F308" s="28"/>
      <c r="G308" s="43" t="n">
        <f aca="false">Sens!$G$306-(Sens!$G$296+Sens!$H$296+Sens!$I$296+Sens!$J$296+Sens!$K$296)</f>
        <v>0</v>
      </c>
      <c r="H308" s="28"/>
      <c r="I308" s="28"/>
      <c r="J308" s="28"/>
      <c r="K308" s="28"/>
      <c r="L308" s="28"/>
      <c r="M308" s="28"/>
      <c r="N308" s="28"/>
      <c r="O308" s="28"/>
    </row>
    <row r="311" customFormat="false" ht="19.4" hidden="false" customHeight="false" outlineLevel="0" collapsed="false">
      <c r="A311" s="35" t="s">
        <v>1308</v>
      </c>
    </row>
    <row r="312" customFormat="false" ht="17.15" hidden="false" customHeight="false" outlineLevel="0" collapsed="false">
      <c r="A312" s="6" t="s">
        <v>16</v>
      </c>
      <c r="B312" s="6" t="s">
        <v>17</v>
      </c>
      <c r="C312" s="23" t="s">
        <v>542</v>
      </c>
      <c r="D312" s="23" t="s">
        <v>543</v>
      </c>
      <c r="E312" s="23" t="s">
        <v>631</v>
      </c>
      <c r="F312" s="23" t="s">
        <v>632</v>
      </c>
      <c r="G312" s="23" t="s">
        <v>633</v>
      </c>
      <c r="H312" s="23" t="s">
        <v>634</v>
      </c>
      <c r="I312" s="23" t="s">
        <v>635</v>
      </c>
      <c r="J312" s="23" t="s">
        <v>636</v>
      </c>
      <c r="K312" s="23" t="s">
        <v>637</v>
      </c>
      <c r="L312" s="23" t="s">
        <v>638</v>
      </c>
      <c r="M312" s="23" t="s">
        <v>639</v>
      </c>
      <c r="N312" s="23" t="s">
        <v>640</v>
      </c>
      <c r="O312" s="23" t="s">
        <v>641</v>
      </c>
      <c r="P312" s="6" t="s">
        <v>23</v>
      </c>
      <c r="R312" s="23" t="n">
        <v>2023</v>
      </c>
      <c r="S312" s="23" t="n">
        <v>2024</v>
      </c>
      <c r="T312" s="23" t="n">
        <v>2025</v>
      </c>
      <c r="U312" s="23" t="n">
        <v>2026</v>
      </c>
      <c r="V312" s="23" t="n">
        <v>2027</v>
      </c>
      <c r="W312" s="23" t="n">
        <v>2028</v>
      </c>
      <c r="X312" s="23" t="n">
        <v>2029</v>
      </c>
      <c r="Y312" s="23" t="n">
        <v>2030</v>
      </c>
      <c r="Z312" s="23" t="n">
        <v>2031</v>
      </c>
      <c r="AA312" s="23" t="n">
        <v>2032</v>
      </c>
    </row>
    <row r="313" customFormat="false" ht="17.15" hidden="false" customHeight="false" outlineLevel="0" collapsed="false">
      <c r="A313" s="1" t="s">
        <v>972</v>
      </c>
    </row>
    <row r="314" customFormat="false" ht="17.15" hidden="false" customHeight="false" outlineLevel="0" collapsed="false">
      <c r="A314" s="0" t="s">
        <v>973</v>
      </c>
      <c r="B314" s="0" t="s">
        <v>91</v>
      </c>
      <c r="H314" s="40" t="n">
        <f aca="false">Sens!$H$249*(1-tax)</f>
        <v>124.191811104138</v>
      </c>
      <c r="I314" s="40" t="n">
        <f aca="false">Sens!$I$249*(1-tax)</f>
        <v>147.516376957564</v>
      </c>
      <c r="J314" s="40" t="n">
        <f aca="false">Sens!$J$249*(1-tax)</f>
        <v>175.551224597556</v>
      </c>
      <c r="K314" s="40" t="n">
        <f aca="false">Sens!$K$249*(1-tax)</f>
        <v>197.047538209422</v>
      </c>
      <c r="L314" s="40" t="n">
        <f aca="false">Sens!$L$249*(1-tax)</f>
        <v>214.261744497215</v>
      </c>
      <c r="M314" s="40" t="n">
        <f aca="false">Sens!$M$249*(1-tax)</f>
        <v>229.403300072127</v>
      </c>
    </row>
    <row r="315" customFormat="false" ht="15" hidden="false" customHeight="false" outlineLevel="0" collapsed="false">
      <c r="A315" s="5" t="s">
        <v>974</v>
      </c>
      <c r="B315" s="0" t="s">
        <v>91</v>
      </c>
      <c r="H315" s="40" t="n">
        <f aca="false">Sens!$H$260</f>
        <v>78.7771455603241</v>
      </c>
      <c r="I315" s="40" t="n">
        <f aca="false">Sens!$I$260</f>
        <v>114.577549112487</v>
      </c>
      <c r="J315" s="40" t="n">
        <f aca="false">Sens!$J$260</f>
        <v>144.228458494185</v>
      </c>
      <c r="K315" s="40" t="n">
        <f aca="false">Sens!$K$260</f>
        <v>173.948407816128</v>
      </c>
      <c r="L315" s="40" t="n">
        <f aca="false">Sens!$L$260</f>
        <v>196.32786032093</v>
      </c>
      <c r="M315" s="40" t="n">
        <f aca="false">Sens!$M$260</f>
        <v>210.362394060399</v>
      </c>
    </row>
    <row r="316" customFormat="false" ht="15" hidden="false" customHeight="false" outlineLevel="0" collapsed="false">
      <c r="A316" s="5" t="s">
        <v>975</v>
      </c>
      <c r="B316" s="0" t="s">
        <v>91</v>
      </c>
      <c r="H316" s="40" t="n">
        <f aca="false">Sens!$H$291</f>
        <v>250.465066967637</v>
      </c>
      <c r="I316" s="40" t="n">
        <f aca="false">Sens!$I$291</f>
        <v>264.263106520218</v>
      </c>
      <c r="J316" s="40" t="n">
        <f aca="false">Sens!$J$291</f>
        <v>275.697427678724</v>
      </c>
      <c r="K316" s="40" t="n">
        <f aca="false">Sens!$K$291</f>
        <v>233.507218247332</v>
      </c>
      <c r="L316" s="40" t="n">
        <f aca="false">Sens!$L$291</f>
        <v>217.56276144173</v>
      </c>
      <c r="M316" s="40" t="n">
        <f aca="false">Sens!$M$291</f>
        <v>223.624646661817</v>
      </c>
    </row>
    <row r="317" customFormat="false" ht="15" hidden="false" customHeight="false" outlineLevel="0" collapsed="false">
      <c r="A317" s="5" t="s">
        <v>976</v>
      </c>
      <c r="B317" s="0" t="s">
        <v>91</v>
      </c>
      <c r="H317" s="40" t="n">
        <f aca="false">Sens!$H$292</f>
        <v>1.6</v>
      </c>
      <c r="I317" s="40" t="n">
        <f aca="false">Sens!$I$292</f>
        <v>1.6</v>
      </c>
      <c r="J317" s="40" t="n">
        <f aca="false">Sens!$J$292</f>
        <v>1.6</v>
      </c>
      <c r="K317" s="40" t="n">
        <f aca="false">Sens!$K$292</f>
        <v>1.6</v>
      </c>
      <c r="L317" s="40" t="n">
        <f aca="false">Sens!$L$292</f>
        <v>1.6</v>
      </c>
      <c r="M317" s="40" t="n">
        <f aca="false">Sens!$M$292</f>
        <v>1.6</v>
      </c>
    </row>
    <row r="318" customFormat="false" ht="15" hidden="false" customHeight="false" outlineLevel="0" collapsed="false">
      <c r="A318" s="5" t="s">
        <v>977</v>
      </c>
      <c r="B318" s="0" t="s">
        <v>91</v>
      </c>
      <c r="H318" s="40" t="n">
        <f aca="false">Sens!$H$286</f>
        <v>11.5223379717677</v>
      </c>
      <c r="I318" s="40" t="n">
        <f aca="false">Sens!$I$286</f>
        <v>13.1703770300288</v>
      </c>
      <c r="J318" s="40" t="n">
        <f aca="false">Sens!$J$286</f>
        <v>14.7590626159694</v>
      </c>
      <c r="K318" s="40" t="n">
        <f aca="false">Sens!$K$286</f>
        <v>16.1554394356695</v>
      </c>
      <c r="L318" s="40" t="n">
        <f aca="false">Sens!$L$286</f>
        <v>17.4263834107411</v>
      </c>
      <c r="M318" s="40" t="n">
        <f aca="false">Sens!$M$286</f>
        <v>18.575985975125</v>
      </c>
    </row>
    <row r="319" customFormat="false" ht="17.15" hidden="false" customHeight="false" outlineLevel="0" collapsed="false">
      <c r="A319" s="1" t="s">
        <v>978</v>
      </c>
      <c r="B319" s="8" t="s">
        <v>91</v>
      </c>
      <c r="H319" s="40" t="n">
        <f aca="false">Sens!$H$314+Sens!$H$315-Sens!$H$316-Sens!$H$317+Sens!$H$318</f>
        <v>-37.5737723314077</v>
      </c>
      <c r="I319" s="40" t="n">
        <f aca="false">Sens!$I$314+Sens!$I$315-Sens!$I$316-Sens!$I$317+Sens!$I$318</f>
        <v>9.40119657986176</v>
      </c>
      <c r="J319" s="40" t="n">
        <f aca="false">Sens!$J$314+Sens!$J$315-Sens!$J$316-Sens!$J$317+Sens!$J$318</f>
        <v>57.2413180289873</v>
      </c>
      <c r="K319" s="40" t="n">
        <f aca="false">Sens!$K$314+Sens!$K$315-Sens!$K$316-Sens!$K$317+Sens!$K$318</f>
        <v>152.044167213887</v>
      </c>
      <c r="L319" s="40" t="n">
        <f aca="false">Sens!$L$314+Sens!$L$315-Sens!$L$316-Sens!$L$317+Sens!$L$318</f>
        <v>208.853226787156</v>
      </c>
      <c r="M319" s="40" t="n">
        <f aca="false">Sens!$M$314+Sens!$M$315-Sens!$M$316-Sens!$M$317+Sens!$M$318</f>
        <v>233.117033445834</v>
      </c>
    </row>
    <row r="320" customFormat="false" ht="15" hidden="false" customHeight="false" outlineLevel="0" collapsed="false">
      <c r="A320" s="5" t="s">
        <v>979</v>
      </c>
      <c r="B320" s="0" t="s">
        <v>61</v>
      </c>
      <c r="H320" s="42" t="n">
        <f aca="false">1/(1+wacc)^(2027-2026-0.5)</f>
        <v>0.948332509417004</v>
      </c>
      <c r="I320" s="42" t="n">
        <f aca="false">1/(1+wacc)^(2028-2026-0.5)</f>
        <v>0.852868189105847</v>
      </c>
      <c r="J320" s="42" t="n">
        <f aca="false">1/(1+wacc)^(2029-2026-0.5)</f>
        <v>0.767013827708861</v>
      </c>
      <c r="K320" s="42" t="n">
        <f aca="false">1/(1+wacc)^(2030-2026-0.5)</f>
        <v>0.68980203437226</v>
      </c>
      <c r="L320" s="42" t="n">
        <f aca="false">1/(1+wacc)^(2031-2026-0.5)</f>
        <v>0.62036280107941</v>
      </c>
      <c r="M320" s="42" t="n">
        <f aca="false">1/(1+wacc)^(2032-2026-0.5)</f>
        <v>0.557913699563551</v>
      </c>
    </row>
    <row r="321" customFormat="false" ht="15" hidden="false" customHeight="false" outlineLevel="0" collapsed="false">
      <c r="A321" s="5" t="s">
        <v>980</v>
      </c>
      <c r="B321" s="0" t="s">
        <v>91</v>
      </c>
      <c r="H321" s="40" t="n">
        <f aca="false">Sens!$H$319*Sens!$H$320</f>
        <v>-35.632429803307</v>
      </c>
      <c r="I321" s="40" t="n">
        <f aca="false">Sens!$I$319*Sens!$I$320</f>
        <v>8.01798150249478</v>
      </c>
      <c r="J321" s="40" t="n">
        <f aca="false">Sens!$J$319*Sens!$J$320</f>
        <v>43.9048824445138</v>
      </c>
      <c r="K321" s="40" t="n">
        <f aca="false">Sens!$K$319*Sens!$K$320</f>
        <v>104.880375858575</v>
      </c>
      <c r="L321" s="40" t="n">
        <f aca="false">Sens!$L$319*Sens!$L$320</f>
        <v>129.564772784153</v>
      </c>
      <c r="M321" s="40" t="n">
        <f aca="false">Sens!$M$319*Sens!$M$320</f>
        <v>130.059186561045</v>
      </c>
    </row>
    <row r="322" customFormat="false" ht="15" hidden="false" customHeight="false" outlineLevel="0" collapsed="false">
      <c r="A322" s="5" t="s">
        <v>981</v>
      </c>
      <c r="B322" s="0" t="s">
        <v>91</v>
      </c>
      <c r="C322" s="40" t="n">
        <f aca="false">SUM(Sens!$H$321:$M$321)</f>
        <v>380.794769347475</v>
      </c>
    </row>
    <row r="323" customFormat="false" ht="17.15" hidden="false" customHeight="false" outlineLevel="0" collapsed="false">
      <c r="A323" s="5" t="s">
        <v>982</v>
      </c>
      <c r="B323" s="0" t="s">
        <v>91</v>
      </c>
      <c r="C323" s="40" t="n">
        <f aca="false">Sens!$M$314*(1+tg)*(1-tg/ronic)/(wacc-tg)</f>
        <v>2110.9488839789</v>
      </c>
    </row>
    <row r="324" customFormat="false" ht="15" hidden="false" customHeight="false" outlineLevel="0" collapsed="false">
      <c r="A324" s="5" t="s">
        <v>983</v>
      </c>
      <c r="B324" s="0" t="s">
        <v>91</v>
      </c>
      <c r="C324" s="40" t="n">
        <f aca="false">Sens!$C$323/(1+wacc)^6</f>
        <v>1116.8770871932</v>
      </c>
    </row>
    <row r="325" customFormat="false" ht="17.15" hidden="false" customHeight="false" outlineLevel="0" collapsed="false">
      <c r="A325" s="5" t="s">
        <v>984</v>
      </c>
      <c r="B325" s="0" t="s">
        <v>91</v>
      </c>
      <c r="C325" s="40" t="n">
        <f aca="false">Sens!$C$322+Sens!$C$324</f>
        <v>1497.67185654068</v>
      </c>
    </row>
    <row r="326" customFormat="false" ht="17.15" hidden="false" customHeight="false" outlineLevel="0" collapsed="false">
      <c r="A326" s="5" t="s">
        <v>985</v>
      </c>
      <c r="B326" s="0" t="s">
        <v>56</v>
      </c>
      <c r="C326" s="13" t="n">
        <f aca="false">Sens!$C$324/Sens!$C$325</f>
        <v>0.74574218799368</v>
      </c>
    </row>
    <row r="327" customFormat="false" ht="17.15" hidden="false" customHeight="false" outlineLevel="0" collapsed="false">
      <c r="A327" s="5" t="s">
        <v>986</v>
      </c>
      <c r="B327" s="0" t="s">
        <v>91</v>
      </c>
      <c r="C327" s="40" t="n">
        <f aca="false">Sens!$G$303+fin_debt</f>
        <v>67.2377922659654</v>
      </c>
    </row>
    <row r="328" customFormat="false" ht="17.15" hidden="false" customHeight="false" outlineLevel="0" collapsed="false">
      <c r="A328" s="5" t="s">
        <v>987</v>
      </c>
      <c r="B328" s="0" t="s">
        <v>91</v>
      </c>
      <c r="C328" s="40" t="n">
        <f aca="false">(ant_val*ant_sh+oai_val*oai_sh)*(1-liq_disc)</f>
        <v>178.944</v>
      </c>
    </row>
    <row r="329" customFormat="false" ht="15" hidden="false" customHeight="false" outlineLevel="0" collapsed="false">
      <c r="A329" s="5" t="s">
        <v>988</v>
      </c>
      <c r="B329" s="0" t="s">
        <v>91</v>
      </c>
      <c r="C329" s="40" t="n">
        <f aca="false">Sens!$C$325-Sens!$C$327+Sens!$C$328</f>
        <v>1609.37806427471</v>
      </c>
    </row>
    <row r="330" customFormat="false" ht="17.15" hidden="false" customHeight="false" outlineLevel="0" collapsed="false">
      <c r="A330" s="5" t="s">
        <v>989</v>
      </c>
      <c r="B330" s="0" t="s">
        <v>27</v>
      </c>
      <c r="C330" s="34" t="n">
        <f aca="false">Sens!$C$329/sh_out</f>
        <v>148.864865810259</v>
      </c>
    </row>
    <row r="331" customFormat="false" ht="17.15" hidden="false" customHeight="false" outlineLevel="0" collapsed="false">
      <c r="A331" s="1" t="s">
        <v>990</v>
      </c>
      <c r="B331" s="8" t="s">
        <v>27</v>
      </c>
      <c r="C331" s="34" t="n">
        <f aca="false">Sens!$C$330*(1+ke)^tp_yf-dps*tp_yf</f>
        <v>163.247932156345</v>
      </c>
    </row>
    <row r="332" customFormat="false" ht="17.15" hidden="false" customHeight="false" outlineLevel="0" collapsed="false">
      <c r="A332" s="3" t="s">
        <v>991</v>
      </c>
    </row>
    <row r="333" customFormat="false" ht="17.15" hidden="false" customHeight="false" outlineLevel="0" collapsed="false">
      <c r="A333" s="5" t="s">
        <v>992</v>
      </c>
      <c r="B333" s="0" t="s">
        <v>91</v>
      </c>
      <c r="C333" s="40" t="n">
        <f aca="false">(1-tp_yf)*(Sens!$H$261+sbc_ab*Sens!$H$285*Sens!$H$119/Sens!$H$202)+tp_yf*(Sens!$I$261+sbc_ab*Sens!$I$285*Sens!$I$119/Sens!$I$202)</f>
        <v>56.9188491683843</v>
      </c>
    </row>
    <row r="334" customFormat="false" ht="15" hidden="false" customHeight="false" outlineLevel="0" collapsed="false">
      <c r="A334" s="5" t="s">
        <v>993</v>
      </c>
      <c r="B334" s="0" t="s">
        <v>61</v>
      </c>
      <c r="C334" s="34" t="n">
        <f aca="false">m_ads*m_x</f>
        <v>9.11</v>
      </c>
    </row>
    <row r="335" customFormat="false" ht="17.15" hidden="false" customHeight="false" outlineLevel="0" collapsed="false">
      <c r="A335" s="5" t="s">
        <v>994</v>
      </c>
      <c r="B335" s="0" t="s">
        <v>91</v>
      </c>
      <c r="C335" s="40" t="n">
        <f aca="false">Sens!$C$333*Sens!$C$334</f>
        <v>518.530715923981</v>
      </c>
    </row>
    <row r="336" customFormat="false" ht="17.15" hidden="false" customHeight="false" outlineLevel="0" collapsed="false">
      <c r="A336" s="5" t="s">
        <v>995</v>
      </c>
      <c r="B336" s="0" t="s">
        <v>91</v>
      </c>
      <c r="C336" s="40" t="n">
        <f aca="false">(1-tp_yf)*(Sens!$H$262+sbc_ab*Sens!$H$285*(Sens!$H$126-Sens!$H$119)/Sens!$H$202+IF(1=2,1,0)*(1-ext_sh)*Sens!$H$156)+tp_yf*(Sens!$I$262+sbc_ab*Sens!$I$285*(Sens!$I$126-Sens!$I$119)/Sens!$I$202+IF(1=2,1,0)*(1-ext_sh)*Sens!$I$156)</f>
        <v>52.7579256188348</v>
      </c>
    </row>
    <row r="337" customFormat="false" ht="17.15" hidden="false" customHeight="false" outlineLevel="0" collapsed="false">
      <c r="A337" s="5" t="s">
        <v>996</v>
      </c>
      <c r="B337" s="0" t="s">
        <v>61</v>
      </c>
      <c r="C337" s="34" t="n">
        <f aca="false">m_retail*m_x</f>
        <v>17.72</v>
      </c>
    </row>
    <row r="338" customFormat="false" ht="17.15" hidden="false" customHeight="false" outlineLevel="0" collapsed="false">
      <c r="A338" s="5" t="s">
        <v>997</v>
      </c>
      <c r="B338" s="0" t="s">
        <v>91</v>
      </c>
      <c r="C338" s="40" t="n">
        <f aca="false">Sens!$C$336*Sens!$C$337</f>
        <v>934.870441965753</v>
      </c>
    </row>
    <row r="339" customFormat="false" ht="17.15" hidden="false" customHeight="false" outlineLevel="0" collapsed="false">
      <c r="A339" s="0" t="s">
        <v>998</v>
      </c>
      <c r="B339" s="0" t="s">
        <v>91</v>
      </c>
      <c r="C339" s="40" t="n">
        <f aca="false">(1-tp_yf)*(Sens!$H$263+sbc_ab*Sens!$H$285*Sens!$H$200/Sens!$H$202)+tp_yf*(Sens!$I$263+sbc_ab*Sens!$I$285*Sens!$I$200/Sens!$I$202)</f>
        <v>101.29670394553</v>
      </c>
    </row>
    <row r="340" customFormat="false" ht="17.15" hidden="false" customHeight="false" outlineLevel="0" collapsed="false">
      <c r="A340" s="0" t="s">
        <v>999</v>
      </c>
      <c r="B340" s="0" t="s">
        <v>61</v>
      </c>
      <c r="C340" s="34" t="n">
        <f aca="false">m_cloud*m_x</f>
        <v>13.82</v>
      </c>
    </row>
    <row r="341" customFormat="false" ht="17.15" hidden="false" customHeight="false" outlineLevel="0" collapsed="false">
      <c r="A341" s="0" t="s">
        <v>1000</v>
      </c>
      <c r="B341" s="0" t="s">
        <v>91</v>
      </c>
      <c r="C341" s="40" t="n">
        <f aca="false">Sens!$C$339*Sens!$C$340</f>
        <v>1399.92044852722</v>
      </c>
    </row>
    <row r="342" customFormat="false" ht="17.15" hidden="false" customHeight="false" outlineLevel="0" collapsed="false">
      <c r="A342" s="0" t="s">
        <v>1001</v>
      </c>
      <c r="B342" s="0" t="s">
        <v>91</v>
      </c>
      <c r="H342" s="40" t="n">
        <f aca="false">Sens!$H$181-tax*Sens!$H$182-ext_sh*Sens!$H$163</f>
        <v>-87.8198412956096</v>
      </c>
      <c r="I342" s="40" t="n">
        <f aca="false">Sens!$I$181-tax*Sens!$I$182-ext_sh*Sens!$I$163</f>
        <v>-51.8561393323732</v>
      </c>
      <c r="J342" s="40" t="n">
        <f aca="false">Sens!$J$181-tax*Sens!$J$182-ext_sh*Sens!$J$163</f>
        <v>-14.9248097425941</v>
      </c>
      <c r="K342" s="40" t="n">
        <f aca="false">Sens!$K$181-tax*Sens!$K$182-ext_sh*Sens!$K$163</f>
        <v>58.999141929504</v>
      </c>
      <c r="L342" s="40" t="n">
        <f aca="false">Sens!$L$181-tax*Sens!$L$182-ext_sh*Sens!$L$163</f>
        <v>100.438859114026</v>
      </c>
      <c r="M342" s="40" t="n">
        <f aca="false">Sens!$M$181-tax*Sens!$M$182-ext_sh*Sens!$M$163</f>
        <v>112.635776819746</v>
      </c>
    </row>
    <row r="343" customFormat="false" ht="17.15" hidden="false" customHeight="false" outlineLevel="0" collapsed="false">
      <c r="A343" s="5" t="s">
        <v>1002</v>
      </c>
      <c r="B343" s="0" t="s">
        <v>91</v>
      </c>
      <c r="H343" s="40" t="n">
        <f aca="false">Sens!$H$342*Sens!$H$320</f>
        <v>-83.2824104724685</v>
      </c>
      <c r="I343" s="40" t="n">
        <f aca="false">Sens!$I$342*Sens!$I$320</f>
        <v>-44.2264516464216</v>
      </c>
      <c r="J343" s="40" t="n">
        <f aca="false">Sens!$J$342*Sens!$J$320</f>
        <v>-11.4475354484936</v>
      </c>
      <c r="K343" s="40" t="n">
        <f aca="false">Sens!$K$342*Sens!$K$320</f>
        <v>40.6977281291896</v>
      </c>
      <c r="L343" s="40" t="n">
        <f aca="false">Sens!$L$342*Sens!$L$320</f>
        <v>62.3085319771975</v>
      </c>
      <c r="M343" s="40" t="n">
        <f aca="false">Sens!$M$342*Sens!$M$320</f>
        <v>62.8410429487187</v>
      </c>
    </row>
    <row r="344" customFormat="false" ht="17.15" hidden="false" customHeight="false" outlineLevel="0" collapsed="false">
      <c r="A344" s="5" t="s">
        <v>1003</v>
      </c>
      <c r="B344" s="0" t="s">
        <v>91</v>
      </c>
      <c r="C344" s="40" t="n">
        <f aca="false">Sens!$M$182*(1-tax)*(1+tg)*(1-tg/ronic)/(wacc-tg)</f>
        <v>883.696459372266</v>
      </c>
    </row>
    <row r="345" customFormat="false" ht="17.15" hidden="false" customHeight="false" outlineLevel="0" collapsed="false">
      <c r="A345" s="0" t="s">
        <v>1004</v>
      </c>
      <c r="B345" s="0" t="s">
        <v>91</v>
      </c>
      <c r="C345" s="40" t="n">
        <f aca="false">(SUM(Sens!$I$343:$M$343)+Sens!$C$344/(1+wacc)^6)*(1+wacc)^tp_yf</f>
        <v>631.102629871177</v>
      </c>
    </row>
    <row r="346" customFormat="false" ht="17.15" hidden="false" customHeight="false" outlineLevel="0" collapsed="false">
      <c r="A346" s="5" t="s">
        <v>1005</v>
      </c>
      <c r="B346" s="0" t="s">
        <v>91</v>
      </c>
      <c r="C346" s="40" t="n">
        <f aca="false">(1-tp_yf)*(Sens!$H$264)+tp_yf*(Sens!$I$264)</f>
        <v>95.3445955595587</v>
      </c>
    </row>
    <row r="347" customFormat="false" ht="17.15" hidden="false" customHeight="false" outlineLevel="0" collapsed="false">
      <c r="A347" s="5" t="s">
        <v>1006</v>
      </c>
      <c r="B347" s="0" t="s">
        <v>91</v>
      </c>
      <c r="C347" s="40" t="n">
        <f aca="false">Sens!$C$346*m_ai</f>
        <v>572.067573357352</v>
      </c>
    </row>
    <row r="348" customFormat="false" ht="17.15" hidden="false" customHeight="false" outlineLevel="0" collapsed="false">
      <c r="A348" s="0" t="s">
        <v>1007</v>
      </c>
      <c r="B348" s="0" t="s">
        <v>91</v>
      </c>
      <c r="C348" s="40" t="n">
        <f aca="false">IF(ai_leg=1,Sens!$C$345,Sens!$C$347)</f>
        <v>631.102629871177</v>
      </c>
    </row>
    <row r="349" customFormat="false" ht="17.15" hidden="false" customHeight="false" outlineLevel="0" collapsed="false">
      <c r="A349" s="5" t="s">
        <v>1008</v>
      </c>
      <c r="B349" s="0" t="s">
        <v>91</v>
      </c>
      <c r="C349" s="40" t="n">
        <f aca="false">Sens!$C$335+Sens!$C$338+Sens!$C$341+Sens!$C$348</f>
        <v>3484.42423628813</v>
      </c>
    </row>
    <row r="350" customFormat="false" ht="17.15" hidden="false" customHeight="false" outlineLevel="0" collapsed="false">
      <c r="A350" s="5" t="s">
        <v>1009</v>
      </c>
      <c r="B350" s="0" t="s">
        <v>91</v>
      </c>
      <c r="C350" s="40" t="n">
        <f aca="false">Sens!$H$303+fin_debt</f>
        <v>82.5447430449908</v>
      </c>
    </row>
    <row r="351" customFormat="false" ht="15" hidden="false" customHeight="false" outlineLevel="0" collapsed="false">
      <c r="A351" s="5" t="s">
        <v>1010</v>
      </c>
      <c r="B351" s="0" t="s">
        <v>91</v>
      </c>
      <c r="C351" s="40" t="n">
        <f aca="false">Sens!$C$349-Sens!$C$350+Sens!$C$328</f>
        <v>3580.82349324314</v>
      </c>
    </row>
    <row r="352" customFormat="false" ht="15" hidden="false" customHeight="false" outlineLevel="0" collapsed="false">
      <c r="A352" s="3" t="s">
        <v>1011</v>
      </c>
      <c r="B352" s="8" t="s">
        <v>27</v>
      </c>
      <c r="C352" s="34" t="n">
        <f aca="false">Sens!$C$351/sh_val</f>
        <v>324.52632710197</v>
      </c>
    </row>
    <row r="353" customFormat="false" ht="17.15" hidden="false" customHeight="false" outlineLevel="0" collapsed="false">
      <c r="A353" s="48" t="s">
        <v>1012</v>
      </c>
      <c r="B353" s="14" t="s">
        <v>27</v>
      </c>
      <c r="C353" s="46" t="n">
        <f aca="false">w_dcf*Sens!$C$331+(1-w_dcf)*Sens!$C$352</f>
        <v>243.887129629158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</row>
    <row r="354" customFormat="false" ht="17.15" hidden="false" customHeight="false" outlineLevel="0" collapsed="false">
      <c r="A354" s="5" t="s">
        <v>1013</v>
      </c>
      <c r="B354" s="0" t="s">
        <v>27</v>
      </c>
      <c r="C354" s="34" t="n">
        <f aca="false">(Sens!$C$351-Sens!$C$348+Sens!$C$347)/sh_val</f>
        <v>319.176041030389</v>
      </c>
    </row>
    <row r="357" customFormat="false" ht="19.4" hidden="false" customHeight="false" outlineLevel="0" collapsed="false">
      <c r="A357" s="35" t="s">
        <v>1309</v>
      </c>
    </row>
    <row r="358" customFormat="false" ht="17.15" hidden="false" customHeight="false" outlineLevel="0" collapsed="false">
      <c r="A358" s="6" t="s">
        <v>16</v>
      </c>
      <c r="B358" s="6" t="s">
        <v>17</v>
      </c>
      <c r="C358" s="23" t="s">
        <v>542</v>
      </c>
      <c r="D358" s="23" t="s">
        <v>543</v>
      </c>
      <c r="E358" s="23" t="s">
        <v>631</v>
      </c>
      <c r="F358" s="23" t="s">
        <v>632</v>
      </c>
      <c r="G358" s="23" t="s">
        <v>633</v>
      </c>
      <c r="H358" s="23" t="s">
        <v>634</v>
      </c>
      <c r="I358" s="23" t="s">
        <v>635</v>
      </c>
      <c r="J358" s="23" t="s">
        <v>636</v>
      </c>
      <c r="K358" s="23" t="s">
        <v>637</v>
      </c>
      <c r="L358" s="23" t="s">
        <v>638</v>
      </c>
      <c r="M358" s="23" t="s">
        <v>639</v>
      </c>
      <c r="N358" s="23" t="s">
        <v>640</v>
      </c>
      <c r="O358" s="23" t="s">
        <v>641</v>
      </c>
      <c r="P358" s="6" t="s">
        <v>23</v>
      </c>
      <c r="R358" s="23" t="n">
        <v>2023</v>
      </c>
      <c r="S358" s="23" t="n">
        <v>2024</v>
      </c>
      <c r="T358" s="23" t="n">
        <v>2025</v>
      </c>
      <c r="U358" s="23" t="n">
        <v>2026</v>
      </c>
      <c r="V358" s="23" t="n">
        <v>2027</v>
      </c>
      <c r="W358" s="23" t="n">
        <v>2028</v>
      </c>
      <c r="X358" s="23" t="n">
        <v>2029</v>
      </c>
      <c r="Y358" s="23" t="n">
        <v>2030</v>
      </c>
      <c r="Z358" s="23" t="n">
        <v>2031</v>
      </c>
      <c r="AA358" s="23" t="n">
        <v>2032</v>
      </c>
    </row>
    <row r="359" customFormat="false" ht="17.15" hidden="false" customHeight="false" outlineLevel="0" collapsed="false">
      <c r="A359" s="1" t="s">
        <v>725</v>
      </c>
    </row>
    <row r="360" customFormat="false" ht="17.15" hidden="false" customHeight="false" outlineLevel="0" collapsed="false">
      <c r="A360" s="0" t="s">
        <v>564</v>
      </c>
      <c r="B360" s="0" t="s">
        <v>91</v>
      </c>
      <c r="C360" s="40" t="n">
        <f aca="false">Q!$D$10</f>
        <v>247.029</v>
      </c>
      <c r="D360" s="40" t="n">
        <f aca="false">Q!$E$10</f>
        <v>269.287</v>
      </c>
      <c r="E360" s="40" t="n">
        <f aca="false">Q!$O$10</f>
        <v>203.156</v>
      </c>
      <c r="F360" s="40" t="n">
        <f aca="false">Sens!$O$360*(1+Sens!$F$361)*Sens!$F$372</f>
        <v>90.388463759573</v>
      </c>
      <c r="G360" s="40" t="n">
        <f aca="false">Sens!$E$360+Sens!$F$360</f>
        <v>293.544463759573</v>
      </c>
      <c r="H360" s="40" t="n">
        <f aca="false">Sens!$G$360*(1+Sens!$H$361)</f>
        <v>317.13448447826</v>
      </c>
      <c r="I360" s="40" t="n">
        <f aca="false">Sens!$H$360*(1+Sens!$I$361)</f>
        <v>339.410577938345</v>
      </c>
      <c r="J360" s="40" t="n">
        <f aca="false">Sens!$I$360*(1+Sens!$J$361)</f>
        <v>359.816245442206</v>
      </c>
      <c r="K360" s="40" t="n">
        <f aca="false">Sens!$J$360*(1+Sens!$K$361)</f>
        <v>377.807057714316</v>
      </c>
      <c r="L360" s="40" t="n">
        <f aca="false">Sens!$K$360*(1+Sens!$L$361)</f>
        <v>396.697410600032</v>
      </c>
      <c r="M360" s="40" t="n">
        <f aca="false">Sens!$L$360*(1+Sens!$M$361)</f>
        <v>416.532281130034</v>
      </c>
      <c r="N360" s="40" t="n">
        <f aca="false">Q!$N$10</f>
        <v>186.299</v>
      </c>
      <c r="O360" s="40" t="n">
        <f aca="false">Q!$J$10</f>
        <v>82.988</v>
      </c>
      <c r="P360" s="8" t="s">
        <v>726</v>
      </c>
    </row>
    <row r="361" customFormat="false" ht="17.15" hidden="false" customHeight="false" outlineLevel="0" collapsed="false">
      <c r="A361" s="0" t="s">
        <v>727</v>
      </c>
      <c r="B361" s="0" t="s">
        <v>56</v>
      </c>
      <c r="E361" s="13" t="n">
        <f aca="false">Sens!$E$360/Sens!$N$360-1</f>
        <v>0.0904835774749195</v>
      </c>
      <c r="F361" s="13" t="n">
        <f aca="false">Sens!$E$361</f>
        <v>0.0904835774749195</v>
      </c>
      <c r="G361" s="13" t="n">
        <f aca="false">Sens!$G$360/Sens!$D$360-1</f>
        <v>0.0900803371851333</v>
      </c>
      <c r="H361" s="13" t="n">
        <f aca="false">Sens!$F$361+(g_os-Sens!$F$361)*1/4</f>
        <v>0.0803626831061896</v>
      </c>
      <c r="I361" s="13" t="n">
        <f aca="false">Sens!$F$361+(g_os-Sens!$F$361)*2/4</f>
        <v>0.0702417887374598</v>
      </c>
      <c r="J361" s="13" t="n">
        <f aca="false">Sens!$F$361+(g_os-Sens!$F$361)*3/4</f>
        <v>0.0601208943687299</v>
      </c>
      <c r="K361" s="13" t="n">
        <f aca="false">Sens!$F$361+(g_os-Sens!$F$361)*4/4</f>
        <v>0.05</v>
      </c>
      <c r="L361" s="13" t="n">
        <f aca="false">g_os</f>
        <v>0.05</v>
      </c>
      <c r="M361" s="13" t="n">
        <f aca="false">g_os</f>
        <v>0.05</v>
      </c>
      <c r="P361" s="8" t="s">
        <v>728</v>
      </c>
    </row>
    <row r="362" customFormat="false" ht="17.15" hidden="false" customHeight="false" outlineLevel="0" collapsed="false">
      <c r="A362" s="0" t="s">
        <v>565</v>
      </c>
      <c r="B362" s="0" t="s">
        <v>91</v>
      </c>
      <c r="C362" s="40" t="n">
        <f aca="false">Q!$D$11</f>
        <v>21.215</v>
      </c>
      <c r="D362" s="40" t="n">
        <f aca="false">Q!$E$11</f>
        <v>22.561</v>
      </c>
      <c r="E362" s="40" t="n">
        <f aca="false">Q!$O$11</f>
        <v>17.289</v>
      </c>
      <c r="F362" s="40" t="n">
        <f aca="false">Sens!$O$362*(1+Sens!$F$363)*Sens!$F$372</f>
        <v>6.05205510939944</v>
      </c>
      <c r="G362" s="40" t="n">
        <f aca="false">Sens!$E$362+Sens!$F$362</f>
        <v>23.3410551093994</v>
      </c>
      <c r="H362" s="40" t="n">
        <f aca="false">Sens!$G$362*(1+Sens!$H$363)</f>
        <v>24.1270238539533</v>
      </c>
      <c r="I362" s="40" t="n">
        <f aca="false">Sens!$H$362*(1+Sens!$I$363)</f>
        <v>24.9099173270163</v>
      </c>
      <c r="J362" s="40" t="n">
        <f aca="false">Sens!$I$362*(1+Sens!$J$363)</f>
        <v>25.6877148084528</v>
      </c>
      <c r="K362" s="40" t="n">
        <f aca="false">Sens!$J$362*(1+Sens!$K$363)</f>
        <v>26.4583462527063</v>
      </c>
      <c r="L362" s="40" t="n">
        <f aca="false">Sens!$K$362*(1+Sens!$L$363)</f>
        <v>27.2520966402875</v>
      </c>
      <c r="M362" s="40" t="n">
        <f aca="false">Sens!$L$362*(1+Sens!$M$363)</f>
        <v>28.0696595394962</v>
      </c>
      <c r="N362" s="40" t="n">
        <f aca="false">Q!$N$11</f>
        <v>16.706</v>
      </c>
      <c r="O362" s="40" t="n">
        <f aca="false">Q!$J$11</f>
        <v>5.855</v>
      </c>
      <c r="P362" s="8" t="s">
        <v>726</v>
      </c>
    </row>
    <row r="363" customFormat="false" ht="17.15" hidden="false" customHeight="false" outlineLevel="0" collapsed="false">
      <c r="A363" s="0" t="s">
        <v>729</v>
      </c>
      <c r="B363" s="0" t="s">
        <v>56</v>
      </c>
      <c r="E363" s="13" t="n">
        <f aca="false">Sens!$E$362/Sens!$N$362-1</f>
        <v>0.0348976415659046</v>
      </c>
      <c r="F363" s="13" t="n">
        <f aca="false">Sens!$E$363</f>
        <v>0.0348976415659046</v>
      </c>
      <c r="G363" s="13" t="n">
        <f aca="false">Sens!$G$362/Sens!$D$362-1</f>
        <v>0.0345753782810796</v>
      </c>
      <c r="H363" s="13" t="n">
        <f aca="false">Sens!$F$363+(g_ps-Sens!$F$363)*1/4</f>
        <v>0.0336732311744284</v>
      </c>
      <c r="I363" s="13" t="n">
        <f aca="false">Sens!$F$363+(g_ps-Sens!$F$363)*2/4</f>
        <v>0.0324488207829523</v>
      </c>
      <c r="J363" s="13" t="n">
        <f aca="false">Sens!$F$363+(g_ps-Sens!$F$363)*3/4</f>
        <v>0.0312244103914761</v>
      </c>
      <c r="K363" s="13" t="n">
        <f aca="false">Sens!$F$363+(g_ps-Sens!$F$363)*4/4</f>
        <v>0.03</v>
      </c>
      <c r="L363" s="13" t="n">
        <f aca="false">g_ps</f>
        <v>0.03</v>
      </c>
      <c r="M363" s="13" t="n">
        <f aca="false">g_ps</f>
        <v>0.03</v>
      </c>
      <c r="P363" s="8" t="s">
        <v>730</v>
      </c>
    </row>
    <row r="364" customFormat="false" ht="17.15" hidden="false" customHeight="false" outlineLevel="0" collapsed="false">
      <c r="A364" s="0" t="s">
        <v>566</v>
      </c>
      <c r="B364" s="0" t="s">
        <v>91</v>
      </c>
      <c r="C364" s="40" t="n">
        <f aca="false">Q!$D$12</f>
        <v>156.146</v>
      </c>
      <c r="D364" s="40" t="n">
        <f aca="false">Q!$E$12</f>
        <v>172.162</v>
      </c>
      <c r="E364" s="40" t="n">
        <f aca="false">Q!$O$12</f>
        <v>134.85</v>
      </c>
      <c r="F364" s="40" t="n">
        <f aca="false">Sens!$O$364*(1+Sens!$F$365)*Sens!$F$372</f>
        <v>59.6056141851888</v>
      </c>
      <c r="G364" s="40" t="n">
        <f aca="false">Sens!$E$364+Sens!$F$364</f>
        <v>194.455614185189</v>
      </c>
      <c r="H364" s="40" t="n">
        <f aca="false">Sens!$G$364*(1+Sens!$H$365)</f>
        <v>216.80459217381</v>
      </c>
      <c r="I364" s="40" t="n">
        <f aca="false">Sens!$H$364*(1+Sens!$I$365)</f>
        <v>238.475078227356</v>
      </c>
      <c r="J364" s="40" t="n">
        <f aca="false">Sens!$I$364*(1+Sens!$J$365)</f>
        <v>258.739974865958</v>
      </c>
      <c r="K364" s="40" t="n">
        <f aca="false">Sens!$J$364*(1+Sens!$K$365)</f>
        <v>276.851773106575</v>
      </c>
      <c r="L364" s="40" t="n">
        <f aca="false">Sens!$K$364*(1+Sens!$L$365)</f>
        <v>296.231397224035</v>
      </c>
      <c r="M364" s="40" t="n">
        <f aca="false">Sens!$L$364*(1+Sens!$M$365)</f>
        <v>316.967595029718</v>
      </c>
      <c r="N364" s="40" t="n">
        <f aca="false">Q!$N$12</f>
        <v>119.346</v>
      </c>
      <c r="O364" s="40" t="n">
        <f aca="false">Q!$J$12</f>
        <v>52.816</v>
      </c>
      <c r="P364" s="8" t="s">
        <v>726</v>
      </c>
    </row>
    <row r="365" customFormat="false" ht="17.15" hidden="false" customHeight="false" outlineLevel="0" collapsed="false">
      <c r="A365" s="0" t="s">
        <v>731</v>
      </c>
      <c r="B365" s="0" t="s">
        <v>56</v>
      </c>
      <c r="E365" s="13" t="n">
        <f aca="false">Sens!$E$364/Sens!$N$364-1</f>
        <v>0.129907998592328</v>
      </c>
      <c r="F365" s="13" t="n">
        <f aca="false">Sens!$E$365</f>
        <v>0.129907998592328</v>
      </c>
      <c r="G365" s="13" t="n">
        <f aca="false">Sens!$G$364/Sens!$D$364-1</f>
        <v>0.129492072496769</v>
      </c>
      <c r="H365" s="13" t="n">
        <f aca="false">Sens!$F$365+(g_sp-Sens!$F$365)*1/4</f>
        <v>0.114930998944246</v>
      </c>
      <c r="I365" s="13" t="n">
        <f aca="false">Sens!$F$365+(g_sp-Sens!$F$365)*2/4</f>
        <v>0.0999539992961641</v>
      </c>
      <c r="J365" s="13" t="n">
        <f aca="false">Sens!$F$365+(g_sp-Sens!$F$365)*3/4</f>
        <v>0.084976999648082</v>
      </c>
      <c r="K365" s="13" t="n">
        <f aca="false">Sens!$F$365+(g_sp-Sens!$F$365)*4/4</f>
        <v>0.07</v>
      </c>
      <c r="L365" s="13" t="n">
        <f aca="false">g_sp</f>
        <v>0.07</v>
      </c>
      <c r="M365" s="13" t="n">
        <f aca="false">g_sp</f>
        <v>0.07</v>
      </c>
      <c r="P365" s="8" t="s">
        <v>732</v>
      </c>
    </row>
    <row r="366" customFormat="false" ht="17.15" hidden="false" customHeight="false" outlineLevel="0" collapsed="false">
      <c r="A366" s="0" t="s">
        <v>567</v>
      </c>
      <c r="B366" s="0" t="s">
        <v>91</v>
      </c>
      <c r="C366" s="40" t="n">
        <f aca="false">Q!$D$13</f>
        <v>56.214</v>
      </c>
      <c r="D366" s="40" t="n">
        <f aca="false">Q!$E$13</f>
        <v>68.635</v>
      </c>
      <c r="E366" s="40" t="n">
        <f aca="false">Q!$O$13</f>
        <v>56.689</v>
      </c>
      <c r="F366" s="40" t="n">
        <f aca="false">Sens!$O$366*(1+Sens!$F$367)*Sens!$F$372</f>
        <v>25.5080393747055</v>
      </c>
      <c r="G366" s="40" t="n">
        <f aca="false">Sens!$E$366+Sens!$F$366</f>
        <v>82.1970393747055</v>
      </c>
      <c r="H366" s="40" t="n">
        <f aca="false">Sens!$G$366*(1+Sens!$H$367)</f>
        <v>96.4608782883025</v>
      </c>
      <c r="I366" s="40" t="n">
        <f aca="false">Sens!$H$366*(1+Sens!$I$367)</f>
        <v>110.835624413712</v>
      </c>
      <c r="J366" s="40" t="n">
        <f aca="false">Sens!$I$366*(1+Sens!$J$367)</f>
        <v>124.635851912673</v>
      </c>
      <c r="K366" s="40" t="n">
        <f aca="false">Sens!$J$366*(1+Sens!$K$367)</f>
        <v>137.09943710394</v>
      </c>
      <c r="L366" s="40" t="n">
        <f aca="false">Sens!$K$366*(1+Sens!$L$367)</f>
        <v>150.809380814334</v>
      </c>
      <c r="M366" s="40" t="n">
        <f aca="false">Sens!$L$366*(1+Sens!$M$367)</f>
        <v>165.890318895768</v>
      </c>
      <c r="N366" s="40" t="n">
        <f aca="false">Q!$N$13</f>
        <v>47.318</v>
      </c>
      <c r="O366" s="40" t="n">
        <f aca="false">Q!$J$13</f>
        <v>21.317</v>
      </c>
      <c r="P366" s="8" t="s">
        <v>726</v>
      </c>
    </row>
    <row r="367" customFormat="false" ht="17.15" hidden="false" customHeight="false" outlineLevel="0" collapsed="false">
      <c r="A367" s="0" t="s">
        <v>733</v>
      </c>
      <c r="B367" s="0" t="s">
        <v>56</v>
      </c>
      <c r="E367" s="13" t="n">
        <f aca="false">Sens!$E$366/Sens!$N$366-1</f>
        <v>0.198043028023162</v>
      </c>
      <c r="F367" s="13" t="n">
        <f aca="false">Sens!$E$367</f>
        <v>0.198043028023162</v>
      </c>
      <c r="G367" s="13" t="n">
        <f aca="false">Sens!$G$366/Sens!$D$366-1</f>
        <v>0.197596552410657</v>
      </c>
      <c r="H367" s="13" t="n">
        <f aca="false">Sens!$F$367+(g_ad-Sens!$F$367)*1/4</f>
        <v>0.173532271017372</v>
      </c>
      <c r="I367" s="13" t="n">
        <f aca="false">Sens!$F$367+(g_ad-Sens!$F$367)*2/4</f>
        <v>0.149021514011581</v>
      </c>
      <c r="J367" s="13" t="n">
        <f aca="false">Sens!$F$367+(g_ad-Sens!$F$367)*3/4</f>
        <v>0.124510757005791</v>
      </c>
      <c r="K367" s="13" t="n">
        <f aca="false">Sens!$F$367+(g_ad-Sens!$F$367)*4/4</f>
        <v>0.1</v>
      </c>
      <c r="L367" s="13" t="n">
        <f aca="false">g_ad</f>
        <v>0.1</v>
      </c>
      <c r="M367" s="13" t="n">
        <f aca="false">g_ad</f>
        <v>0.1</v>
      </c>
      <c r="P367" s="8" t="s">
        <v>734</v>
      </c>
    </row>
    <row r="368" customFormat="false" ht="17.15" hidden="false" customHeight="false" outlineLevel="0" collapsed="false">
      <c r="A368" s="0" t="s">
        <v>568</v>
      </c>
      <c r="B368" s="0" t="s">
        <v>91</v>
      </c>
      <c r="C368" s="40" t="n">
        <f aca="false">Q!$D$14</f>
        <v>44.374</v>
      </c>
      <c r="D368" s="40" t="n">
        <f aca="false">Q!$E$14</f>
        <v>49.619</v>
      </c>
      <c r="E368" s="40" t="n">
        <f aca="false">Q!$O$14</f>
        <v>41.163</v>
      </c>
      <c r="F368" s="40" t="n">
        <f aca="false">Sens!$O$368*(1+Sens!$F$369)*Sens!$F$372</f>
        <v>14.7818388144754</v>
      </c>
      <c r="G368" s="40" t="n">
        <f aca="false">Sens!$E$368+Sens!$F$368</f>
        <v>55.9448388144754</v>
      </c>
      <c r="H368" s="40" t="n">
        <f aca="false">Sens!$G$368*(1+Sens!$H$369)</f>
        <v>62.2881216081287</v>
      </c>
      <c r="I368" s="40" t="n">
        <f aca="false">Sens!$H$368*(1+Sens!$I$369)</f>
        <v>68.4498533343906</v>
      </c>
      <c r="J368" s="40" t="n">
        <f aca="false">Sens!$I$368*(1+Sens!$J$369)</f>
        <v>74.2312327495396</v>
      </c>
      <c r="K368" s="40" t="n">
        <f aca="false">Sens!$J$368*(1+Sens!$K$369)</f>
        <v>79.4274190420074</v>
      </c>
      <c r="L368" s="40" t="n">
        <f aca="false">Sens!$K$368*(1+Sens!$L$369)</f>
        <v>84.9873383749479</v>
      </c>
      <c r="M368" s="40" t="n">
        <f aca="false">Sens!$L$368*(1+Sens!$M$369)</f>
        <v>90.9364520611943</v>
      </c>
      <c r="N368" s="40" t="n">
        <f aca="false">Q!$N$14</f>
        <v>36.497</v>
      </c>
      <c r="O368" s="40" t="n">
        <f aca="false">Q!$J$14</f>
        <v>13.122</v>
      </c>
      <c r="P368" s="8" t="s">
        <v>726</v>
      </c>
    </row>
    <row r="369" customFormat="false" ht="17.15" hidden="false" customHeight="false" outlineLevel="0" collapsed="false">
      <c r="A369" s="0" t="s">
        <v>735</v>
      </c>
      <c r="B369" s="0" t="s">
        <v>56</v>
      </c>
      <c r="E369" s="13" t="n">
        <f aca="false">Sens!$E$368/Sens!$N$368-1</f>
        <v>0.127846124338987</v>
      </c>
      <c r="F369" s="13" t="n">
        <f aca="false">Sens!$E$369</f>
        <v>0.127846124338987</v>
      </c>
      <c r="G369" s="13" t="n">
        <f aca="false">Sens!$G$368/Sens!$D$368-1</f>
        <v>0.127488236652803</v>
      </c>
      <c r="H369" s="13" t="n">
        <f aca="false">Sens!$F$369+(g_sub-Sens!$F$369)*1/4</f>
        <v>0.11338459325424</v>
      </c>
      <c r="I369" s="13" t="n">
        <f aca="false">Sens!$F$369+(g_sub-Sens!$F$369)*2/4</f>
        <v>0.0989230621694934</v>
      </c>
      <c r="J369" s="13" t="n">
        <f aca="false">Sens!$F$369+(g_sub-Sens!$F$369)*3/4</f>
        <v>0.0844615310847467</v>
      </c>
      <c r="K369" s="13" t="n">
        <f aca="false">Sens!$F$369+(g_sub-Sens!$F$369)*4/4</f>
        <v>0.07</v>
      </c>
      <c r="L369" s="13" t="n">
        <f aca="false">g_sub</f>
        <v>0.07</v>
      </c>
      <c r="M369" s="13" t="n">
        <f aca="false">g_sub</f>
        <v>0.07</v>
      </c>
      <c r="P369" s="8" t="s">
        <v>736</v>
      </c>
    </row>
    <row r="370" customFormat="false" ht="17.15" hidden="false" customHeight="false" outlineLevel="0" collapsed="false">
      <c r="A370" s="0" t="s">
        <v>569</v>
      </c>
      <c r="B370" s="0" t="s">
        <v>91</v>
      </c>
      <c r="C370" s="40" t="n">
        <f aca="false">Q!$D$15</f>
        <v>5.425</v>
      </c>
      <c r="D370" s="40" t="n">
        <f aca="false">Q!$E$15</f>
        <v>5.935</v>
      </c>
      <c r="E370" s="40" t="n">
        <f aca="false">Q!$O$15</f>
        <v>5.119</v>
      </c>
      <c r="F370" s="40" t="n">
        <f aca="false">Sens!$O$370*(1+Sens!$F$371)*Sens!$F$372</f>
        <v>2.06764643489463</v>
      </c>
      <c r="G370" s="40" t="n">
        <f aca="false">Sens!$E$370+Sens!$F$370</f>
        <v>7.18664643489463</v>
      </c>
      <c r="H370" s="40" t="n">
        <f aca="false">Sens!$G$370*(1+Sens!$H$371)</f>
        <v>8.41544223415965</v>
      </c>
      <c r="I370" s="40" t="n">
        <f aca="false">Sens!$H$370*(1+Sens!$I$371)</f>
        <v>9.51496576222195</v>
      </c>
      <c r="J370" s="40" t="n">
        <f aca="false">Sens!$I$370*(1+Sens!$J$371)</f>
        <v>10.3744310498661</v>
      </c>
      <c r="K370" s="40" t="n">
        <f aca="false">Sens!$J$370*(1+Sens!$K$371)</f>
        <v>10.8931526023594</v>
      </c>
      <c r="L370" s="40" t="n">
        <f aca="false">Sens!$K$370*(1+Sens!$L$371)</f>
        <v>11.4378102324774</v>
      </c>
      <c r="M370" s="40" t="n">
        <f aca="false">Sens!$L$370*(1+Sens!$M$371)</f>
        <v>12.0097007441012</v>
      </c>
      <c r="N370" s="40" t="n">
        <f aca="false">Q!$N$15</f>
        <v>4.226</v>
      </c>
      <c r="O370" s="40" t="n">
        <f aca="false">Q!$J$15</f>
        <v>1.709</v>
      </c>
      <c r="P370" s="8" t="s">
        <v>726</v>
      </c>
    </row>
    <row r="371" customFormat="false" ht="17.15" hidden="false" customHeight="false" outlineLevel="0" collapsed="false">
      <c r="A371" s="0" t="s">
        <v>737</v>
      </c>
      <c r="B371" s="0" t="s">
        <v>56</v>
      </c>
      <c r="E371" s="13" t="n">
        <f aca="false">Sens!$E$370/Sens!$N$370-1</f>
        <v>0.21131093232371</v>
      </c>
      <c r="F371" s="13" t="n">
        <f aca="false">Sens!$E$371</f>
        <v>0.21131093232371</v>
      </c>
      <c r="G371" s="13" t="n">
        <f aca="false">Sens!$G$370/Sens!$D$370-1</f>
        <v>0.210892406890418</v>
      </c>
      <c r="H371" s="13" t="n">
        <f aca="false">Sens!$F$371+(g_ot-Sens!$F$371)*1/4</f>
        <v>0.170983199242783</v>
      </c>
      <c r="I371" s="13" t="n">
        <f aca="false">Sens!$F$371+(g_ot-Sens!$F$371)*2/4</f>
        <v>0.130655466161855</v>
      </c>
      <c r="J371" s="13" t="n">
        <f aca="false">Sens!$F$371+(g_ot-Sens!$F$371)*3/4</f>
        <v>0.0903277330809276</v>
      </c>
      <c r="K371" s="13" t="n">
        <f aca="false">Sens!$F$371+(g_ot-Sens!$F$371)*4/4</f>
        <v>0.05</v>
      </c>
      <c r="L371" s="13" t="n">
        <f aca="false">g_ot</f>
        <v>0.05</v>
      </c>
      <c r="M371" s="13" t="n">
        <f aca="false">g_ot</f>
        <v>0.05</v>
      </c>
      <c r="P371" s="8" t="s">
        <v>738</v>
      </c>
    </row>
    <row r="372" customFormat="false" ht="17.15" hidden="false" customHeight="false" outlineLevel="0" collapsed="false">
      <c r="A372" s="0" t="s">
        <v>739</v>
      </c>
      <c r="B372" s="0" t="s">
        <v>61</v>
      </c>
      <c r="F372" s="42" t="n">
        <f aca="false">(g26q4_mid-Thesis!$F$92-Thesis!$F$96)/(Sens!$O$360*(1+Sens!$F$361)+Sens!$O$362*(1+Sens!$F$363)+Sens!$O$364*(1+Sens!$F$365)+Sens!$O$366*(1+Sens!$F$367)+Sens!$O$368*(1+Sens!$F$369)+Sens!$O$370*(1+Sens!$F$371))</f>
        <v>0.998800100483245</v>
      </c>
      <c r="P372" s="8" t="s">
        <v>740</v>
      </c>
    </row>
    <row r="373" customFormat="false" ht="17.15" hidden="false" customHeight="false" outlineLevel="0" collapsed="false">
      <c r="A373" s="3" t="s">
        <v>741</v>
      </c>
      <c r="B373" s="8" t="s">
        <v>91</v>
      </c>
      <c r="C373" s="40" t="n">
        <f aca="false">Sens!$C$360+Sens!$C$362+Sens!$C$364+Sens!$C$366+Sens!$C$368+Sens!$C$370</f>
        <v>530.403</v>
      </c>
      <c r="D373" s="40" t="n">
        <f aca="false">Sens!$D$360+Sens!$D$362+Sens!$D$364+Sens!$D$366+Sens!$D$368+Sens!$D$370</f>
        <v>588.199</v>
      </c>
      <c r="E373" s="40" t="n">
        <f aca="false">Sens!$E$360+Sens!$E$362+Sens!$E$364+Sens!$E$366+Sens!$E$368+Sens!$E$370</f>
        <v>458.266</v>
      </c>
      <c r="F373" s="40" t="n">
        <f aca="false">Sens!$F$360+Sens!$F$362+Sens!$F$364+Sens!$F$366+Sens!$F$368+Sens!$F$370</f>
        <v>198.403657678237</v>
      </c>
      <c r="G373" s="40" t="n">
        <f aca="false">Sens!$G$360+Sens!$G$362+Sens!$G$364+Sens!$G$366+Sens!$G$368+Sens!$G$370</f>
        <v>656.669657678237</v>
      </c>
      <c r="H373" s="40" t="n">
        <f aca="false">Sens!$H$360+Sens!$H$362+Sens!$H$364+Sens!$H$366+Sens!$H$368+Sens!$H$370</f>
        <v>725.230542636613</v>
      </c>
      <c r="I373" s="40" t="n">
        <f aca="false">Sens!$I$360+Sens!$I$362+Sens!$I$364+Sens!$I$366+Sens!$I$368+Sens!$I$370</f>
        <v>791.596017003042</v>
      </c>
      <c r="J373" s="40" t="n">
        <f aca="false">Sens!$J$360+Sens!$J$362+Sens!$J$364+Sens!$J$366+Sens!$J$368+Sens!$J$370</f>
        <v>853.485450828695</v>
      </c>
      <c r="K373" s="40" t="n">
        <f aca="false">Sens!$K$360+Sens!$K$362+Sens!$K$364+Sens!$K$366+Sens!$K$368+Sens!$K$370</f>
        <v>908.537185821905</v>
      </c>
      <c r="L373" s="40" t="n">
        <f aca="false">Sens!$L$360+Sens!$L$362+Sens!$L$364+Sens!$L$366+Sens!$L$368+Sens!$L$370</f>
        <v>967.415433886114</v>
      </c>
      <c r="M373" s="40" t="n">
        <f aca="false">Sens!$M$360+Sens!$M$362+Sens!$M$364+Sens!$M$366+Sens!$M$368+Sens!$M$370</f>
        <v>1030.40600740031</v>
      </c>
      <c r="N373" s="40" t="n">
        <f aca="false">Sens!$N$360+Sens!$N$362+Sens!$N$364+Sens!$N$366+Sens!$N$368+Sens!$N$370</f>
        <v>410.392</v>
      </c>
      <c r="O373" s="40" t="n">
        <f aca="false">Sens!$O$360+Sens!$O$362+Sens!$O$364+Sens!$O$366+Sens!$O$368+Sens!$O$370</f>
        <v>177.807</v>
      </c>
    </row>
    <row r="374" customFormat="false" ht="17.15" hidden="false" customHeight="false" outlineLevel="0" collapsed="false">
      <c r="A374" s="5" t="s">
        <v>742</v>
      </c>
      <c r="B374" s="0" t="s">
        <v>56</v>
      </c>
      <c r="C374" s="13" t="n">
        <f aca="false">Q!$D$5/(Q!$D$5+Q!$D$6)</f>
        <v>0.730570905519011</v>
      </c>
      <c r="D374" s="13" t="n">
        <f aca="false">Q!$E$5/(Q!$E$5+Q!$E$6)</f>
        <v>0.724763217890544</v>
      </c>
      <c r="E374" s="13" t="n">
        <f aca="false">Q!$O$5/(Q!$O$5+Q!$O$6)</f>
        <v>0.727027534226846</v>
      </c>
      <c r="F374" s="13" t="n">
        <f aca="false">Sens!$O$374</f>
        <v>0.714724392178036</v>
      </c>
      <c r="G374" s="13" t="n">
        <f aca="false">Sens!$G$375/Sens!$G$373</f>
        <v>0.723310309965184</v>
      </c>
      <c r="H374" s="13" t="n">
        <f aca="false">Sens!$G$374</f>
        <v>0.723310309965184</v>
      </c>
      <c r="I374" s="13" t="n">
        <f aca="false">Sens!$G$374</f>
        <v>0.723310309965184</v>
      </c>
      <c r="J374" s="13" t="n">
        <f aca="false">Sens!$G$374</f>
        <v>0.723310309965184</v>
      </c>
      <c r="K374" s="13" t="n">
        <f aca="false">Sens!$G$374</f>
        <v>0.723310309965184</v>
      </c>
      <c r="L374" s="13" t="n">
        <f aca="false">Sens!$G$374</f>
        <v>0.723310309965184</v>
      </c>
      <c r="M374" s="13" t="n">
        <f aca="false">Sens!$G$374</f>
        <v>0.723310309965184</v>
      </c>
      <c r="N374" s="13" t="n">
        <f aca="false">Q!$N$5/(Q!$N$5+Q!$N$6)</f>
        <v>0.729112653268095</v>
      </c>
      <c r="O374" s="13" t="n">
        <f aca="false">Q!$J$5/(Q!$J$5+Q!$J$6)</f>
        <v>0.714724392178036</v>
      </c>
      <c r="P374" s="8" t="s">
        <v>743</v>
      </c>
    </row>
    <row r="375" customFormat="false" ht="17.15" hidden="false" customHeight="false" outlineLevel="0" collapsed="false">
      <c r="A375" s="1" t="s">
        <v>557</v>
      </c>
      <c r="B375" s="8" t="s">
        <v>91</v>
      </c>
      <c r="C375" s="40" t="n">
        <f aca="false">Q!$D$5</f>
        <v>387.497</v>
      </c>
      <c r="D375" s="40" t="n">
        <f aca="false">Q!$E$5</f>
        <v>426.305</v>
      </c>
      <c r="E375" s="40" t="n">
        <f aca="false">Q!$O$5</f>
        <v>333.172</v>
      </c>
      <c r="F375" s="40" t="n">
        <f aca="false">Sens!$F$373*Sens!$F$374</f>
        <v>141.803933639977</v>
      </c>
      <c r="G375" s="40" t="n">
        <f aca="false">Sens!$E$375+Sens!$F$375</f>
        <v>474.975933639977</v>
      </c>
      <c r="H375" s="40" t="n">
        <f aca="false">Sens!$H$373*Sens!$H$374</f>
        <v>524.566728590708</v>
      </c>
      <c r="I375" s="40" t="n">
        <f aca="false">Sens!$I$373*Sens!$I$374</f>
        <v>572.569560425675</v>
      </c>
      <c r="J375" s="40" t="n">
        <f aca="false">Sens!$J$373*Sens!$J$374</f>
        <v>617.334825989679</v>
      </c>
      <c r="K375" s="40" t="n">
        <f aca="false">Sens!$K$373*Sens!$K$374</f>
        <v>657.154313491738</v>
      </c>
      <c r="L375" s="40" t="n">
        <f aca="false">Sens!$L$373*Sens!$L$374</f>
        <v>699.741557349269</v>
      </c>
      <c r="M375" s="40" t="n">
        <f aca="false">Sens!$M$373*Sens!$M$374</f>
        <v>745.303288602707</v>
      </c>
      <c r="N375" s="40" t="n">
        <f aca="false">Q!$N$5</f>
        <v>299.222</v>
      </c>
      <c r="O375" s="40" t="n">
        <f aca="false">Q!$J$5</f>
        <v>127.083</v>
      </c>
      <c r="P375" s="5" t="s">
        <v>744</v>
      </c>
    </row>
    <row r="376" customFormat="false" ht="17.15" hidden="false" customHeight="false" outlineLevel="0" collapsed="false">
      <c r="A376" s="1" t="s">
        <v>560</v>
      </c>
      <c r="B376" s="8" t="s">
        <v>91</v>
      </c>
      <c r="C376" s="40" t="n">
        <f aca="false">Q!$D$6</f>
        <v>142.906</v>
      </c>
      <c r="D376" s="40" t="n">
        <f aca="false">Q!$E$6</f>
        <v>161.894</v>
      </c>
      <c r="E376" s="40" t="n">
        <f aca="false">Q!$O$6</f>
        <v>125.094</v>
      </c>
      <c r="F376" s="40" t="n">
        <f aca="false">Sens!$F$373*(1-Sens!$F$374)</f>
        <v>56.5997240382599</v>
      </c>
      <c r="G376" s="40" t="n">
        <f aca="false">Sens!$E$376+Sens!$F$376</f>
        <v>181.69372403826</v>
      </c>
      <c r="H376" s="40" t="n">
        <f aca="false">Sens!$H$373*(1-Sens!$H$374)</f>
        <v>200.663814045906</v>
      </c>
      <c r="I376" s="40" t="n">
        <f aca="false">Sens!$I$373*(1-Sens!$I$374)</f>
        <v>219.026456577366</v>
      </c>
      <c r="J376" s="40" t="n">
        <f aca="false">Sens!$J$373*(1-Sens!$J$374)</f>
        <v>236.150624839017</v>
      </c>
      <c r="K376" s="40" t="n">
        <f aca="false">Sens!$K$373*(1-Sens!$K$374)</f>
        <v>251.382872330167</v>
      </c>
      <c r="L376" s="40" t="n">
        <f aca="false">Sens!$L$373*(1-Sens!$L$374)</f>
        <v>267.673876536846</v>
      </c>
      <c r="M376" s="40" t="n">
        <f aca="false">Sens!$M$373*(1-Sens!$M$374)</f>
        <v>285.102718797604</v>
      </c>
      <c r="N376" s="40" t="n">
        <f aca="false">Q!$N$6</f>
        <v>111.17</v>
      </c>
      <c r="O376" s="40" t="n">
        <f aca="false">Q!$J$6</f>
        <v>50.724</v>
      </c>
      <c r="P376" s="5" t="s">
        <v>745</v>
      </c>
    </row>
    <row r="377" customFormat="false" ht="17.15" hidden="false" customHeight="false" outlineLevel="0" collapsed="false">
      <c r="A377" s="5" t="s">
        <v>746</v>
      </c>
      <c r="B377" s="0" t="s">
        <v>91</v>
      </c>
      <c r="C377" s="40" t="n">
        <f aca="false">Sens!$C$366*Sens!$C$374</f>
        <v>41.0683128828457</v>
      </c>
      <c r="D377" s="40" t="n">
        <f aca="false">Sens!$D$366*Sens!$D$374</f>
        <v>49.7441234599175</v>
      </c>
      <c r="E377" s="40" t="n">
        <f aca="false">Sens!$E$366*Sens!$E$374</f>
        <v>41.2144638877857</v>
      </c>
      <c r="F377" s="40" t="n">
        <f aca="false">Sens!$F$366*Sens!$F$374</f>
        <v>18.2312179377398</v>
      </c>
      <c r="G377" s="40" t="n">
        <f aca="false">Sens!$G$366*Sens!$G$374</f>
        <v>59.4539660283387</v>
      </c>
      <c r="H377" s="40" t="n">
        <f aca="false">Sens!$H$366*Sens!$H$374</f>
        <v>69.771147774226</v>
      </c>
      <c r="I377" s="40" t="n">
        <f aca="false">Sens!$I$366*Sens!$I$374</f>
        <v>80.1685498498669</v>
      </c>
      <c r="J377" s="40" t="n">
        <f aca="false">Sens!$J$366*Sens!$J$374</f>
        <v>90.1503966797303</v>
      </c>
      <c r="K377" s="40" t="n">
        <f aca="false">Sens!$K$366*Sens!$K$374</f>
        <v>99.1654363477033</v>
      </c>
      <c r="L377" s="40" t="n">
        <f aca="false">Sens!$L$366*Sens!$L$374</f>
        <v>109.081979982474</v>
      </c>
      <c r="M377" s="40" t="n">
        <f aca="false">Sens!$M$366*Sens!$M$374</f>
        <v>119.990177980721</v>
      </c>
      <c r="N377" s="40" t="n">
        <f aca="false">Sens!$N$366*Sens!$N$374</f>
        <v>34.5001525273397</v>
      </c>
      <c r="O377" s="40" t="n">
        <f aca="false">Sens!$O$366*Sens!$O$374</f>
        <v>15.2357798680592</v>
      </c>
      <c r="P377" s="5" t="s">
        <v>747</v>
      </c>
    </row>
    <row r="378" customFormat="false" ht="15" hidden="false" customHeight="false" outlineLevel="0" collapsed="false">
      <c r="A378" s="5" t="s">
        <v>748</v>
      </c>
      <c r="B378" s="0" t="s">
        <v>91</v>
      </c>
      <c r="C378" s="40" t="n">
        <f aca="false">Sens!$C$366-Sens!$C$377</f>
        <v>15.1456871171543</v>
      </c>
      <c r="D378" s="40" t="n">
        <f aca="false">Sens!$D$366-Sens!$D$377</f>
        <v>18.8908765400825</v>
      </c>
      <c r="E378" s="40" t="n">
        <f aca="false">Sens!$E$366-Sens!$E$377</f>
        <v>15.4745361122143</v>
      </c>
      <c r="F378" s="40" t="n">
        <f aca="false">Sens!$F$366-Sens!$F$377</f>
        <v>7.2768214369657</v>
      </c>
      <c r="G378" s="40" t="n">
        <f aca="false">Sens!$G$366-Sens!$G$377</f>
        <v>22.7430733463668</v>
      </c>
      <c r="H378" s="40" t="n">
        <f aca="false">Sens!$H$366-Sens!$H$377</f>
        <v>26.6897305140765</v>
      </c>
      <c r="I378" s="40" t="n">
        <f aca="false">Sens!$I$366-Sens!$I$377</f>
        <v>30.6670745638453</v>
      </c>
      <c r="J378" s="40" t="n">
        <f aca="false">Sens!$J$366-Sens!$J$377</f>
        <v>34.4854552329427</v>
      </c>
      <c r="K378" s="40" t="n">
        <f aca="false">Sens!$K$366-Sens!$K$377</f>
        <v>37.934000756237</v>
      </c>
      <c r="L378" s="40" t="n">
        <f aca="false">Sens!$L$366-Sens!$L$377</f>
        <v>41.7274008318607</v>
      </c>
      <c r="M378" s="40" t="n">
        <f aca="false">Sens!$M$366-Sens!$M$377</f>
        <v>45.9001409150467</v>
      </c>
      <c r="N378" s="40" t="n">
        <f aca="false">Sens!$N$366-Sens!$N$377</f>
        <v>12.8178474726603</v>
      </c>
      <c r="O378" s="40" t="n">
        <f aca="false">Sens!$O$366-Sens!$O$377</f>
        <v>6.08122013194081</v>
      </c>
    </row>
    <row r="379" customFormat="false" ht="19.4" hidden="false" customHeight="false" outlineLevel="0" collapsed="false">
      <c r="A379" s="35" t="s">
        <v>1310</v>
      </c>
    </row>
    <row r="380" customFormat="false" ht="17.15" hidden="false" customHeight="false" outlineLevel="0" collapsed="false">
      <c r="A380" s="6" t="s">
        <v>16</v>
      </c>
      <c r="B380" s="6" t="s">
        <v>17</v>
      </c>
      <c r="C380" s="23" t="s">
        <v>542</v>
      </c>
      <c r="D380" s="23" t="s">
        <v>543</v>
      </c>
      <c r="E380" s="23" t="s">
        <v>631</v>
      </c>
      <c r="F380" s="23" t="s">
        <v>632</v>
      </c>
      <c r="G380" s="23" t="s">
        <v>633</v>
      </c>
      <c r="H380" s="23" t="s">
        <v>634</v>
      </c>
      <c r="I380" s="23" t="s">
        <v>635</v>
      </c>
      <c r="J380" s="23" t="s">
        <v>636</v>
      </c>
      <c r="K380" s="23" t="s">
        <v>637</v>
      </c>
      <c r="L380" s="23" t="s">
        <v>638</v>
      </c>
      <c r="M380" s="23" t="s">
        <v>639</v>
      </c>
      <c r="N380" s="23" t="s">
        <v>640</v>
      </c>
      <c r="O380" s="23" t="s">
        <v>641</v>
      </c>
      <c r="P380" s="6" t="s">
        <v>23</v>
      </c>
      <c r="R380" s="23" t="n">
        <v>2023</v>
      </c>
      <c r="S380" s="23" t="n">
        <v>2024</v>
      </c>
      <c r="T380" s="23" t="n">
        <v>2025</v>
      </c>
      <c r="U380" s="23" t="n">
        <v>2026</v>
      </c>
      <c r="V380" s="23" t="n">
        <v>2027</v>
      </c>
      <c r="W380" s="23" t="n">
        <v>2028</v>
      </c>
      <c r="X380" s="23" t="n">
        <v>2029</v>
      </c>
      <c r="Y380" s="23" t="n">
        <v>2030</v>
      </c>
      <c r="Z380" s="23" t="n">
        <v>2031</v>
      </c>
      <c r="AA380" s="23" t="n">
        <v>2032</v>
      </c>
    </row>
    <row r="381" customFormat="false" ht="17.15" hidden="false" customHeight="false" outlineLevel="0" collapsed="false">
      <c r="A381" s="1" t="s">
        <v>642</v>
      </c>
    </row>
    <row r="382" customFormat="false" ht="17.15" hidden="false" customHeight="false" outlineLevel="0" collapsed="false">
      <c r="A382" s="5" t="s">
        <v>643</v>
      </c>
      <c r="B382" s="0" t="s">
        <v>153</v>
      </c>
      <c r="H382" s="36" t="n">
        <f aca="false">(pace_B*pace_x)</f>
        <v>3788.9</v>
      </c>
      <c r="I382" s="36" t="n">
        <f aca="false">(pace_B*pace_x)</f>
        <v>3788.9</v>
      </c>
      <c r="J382" s="36" t="n">
        <f aca="false">(pace_B*pace_x)</f>
        <v>3788.9</v>
      </c>
      <c r="K382" s="36" t="n">
        <f aca="false">(pace_B*pace_x)+(Sens!$J$383*tg-(pace_B*pace_x))*1/3</f>
        <v>2679.34483333333</v>
      </c>
      <c r="L382" s="36" t="n">
        <f aca="false">(pace_B*pace_x)+(Sens!$J$383*tg-(pace_B*pace_x))*2/3</f>
        <v>1569.78966666667</v>
      </c>
      <c r="M382" s="36" t="n">
        <f aca="false">(pace_B*pace_x)+(Sens!$J$383*tg-(pace_B*pace_x))*3/3</f>
        <v>460.2345</v>
      </c>
      <c r="P382" s="5" t="s">
        <v>644</v>
      </c>
    </row>
    <row r="383" customFormat="false" ht="17.15" hidden="false" customHeight="false" outlineLevel="0" collapsed="false">
      <c r="A383" s="15" t="s">
        <v>645</v>
      </c>
      <c r="B383" s="14" t="s">
        <v>138</v>
      </c>
      <c r="C383" s="37" t="n">
        <f aca="false">mw_ye24</f>
        <v>360</v>
      </c>
      <c r="D383" s="37" t="n">
        <f aca="false">mw_ye25</f>
        <v>1440</v>
      </c>
      <c r="E383" s="37" t="n">
        <f aca="false">mw_q3</f>
        <v>3027.225</v>
      </c>
      <c r="F383" s="37" t="n">
        <f aca="false">Sens!$E$383+(pace_B*pace_x)*0.25</f>
        <v>3974.45</v>
      </c>
      <c r="G383" s="37" t="n">
        <f aca="false">Sens!$F$383</f>
        <v>3974.45</v>
      </c>
      <c r="H383" s="37" t="n">
        <f aca="false">Sens!$G$383+Sens!$H$382</f>
        <v>7763.35</v>
      </c>
      <c r="I383" s="37" t="n">
        <f aca="false">Sens!$H$383+Sens!$I$382</f>
        <v>11552.25</v>
      </c>
      <c r="J383" s="37" t="n">
        <f aca="false">Sens!$I$383+Sens!$J$382</f>
        <v>15341.15</v>
      </c>
      <c r="K383" s="37" t="n">
        <f aca="false">Sens!$J$383+Sens!$K$382</f>
        <v>18020.4948333333</v>
      </c>
      <c r="L383" s="37" t="n">
        <f aca="false">Sens!$K$383+Sens!$L$382</f>
        <v>19590.2845</v>
      </c>
      <c r="M383" s="37" t="n">
        <f aca="false">Sens!$L$383+Sens!$M$382</f>
        <v>20050.519</v>
      </c>
      <c r="N383" s="37" t="n">
        <f aca="false">mw_ye24+(mw_ye25-mw_ye24)*0.75</f>
        <v>1170</v>
      </c>
      <c r="O383" s="37" t="n">
        <f aca="false">mw_ye25</f>
        <v>1440</v>
      </c>
      <c r="P383" s="5" t="s">
        <v>646</v>
      </c>
    </row>
    <row r="384" customFormat="false" ht="17.15" hidden="false" customHeight="false" outlineLevel="0" collapsed="false">
      <c r="A384" s="5" t="s">
        <v>647</v>
      </c>
      <c r="B384" s="0" t="s">
        <v>138</v>
      </c>
      <c r="C384" s="36" t="n">
        <f aca="false">(mw_ye23+mw_ye24)/2</f>
        <v>240</v>
      </c>
      <c r="D384" s="36" t="n">
        <f aca="false">(Sens!$C$383+Sens!$D$383)/2</f>
        <v>900</v>
      </c>
      <c r="E384" s="36" t="n">
        <f aca="false">(Sens!$D$383+Sens!$E$383)/2</f>
        <v>2233.6125</v>
      </c>
      <c r="F384" s="36" t="n">
        <f aca="false">(Sens!$E$383+Sens!$F$383)/2</f>
        <v>3500.8375</v>
      </c>
      <c r="G384" s="36" t="n">
        <f aca="false">Sens!$E$384*0.75+Sens!$F$384*0.25</f>
        <v>2550.41875</v>
      </c>
      <c r="H384" s="36" t="n">
        <f aca="false">(Sens!$G$383+Sens!$H$383)/2</f>
        <v>5868.9</v>
      </c>
      <c r="I384" s="36" t="n">
        <f aca="false">(Sens!$H$383+Sens!$I$383)/2</f>
        <v>9657.8</v>
      </c>
      <c r="J384" s="36" t="n">
        <f aca="false">(Sens!$I$383+Sens!$J$383)/2</f>
        <v>13446.7</v>
      </c>
      <c r="K384" s="36" t="n">
        <f aca="false">(Sens!$J$383+Sens!$K$383)/2</f>
        <v>16680.8224166667</v>
      </c>
      <c r="L384" s="36" t="n">
        <f aca="false">(Sens!$K$383+Sens!$L$383)/2</f>
        <v>18805.3896666667</v>
      </c>
      <c r="M384" s="36" t="n">
        <f aca="false">(Sens!$L$383+Sens!$M$383)/2</f>
        <v>19820.40175</v>
      </c>
      <c r="N384" s="36" t="n">
        <f aca="false">(Sens!$C$383+Sens!$N$383)/2</f>
        <v>765</v>
      </c>
      <c r="O384" s="36" t="n">
        <f aca="false">(Sens!$N$383+Sens!$O$383)/2</f>
        <v>1305</v>
      </c>
    </row>
    <row r="385" customFormat="false" ht="15" hidden="false" customHeight="false" outlineLevel="0" collapsed="false">
      <c r="A385" s="5" t="s">
        <v>648</v>
      </c>
      <c r="B385" s="5" t="s">
        <v>132</v>
      </c>
      <c r="C385" s="38" t="n">
        <v>1</v>
      </c>
      <c r="D385" s="38" t="n">
        <v>1</v>
      </c>
      <c r="E385" s="38" t="n">
        <v>0.75</v>
      </c>
      <c r="F385" s="38" t="n">
        <v>0.25</v>
      </c>
      <c r="G385" s="38" t="n">
        <v>1</v>
      </c>
      <c r="H385" s="38" t="n">
        <v>1</v>
      </c>
      <c r="I385" s="38" t="n">
        <v>1</v>
      </c>
      <c r="J385" s="38" t="n">
        <v>1</v>
      </c>
      <c r="K385" s="38" t="n">
        <v>1</v>
      </c>
      <c r="L385" s="38" t="n">
        <v>1</v>
      </c>
      <c r="M385" s="38" t="n">
        <v>1</v>
      </c>
      <c r="N385" s="38" t="n">
        <v>0.75</v>
      </c>
      <c r="O385" s="38" t="n">
        <v>0.25</v>
      </c>
    </row>
    <row r="386" customFormat="false" ht="17.15" hidden="false" customHeight="false" outlineLevel="0" collapsed="false">
      <c r="A386" s="5" t="s">
        <v>649</v>
      </c>
      <c r="B386" s="0" t="s">
        <v>138</v>
      </c>
      <c r="C386" s="36" t="n">
        <f aca="false">Sens!$C$383-mw_ye23</f>
        <v>240</v>
      </c>
      <c r="D386" s="36" t="n">
        <f aca="false">Sens!$D$383-Sens!$C$383</f>
        <v>1080</v>
      </c>
      <c r="E386" s="36" t="n">
        <f aca="false">Sens!$E$383-Sens!$D$383</f>
        <v>1587.225</v>
      </c>
      <c r="F386" s="36" t="n">
        <f aca="false">Sens!$F$383-Sens!$E$383</f>
        <v>947.225</v>
      </c>
      <c r="G386" s="36" t="n">
        <f aca="false">Sens!$E$386+Sens!$F$386</f>
        <v>2534.45</v>
      </c>
      <c r="H386" s="36" t="n">
        <f aca="false">Sens!$H$383-Sens!$G$383</f>
        <v>3788.9</v>
      </c>
      <c r="I386" s="36" t="n">
        <f aca="false">Sens!$I$383-Sens!$H$383</f>
        <v>3788.9</v>
      </c>
      <c r="J386" s="36" t="n">
        <f aca="false">Sens!$J$383-Sens!$I$383</f>
        <v>3788.9</v>
      </c>
      <c r="K386" s="36" t="n">
        <f aca="false">Sens!$K$383-Sens!$J$383</f>
        <v>2679.34483333333</v>
      </c>
      <c r="L386" s="36" t="n">
        <f aca="false">Sens!$L$383-Sens!$K$383</f>
        <v>1569.78966666667</v>
      </c>
      <c r="M386" s="36" t="n">
        <f aca="false">Sens!$M$383-Sens!$L$383</f>
        <v>460.234499999999</v>
      </c>
      <c r="N386" s="36" t="n">
        <f aca="false">Sens!$N$383-Sens!$C$383</f>
        <v>810</v>
      </c>
      <c r="O386" s="36" t="n">
        <f aca="false">Sens!$O$383-Sens!$N$383</f>
        <v>270</v>
      </c>
    </row>
    <row r="387" customFormat="false" ht="17.15" hidden="false" customHeight="false" outlineLevel="0" collapsed="false">
      <c r="A387" s="5" t="s">
        <v>650</v>
      </c>
      <c r="B387" s="0" t="s">
        <v>138</v>
      </c>
      <c r="C387" s="36" t="n">
        <f aca="false">Sens!$C$386/ext_sh</f>
        <v>300</v>
      </c>
      <c r="D387" s="36" t="n">
        <f aca="false">Sens!$D$386/ext_sh</f>
        <v>1350</v>
      </c>
      <c r="E387" s="36" t="n">
        <f aca="false">Sens!$E$386/ext_sh</f>
        <v>1984.03125</v>
      </c>
      <c r="F387" s="36" t="n">
        <f aca="false">Sens!$F$386/ext_sh</f>
        <v>1184.03125</v>
      </c>
      <c r="G387" s="36" t="n">
        <f aca="false">Sens!$G$386/ext_sh</f>
        <v>3168.0625</v>
      </c>
      <c r="H387" s="36" t="n">
        <f aca="false">Sens!$H$386/ext_sh</f>
        <v>4736.125</v>
      </c>
      <c r="I387" s="36" t="n">
        <f aca="false">Sens!$I$386/ext_sh</f>
        <v>4736.125</v>
      </c>
      <c r="J387" s="36" t="n">
        <f aca="false">Sens!$J$386/ext_sh</f>
        <v>4736.125</v>
      </c>
      <c r="K387" s="36" t="n">
        <f aca="false">Sens!$K$386/ext_sh</f>
        <v>3349.18104166667</v>
      </c>
      <c r="L387" s="36" t="n">
        <f aca="false">Sens!$L$386/ext_sh</f>
        <v>1962.23708333333</v>
      </c>
      <c r="M387" s="36" t="n">
        <f aca="false">Sens!$M$386/ext_sh</f>
        <v>575.293124999998</v>
      </c>
      <c r="N387" s="36" t="n">
        <f aca="false">Sens!$N$386/ext_sh</f>
        <v>1012.5</v>
      </c>
      <c r="O387" s="36" t="n">
        <f aca="false">Sens!$O$386/ext_sh</f>
        <v>337.5</v>
      </c>
      <c r="P387" s="8" t="s">
        <v>651</v>
      </c>
      <c r="R387" s="36" t="n">
        <f aca="false">mw_ye23/ext_sh</f>
        <v>150</v>
      </c>
      <c r="S387" s="36" t="n">
        <f aca="false">Sens!$C$387</f>
        <v>300</v>
      </c>
      <c r="T387" s="36" t="n">
        <f aca="false">Sens!$D$387</f>
        <v>1350</v>
      </c>
      <c r="U387" s="36" t="n">
        <f aca="false">Sens!$G$387</f>
        <v>3168.0625</v>
      </c>
      <c r="V387" s="36" t="n">
        <f aca="false">Sens!$H$387</f>
        <v>4736.125</v>
      </c>
      <c r="W387" s="36" t="n">
        <f aca="false">Sens!$I$387</f>
        <v>4736.125</v>
      </c>
      <c r="X387" s="36" t="n">
        <f aca="false">Sens!$J$387</f>
        <v>4736.125</v>
      </c>
      <c r="Y387" s="36" t="n">
        <f aca="false">Sens!$K$387</f>
        <v>3349.18104166667</v>
      </c>
      <c r="Z387" s="36" t="n">
        <f aca="false">Sens!$L$387</f>
        <v>1962.23708333333</v>
      </c>
      <c r="AA387" s="36" t="n">
        <f aca="false">Sens!$M$387</f>
        <v>575.293124999998</v>
      </c>
    </row>
    <row r="388" customFormat="false" ht="17.15" hidden="false" customHeight="false" outlineLevel="0" collapsed="false">
      <c r="A388" s="1" t="s">
        <v>652</v>
      </c>
    </row>
    <row r="389" customFormat="false" ht="17.15" hidden="false" customHeight="false" outlineLevel="0" collapsed="false">
      <c r="A389" s="0" t="s">
        <v>653</v>
      </c>
      <c r="B389" s="0" t="s">
        <v>56</v>
      </c>
      <c r="F389" s="22" t="n">
        <f aca="false">na_vr26</f>
        <v>0</v>
      </c>
      <c r="G389" s="22" t="n">
        <f aca="false">na_vr26</f>
        <v>0</v>
      </c>
      <c r="H389" s="22" t="n">
        <f aca="false">na_vr27</f>
        <v>0.5</v>
      </c>
      <c r="I389" s="22" t="n">
        <f aca="false">na_vr28</f>
        <v>1</v>
      </c>
      <c r="J389" s="22" t="n">
        <f aca="false">na_vr28</f>
        <v>1</v>
      </c>
      <c r="K389" s="22" t="n">
        <f aca="false">na_vr28</f>
        <v>1</v>
      </c>
      <c r="L389" s="22" t="n">
        <f aca="false">na_vr28</f>
        <v>1</v>
      </c>
      <c r="M389" s="22" t="n">
        <f aca="false">na_vr28</f>
        <v>1</v>
      </c>
    </row>
    <row r="390" customFormat="false" ht="17.15" hidden="false" customHeight="false" outlineLevel="0" collapsed="false">
      <c r="A390" s="5" t="s">
        <v>654</v>
      </c>
      <c r="B390" s="0" t="s">
        <v>187</v>
      </c>
      <c r="F390" s="21" t="n">
        <f aca="false">cust_sh*tk_he_gb300*cf_chip+(1-cust_sh)*((1-Sens!$F$389)*tk_he_gb300+Sens!$F$389*tk_he_vr200)</f>
        <v>8.76356085669863</v>
      </c>
      <c r="G390" s="21" t="n">
        <f aca="false">cust_sh*tk_he_gb300*cf_chip+(1-cust_sh)*((1-Sens!$G$389)*tk_he_gb300+Sens!$G$389*tk_he_vr200)</f>
        <v>8.76356085669863</v>
      </c>
      <c r="H390" s="21" t="n">
        <f aca="false">cust_sh*tk_he_gb300*cf_chip+(1-cust_sh)*((1-Sens!$H$389)*tk_he_gb300+Sens!$H$389*tk_he_vr200)</f>
        <v>9.09832585731713</v>
      </c>
      <c r="I390" s="21" t="n">
        <f aca="false">cust_sh*tk_he_gb300*cf_chip+(1-cust_sh)*((1-Sens!$I$389)*tk_he_gb300+Sens!$I$389*tk_he_vr200)</f>
        <v>9.43309085793563</v>
      </c>
      <c r="J390" s="21" t="n">
        <f aca="false">cust_sh*tk_he_gb300*cf_chip+(1-cust_sh)*((1-Sens!$J$389)*tk_he_gb300+Sens!$J$389*tk_he_vr200)</f>
        <v>9.43309085793563</v>
      </c>
      <c r="K390" s="21" t="n">
        <f aca="false">cust_sh*tk_he_gb300*cf_chip+(1-cust_sh)*((1-Sens!$K$389)*tk_he_gb300+Sens!$K$389*tk_he_vr200)</f>
        <v>9.43309085793563</v>
      </c>
      <c r="L390" s="21" t="n">
        <f aca="false">cust_sh*tk_he_gb300*cf_chip+(1-cust_sh)*((1-Sens!$L$389)*tk_he_gb300+Sens!$L$389*tk_he_vr200)</f>
        <v>9.43309085793563</v>
      </c>
      <c r="M390" s="21" t="n">
        <f aca="false">cust_sh*tk_he_gb300*cf_chip+(1-cust_sh)*((1-Sens!$M$389)*tk_he_gb300+Sens!$M$389*tk_he_vr200)</f>
        <v>9.43309085793563</v>
      </c>
    </row>
    <row r="391" customFormat="false" ht="17.15" hidden="false" customHeight="false" outlineLevel="0" collapsed="false">
      <c r="A391" s="5" t="s">
        <v>655</v>
      </c>
      <c r="B391" s="0" t="s">
        <v>187</v>
      </c>
      <c r="F391" s="21" t="n">
        <f aca="false">cust_sh*tk_ox_gb300+(1-cust_sh)*((1-Sens!$F$389)*tk_ox_gb300+Sens!$F$389*tk_ox_vr200)</f>
        <v>1.98263481314457</v>
      </c>
      <c r="G391" s="21" t="n">
        <f aca="false">cust_sh*tk_ox_gb300+(1-cust_sh)*((1-Sens!$G$389)*tk_ox_gb300+Sens!$G$389*tk_ox_vr200)</f>
        <v>1.98263481314457</v>
      </c>
      <c r="H391" s="21" t="n">
        <f aca="false">cust_sh*tk_ox_gb300+(1-cust_sh)*((1-Sens!$H$389)*tk_ox_gb300+Sens!$H$389*tk_ox_vr200)</f>
        <v>2.01034999693694</v>
      </c>
      <c r="I391" s="21" t="n">
        <f aca="false">cust_sh*tk_ox_gb300+(1-cust_sh)*((1-Sens!$I$389)*tk_ox_gb300+Sens!$I$389*tk_ox_vr200)</f>
        <v>2.0380651807293</v>
      </c>
      <c r="J391" s="21" t="n">
        <f aca="false">cust_sh*tk_ox_gb300+(1-cust_sh)*((1-Sens!$J$389)*tk_ox_gb300+Sens!$J$389*tk_ox_vr200)</f>
        <v>2.0380651807293</v>
      </c>
      <c r="K391" s="21" t="n">
        <f aca="false">cust_sh*tk_ox_gb300+(1-cust_sh)*((1-Sens!$K$389)*tk_ox_gb300+Sens!$K$389*tk_ox_vr200)</f>
        <v>2.0380651807293</v>
      </c>
      <c r="L391" s="21" t="n">
        <f aca="false">cust_sh*tk_ox_gb300+(1-cust_sh)*((1-Sens!$L$389)*tk_ox_gb300+Sens!$L$389*tk_ox_vr200)</f>
        <v>2.0380651807293</v>
      </c>
      <c r="M391" s="21" t="n">
        <f aca="false">cust_sh*tk_ox_gb300+(1-cust_sh)*((1-Sens!$M$389)*tk_ox_gb300+Sens!$M$389*tk_ox_vr200)</f>
        <v>2.0380651807293</v>
      </c>
    </row>
    <row r="392" customFormat="false" ht="17.15" hidden="false" customHeight="false" outlineLevel="0" collapsed="false">
      <c r="A392" s="5" t="s">
        <v>656</v>
      </c>
      <c r="B392" s="0" t="s">
        <v>206</v>
      </c>
      <c r="F392" s="21" t="n">
        <f aca="false">cust_sh*tk_cx_gb300*cf_cx+(1-cust_sh)*((1-Sens!$F$389)*tk_cx_gb300+Sens!$F$389*tk_cx_vr200)</f>
        <v>25.95096532</v>
      </c>
      <c r="G392" s="21" t="n">
        <f aca="false">cust_sh*tk_cx_gb300*cf_cx+(1-cust_sh)*((1-Sens!$G$389)*tk_cx_gb300+Sens!$G$389*tk_cx_vr200)</f>
        <v>25.95096532</v>
      </c>
      <c r="H392" s="21" t="n">
        <f aca="false">cust_sh*tk_cx_gb300*cf_cx+(1-cust_sh)*((1-Sens!$H$389)*tk_cx_gb300+Sens!$H$389*tk_cx_vr200)</f>
        <v>27.28824732</v>
      </c>
      <c r="I392" s="21" t="n">
        <f aca="false">cust_sh*tk_cx_gb300*cf_cx+(1-cust_sh)*((1-Sens!$I$389)*tk_cx_gb300+Sens!$I$389*tk_cx_vr200)</f>
        <v>28.62552932</v>
      </c>
      <c r="J392" s="21" t="n">
        <f aca="false">cust_sh*tk_cx_gb300*cf_cx+(1-cust_sh)*((1-Sens!$J$389)*tk_cx_gb300+Sens!$J$389*tk_cx_vr200)</f>
        <v>28.62552932</v>
      </c>
      <c r="K392" s="21" t="n">
        <f aca="false">cust_sh*tk_cx_gb300*cf_cx+(1-cust_sh)*((1-Sens!$K$389)*tk_cx_gb300+Sens!$K$389*tk_cx_vr200)</f>
        <v>28.62552932</v>
      </c>
      <c r="L392" s="21" t="n">
        <f aca="false">cust_sh*tk_cx_gb300*cf_cx+(1-cust_sh)*((1-Sens!$L$389)*tk_cx_gb300+Sens!$L$389*tk_cx_vr200)</f>
        <v>28.62552932</v>
      </c>
      <c r="M392" s="21" t="n">
        <f aca="false">cust_sh*tk_cx_gb300*cf_cx+(1-cust_sh)*((1-Sens!$M$389)*tk_cx_gb300+Sens!$M$389*tk_cx_vr200)</f>
        <v>28.62552932</v>
      </c>
    </row>
    <row r="393" customFormat="false" ht="17.15" hidden="false" customHeight="false" outlineLevel="0" collapsed="false">
      <c r="A393" s="5" t="s">
        <v>657</v>
      </c>
      <c r="B393" s="0" t="s">
        <v>138</v>
      </c>
      <c r="E393" s="36" t="n">
        <f aca="false">Sens!$E$383-mw_open</f>
        <v>947.225</v>
      </c>
      <c r="F393" s="36" t="n">
        <f aca="false">Sens!$F$383-mw_open</f>
        <v>1894.45</v>
      </c>
      <c r="G393" s="36" t="n">
        <f aca="false">Sens!$F$393</f>
        <v>1894.45</v>
      </c>
      <c r="H393" s="36" t="n">
        <f aca="false">Sens!$H$383-mw_open</f>
        <v>5683.35</v>
      </c>
      <c r="I393" s="36" t="n">
        <f aca="false">Sens!$I$383-mw_open</f>
        <v>9472.25</v>
      </c>
      <c r="J393" s="36" t="n">
        <f aca="false">Sens!$J$383-mw_open</f>
        <v>13261.15</v>
      </c>
      <c r="K393" s="36" t="n">
        <f aca="false">Sens!$K$383-mw_open</f>
        <v>15940.4948333333</v>
      </c>
      <c r="L393" s="36" t="n">
        <f aca="false">Sens!$L$383-mw_open</f>
        <v>17510.2845</v>
      </c>
      <c r="M393" s="36" t="n">
        <f aca="false">Sens!$M$383-mw_open</f>
        <v>17970.519</v>
      </c>
    </row>
    <row r="394" customFormat="false" ht="17.15" hidden="false" customHeight="false" outlineLevel="0" collapsed="false">
      <c r="A394" s="0" t="s">
        <v>658</v>
      </c>
      <c r="B394" s="0" t="s">
        <v>659</v>
      </c>
      <c r="E394" s="36" t="n">
        <f aca="false">Sens!$E$393*Sens!$F$390</f>
        <v>8301.06393248636</v>
      </c>
      <c r="F394" s="36" t="n">
        <f aca="false">Sens!$E$394+Sens!$F$386*Sens!$F$390</f>
        <v>16602.1278649727</v>
      </c>
      <c r="G394" s="36" t="n">
        <f aca="false">Sens!$F$394</f>
        <v>16602.1278649727</v>
      </c>
      <c r="H394" s="36" t="n">
        <f aca="false">Sens!$G$394+Sens!$H$386*Sens!$H$390</f>
        <v>51074.7747057616</v>
      </c>
      <c r="I394" s="36" t="n">
        <f aca="false">Sens!$H$394+Sens!$I$386*Sens!$I$390</f>
        <v>86815.8126573939</v>
      </c>
      <c r="J394" s="36" t="n">
        <f aca="false">Sens!$I$394+Sens!$J$386*Sens!$J$390</f>
        <v>122556.850609026</v>
      </c>
      <c r="K394" s="36" t="n">
        <f aca="false">Sens!$J$394+Sens!$K$386*Sens!$K$390</f>
        <v>147831.3538616</v>
      </c>
      <c r="L394" s="36" t="n">
        <f aca="false">Sens!$K$394+Sens!$L$386*Sens!$L$390</f>
        <v>162639.322415115</v>
      </c>
      <c r="M394" s="36" t="n">
        <f aca="false">Sens!$L$394+Sens!$M$386*Sens!$M$390</f>
        <v>166980.756269572</v>
      </c>
    </row>
    <row r="395" customFormat="false" ht="17.15" hidden="false" customHeight="false" outlineLevel="0" collapsed="false">
      <c r="A395" s="0" t="s">
        <v>660</v>
      </c>
      <c r="B395" s="0" t="s">
        <v>659</v>
      </c>
      <c r="E395" s="36" t="n">
        <f aca="false">Sens!$E$393*Sens!$F$391</f>
        <v>1878.00126088087</v>
      </c>
      <c r="F395" s="36" t="n">
        <f aca="false">Sens!$E$395+Sens!$F$386*Sens!$F$391</f>
        <v>3756.00252176173</v>
      </c>
      <c r="G395" s="36" t="n">
        <f aca="false">Sens!$F$395</f>
        <v>3756.00252176173</v>
      </c>
      <c r="H395" s="36" t="n">
        <f aca="false">Sens!$G$395+Sens!$H$386*Sens!$H$391</f>
        <v>11373.0176251561</v>
      </c>
      <c r="I395" s="36" t="n">
        <f aca="false">Sens!$H$395+Sens!$I$386*Sens!$I$391</f>
        <v>19095.0427884213</v>
      </c>
      <c r="J395" s="36" t="n">
        <f aca="false">Sens!$I$395+Sens!$J$386*Sens!$J$391</f>
        <v>26817.0679516866</v>
      </c>
      <c r="K395" s="36" t="n">
        <f aca="false">Sens!$J$395+Sens!$K$386*Sens!$K$391</f>
        <v>32277.7473636702</v>
      </c>
      <c r="L395" s="36" t="n">
        <f aca="false">Sens!$K$395+Sens!$L$386*Sens!$L$391</f>
        <v>35477.0810243722</v>
      </c>
      <c r="M395" s="36" t="n">
        <f aca="false">Sens!$L$395+Sens!$M$386*Sens!$M$391</f>
        <v>36415.0689337925</v>
      </c>
    </row>
    <row r="396" customFormat="false" ht="17.15" hidden="false" customHeight="false" outlineLevel="0" collapsed="false">
      <c r="A396" s="5" t="s">
        <v>661</v>
      </c>
      <c r="B396" s="0" t="s">
        <v>187</v>
      </c>
      <c r="F396" s="21" t="n">
        <f aca="false">IF(Sens!$F$393&gt;0,Sens!$F$394/Sens!$F$393,Sens!$F$390)</f>
        <v>8.76356085669863</v>
      </c>
      <c r="G396" s="21" t="n">
        <f aca="false">IF(Sens!$G$393&gt;0,Sens!$G$394/Sens!$G$393,Sens!$G$390)</f>
        <v>8.76356085669863</v>
      </c>
      <c r="H396" s="21" t="n">
        <f aca="false">IF(Sens!$H$393&gt;0,Sens!$H$394/Sens!$H$393,Sens!$H$390)</f>
        <v>8.98673752377763</v>
      </c>
      <c r="I396" s="21" t="n">
        <f aca="false">IF(Sens!$I$393&gt;0,Sens!$I$394/Sens!$I$393,Sens!$I$390)</f>
        <v>9.16527885744083</v>
      </c>
      <c r="J396" s="21" t="n">
        <f aca="false">IF(Sens!$J$393&gt;0,Sens!$J$394/Sens!$J$393,Sens!$J$390)</f>
        <v>9.24179657186792</v>
      </c>
      <c r="K396" s="21" t="n">
        <f aca="false">IF(Sens!$K$393&gt;0,Sens!$K$394/Sens!$K$393,Sens!$K$390)</f>
        <v>9.27395011304594</v>
      </c>
      <c r="L396" s="21" t="n">
        <f aca="false">IF(Sens!$L$393&gt;0,Sens!$L$394/Sens!$L$393,Sens!$L$390)</f>
        <v>9.28821701412762</v>
      </c>
      <c r="M396" s="21" t="n">
        <f aca="false">IF(Sens!$M$393&gt;0,Sens!$M$394/Sens!$M$393,Sens!$M$390)</f>
        <v>9.29192730992197</v>
      </c>
    </row>
    <row r="397" customFormat="false" ht="17.15" hidden="false" customHeight="false" outlineLevel="0" collapsed="false">
      <c r="A397" s="5" t="s">
        <v>662</v>
      </c>
      <c r="B397" s="0" t="s">
        <v>187</v>
      </c>
      <c r="F397" s="21" t="n">
        <f aca="false">IF(Sens!$F$393&gt;0,Sens!$F$395/Sens!$F$393,Sens!$F$391)</f>
        <v>1.98263481314457</v>
      </c>
      <c r="G397" s="21" t="n">
        <f aca="false">IF(Sens!$G$393&gt;0,Sens!$G$395/Sens!$G$393,Sens!$G$391)</f>
        <v>1.98263481314457</v>
      </c>
      <c r="H397" s="21" t="n">
        <f aca="false">IF(Sens!$H$393&gt;0,Sens!$H$395/Sens!$H$393,Sens!$H$391)</f>
        <v>2.00111160233948</v>
      </c>
      <c r="I397" s="21" t="n">
        <f aca="false">IF(Sens!$I$393&gt;0,Sens!$I$395/Sens!$I$393,Sens!$I$391)</f>
        <v>2.01589303369541</v>
      </c>
      <c r="J397" s="21" t="n">
        <f aca="false">IF(Sens!$J$393&gt;0,Sens!$J$395/Sens!$J$393,Sens!$J$391)</f>
        <v>2.02222793284795</v>
      </c>
      <c r="K397" s="21" t="n">
        <f aca="false">IF(Sens!$K$393&gt;0,Sens!$K$395/Sens!$K$393,Sens!$K$391)</f>
        <v>2.02488992350312</v>
      </c>
      <c r="L397" s="21" t="n">
        <f aca="false">IF(Sens!$L$393&gt;0,Sens!$L$395/Sens!$L$393,Sens!$L$391)</f>
        <v>2.02607107979155</v>
      </c>
      <c r="M397" s="21" t="n">
        <f aca="false">IF(Sens!$M$393&gt;0,Sens!$M$395/Sens!$M$393,Sens!$M$391)</f>
        <v>2.02637825506278</v>
      </c>
    </row>
    <row r="398" customFormat="false" ht="17.15" hidden="false" customHeight="false" outlineLevel="0" collapsed="false">
      <c r="A398" s="15" t="s">
        <v>663</v>
      </c>
      <c r="B398" s="14" t="s">
        <v>187</v>
      </c>
      <c r="C398" s="14"/>
      <c r="D398" s="14"/>
      <c r="E398" s="14"/>
      <c r="F398" s="39" t="n">
        <f aca="false">Sens!$F$396*k_B</f>
        <v>8.69300548754604</v>
      </c>
      <c r="G398" s="39" t="n">
        <f aca="false">Sens!$G$396*k_B</f>
        <v>8.69300548754604</v>
      </c>
      <c r="H398" s="39" t="n">
        <f aca="false">Sens!$H$396*k_B</f>
        <v>8.91438536078867</v>
      </c>
      <c r="I398" s="39" t="n">
        <f aca="false">Sens!$I$396*k_B</f>
        <v>9.09148925938277</v>
      </c>
      <c r="J398" s="39" t="n">
        <f aca="false">Sens!$J$396*k_B</f>
        <v>9.16739093020881</v>
      </c>
      <c r="K398" s="39" t="n">
        <f aca="false">Sens!$K$396*k_B</f>
        <v>9.19928560344441</v>
      </c>
      <c r="L398" s="39" t="n">
        <f aca="false">Sens!$L$396*k_B</f>
        <v>9.21343764180202</v>
      </c>
      <c r="M398" s="39" t="n">
        <f aca="false">Sens!$M$396*k_B</f>
        <v>9.21711806603004</v>
      </c>
      <c r="N398" s="14"/>
      <c r="O398" s="14"/>
      <c r="P398" s="8" t="s">
        <v>664</v>
      </c>
    </row>
    <row r="399" customFormat="false" ht="17.15" hidden="false" customHeight="false" outlineLevel="0" collapsed="false">
      <c r="A399" s="5" t="s">
        <v>665</v>
      </c>
      <c r="B399" s="0" t="s">
        <v>138</v>
      </c>
      <c r="F399" s="36" t="n">
        <f aca="false">(Sens!$E$393+Sens!$F$393)/2</f>
        <v>1420.8375</v>
      </c>
      <c r="H399" s="36" t="n">
        <f aca="false">(Sens!$G$393+Sens!$H$393)/2</f>
        <v>3788.9</v>
      </c>
      <c r="I399" s="36" t="n">
        <f aca="false">(Sens!$H$393+Sens!$I$393)/2</f>
        <v>7577.8</v>
      </c>
      <c r="J399" s="36" t="n">
        <f aca="false">(Sens!$I$393+Sens!$J$393)/2</f>
        <v>11366.7</v>
      </c>
      <c r="K399" s="36" t="n">
        <f aca="false">(Sens!$J$393+Sens!$K$393)/2</f>
        <v>14600.8224166667</v>
      </c>
      <c r="L399" s="36" t="n">
        <f aca="false">(Sens!$K$393+Sens!$L$393)/2</f>
        <v>16725.3896666667</v>
      </c>
      <c r="M399" s="36" t="n">
        <f aca="false">(Sens!$L$393+Sens!$M$393)/2</f>
        <v>17740.40175</v>
      </c>
    </row>
    <row r="400" customFormat="false" ht="17.15" hidden="false" customHeight="false" outlineLevel="0" collapsed="false">
      <c r="A400" s="1" t="s">
        <v>666</v>
      </c>
    </row>
    <row r="401" customFormat="false" ht="17.15" hidden="false" customHeight="false" outlineLevel="0" collapsed="false">
      <c r="A401" s="1" t="s">
        <v>667</v>
      </c>
      <c r="B401" s="8" t="s">
        <v>91</v>
      </c>
      <c r="C401" s="40" t="n">
        <f aca="false">Sens!$C$384*rpm_open*Sens!$C$385/1000</f>
        <v>2.32100535697364</v>
      </c>
      <c r="D401" s="40" t="n">
        <f aca="false">Sens!$D$384*rpm_open*Sens!$D$385/1000</f>
        <v>8.70377008865116</v>
      </c>
      <c r="E401" s="40" t="n">
        <f aca="false">Sens!$E$384*rpm_open*Sens!$E$385/1000</f>
        <v>16.2007080559478</v>
      </c>
      <c r="F401" s="40" t="n">
        <f aca="false">(mw_open*rpm_open+Sens!$F$399*Sens!$F$398)*Sens!$F$385/1000</f>
        <v>8.11668198621236</v>
      </c>
      <c r="G401" s="40" t="n">
        <f aca="false">Sens!$E$401+Sens!$F$401</f>
        <v>24.3173900421601</v>
      </c>
      <c r="H401" s="40" t="n">
        <f aca="false">(mw_open*rpm_open+Sens!$H$399*Sens!$H$398)/1000</f>
        <v>53.8910944539304</v>
      </c>
      <c r="I401" s="40" t="n">
        <f aca="false">(mw_open*rpm_open+Sens!$I$399*Sens!$I$398)/1000</f>
        <v>89.008867070189</v>
      </c>
      <c r="J401" s="40" t="n">
        <f aca="false">(mw_open*rpm_open+Sens!$J$399*Sens!$J$398)/1000</f>
        <v>124.318362246843</v>
      </c>
      <c r="K401" s="40" t="n">
        <f aca="false">(mw_open*rpm_open+Sens!$K$399*Sens!$K$398)/1000</f>
        <v>154.432515216528</v>
      </c>
      <c r="L401" s="40" t="n">
        <f aca="false">(mw_open*rpm_open+Sens!$L$399*Sens!$L$398)/1000</f>
        <v>174.213714489111</v>
      </c>
      <c r="M401" s="40" t="n">
        <f aca="false">(mw_open*rpm_open+Sens!$M$399*Sens!$M$398)/1000</f>
        <v>183.630757228994</v>
      </c>
      <c r="N401" s="40" t="n">
        <f aca="false">Sens!$N$384*rpm_open*Sens!$N$385/1000</f>
        <v>5.54865343151512</v>
      </c>
      <c r="O401" s="40" t="n">
        <f aca="false">Sens!$O$384*rpm_open*Sens!$O$385/1000</f>
        <v>3.15511665713605</v>
      </c>
      <c r="P401" s="5" t="s">
        <v>668</v>
      </c>
    </row>
    <row r="402" customFormat="false" ht="17.15" hidden="false" customHeight="false" outlineLevel="0" collapsed="false">
      <c r="A402" s="5" t="s">
        <v>669</v>
      </c>
      <c r="B402" s="0" t="s">
        <v>187</v>
      </c>
      <c r="C402" s="21" t="n">
        <f aca="false">Sens!$C$401*1000/(Sens!$C$384*Sens!$C$385)</f>
        <v>9.67085565405685</v>
      </c>
      <c r="D402" s="21" t="n">
        <f aca="false">Sens!$D$401*1000/(Sens!$D$384*Sens!$D$385)</f>
        <v>9.67085565405685</v>
      </c>
      <c r="E402" s="21" t="n">
        <f aca="false">Sens!$E$401*1000/(Sens!$E$384*Sens!$E$385)</f>
        <v>9.67085565405684</v>
      </c>
      <c r="F402" s="21" t="n">
        <f aca="false">Sens!$F$401*1000/(Sens!$F$384*Sens!$F$385)</f>
        <v>9.27398885119616</v>
      </c>
      <c r="G402" s="21" t="n">
        <f aca="false">Sens!$G$401*1000/(Sens!$G$384*Sens!$G$385)</f>
        <v>9.53466564741972</v>
      </c>
      <c r="H402" s="21" t="n">
        <f aca="false">Sens!$H$401*1000/(Sens!$H$384*Sens!$H$385)</f>
        <v>9.18248640357315</v>
      </c>
      <c r="I402" s="21" t="n">
        <f aca="false">Sens!$I$401*1000/(Sens!$I$384*Sens!$I$385)</f>
        <v>9.21626737664779</v>
      </c>
      <c r="J402" s="21" t="n">
        <f aca="false">Sens!$J$401*1000/(Sens!$J$384*Sens!$J$385)</f>
        <v>9.24526926657416</v>
      </c>
      <c r="K402" s="21" t="n">
        <f aca="false">Sens!$K$401*1000/(Sens!$K$384*Sens!$K$385)</f>
        <v>9.25808760257689</v>
      </c>
      <c r="L402" s="21" t="n">
        <f aca="false">Sens!$L$401*1000/(Sens!$L$384*Sens!$L$385)</f>
        <v>9.26403108774249</v>
      </c>
      <c r="M402" s="21" t="n">
        <f aca="false">Sens!$M$401*1000/(Sens!$M$384*Sens!$M$385)</f>
        <v>9.26473436538662</v>
      </c>
      <c r="N402" s="21" t="n">
        <f aca="false">Sens!$N$401*1000/(Sens!$N$384*Sens!$N$385)</f>
        <v>9.67085565405685</v>
      </c>
      <c r="O402" s="21" t="n">
        <f aca="false">Sens!$O$401*1000/(Sens!$O$384*Sens!$O$385)</f>
        <v>9.67085565405685</v>
      </c>
    </row>
    <row r="403" customFormat="false" ht="17.15" hidden="false" customHeight="false" outlineLevel="0" collapsed="false">
      <c r="A403" s="0" t="s">
        <v>670</v>
      </c>
      <c r="B403" s="0" t="s">
        <v>91</v>
      </c>
      <c r="C403" s="40" t="n">
        <f aca="false">Sens!$C$384/ext_sh*(ox_open+rent_mw)*Sens!$C$385/1000</f>
        <v>0.642569210675032</v>
      </c>
      <c r="D403" s="40" t="n">
        <f aca="false">Sens!$D$384/ext_sh*(ox_open+rent_mw)*Sens!$D$385/1000</f>
        <v>2.40963454003137</v>
      </c>
      <c r="E403" s="40" t="n">
        <f aca="false">Sens!$E$384/ext_sh*(ox_open+rent_mw)*Sens!$E$385/1000</f>
        <v>4.48515819087152</v>
      </c>
      <c r="F403" s="40" t="n">
        <f aca="false">((mw_open*ox_open+Sens!$F$399*Sens!$F$397)/ext_sh+Sens!$F$384/ext_sh*rent_mw)*Sens!$F$385/1000</f>
        <v>2.38505895036506</v>
      </c>
      <c r="G403" s="40" t="n">
        <f aca="false">Sens!$E$403+Sens!$F$403</f>
        <v>6.87021714123658</v>
      </c>
      <c r="H403" s="40" t="n">
        <f aca="false">((mw_open*ox_open+Sens!$H$399*Sens!$H$397)/ext_sh+Sens!$H$384/ext_sh*rent_mw)*Sens!$H$385/1000</f>
        <v>16.2465819218137</v>
      </c>
      <c r="I403" s="40" t="n">
        <f aca="false">((mw_open*ox_open+Sens!$I$399*Sens!$I$397)/ext_sh+Sens!$I$384/ext_sh*rent_mw)*Sens!$I$385/1000</f>
        <v>27.0642440976049</v>
      </c>
      <c r="J403" s="40" t="n">
        <f aca="false">((mw_open*ox_open+Sens!$J$399*Sens!$J$397)/ext_sh+Sens!$J$384/ext_sh*rent_mw)*Sens!$J$385/1000</f>
        <v>37.9019081895621</v>
      </c>
      <c r="K403" s="40" t="n">
        <f aca="false">((mw_open*ox_open+Sens!$K$399*Sens!$K$397)/ext_sh+Sens!$K$384/ext_sh*rent_mw)*Sens!$K$385/1000</f>
        <v>47.1500663926213</v>
      </c>
      <c r="L403" s="40" t="n">
        <f aca="false">((mw_open*ox_open+Sens!$L$399*Sens!$L$397)/ext_sh+Sens!$L$384/ext_sh*rent_mw)*Sens!$L$385/1000</f>
        <v>53.2252357134474</v>
      </c>
      <c r="M403" s="40" t="n">
        <f aca="false">((mw_open*ox_open+Sens!$M$399*Sens!$M$397)/ext_sh+Sens!$M$384/ext_sh*rent_mw)*Sens!$M$385/1000</f>
        <v>56.1241608413432</v>
      </c>
      <c r="N403" s="40" t="n">
        <f aca="false">Sens!$N$384/ext_sh*(ox_open+rent_mw)*Sens!$N$385/1000</f>
        <v>1.53614201927</v>
      </c>
      <c r="O403" s="40" t="n">
        <f aca="false">Sens!$O$384/ext_sh*(ox_open+rent_mw)*Sens!$O$385/1000</f>
        <v>0.873492520761372</v>
      </c>
    </row>
    <row r="404" customFormat="false" ht="17.15" hidden="false" customHeight="false" outlineLevel="0" collapsed="false">
      <c r="A404" s="0" t="s">
        <v>671</v>
      </c>
      <c r="B404" s="0" t="s">
        <v>91</v>
      </c>
      <c r="C404" s="40" t="n">
        <f aca="false">Q!$D$7</f>
        <v>107.556</v>
      </c>
      <c r="D404" s="40" t="n">
        <f aca="false">Q!$E$7</f>
        <v>128.725</v>
      </c>
      <c r="E404" s="40" t="n">
        <f aca="false">Q!$O$7</f>
        <v>125.803</v>
      </c>
      <c r="N404" s="40" t="n">
        <f aca="false">Q!$N$7</f>
        <v>93.146</v>
      </c>
      <c r="O404" s="40" t="n">
        <f aca="false">Q!$J$7</f>
        <v>35.579</v>
      </c>
    </row>
    <row r="405" customFormat="false" ht="17.15" hidden="false" customHeight="false" outlineLevel="0" collapsed="false">
      <c r="A405" s="1" t="s">
        <v>672</v>
      </c>
      <c r="B405" s="8" t="s">
        <v>91</v>
      </c>
      <c r="C405" s="40" t="n">
        <f aca="false">Sens!$C$404-Sens!$C$401</f>
        <v>105.234994643026</v>
      </c>
      <c r="D405" s="40" t="n">
        <f aca="false">Sens!$D$404-Sens!$D$401</f>
        <v>120.021229911349</v>
      </c>
      <c r="E405" s="40" t="n">
        <f aca="false">Sens!$E$404-Sens!$E$401</f>
        <v>109.602291944052</v>
      </c>
      <c r="F405" s="40" t="n">
        <f aca="false">Sens!$O$405*(1+Sens!$F$406)</f>
        <v>36.9796603355509</v>
      </c>
      <c r="G405" s="40" t="n">
        <f aca="false">Sens!$E$405+Sens!$F$405</f>
        <v>146.581952279603</v>
      </c>
      <c r="H405" s="40" t="n">
        <f aca="false">Sens!$G$405*(1+Sens!$H$406)</f>
        <v>164.960415168217</v>
      </c>
      <c r="I405" s="40" t="n">
        <f aca="false">Sens!$H$405*(1+Sens!$I$406)</f>
        <v>183.1478640969</v>
      </c>
      <c r="J405" s="40" t="n">
        <f aca="false">Sens!$I$405*(1+Sens!$J$406)</f>
        <v>200.570117292268</v>
      </c>
      <c r="K405" s="40" t="n">
        <f aca="false">Sens!$J$405*(1+Sens!$K$406)</f>
        <v>216.615726675649</v>
      </c>
      <c r="L405" s="40" t="n">
        <f aca="false">Sens!$K$405*(1+Sens!$L$406)</f>
        <v>233.944984809701</v>
      </c>
      <c r="M405" s="40" t="n">
        <f aca="false">Sens!$L$405*(1+Sens!$M$406)</f>
        <v>252.660583594477</v>
      </c>
      <c r="N405" s="40" t="n">
        <f aca="false">Sens!$N$404-Sens!$N$401</f>
        <v>87.5973465684849</v>
      </c>
      <c r="O405" s="40" t="n">
        <f aca="false">Sens!$O$404-Sens!$O$401</f>
        <v>32.423883342864</v>
      </c>
      <c r="P405" s="5" t="s">
        <v>673</v>
      </c>
    </row>
    <row r="406" customFormat="false" ht="17.15" hidden="false" customHeight="false" outlineLevel="0" collapsed="false">
      <c r="A406" s="0" t="s">
        <v>674</v>
      </c>
      <c r="B406" s="0" t="s">
        <v>56</v>
      </c>
      <c r="D406" s="13" t="n">
        <f aca="false">Sens!$D$405/Sens!$C$405-1</f>
        <v>0.140506827776062</v>
      </c>
      <c r="E406" s="13" t="n">
        <f aca="false">Sens!$E$405/Sens!$N$405-1</f>
        <v>0.251205615667405</v>
      </c>
      <c r="F406" s="13" t="n">
        <f aca="false">IF(awso_g0=1,Sens!$E$406,Sens!$D$406)</f>
        <v>0.140506827776062</v>
      </c>
      <c r="G406" s="13" t="n">
        <f aca="false">Sens!$G$405/Sens!$D$405-1</f>
        <v>0.221300201538284</v>
      </c>
      <c r="H406" s="13" t="n">
        <f aca="false">Sens!$F$406+(g_awso_lt-Sens!$F$406)*1/4</f>
        <v>0.125380120832046</v>
      </c>
      <c r="I406" s="13" t="n">
        <f aca="false">Sens!$F$406+(g_awso_lt-Sens!$F$406)*2/4</f>
        <v>0.110253413888031</v>
      </c>
      <c r="J406" s="13" t="n">
        <f aca="false">Sens!$F$406+(g_awso_lt-Sens!$F$406)*3/4</f>
        <v>0.0951267069440154</v>
      </c>
      <c r="K406" s="13" t="n">
        <f aca="false">Sens!$F$406+(g_awso_lt-Sens!$F$406)*4/4</f>
        <v>0.08</v>
      </c>
      <c r="L406" s="13" t="n">
        <f aca="false">g_awso_lt</f>
        <v>0.08</v>
      </c>
      <c r="M406" s="13" t="n">
        <f aca="false">g_awso_lt</f>
        <v>0.08</v>
      </c>
      <c r="P406" s="5" t="s">
        <v>675</v>
      </c>
    </row>
    <row r="407" customFormat="false" ht="17.15" hidden="false" customHeight="false" outlineLevel="0" collapsed="false">
      <c r="A407" s="1" t="s">
        <v>676</v>
      </c>
    </row>
    <row r="408" customFormat="false" ht="17.15" hidden="false" customHeight="false" outlineLevel="0" collapsed="false">
      <c r="A408" s="0" t="s">
        <v>677</v>
      </c>
      <c r="B408" s="0" t="s">
        <v>91</v>
      </c>
      <c r="F408" s="40" t="n">
        <f aca="false">cx_rt*Sens!$F$373+cx_awso*Sens!$F$405</f>
        <v>19.116380716836</v>
      </c>
    </row>
    <row r="409" customFormat="false" ht="17.15" hidden="false" customHeight="false" outlineLevel="0" collapsed="false">
      <c r="A409" s="0" t="s">
        <v>678</v>
      </c>
      <c r="B409" s="0" t="s">
        <v>56</v>
      </c>
      <c r="C409" s="13" t="n">
        <f aca="false">tk_cx_h100/(tk_cx_h100+tk_fac*(1-colo_sh))</f>
        <v>0.730756458006641</v>
      </c>
      <c r="D409" s="13" t="n">
        <f aca="false">tk_cx_h100/(tk_cx_h100+tk_fac*(1-colo_sh))</f>
        <v>0.730756458006641</v>
      </c>
      <c r="E409" s="13" t="n">
        <f aca="false">Sens!$F$409</f>
        <v>0.719122960046118</v>
      </c>
      <c r="F409" s="13" t="n">
        <f aca="false">Sens!$F$392/(Sens!$F$392+tk_fac*(1-colo_sh))</f>
        <v>0.719122960046118</v>
      </c>
      <c r="G409" s="13" t="n">
        <f aca="false">Sens!$G$392/(Sens!$G$392+tk_fac*(1-colo_sh))</f>
        <v>0.719122960046118</v>
      </c>
      <c r="H409" s="13" t="n">
        <f aca="false">Sens!$H$392/(Sens!$H$392+tk_fac*(1-colo_sh))</f>
        <v>0.729159549600796</v>
      </c>
      <c r="I409" s="13" t="n">
        <f aca="false">Sens!$I$392/(Sens!$I$392+tk_fac*(1-colo_sh))</f>
        <v>0.738503609691941</v>
      </c>
      <c r="J409" s="13" t="n">
        <f aca="false">Sens!$J$392/(Sens!$J$392+tk_fac*(1-colo_sh))</f>
        <v>0.738503609691941</v>
      </c>
      <c r="K409" s="13" t="n">
        <f aca="false">Sens!$K$392/(Sens!$K$392+tk_fac*(1-colo_sh))</f>
        <v>0.738503609691941</v>
      </c>
      <c r="L409" s="13" t="n">
        <f aca="false">Sens!$L$392/(Sens!$L$392+tk_fac*(1-colo_sh))</f>
        <v>0.738503609691941</v>
      </c>
      <c r="M409" s="13" t="n">
        <f aca="false">Sens!$M$392/(Sens!$M$392+tk_fac*(1-colo_sh))</f>
        <v>0.738503609691941</v>
      </c>
    </row>
    <row r="410" customFormat="false" ht="17.15" hidden="false" customHeight="false" outlineLevel="0" collapsed="false">
      <c r="A410" s="1" t="s">
        <v>679</v>
      </c>
      <c r="B410" s="8" t="s">
        <v>91</v>
      </c>
      <c r="C410" s="40" t="n">
        <f aca="false">Q!$D$48-cx_rt*Q!$D$16-cx_awso*Sens!$C$405</f>
        <v>25.2781053077374</v>
      </c>
      <c r="D410" s="40" t="n">
        <f aca="false">Q!$E$48-cx_rt*Q!$E$16-cx_awso*Sens!$D$405</f>
        <v>69.5686316310026</v>
      </c>
      <c r="E410" s="40" t="n">
        <f aca="false">Q!$O$48-cx_rt*Q!$O$16-cx_awso*Sens!$E$405</f>
        <v>123.196049161056</v>
      </c>
      <c r="F410" s="40" t="n">
        <f aca="false">capex_g26-Q!$O$48-Sens!$F$408</f>
        <v>28.695619283164</v>
      </c>
      <c r="G410" s="40" t="n">
        <f aca="false">Sens!$E$410+Sens!$F$410</f>
        <v>151.89166844422</v>
      </c>
      <c r="H410" s="40" t="n">
        <f aca="false">Sens!$H$387*(Sens!$H$392+tk_fac*(1-colo_sh))/1000+Sens!$H$414</f>
        <v>177.245913338435</v>
      </c>
      <c r="I410" s="40" t="n">
        <f aca="false">Sens!$I$387*(Sens!$I$392+tk_fac*(1-colo_sh))/1000+Sens!$I$414</f>
        <v>183.579448050685</v>
      </c>
      <c r="J410" s="40" t="n">
        <f aca="false">Sens!$J$387*(Sens!$J$392+tk_fac*(1-colo_sh))/1000+Sens!$J$414</f>
        <v>187.873277448685</v>
      </c>
      <c r="K410" s="40" t="n">
        <f aca="false">Sens!$K$387*(Sens!$K$392+tk_fac*(1-colo_sh))/1000+Sens!$K$414</f>
        <v>138.407037940551</v>
      </c>
      <c r="L410" s="40" t="n">
        <f aca="false">Sens!$L$387*(Sens!$L$392+tk_fac*(1-colo_sh))/1000+Sens!$L$414</f>
        <v>114.703774820416</v>
      </c>
      <c r="M410" s="40" t="n">
        <f aca="false">Sens!$M$387*(Sens!$M$392+tk_fac*(1-colo_sh))/1000+Sens!$M$414</f>
        <v>112.986707313624</v>
      </c>
      <c r="P410" s="5" t="s">
        <v>680</v>
      </c>
      <c r="R410" s="40" t="n">
        <f aca="false">Q!$C$48-cx_rt*Q!$C$16-cx_awso*(Q!$C$7-mw_ye23/2*rpm_open/1000)</f>
        <v>1.50429979529945</v>
      </c>
      <c r="S410" s="40" t="n">
        <f aca="false">Sens!$C$410</f>
        <v>25.2781053077374</v>
      </c>
      <c r="T410" s="40" t="n">
        <f aca="false">Sens!$D$410</f>
        <v>69.5686316310026</v>
      </c>
      <c r="U410" s="40" t="n">
        <f aca="false">Sens!$G$410</f>
        <v>151.89166844422</v>
      </c>
      <c r="V410" s="40" t="n">
        <f aca="false">Sens!$H$410</f>
        <v>177.245913338435</v>
      </c>
      <c r="W410" s="40" t="n">
        <f aca="false">Sens!$I$410</f>
        <v>183.579448050685</v>
      </c>
      <c r="X410" s="40" t="n">
        <f aca="false">Sens!$J$410</f>
        <v>187.873277448685</v>
      </c>
      <c r="Y410" s="40" t="n">
        <f aca="false">Sens!$K$410</f>
        <v>138.407037940551</v>
      </c>
      <c r="Z410" s="40" t="n">
        <f aca="false">Sens!$L$410</f>
        <v>114.703774820416</v>
      </c>
      <c r="AA410" s="40" t="n">
        <f aca="false">Sens!$M$410</f>
        <v>112.986707313624</v>
      </c>
    </row>
    <row r="411" customFormat="false" ht="17.15" hidden="false" customHeight="false" outlineLevel="0" collapsed="false">
      <c r="A411" s="0" t="s">
        <v>681</v>
      </c>
      <c r="B411" s="0" t="s">
        <v>91</v>
      </c>
      <c r="F411" s="40" t="n">
        <f aca="false">Sens!$F$387*(Sens!$F$392+tk_fac*(1-colo_sh))/1000</f>
        <v>42.7280946565462</v>
      </c>
    </row>
    <row r="412" customFormat="false" ht="17.15" hidden="false" customHeight="false" outlineLevel="0" collapsed="false">
      <c r="A412" s="0" t="s">
        <v>682</v>
      </c>
      <c r="B412" s="0" t="s">
        <v>91</v>
      </c>
      <c r="F412" s="40" t="n">
        <f aca="false">(capex_g26-Q!$P$48)/2-(Sens!$F$411+Sens!$F$408)</f>
        <v>0.000524626617739443</v>
      </c>
      <c r="P412" s="5" t="s">
        <v>683</v>
      </c>
    </row>
    <row r="413" customFormat="false" ht="17.15" hidden="false" customHeight="false" outlineLevel="0" collapsed="false">
      <c r="A413" s="5" t="s">
        <v>684</v>
      </c>
      <c r="B413" s="0" t="s">
        <v>91</v>
      </c>
      <c r="F413" s="40" t="n">
        <f aca="false">Sens!$F$410-Sens!$F$411</f>
        <v>-14.0324753733822</v>
      </c>
    </row>
    <row r="414" customFormat="false" ht="17.15" hidden="false" customHeight="false" outlineLevel="0" collapsed="false">
      <c r="A414" s="0" t="s">
        <v>685</v>
      </c>
      <c r="B414" s="0" t="s">
        <v>91</v>
      </c>
      <c r="H414" s="40" t="n">
        <f aca="false">SUMPRODUCT(--(Sens!$R$380:$AA$380=2027-tk_life),Sens!$R$387:$AA$387)*Sens!$H$392/1000</f>
        <v>0</v>
      </c>
      <c r="I414" s="40" t="n">
        <f aca="false">SUMPRODUCT(--(Sens!$R$380:$AA$380=2028-tk_life),Sens!$R$387:$AA$387)*Sens!$I$392/1000</f>
        <v>0</v>
      </c>
      <c r="J414" s="40" t="n">
        <f aca="false">SUMPRODUCT(--(Sens!$R$380:$AA$380=2029-tk_life),Sens!$R$387:$AA$387)*Sens!$J$392/1000</f>
        <v>4.293829398</v>
      </c>
      <c r="K414" s="40" t="n">
        <f aca="false">SUMPRODUCT(--(Sens!$R$380:$AA$380=2030-tk_life),Sens!$R$387:$AA$387)*Sens!$K$392/1000</f>
        <v>8.587658796</v>
      </c>
      <c r="L414" s="40" t="n">
        <f aca="false">SUMPRODUCT(--(Sens!$R$380:$AA$380=2031-tk_life),Sens!$R$387:$AA$387)*Sens!$L$392/1000</f>
        <v>38.644464582</v>
      </c>
      <c r="M414" s="40" t="n">
        <f aca="false">SUMPRODUCT(--(Sens!$R$380:$AA$380=2032-tk_life),Sens!$R$387:$AA$387)*Sens!$M$392/1000</f>
        <v>90.6874659813425</v>
      </c>
    </row>
    <row r="415" customFormat="false" ht="17.15" hidden="false" customHeight="false" outlineLevel="0" collapsed="false">
      <c r="A415" s="0" t="s">
        <v>686</v>
      </c>
      <c r="B415" s="0" t="s">
        <v>91</v>
      </c>
      <c r="C415" s="40" t="n">
        <f aca="false">MIN(Sens!$C$410,Sens!$C$387*(tk_cx_h100+tk_fac*(1-colo_sh))/1000)</f>
        <v>11.2938642</v>
      </c>
      <c r="D415" s="40" t="n">
        <f aca="false">MIN(Sens!$D$410,Sens!$D$387*(tk_cx_h100+tk_fac*(1-colo_sh))/1000)</f>
        <v>50.8223889</v>
      </c>
      <c r="E415" s="40" t="n">
        <f aca="false">MIN(Sens!$E$410,Sens!$E$387*(Sens!$F$392+tk_fac*(1-colo_sh))/1000)</f>
        <v>71.5976669125462</v>
      </c>
      <c r="F415" s="40" t="n">
        <f aca="false">Sens!$F$410</f>
        <v>28.695619283164</v>
      </c>
      <c r="G415" s="40" t="n">
        <f aca="false">Sens!$E$415+Sens!$F$415</f>
        <v>100.29328619571</v>
      </c>
      <c r="H415" s="40" t="n">
        <f aca="false">Sens!$H$410</f>
        <v>177.245913338435</v>
      </c>
      <c r="I415" s="40" t="n">
        <f aca="false">Sens!$I$410</f>
        <v>183.579448050685</v>
      </c>
      <c r="J415" s="40" t="n">
        <f aca="false">Sens!$J$410</f>
        <v>187.873277448685</v>
      </c>
      <c r="K415" s="40" t="n">
        <f aca="false">Sens!$K$410</f>
        <v>138.407037940551</v>
      </c>
      <c r="L415" s="40" t="n">
        <f aca="false">Sens!$L$410</f>
        <v>114.703774820416</v>
      </c>
      <c r="M415" s="40" t="n">
        <f aca="false">Sens!$M$410</f>
        <v>112.986707313624</v>
      </c>
      <c r="P415" s="5" t="s">
        <v>687</v>
      </c>
      <c r="R415" s="40" t="n">
        <f aca="false">MIN(Sens!$R$410,Sens!$R$387*(tk_cx_h100+tk_fac*(1-colo_sh))/1000)</f>
        <v>1.50429979529945</v>
      </c>
      <c r="S415" s="40" t="n">
        <f aca="false">Sens!$C$415</f>
        <v>11.2938642</v>
      </c>
      <c r="T415" s="40" t="n">
        <f aca="false">Sens!$D$415</f>
        <v>50.8223889</v>
      </c>
      <c r="U415" s="40" t="n">
        <f aca="false">Sens!$G$415</f>
        <v>100.29328619571</v>
      </c>
      <c r="V415" s="40" t="n">
        <f aca="false">Sens!$H$415</f>
        <v>177.245913338435</v>
      </c>
      <c r="W415" s="40" t="n">
        <f aca="false">Sens!$I$415</f>
        <v>183.579448050685</v>
      </c>
      <c r="X415" s="40" t="n">
        <f aca="false">Sens!$J$415</f>
        <v>187.873277448685</v>
      </c>
      <c r="Y415" s="40" t="n">
        <f aca="false">Sens!$K$415</f>
        <v>138.407037940551</v>
      </c>
      <c r="Z415" s="40" t="n">
        <f aca="false">Sens!$L$415</f>
        <v>114.703774820416</v>
      </c>
      <c r="AA415" s="40" t="n">
        <f aca="false">Sens!$M$415</f>
        <v>112.986707313624</v>
      </c>
    </row>
    <row r="416" customFormat="false" ht="17.15" hidden="false" customHeight="false" outlineLevel="0" collapsed="false">
      <c r="A416" s="5" t="s">
        <v>688</v>
      </c>
      <c r="B416" s="0" t="s">
        <v>91</v>
      </c>
      <c r="C416" s="40" t="n">
        <f aca="false">Sens!$C$410-Sens!$C$415</f>
        <v>13.9842411077374</v>
      </c>
      <c r="D416" s="40" t="n">
        <f aca="false">Sens!$D$410-Sens!$D$415</f>
        <v>18.7462427310026</v>
      </c>
      <c r="E416" s="40" t="n">
        <f aca="false">Sens!$E$410-Sens!$E$415</f>
        <v>51.5983822485098</v>
      </c>
      <c r="F416" s="40" t="n">
        <f aca="false">Sens!$F$410-Sens!$F$415</f>
        <v>0</v>
      </c>
      <c r="G416" s="40" t="n">
        <f aca="false">Sens!$G$410-Sens!$G$415</f>
        <v>51.5983822485098</v>
      </c>
      <c r="H416" s="40" t="n">
        <f aca="false">Sens!$H$410-Sens!$H$415</f>
        <v>0</v>
      </c>
      <c r="I416" s="40" t="n">
        <f aca="false">Sens!$I$410-Sens!$I$415</f>
        <v>0</v>
      </c>
      <c r="J416" s="40" t="n">
        <f aca="false">Sens!$J$410-Sens!$J$415</f>
        <v>0</v>
      </c>
      <c r="K416" s="40" t="n">
        <f aca="false">Sens!$K$410-Sens!$K$415</f>
        <v>0</v>
      </c>
      <c r="L416" s="40" t="n">
        <f aca="false">Sens!$L$410-Sens!$L$415</f>
        <v>0</v>
      </c>
      <c r="M416" s="40" t="n">
        <f aca="false">Sens!$M$410-Sens!$M$415</f>
        <v>0</v>
      </c>
      <c r="P416" s="5" t="s">
        <v>689</v>
      </c>
      <c r="R416" s="40" t="n">
        <f aca="false">Sens!$R$410-Sens!$R$415</f>
        <v>0</v>
      </c>
      <c r="S416" s="40" t="n">
        <f aca="false">Sens!$S$410-Sens!$S$415</f>
        <v>13.9842411077374</v>
      </c>
      <c r="T416" s="40" t="n">
        <f aca="false">Sens!$T$410-Sens!$T$415</f>
        <v>18.7462427310026</v>
      </c>
      <c r="U416" s="40" t="n">
        <f aca="false">Sens!$U$410-Sens!$U$415</f>
        <v>51.5983822485098</v>
      </c>
      <c r="V416" s="40" t="n">
        <f aca="false">Sens!$V$410-Sens!$V$415</f>
        <v>0</v>
      </c>
      <c r="W416" s="40" t="n">
        <f aca="false">Sens!$W$410-Sens!$W$415</f>
        <v>0</v>
      </c>
      <c r="X416" s="40" t="n">
        <f aca="false">Sens!$X$410-Sens!$X$415</f>
        <v>0</v>
      </c>
      <c r="Y416" s="40" t="n">
        <f aca="false">Sens!$Y$410-Sens!$Y$415</f>
        <v>0</v>
      </c>
      <c r="Z416" s="40" t="n">
        <f aca="false">Sens!$Z$410-Sens!$Z$415</f>
        <v>0</v>
      </c>
      <c r="AA416" s="40" t="n">
        <f aca="false">Sens!$AA$410-Sens!$AA$415</f>
        <v>0</v>
      </c>
    </row>
    <row r="417" customFormat="false" ht="17.15" hidden="false" customHeight="false" outlineLevel="0" collapsed="false">
      <c r="A417" s="5" t="s">
        <v>690</v>
      </c>
      <c r="B417" s="0" t="s">
        <v>91</v>
      </c>
      <c r="R417" s="40" t="n">
        <f aca="false">Sens!$R$416*Sens!$C$409</f>
        <v>0</v>
      </c>
      <c r="S417" s="40" t="n">
        <f aca="false">Sens!$S$416*Sens!$C$409</f>
        <v>10.219074499801</v>
      </c>
      <c r="T417" s="40" t="n">
        <f aca="false">Sens!$T$416*Sens!$C$409</f>
        <v>13.6989379390402</v>
      </c>
      <c r="U417" s="40" t="n">
        <f aca="false">Sens!$U$416*Sens!$E$409</f>
        <v>37.1055813761394</v>
      </c>
      <c r="V417" s="40" t="n">
        <f aca="false">Sens!$V$416*Sens!$E$409</f>
        <v>0</v>
      </c>
      <c r="W417" s="40" t="n">
        <f aca="false">Sens!$W$416*Sens!$E$409</f>
        <v>0</v>
      </c>
      <c r="X417" s="40" t="n">
        <f aca="false">Sens!$X$416*Sens!$E$409</f>
        <v>0</v>
      </c>
      <c r="Y417" s="40" t="n">
        <f aca="false">Sens!$Y$416*Sens!$E$409</f>
        <v>0</v>
      </c>
      <c r="Z417" s="40" t="n">
        <f aca="false">Sens!$Z$416*Sens!$E$409</f>
        <v>0</v>
      </c>
      <c r="AA417" s="40" t="n">
        <f aca="false">Sens!$AA$416*Sens!$E$409</f>
        <v>0</v>
      </c>
    </row>
    <row r="418" customFormat="false" ht="17.15" hidden="false" customHeight="false" outlineLevel="0" collapsed="false">
      <c r="A418" s="5" t="s">
        <v>691</v>
      </c>
      <c r="B418" s="0" t="s">
        <v>91</v>
      </c>
      <c r="R418" s="40" t="n">
        <f aca="false">SUMPRODUCT(--(Sens!$R$380:$AA$380=2023-cip_lag),Sens!$R$417:$AA$417)</f>
        <v>0</v>
      </c>
      <c r="S418" s="40" t="n">
        <f aca="false">SUMPRODUCT(--(Sens!$R$380:$AA$380=2024-cip_lag),Sens!$R$417:$AA$417)</f>
        <v>0</v>
      </c>
      <c r="T418" s="40" t="n">
        <f aca="false">SUMPRODUCT(--(Sens!$R$380:$AA$380=2025-cip_lag),Sens!$R$417:$AA$417)</f>
        <v>10.219074499801</v>
      </c>
      <c r="U418" s="40" t="n">
        <f aca="false">SUMPRODUCT(--(Sens!$R$380:$AA$380=2026-cip_lag),Sens!$R$417:$AA$417)</f>
        <v>13.6989379390402</v>
      </c>
      <c r="V418" s="40" t="n">
        <f aca="false">SUMPRODUCT(--(Sens!$R$380:$AA$380=2027-cip_lag),Sens!$R$417:$AA$417)</f>
        <v>37.1055813761394</v>
      </c>
      <c r="W418" s="40" t="n">
        <f aca="false">SUMPRODUCT(--(Sens!$R$380:$AA$380=2028-cip_lag),Sens!$R$417:$AA$417)</f>
        <v>0</v>
      </c>
      <c r="X418" s="40" t="n">
        <f aca="false">SUMPRODUCT(--(Sens!$R$380:$AA$380=2029-cip_lag),Sens!$R$417:$AA$417)</f>
        <v>0</v>
      </c>
      <c r="Y418" s="40" t="n">
        <f aca="false">SUMPRODUCT(--(Sens!$R$380:$AA$380=2030-cip_lag),Sens!$R$417:$AA$417)</f>
        <v>0</v>
      </c>
      <c r="Z418" s="40" t="n">
        <f aca="false">SUMPRODUCT(--(Sens!$R$380:$AA$380=2031-cip_lag),Sens!$R$417:$AA$417)</f>
        <v>0</v>
      </c>
      <c r="AA418" s="40" t="n">
        <f aca="false">SUMPRODUCT(--(Sens!$R$380:$AA$380=2032-cip_lag),Sens!$R$417:$AA$417)</f>
        <v>0</v>
      </c>
    </row>
    <row r="419" customFormat="false" ht="15" hidden="false" customHeight="false" outlineLevel="0" collapsed="false">
      <c r="A419" s="5" t="s">
        <v>692</v>
      </c>
      <c r="B419" s="0" t="s">
        <v>91</v>
      </c>
      <c r="R419" s="40" t="n">
        <f aca="false">SUMPRODUCT(--(Sens!$R$380:$AA$380=2023-cip_lag),Sens!$R$416:$AA$416)-Sens!$R$418</f>
        <v>0</v>
      </c>
      <c r="S419" s="40" t="n">
        <f aca="false">SUMPRODUCT(--(Sens!$R$380:$AA$380=2024-cip_lag),Sens!$R$416:$AA$416)-Sens!$S$418</f>
        <v>0</v>
      </c>
      <c r="T419" s="40" t="n">
        <f aca="false">SUMPRODUCT(--(Sens!$R$380:$AA$380=2025-cip_lag),Sens!$R$416:$AA$416)-Sens!$T$418</f>
        <v>3.76516660793636</v>
      </c>
      <c r="U419" s="40" t="n">
        <f aca="false">SUMPRODUCT(--(Sens!$R$380:$AA$380=2026-cip_lag),Sens!$R$416:$AA$416)-Sens!$U$418</f>
        <v>5.04730479196242</v>
      </c>
      <c r="V419" s="40" t="n">
        <f aca="false">SUMPRODUCT(--(Sens!$R$380:$AA$380=2027-cip_lag),Sens!$R$416:$AA$416)-Sens!$V$418</f>
        <v>14.4928008723704</v>
      </c>
      <c r="W419" s="40" t="n">
        <f aca="false">SUMPRODUCT(--(Sens!$R$380:$AA$380=2028-cip_lag),Sens!$R$416:$AA$416)-Sens!$W$418</f>
        <v>0</v>
      </c>
      <c r="X419" s="40" t="n">
        <f aca="false">SUMPRODUCT(--(Sens!$R$380:$AA$380=2029-cip_lag),Sens!$R$416:$AA$416)-Sens!$X$418</f>
        <v>0</v>
      </c>
      <c r="Y419" s="40" t="n">
        <f aca="false">SUMPRODUCT(--(Sens!$R$380:$AA$380=2030-cip_lag),Sens!$R$416:$AA$416)-Sens!$Y$418</f>
        <v>0</v>
      </c>
      <c r="Z419" s="40" t="n">
        <f aca="false">SUMPRODUCT(--(Sens!$R$380:$AA$380=2031-cip_lag),Sens!$R$416:$AA$416)-Sens!$Z$418</f>
        <v>0</v>
      </c>
      <c r="AA419" s="40" t="n">
        <f aca="false">SUMPRODUCT(--(Sens!$R$380:$AA$380=2032-cip_lag),Sens!$R$416:$AA$416)-Sens!$AA$418</f>
        <v>0</v>
      </c>
    </row>
    <row r="420" customFormat="false" ht="17.15" hidden="false" customHeight="false" outlineLevel="0" collapsed="false">
      <c r="A420" s="5" t="s">
        <v>693</v>
      </c>
      <c r="B420" s="0" t="s">
        <v>91</v>
      </c>
      <c r="C420" s="40" t="n">
        <f aca="false">Sens!$C$415*Sens!$C$409</f>
        <v>8.2530642</v>
      </c>
      <c r="D420" s="40" t="n">
        <f aca="false">Sens!$D$415*Sens!$D$409</f>
        <v>37.1387889</v>
      </c>
      <c r="E420" s="40" t="n">
        <f aca="false">Sens!$E$415*Sens!$E$409</f>
        <v>51.4875261625462</v>
      </c>
      <c r="F420" s="40" t="n">
        <f aca="false">Sens!$F$415*Sens!$F$409</f>
        <v>20.6356786792653</v>
      </c>
      <c r="G420" s="40" t="n">
        <f aca="false">Sens!$E$420+Sens!$F$420</f>
        <v>72.1232048418116</v>
      </c>
      <c r="H420" s="40" t="n">
        <f aca="false">(Sens!$H$415-Sens!$H$414)*Sens!$H$409+Sens!$H$414</f>
        <v>129.240550338435</v>
      </c>
      <c r="I420" s="40" t="n">
        <f aca="false">(Sens!$I$415-Sens!$I$414)*Sens!$I$409+Sens!$I$414</f>
        <v>135.574085050685</v>
      </c>
      <c r="J420" s="40" t="n">
        <f aca="false">(Sens!$J$415-Sens!$J$414)*Sens!$J$409+Sens!$J$414</f>
        <v>139.867914448685</v>
      </c>
      <c r="K420" s="40" t="n">
        <f aca="false">(Sens!$K$415-Sens!$K$414)*Sens!$K$409+Sens!$K$414</f>
        <v>104.459738902217</v>
      </c>
      <c r="L420" s="40" t="n">
        <f aca="false">(Sens!$L$415-Sens!$L$414)*Sens!$L$409+Sens!$L$414</f>
        <v>94.8145397437496</v>
      </c>
      <c r="M420" s="40" t="n">
        <f aca="false">(Sens!$M$415-Sens!$M$414)*Sens!$M$409+Sens!$M$414</f>
        <v>107.155536198624</v>
      </c>
      <c r="R420" s="40" t="n">
        <f aca="false">Sens!$R$415*Sens!$C$409</f>
        <v>1.09927679019314</v>
      </c>
      <c r="S420" s="40" t="n">
        <f aca="false">Sens!$C$420</f>
        <v>8.2530642</v>
      </c>
      <c r="T420" s="40" t="n">
        <f aca="false">Sens!$D$420</f>
        <v>37.1387889</v>
      </c>
      <c r="U420" s="40" t="n">
        <f aca="false">Sens!$G$420</f>
        <v>72.1232048418116</v>
      </c>
      <c r="V420" s="40" t="n">
        <f aca="false">Sens!$H$420</f>
        <v>129.240550338435</v>
      </c>
      <c r="W420" s="40" t="n">
        <f aca="false">Sens!$I$420</f>
        <v>135.574085050685</v>
      </c>
      <c r="X420" s="40" t="n">
        <f aca="false">Sens!$J$420</f>
        <v>139.867914448685</v>
      </c>
      <c r="Y420" s="40" t="n">
        <f aca="false">Sens!$K$420</f>
        <v>104.459738902217</v>
      </c>
      <c r="Z420" s="40" t="n">
        <f aca="false">Sens!$L$420</f>
        <v>94.8145397437496</v>
      </c>
      <c r="AA420" s="40" t="n">
        <f aca="false">Sens!$M$420</f>
        <v>107.155536198624</v>
      </c>
    </row>
    <row r="421" customFormat="false" ht="15" hidden="false" customHeight="false" outlineLevel="0" collapsed="false">
      <c r="A421" s="5" t="s">
        <v>694</v>
      </c>
      <c r="B421" s="0" t="s">
        <v>91</v>
      </c>
      <c r="C421" s="40" t="n">
        <f aca="false">Sens!$C$415-Sens!$C$420</f>
        <v>3.0408</v>
      </c>
      <c r="D421" s="40" t="n">
        <f aca="false">Sens!$D$415-Sens!$D$420</f>
        <v>13.6836</v>
      </c>
      <c r="E421" s="40" t="n">
        <f aca="false">Sens!$E$415-Sens!$E$420</f>
        <v>20.11014075</v>
      </c>
      <c r="F421" s="40" t="n">
        <f aca="false">Sens!$F$415-Sens!$F$420</f>
        <v>8.05994060389864</v>
      </c>
      <c r="G421" s="40" t="n">
        <f aca="false">Sens!$G$415-Sens!$G$420</f>
        <v>28.1700813538986</v>
      </c>
      <c r="H421" s="40" t="n">
        <f aca="false">Sens!$H$415-Sens!$H$420</f>
        <v>48.005363</v>
      </c>
      <c r="I421" s="40" t="n">
        <f aca="false">Sens!$I$415-Sens!$I$420</f>
        <v>48.005363</v>
      </c>
      <c r="J421" s="40" t="n">
        <f aca="false">Sens!$J$415-Sens!$J$420</f>
        <v>48.005363</v>
      </c>
      <c r="K421" s="40" t="n">
        <f aca="false">Sens!$K$415-Sens!$K$420</f>
        <v>33.9472990383334</v>
      </c>
      <c r="L421" s="40" t="n">
        <f aca="false">Sens!$L$415-Sens!$L$420</f>
        <v>19.8892350766667</v>
      </c>
      <c r="M421" s="40" t="n">
        <f aca="false">Sens!$M$415-Sens!$M$420</f>
        <v>5.83117111499999</v>
      </c>
      <c r="R421" s="40" t="n">
        <f aca="false">Sens!$R$415-Sens!$R$420</f>
        <v>0.405023005106309</v>
      </c>
      <c r="S421" s="40" t="n">
        <f aca="false">Sens!$S$415-Sens!$S$420</f>
        <v>3.0408</v>
      </c>
      <c r="T421" s="40" t="n">
        <f aca="false">Sens!$T$415-Sens!$T$420</f>
        <v>13.6836</v>
      </c>
      <c r="U421" s="40" t="n">
        <f aca="false">Sens!$U$415-Sens!$U$420</f>
        <v>28.1700813538986</v>
      </c>
      <c r="V421" s="40" t="n">
        <f aca="false">Sens!$V$415-Sens!$V$420</f>
        <v>48.005363</v>
      </c>
      <c r="W421" s="40" t="n">
        <f aca="false">Sens!$W$415-Sens!$W$420</f>
        <v>48.005363</v>
      </c>
      <c r="X421" s="40" t="n">
        <f aca="false">Sens!$X$415-Sens!$X$420</f>
        <v>48.005363</v>
      </c>
      <c r="Y421" s="40" t="n">
        <f aca="false">Sens!$Y$415-Sens!$Y$420</f>
        <v>33.9472990383334</v>
      </c>
      <c r="Z421" s="40" t="n">
        <f aca="false">Sens!$Z$415-Sens!$Z$420</f>
        <v>19.8892350766667</v>
      </c>
      <c r="AA421" s="40" t="n">
        <f aca="false">Sens!$AA$415-Sens!$AA$420</f>
        <v>5.83117111499999</v>
      </c>
    </row>
    <row r="422" customFormat="false" ht="17.15" hidden="false" customHeight="false" outlineLevel="0" collapsed="false">
      <c r="A422" s="0" t="s">
        <v>695</v>
      </c>
      <c r="B422" s="0" t="s">
        <v>56</v>
      </c>
      <c r="C422" s="13" t="n">
        <f aca="false">Sens!$C$410/Sens!$C$538</f>
        <v>0.325505489553393</v>
      </c>
      <c r="D422" s="13" t="n">
        <f aca="false">Sens!$D$410/Sens!$D$538</f>
        <v>0.54214956071542</v>
      </c>
      <c r="E422" s="13" t="n">
        <f aca="false">Sens!$E$410/Sens!$E$538</f>
        <v>0.715474069976166</v>
      </c>
      <c r="F422" s="13" t="n">
        <f aca="false">Sens!$F$410/Sens!$F$538</f>
        <v>0.600176091423994</v>
      </c>
      <c r="G422" s="13" t="n">
        <f aca="false">Sens!$G$410/Sens!$G$538</f>
        <v>0.690416674746455</v>
      </c>
      <c r="H422" s="13" t="n">
        <f aca="false">Sens!$H$410/Sens!$H$538</f>
        <v>0.700355037669622</v>
      </c>
      <c r="I422" s="13" t="n">
        <f aca="false">Sens!$I$410/Sens!$I$538</f>
        <v>0.687636699157358</v>
      </c>
      <c r="J422" s="13" t="n">
        <f aca="false">Sens!$J$410/Sens!$J$538</f>
        <v>0.674817899000374</v>
      </c>
      <c r="K422" s="13" t="n">
        <f aca="false">Sens!$K$410/Sens!$K$538</f>
        <v>0.587963117620941</v>
      </c>
      <c r="L422" s="13" t="n">
        <f aca="false">Sens!$L$410/Sens!$L$538</f>
        <v>0.524620008218786</v>
      </c>
      <c r="M422" s="13" t="n">
        <f aca="false">Sens!$M$410/Sens!$M$538</f>
        <v>0.50353101603759</v>
      </c>
    </row>
    <row r="423" customFormat="false" ht="17.15" hidden="false" customHeight="false" outlineLevel="0" collapsed="false">
      <c r="A423" s="0" t="s">
        <v>696</v>
      </c>
      <c r="B423" s="0" t="s">
        <v>91</v>
      </c>
      <c r="C423" s="40" t="n">
        <f aca="false">Sens!$S$423</f>
        <v>0.183212798365523</v>
      </c>
      <c r="D423" s="40" t="n">
        <f aca="false">Sens!$T$423</f>
        <v>1.55872349836552</v>
      </c>
      <c r="E423" s="40" t="n">
        <f aca="false">Sens!$G$423*0.75</f>
        <v>7.08877554874927</v>
      </c>
      <c r="F423" s="40" t="n">
        <f aca="false">Sens!$G$423*0.25</f>
        <v>2.36292518291642</v>
      </c>
      <c r="G423" s="40" t="n">
        <f aca="false">Sens!$U$423</f>
        <v>9.4517007316657</v>
      </c>
      <c r="H423" s="40" t="n">
        <f aca="false">Sens!$V$423</f>
        <v>23.755391195141</v>
      </c>
      <c r="I423" s="40" t="n">
        <f aca="false">Sens!$W$423</f>
        <v>51.4797464809034</v>
      </c>
      <c r="J423" s="40" t="n">
        <f aca="false">Sens!$X$423</f>
        <v>74.0754273226842</v>
      </c>
      <c r="K423" s="40" t="n">
        <f aca="false">Sens!$Y$423</f>
        <v>97.2035335990995</v>
      </c>
      <c r="L423" s="40" t="n">
        <f aca="false">Sens!$Z$423</f>
        <v>113.237979382802</v>
      </c>
      <c r="M423" s="40" t="n">
        <f aca="false">Sens!$AA$423</f>
        <v>121.147425440127</v>
      </c>
      <c r="N423" s="40" t="n">
        <f aca="false">Sens!$D$423*0.75</f>
        <v>1.16904262377414</v>
      </c>
      <c r="O423" s="40" t="n">
        <f aca="false">Sens!$D$423*0.25</f>
        <v>0.389680874591381</v>
      </c>
      <c r="R423" s="40" t="n">
        <f aca="false">(SUMPRODUCT(--(Sens!$R$380:$AA$380&lt;Sens!R$380),--(Sens!$R$380:$AA$380&gt;=Sens!R$380-tk_life),Sens!$R$420:$AA$420)+SUMPRODUCT(--(Sens!$R$380:$AA$380&lt;Sens!R$380),--(Sens!$R$380:$AA$380&gt;=Sens!R$380-tk_life),Sens!$R$418:$AA$418))/tk_life</f>
        <v>0</v>
      </c>
      <c r="S423" s="40" t="n">
        <f aca="false">(SUMPRODUCT(--(Sens!$R$380:$AA$380&lt;Sens!S$380),--(Sens!$R$380:$AA$380&gt;=Sens!S$380-tk_life),Sens!$R$420:$AA$420)+SUMPRODUCT(--(Sens!$R$380:$AA$380&lt;Sens!S$380),--(Sens!$R$380:$AA$380&gt;=Sens!S$380-tk_life),Sens!$R$418:$AA$418))/tk_life</f>
        <v>0.183212798365523</v>
      </c>
      <c r="T423" s="40" t="n">
        <f aca="false">(SUMPRODUCT(--(Sens!$R$380:$AA$380&lt;Sens!T$380),--(Sens!$R$380:$AA$380&gt;=Sens!T$380-tk_life),Sens!$R$420:$AA$420)+SUMPRODUCT(--(Sens!$R$380:$AA$380&lt;Sens!T$380),--(Sens!$R$380:$AA$380&gt;=Sens!T$380-tk_life),Sens!$R$418:$AA$418))/tk_life</f>
        <v>1.55872349836552</v>
      </c>
      <c r="U423" s="40" t="n">
        <f aca="false">(SUMPRODUCT(--(Sens!$R$380:$AA$380&lt;Sens!U$380),--(Sens!$R$380:$AA$380&gt;=Sens!U$380-tk_life),Sens!$R$420:$AA$420)+SUMPRODUCT(--(Sens!$R$380:$AA$380&lt;Sens!U$380),--(Sens!$R$380:$AA$380&gt;=Sens!U$380-tk_life),Sens!$R$418:$AA$418))/tk_life</f>
        <v>9.4517007316657</v>
      </c>
      <c r="V423" s="40" t="n">
        <f aca="false">(SUMPRODUCT(--(Sens!$R$380:$AA$380&lt;Sens!V$380),--(Sens!$R$380:$AA$380&gt;=Sens!V$380-tk_life),Sens!$R$420:$AA$420)+SUMPRODUCT(--(Sens!$R$380:$AA$380&lt;Sens!V$380),--(Sens!$R$380:$AA$380&gt;=Sens!V$380-tk_life),Sens!$R$418:$AA$418))/tk_life</f>
        <v>23.755391195141</v>
      </c>
      <c r="W423" s="40" t="n">
        <f aca="false">(SUMPRODUCT(--(Sens!$R$380:$AA$380&lt;Sens!W$380),--(Sens!$R$380:$AA$380&gt;=Sens!W$380-tk_life),Sens!$R$420:$AA$420)+SUMPRODUCT(--(Sens!$R$380:$AA$380&lt;Sens!W$380),--(Sens!$R$380:$AA$380&gt;=Sens!W$380-tk_life),Sens!$R$418:$AA$418))/tk_life</f>
        <v>51.4797464809034</v>
      </c>
      <c r="X423" s="40" t="n">
        <f aca="false">(SUMPRODUCT(--(Sens!$R$380:$AA$380&lt;Sens!X$380),--(Sens!$R$380:$AA$380&gt;=Sens!X$380-tk_life),Sens!$R$420:$AA$420)+SUMPRODUCT(--(Sens!$R$380:$AA$380&lt;Sens!X$380),--(Sens!$R$380:$AA$380&gt;=Sens!X$380-tk_life),Sens!$R$418:$AA$418))/tk_life</f>
        <v>74.0754273226842</v>
      </c>
      <c r="Y423" s="40" t="n">
        <f aca="false">(SUMPRODUCT(--(Sens!$R$380:$AA$380&lt;Sens!Y$380),--(Sens!$R$380:$AA$380&gt;=Sens!Y$380-tk_life),Sens!$R$420:$AA$420)+SUMPRODUCT(--(Sens!$R$380:$AA$380&lt;Sens!Y$380),--(Sens!$R$380:$AA$380&gt;=Sens!Y$380-tk_life),Sens!$R$418:$AA$418))/tk_life</f>
        <v>97.2035335990995</v>
      </c>
      <c r="Z423" s="40" t="n">
        <f aca="false">(SUMPRODUCT(--(Sens!$R$380:$AA$380&lt;Sens!Z$380),--(Sens!$R$380:$AA$380&gt;=Sens!Z$380-tk_life),Sens!$R$420:$AA$420)+SUMPRODUCT(--(Sens!$R$380:$AA$380&lt;Sens!Z$380),--(Sens!$R$380:$AA$380&gt;=Sens!Z$380-tk_life),Sens!$R$418:$AA$418))/tk_life</f>
        <v>113.237979382802</v>
      </c>
      <c r="AA423" s="40" t="n">
        <f aca="false">(SUMPRODUCT(--(Sens!$R$380:$AA$380&lt;Sens!AA$380),--(Sens!$R$380:$AA$380&gt;=Sens!AA$380-tk_life),Sens!$R$420:$AA$420)+SUMPRODUCT(--(Sens!$R$380:$AA$380&lt;Sens!AA$380),--(Sens!$R$380:$AA$380&gt;=Sens!AA$380-tk_life),Sens!$R$418:$AA$418))/tk_life</f>
        <v>121.147425440127</v>
      </c>
    </row>
    <row r="424" customFormat="false" ht="17.15" hidden="false" customHeight="false" outlineLevel="0" collapsed="false">
      <c r="A424" s="0" t="s">
        <v>697</v>
      </c>
      <c r="B424" s="0" t="s">
        <v>91</v>
      </c>
      <c r="C424" s="40" t="n">
        <f aca="false">Sens!$S$424</f>
        <v>0.0202511502553155</v>
      </c>
      <c r="D424" s="40" t="n">
        <f aca="false">Sens!$T$424</f>
        <v>0.172291150255315</v>
      </c>
      <c r="E424" s="40" t="n">
        <f aca="false">Sens!$G$424*0.75</f>
        <v>0.7835471104891</v>
      </c>
      <c r="F424" s="40" t="n">
        <f aca="false">Sens!$G$424*0.25</f>
        <v>0.261182370163033</v>
      </c>
      <c r="G424" s="40" t="n">
        <f aca="false">Sens!$U$424</f>
        <v>1.04472948065213</v>
      </c>
      <c r="H424" s="40" t="n">
        <f aca="false">Sens!$V$424</f>
        <v>2.70559878794519</v>
      </c>
      <c r="I424" s="40" t="n">
        <f aca="false">Sens!$W$424</f>
        <v>5.8305069815637</v>
      </c>
      <c r="J424" s="40" t="n">
        <f aca="false">Sens!$X$424</f>
        <v>8.23077513156371</v>
      </c>
      <c r="K424" s="40" t="n">
        <f aca="false">Sens!$Y$424</f>
        <v>10.6310432815637</v>
      </c>
      <c r="L424" s="40" t="n">
        <f aca="false">Sens!$Z$424</f>
        <v>12.3284082334804</v>
      </c>
      <c r="M424" s="40" t="n">
        <f aca="false">Sens!$AA$424</f>
        <v>13.3228699873137</v>
      </c>
      <c r="N424" s="40" t="n">
        <f aca="false">Sens!$D$424*0.75</f>
        <v>0.129218362691487</v>
      </c>
      <c r="O424" s="40" t="n">
        <f aca="false">Sens!$D$424*0.25</f>
        <v>0.0430727875638289</v>
      </c>
      <c r="R424" s="40" t="n">
        <f aca="false">(SUMPRODUCT(--(Sens!$R$380:$AA$380&lt;Sens!R$380),Sens!$R$421:$AA$421)+SUMPRODUCT(--(Sens!$R$380:$AA$380&lt;Sens!R$380),Sens!$R$419:$AA$419))/fac_life</f>
        <v>0</v>
      </c>
      <c r="S424" s="40" t="n">
        <f aca="false">(SUMPRODUCT(--(Sens!$R$380:$AA$380&lt;Sens!S$380),Sens!$R$421:$AA$421)+SUMPRODUCT(--(Sens!$R$380:$AA$380&lt;Sens!S$380),Sens!$R$419:$AA$419))/fac_life</f>
        <v>0.0202511502553155</v>
      </c>
      <c r="T424" s="40" t="n">
        <f aca="false">(SUMPRODUCT(--(Sens!$R$380:$AA$380&lt;Sens!T$380),Sens!$R$421:$AA$421)+SUMPRODUCT(--(Sens!$R$380:$AA$380&lt;Sens!T$380),Sens!$R$419:$AA$419))/fac_life</f>
        <v>0.172291150255315</v>
      </c>
      <c r="U424" s="40" t="n">
        <f aca="false">(SUMPRODUCT(--(Sens!$R$380:$AA$380&lt;Sens!U$380),Sens!$R$421:$AA$421)+SUMPRODUCT(--(Sens!$R$380:$AA$380&lt;Sens!U$380),Sens!$R$419:$AA$419))/fac_life</f>
        <v>1.04472948065213</v>
      </c>
      <c r="V424" s="40" t="n">
        <f aca="false">(SUMPRODUCT(--(Sens!$R$380:$AA$380&lt;Sens!V$380),Sens!$R$421:$AA$421)+SUMPRODUCT(--(Sens!$R$380:$AA$380&lt;Sens!V$380),Sens!$R$419:$AA$419))/fac_life</f>
        <v>2.70559878794519</v>
      </c>
      <c r="W424" s="40" t="n">
        <f aca="false">(SUMPRODUCT(--(Sens!$R$380:$AA$380&lt;Sens!W$380),Sens!$R$421:$AA$421)+SUMPRODUCT(--(Sens!$R$380:$AA$380&lt;Sens!W$380),Sens!$R$419:$AA$419))/fac_life</f>
        <v>5.8305069815637</v>
      </c>
      <c r="X424" s="40" t="n">
        <f aca="false">(SUMPRODUCT(--(Sens!$R$380:$AA$380&lt;Sens!X$380),Sens!$R$421:$AA$421)+SUMPRODUCT(--(Sens!$R$380:$AA$380&lt;Sens!X$380),Sens!$R$419:$AA$419))/fac_life</f>
        <v>8.23077513156371</v>
      </c>
      <c r="Y424" s="40" t="n">
        <f aca="false">(SUMPRODUCT(--(Sens!$R$380:$AA$380&lt;Sens!Y$380),Sens!$R$421:$AA$421)+SUMPRODUCT(--(Sens!$R$380:$AA$380&lt;Sens!Y$380),Sens!$R$419:$AA$419))/fac_life</f>
        <v>10.6310432815637</v>
      </c>
      <c r="Z424" s="40" t="n">
        <f aca="false">(SUMPRODUCT(--(Sens!$R$380:$AA$380&lt;Sens!Z$380),Sens!$R$421:$AA$421)+SUMPRODUCT(--(Sens!$R$380:$AA$380&lt;Sens!Z$380),Sens!$R$419:$AA$419))/fac_life</f>
        <v>12.3284082334804</v>
      </c>
      <c r="AA424" s="40" t="n">
        <f aca="false">(SUMPRODUCT(--(Sens!$R$380:$AA$380&lt;Sens!AA$380),Sens!$R$421:$AA$421)+SUMPRODUCT(--(Sens!$R$380:$AA$380&lt;Sens!AA$380),Sens!$R$419:$AA$419))/fac_life</f>
        <v>13.3228699873137</v>
      </c>
    </row>
    <row r="425" customFormat="false" ht="17.15" hidden="false" customHeight="false" outlineLevel="0" collapsed="false">
      <c r="A425" s="1" t="s">
        <v>698</v>
      </c>
      <c r="B425" s="8" t="s">
        <v>91</v>
      </c>
      <c r="C425" s="40" t="n">
        <f aca="false">Sens!$C$423+Sens!$C$424</f>
        <v>0.203463948620839</v>
      </c>
      <c r="D425" s="40" t="n">
        <f aca="false">Sens!$D$423+Sens!$D$424</f>
        <v>1.73101464862084</v>
      </c>
      <c r="E425" s="40" t="n">
        <f aca="false">Sens!$E$423+Sens!$E$424</f>
        <v>7.87232265923837</v>
      </c>
      <c r="F425" s="40" t="n">
        <f aca="false">Sens!$F$423+Sens!$F$424</f>
        <v>2.62410755307946</v>
      </c>
      <c r="G425" s="40" t="n">
        <f aca="false">Sens!$G$423+Sens!$G$424</f>
        <v>10.4964302123178</v>
      </c>
      <c r="H425" s="40" t="n">
        <f aca="false">Sens!$H$423+Sens!$H$424</f>
        <v>26.4609899830862</v>
      </c>
      <c r="I425" s="40" t="n">
        <f aca="false">Sens!$I$423+Sens!$I$424</f>
        <v>57.3102534624671</v>
      </c>
      <c r="J425" s="40" t="n">
        <f aca="false">Sens!$J$423+Sens!$J$424</f>
        <v>82.3062024542479</v>
      </c>
      <c r="K425" s="40" t="n">
        <f aca="false">Sens!$K$423+Sens!$K$424</f>
        <v>107.834576880663</v>
      </c>
      <c r="L425" s="40" t="n">
        <f aca="false">Sens!$L$423+Sens!$L$424</f>
        <v>125.566387616283</v>
      </c>
      <c r="M425" s="40" t="n">
        <f aca="false">Sens!$M$423+Sens!$M$424</f>
        <v>134.470295427441</v>
      </c>
      <c r="N425" s="40" t="n">
        <f aca="false">Sens!$N$423+Sens!$N$424</f>
        <v>1.29826098646563</v>
      </c>
      <c r="O425" s="40" t="n">
        <f aca="false">Sens!$O$423+Sens!$O$424</f>
        <v>0.43275366215521</v>
      </c>
      <c r="R425" s="40" t="n">
        <f aca="false">Sens!$R$423+Sens!$R$424</f>
        <v>0</v>
      </c>
      <c r="S425" s="40" t="n">
        <f aca="false">Sens!$S$423+Sens!$S$424</f>
        <v>0.203463948620839</v>
      </c>
      <c r="T425" s="40" t="n">
        <f aca="false">Sens!$T$423+Sens!$T$424</f>
        <v>1.73101464862084</v>
      </c>
      <c r="U425" s="40" t="n">
        <f aca="false">Sens!$U$423+Sens!$U$424</f>
        <v>10.4964302123178</v>
      </c>
      <c r="V425" s="40" t="n">
        <f aca="false">Sens!$V$423+Sens!$V$424</f>
        <v>26.4609899830862</v>
      </c>
      <c r="W425" s="40" t="n">
        <f aca="false">Sens!$W$423+Sens!$W$424</f>
        <v>57.3102534624671</v>
      </c>
      <c r="X425" s="40" t="n">
        <f aca="false">Sens!$X$423+Sens!$X$424</f>
        <v>82.3062024542479</v>
      </c>
      <c r="Y425" s="40" t="n">
        <f aca="false">Sens!$Y$423+Sens!$Y$424</f>
        <v>107.834576880663</v>
      </c>
      <c r="Z425" s="40" t="n">
        <f aca="false">Sens!$Z$423+Sens!$Z$424</f>
        <v>125.566387616283</v>
      </c>
      <c r="AA425" s="40" t="n">
        <f aca="false">Sens!$AA$423+Sens!$AA$424</f>
        <v>134.470295427441</v>
      </c>
    </row>
    <row r="426" customFormat="false" ht="17.15" hidden="false" customHeight="false" outlineLevel="0" collapsed="false">
      <c r="A426" s="0" t="s">
        <v>699</v>
      </c>
      <c r="B426" s="0" t="s">
        <v>91</v>
      </c>
      <c r="C426" s="40" t="n">
        <f aca="false">Sens!$S$426</f>
        <v>26.578941154416</v>
      </c>
      <c r="D426" s="40" t="n">
        <f aca="false">Sens!$T$426</f>
        <v>94.4165581367978</v>
      </c>
      <c r="G426" s="40" t="n">
        <f aca="false">Sens!$U$426</f>
        <v>235.8117963687</v>
      </c>
      <c r="H426" s="40" t="n">
        <f aca="false">Sens!$V$426</f>
        <v>386.596719724049</v>
      </c>
      <c r="I426" s="40" t="n">
        <f aca="false">Sens!$W$426</f>
        <v>512.865914312267</v>
      </c>
      <c r="J426" s="40" t="n">
        <f aca="false">Sens!$X$426</f>
        <v>618.432989306704</v>
      </c>
      <c r="K426" s="40" t="n">
        <f aca="false">Sens!$Y$426</f>
        <v>649.005450366591</v>
      </c>
      <c r="L426" s="40" t="n">
        <f aca="false">Sens!$Z$426</f>
        <v>638.142837570725</v>
      </c>
      <c r="M426" s="40" t="n">
        <f aca="false">Sens!$AA$426</f>
        <v>616.659249456908</v>
      </c>
      <c r="R426" s="40" t="n">
        <f aca="false">SUM(Sens!$R$410:$R$410)-SUM(Sens!$R$425:$R$425)</f>
        <v>1.50429979529945</v>
      </c>
      <c r="S426" s="40" t="n">
        <f aca="false">SUM(Sens!$R$410:$S$410)-SUM(Sens!$R$425:$S$425)</f>
        <v>26.578941154416</v>
      </c>
      <c r="T426" s="40" t="n">
        <f aca="false">SUM(Sens!$R$410:$T$410)-SUM(Sens!$R$425:$T$425)</f>
        <v>94.4165581367978</v>
      </c>
      <c r="U426" s="40" t="n">
        <f aca="false">SUM(Sens!$R$410:$U$410)-SUM(Sens!$R$425:$U$425)</f>
        <v>235.8117963687</v>
      </c>
      <c r="V426" s="40" t="n">
        <f aca="false">SUM(Sens!$R$410:$V$410)-SUM(Sens!$R$425:$V$425)</f>
        <v>386.596719724049</v>
      </c>
      <c r="W426" s="40" t="n">
        <f aca="false">SUM(Sens!$R$410:$W$410)-SUM(Sens!$R$425:$W$425)</f>
        <v>512.865914312267</v>
      </c>
      <c r="X426" s="40" t="n">
        <f aca="false">SUM(Sens!$R$410:$X$410)-SUM(Sens!$R$425:$X$425)</f>
        <v>618.432989306704</v>
      </c>
      <c r="Y426" s="40" t="n">
        <f aca="false">SUM(Sens!$R$410:$Y$410)-SUM(Sens!$R$425:$Y$425)</f>
        <v>649.005450366591</v>
      </c>
      <c r="Z426" s="40" t="n">
        <f aca="false">SUM(Sens!$R$410:$Z$410)-SUM(Sens!$R$425:$Z$425)</f>
        <v>638.142837570725</v>
      </c>
      <c r="AA426" s="40" t="n">
        <f aca="false">SUM(Sens!$R$410:$AA$410)-SUM(Sens!$R$425:$AA$425)</f>
        <v>616.659249456908</v>
      </c>
    </row>
    <row r="427" customFormat="false" ht="17.15" hidden="false" customHeight="false" outlineLevel="0" collapsed="false">
      <c r="A427" s="1" t="s">
        <v>700</v>
      </c>
    </row>
    <row r="428" customFormat="false" ht="17.15" hidden="false" customHeight="false" outlineLevel="0" collapsed="false">
      <c r="A428" s="0" t="s">
        <v>701</v>
      </c>
      <c r="B428" s="0" t="s">
        <v>91</v>
      </c>
      <c r="C428" s="40" t="n">
        <f aca="false">Sens!$C$401-ext_sh*Sens!$C$403</f>
        <v>1.80694998843362</v>
      </c>
      <c r="D428" s="40" t="n">
        <f aca="false">Sens!$D$401-ext_sh*Sens!$D$403</f>
        <v>6.77606245662607</v>
      </c>
      <c r="E428" s="40" t="n">
        <f aca="false">Sens!$E$401-ext_sh*Sens!$E$403</f>
        <v>12.6125815032506</v>
      </c>
      <c r="F428" s="40" t="n">
        <f aca="false">Sens!$F$401-ext_sh*Sens!$F$403</f>
        <v>6.20863482592031</v>
      </c>
      <c r="G428" s="40" t="n">
        <f aca="false">Sens!$G$401-ext_sh*Sens!$G$403</f>
        <v>18.8212163291709</v>
      </c>
      <c r="H428" s="40" t="n">
        <f aca="false">Sens!$H$401-ext_sh*Sens!$H$403</f>
        <v>40.8938289164795</v>
      </c>
      <c r="I428" s="40" t="n">
        <f aca="false">Sens!$I$401-ext_sh*Sens!$I$403</f>
        <v>67.3574717921051</v>
      </c>
      <c r="J428" s="40" t="n">
        <f aca="false">Sens!$J$401-ext_sh*Sens!$J$403</f>
        <v>93.9968356951931</v>
      </c>
      <c r="K428" s="40" t="n">
        <f aca="false">Sens!$K$401-ext_sh*Sens!$K$403</f>
        <v>116.712462102431</v>
      </c>
      <c r="L428" s="40" t="n">
        <f aca="false">Sens!$L$401-ext_sh*Sens!$L$403</f>
        <v>131.633525918354</v>
      </c>
      <c r="M428" s="40" t="n">
        <f aca="false">Sens!$M$401-ext_sh*Sens!$M$403</f>
        <v>138.73142855592</v>
      </c>
      <c r="N428" s="40" t="n">
        <f aca="false">Sens!$N$401-ext_sh*Sens!$N$403</f>
        <v>4.31973981609912</v>
      </c>
      <c r="O428" s="40" t="n">
        <f aca="false">Sens!$O$401-ext_sh*Sens!$O$403</f>
        <v>2.45632264052695</v>
      </c>
    </row>
    <row r="429" customFormat="false" ht="17.15" hidden="false" customHeight="false" outlineLevel="0" collapsed="false">
      <c r="A429" s="1" t="s">
        <v>702</v>
      </c>
      <c r="B429" s="8" t="s">
        <v>91</v>
      </c>
      <c r="C429" s="40" t="n">
        <f aca="false">Sens!$C$428-ext_sh*Sens!$C$425</f>
        <v>1.64417882953695</v>
      </c>
      <c r="D429" s="40" t="n">
        <f aca="false">Sens!$D$428-ext_sh*Sens!$D$425</f>
        <v>5.39125073772939</v>
      </c>
      <c r="E429" s="40" t="n">
        <f aca="false">Sens!$E$428-ext_sh*Sens!$E$425</f>
        <v>6.31472337585987</v>
      </c>
      <c r="F429" s="40" t="n">
        <f aca="false">Sens!$F$428-ext_sh*Sens!$F$425</f>
        <v>4.10934878345675</v>
      </c>
      <c r="G429" s="40" t="n">
        <f aca="false">Sens!$G$428-ext_sh*Sens!$G$425</f>
        <v>10.4240721593166</v>
      </c>
      <c r="H429" s="40" t="n">
        <f aca="false">Sens!$H$428-ext_sh*Sens!$H$425</f>
        <v>19.7250369300105</v>
      </c>
      <c r="I429" s="40" t="n">
        <f aca="false">Sens!$I$428-ext_sh*Sens!$I$425</f>
        <v>21.5092690221314</v>
      </c>
      <c r="J429" s="40" t="n">
        <f aca="false">Sens!$J$428-ext_sh*Sens!$J$425</f>
        <v>28.1518737317948</v>
      </c>
      <c r="K429" s="40" t="n">
        <f aca="false">Sens!$K$428-ext_sh*Sens!$K$425</f>
        <v>30.4448005979007</v>
      </c>
      <c r="L429" s="40" t="n">
        <f aca="false">Sens!$L$428-ext_sh*Sens!$L$425</f>
        <v>31.1804158253273</v>
      </c>
      <c r="M429" s="40" t="n">
        <f aca="false">Sens!$M$428-ext_sh*Sens!$M$425</f>
        <v>31.1551922139669</v>
      </c>
      <c r="N429" s="40" t="n">
        <f aca="false">Sens!$N$428-ext_sh*Sens!$N$425</f>
        <v>3.28113102692661</v>
      </c>
      <c r="O429" s="40" t="n">
        <f aca="false">Sens!$O$428-ext_sh*Sens!$O$425</f>
        <v>2.11011971080278</v>
      </c>
    </row>
    <row r="430" customFormat="false" ht="17.15" hidden="false" customHeight="false" outlineLevel="0" collapsed="false">
      <c r="A430" s="0" t="s">
        <v>703</v>
      </c>
      <c r="B430" s="0" t="s">
        <v>56</v>
      </c>
      <c r="C430" s="13" t="n">
        <f aca="false">Sens!$C$429/Sens!$C$401</f>
        <v>0.708390794789371</v>
      </c>
      <c r="D430" s="13" t="n">
        <f aca="false">Sens!$D$429/Sens!$D$401</f>
        <v>0.619415573115729</v>
      </c>
      <c r="E430" s="13" t="n">
        <f aca="false">Sens!$E$429/Sens!$E$401</f>
        <v>0.38978070304412</v>
      </c>
      <c r="F430" s="13" t="n">
        <f aca="false">Sens!$F$429/Sens!$F$401</f>
        <v>0.50628431549212</v>
      </c>
      <c r="G430" s="13" t="n">
        <f aca="false">Sens!$G$429/Sens!$G$401</f>
        <v>0.428667391576314</v>
      </c>
      <c r="H430" s="13" t="n">
        <f aca="false">Sens!$H$429/Sens!$H$401</f>
        <v>0.366016632801413</v>
      </c>
      <c r="I430" s="13" t="n">
        <f aca="false">Sens!$I$429/Sens!$I$401</f>
        <v>0.241653104124671</v>
      </c>
      <c r="J430" s="13" t="n">
        <f aca="false">Sens!$J$429/Sens!$J$401</f>
        <v>0.22644984395706</v>
      </c>
      <c r="K430" s="13" t="n">
        <f aca="false">Sens!$K$429/Sens!$K$401</f>
        <v>0.197139835190888</v>
      </c>
      <c r="L430" s="13" t="n">
        <f aca="false">Sens!$L$429/Sens!$L$401</f>
        <v>0.178977963455777</v>
      </c>
      <c r="M430" s="13" t="n">
        <f aca="false">Sens!$M$429/Sens!$M$401</f>
        <v>0.169662167079751</v>
      </c>
      <c r="N430" s="13" t="n">
        <f aca="false">Sens!$N$429/Sens!$N$401</f>
        <v>0.591338253041814</v>
      </c>
      <c r="O430" s="13" t="n">
        <f aca="false">Sens!$O$429/Sens!$O$401</f>
        <v>0.668792929107785</v>
      </c>
    </row>
    <row r="431" customFormat="false" ht="17.15" hidden="false" customHeight="false" outlineLevel="0" collapsed="false">
      <c r="A431" s="5" t="s">
        <v>704</v>
      </c>
      <c r="B431" s="0" t="s">
        <v>91</v>
      </c>
      <c r="C431" s="41" t="n">
        <v>0</v>
      </c>
      <c r="D431" s="41" t="n">
        <v>0</v>
      </c>
      <c r="E431" s="41" t="n">
        <v>0</v>
      </c>
      <c r="F431" s="40" t="n">
        <f aca="false">IF(1=2,1,0)*(1-ext_sh)/ext_sh*(mw_open*he_open+Sens!$F$399*Sens!$F$396)*Sens!$F$385/1000</f>
        <v>0</v>
      </c>
      <c r="G431" s="40" t="n">
        <f aca="false">Sens!$E$431+Sens!$F$431</f>
        <v>0</v>
      </c>
      <c r="H431" s="40" t="n">
        <f aca="false">IF(1=2,1,0)*(1-ext_sh)/ext_sh*(mw_open*he_open+Sens!$H$399*Sens!$H$396)*Sens!$H$385/1000</f>
        <v>0</v>
      </c>
      <c r="I431" s="40" t="n">
        <f aca="false">IF(1=2,1,0)*(1-ext_sh)/ext_sh*(mw_open*he_open+Sens!$I$399*Sens!$I$396)*Sens!$I$385/1000</f>
        <v>0</v>
      </c>
      <c r="J431" s="40" t="n">
        <f aca="false">IF(1=2,1,0)*(1-ext_sh)/ext_sh*(mw_open*he_open+Sens!$J$399*Sens!$J$396)*Sens!$J$385/1000</f>
        <v>0</v>
      </c>
      <c r="K431" s="40" t="n">
        <f aca="false">IF(1=2,1,0)*(1-ext_sh)/ext_sh*(mw_open*he_open+Sens!$K$399*Sens!$K$396)*Sens!$K$385/1000</f>
        <v>0</v>
      </c>
      <c r="L431" s="40" t="n">
        <f aca="false">IF(1=2,1,0)*(1-ext_sh)/ext_sh*(mw_open*he_open+Sens!$L$399*Sens!$L$396)*Sens!$L$385/1000</f>
        <v>0</v>
      </c>
      <c r="M431" s="40" t="n">
        <f aca="false">IF(1=2,1,0)*(1-ext_sh)/ext_sh*(mw_open*he_open+Sens!$M$399*Sens!$M$396)*Sens!$M$385/1000</f>
        <v>0</v>
      </c>
      <c r="N431" s="41" t="n">
        <v>0</v>
      </c>
      <c r="O431" s="41" t="n">
        <v>0</v>
      </c>
      <c r="P431" s="8" t="s">
        <v>705</v>
      </c>
    </row>
    <row r="432" customFormat="false" ht="17.15" hidden="false" customHeight="false" outlineLevel="0" collapsed="false">
      <c r="A432" s="5" t="s">
        <v>706</v>
      </c>
      <c r="B432" s="0" t="s">
        <v>91</v>
      </c>
      <c r="C432" s="40" t="n">
        <f aca="false">(1-ext_sh)*(Sens!$C$403+Sens!$C$425)</f>
        <v>0.169206631859174</v>
      </c>
      <c r="D432" s="40" t="n">
        <f aca="false">(1-ext_sh)*(Sens!$D$403+Sens!$D$425)</f>
        <v>0.828129837730442</v>
      </c>
      <c r="E432" s="40" t="n">
        <f aca="false">(1-ext_sh)*(Sens!$E$403+Sens!$E$425)</f>
        <v>2.47149617002198</v>
      </c>
      <c r="F432" s="40" t="n">
        <f aca="false">(1-ext_sh)*(Sens!$F$403+Sens!$F$425)</f>
        <v>1.0018333006889</v>
      </c>
      <c r="G432" s="40" t="n">
        <f aca="false">(1-ext_sh)*(Sens!$G$403+Sens!$G$425)</f>
        <v>3.47332947071088</v>
      </c>
      <c r="H432" s="40" t="n">
        <f aca="false">(1-ext_sh)*(Sens!$H$403+Sens!$H$425)</f>
        <v>8.54151438097997</v>
      </c>
      <c r="I432" s="40" t="n">
        <f aca="false">(1-ext_sh)*(Sens!$I$403+Sens!$I$425)</f>
        <v>16.8748995120144</v>
      </c>
      <c r="J432" s="40" t="n">
        <f aca="false">(1-ext_sh)*(Sens!$J$403+Sens!$J$425)</f>
        <v>24.041622128762</v>
      </c>
      <c r="K432" s="40" t="n">
        <f aca="false">(1-ext_sh)*(Sens!$K$403+Sens!$K$425)</f>
        <v>30.9969286546569</v>
      </c>
      <c r="L432" s="40" t="n">
        <f aca="false">(1-ext_sh)*(Sens!$L$403+Sens!$L$425)</f>
        <v>35.758324665946</v>
      </c>
      <c r="M432" s="40" t="n">
        <f aca="false">(1-ext_sh)*(Sens!$M$403+Sens!$M$425)</f>
        <v>38.1188912537568</v>
      </c>
      <c r="N432" s="40" t="n">
        <f aca="false">(1-ext_sh)*(Sens!$N$403+Sens!$N$425)</f>
        <v>0.566880601147126</v>
      </c>
      <c r="O432" s="40" t="n">
        <f aca="false">(1-ext_sh)*(Sens!$O$403+Sens!$O$425)</f>
        <v>0.261249236583316</v>
      </c>
    </row>
    <row r="433" customFormat="false" ht="17.15" hidden="false" customHeight="false" outlineLevel="0" collapsed="false">
      <c r="A433" s="0" t="s">
        <v>707</v>
      </c>
      <c r="B433" s="0" t="s">
        <v>91</v>
      </c>
      <c r="C433" s="40" t="n">
        <f aca="false">Q!$D$25</f>
        <v>39.834</v>
      </c>
      <c r="D433" s="40" t="n">
        <f aca="false">Q!$E$25</f>
        <v>45.606</v>
      </c>
      <c r="E433" s="40" t="n">
        <f aca="false">Q!$O$25</f>
        <v>48.555</v>
      </c>
      <c r="N433" s="40" t="n">
        <f aca="false">Q!$N$25</f>
        <v>33.141</v>
      </c>
      <c r="O433" s="40" t="n">
        <f aca="false">Q!$J$25</f>
        <v>12.465</v>
      </c>
    </row>
    <row r="434" customFormat="false" ht="17.15" hidden="false" customHeight="false" outlineLevel="0" collapsed="false">
      <c r="A434" s="0" t="s">
        <v>708</v>
      </c>
      <c r="B434" s="0" t="s">
        <v>91</v>
      </c>
      <c r="C434" s="40" t="n">
        <f aca="false">Sens!$C$433-Sens!$C$429</f>
        <v>38.1898211704631</v>
      </c>
      <c r="D434" s="40" t="n">
        <f aca="false">Sens!$D$433-Sens!$D$429</f>
        <v>40.2147492622706</v>
      </c>
      <c r="E434" s="40" t="n">
        <f aca="false">Sens!$E$433-Sens!$E$429</f>
        <v>42.2402766241401</v>
      </c>
      <c r="F434" s="40" t="n">
        <f aca="false">Sens!$F$405*Sens!$F$435</f>
        <v>13.6943139813566</v>
      </c>
      <c r="G434" s="40" t="n">
        <f aca="false">Sens!$E$434+Sens!$F$434</f>
        <v>55.9345906054967</v>
      </c>
      <c r="H434" s="40" t="n">
        <f aca="false">Sens!$H$405*Sens!$H$435</f>
        <v>61.088168450178</v>
      </c>
      <c r="I434" s="40" t="n">
        <f aca="false">Sens!$I$405*Sens!$I$435</f>
        <v>67.8233475699772</v>
      </c>
      <c r="J434" s="40" t="n">
        <f aca="false">Sens!$J$405*Sens!$J$435</f>
        <v>74.2751592782286</v>
      </c>
      <c r="K434" s="40" t="n">
        <f aca="false">Sens!$K$405*Sens!$K$435</f>
        <v>80.2171720204868</v>
      </c>
      <c r="L434" s="40" t="n">
        <f aca="false">Sens!$L$405*Sens!$L$435</f>
        <v>86.6345457821258</v>
      </c>
      <c r="M434" s="40" t="n">
        <f aca="false">Sens!$M$405*Sens!$M$435</f>
        <v>93.5653094446959</v>
      </c>
      <c r="N434" s="40" t="n">
        <f aca="false">Sens!$N$433-Sens!$N$429</f>
        <v>29.8598689730734</v>
      </c>
      <c r="O434" s="40" t="n">
        <f aca="false">Sens!$O$433-Sens!$O$429</f>
        <v>10.3548802891972</v>
      </c>
      <c r="P434" s="5" t="s">
        <v>709</v>
      </c>
    </row>
    <row r="435" customFormat="false" ht="17.15" hidden="false" customHeight="false" outlineLevel="0" collapsed="false">
      <c r="A435" s="0" t="s">
        <v>710</v>
      </c>
      <c r="B435" s="0" t="s">
        <v>56</v>
      </c>
      <c r="C435" s="13" t="n">
        <f aca="false">Sens!$C$434/Sens!$C$405</f>
        <v>0.362900395443635</v>
      </c>
      <c r="D435" s="13" t="n">
        <f aca="false">Sens!$D$434/Sens!$D$405</f>
        <v>0.335063632425483</v>
      </c>
      <c r="E435" s="13" t="n">
        <f aca="false">Sens!$E$434/Sens!$E$405</f>
        <v>0.385395924436527</v>
      </c>
      <c r="F435" s="13" t="n">
        <f aca="false">(Sens!$O$434+Sens!$E$434)/(Sens!$O$405+Sens!$E$405)</f>
        <v>0.37032016673748</v>
      </c>
      <c r="G435" s="13" t="n">
        <f aca="false">Sens!$G$434/Sens!$G$405</f>
        <v>0.381592615841289</v>
      </c>
      <c r="H435" s="13" t="n">
        <f aca="false">Sens!$F$435</f>
        <v>0.37032016673748</v>
      </c>
      <c r="I435" s="13" t="n">
        <f aca="false">Sens!$F$435</f>
        <v>0.37032016673748</v>
      </c>
      <c r="J435" s="13" t="n">
        <f aca="false">Sens!$F$435</f>
        <v>0.37032016673748</v>
      </c>
      <c r="K435" s="13" t="n">
        <f aca="false">Sens!$F$435</f>
        <v>0.37032016673748</v>
      </c>
      <c r="L435" s="13" t="n">
        <f aca="false">Sens!$F$435</f>
        <v>0.37032016673748</v>
      </c>
      <c r="M435" s="13" t="n">
        <f aca="false">Sens!$F$435</f>
        <v>0.37032016673748</v>
      </c>
      <c r="N435" s="13" t="n">
        <f aca="false">Sens!$N$434/Sens!$N$405</f>
        <v>0.340876409421015</v>
      </c>
      <c r="O435" s="13" t="n">
        <f aca="false">Sens!$O$434/Sens!$O$405</f>
        <v>0.319359657808422</v>
      </c>
      <c r="P435" s="8" t="s">
        <v>711</v>
      </c>
    </row>
    <row r="436" customFormat="false" ht="17.15" hidden="false" customHeight="false" outlineLevel="0" collapsed="false">
      <c r="A436" s="0" t="s">
        <v>712</v>
      </c>
      <c r="B436" s="0" t="s">
        <v>56</v>
      </c>
      <c r="D436" s="13" t="n">
        <f aca="false">(Q!$E$33-ext_sh*Sens!$D$425)/Sens!$D$405</f>
        <v>0.167180325480118</v>
      </c>
    </row>
    <row r="437" customFormat="false" ht="17.15" hidden="false" customHeight="false" outlineLevel="0" collapsed="false">
      <c r="A437" s="0" t="s">
        <v>713</v>
      </c>
      <c r="B437" s="0" t="s">
        <v>91</v>
      </c>
      <c r="C437" s="40" t="n">
        <f aca="false">Q!$D$33</f>
        <v>13.32</v>
      </c>
      <c r="D437" s="40" t="n">
        <f aca="false">Q!$E$33</f>
        <v>21.45</v>
      </c>
      <c r="E437" s="40" t="n">
        <f aca="false">Q!$O$33</f>
        <v>23.8172847708625</v>
      </c>
      <c r="F437" s="40" t="n">
        <f aca="false">ext_sh*Sens!$F$425+Sens!$D$436*Sens!$F$405</f>
        <v>8.28155769350516</v>
      </c>
      <c r="G437" s="40" t="n">
        <f aca="false">Sens!$E$437+Sens!$F$437</f>
        <v>32.0988424643677</v>
      </c>
      <c r="H437" s="40" t="n">
        <f aca="false">ext_sh*Sens!$H$425+Sens!$D$436*Sens!$H$405</f>
        <v>48.7469278856268</v>
      </c>
      <c r="I437" s="40" t="n">
        <f aca="false">ext_sh*Sens!$I$425+Sens!$D$436*Sens!$I$405</f>
        <v>76.4669223006817</v>
      </c>
      <c r="J437" s="40" t="n">
        <f aca="false">ext_sh*Sens!$J$425+Sens!$D$436*Sens!$J$405</f>
        <v>99.3763394539051</v>
      </c>
      <c r="K437" s="40" t="n">
        <f aca="false">ext_sh*Sens!$K$425+Sens!$D$436*Sens!$K$405</f>
        <v>122.481549194278</v>
      </c>
      <c r="L437" s="40" t="n">
        <f aca="false">ext_sh*Sens!$L$425+Sens!$D$436*Sens!$L$405</f>
        <v>139.564108797953</v>
      </c>
      <c r="M437" s="40" t="n">
        <f aca="false">ext_sh*Sens!$M$425+Sens!$D$436*Sens!$M$405</f>
        <v>149.816114943274</v>
      </c>
      <c r="N437" s="40" t="n">
        <f aca="false">Q!$N$33</f>
        <v>14.882</v>
      </c>
      <c r="O437" s="40" t="n">
        <f aca="false">Q!$J$33</f>
        <v>6.568</v>
      </c>
    </row>
    <row r="438" customFormat="false" ht="17.15" hidden="false" customHeight="false" outlineLevel="0" collapsed="false">
      <c r="A438" s="1" t="s">
        <v>714</v>
      </c>
    </row>
    <row r="439" customFormat="false" ht="17.15" hidden="false" customHeight="false" outlineLevel="0" collapsed="false">
      <c r="A439" s="15" t="s">
        <v>715</v>
      </c>
      <c r="B439" s="14" t="s">
        <v>56</v>
      </c>
      <c r="C439" s="14"/>
      <c r="D439" s="14"/>
      <c r="E439" s="14"/>
      <c r="F439" s="14"/>
      <c r="G439" s="17" t="n">
        <f aca="false">Sens!$G$429*(1-tax)/(ext_sh*(Sens!$D$426+Sens!$G$426)/2)</f>
        <v>0.0652171021245149</v>
      </c>
      <c r="H439" s="17" t="n">
        <f aca="false">Sens!$H$429*(1-tax)/(ext_sh*(Sens!$G$426+Sens!$H$426)/2)</f>
        <v>0.0654757900577283</v>
      </c>
      <c r="I439" s="17" t="n">
        <f aca="false">Sens!$I$429*(1-tax)/(ext_sh*(Sens!$H$426+Sens!$I$426)/2)</f>
        <v>0.0494061455927104</v>
      </c>
      <c r="J439" s="17" t="n">
        <f aca="false">Sens!$J$429*(1-tax)/(ext_sh*(Sens!$I$426+Sens!$J$426)/2)</f>
        <v>0.0514124604517476</v>
      </c>
      <c r="K439" s="17" t="n">
        <f aca="false">Sens!$K$429*(1-tax)/(ext_sh*(Sens!$J$426+Sens!$K$426)/2)</f>
        <v>0.0496277639814365</v>
      </c>
      <c r="L439" s="17" t="n">
        <f aca="false">Sens!$L$429*(1-tax)/(ext_sh*(Sens!$K$426+Sens!$L$426)/2)</f>
        <v>0.0500485809326113</v>
      </c>
      <c r="M439" s="17" t="n">
        <f aca="false">Sens!$M$429*(1-tax)/(ext_sh*(Sens!$L$426+Sens!$M$426)/2)</f>
        <v>0.0512971989525217</v>
      </c>
      <c r="N439" s="14"/>
      <c r="O439" s="14"/>
      <c r="P439" s="8" t="s">
        <v>716</v>
      </c>
    </row>
    <row r="440" customFormat="false" ht="17.15" hidden="false" customHeight="false" outlineLevel="0" collapsed="false">
      <c r="A440" s="5" t="s">
        <v>717</v>
      </c>
      <c r="B440" s="0" t="s">
        <v>61</v>
      </c>
      <c r="H440" s="21" t="n">
        <f aca="false">Sens!$H$401*1000/(mw_open*he_open+Sens!$H$399*Sens!$H$396)</f>
        <v>0.991949006767191</v>
      </c>
      <c r="I440" s="21" t="n">
        <f aca="false">Sens!$I$401*1000/(mw_open*he_open+Sens!$I$399*Sens!$I$396)</f>
        <v>0.991949006767191</v>
      </c>
      <c r="J440" s="21" t="n">
        <f aca="false">Sens!$J$401*1000/(mw_open*he_open+Sens!$J$399*Sens!$J$396)</f>
        <v>0.991949006767192</v>
      </c>
      <c r="K440" s="21" t="n">
        <f aca="false">Sens!$K$401*1000/(mw_open*he_open+Sens!$K$399*Sens!$K$396)</f>
        <v>0.991949006767191</v>
      </c>
      <c r="L440" s="21" t="n">
        <f aca="false">Sens!$L$401*1000/(mw_open*he_open+Sens!$L$399*Sens!$L$396)</f>
        <v>0.991949006767191</v>
      </c>
      <c r="M440" s="21" t="n">
        <f aca="false">Sens!$M$401*1000/(mw_open*he_open+Sens!$M$399*Sens!$M$396)</f>
        <v>0.991949006767191</v>
      </c>
    </row>
    <row r="441" customFormat="false" ht="17.15" hidden="false" customHeight="false" outlineLevel="0" collapsed="false">
      <c r="A441" s="5" t="s">
        <v>718</v>
      </c>
      <c r="B441" s="0" t="s">
        <v>61</v>
      </c>
      <c r="H441" s="21" t="n">
        <f aca="false">Sens!$H$440*(Sens!$H$401+wacc*ext_sh*(Sens!$G$426+Sens!$H$426)/2/(1-tax)-Sens!$H$429)/Sens!$H$401</f>
        <v>1.2495603691001</v>
      </c>
      <c r="I441" s="21" t="n">
        <f aca="false">Sens!$I$440*(Sens!$I$401+wacc*ext_sh*(Sens!$H$426+Sens!$I$426)/2/(1-tax)-Sens!$I$429)/Sens!$I$401</f>
        <v>1.29531658657202</v>
      </c>
      <c r="J441" s="21" t="n">
        <f aca="false">Sens!$J$440*(Sens!$J$401+wacc*ext_sh*(Sens!$I$426+Sens!$J$426)/2/(1-tax)-Sens!$J$429)/Sens!$J$401</f>
        <v>1.25637105868111</v>
      </c>
      <c r="K441" s="21" t="n">
        <f aca="false">Sens!$K$440*(Sens!$K$401+wacc*ext_sh*(Sens!$J$426+Sens!$K$426)/2/(1-tax)-Sens!$K$429)/Sens!$K$401</f>
        <v>1.23745687469817</v>
      </c>
      <c r="L441" s="21" t="n">
        <f aca="false">Sens!$L$440*(Sens!$L$401+wacc*ext_sh*(Sens!$K$426+Sens!$L$426)/2/(1-tax)-Sens!$L$429)/Sens!$L$401</f>
        <v>1.21147215032837</v>
      </c>
      <c r="M441" s="21" t="n">
        <f aca="false">Sens!$M$440*(Sens!$M$401+wacc*ext_sh*(Sens!$L$426+Sens!$M$426)/2/(1-tax)-Sens!$M$429)/Sens!$M$401</f>
        <v>1.19088424428048</v>
      </c>
    </row>
    <row r="442" customFormat="false" ht="17.15" hidden="false" customHeight="false" outlineLevel="0" collapsed="false">
      <c r="A442" s="5" t="s">
        <v>719</v>
      </c>
      <c r="B442" s="0" t="s">
        <v>56</v>
      </c>
      <c r="C442" s="13" t="n">
        <f aca="false">Sens!$C$402/tk_pq</f>
        <v>0.195316432429398</v>
      </c>
      <c r="D442" s="13" t="n">
        <f aca="false">Sens!$D$402/tk_pq</f>
        <v>0.195316432429398</v>
      </c>
      <c r="E442" s="13" t="n">
        <f aca="false">Sens!$E$402/tk_pq</f>
        <v>0.195316432429398</v>
      </c>
      <c r="F442" s="13" t="n">
        <f aca="false">Sens!$F$402/tk_pq</f>
        <v>0.187301153238265</v>
      </c>
      <c r="G442" s="13" t="n">
        <f aca="false">Sens!$G$402/tk_pq</f>
        <v>0.192565885096211</v>
      </c>
      <c r="H442" s="13" t="n">
        <f aca="false">Sens!$H$402/tk_pq</f>
        <v>0.185453133552356</v>
      </c>
      <c r="I442" s="13" t="n">
        <f aca="false">Sens!$I$402/tk_pq</f>
        <v>0.186135387468757</v>
      </c>
      <c r="J442" s="13" t="n">
        <f aca="false">Sens!$J$402/tk_pq</f>
        <v>0.1867211211284</v>
      </c>
      <c r="K442" s="13" t="n">
        <f aca="false">Sens!$K$402/tk_pq</f>
        <v>0.186980005320998</v>
      </c>
      <c r="L442" s="13" t="n">
        <f aca="false">Sens!$L$402/tk_pq</f>
        <v>0.18710004230224</v>
      </c>
      <c r="M442" s="13" t="n">
        <f aca="false">Sens!$M$402/tk_pq</f>
        <v>0.187114245976183</v>
      </c>
      <c r="N442" s="13" t="n">
        <f aca="false">Sens!$N$402/tk_pq</f>
        <v>0.195316432429398</v>
      </c>
      <c r="O442" s="13" t="n">
        <f aca="false">Sens!$O$402/tk_pq</f>
        <v>0.195316432429398</v>
      </c>
      <c r="P442" s="5" t="s">
        <v>720</v>
      </c>
    </row>
    <row r="445" customFormat="false" ht="17.15" hidden="false" customHeight="false" outlineLevel="0" collapsed="false">
      <c r="A445" s="1" t="s">
        <v>749</v>
      </c>
    </row>
    <row r="446" customFormat="false" ht="17.15" hidden="false" customHeight="false" outlineLevel="0" collapsed="false">
      <c r="A446" s="0" t="s">
        <v>750</v>
      </c>
      <c r="B446" s="0" t="s">
        <v>91</v>
      </c>
      <c r="C446" s="40" t="n">
        <f aca="false">Sens!$C$401</f>
        <v>2.32100535697364</v>
      </c>
      <c r="D446" s="40" t="n">
        <f aca="false">Sens!$D$401</f>
        <v>8.70377008865116</v>
      </c>
      <c r="E446" s="40" t="n">
        <f aca="false">Sens!$E$401</f>
        <v>16.2007080559478</v>
      </c>
      <c r="F446" s="40" t="n">
        <f aca="false">Sens!$F$401</f>
        <v>8.11668198621236</v>
      </c>
      <c r="G446" s="40" t="n">
        <f aca="false">Sens!$G$401</f>
        <v>24.3173900421601</v>
      </c>
      <c r="H446" s="40" t="n">
        <f aca="false">Sens!$H$401</f>
        <v>53.8910944539304</v>
      </c>
      <c r="I446" s="40" t="n">
        <f aca="false">Sens!$I$401</f>
        <v>89.008867070189</v>
      </c>
      <c r="J446" s="40" t="n">
        <f aca="false">Sens!$J$401</f>
        <v>124.318362246843</v>
      </c>
      <c r="K446" s="40" t="n">
        <f aca="false">Sens!$K$401</f>
        <v>154.432515216528</v>
      </c>
      <c r="L446" s="40" t="n">
        <f aca="false">Sens!$L$401</f>
        <v>174.213714489111</v>
      </c>
      <c r="M446" s="40" t="n">
        <f aca="false">Sens!$M$401</f>
        <v>183.630757228994</v>
      </c>
      <c r="N446" s="40" t="n">
        <f aca="false">Sens!$N$401</f>
        <v>5.54865343151512</v>
      </c>
      <c r="O446" s="40" t="n">
        <f aca="false">Sens!$O$401</f>
        <v>3.15511665713605</v>
      </c>
      <c r="P446" s="8" t="s">
        <v>751</v>
      </c>
    </row>
    <row r="447" customFormat="false" ht="17.15" hidden="false" customHeight="false" outlineLevel="0" collapsed="false">
      <c r="A447" s="0" t="s">
        <v>752</v>
      </c>
      <c r="B447" s="0" t="s">
        <v>91</v>
      </c>
      <c r="C447" s="40" t="n">
        <f aca="false">Sens!$C$405</f>
        <v>105.234994643026</v>
      </c>
      <c r="D447" s="40" t="n">
        <f aca="false">Sens!$D$405</f>
        <v>120.021229911349</v>
      </c>
      <c r="E447" s="40" t="n">
        <f aca="false">Sens!$E$405</f>
        <v>109.602291944052</v>
      </c>
      <c r="F447" s="40" t="n">
        <f aca="false">Sens!$F$405</f>
        <v>36.9796603355509</v>
      </c>
      <c r="G447" s="40" t="n">
        <f aca="false">Sens!$G$405</f>
        <v>146.581952279603</v>
      </c>
      <c r="H447" s="40" t="n">
        <f aca="false">Sens!$H$405</f>
        <v>164.960415168217</v>
      </c>
      <c r="I447" s="40" t="n">
        <f aca="false">Sens!$I$405</f>
        <v>183.1478640969</v>
      </c>
      <c r="J447" s="40" t="n">
        <f aca="false">Sens!$J$405</f>
        <v>200.570117292268</v>
      </c>
      <c r="K447" s="40" t="n">
        <f aca="false">Sens!$K$405</f>
        <v>216.615726675649</v>
      </c>
      <c r="L447" s="40" t="n">
        <f aca="false">Sens!$L$405</f>
        <v>233.944984809701</v>
      </c>
      <c r="M447" s="40" t="n">
        <f aca="false">Sens!$M$405</f>
        <v>252.660583594477</v>
      </c>
      <c r="N447" s="40" t="n">
        <f aca="false">Sens!$N$405</f>
        <v>87.5973465684849</v>
      </c>
      <c r="O447" s="40" t="n">
        <f aca="false">Sens!$O$405</f>
        <v>32.423883342864</v>
      </c>
      <c r="P447" s="8" t="s">
        <v>751</v>
      </c>
    </row>
    <row r="448" customFormat="false" ht="17.15" hidden="false" customHeight="false" outlineLevel="0" collapsed="false">
      <c r="A448" s="1" t="s">
        <v>561</v>
      </c>
      <c r="B448" s="8" t="s">
        <v>91</v>
      </c>
      <c r="C448" s="40" t="n">
        <f aca="false">Q!$D$7</f>
        <v>107.556</v>
      </c>
      <c r="D448" s="40" t="n">
        <f aca="false">Q!$E$7</f>
        <v>128.725</v>
      </c>
      <c r="E448" s="40" t="n">
        <f aca="false">Q!$O$7</f>
        <v>125.803</v>
      </c>
      <c r="F448" s="40" t="n">
        <f aca="false">Sens!$F$446+Sens!$F$447</f>
        <v>45.0963423217632</v>
      </c>
      <c r="G448" s="40" t="n">
        <f aca="false">Sens!$G$446+Sens!$G$447</f>
        <v>170.899342321763</v>
      </c>
      <c r="H448" s="40" t="n">
        <f aca="false">Sens!$H$446+Sens!$H$447</f>
        <v>218.851509622147</v>
      </c>
      <c r="I448" s="40" t="n">
        <f aca="false">Sens!$I$446+Sens!$I$447</f>
        <v>272.156731167089</v>
      </c>
      <c r="J448" s="40" t="n">
        <f aca="false">Sens!$J$446+Sens!$J$447</f>
        <v>324.888479539111</v>
      </c>
      <c r="K448" s="40" t="n">
        <f aca="false">Sens!$K$446+Sens!$K$447</f>
        <v>371.048241892178</v>
      </c>
      <c r="L448" s="40" t="n">
        <f aca="false">Sens!$L$446+Sens!$L$447</f>
        <v>408.158699298813</v>
      </c>
      <c r="M448" s="40" t="n">
        <f aca="false">Sens!$M$446+Sens!$M$447</f>
        <v>436.291340823472</v>
      </c>
      <c r="N448" s="40" t="n">
        <f aca="false">Q!$N$7</f>
        <v>93.146</v>
      </c>
      <c r="O448" s="40" t="n">
        <f aca="false">Q!$J$7</f>
        <v>35.579</v>
      </c>
      <c r="P448" s="5" t="s">
        <v>753</v>
      </c>
    </row>
    <row r="449" customFormat="false" ht="15" hidden="false" customHeight="false" outlineLevel="0" collapsed="false">
      <c r="A449" s="3" t="s">
        <v>754</v>
      </c>
      <c r="B449" s="8" t="s">
        <v>91</v>
      </c>
      <c r="C449" s="40" t="n">
        <f aca="false">Q!$D$8</f>
        <v>637.959</v>
      </c>
      <c r="D449" s="40" t="n">
        <f aca="false">Q!$E$8</f>
        <v>716.924</v>
      </c>
      <c r="E449" s="40" t="n">
        <f aca="false">Q!$O$8</f>
        <v>584.069</v>
      </c>
      <c r="F449" s="40" t="n">
        <f aca="false">Sens!$F$373+Sens!$F$448</f>
        <v>243.5</v>
      </c>
      <c r="G449" s="40" t="n">
        <f aca="false">Sens!$G$373+Sens!$G$448</f>
        <v>827.569</v>
      </c>
      <c r="H449" s="40" t="n">
        <f aca="false">Sens!$H$373+Sens!$H$448</f>
        <v>944.082052258761</v>
      </c>
      <c r="I449" s="40" t="n">
        <f aca="false">Sens!$I$373+Sens!$I$448</f>
        <v>1063.75274817013</v>
      </c>
      <c r="J449" s="40" t="n">
        <f aca="false">Sens!$J$373+Sens!$J$448</f>
        <v>1178.37393036781</v>
      </c>
      <c r="K449" s="40" t="n">
        <f aca="false">Sens!$K$373+Sens!$K$448</f>
        <v>1279.58542771408</v>
      </c>
      <c r="L449" s="40" t="n">
        <f aca="false">Sens!$L$373+Sens!$L$448</f>
        <v>1375.57413318493</v>
      </c>
      <c r="M449" s="40" t="n">
        <f aca="false">Sens!$M$373+Sens!$M$448</f>
        <v>1466.69734822378</v>
      </c>
      <c r="N449" s="40" t="n">
        <f aca="false">Q!$N$8</f>
        <v>503.538</v>
      </c>
      <c r="O449" s="40" t="n">
        <f aca="false">Q!$J$8</f>
        <v>213.386</v>
      </c>
    </row>
    <row r="450" customFormat="false" ht="17.15" hidden="false" customHeight="false" outlineLevel="0" collapsed="false">
      <c r="A450" s="27" t="s">
        <v>762</v>
      </c>
      <c r="B450" s="28" t="s">
        <v>91</v>
      </c>
      <c r="C450" s="43" t="n">
        <f aca="false">Sens!$C$373-(Sens!$C$375+Sens!$C$376)</f>
        <v>0</v>
      </c>
      <c r="D450" s="43" t="n">
        <f aca="false">Sens!$D$373-(Sens!$D$375+Sens!$D$376)</f>
        <v>0</v>
      </c>
      <c r="E450" s="43" t="n">
        <f aca="false">Sens!$E$373-(Sens!$E$375+Sens!$E$376)</f>
        <v>0</v>
      </c>
      <c r="F450" s="43" t="n">
        <f aca="false">Sens!$F$373-(Sens!$F$375+Sens!$F$376)</f>
        <v>0</v>
      </c>
      <c r="G450" s="43" t="n">
        <f aca="false">Sens!$G$373-(Sens!$G$375+Sens!$G$376)</f>
        <v>0</v>
      </c>
      <c r="H450" s="43" t="n">
        <f aca="false">Sens!$H$373-(Sens!$H$375+Sens!$H$376)</f>
        <v>0</v>
      </c>
      <c r="I450" s="43" t="n">
        <f aca="false">Sens!$I$373-(Sens!$I$375+Sens!$I$376)</f>
        <v>0</v>
      </c>
      <c r="J450" s="43" t="n">
        <f aca="false">Sens!$J$373-(Sens!$J$375+Sens!$J$376)</f>
        <v>0</v>
      </c>
      <c r="K450" s="43" t="n">
        <f aca="false">Sens!$K$373-(Sens!$K$375+Sens!$K$376)</f>
        <v>0</v>
      </c>
      <c r="L450" s="43" t="n">
        <f aca="false">Sens!$L$373-(Sens!$L$375+Sens!$L$376)</f>
        <v>0</v>
      </c>
      <c r="M450" s="43" t="n">
        <f aca="false">Sens!$M$373-(Sens!$M$375+Sens!$M$376)</f>
        <v>0</v>
      </c>
      <c r="N450" s="43" t="n">
        <f aca="false">Sens!$N$373-(Sens!$N$375+Sens!$N$376)</f>
        <v>0</v>
      </c>
      <c r="O450" s="43" t="n">
        <f aca="false">Sens!$O$373-(Sens!$O$375+Sens!$O$376)</f>
        <v>0</v>
      </c>
    </row>
    <row r="451" customFormat="false" ht="17.15" hidden="false" customHeight="false" outlineLevel="0" collapsed="false">
      <c r="A451" s="27" t="s">
        <v>763</v>
      </c>
      <c r="B451" s="28" t="s">
        <v>91</v>
      </c>
      <c r="C451" s="43" t="n">
        <f aca="false">Sens!$C$446+Sens!$C$447-Sens!$C$448</f>
        <v>0</v>
      </c>
      <c r="D451" s="43" t="n">
        <f aca="false">Sens!$D$446+Sens!$D$447-Sens!$D$448</f>
        <v>0</v>
      </c>
      <c r="E451" s="43" t="n">
        <f aca="false">Sens!$E$446+Sens!$E$447-Sens!$E$448</f>
        <v>0</v>
      </c>
      <c r="F451" s="43" t="n">
        <f aca="false">Sens!$F$446+Sens!$F$447-Sens!$F$448</f>
        <v>0</v>
      </c>
      <c r="G451" s="43" t="n">
        <f aca="false">Sens!$G$446+Sens!$G$447-Sens!$G$448</f>
        <v>0</v>
      </c>
      <c r="H451" s="43" t="n">
        <f aca="false">Sens!$H$446+Sens!$H$447-Sens!$H$448</f>
        <v>0</v>
      </c>
      <c r="I451" s="43" t="n">
        <f aca="false">Sens!$I$446+Sens!$I$447-Sens!$I$448</f>
        <v>0</v>
      </c>
      <c r="J451" s="43" t="n">
        <f aca="false">Sens!$J$446+Sens!$J$447-Sens!$J$448</f>
        <v>0</v>
      </c>
      <c r="K451" s="43" t="n">
        <f aca="false">Sens!$K$446+Sens!$K$447-Sens!$K$448</f>
        <v>0</v>
      </c>
      <c r="L451" s="43" t="n">
        <f aca="false">Sens!$L$446+Sens!$L$447-Sens!$L$448</f>
        <v>0</v>
      </c>
      <c r="M451" s="43" t="n">
        <f aca="false">Sens!$M$446+Sens!$M$447-Sens!$M$448</f>
        <v>0</v>
      </c>
      <c r="N451" s="43" t="n">
        <f aca="false">Sens!$N$446+Sens!$N$447-Sens!$N$448</f>
        <v>0</v>
      </c>
      <c r="O451" s="43" t="n">
        <f aca="false">Sens!$O$446+Sens!$O$447-Sens!$O$448</f>
        <v>0</v>
      </c>
    </row>
    <row r="452" customFormat="false" ht="17.15" hidden="false" customHeight="false" outlineLevel="0" collapsed="false">
      <c r="A452" s="27" t="s">
        <v>764</v>
      </c>
      <c r="B452" s="28" t="s">
        <v>91</v>
      </c>
      <c r="C452" s="43" t="n">
        <f aca="false">Sens!$C$375+Sens!$C$376+Sens!$C$448-Sens!$C$449</f>
        <v>0</v>
      </c>
      <c r="D452" s="43" t="n">
        <f aca="false">Sens!$D$375+Sens!$D$376+Sens!$D$448-Sens!$D$449</f>
        <v>0</v>
      </c>
      <c r="E452" s="43" t="n">
        <f aca="false">Sens!$E$375+Sens!$E$376+Sens!$E$448-Sens!$E$449</f>
        <v>0</v>
      </c>
      <c r="F452" s="43" t="n">
        <f aca="false">Sens!$F$375+Sens!$F$376+Sens!$F$448-Sens!$F$449</f>
        <v>0</v>
      </c>
      <c r="G452" s="43" t="n">
        <f aca="false">Sens!$G$375+Sens!$G$376+Sens!$G$448-Sens!$G$449</f>
        <v>0</v>
      </c>
      <c r="H452" s="43" t="n">
        <f aca="false">Sens!$H$375+Sens!$H$376+Sens!$H$448-Sens!$H$449</f>
        <v>0</v>
      </c>
      <c r="I452" s="43" t="n">
        <f aca="false">Sens!$I$375+Sens!$I$376+Sens!$I$448-Sens!$I$449</f>
        <v>0</v>
      </c>
      <c r="J452" s="43" t="n">
        <f aca="false">Sens!$J$375+Sens!$J$376+Sens!$J$448-Sens!$J$449</f>
        <v>0</v>
      </c>
      <c r="K452" s="43" t="n">
        <f aca="false">Sens!$K$375+Sens!$K$376+Sens!$K$448-Sens!$K$449</f>
        <v>0</v>
      </c>
      <c r="L452" s="43" t="n">
        <f aca="false">Sens!$L$375+Sens!$L$376+Sens!$L$448-Sens!$L$449</f>
        <v>0</v>
      </c>
      <c r="M452" s="43" t="n">
        <f aca="false">Sens!$M$375+Sens!$M$376+Sens!$M$448-Sens!$M$449</f>
        <v>0</v>
      </c>
      <c r="N452" s="43" t="n">
        <f aca="false">Sens!$N$375+Sens!$N$376+Sens!$N$448-Sens!$N$449</f>
        <v>0</v>
      </c>
      <c r="O452" s="43" t="n">
        <f aca="false">Sens!$O$375+Sens!$O$376+Sens!$O$448-Sens!$O$449</f>
        <v>0</v>
      </c>
    </row>
    <row r="453" customFormat="false" ht="15" hidden="false" customHeight="false" outlineLevel="0" collapsed="false">
      <c r="A453" s="5" t="s">
        <v>758</v>
      </c>
      <c r="B453" s="0" t="s">
        <v>56</v>
      </c>
      <c r="G453" s="13" t="n">
        <f aca="false">Sens!$G$449/Sens!$D$449-1</f>
        <v>0.154332955794477</v>
      </c>
      <c r="H453" s="13" t="n">
        <f aca="false">Sens!$H$449/Sens!$G$449-1</f>
        <v>0.14078953206169</v>
      </c>
      <c r="I453" s="13" t="n">
        <f aca="false">Sens!$I$449/Sens!$H$449-1</f>
        <v>0.126758787146787</v>
      </c>
      <c r="J453" s="13" t="n">
        <f aca="false">Sens!$J$449/Sens!$I$449-1</f>
        <v>0.107751714291547</v>
      </c>
      <c r="K453" s="13" t="n">
        <f aca="false">Sens!$K$449/Sens!$J$449-1</f>
        <v>0.0858908150782707</v>
      </c>
      <c r="L453" s="13" t="n">
        <f aca="false">Sens!$L$449/Sens!$K$449-1</f>
        <v>0.0750154725052818</v>
      </c>
      <c r="M453" s="13" t="n">
        <f aca="false">Sens!$M$449/Sens!$L$449-1</f>
        <v>0.0662437689402269</v>
      </c>
    </row>
    <row r="454" customFormat="false" ht="17.15" hidden="false" customHeight="false" outlineLevel="0" collapsed="false">
      <c r="A454" s="0" t="s">
        <v>759</v>
      </c>
      <c r="B454" s="0" t="s">
        <v>56</v>
      </c>
      <c r="C454" s="13" t="n">
        <f aca="false">Sens!$C$448/Sens!$C$449</f>
        <v>0.168593906504964</v>
      </c>
      <c r="D454" s="13" t="n">
        <f aca="false">Sens!$D$448/Sens!$D$449</f>
        <v>0.179551807444025</v>
      </c>
      <c r="E454" s="13" t="n">
        <f aca="false">Sens!$E$448/Sens!$E$449</f>
        <v>0.2153906473379</v>
      </c>
      <c r="F454" s="13" t="n">
        <f aca="false">Sens!$F$448/Sens!$F$449</f>
        <v>0.185200584483627</v>
      </c>
      <c r="G454" s="13" t="n">
        <f aca="false">Sens!$G$448/Sens!$G$449</f>
        <v>0.206507665610678</v>
      </c>
      <c r="H454" s="13" t="n">
        <f aca="false">Sens!$H$448/Sens!$H$449</f>
        <v>0.231814077069398</v>
      </c>
      <c r="I454" s="13" t="n">
        <f aca="false">Sens!$I$448/Sens!$I$449</f>
        <v>0.255845854814715</v>
      </c>
      <c r="J454" s="13" t="n">
        <f aca="false">Sens!$J$448/Sens!$J$449</f>
        <v>0.275709154086346</v>
      </c>
      <c r="K454" s="13" t="n">
        <f aca="false">Sens!$K$448/Sens!$K$449</f>
        <v>0.289975357530476</v>
      </c>
      <c r="L454" s="13" t="n">
        <f aca="false">Sens!$L$448/Sens!$L$449</f>
        <v>0.296718795048715</v>
      </c>
      <c r="M454" s="13" t="n">
        <f aca="false">Sens!$M$448/Sens!$M$449</f>
        <v>0.297465145997458</v>
      </c>
      <c r="N454" s="13" t="n">
        <f aca="false">Sens!$N$448/Sens!$N$449</f>
        <v>0.184983059868371</v>
      </c>
      <c r="O454" s="13" t="n">
        <f aca="false">Sens!$O$448/Sens!$O$449</f>
        <v>0.1667353996982</v>
      </c>
    </row>
    <row r="455" customFormat="false" ht="17.15" hidden="false" customHeight="false" outlineLevel="0" collapsed="false">
      <c r="A455" s="0" t="s">
        <v>760</v>
      </c>
      <c r="B455" s="0" t="s">
        <v>56</v>
      </c>
      <c r="C455" s="13" t="n">
        <f aca="false">Sens!$C$446/Sens!$C$448</f>
        <v>0.0215795060896058</v>
      </c>
      <c r="D455" s="13" t="n">
        <f aca="false">Sens!$D$446/Sens!$D$448</f>
        <v>0.0676152269462122</v>
      </c>
      <c r="E455" s="13" t="n">
        <f aca="false">Sens!$E$446/Sens!$E$448</f>
        <v>0.128778392057008</v>
      </c>
      <c r="F455" s="13" t="n">
        <f aca="false">Sens!$F$446/Sens!$F$448</f>
        <v>0.179985372833559</v>
      </c>
      <c r="G455" s="13" t="n">
        <f aca="false">Sens!$G$446/Sens!$G$448</f>
        <v>0.142290717517076</v>
      </c>
      <c r="H455" s="13" t="n">
        <f aca="false">Sens!$H$446/Sens!$H$448</f>
        <v>0.246245020411213</v>
      </c>
      <c r="I455" s="13" t="n">
        <f aca="false">Sens!$I$446/Sens!$I$448</f>
        <v>0.327050029916558</v>
      </c>
      <c r="J455" s="13" t="n">
        <f aca="false">Sens!$J$446/Sens!$J$448</f>
        <v>0.382649339931049</v>
      </c>
      <c r="K455" s="13" t="n">
        <f aca="false">Sens!$K$446/Sens!$K$448</f>
        <v>0.416206028706652</v>
      </c>
      <c r="L455" s="13" t="n">
        <f aca="false">Sens!$L$446/Sens!$L$448</f>
        <v>0.426828375306953</v>
      </c>
      <c r="M455" s="13" t="n">
        <f aca="false">Sens!$M$446/Sens!$M$448</f>
        <v>0.420890217262628</v>
      </c>
      <c r="N455" s="13" t="n">
        <f aca="false">Sens!$N$446/Sens!$N$448</f>
        <v>0.0595694225357516</v>
      </c>
      <c r="O455" s="13" t="n">
        <f aca="false">Sens!$O$446/Sens!$O$448</f>
        <v>0.0886791831455647</v>
      </c>
    </row>
    <row r="458" customFormat="false" ht="19.4" hidden="false" customHeight="false" outlineLevel="0" collapsed="false">
      <c r="A458" s="35" t="s">
        <v>1311</v>
      </c>
    </row>
    <row r="459" customFormat="false" ht="17.15" hidden="false" customHeight="false" outlineLevel="0" collapsed="false">
      <c r="A459" s="6" t="s">
        <v>16</v>
      </c>
      <c r="B459" s="6" t="s">
        <v>17</v>
      </c>
      <c r="C459" s="23" t="s">
        <v>542</v>
      </c>
      <c r="D459" s="23" t="s">
        <v>543</v>
      </c>
      <c r="E459" s="23" t="s">
        <v>631</v>
      </c>
      <c r="F459" s="23" t="s">
        <v>632</v>
      </c>
      <c r="G459" s="23" t="s">
        <v>633</v>
      </c>
      <c r="H459" s="23" t="s">
        <v>634</v>
      </c>
      <c r="I459" s="23" t="s">
        <v>635</v>
      </c>
      <c r="J459" s="23" t="s">
        <v>636</v>
      </c>
      <c r="K459" s="23" t="s">
        <v>637</v>
      </c>
      <c r="L459" s="23" t="s">
        <v>638</v>
      </c>
      <c r="M459" s="23" t="s">
        <v>639</v>
      </c>
      <c r="N459" s="23" t="s">
        <v>640</v>
      </c>
      <c r="O459" s="23" t="s">
        <v>641</v>
      </c>
      <c r="P459" s="6" t="s">
        <v>23</v>
      </c>
      <c r="R459" s="23" t="n">
        <v>2023</v>
      </c>
      <c r="S459" s="23" t="n">
        <v>2024</v>
      </c>
      <c r="T459" s="23" t="n">
        <v>2025</v>
      </c>
      <c r="U459" s="23" t="n">
        <v>2026</v>
      </c>
      <c r="V459" s="23" t="n">
        <v>2027</v>
      </c>
      <c r="W459" s="23" t="n">
        <v>2028</v>
      </c>
      <c r="X459" s="23" t="n">
        <v>2029</v>
      </c>
      <c r="Y459" s="23" t="n">
        <v>2030</v>
      </c>
      <c r="Z459" s="23" t="n">
        <v>2031</v>
      </c>
      <c r="AA459" s="23" t="n">
        <v>2032</v>
      </c>
    </row>
    <row r="460" customFormat="false" ht="17.15" hidden="false" customHeight="false" outlineLevel="0" collapsed="false">
      <c r="A460" s="1" t="s">
        <v>775</v>
      </c>
    </row>
    <row r="461" customFormat="false" ht="15" hidden="false" customHeight="false" outlineLevel="0" collapsed="false">
      <c r="A461" s="0" t="s">
        <v>564</v>
      </c>
      <c r="B461" s="0" t="s">
        <v>91</v>
      </c>
      <c r="C461" s="40" t="n">
        <f aca="false">Sens!$C$360</f>
        <v>247.029</v>
      </c>
      <c r="D461" s="40" t="n">
        <f aca="false">Sens!$D$360</f>
        <v>269.287</v>
      </c>
      <c r="E461" s="40" t="n">
        <f aca="false">Sens!$E$360</f>
        <v>203.156</v>
      </c>
      <c r="F461" s="40" t="n">
        <f aca="false">Sens!$F$360</f>
        <v>90.388463759573</v>
      </c>
      <c r="G461" s="40" t="n">
        <f aca="false">Sens!$G$360</f>
        <v>293.544463759573</v>
      </c>
      <c r="H461" s="40" t="n">
        <f aca="false">Sens!$H$360</f>
        <v>317.13448447826</v>
      </c>
      <c r="I461" s="40" t="n">
        <f aca="false">Sens!$I$360</f>
        <v>339.410577938345</v>
      </c>
      <c r="J461" s="40" t="n">
        <f aca="false">Sens!$J$360</f>
        <v>359.816245442206</v>
      </c>
      <c r="K461" s="40" t="n">
        <f aca="false">Sens!$K$360</f>
        <v>377.807057714316</v>
      </c>
      <c r="L461" s="40" t="n">
        <f aca="false">Sens!$L$360</f>
        <v>396.697410600032</v>
      </c>
      <c r="M461" s="40" t="n">
        <f aca="false">Sens!$M$360</f>
        <v>416.532281130034</v>
      </c>
      <c r="N461" s="40" t="n">
        <f aca="false">Sens!$N$360</f>
        <v>186.299</v>
      </c>
      <c r="O461" s="40" t="n">
        <f aca="false">Sens!$O$360</f>
        <v>82.988</v>
      </c>
    </row>
    <row r="462" customFormat="false" ht="15" hidden="false" customHeight="false" outlineLevel="0" collapsed="false">
      <c r="A462" s="0" t="s">
        <v>565</v>
      </c>
      <c r="B462" s="0" t="s">
        <v>91</v>
      </c>
      <c r="C462" s="40" t="n">
        <f aca="false">Sens!$C$362</f>
        <v>21.215</v>
      </c>
      <c r="D462" s="40" t="n">
        <f aca="false">Sens!$D$362</f>
        <v>22.561</v>
      </c>
      <c r="E462" s="40" t="n">
        <f aca="false">Sens!$E$362</f>
        <v>17.289</v>
      </c>
      <c r="F462" s="40" t="n">
        <f aca="false">Sens!$F$362</f>
        <v>6.05205510939944</v>
      </c>
      <c r="G462" s="40" t="n">
        <f aca="false">Sens!$G$362</f>
        <v>23.3410551093994</v>
      </c>
      <c r="H462" s="40" t="n">
        <f aca="false">Sens!$H$362</f>
        <v>24.1270238539533</v>
      </c>
      <c r="I462" s="40" t="n">
        <f aca="false">Sens!$I$362</f>
        <v>24.9099173270163</v>
      </c>
      <c r="J462" s="40" t="n">
        <f aca="false">Sens!$J$362</f>
        <v>25.6877148084528</v>
      </c>
      <c r="K462" s="40" t="n">
        <f aca="false">Sens!$K$362</f>
        <v>26.4583462527063</v>
      </c>
      <c r="L462" s="40" t="n">
        <f aca="false">Sens!$L$362</f>
        <v>27.2520966402875</v>
      </c>
      <c r="M462" s="40" t="n">
        <f aca="false">Sens!$M$362</f>
        <v>28.0696595394962</v>
      </c>
      <c r="N462" s="40" t="n">
        <f aca="false">Sens!$N$362</f>
        <v>16.706</v>
      </c>
      <c r="O462" s="40" t="n">
        <f aca="false">Sens!$O$362</f>
        <v>5.855</v>
      </c>
    </row>
    <row r="463" customFormat="false" ht="15" hidden="false" customHeight="false" outlineLevel="0" collapsed="false">
      <c r="A463" s="0" t="s">
        <v>566</v>
      </c>
      <c r="B463" s="0" t="s">
        <v>91</v>
      </c>
      <c r="C463" s="40" t="n">
        <f aca="false">Sens!$C$364</f>
        <v>156.146</v>
      </c>
      <c r="D463" s="40" t="n">
        <f aca="false">Sens!$D$364</f>
        <v>172.162</v>
      </c>
      <c r="E463" s="40" t="n">
        <f aca="false">Sens!$E$364</f>
        <v>134.85</v>
      </c>
      <c r="F463" s="40" t="n">
        <f aca="false">Sens!$F$364</f>
        <v>59.6056141851888</v>
      </c>
      <c r="G463" s="40" t="n">
        <f aca="false">Sens!$G$364</f>
        <v>194.455614185189</v>
      </c>
      <c r="H463" s="40" t="n">
        <f aca="false">Sens!$H$364</f>
        <v>216.80459217381</v>
      </c>
      <c r="I463" s="40" t="n">
        <f aca="false">Sens!$I$364</f>
        <v>238.475078227356</v>
      </c>
      <c r="J463" s="40" t="n">
        <f aca="false">Sens!$J$364</f>
        <v>258.739974865958</v>
      </c>
      <c r="K463" s="40" t="n">
        <f aca="false">Sens!$K$364</f>
        <v>276.851773106575</v>
      </c>
      <c r="L463" s="40" t="n">
        <f aca="false">Sens!$L$364</f>
        <v>296.231397224035</v>
      </c>
      <c r="M463" s="40" t="n">
        <f aca="false">Sens!$M$364</f>
        <v>316.967595029718</v>
      </c>
      <c r="N463" s="40" t="n">
        <f aca="false">Sens!$N$364</f>
        <v>119.346</v>
      </c>
      <c r="O463" s="40" t="n">
        <f aca="false">Sens!$O$364</f>
        <v>52.816</v>
      </c>
    </row>
    <row r="464" customFormat="false" ht="15" hidden="false" customHeight="false" outlineLevel="0" collapsed="false">
      <c r="A464" s="0" t="s">
        <v>567</v>
      </c>
      <c r="B464" s="0" t="s">
        <v>91</v>
      </c>
      <c r="C464" s="40" t="n">
        <f aca="false">Sens!$C$366</f>
        <v>56.214</v>
      </c>
      <c r="D464" s="40" t="n">
        <f aca="false">Sens!$D$366</f>
        <v>68.635</v>
      </c>
      <c r="E464" s="40" t="n">
        <f aca="false">Sens!$E$366</f>
        <v>56.689</v>
      </c>
      <c r="F464" s="40" t="n">
        <f aca="false">Sens!$F$366</f>
        <v>25.5080393747055</v>
      </c>
      <c r="G464" s="40" t="n">
        <f aca="false">Sens!$G$366</f>
        <v>82.1970393747055</v>
      </c>
      <c r="H464" s="40" t="n">
        <f aca="false">Sens!$H$366</f>
        <v>96.4608782883025</v>
      </c>
      <c r="I464" s="40" t="n">
        <f aca="false">Sens!$I$366</f>
        <v>110.835624413712</v>
      </c>
      <c r="J464" s="40" t="n">
        <f aca="false">Sens!$J$366</f>
        <v>124.635851912673</v>
      </c>
      <c r="K464" s="40" t="n">
        <f aca="false">Sens!$K$366</f>
        <v>137.09943710394</v>
      </c>
      <c r="L464" s="40" t="n">
        <f aca="false">Sens!$L$366</f>
        <v>150.809380814334</v>
      </c>
      <c r="M464" s="40" t="n">
        <f aca="false">Sens!$M$366</f>
        <v>165.890318895768</v>
      </c>
      <c r="N464" s="40" t="n">
        <f aca="false">Sens!$N$366</f>
        <v>47.318</v>
      </c>
      <c r="O464" s="40" t="n">
        <f aca="false">Sens!$O$366</f>
        <v>21.317</v>
      </c>
    </row>
    <row r="465" customFormat="false" ht="15" hidden="false" customHeight="false" outlineLevel="0" collapsed="false">
      <c r="A465" s="0" t="s">
        <v>568</v>
      </c>
      <c r="B465" s="0" t="s">
        <v>91</v>
      </c>
      <c r="C465" s="40" t="n">
        <f aca="false">Sens!$C$368</f>
        <v>44.374</v>
      </c>
      <c r="D465" s="40" t="n">
        <f aca="false">Sens!$D$368</f>
        <v>49.619</v>
      </c>
      <c r="E465" s="40" t="n">
        <f aca="false">Sens!$E$368</f>
        <v>41.163</v>
      </c>
      <c r="F465" s="40" t="n">
        <f aca="false">Sens!$F$368</f>
        <v>14.7818388144754</v>
      </c>
      <c r="G465" s="40" t="n">
        <f aca="false">Sens!$G$368</f>
        <v>55.9448388144754</v>
      </c>
      <c r="H465" s="40" t="n">
        <f aca="false">Sens!$H$368</f>
        <v>62.2881216081287</v>
      </c>
      <c r="I465" s="40" t="n">
        <f aca="false">Sens!$I$368</f>
        <v>68.4498533343906</v>
      </c>
      <c r="J465" s="40" t="n">
        <f aca="false">Sens!$J$368</f>
        <v>74.2312327495396</v>
      </c>
      <c r="K465" s="40" t="n">
        <f aca="false">Sens!$K$368</f>
        <v>79.4274190420074</v>
      </c>
      <c r="L465" s="40" t="n">
        <f aca="false">Sens!$L$368</f>
        <v>84.9873383749479</v>
      </c>
      <c r="M465" s="40" t="n">
        <f aca="false">Sens!$M$368</f>
        <v>90.9364520611943</v>
      </c>
      <c r="N465" s="40" t="n">
        <f aca="false">Sens!$N$368</f>
        <v>36.497</v>
      </c>
      <c r="O465" s="40" t="n">
        <f aca="false">Sens!$O$368</f>
        <v>13.122</v>
      </c>
    </row>
    <row r="466" customFormat="false" ht="15" hidden="false" customHeight="false" outlineLevel="0" collapsed="false">
      <c r="A466" s="0" t="s">
        <v>569</v>
      </c>
      <c r="B466" s="0" t="s">
        <v>91</v>
      </c>
      <c r="C466" s="40" t="n">
        <f aca="false">Sens!$C$370</f>
        <v>5.425</v>
      </c>
      <c r="D466" s="40" t="n">
        <f aca="false">Sens!$D$370</f>
        <v>5.935</v>
      </c>
      <c r="E466" s="40" t="n">
        <f aca="false">Sens!$E$370</f>
        <v>5.119</v>
      </c>
      <c r="F466" s="40" t="n">
        <f aca="false">Sens!$F$370</f>
        <v>2.06764643489463</v>
      </c>
      <c r="G466" s="40" t="n">
        <f aca="false">Sens!$G$370</f>
        <v>7.18664643489463</v>
      </c>
      <c r="H466" s="40" t="n">
        <f aca="false">Sens!$H$370</f>
        <v>8.41544223415965</v>
      </c>
      <c r="I466" s="40" t="n">
        <f aca="false">Sens!$I$370</f>
        <v>9.51496576222195</v>
      </c>
      <c r="J466" s="40" t="n">
        <f aca="false">Sens!$J$370</f>
        <v>10.3744310498661</v>
      </c>
      <c r="K466" s="40" t="n">
        <f aca="false">Sens!$K$370</f>
        <v>10.8931526023594</v>
      </c>
      <c r="L466" s="40" t="n">
        <f aca="false">Sens!$L$370</f>
        <v>11.4378102324774</v>
      </c>
      <c r="M466" s="40" t="n">
        <f aca="false">Sens!$M$370</f>
        <v>12.0097007441012</v>
      </c>
      <c r="N466" s="40" t="n">
        <f aca="false">Sens!$N$370</f>
        <v>4.226</v>
      </c>
      <c r="O466" s="40" t="n">
        <f aca="false">Sens!$O$370</f>
        <v>1.709</v>
      </c>
    </row>
    <row r="467" customFormat="false" ht="17.15" hidden="false" customHeight="false" outlineLevel="0" collapsed="false">
      <c r="A467" s="0" t="s">
        <v>776</v>
      </c>
      <c r="B467" s="0" t="s">
        <v>91</v>
      </c>
      <c r="C467" s="40" t="n">
        <f aca="false">Sens!$C$448</f>
        <v>107.556</v>
      </c>
      <c r="D467" s="40" t="n">
        <f aca="false">Sens!$D$448</f>
        <v>128.725</v>
      </c>
      <c r="E467" s="40" t="n">
        <f aca="false">Sens!$E$448</f>
        <v>125.803</v>
      </c>
      <c r="F467" s="40" t="n">
        <f aca="false">Sens!$F$448</f>
        <v>45.0963423217632</v>
      </c>
      <c r="G467" s="40" t="n">
        <f aca="false">Sens!$G$448</f>
        <v>170.899342321763</v>
      </c>
      <c r="H467" s="40" t="n">
        <f aca="false">Sens!$H$448</f>
        <v>218.851509622147</v>
      </c>
      <c r="I467" s="40" t="n">
        <f aca="false">Sens!$I$448</f>
        <v>272.156731167089</v>
      </c>
      <c r="J467" s="40" t="n">
        <f aca="false">Sens!$J$448</f>
        <v>324.888479539111</v>
      </c>
      <c r="K467" s="40" t="n">
        <f aca="false">Sens!$K$448</f>
        <v>371.048241892178</v>
      </c>
      <c r="L467" s="40" t="n">
        <f aca="false">Sens!$L$448</f>
        <v>408.158699298813</v>
      </c>
      <c r="M467" s="40" t="n">
        <f aca="false">Sens!$M$448</f>
        <v>436.291340823472</v>
      </c>
      <c r="N467" s="40" t="n">
        <f aca="false">Sens!$N$448</f>
        <v>93.146</v>
      </c>
      <c r="O467" s="40" t="n">
        <f aca="false">Sens!$O$448</f>
        <v>35.579</v>
      </c>
    </row>
    <row r="468" customFormat="false" ht="15" hidden="false" customHeight="false" outlineLevel="0" collapsed="false">
      <c r="A468" s="1" t="s">
        <v>557</v>
      </c>
      <c r="B468" s="8" t="s">
        <v>91</v>
      </c>
      <c r="C468" s="40" t="n">
        <f aca="false">Sens!$C$375</f>
        <v>387.497</v>
      </c>
      <c r="D468" s="40" t="n">
        <f aca="false">Sens!$D$375</f>
        <v>426.305</v>
      </c>
      <c r="E468" s="40" t="n">
        <f aca="false">Sens!$E$375</f>
        <v>333.172</v>
      </c>
      <c r="F468" s="40" t="n">
        <f aca="false">Sens!$F$375</f>
        <v>141.803933639977</v>
      </c>
      <c r="G468" s="40" t="n">
        <f aca="false">Sens!$G$375</f>
        <v>474.975933639977</v>
      </c>
      <c r="H468" s="40" t="n">
        <f aca="false">Sens!$H$375</f>
        <v>524.566728590708</v>
      </c>
      <c r="I468" s="40" t="n">
        <f aca="false">Sens!$I$375</f>
        <v>572.569560425675</v>
      </c>
      <c r="J468" s="40" t="n">
        <f aca="false">Sens!$J$375</f>
        <v>617.334825989679</v>
      </c>
      <c r="K468" s="40" t="n">
        <f aca="false">Sens!$K$375</f>
        <v>657.154313491738</v>
      </c>
      <c r="L468" s="40" t="n">
        <f aca="false">Sens!$L$375</f>
        <v>699.741557349269</v>
      </c>
      <c r="M468" s="40" t="n">
        <f aca="false">Sens!$M$375</f>
        <v>745.303288602707</v>
      </c>
      <c r="N468" s="40" t="n">
        <f aca="false">Sens!$N$375</f>
        <v>299.222</v>
      </c>
      <c r="O468" s="40" t="n">
        <f aca="false">Sens!$O$375</f>
        <v>127.083</v>
      </c>
    </row>
    <row r="469" customFormat="false" ht="15" hidden="false" customHeight="false" outlineLevel="0" collapsed="false">
      <c r="A469" s="1" t="s">
        <v>560</v>
      </c>
      <c r="B469" s="8" t="s">
        <v>91</v>
      </c>
      <c r="C469" s="40" t="n">
        <f aca="false">Sens!$C$376</f>
        <v>142.906</v>
      </c>
      <c r="D469" s="40" t="n">
        <f aca="false">Sens!$D$376</f>
        <v>161.894</v>
      </c>
      <c r="E469" s="40" t="n">
        <f aca="false">Sens!$E$376</f>
        <v>125.094</v>
      </c>
      <c r="F469" s="40" t="n">
        <f aca="false">Sens!$F$376</f>
        <v>56.5997240382599</v>
      </c>
      <c r="G469" s="40" t="n">
        <f aca="false">Sens!$G$376</f>
        <v>181.69372403826</v>
      </c>
      <c r="H469" s="40" t="n">
        <f aca="false">Sens!$H$376</f>
        <v>200.663814045906</v>
      </c>
      <c r="I469" s="40" t="n">
        <f aca="false">Sens!$I$376</f>
        <v>219.026456577366</v>
      </c>
      <c r="J469" s="40" t="n">
        <f aca="false">Sens!$J$376</f>
        <v>236.150624839017</v>
      </c>
      <c r="K469" s="40" t="n">
        <f aca="false">Sens!$K$376</f>
        <v>251.382872330167</v>
      </c>
      <c r="L469" s="40" t="n">
        <f aca="false">Sens!$L$376</f>
        <v>267.673876536846</v>
      </c>
      <c r="M469" s="40" t="n">
        <f aca="false">Sens!$M$376</f>
        <v>285.102718797604</v>
      </c>
      <c r="N469" s="40" t="n">
        <f aca="false">Sens!$N$376</f>
        <v>111.17</v>
      </c>
      <c r="O469" s="40" t="n">
        <f aca="false">Sens!$O$376</f>
        <v>50.724</v>
      </c>
    </row>
    <row r="470" customFormat="false" ht="15" hidden="false" customHeight="false" outlineLevel="0" collapsed="false">
      <c r="A470" s="1" t="s">
        <v>561</v>
      </c>
      <c r="B470" s="8" t="s">
        <v>91</v>
      </c>
      <c r="C470" s="40" t="n">
        <f aca="false">Sens!$C$448</f>
        <v>107.556</v>
      </c>
      <c r="D470" s="40" t="n">
        <f aca="false">Sens!$D$448</f>
        <v>128.725</v>
      </c>
      <c r="E470" s="40" t="n">
        <f aca="false">Sens!$E$448</f>
        <v>125.803</v>
      </c>
      <c r="F470" s="40" t="n">
        <f aca="false">Sens!$F$448</f>
        <v>45.0963423217632</v>
      </c>
      <c r="G470" s="40" t="n">
        <f aca="false">Sens!$G$448</f>
        <v>170.899342321763</v>
      </c>
      <c r="H470" s="40" t="n">
        <f aca="false">Sens!$H$448</f>
        <v>218.851509622147</v>
      </c>
      <c r="I470" s="40" t="n">
        <f aca="false">Sens!$I$448</f>
        <v>272.156731167089</v>
      </c>
      <c r="J470" s="40" t="n">
        <f aca="false">Sens!$J$448</f>
        <v>324.888479539111</v>
      </c>
      <c r="K470" s="40" t="n">
        <f aca="false">Sens!$K$448</f>
        <v>371.048241892178</v>
      </c>
      <c r="L470" s="40" t="n">
        <f aca="false">Sens!$L$448</f>
        <v>408.158699298813</v>
      </c>
      <c r="M470" s="40" t="n">
        <f aca="false">Sens!$M$448</f>
        <v>436.291340823472</v>
      </c>
      <c r="N470" s="40" t="n">
        <f aca="false">Sens!$N$448</f>
        <v>93.146</v>
      </c>
      <c r="O470" s="40" t="n">
        <f aca="false">Sens!$O$448</f>
        <v>35.579</v>
      </c>
    </row>
    <row r="471" customFormat="false" ht="17.15" hidden="false" customHeight="false" outlineLevel="0" collapsed="false">
      <c r="A471" s="0" t="s">
        <v>750</v>
      </c>
      <c r="B471" s="0" t="s">
        <v>91</v>
      </c>
      <c r="C471" s="40" t="n">
        <f aca="false">Sens!$C$446</f>
        <v>2.32100535697364</v>
      </c>
      <c r="D471" s="40" t="n">
        <f aca="false">Sens!$D$446</f>
        <v>8.70377008865116</v>
      </c>
      <c r="E471" s="40" t="n">
        <f aca="false">Sens!$E$446</f>
        <v>16.2007080559478</v>
      </c>
      <c r="F471" s="40" t="n">
        <f aca="false">Sens!$F$446</f>
        <v>8.11668198621236</v>
      </c>
      <c r="G471" s="40" t="n">
        <f aca="false">Sens!$G$446</f>
        <v>24.3173900421601</v>
      </c>
      <c r="H471" s="40" t="n">
        <f aca="false">Sens!$H$446</f>
        <v>53.8910944539304</v>
      </c>
      <c r="I471" s="40" t="n">
        <f aca="false">Sens!$I$446</f>
        <v>89.008867070189</v>
      </c>
      <c r="J471" s="40" t="n">
        <f aca="false">Sens!$J$446</f>
        <v>124.318362246843</v>
      </c>
      <c r="K471" s="40" t="n">
        <f aca="false">Sens!$K$446</f>
        <v>154.432515216528</v>
      </c>
      <c r="L471" s="40" t="n">
        <f aca="false">Sens!$L$446</f>
        <v>174.213714489111</v>
      </c>
      <c r="M471" s="40" t="n">
        <f aca="false">Sens!$M$446</f>
        <v>183.630757228994</v>
      </c>
      <c r="N471" s="40" t="n">
        <f aca="false">Sens!$N$446</f>
        <v>5.54865343151512</v>
      </c>
      <c r="O471" s="40" t="n">
        <f aca="false">Sens!$O$446</f>
        <v>3.15511665713605</v>
      </c>
    </row>
    <row r="472" customFormat="false" ht="17.15" hidden="false" customHeight="false" outlineLevel="0" collapsed="false">
      <c r="A472" s="0" t="s">
        <v>752</v>
      </c>
      <c r="B472" s="0" t="s">
        <v>91</v>
      </c>
      <c r="C472" s="40" t="n">
        <f aca="false">Sens!$C$447</f>
        <v>105.234994643026</v>
      </c>
      <c r="D472" s="40" t="n">
        <f aca="false">Sens!$D$447</f>
        <v>120.021229911349</v>
      </c>
      <c r="E472" s="40" t="n">
        <f aca="false">Sens!$E$447</f>
        <v>109.602291944052</v>
      </c>
      <c r="F472" s="40" t="n">
        <f aca="false">Sens!$F$447</f>
        <v>36.9796603355509</v>
      </c>
      <c r="G472" s="40" t="n">
        <f aca="false">Sens!$G$447</f>
        <v>146.581952279603</v>
      </c>
      <c r="H472" s="40" t="n">
        <f aca="false">Sens!$H$447</f>
        <v>164.960415168217</v>
      </c>
      <c r="I472" s="40" t="n">
        <f aca="false">Sens!$I$447</f>
        <v>183.1478640969</v>
      </c>
      <c r="J472" s="40" t="n">
        <f aca="false">Sens!$J$447</f>
        <v>200.570117292268</v>
      </c>
      <c r="K472" s="40" t="n">
        <f aca="false">Sens!$K$447</f>
        <v>216.615726675649</v>
      </c>
      <c r="L472" s="40" t="n">
        <f aca="false">Sens!$L$447</f>
        <v>233.944984809701</v>
      </c>
      <c r="M472" s="40" t="n">
        <f aca="false">Sens!$M$447</f>
        <v>252.660583594477</v>
      </c>
      <c r="N472" s="40" t="n">
        <f aca="false">Sens!$N$447</f>
        <v>87.5973465684849</v>
      </c>
      <c r="O472" s="40" t="n">
        <f aca="false">Sens!$O$447</f>
        <v>32.423883342864</v>
      </c>
    </row>
    <row r="473" customFormat="false" ht="15" hidden="false" customHeight="false" outlineLevel="0" collapsed="false">
      <c r="A473" s="3" t="s">
        <v>562</v>
      </c>
      <c r="B473" s="8" t="s">
        <v>91</v>
      </c>
      <c r="C473" s="40" t="n">
        <f aca="false">Sens!$C$449</f>
        <v>637.959</v>
      </c>
      <c r="D473" s="40" t="n">
        <f aca="false">Sens!$D$449</f>
        <v>716.924</v>
      </c>
      <c r="E473" s="40" t="n">
        <f aca="false">Sens!$E$449</f>
        <v>584.069</v>
      </c>
      <c r="F473" s="40" t="n">
        <f aca="false">Sens!$F$449</f>
        <v>243.5</v>
      </c>
      <c r="G473" s="40" t="n">
        <f aca="false">Sens!$G$449</f>
        <v>827.569</v>
      </c>
      <c r="H473" s="40" t="n">
        <f aca="false">Sens!$H$449</f>
        <v>944.082052258761</v>
      </c>
      <c r="I473" s="40" t="n">
        <f aca="false">Sens!$I$449</f>
        <v>1063.75274817013</v>
      </c>
      <c r="J473" s="40" t="n">
        <f aca="false">Sens!$J$449</f>
        <v>1178.37393036781</v>
      </c>
      <c r="K473" s="40" t="n">
        <f aca="false">Sens!$K$449</f>
        <v>1279.58542771408</v>
      </c>
      <c r="L473" s="40" t="n">
        <f aca="false">Sens!$L$449</f>
        <v>1375.57413318493</v>
      </c>
      <c r="M473" s="40" t="n">
        <f aca="false">Sens!$M$449</f>
        <v>1466.69734822378</v>
      </c>
      <c r="N473" s="40" t="n">
        <f aca="false">Sens!$N$449</f>
        <v>503.538</v>
      </c>
      <c r="O473" s="40" t="n">
        <f aca="false">Sens!$O$449</f>
        <v>213.386</v>
      </c>
    </row>
    <row r="474" customFormat="false" ht="17.15" hidden="false" customHeight="false" outlineLevel="0" collapsed="false">
      <c r="A474" s="27" t="s">
        <v>762</v>
      </c>
      <c r="B474" s="28" t="s">
        <v>91</v>
      </c>
      <c r="C474" s="43" t="n">
        <f aca="false">Sens!$C$461+Sens!$C$462+Sens!$C$463+Sens!$C$464+Sens!$C$465+Sens!$C$466-(Sens!$C$468+Sens!$C$469)</f>
        <v>0</v>
      </c>
      <c r="D474" s="43" t="n">
        <f aca="false">Sens!$D$461+Sens!$D$462+Sens!$D$463+Sens!$D$464+Sens!$D$465+Sens!$D$466-(Sens!$D$468+Sens!$D$469)</f>
        <v>0</v>
      </c>
      <c r="E474" s="43" t="n">
        <f aca="false">Sens!$E$461+Sens!$E$462+Sens!$E$463+Sens!$E$464+Sens!$E$465+Sens!$E$466-(Sens!$E$468+Sens!$E$469)</f>
        <v>0</v>
      </c>
      <c r="F474" s="43" t="n">
        <f aca="false">Sens!$F$461+Sens!$F$462+Sens!$F$463+Sens!$F$464+Sens!$F$465+Sens!$F$466-(Sens!$F$468+Sens!$F$469)</f>
        <v>0</v>
      </c>
      <c r="G474" s="43" t="n">
        <f aca="false">Sens!$G$461+Sens!$G$462+Sens!$G$463+Sens!$G$464+Sens!$G$465+Sens!$G$466-(Sens!$G$468+Sens!$G$469)</f>
        <v>0</v>
      </c>
      <c r="H474" s="43" t="n">
        <f aca="false">Sens!$H$461+Sens!$H$462+Sens!$H$463+Sens!$H$464+Sens!$H$465+Sens!$H$466-(Sens!$H$468+Sens!$H$469)</f>
        <v>0</v>
      </c>
      <c r="I474" s="43" t="n">
        <f aca="false">Sens!$I$461+Sens!$I$462+Sens!$I$463+Sens!$I$464+Sens!$I$465+Sens!$I$466-(Sens!$I$468+Sens!$I$469)</f>
        <v>0</v>
      </c>
      <c r="J474" s="43" t="n">
        <f aca="false">Sens!$J$461+Sens!$J$462+Sens!$J$463+Sens!$J$464+Sens!$J$465+Sens!$J$466-(Sens!$J$468+Sens!$J$469)</f>
        <v>0</v>
      </c>
      <c r="K474" s="43" t="n">
        <f aca="false">Sens!$K$461+Sens!$K$462+Sens!$K$463+Sens!$K$464+Sens!$K$465+Sens!$K$466-(Sens!$K$468+Sens!$K$469)</f>
        <v>0</v>
      </c>
      <c r="L474" s="43" t="n">
        <f aca="false">Sens!$L$461+Sens!$L$462+Sens!$L$463+Sens!$L$464+Sens!$L$465+Sens!$L$466-(Sens!$L$468+Sens!$L$469)</f>
        <v>0</v>
      </c>
      <c r="M474" s="43" t="n">
        <f aca="false">Sens!$M$461+Sens!$M$462+Sens!$M$463+Sens!$M$464+Sens!$M$465+Sens!$M$466-(Sens!$M$468+Sens!$M$469)</f>
        <v>0</v>
      </c>
      <c r="N474" s="43" t="n">
        <f aca="false">Sens!$N$461+Sens!$N$462+Sens!$N$463+Sens!$N$464+Sens!$N$465+Sens!$N$466-(Sens!$N$468+Sens!$N$469)</f>
        <v>0</v>
      </c>
      <c r="O474" s="43" t="n">
        <f aca="false">Sens!$O$461+Sens!$O$462+Sens!$O$463+Sens!$O$464+Sens!$O$465+Sens!$O$466-(Sens!$O$468+Sens!$O$469)</f>
        <v>0</v>
      </c>
    </row>
    <row r="475" customFormat="false" ht="17.15" hidden="false" customHeight="false" outlineLevel="0" collapsed="false">
      <c r="A475" s="27" t="s">
        <v>763</v>
      </c>
      <c r="B475" s="28" t="s">
        <v>91</v>
      </c>
      <c r="C475" s="43" t="n">
        <f aca="false">Sens!$C$471+Sens!$C$472-Sens!$C$470</f>
        <v>0</v>
      </c>
      <c r="D475" s="43" t="n">
        <f aca="false">Sens!$D$471+Sens!$D$472-Sens!$D$470</f>
        <v>0</v>
      </c>
      <c r="E475" s="43" t="n">
        <f aca="false">Sens!$E$471+Sens!$E$472-Sens!$E$470</f>
        <v>0</v>
      </c>
      <c r="F475" s="43" t="n">
        <f aca="false">Sens!$F$471+Sens!$F$472-Sens!$F$470</f>
        <v>0</v>
      </c>
      <c r="G475" s="43" t="n">
        <f aca="false">Sens!$G$471+Sens!$G$472-Sens!$G$470</f>
        <v>0</v>
      </c>
      <c r="H475" s="43" t="n">
        <f aca="false">Sens!$H$471+Sens!$H$472-Sens!$H$470</f>
        <v>0</v>
      </c>
      <c r="I475" s="43" t="n">
        <f aca="false">Sens!$I$471+Sens!$I$472-Sens!$I$470</f>
        <v>0</v>
      </c>
      <c r="J475" s="43" t="n">
        <f aca="false">Sens!$J$471+Sens!$J$472-Sens!$J$470</f>
        <v>0</v>
      </c>
      <c r="K475" s="43" t="n">
        <f aca="false">Sens!$K$471+Sens!$K$472-Sens!$K$470</f>
        <v>0</v>
      </c>
      <c r="L475" s="43" t="n">
        <f aca="false">Sens!$L$471+Sens!$L$472-Sens!$L$470</f>
        <v>0</v>
      </c>
      <c r="M475" s="43" t="n">
        <f aca="false">Sens!$M$471+Sens!$M$472-Sens!$M$470</f>
        <v>0</v>
      </c>
      <c r="N475" s="43" t="n">
        <f aca="false">Sens!$N$471+Sens!$N$472-Sens!$N$470</f>
        <v>0</v>
      </c>
      <c r="O475" s="43" t="n">
        <f aca="false">Sens!$O$471+Sens!$O$472-Sens!$O$470</f>
        <v>0</v>
      </c>
    </row>
    <row r="476" customFormat="false" ht="17.15" hidden="false" customHeight="false" outlineLevel="0" collapsed="false">
      <c r="A476" s="27" t="s">
        <v>822</v>
      </c>
      <c r="B476" s="28" t="s">
        <v>91</v>
      </c>
      <c r="C476" s="43" t="n">
        <f aca="false">Sens!$C$461+Sens!$C$462+Sens!$C$463+Sens!$C$464+Sens!$C$465+Sens!$C$466+Sens!$C$467-Sens!$C$473</f>
        <v>0</v>
      </c>
      <c r="D476" s="43" t="n">
        <f aca="false">Sens!$D$461+Sens!$D$462+Sens!$D$463+Sens!$D$464+Sens!$D$465+Sens!$D$466+Sens!$D$467-Sens!$D$473</f>
        <v>0</v>
      </c>
      <c r="E476" s="43" t="n">
        <f aca="false">Sens!$E$461+Sens!$E$462+Sens!$E$463+Sens!$E$464+Sens!$E$465+Sens!$E$466+Sens!$E$467-Sens!$E$473</f>
        <v>0</v>
      </c>
      <c r="F476" s="43" t="n">
        <f aca="false">Sens!$F$461+Sens!$F$462+Sens!$F$463+Sens!$F$464+Sens!$F$465+Sens!$F$466+Sens!$F$467-Sens!$F$473</f>
        <v>0</v>
      </c>
      <c r="G476" s="43" t="n">
        <f aca="false">Sens!$G$461+Sens!$G$462+Sens!$G$463+Sens!$G$464+Sens!$G$465+Sens!$G$466+Sens!$G$467-Sens!$G$473</f>
        <v>0</v>
      </c>
      <c r="H476" s="43" t="n">
        <f aca="false">Sens!$H$461+Sens!$H$462+Sens!$H$463+Sens!$H$464+Sens!$H$465+Sens!$H$466+Sens!$H$467-Sens!$H$473</f>
        <v>0</v>
      </c>
      <c r="I476" s="43" t="n">
        <f aca="false">Sens!$I$461+Sens!$I$462+Sens!$I$463+Sens!$I$464+Sens!$I$465+Sens!$I$466+Sens!$I$467-Sens!$I$473</f>
        <v>0</v>
      </c>
      <c r="J476" s="43" t="n">
        <f aca="false">Sens!$J$461+Sens!$J$462+Sens!$J$463+Sens!$J$464+Sens!$J$465+Sens!$J$466+Sens!$J$467-Sens!$J$473</f>
        <v>0</v>
      </c>
      <c r="K476" s="43" t="n">
        <f aca="false">Sens!$K$461+Sens!$K$462+Sens!$K$463+Sens!$K$464+Sens!$K$465+Sens!$K$466+Sens!$K$467-Sens!$K$473</f>
        <v>0</v>
      </c>
      <c r="L476" s="43" t="n">
        <f aca="false">Sens!$L$461+Sens!$L$462+Sens!$L$463+Sens!$L$464+Sens!$L$465+Sens!$L$466+Sens!$L$467-Sens!$L$473</f>
        <v>0</v>
      </c>
      <c r="M476" s="43" t="n">
        <f aca="false">Sens!$M$461+Sens!$M$462+Sens!$M$463+Sens!$M$464+Sens!$M$465+Sens!$M$466+Sens!$M$467-Sens!$M$473</f>
        <v>0</v>
      </c>
      <c r="N476" s="43" t="n">
        <f aca="false">Sens!$N$461+Sens!$N$462+Sens!$N$463+Sens!$N$464+Sens!$N$465+Sens!$N$466+Sens!$N$467-Sens!$N$473</f>
        <v>0</v>
      </c>
      <c r="O476" s="43" t="n">
        <f aca="false">Sens!$O$461+Sens!$O$462+Sens!$O$463+Sens!$O$464+Sens!$O$465+Sens!$O$466+Sens!$O$467-Sens!$O$473</f>
        <v>0</v>
      </c>
    </row>
    <row r="477" customFormat="false" ht="17.15" hidden="false" customHeight="false" outlineLevel="0" collapsed="false">
      <c r="A477" s="27" t="s">
        <v>764</v>
      </c>
      <c r="B477" s="28" t="s">
        <v>91</v>
      </c>
      <c r="C477" s="43" t="n">
        <f aca="false">Sens!$C$468+Sens!$C$469+Sens!$C$470-Sens!$C$473</f>
        <v>0</v>
      </c>
      <c r="D477" s="43" t="n">
        <f aca="false">Sens!$D$468+Sens!$D$469+Sens!$D$470-Sens!$D$473</f>
        <v>0</v>
      </c>
      <c r="E477" s="43" t="n">
        <f aca="false">Sens!$E$468+Sens!$E$469+Sens!$E$470-Sens!$E$473</f>
        <v>0</v>
      </c>
      <c r="F477" s="43" t="n">
        <f aca="false">Sens!$F$468+Sens!$F$469+Sens!$F$470-Sens!$F$473</f>
        <v>0</v>
      </c>
      <c r="G477" s="43" t="n">
        <f aca="false">Sens!$G$468+Sens!$G$469+Sens!$G$470-Sens!$G$473</f>
        <v>0</v>
      </c>
      <c r="H477" s="43" t="n">
        <f aca="false">Sens!$H$468+Sens!$H$469+Sens!$H$470-Sens!$H$473</f>
        <v>0</v>
      </c>
      <c r="I477" s="43" t="n">
        <f aca="false">Sens!$I$468+Sens!$I$469+Sens!$I$470-Sens!$I$473</f>
        <v>0</v>
      </c>
      <c r="J477" s="43" t="n">
        <f aca="false">Sens!$J$468+Sens!$J$469+Sens!$J$470-Sens!$J$473</f>
        <v>0</v>
      </c>
      <c r="K477" s="43" t="n">
        <f aca="false">Sens!$K$468+Sens!$K$469+Sens!$K$470-Sens!$K$473</f>
        <v>0</v>
      </c>
      <c r="L477" s="43" t="n">
        <f aca="false">Sens!$L$468+Sens!$L$469+Sens!$L$470-Sens!$L$473</f>
        <v>0</v>
      </c>
      <c r="M477" s="43" t="n">
        <f aca="false">Sens!$M$468+Sens!$M$469+Sens!$M$470-Sens!$M$473</f>
        <v>0</v>
      </c>
      <c r="N477" s="43" t="n">
        <f aca="false">Sens!$N$468+Sens!$N$469+Sens!$N$470-Sens!$N$473</f>
        <v>0</v>
      </c>
      <c r="O477" s="43" t="n">
        <f aca="false">Sens!$O$468+Sens!$O$469+Sens!$O$470-Sens!$O$473</f>
        <v>0</v>
      </c>
    </row>
    <row r="478" customFormat="false" ht="17.15" hidden="false" customHeight="false" outlineLevel="0" collapsed="false">
      <c r="A478" s="1" t="s">
        <v>778</v>
      </c>
    </row>
    <row r="479" customFormat="false" ht="17.15" hidden="false" customHeight="false" outlineLevel="0" collapsed="false">
      <c r="A479" s="0" t="s">
        <v>779</v>
      </c>
      <c r="B479" s="0" t="s">
        <v>91</v>
      </c>
      <c r="C479" s="40" t="n">
        <f aca="false">Sens!$C$377*m_ad</f>
        <v>20.5341564414228</v>
      </c>
      <c r="D479" s="40" t="n">
        <f aca="false">Sens!$D$377*m_ad</f>
        <v>24.8720617299587</v>
      </c>
      <c r="E479" s="40" t="n">
        <f aca="false">Sens!$E$377*m_ad</f>
        <v>20.6072319438929</v>
      </c>
      <c r="F479" s="40" t="n">
        <f aca="false">Sens!$F$377*m_ad</f>
        <v>9.11560896886989</v>
      </c>
      <c r="G479" s="40" t="n">
        <f aca="false">Sens!$G$377*m_ad</f>
        <v>29.7269830141693</v>
      </c>
      <c r="H479" s="40" t="n">
        <f aca="false">Sens!$H$377*m_ad</f>
        <v>34.885573887113</v>
      </c>
      <c r="I479" s="40" t="n">
        <f aca="false">Sens!$I$377*m_ad</f>
        <v>40.0842749249334</v>
      </c>
      <c r="J479" s="40" t="n">
        <f aca="false">Sens!$J$377*m_ad</f>
        <v>45.0751983398651</v>
      </c>
      <c r="K479" s="40" t="n">
        <f aca="false">Sens!$K$377*m_ad</f>
        <v>49.5827181738516</v>
      </c>
      <c r="L479" s="40" t="n">
        <f aca="false">Sens!$L$377*m_ad</f>
        <v>54.5409899912368</v>
      </c>
      <c r="M479" s="40" t="n">
        <f aca="false">Sens!$M$377*m_ad</f>
        <v>59.9950889903605</v>
      </c>
      <c r="N479" s="40" t="n">
        <f aca="false">Sens!$N$377*m_ad</f>
        <v>17.2500762636699</v>
      </c>
      <c r="O479" s="40" t="n">
        <f aca="false">Sens!$O$377*m_ad</f>
        <v>7.61788993402959</v>
      </c>
    </row>
    <row r="480" customFormat="false" ht="17.15" hidden="false" customHeight="false" outlineLevel="0" collapsed="false">
      <c r="A480" s="0" t="s">
        <v>780</v>
      </c>
      <c r="B480" s="0" t="s">
        <v>91</v>
      </c>
      <c r="C480" s="40" t="n">
        <f aca="false">Sens!$C$375-Sens!$C$377</f>
        <v>346.428687117154</v>
      </c>
      <c r="D480" s="40" t="n">
        <f aca="false">Sens!$D$375-Sens!$D$377</f>
        <v>376.560876540083</v>
      </c>
      <c r="E480" s="40" t="n">
        <f aca="false">Sens!$E$375-Sens!$E$377</f>
        <v>291.957536112214</v>
      </c>
      <c r="F480" s="40" t="n">
        <f aca="false">Sens!$F$375-Sens!$F$377</f>
        <v>123.572715702237</v>
      </c>
      <c r="G480" s="40" t="n">
        <f aca="false">Sens!$G$375-Sens!$G$377</f>
        <v>415.521967611638</v>
      </c>
      <c r="H480" s="40" t="n">
        <f aca="false">Sens!$H$375-Sens!$H$377</f>
        <v>454.795580816482</v>
      </c>
      <c r="I480" s="40" t="n">
        <f aca="false">Sens!$I$375-Sens!$I$377</f>
        <v>492.401010575808</v>
      </c>
      <c r="J480" s="40" t="n">
        <f aca="false">Sens!$J$375-Sens!$J$377</f>
        <v>527.184429309948</v>
      </c>
      <c r="K480" s="40" t="n">
        <f aca="false">Sens!$K$375-Sens!$K$377</f>
        <v>557.988877144035</v>
      </c>
      <c r="L480" s="40" t="n">
        <f aca="false">Sens!$L$375-Sens!$L$377</f>
        <v>590.659577366795</v>
      </c>
      <c r="M480" s="40" t="n">
        <f aca="false">Sens!$M$375-Sens!$M$377</f>
        <v>625.313110621986</v>
      </c>
      <c r="N480" s="40" t="n">
        <f aca="false">Sens!$N$375-Sens!$N$377</f>
        <v>264.72184747266</v>
      </c>
      <c r="O480" s="40" t="n">
        <f aca="false">Sens!$O$375-Sens!$O$377</f>
        <v>111.847220131941</v>
      </c>
    </row>
    <row r="481" customFormat="false" ht="17.15" hidden="false" customHeight="false" outlineLevel="0" collapsed="false">
      <c r="A481" s="0" t="s">
        <v>781</v>
      </c>
      <c r="B481" s="0" t="s">
        <v>91</v>
      </c>
      <c r="C481" s="40" t="n">
        <f aca="false">Sens!$C$432*Sens!$C$374</f>
        <v>0.123617442257179</v>
      </c>
      <c r="D481" s="40" t="n">
        <f aca="false">Sens!$D$432*Sens!$D$374</f>
        <v>0.600198046024689</v>
      </c>
      <c r="E481" s="40" t="n">
        <f aca="false">Sens!$E$432*Sens!$E$374</f>
        <v>1.79684576634217</v>
      </c>
      <c r="F481" s="40" t="n">
        <f aca="false">Sens!$F$432*Sens!$F$374</f>
        <v>0.716034696898591</v>
      </c>
      <c r="G481" s="40" t="n">
        <f aca="false">Sens!$G$432*Sens!$G$374</f>
        <v>2.5122950160711</v>
      </c>
      <c r="H481" s="40" t="n">
        <f aca="false">Sens!$H$432*Sens!$H$374</f>
        <v>6.1781654144787</v>
      </c>
      <c r="I481" s="40" t="n">
        <f aca="false">Sens!$I$432*Sens!$I$374</f>
        <v>12.2057887966665</v>
      </c>
      <c r="J481" s="40" t="n">
        <f aca="false">Sens!$J$432*Sens!$J$374</f>
        <v>17.3895531540207</v>
      </c>
      <c r="K481" s="40" t="n">
        <f aca="false">Sens!$K$432*Sens!$K$374</f>
        <v>22.4203980731686</v>
      </c>
      <c r="L481" s="40" t="n">
        <f aca="false">Sens!$L$432*Sens!$L$374</f>
        <v>25.8643648979611</v>
      </c>
      <c r="M481" s="40" t="n">
        <f aca="false">Sens!$M$432*Sens!$M$374</f>
        <v>27.571787048284</v>
      </c>
      <c r="N481" s="40" t="n">
        <f aca="false">Sens!$N$432*Sens!$N$374</f>
        <v>0.413319819188593</v>
      </c>
      <c r="O481" s="40" t="n">
        <f aca="false">Sens!$O$432*Sens!$O$374</f>
        <v>0.186721201823987</v>
      </c>
    </row>
    <row r="482" customFormat="false" ht="17.15" hidden="false" customHeight="false" outlineLevel="0" collapsed="false">
      <c r="A482" s="0" t="s">
        <v>782</v>
      </c>
      <c r="B482" s="0" t="s">
        <v>56</v>
      </c>
      <c r="C482" s="32" t="n">
        <f aca="false">(Sens!$C$483-Sens!$C$479+Sens!$C$481)/Sens!$C$480</f>
        <v>0.0131526665379575</v>
      </c>
      <c r="D482" s="32" t="n">
        <f aca="false">(Sens!$D$483-Sens!$D$479+Sens!$D$481)/Sens!$D$480</f>
        <v>0.0141999252954702</v>
      </c>
      <c r="E482" s="32" t="n">
        <f aca="false">(Sens!$E$483-Sens!$E$479+Sens!$E$481)/Sens!$E$480</f>
        <v>0.0250125888843046</v>
      </c>
      <c r="F482" s="32" t="n">
        <f aca="false">Sens!$O$482+(Sens!$E$482-Sens!$N$482)</f>
        <v>0.056191211622316</v>
      </c>
      <c r="G482" s="32" t="n">
        <f aca="false">(Sens!$G$483-Sens!$G$479+Sens!$G$481)/Sens!$G$480</f>
        <v>0.0342739686532108</v>
      </c>
      <c r="H482" s="32" t="n">
        <f aca="false">Sens!$G$482+step_na</f>
        <v>0.0372739686532108</v>
      </c>
      <c r="I482" s="32" t="n">
        <f aca="false">Sens!$H$482+step_na</f>
        <v>0.0402739686532108</v>
      </c>
      <c r="J482" s="32" t="n">
        <f aca="false">Sens!$I$482+step_na</f>
        <v>0.0432739686532108</v>
      </c>
      <c r="K482" s="32" t="n">
        <f aca="false">Sens!$J$482+step_na</f>
        <v>0.0462739686532108</v>
      </c>
      <c r="L482" s="32" t="n">
        <f aca="false">Sens!$K$482</f>
        <v>0.0462739686532108</v>
      </c>
      <c r="M482" s="32" t="n">
        <f aca="false">Sens!$L$482</f>
        <v>0.0462739686532108</v>
      </c>
      <c r="N482" s="32" t="n">
        <f aca="false">(Sens!$N$483-Sens!$N$479+Sens!$N$481)/Sens!$N$480</f>
        <v>0.00494951046930139</v>
      </c>
      <c r="O482" s="32" t="n">
        <f aca="false">(Sens!$O$483-Sens!$O$479+Sens!$O$481)/Sens!$O$480</f>
        <v>0.0361281332073128</v>
      </c>
      <c r="P482" s="8" t="s">
        <v>783</v>
      </c>
    </row>
    <row r="483" customFormat="false" ht="17.15" hidden="false" customHeight="false" outlineLevel="0" collapsed="false">
      <c r="A483" s="1" t="s">
        <v>784</v>
      </c>
      <c r="B483" s="8" t="s">
        <v>91</v>
      </c>
      <c r="C483" s="40" t="n">
        <f aca="false">Q!$D$23</f>
        <v>24.967</v>
      </c>
      <c r="D483" s="40" t="n">
        <f aca="false">Q!$E$23</f>
        <v>29.619</v>
      </c>
      <c r="E483" s="40" t="n">
        <f aca="false">Q!$O$23</f>
        <v>26.113</v>
      </c>
      <c r="F483" s="40" t="n">
        <f aca="false">Sens!$F$479+Sens!$F$480*Sens!$F$482-Sens!$F$481</f>
        <v>15.34327489074</v>
      </c>
      <c r="G483" s="40" t="n">
        <f aca="false">Sens!$E$483+Sens!$F$483</f>
        <v>41.45627489074</v>
      </c>
      <c r="H483" s="40" t="n">
        <f aca="false">Sens!$H$479+Sens!$H$480*Sens!$H$482-Sens!$H$481</f>
        <v>45.6594446956066</v>
      </c>
      <c r="I483" s="40" t="n">
        <f aca="false">Sens!$I$479+Sens!$I$480*Sens!$I$482-Sens!$I$481</f>
        <v>47.7094289930064</v>
      </c>
      <c r="J483" s="40" t="n">
        <f aca="false">Sens!$J$479+Sens!$J$480*Sens!$J$482-Sens!$J$481</f>
        <v>50.499007654264</v>
      </c>
      <c r="K483" s="40" t="n">
        <f aca="false">Sens!$K$479+Sens!$K$480*Sens!$K$482-Sens!$K$481</f>
        <v>52.9826799104864</v>
      </c>
      <c r="L483" s="40" t="n">
        <f aca="false">Sens!$L$479+Sens!$L$480*Sens!$L$482-Sens!$L$481</f>
        <v>56.0087878610655</v>
      </c>
      <c r="M483" s="40" t="n">
        <f aca="false">Sens!$M$479+Sens!$M$480*Sens!$M$482-Sens!$M$481</f>
        <v>61.35902122144</v>
      </c>
      <c r="N483" s="40" t="n">
        <f aca="false">Q!$N$23</f>
        <v>18.147</v>
      </c>
      <c r="O483" s="40" t="n">
        <f aca="false">Q!$J$23</f>
        <v>11.472</v>
      </c>
    </row>
    <row r="484" customFormat="false" ht="17.15" hidden="false" customHeight="false" outlineLevel="0" collapsed="false">
      <c r="A484" s="0" t="s">
        <v>785</v>
      </c>
      <c r="B484" s="0" t="s">
        <v>91</v>
      </c>
      <c r="C484" s="40" t="n">
        <f aca="false">Sens!$C$378*m_ad</f>
        <v>7.57284355857716</v>
      </c>
      <c r="D484" s="40" t="n">
        <f aca="false">Sens!$D$378*m_ad</f>
        <v>9.44543827004127</v>
      </c>
      <c r="E484" s="40" t="n">
        <f aca="false">Sens!$E$378*m_ad</f>
        <v>7.73726805610715</v>
      </c>
      <c r="F484" s="40" t="n">
        <f aca="false">Sens!$F$378*m_ad</f>
        <v>3.63841071848285</v>
      </c>
      <c r="G484" s="40" t="n">
        <f aca="false">Sens!$G$378*m_ad</f>
        <v>11.3715366731834</v>
      </c>
      <c r="H484" s="40" t="n">
        <f aca="false">Sens!$H$378*m_ad</f>
        <v>13.3448652570383</v>
      </c>
      <c r="I484" s="40" t="n">
        <f aca="false">Sens!$I$378*m_ad</f>
        <v>15.3335372819226</v>
      </c>
      <c r="J484" s="40" t="n">
        <f aca="false">Sens!$J$378*m_ad</f>
        <v>17.2427276164713</v>
      </c>
      <c r="K484" s="40" t="n">
        <f aca="false">Sens!$K$378*m_ad</f>
        <v>18.9670003781185</v>
      </c>
      <c r="L484" s="40" t="n">
        <f aca="false">Sens!$L$378*m_ad</f>
        <v>20.8637004159303</v>
      </c>
      <c r="M484" s="40" t="n">
        <f aca="false">Sens!$M$378*m_ad</f>
        <v>22.9500704575234</v>
      </c>
      <c r="N484" s="40" t="n">
        <f aca="false">Sens!$N$378*m_ad</f>
        <v>6.40892373633015</v>
      </c>
      <c r="O484" s="40" t="n">
        <f aca="false">Sens!$O$378*m_ad</f>
        <v>3.04061006597041</v>
      </c>
    </row>
    <row r="485" customFormat="false" ht="17.15" hidden="false" customHeight="false" outlineLevel="0" collapsed="false">
      <c r="A485" s="0" t="s">
        <v>786</v>
      </c>
      <c r="B485" s="0" t="s">
        <v>91</v>
      </c>
      <c r="C485" s="40" t="n">
        <f aca="false">Sens!$C$376-Sens!$C$378</f>
        <v>127.760312882846</v>
      </c>
      <c r="D485" s="40" t="n">
        <f aca="false">Sens!$D$376-Sens!$D$378</f>
        <v>143.003123459917</v>
      </c>
      <c r="E485" s="40" t="n">
        <f aca="false">Sens!$E$376-Sens!$E$378</f>
        <v>109.619463887786</v>
      </c>
      <c r="F485" s="40" t="n">
        <f aca="false">Sens!$F$376-Sens!$F$378</f>
        <v>49.3229026012942</v>
      </c>
      <c r="G485" s="40" t="n">
        <f aca="false">Sens!$G$376-Sens!$G$378</f>
        <v>158.950650691893</v>
      </c>
      <c r="H485" s="40" t="n">
        <f aca="false">Sens!$H$376-Sens!$H$378</f>
        <v>173.974083531829</v>
      </c>
      <c r="I485" s="40" t="n">
        <f aca="false">Sens!$I$376-Sens!$I$378</f>
        <v>188.359382013521</v>
      </c>
      <c r="J485" s="40" t="n">
        <f aca="false">Sens!$J$376-Sens!$J$378</f>
        <v>201.665169606074</v>
      </c>
      <c r="K485" s="40" t="n">
        <f aca="false">Sens!$K$376-Sens!$K$378</f>
        <v>213.44887157393</v>
      </c>
      <c r="L485" s="40" t="n">
        <f aca="false">Sens!$L$376-Sens!$L$378</f>
        <v>225.946475704985</v>
      </c>
      <c r="M485" s="40" t="n">
        <f aca="false">Sens!$M$376-Sens!$M$378</f>
        <v>239.202577882557</v>
      </c>
      <c r="N485" s="40" t="n">
        <f aca="false">Sens!$N$376-Sens!$N$378</f>
        <v>98.3521525273397</v>
      </c>
      <c r="O485" s="40" t="n">
        <f aca="false">Sens!$O$376-Sens!$O$378</f>
        <v>44.6427798680592</v>
      </c>
    </row>
    <row r="486" customFormat="false" ht="17.15" hidden="false" customHeight="false" outlineLevel="0" collapsed="false">
      <c r="A486" s="0" t="s">
        <v>787</v>
      </c>
      <c r="B486" s="0" t="s">
        <v>91</v>
      </c>
      <c r="C486" s="40" t="n">
        <f aca="false">Sens!$C$432*(1-Sens!$C$374)</f>
        <v>0.0455891896019953</v>
      </c>
      <c r="D486" s="40" t="n">
        <f aca="false">Sens!$D$432*(1-Sens!$D$374)</f>
        <v>0.227931791705753</v>
      </c>
      <c r="E486" s="40" t="n">
        <f aca="false">Sens!$E$432*(1-Sens!$E$374)</f>
        <v>0.674650403679804</v>
      </c>
      <c r="F486" s="40" t="n">
        <f aca="false">Sens!$F$432*(1-Sens!$F$374)</f>
        <v>0.285798603790311</v>
      </c>
      <c r="G486" s="40" t="n">
        <f aca="false">Sens!$G$432*(1-Sens!$G$374)</f>
        <v>0.961034454639784</v>
      </c>
      <c r="H486" s="40" t="n">
        <f aca="false">Sens!$H$432*(1-Sens!$H$374)</f>
        <v>2.36334896650127</v>
      </c>
      <c r="I486" s="40" t="n">
        <f aca="false">Sens!$I$432*(1-Sens!$I$374)</f>
        <v>4.66911071534793</v>
      </c>
      <c r="J486" s="40" t="n">
        <f aca="false">Sens!$J$432*(1-Sens!$J$374)</f>
        <v>6.65206897474133</v>
      </c>
      <c r="K486" s="40" t="n">
        <f aca="false">Sens!$K$432*(1-Sens!$K$374)</f>
        <v>8.57653058148831</v>
      </c>
      <c r="L486" s="40" t="n">
        <f aca="false">Sens!$L$432*(1-Sens!$L$374)</f>
        <v>9.89395976798492</v>
      </c>
      <c r="M486" s="40" t="n">
        <f aca="false">Sens!$M$432*(1-Sens!$M$374)</f>
        <v>10.5471042054728</v>
      </c>
      <c r="N486" s="40" t="n">
        <f aca="false">Sens!$N$432*(1-Sens!$N$374)</f>
        <v>0.153560781958532</v>
      </c>
      <c r="O486" s="40" t="n">
        <f aca="false">Sens!$O$432*(1-Sens!$O$374)</f>
        <v>0.0745280347593297</v>
      </c>
    </row>
    <row r="487" customFormat="false" ht="17.15" hidden="false" customHeight="false" outlineLevel="0" collapsed="false">
      <c r="A487" s="0" t="s">
        <v>788</v>
      </c>
      <c r="B487" s="0" t="s">
        <v>56</v>
      </c>
      <c r="C487" s="32" t="n">
        <f aca="false">(Sens!$C$488-Sens!$C$484+Sens!$C$486)/Sens!$C$485</f>
        <v>-0.0292364215826579</v>
      </c>
      <c r="D487" s="32" t="n">
        <f aca="false">(Sens!$D$488-Sens!$D$484+Sens!$D$486)/Sens!$D$485</f>
        <v>-0.0312406216748665</v>
      </c>
      <c r="E487" s="32" t="n">
        <f aca="false">(Sens!$E$488-Sens!$E$484+Sens!$E$486)/Sens!$E$485</f>
        <v>-0.0213613310025343</v>
      </c>
      <c r="F487" s="32" t="n">
        <f aca="false">Sens!$O$487+(Sens!$E$487-Sens!$N$487)</f>
        <v>-0.0386255491636166</v>
      </c>
      <c r="G487" s="32" t="n">
        <f aca="false">(Sens!$G$488-Sens!$G$484+Sens!$G$486)/Sens!$G$485</f>
        <v>-0.0266876183564186</v>
      </c>
      <c r="H487" s="32" t="n">
        <f aca="false">Sens!$G$487+step_in</f>
        <v>-0.0266876183564186</v>
      </c>
      <c r="I487" s="32" t="n">
        <f aca="false">Sens!$H$487+step_in</f>
        <v>-0.0266876183564186</v>
      </c>
      <c r="J487" s="32" t="n">
        <f aca="false">Sens!$I$487+step_in</f>
        <v>-0.0266876183564186</v>
      </c>
      <c r="K487" s="32" t="n">
        <f aca="false">Sens!$J$487+step_in</f>
        <v>-0.0266876183564186</v>
      </c>
      <c r="L487" s="32" t="n">
        <f aca="false">Sens!$K$487</f>
        <v>-0.0266876183564186</v>
      </c>
      <c r="M487" s="32" t="n">
        <f aca="false">Sens!$L$487</f>
        <v>-0.0266876183564186</v>
      </c>
      <c r="N487" s="32" t="n">
        <f aca="false">(Sens!$N$488-Sens!$N$484+Sens!$N$486)/Sens!$N$485</f>
        <v>-0.0258800940189292</v>
      </c>
      <c r="O487" s="32" t="n">
        <f aca="false">(Sens!$O$488-Sens!$O$484+Sens!$O$486)/Sens!$O$485</f>
        <v>-0.0431443121800115</v>
      </c>
      <c r="P487" s="8" t="s">
        <v>783</v>
      </c>
    </row>
    <row r="488" customFormat="false" ht="17.15" hidden="false" customHeight="false" outlineLevel="0" collapsed="false">
      <c r="A488" s="1" t="s">
        <v>789</v>
      </c>
      <c r="B488" s="8" t="s">
        <v>91</v>
      </c>
      <c r="C488" s="40" t="n">
        <f aca="false">Q!$D$24</f>
        <v>3.792</v>
      </c>
      <c r="D488" s="40" t="n">
        <f aca="false">Q!$E$24</f>
        <v>4.75</v>
      </c>
      <c r="E488" s="40" t="n">
        <f aca="false">Q!$O$24</f>
        <v>4.721</v>
      </c>
      <c r="F488" s="40" t="n">
        <f aca="false">Sens!$F$484+Sens!$F$485*Sens!$F$487-Sens!$F$486</f>
        <v>1.44748791537398</v>
      </c>
      <c r="G488" s="40" t="n">
        <f aca="false">Sens!$E$488+Sens!$F$488</f>
        <v>6.16848791537398</v>
      </c>
      <c r="H488" s="40" t="n">
        <f aca="false">Sens!$H$484+Sens!$H$485*Sens!$H$487-Sens!$H$486</f>
        <v>6.33856234533184</v>
      </c>
      <c r="I488" s="40" t="n">
        <f aca="false">Sens!$I$484+Sens!$I$485*Sens!$I$487-Sens!$I$486</f>
        <v>5.637563265547</v>
      </c>
      <c r="J488" s="40" t="n">
        <f aca="false">Sens!$J$484+Sens!$J$485*Sens!$J$487-Sens!$J$486</f>
        <v>5.20869555950068</v>
      </c>
      <c r="K488" s="40" t="n">
        <f aca="false">Sens!$K$484+Sens!$K$485*Sens!$K$487-Sens!$K$486</f>
        <v>4.69402777345693</v>
      </c>
      <c r="L488" s="40" t="n">
        <f aca="false">Sens!$L$484+Sens!$L$485*Sens!$L$487-Sens!$L$486</f>
        <v>4.93976733535296</v>
      </c>
      <c r="M488" s="40" t="n">
        <f aca="false">Sens!$M$484+Sens!$M$485*Sens!$M$487-Sens!$M$486</f>
        <v>6.01921914364936</v>
      </c>
      <c r="N488" s="40" t="n">
        <f aca="false">Q!$N$24</f>
        <v>3.71</v>
      </c>
      <c r="O488" s="40" t="n">
        <f aca="false">Q!$J$24</f>
        <v>1.04</v>
      </c>
    </row>
    <row r="489" customFormat="false" ht="17.15" hidden="false" customHeight="false" outlineLevel="0" collapsed="false">
      <c r="A489" s="0" t="s">
        <v>790</v>
      </c>
      <c r="B489" s="0" t="s">
        <v>91</v>
      </c>
      <c r="C489" s="40" t="n">
        <f aca="false">Sens!$C$429</f>
        <v>1.64417882953695</v>
      </c>
      <c r="D489" s="40" t="n">
        <f aca="false">Sens!$D$429</f>
        <v>5.39125073772939</v>
      </c>
      <c r="E489" s="40" t="n">
        <f aca="false">Sens!$E$429</f>
        <v>6.31472337585987</v>
      </c>
      <c r="F489" s="40" t="n">
        <f aca="false">Sens!$F$429</f>
        <v>4.10934878345675</v>
      </c>
      <c r="G489" s="40" t="n">
        <f aca="false">Sens!$G$429</f>
        <v>10.4240721593166</v>
      </c>
      <c r="H489" s="40" t="n">
        <f aca="false">Sens!$H$429</f>
        <v>19.7250369300105</v>
      </c>
      <c r="I489" s="40" t="n">
        <f aca="false">Sens!$I$429</f>
        <v>21.5092690221314</v>
      </c>
      <c r="J489" s="40" t="n">
        <f aca="false">Sens!$J$429</f>
        <v>28.1518737317948</v>
      </c>
      <c r="K489" s="40" t="n">
        <f aca="false">Sens!$K$429</f>
        <v>30.4448005979007</v>
      </c>
      <c r="L489" s="40" t="n">
        <f aca="false">Sens!$L$429</f>
        <v>31.1804158253273</v>
      </c>
      <c r="M489" s="40" t="n">
        <f aca="false">Sens!$M$429</f>
        <v>31.1551922139669</v>
      </c>
      <c r="N489" s="40" t="n">
        <f aca="false">Sens!$N$429</f>
        <v>3.28113102692661</v>
      </c>
      <c r="O489" s="40" t="n">
        <f aca="false">Sens!$O$429</f>
        <v>2.11011971080278</v>
      </c>
    </row>
    <row r="490" customFormat="false" ht="17.15" hidden="false" customHeight="false" outlineLevel="0" collapsed="false">
      <c r="A490" s="0" t="s">
        <v>708</v>
      </c>
      <c r="B490" s="0" t="s">
        <v>91</v>
      </c>
      <c r="C490" s="40" t="n">
        <f aca="false">Sens!$C$434</f>
        <v>38.1898211704631</v>
      </c>
      <c r="D490" s="40" t="n">
        <f aca="false">Sens!$D$434</f>
        <v>40.2147492622706</v>
      </c>
      <c r="E490" s="40" t="n">
        <f aca="false">Sens!$E$434</f>
        <v>42.2402766241401</v>
      </c>
      <c r="F490" s="40" t="n">
        <f aca="false">Sens!$F$434</f>
        <v>13.6943139813566</v>
      </c>
      <c r="G490" s="40" t="n">
        <f aca="false">Sens!$G$434</f>
        <v>55.9345906054967</v>
      </c>
      <c r="H490" s="40" t="n">
        <f aca="false">Sens!$H$434</f>
        <v>61.088168450178</v>
      </c>
      <c r="I490" s="40" t="n">
        <f aca="false">Sens!$I$434</f>
        <v>67.8233475699772</v>
      </c>
      <c r="J490" s="40" t="n">
        <f aca="false">Sens!$J$434</f>
        <v>74.2751592782286</v>
      </c>
      <c r="K490" s="40" t="n">
        <f aca="false">Sens!$K$434</f>
        <v>80.2171720204868</v>
      </c>
      <c r="L490" s="40" t="n">
        <f aca="false">Sens!$L$434</f>
        <v>86.6345457821258</v>
      </c>
      <c r="M490" s="40" t="n">
        <f aca="false">Sens!$M$434</f>
        <v>93.5653094446959</v>
      </c>
      <c r="N490" s="40" t="n">
        <f aca="false">Sens!$N$434</f>
        <v>29.8598689730734</v>
      </c>
      <c r="O490" s="40" t="n">
        <f aca="false">Sens!$O$434</f>
        <v>10.3548802891972</v>
      </c>
    </row>
    <row r="491" customFormat="false" ht="17.15" hidden="false" customHeight="false" outlineLevel="0" collapsed="false">
      <c r="A491" s="1" t="s">
        <v>791</v>
      </c>
      <c r="B491" s="8" t="s">
        <v>91</v>
      </c>
      <c r="C491" s="40" t="n">
        <f aca="false">Q!$D$25</f>
        <v>39.834</v>
      </c>
      <c r="D491" s="40" t="n">
        <f aca="false">Q!$E$25</f>
        <v>45.606</v>
      </c>
      <c r="E491" s="40" t="n">
        <f aca="false">Q!$O$25</f>
        <v>48.555</v>
      </c>
      <c r="F491" s="40" t="n">
        <f aca="false">Sens!$F$489+Sens!$F$490</f>
        <v>17.8036627648133</v>
      </c>
      <c r="G491" s="40" t="n">
        <f aca="false">Sens!$G$489+Sens!$G$490</f>
        <v>66.3586627648133</v>
      </c>
      <c r="H491" s="40" t="n">
        <f aca="false">Sens!$H$489+Sens!$H$490</f>
        <v>80.8132053801886</v>
      </c>
      <c r="I491" s="40" t="n">
        <f aca="false">Sens!$I$489+Sens!$I$490</f>
        <v>89.3326165921086</v>
      </c>
      <c r="J491" s="40" t="n">
        <f aca="false">Sens!$J$489+Sens!$J$490</f>
        <v>102.427033010023</v>
      </c>
      <c r="K491" s="40" t="n">
        <f aca="false">Sens!$K$489+Sens!$K$490</f>
        <v>110.661972618388</v>
      </c>
      <c r="L491" s="40" t="n">
        <f aca="false">Sens!$L$489+Sens!$L$490</f>
        <v>117.814961607453</v>
      </c>
      <c r="M491" s="40" t="n">
        <f aca="false">Sens!$M$489+Sens!$M$490</f>
        <v>124.720501658663</v>
      </c>
      <c r="N491" s="40" t="n">
        <f aca="false">Q!$N$25</f>
        <v>33.141</v>
      </c>
      <c r="O491" s="40" t="n">
        <f aca="false">Q!$J$25</f>
        <v>12.465</v>
      </c>
    </row>
    <row r="492" customFormat="false" ht="17.15" hidden="false" customHeight="false" outlineLevel="0" collapsed="false">
      <c r="A492" s="5" t="s">
        <v>792</v>
      </c>
      <c r="B492" s="0" t="s">
        <v>91</v>
      </c>
      <c r="C492" s="40" t="n">
        <f aca="false">Q!$D$27</f>
        <v>0</v>
      </c>
      <c r="D492" s="40" t="n">
        <f aca="false">Q!$E$27</f>
        <v>0</v>
      </c>
      <c r="E492" s="40" t="n">
        <f aca="false">Q!$O$27</f>
        <v>0</v>
      </c>
      <c r="F492" s="41" t="n">
        <v>0</v>
      </c>
      <c r="G492" s="40" t="n">
        <f aca="false">Sens!$E$492+Sens!$F$492</f>
        <v>0</v>
      </c>
      <c r="H492" s="41" t="n">
        <v>0</v>
      </c>
      <c r="I492" s="41" t="n">
        <v>0</v>
      </c>
      <c r="J492" s="41" t="n">
        <v>0</v>
      </c>
      <c r="K492" s="41" t="n">
        <v>0</v>
      </c>
      <c r="L492" s="41" t="n">
        <v>0</v>
      </c>
      <c r="M492" s="41" t="n">
        <v>0</v>
      </c>
      <c r="N492" s="40" t="n">
        <f aca="false">Q!$N$27</f>
        <v>0</v>
      </c>
      <c r="O492" s="40" t="n">
        <f aca="false">Q!$J$27</f>
        <v>0</v>
      </c>
    </row>
    <row r="493" customFormat="false" ht="15" hidden="false" customHeight="false" outlineLevel="0" collapsed="false">
      <c r="A493" s="3" t="s">
        <v>580</v>
      </c>
      <c r="B493" s="8" t="s">
        <v>91</v>
      </c>
      <c r="C493" s="40" t="n">
        <f aca="false">Q!$D$26</f>
        <v>68.593</v>
      </c>
      <c r="D493" s="40" t="n">
        <f aca="false">Q!$E$26</f>
        <v>79.975</v>
      </c>
      <c r="E493" s="40" t="n">
        <f aca="false">Q!$O$26</f>
        <v>79.389</v>
      </c>
      <c r="F493" s="40" t="n">
        <f aca="false">Sens!$F$483+Sens!$F$488+Sens!$F$491+Sens!$F$492</f>
        <v>34.5944255709273</v>
      </c>
      <c r="G493" s="40" t="n">
        <f aca="false">Sens!$G$483+Sens!$G$488+Sens!$G$491+Sens!$G$492</f>
        <v>113.983425570927</v>
      </c>
      <c r="H493" s="40" t="n">
        <f aca="false">Sens!$H$483+Sens!$H$488+Sens!$H$491+Sens!$H$492</f>
        <v>132.811212421127</v>
      </c>
      <c r="I493" s="40" t="n">
        <f aca="false">Sens!$I$483+Sens!$I$488+Sens!$I$491+Sens!$I$492</f>
        <v>142.679608850662</v>
      </c>
      <c r="J493" s="40" t="n">
        <f aca="false">Sens!$J$483+Sens!$J$488+Sens!$J$491+Sens!$J$492</f>
        <v>158.134736223788</v>
      </c>
      <c r="K493" s="40" t="n">
        <f aca="false">Sens!$K$483+Sens!$K$488+Sens!$K$491+Sens!$K$492</f>
        <v>168.338680302331</v>
      </c>
      <c r="L493" s="40" t="n">
        <f aca="false">Sens!$L$483+Sens!$L$488+Sens!$L$491+Sens!$L$492</f>
        <v>178.763516803872</v>
      </c>
      <c r="M493" s="40" t="n">
        <f aca="false">Sens!$M$483+Sens!$M$488+Sens!$M$491+Sens!$M$492</f>
        <v>192.098742023752</v>
      </c>
      <c r="N493" s="40" t="n">
        <f aca="false">Q!$N$26</f>
        <v>54.998</v>
      </c>
      <c r="O493" s="40" t="n">
        <f aca="false">Q!$J$26</f>
        <v>24.977</v>
      </c>
    </row>
    <row r="494" customFormat="false" ht="17.15" hidden="false" customHeight="false" outlineLevel="0" collapsed="false">
      <c r="A494" s="27" t="s">
        <v>823</v>
      </c>
      <c r="B494" s="28" t="s">
        <v>91</v>
      </c>
      <c r="C494" s="43" t="n">
        <f aca="false">Sens!$C$483+Sens!$C$488+Sens!$C$491+Sens!$C$492-Sens!$C$493</f>
        <v>0</v>
      </c>
      <c r="D494" s="43" t="n">
        <f aca="false">Sens!$D$483+Sens!$D$488+Sens!$D$491+Sens!$D$492-Sens!$D$493</f>
        <v>0</v>
      </c>
      <c r="E494" s="43" t="n">
        <f aca="false">Sens!$E$483+Sens!$E$488+Sens!$E$491+Sens!$E$492-Sens!$E$493</f>
        <v>0</v>
      </c>
      <c r="F494" s="43" t="n">
        <f aca="false">Sens!$F$483+Sens!$F$488+Sens!$F$491+Sens!$F$492-Sens!$F$493</f>
        <v>0</v>
      </c>
      <c r="G494" s="43" t="n">
        <f aca="false">Sens!$G$483+Sens!$G$488+Sens!$G$491+Sens!$G$492-Sens!$G$493</f>
        <v>0</v>
      </c>
      <c r="H494" s="43" t="n">
        <f aca="false">Sens!$H$483+Sens!$H$488+Sens!$H$491+Sens!$H$492-Sens!$H$493</f>
        <v>0</v>
      </c>
      <c r="I494" s="43" t="n">
        <f aca="false">Sens!$I$483+Sens!$I$488+Sens!$I$491+Sens!$I$492-Sens!$I$493</f>
        <v>0</v>
      </c>
      <c r="J494" s="43" t="n">
        <f aca="false">Sens!$J$483+Sens!$J$488+Sens!$J$491+Sens!$J$492-Sens!$J$493</f>
        <v>0</v>
      </c>
      <c r="K494" s="43" t="n">
        <f aca="false">Sens!$K$483+Sens!$K$488+Sens!$K$491+Sens!$K$492-Sens!$K$493</f>
        <v>0</v>
      </c>
      <c r="L494" s="43" t="n">
        <f aca="false">Sens!$L$483+Sens!$L$488+Sens!$L$491+Sens!$L$492-Sens!$L$493</f>
        <v>0</v>
      </c>
      <c r="M494" s="43" t="n">
        <f aca="false">Sens!$M$483+Sens!$M$488+Sens!$M$491+Sens!$M$492-Sens!$M$493</f>
        <v>0</v>
      </c>
      <c r="N494" s="43" t="n">
        <f aca="false">Sens!$N$483+Sens!$N$488+Sens!$N$491+Sens!$N$492-Sens!$N$493</f>
        <v>0</v>
      </c>
      <c r="O494" s="43" t="n">
        <f aca="false">Sens!$O$483+Sens!$O$488+Sens!$O$491+Sens!$O$492-Sens!$O$493</f>
        <v>0</v>
      </c>
    </row>
    <row r="495" customFormat="false" ht="17.15" hidden="false" customHeight="false" outlineLevel="0" collapsed="false">
      <c r="A495" s="5" t="s">
        <v>794</v>
      </c>
      <c r="B495" s="0" t="s">
        <v>91</v>
      </c>
      <c r="C495" s="40" t="n">
        <f aca="false">Sens!$C$431</f>
        <v>0</v>
      </c>
      <c r="D495" s="40" t="n">
        <f aca="false">Sens!$D$431</f>
        <v>0</v>
      </c>
      <c r="E495" s="40" t="n">
        <f aca="false">Sens!$E$431</f>
        <v>0</v>
      </c>
      <c r="F495" s="40" t="n">
        <f aca="false">Sens!$F$431</f>
        <v>0</v>
      </c>
      <c r="G495" s="40" t="n">
        <f aca="false">Sens!$G$431</f>
        <v>0</v>
      </c>
      <c r="H495" s="40" t="n">
        <f aca="false">Sens!$H$431</f>
        <v>0</v>
      </c>
      <c r="I495" s="40" t="n">
        <f aca="false">Sens!$I$431</f>
        <v>0</v>
      </c>
      <c r="J495" s="40" t="n">
        <f aca="false">Sens!$J$431</f>
        <v>0</v>
      </c>
      <c r="K495" s="40" t="n">
        <f aca="false">Sens!$K$431</f>
        <v>0</v>
      </c>
      <c r="L495" s="40" t="n">
        <f aca="false">Sens!$L$431</f>
        <v>0</v>
      </c>
      <c r="M495" s="40" t="n">
        <f aca="false">Sens!$M$431</f>
        <v>0</v>
      </c>
      <c r="N495" s="40" t="n">
        <f aca="false">Sens!$N$431</f>
        <v>0</v>
      </c>
      <c r="O495" s="40" t="n">
        <f aca="false">Sens!$O$431</f>
        <v>0</v>
      </c>
      <c r="P495" s="5" t="s">
        <v>795</v>
      </c>
    </row>
    <row r="496" customFormat="false" ht="17.15" hidden="false" customHeight="false" outlineLevel="0" collapsed="false">
      <c r="A496" s="5" t="s">
        <v>796</v>
      </c>
      <c r="B496" s="0" t="s">
        <v>91</v>
      </c>
      <c r="C496" s="40" t="n">
        <f aca="false">Sens!$C$493+Sens!$C$495</f>
        <v>68.593</v>
      </c>
      <c r="D496" s="40" t="n">
        <f aca="false">Sens!$D$493+Sens!$D$495</f>
        <v>79.975</v>
      </c>
      <c r="E496" s="40" t="n">
        <f aca="false">Sens!$E$493+Sens!$E$495</f>
        <v>79.389</v>
      </c>
      <c r="F496" s="40" t="n">
        <f aca="false">Sens!$F$493+Sens!$F$495</f>
        <v>34.5944255709273</v>
      </c>
      <c r="G496" s="40" t="n">
        <f aca="false">Sens!$G$493+Sens!$G$495</f>
        <v>113.983425570927</v>
      </c>
      <c r="H496" s="40" t="n">
        <f aca="false">Sens!$H$493+Sens!$H$495</f>
        <v>132.811212421127</v>
      </c>
      <c r="I496" s="40" t="n">
        <f aca="false">Sens!$I$493+Sens!$I$495</f>
        <v>142.679608850662</v>
      </c>
      <c r="J496" s="40" t="n">
        <f aca="false">Sens!$J$493+Sens!$J$495</f>
        <v>158.134736223788</v>
      </c>
      <c r="K496" s="40" t="n">
        <f aca="false">Sens!$K$493+Sens!$K$495</f>
        <v>168.338680302331</v>
      </c>
      <c r="L496" s="40" t="n">
        <f aca="false">Sens!$L$493+Sens!$L$495</f>
        <v>178.763516803872</v>
      </c>
      <c r="M496" s="40" t="n">
        <f aca="false">Sens!$M$493+Sens!$M$495</f>
        <v>192.098742023752</v>
      </c>
      <c r="N496" s="40" t="n">
        <f aca="false">Sens!$N$493+Sens!$N$495</f>
        <v>54.998</v>
      </c>
      <c r="O496" s="40" t="n">
        <f aca="false">Sens!$O$493+Sens!$O$495</f>
        <v>24.977</v>
      </c>
    </row>
    <row r="497" customFormat="false" ht="17.15" hidden="false" customHeight="false" outlineLevel="0" collapsed="false">
      <c r="A497" s="0" t="s">
        <v>797</v>
      </c>
      <c r="B497" s="0" t="s">
        <v>56</v>
      </c>
      <c r="C497" s="13" t="n">
        <f aca="false">Sens!$C$483/Sens!$C$468</f>
        <v>0.0644314665661928</v>
      </c>
      <c r="D497" s="13" t="n">
        <f aca="false">Sens!$D$483/Sens!$D$468</f>
        <v>0.0694784250712518</v>
      </c>
      <c r="E497" s="13" t="n">
        <f aca="false">Sens!$E$483/Sens!$E$468</f>
        <v>0.0783769344362671</v>
      </c>
      <c r="F497" s="13" t="n">
        <f aca="false">Sens!$F$483/Sens!$F$468</f>
        <v>0.108200629537504</v>
      </c>
      <c r="G497" s="13" t="n">
        <f aca="false">Sens!$G$483/Sens!$G$468</f>
        <v>0.0872807903613977</v>
      </c>
      <c r="H497" s="13" t="n">
        <f aca="false">Sens!$H$483/Sens!$H$468</f>
        <v>0.0870422049417326</v>
      </c>
      <c r="I497" s="13" t="n">
        <f aca="false">Sens!$I$483/Sens!$I$468</f>
        <v>0.0833251229030354</v>
      </c>
      <c r="J497" s="13" t="n">
        <f aca="false">Sens!$J$483/Sens!$J$468</f>
        <v>0.0818016504630314</v>
      </c>
      <c r="K497" s="13" t="n">
        <f aca="false">Sens!$K$483/Sens!$K$468</f>
        <v>0.0806244116834098</v>
      </c>
      <c r="L497" s="13" t="n">
        <f aca="false">Sens!$L$483/Sens!$L$468</f>
        <v>0.0800421059358481</v>
      </c>
      <c r="M497" s="13" t="n">
        <f aca="false">Sens!$M$483/Sens!$M$468</f>
        <v>0.0823275868492085</v>
      </c>
      <c r="N497" s="13" t="n">
        <f aca="false">Sens!$N$483/Sens!$N$468</f>
        <v>0.0606472786091932</v>
      </c>
      <c r="O497" s="13" t="n">
        <f aca="false">Sens!$O$483/Sens!$O$468</f>
        <v>0.0902717121880975</v>
      </c>
    </row>
    <row r="498" customFormat="false" ht="17.15" hidden="false" customHeight="false" outlineLevel="0" collapsed="false">
      <c r="A498" s="0" t="s">
        <v>798</v>
      </c>
      <c r="B498" s="0" t="s">
        <v>56</v>
      </c>
      <c r="C498" s="13" t="n">
        <f aca="false">Sens!$C$488/Sens!$C$469</f>
        <v>0.026534925055631</v>
      </c>
      <c r="D498" s="13" t="n">
        <f aca="false">Sens!$D$488/Sens!$D$469</f>
        <v>0.0293401855535103</v>
      </c>
      <c r="E498" s="13" t="n">
        <f aca="false">Sens!$E$488/Sens!$E$469</f>
        <v>0.037739619805906</v>
      </c>
      <c r="F498" s="13" t="n">
        <f aca="false">Sens!$F$488/Sens!$F$469</f>
        <v>0.0255741161281195</v>
      </c>
      <c r="G498" s="13" t="n">
        <f aca="false">Sens!$G$488/Sens!$G$469</f>
        <v>0.0339499228607096</v>
      </c>
      <c r="H498" s="13" t="n">
        <f aca="false">Sens!$H$488/Sens!$H$469</f>
        <v>0.0315879690390105</v>
      </c>
      <c r="I498" s="13" t="n">
        <f aca="false">Sens!$I$488/Sens!$I$469</f>
        <v>0.0257391885603357</v>
      </c>
      <c r="J498" s="13" t="n">
        <f aca="false">Sens!$J$488/Sens!$J$469</f>
        <v>0.0220566664308063</v>
      </c>
      <c r="K498" s="13" t="n">
        <f aca="false">Sens!$K$488/Sens!$K$469</f>
        <v>0.0186728225751665</v>
      </c>
      <c r="L498" s="13" t="n">
        <f aca="false">Sens!$L$488/Sens!$L$469</f>
        <v>0.0184544244633189</v>
      </c>
      <c r="M498" s="13" t="n">
        <f aca="false">Sens!$M$488/Sens!$M$469</f>
        <v>0.0211124578854768</v>
      </c>
      <c r="N498" s="13" t="n">
        <f aca="false">Sens!$N$488/Sens!$N$469</f>
        <v>0.0333723126742826</v>
      </c>
      <c r="O498" s="13" t="n">
        <f aca="false">Sens!$O$488/Sens!$O$469</f>
        <v>0.0205031148963016</v>
      </c>
    </row>
    <row r="499" customFormat="false" ht="17.15" hidden="false" customHeight="false" outlineLevel="0" collapsed="false">
      <c r="A499" s="14" t="s">
        <v>799</v>
      </c>
      <c r="B499" s="14" t="s">
        <v>56</v>
      </c>
      <c r="C499" s="17" t="n">
        <f aca="false">Sens!$C$491/Sens!$C$470</f>
        <v>0.370355907620217</v>
      </c>
      <c r="D499" s="17" t="n">
        <f aca="false">Sens!$D$491/Sens!$D$470</f>
        <v>0.35429015342785</v>
      </c>
      <c r="E499" s="17" t="n">
        <f aca="false">Sens!$E$491/Sens!$E$470</f>
        <v>0.385960589175139</v>
      </c>
      <c r="F499" s="17" t="n">
        <f aca="false">Sens!$F$491/Sens!$F$470</f>
        <v>0.394791724743081</v>
      </c>
      <c r="G499" s="17" t="n">
        <f aca="false">Sens!$G$491/Sens!$G$470</f>
        <v>0.388290919457581</v>
      </c>
      <c r="H499" s="17" t="n">
        <f aca="false">Sens!$H$491/Sens!$H$470</f>
        <v>0.369260442935553</v>
      </c>
      <c r="I499" s="17" t="n">
        <f aca="false">Sens!$I$491/Sens!$I$470</f>
        <v>0.328239600060685</v>
      </c>
      <c r="J499" s="17" t="n">
        <f aca="false">Sens!$J$491/Sens!$J$470</f>
        <v>0.315268282689885</v>
      </c>
      <c r="K499" s="17" t="n">
        <f aca="false">Sens!$K$491/Sens!$K$470</f>
        <v>0.298241468694372</v>
      </c>
      <c r="L499" s="17" t="n">
        <f aca="false">Sens!$L$491/Sens!$L$470</f>
        <v>0.288649884983098</v>
      </c>
      <c r="M499" s="17" t="n">
        <f aca="false">Sens!$M$491/Sens!$M$470</f>
        <v>0.285865177666054</v>
      </c>
      <c r="N499" s="17" t="n">
        <f aca="false">Sens!$N$491/Sens!$N$470</f>
        <v>0.355796276812746</v>
      </c>
      <c r="O499" s="17" t="n">
        <f aca="false">Sens!$O$491/Sens!$O$470</f>
        <v>0.350347114871132</v>
      </c>
    </row>
    <row r="500" customFormat="false" ht="17.15" hidden="false" customHeight="false" outlineLevel="0" collapsed="false">
      <c r="A500" s="0" t="s">
        <v>800</v>
      </c>
      <c r="B500" s="0" t="s">
        <v>56</v>
      </c>
      <c r="C500" s="13" t="n">
        <f aca="false">Sens!$C$489/Sens!$C$471</f>
        <v>0.708390794789371</v>
      </c>
      <c r="D500" s="13" t="n">
        <f aca="false">Sens!$D$489/Sens!$D$471</f>
        <v>0.619415573115729</v>
      </c>
      <c r="E500" s="13" t="n">
        <f aca="false">Sens!$E$489/Sens!$E$471</f>
        <v>0.38978070304412</v>
      </c>
      <c r="F500" s="13" t="n">
        <f aca="false">Sens!$F$489/Sens!$F$471</f>
        <v>0.50628431549212</v>
      </c>
      <c r="G500" s="13" t="n">
        <f aca="false">Sens!$G$489/Sens!$G$471</f>
        <v>0.428667391576314</v>
      </c>
      <c r="H500" s="13" t="n">
        <f aca="false">Sens!$H$489/Sens!$H$471</f>
        <v>0.366016632801413</v>
      </c>
      <c r="I500" s="13" t="n">
        <f aca="false">Sens!$I$489/Sens!$I$471</f>
        <v>0.241653104124671</v>
      </c>
      <c r="J500" s="13" t="n">
        <f aca="false">Sens!$J$489/Sens!$J$471</f>
        <v>0.22644984395706</v>
      </c>
      <c r="K500" s="13" t="n">
        <f aca="false">Sens!$K$489/Sens!$K$471</f>
        <v>0.197139835190888</v>
      </c>
      <c r="L500" s="13" t="n">
        <f aca="false">Sens!$L$489/Sens!$L$471</f>
        <v>0.178977963455777</v>
      </c>
      <c r="M500" s="13" t="n">
        <f aca="false">Sens!$M$489/Sens!$M$471</f>
        <v>0.169662167079751</v>
      </c>
      <c r="N500" s="13" t="n">
        <f aca="false">Sens!$N$489/Sens!$N$471</f>
        <v>0.591338253041814</v>
      </c>
      <c r="O500" s="13" t="n">
        <f aca="false">Sens!$O$489/Sens!$O$471</f>
        <v>0.668792929107785</v>
      </c>
    </row>
    <row r="501" customFormat="false" ht="15" hidden="false" customHeight="false" outlineLevel="0" collapsed="false">
      <c r="A501" s="5" t="s">
        <v>801</v>
      </c>
      <c r="B501" s="0" t="s">
        <v>56</v>
      </c>
      <c r="C501" s="13" t="n">
        <f aca="false">Sens!$C$493/Sens!$C$473</f>
        <v>0.107519448742004</v>
      </c>
      <c r="D501" s="13" t="n">
        <f aca="false">Sens!$D$493/Sens!$D$473</f>
        <v>0.111552967957552</v>
      </c>
      <c r="E501" s="13" t="n">
        <f aca="false">Sens!$E$493/Sens!$E$473</f>
        <v>0.135924008978391</v>
      </c>
      <c r="F501" s="13" t="n">
        <f aca="false">Sens!$F$493/Sens!$F$473</f>
        <v>0.142071562919619</v>
      </c>
      <c r="G501" s="13" t="n">
        <f aca="false">Sens!$G$493/Sens!$G$473</f>
        <v>0.137732836260091</v>
      </c>
      <c r="H501" s="13" t="n">
        <f aca="false">Sens!$H$493/Sens!$H$473</f>
        <v>0.140677616001035</v>
      </c>
      <c r="I501" s="13" t="n">
        <f aca="false">Sens!$I$493/Sens!$I$473</f>
        <v>0.134128545468954</v>
      </c>
      <c r="J501" s="13" t="n">
        <f aca="false">Sens!$J$493/Sens!$J$473</f>
        <v>0.134197415734095</v>
      </c>
      <c r="K501" s="13" t="n">
        <f aca="false">Sens!$K$493/Sens!$K$473</f>
        <v>0.131557203338162</v>
      </c>
      <c r="L501" s="13" t="n">
        <f aca="false">Sens!$L$493/Sens!$L$473</f>
        <v>0.129955567272825</v>
      </c>
      <c r="M501" s="13" t="n">
        <f aca="false">Sens!$M$493/Sens!$M$473</f>
        <v>0.130973675145994</v>
      </c>
      <c r="N501" s="13" t="n">
        <f aca="false">Sens!$N$493/Sens!$N$473</f>
        <v>0.109223137082008</v>
      </c>
      <c r="O501" s="13" t="n">
        <f aca="false">Sens!$O$493/Sens!$O$473</f>
        <v>0.117050790586074</v>
      </c>
    </row>
    <row r="502" customFormat="false" ht="17.15" hidden="false" customHeight="false" outlineLevel="0" collapsed="false">
      <c r="A502" s="1" t="s">
        <v>802</v>
      </c>
    </row>
    <row r="503" customFormat="false" ht="17.15" hidden="false" customHeight="false" outlineLevel="0" collapsed="false">
      <c r="A503" s="5" t="s">
        <v>803</v>
      </c>
      <c r="B503" s="0" t="s">
        <v>56</v>
      </c>
      <c r="D503" s="32" t="n">
        <f aca="false">(Q!$E$31+Q!$E$32-(1-ext_sh)*Sens!$D$425)/Sens!$D$373</f>
        <v>0.0341105596409988</v>
      </c>
    </row>
    <row r="504" customFormat="false" ht="17.15" hidden="false" customHeight="false" outlineLevel="0" collapsed="false">
      <c r="A504" s="0" t="s">
        <v>585</v>
      </c>
      <c r="B504" s="0" t="s">
        <v>91</v>
      </c>
      <c r="C504" s="40" t="n">
        <f aca="false">Q!$D$31</f>
        <v>14.285</v>
      </c>
      <c r="D504" s="40" t="n">
        <f aca="false">Q!$E$31</f>
        <v>15.503</v>
      </c>
      <c r="E504" s="40" t="n">
        <f aca="false">Q!$O$31</f>
        <v>13.4963548128877</v>
      </c>
      <c r="F504" s="40" t="n">
        <f aca="false">(Sens!$D$503*Sens!$F$373+(1-ext_sh)*Sens!$F$425)*Sens!$F$374</f>
        <v>5.21211427093156</v>
      </c>
      <c r="G504" s="40" t="n">
        <f aca="false">Sens!$E$504+Sens!$F$504</f>
        <v>18.7084690838193</v>
      </c>
      <c r="H504" s="40" t="n">
        <f aca="false">(Sens!$D$503*Sens!$H$373+(1-ext_sh)*Sens!$H$425)*Sens!$H$374</f>
        <v>21.7211660546073</v>
      </c>
      <c r="I504" s="40" t="n">
        <f aca="false">(Sens!$D$503*Sens!$I$373+(1-ext_sh)*Sens!$I$425)*Sens!$I$374</f>
        <v>27.8212875787445</v>
      </c>
      <c r="J504" s="40" t="n">
        <f aca="false">(Sens!$D$503*Sens!$J$373+(1-ext_sh)*Sens!$J$425)*Sens!$J$374</f>
        <v>32.9642213622344</v>
      </c>
      <c r="K504" s="40" t="n">
        <f aca="false">(Sens!$D$503*Sens!$K$373+(1-ext_sh)*Sens!$K$425)*Sens!$K$374</f>
        <v>38.0154736494029</v>
      </c>
      <c r="L504" s="40" t="n">
        <f aca="false">(Sens!$D$503*Sens!$L$373+(1-ext_sh)*Sens!$L$425)*Sens!$L$374</f>
        <v>42.033268674836</v>
      </c>
      <c r="M504" s="40" t="n">
        <f aca="false">(Sens!$D$503*Sens!$M$373+(1-ext_sh)*Sens!$M$425)*Sens!$M$374</f>
        <v>44.8754624898616</v>
      </c>
      <c r="N504" s="40" t="n">
        <f aca="false">Q!$N$31</f>
        <v>11.273</v>
      </c>
      <c r="O504" s="40" t="n">
        <f aca="false">Q!$J$31</f>
        <v>4.23</v>
      </c>
    </row>
    <row r="505" customFormat="false" ht="17.15" hidden="false" customHeight="false" outlineLevel="0" collapsed="false">
      <c r="A505" s="0" t="s">
        <v>588</v>
      </c>
      <c r="B505" s="0" t="s">
        <v>91</v>
      </c>
      <c r="C505" s="40" t="n">
        <f aca="false">Q!$D$32</f>
        <v>4.462</v>
      </c>
      <c r="D505" s="40" t="n">
        <f aca="false">Q!$E$32</f>
        <v>4.907</v>
      </c>
      <c r="E505" s="40" t="n">
        <f aca="false">Q!$O$32</f>
        <v>3.92516594956974</v>
      </c>
      <c r="F505" s="40" t="n">
        <f aca="false">(Sens!$D$503*Sens!$F$373+(1-ext_sh)*Sens!$F$425)*(1-Sens!$F$374)</f>
        <v>2.08036703791013</v>
      </c>
      <c r="G505" s="40" t="n">
        <f aca="false">Sens!$E$505+Sens!$F$505</f>
        <v>6.00553298747987</v>
      </c>
      <c r="H505" s="40" t="n">
        <f aca="false">(Sens!$D$503*Sens!$H$373+(1-ext_sh)*Sens!$H$425)*(1-Sens!$H$374)</f>
        <v>8.30905162009005</v>
      </c>
      <c r="I505" s="40" t="n">
        <f aca="false">(Sens!$D$503*Sens!$I$373+(1-ext_sh)*Sens!$I$425)*(1-Sens!$I$374)</f>
        <v>10.6425462633082</v>
      </c>
      <c r="J505" s="40" t="n">
        <f aca="false">(Sens!$D$503*Sens!$J$373+(1-ext_sh)*Sens!$J$425)*(1-Sens!$J$374)</f>
        <v>12.6098855018321</v>
      </c>
      <c r="K505" s="40" t="n">
        <f aca="false">(Sens!$D$503*Sens!$K$373+(1-ext_sh)*Sens!$K$425)*(1-Sens!$K$374)</f>
        <v>14.542153589773</v>
      </c>
      <c r="L505" s="40" t="n">
        <f aca="false">(Sens!$D$503*Sens!$L$373+(1-ext_sh)*Sens!$L$425)*(1-Sens!$L$374)</f>
        <v>16.0790907036156</v>
      </c>
      <c r="M505" s="40" t="n">
        <f aca="false">(Sens!$D$503*Sens!$M$373+(1-ext_sh)*Sens!$M$425)*(1-Sens!$M$374)</f>
        <v>17.1663221654983</v>
      </c>
      <c r="N505" s="40" t="n">
        <f aca="false">Q!$N$32</f>
        <v>3.592</v>
      </c>
      <c r="O505" s="40" t="n">
        <f aca="false">Q!$J$32</f>
        <v>1.315</v>
      </c>
    </row>
    <row r="506" customFormat="false" ht="17.15" hidden="false" customHeight="false" outlineLevel="0" collapsed="false">
      <c r="A506" s="0" t="s">
        <v>589</v>
      </c>
      <c r="B506" s="0" t="s">
        <v>91</v>
      </c>
      <c r="C506" s="40" t="n">
        <f aca="false">Sens!$C$437</f>
        <v>13.32</v>
      </c>
      <c r="D506" s="40" t="n">
        <f aca="false">Sens!$D$437</f>
        <v>21.45</v>
      </c>
      <c r="E506" s="40" t="n">
        <f aca="false">Sens!$E$437</f>
        <v>23.8172847708625</v>
      </c>
      <c r="F506" s="40" t="n">
        <f aca="false">Sens!$F$437</f>
        <v>8.28155769350516</v>
      </c>
      <c r="G506" s="40" t="n">
        <f aca="false">Sens!$G$437</f>
        <v>32.0988424643677</v>
      </c>
      <c r="H506" s="40" t="n">
        <f aca="false">Sens!$H$437</f>
        <v>48.7469278856268</v>
      </c>
      <c r="I506" s="40" t="n">
        <f aca="false">Sens!$I$437</f>
        <v>76.4669223006817</v>
      </c>
      <c r="J506" s="40" t="n">
        <f aca="false">Sens!$J$437</f>
        <v>99.3763394539051</v>
      </c>
      <c r="K506" s="40" t="n">
        <f aca="false">Sens!$K$437</f>
        <v>122.481549194278</v>
      </c>
      <c r="L506" s="40" t="n">
        <f aca="false">Sens!$L$437</f>
        <v>139.564108797953</v>
      </c>
      <c r="M506" s="40" t="n">
        <f aca="false">Sens!$M$437</f>
        <v>149.816114943274</v>
      </c>
      <c r="N506" s="40" t="n">
        <f aca="false">Sens!$N$437</f>
        <v>14.882</v>
      </c>
      <c r="O506" s="40" t="n">
        <f aca="false">Sens!$O$437</f>
        <v>6.568</v>
      </c>
    </row>
    <row r="507" customFormat="false" ht="17.15" hidden="false" customHeight="false" outlineLevel="0" collapsed="false">
      <c r="A507" s="5" t="s">
        <v>804</v>
      </c>
      <c r="B507" s="0" t="s">
        <v>91</v>
      </c>
      <c r="C507" s="40" t="n">
        <f aca="false">Sens!$C$504+Sens!$C$505+Sens!$C$506</f>
        <v>32.067</v>
      </c>
      <c r="D507" s="40" t="n">
        <f aca="false">Sens!$D$504+Sens!$D$505+Sens!$D$506</f>
        <v>41.86</v>
      </c>
      <c r="E507" s="40" t="n">
        <f aca="false">Sens!$E$504+Sens!$E$505+Sens!$E$506</f>
        <v>41.23880553332</v>
      </c>
      <c r="F507" s="40" t="n">
        <f aca="false">Sens!$F$504+Sens!$F$505+Sens!$F$506</f>
        <v>15.5740390023468</v>
      </c>
      <c r="G507" s="40" t="n">
        <f aca="false">Sens!$G$504+Sens!$G$505+Sens!$G$506</f>
        <v>56.8128445356668</v>
      </c>
      <c r="H507" s="40" t="n">
        <f aca="false">Sens!$H$504+Sens!$H$505+Sens!$H$506</f>
        <v>78.7771455603241</v>
      </c>
      <c r="I507" s="40" t="n">
        <f aca="false">Sens!$I$504+Sens!$I$505+Sens!$I$506</f>
        <v>114.930756142734</v>
      </c>
      <c r="J507" s="40" t="n">
        <f aca="false">Sens!$J$504+Sens!$J$505+Sens!$J$506</f>
        <v>144.950446317972</v>
      </c>
      <c r="K507" s="40" t="n">
        <f aca="false">Sens!$K$504+Sens!$K$505+Sens!$K$506</f>
        <v>175.039176433454</v>
      </c>
      <c r="L507" s="40" t="n">
        <f aca="false">Sens!$L$504+Sens!$L$505+Sens!$L$506</f>
        <v>197.676468176405</v>
      </c>
      <c r="M507" s="40" t="n">
        <f aca="false">Sens!$M$504+Sens!$M$505+Sens!$M$506</f>
        <v>211.857899598634</v>
      </c>
      <c r="N507" s="40" t="n">
        <f aca="false">Sens!$N$504+Sens!$N$505+Sens!$N$506</f>
        <v>29.747</v>
      </c>
      <c r="O507" s="40" t="n">
        <f aca="false">Sens!$O$504+Sens!$O$505+Sens!$O$506</f>
        <v>12.113</v>
      </c>
    </row>
    <row r="508" customFormat="false" ht="17.15" hidden="false" customHeight="false" outlineLevel="0" collapsed="false">
      <c r="A508" s="0" t="s">
        <v>805</v>
      </c>
      <c r="B508" s="0" t="s">
        <v>91</v>
      </c>
      <c r="C508" s="40" t="n">
        <f aca="false">Sens!$C$479+Sens!$C$484</f>
        <v>28.107</v>
      </c>
      <c r="D508" s="40" t="n">
        <f aca="false">Sens!$D$479+Sens!$D$484</f>
        <v>34.3175</v>
      </c>
      <c r="E508" s="40" t="n">
        <f aca="false">Sens!$E$479+Sens!$E$484</f>
        <v>28.3445</v>
      </c>
      <c r="F508" s="40" t="n">
        <f aca="false">Sens!$F$479+Sens!$F$484</f>
        <v>12.7540196873527</v>
      </c>
      <c r="G508" s="40" t="n">
        <f aca="false">Sens!$G$479+Sens!$G$484</f>
        <v>41.0985196873527</v>
      </c>
      <c r="H508" s="40" t="n">
        <f aca="false">Sens!$H$479+Sens!$H$484</f>
        <v>48.2304391441512</v>
      </c>
      <c r="I508" s="40" t="n">
        <f aca="false">Sens!$I$479+Sens!$I$484</f>
        <v>55.4178122068561</v>
      </c>
      <c r="J508" s="40" t="n">
        <f aca="false">Sens!$J$479+Sens!$J$484</f>
        <v>62.3179259563365</v>
      </c>
      <c r="K508" s="40" t="n">
        <f aca="false">Sens!$K$479+Sens!$K$484</f>
        <v>68.5497185519701</v>
      </c>
      <c r="L508" s="40" t="n">
        <f aca="false">Sens!$L$479+Sens!$L$484</f>
        <v>75.4046904071671</v>
      </c>
      <c r="M508" s="40" t="n">
        <f aca="false">Sens!$M$479+Sens!$M$484</f>
        <v>82.9451594478839</v>
      </c>
      <c r="N508" s="40" t="n">
        <f aca="false">Sens!$N$479+Sens!$N$484</f>
        <v>23.659</v>
      </c>
      <c r="O508" s="40" t="n">
        <f aca="false">Sens!$O$479+Sens!$O$484</f>
        <v>10.6585</v>
      </c>
    </row>
    <row r="509" customFormat="false" ht="17.15" hidden="false" customHeight="false" outlineLevel="0" collapsed="false">
      <c r="A509" s="0" t="s">
        <v>806</v>
      </c>
      <c r="B509" s="0" t="s">
        <v>91</v>
      </c>
      <c r="C509" s="40" t="n">
        <f aca="false">Sens!$C$483+Sens!$C$488+Sens!$C$504+Sens!$C$505-Sens!$C$508</f>
        <v>19.399</v>
      </c>
      <c r="D509" s="40" t="n">
        <f aca="false">Sens!$D$483+Sens!$D$488+Sens!$D$504+Sens!$D$505-Sens!$D$508</f>
        <v>20.4615</v>
      </c>
      <c r="E509" s="40" t="n">
        <f aca="false">Sens!$E$483+Sens!$E$488+Sens!$E$504+Sens!$E$505-Sens!$E$508</f>
        <v>19.9110207624575</v>
      </c>
      <c r="F509" s="40" t="n">
        <f aca="false">Sens!$F$483+Sens!$F$488+Sens!$F$504+Sens!$F$505-Sens!$F$508</f>
        <v>11.3292244276029</v>
      </c>
      <c r="G509" s="40" t="n">
        <f aca="false">Sens!$G$483+Sens!$G$488+Sens!$G$504+Sens!$G$505-Sens!$G$508</f>
        <v>31.2402451900604</v>
      </c>
      <c r="H509" s="40" t="n">
        <f aca="false">Sens!$H$483+Sens!$H$488+Sens!$H$504+Sens!$H$505-Sens!$H$508</f>
        <v>33.7977855714846</v>
      </c>
      <c r="I509" s="40" t="n">
        <f aca="false">Sens!$I$483+Sens!$I$488+Sens!$I$504+Sens!$I$505-Sens!$I$508</f>
        <v>36.3930138937501</v>
      </c>
      <c r="J509" s="40" t="n">
        <f aca="false">Sens!$J$483+Sens!$J$488+Sens!$J$504+Sens!$J$505-Sens!$J$508</f>
        <v>38.9638841214947</v>
      </c>
      <c r="K509" s="40" t="n">
        <f aca="false">Sens!$K$483+Sens!$K$488+Sens!$K$504+Sens!$K$505-Sens!$K$508</f>
        <v>41.6846163711491</v>
      </c>
      <c r="L509" s="40" t="n">
        <f aca="false">Sens!$L$483+Sens!$L$488+Sens!$L$504+Sens!$L$505-Sens!$L$508</f>
        <v>43.6562241677029</v>
      </c>
      <c r="M509" s="40" t="n">
        <f aca="false">Sens!$M$483+Sens!$M$488+Sens!$M$504+Sens!$M$505-Sens!$M$508</f>
        <v>46.4748655725654</v>
      </c>
      <c r="N509" s="40" t="n">
        <f aca="false">Sens!$N$483+Sens!$N$488+Sens!$N$504+Sens!$N$505-Sens!$N$508</f>
        <v>13.063</v>
      </c>
      <c r="O509" s="40" t="n">
        <f aca="false">Sens!$O$483+Sens!$O$488+Sens!$O$504+Sens!$O$505-Sens!$O$508</f>
        <v>7.3985</v>
      </c>
    </row>
    <row r="510" customFormat="false" ht="17.15" hidden="false" customHeight="false" outlineLevel="0" collapsed="false">
      <c r="A510" s="0" t="s">
        <v>807</v>
      </c>
      <c r="B510" s="0" t="s">
        <v>91</v>
      </c>
      <c r="C510" s="40" t="n">
        <f aca="false">Sens!$C$490+Sens!$C$506-ext_sh*Sens!$C$425</f>
        <v>51.3470500115664</v>
      </c>
      <c r="D510" s="40" t="n">
        <f aca="false">Sens!$D$490+Sens!$D$506-ext_sh*Sens!$D$425</f>
        <v>60.2799375433739</v>
      </c>
      <c r="E510" s="40" t="n">
        <f aca="false">Sens!$E$490+Sens!$E$506-ext_sh*Sens!$E$425</f>
        <v>59.7597032676119</v>
      </c>
      <c r="F510" s="40" t="n">
        <f aca="false">Sens!$F$490+Sens!$F$506-ext_sh*Sens!$F$425</f>
        <v>19.8765856323982</v>
      </c>
      <c r="G510" s="40" t="n">
        <f aca="false">Sens!$G$490+Sens!$G$506-ext_sh*Sens!$G$425</f>
        <v>79.6362889000101</v>
      </c>
      <c r="H510" s="40" t="n">
        <f aca="false">Sens!$H$490+Sens!$H$506-ext_sh*Sens!$H$425</f>
        <v>88.6663043493359</v>
      </c>
      <c r="I510" s="40" t="n">
        <f aca="false">Sens!$I$490+Sens!$I$506-ext_sh*Sens!$I$425</f>
        <v>98.4420671006853</v>
      </c>
      <c r="J510" s="40" t="n">
        <f aca="false">Sens!$J$490+Sens!$J$506-ext_sh*Sens!$J$425</f>
        <v>107.806536768735</v>
      </c>
      <c r="K510" s="40" t="n">
        <f aca="false">Sens!$K$490+Sens!$K$506-ext_sh*Sens!$K$425</f>
        <v>116.431059710234</v>
      </c>
      <c r="L510" s="40" t="n">
        <f aca="false">Sens!$L$490+Sens!$L$506-ext_sh*Sens!$L$425</f>
        <v>125.745544487053</v>
      </c>
      <c r="M510" s="40" t="n">
        <f aca="false">Sens!$M$490+Sens!$M$506-ext_sh*Sens!$M$425</f>
        <v>135.805188046017</v>
      </c>
      <c r="N510" s="40" t="n">
        <f aca="false">Sens!$N$490+Sens!$N$506-ext_sh*Sens!$N$425</f>
        <v>43.7032601839009</v>
      </c>
      <c r="O510" s="40" t="n">
        <f aca="false">Sens!$O$490+Sens!$O$506-ext_sh*Sens!$O$425</f>
        <v>16.5766773594731</v>
      </c>
    </row>
    <row r="511" customFormat="false" ht="17.15" hidden="false" customHeight="false" outlineLevel="0" collapsed="false">
      <c r="A511" s="0" t="s">
        <v>808</v>
      </c>
      <c r="B511" s="0" t="s">
        <v>91</v>
      </c>
      <c r="C511" s="40" t="n">
        <f aca="false">Sens!$C$428</f>
        <v>1.80694998843362</v>
      </c>
      <c r="D511" s="40" t="n">
        <f aca="false">Sens!$D$428</f>
        <v>6.77606245662607</v>
      </c>
      <c r="E511" s="40" t="n">
        <f aca="false">Sens!$E$428</f>
        <v>12.6125815032506</v>
      </c>
      <c r="F511" s="40" t="n">
        <f aca="false">Sens!$F$428</f>
        <v>6.20863482592031</v>
      </c>
      <c r="G511" s="40" t="n">
        <f aca="false">Sens!$G$428</f>
        <v>18.8212163291709</v>
      </c>
      <c r="H511" s="40" t="n">
        <f aca="false">Sens!$H$428</f>
        <v>40.8938289164795</v>
      </c>
      <c r="I511" s="40" t="n">
        <f aca="false">Sens!$I$428</f>
        <v>67.3574717921051</v>
      </c>
      <c r="J511" s="40" t="n">
        <f aca="false">Sens!$J$428</f>
        <v>93.9968356951931</v>
      </c>
      <c r="K511" s="40" t="n">
        <f aca="false">Sens!$K$428</f>
        <v>116.712462102431</v>
      </c>
      <c r="L511" s="40" t="n">
        <f aca="false">Sens!$L$428</f>
        <v>131.633525918354</v>
      </c>
      <c r="M511" s="40" t="n">
        <f aca="false">Sens!$M$428</f>
        <v>138.73142855592</v>
      </c>
      <c r="N511" s="40" t="n">
        <f aca="false">Sens!$N$428</f>
        <v>4.31973981609912</v>
      </c>
      <c r="O511" s="40" t="n">
        <f aca="false">Sens!$O$428</f>
        <v>2.45632264052695</v>
      </c>
    </row>
    <row r="512" customFormat="false" ht="17.15" hidden="false" customHeight="false" outlineLevel="0" collapsed="false">
      <c r="A512" s="0" t="s">
        <v>809</v>
      </c>
      <c r="B512" s="0" t="s">
        <v>91</v>
      </c>
      <c r="C512" s="40" t="n">
        <f aca="false">Sens!$C$493+Sens!$C$507</f>
        <v>100.66</v>
      </c>
      <c r="D512" s="40" t="n">
        <f aca="false">Sens!$D$493+Sens!$D$507</f>
        <v>121.835</v>
      </c>
      <c r="E512" s="40" t="n">
        <f aca="false">Sens!$E$493+Sens!$E$507</f>
        <v>120.62780553332</v>
      </c>
      <c r="F512" s="40" t="n">
        <f aca="false">Sens!$F$493+Sens!$F$507</f>
        <v>50.1684645732741</v>
      </c>
      <c r="G512" s="40" t="n">
        <f aca="false">Sens!$G$493+Sens!$G$507</f>
        <v>170.796270106594</v>
      </c>
      <c r="H512" s="40" t="n">
        <f aca="false">Sens!$H$493+Sens!$H$507</f>
        <v>211.588357981451</v>
      </c>
      <c r="I512" s="40" t="n">
        <f aca="false">Sens!$I$493+Sens!$I$507</f>
        <v>257.610364993396</v>
      </c>
      <c r="J512" s="40" t="n">
        <f aca="false">Sens!$J$493+Sens!$J$507</f>
        <v>303.08518254176</v>
      </c>
      <c r="K512" s="40" t="n">
        <f aca="false">Sens!$K$493+Sens!$K$507</f>
        <v>343.377856735785</v>
      </c>
      <c r="L512" s="40" t="n">
        <f aca="false">Sens!$L$493+Sens!$L$507</f>
        <v>376.439984980276</v>
      </c>
      <c r="M512" s="40" t="n">
        <f aca="false">Sens!$M$493+Sens!$M$507</f>
        <v>403.956641622386</v>
      </c>
      <c r="N512" s="40" t="n">
        <f aca="false">Sens!$N$493+Sens!$N$507</f>
        <v>84.745</v>
      </c>
      <c r="O512" s="40" t="n">
        <f aca="false">Sens!$O$493+Sens!$O$507</f>
        <v>37.09</v>
      </c>
    </row>
    <row r="513" customFormat="false" ht="17.15" hidden="false" customHeight="false" outlineLevel="0" collapsed="false">
      <c r="A513" s="1" t="s">
        <v>810</v>
      </c>
    </row>
    <row r="514" customFormat="false" ht="15" hidden="false" customHeight="false" outlineLevel="0" collapsed="false">
      <c r="A514" s="5" t="s">
        <v>592</v>
      </c>
      <c r="B514" s="0" t="s">
        <v>91</v>
      </c>
      <c r="C514" s="40" t="n">
        <f aca="false">Q!$D$36</f>
        <v>2.406</v>
      </c>
      <c r="D514" s="40" t="n">
        <f aca="false">Q!$E$36</f>
        <v>2.274</v>
      </c>
      <c r="E514" s="40" t="n">
        <f aca="false">Q!$O$36</f>
        <v>3.805</v>
      </c>
      <c r="F514" s="40" t="n">
        <f aca="false">Sens!$F$551</f>
        <v>1.94993832879634</v>
      </c>
      <c r="G514" s="40" t="n">
        <f aca="false">Sens!$E$514+Sens!$F$514</f>
        <v>5.75493832879634</v>
      </c>
      <c r="H514" s="40" t="n">
        <f aca="false">Sens!$H$551</f>
        <v>7.79975331518538</v>
      </c>
      <c r="I514" s="40" t="n">
        <f aca="false">Sens!$I$551</f>
        <v>7.79975331518538</v>
      </c>
      <c r="J514" s="40" t="n">
        <f aca="false">Sens!$J$551</f>
        <v>7.79975331518538</v>
      </c>
      <c r="K514" s="40" t="n">
        <f aca="false">Sens!$K$551</f>
        <v>7.79975331518538</v>
      </c>
      <c r="L514" s="40" t="n">
        <f aca="false">Sens!$L$551</f>
        <v>7.79975331518538</v>
      </c>
      <c r="M514" s="40" t="n">
        <f aca="false">Sens!$M$551</f>
        <v>7.79975331518538</v>
      </c>
      <c r="N514" s="40" t="n">
        <f aca="false">Q!$N$36</f>
        <v>1.595</v>
      </c>
      <c r="O514" s="40" t="n">
        <f aca="false">Q!$J$36</f>
        <v>0.679</v>
      </c>
    </row>
    <row r="515" customFormat="false" ht="15" hidden="false" customHeight="false" outlineLevel="0" collapsed="false">
      <c r="A515" s="5" t="s">
        <v>811</v>
      </c>
      <c r="B515" s="0" t="s">
        <v>91</v>
      </c>
      <c r="F515" s="40" t="n">
        <f aca="false">Sens!$F$552</f>
        <v>1.187</v>
      </c>
      <c r="H515" s="40" t="n">
        <f aca="false">Sens!$H$552</f>
        <v>5.68853371067722</v>
      </c>
      <c r="I515" s="40" t="n">
        <f aca="false">Sens!$I$552</f>
        <v>4.31479553689333</v>
      </c>
      <c r="J515" s="40" t="n">
        <f aca="false">Sens!$J$552</f>
        <v>4.34180197773138</v>
      </c>
      <c r="K515" s="40" t="n">
        <f aca="false">Sens!$K$552</f>
        <v>5.84900555584495</v>
      </c>
      <c r="L515" s="40" t="n">
        <f aca="false">Sens!$L$552</f>
        <v>10.9520308295996</v>
      </c>
      <c r="M515" s="40" t="n">
        <f aca="false">Sens!$M$552</f>
        <v>18.3732936479942</v>
      </c>
    </row>
    <row r="516" customFormat="false" ht="17.15" hidden="false" customHeight="false" outlineLevel="0" collapsed="false">
      <c r="A516" s="5" t="s">
        <v>812</v>
      </c>
      <c r="B516" s="0" t="s">
        <v>91</v>
      </c>
      <c r="C516" s="40" t="n">
        <f aca="false">Q!$D$41</f>
        <v>2.427</v>
      </c>
      <c r="D516" s="40" t="n">
        <f aca="false">Q!$E$41</f>
        <v>19.61</v>
      </c>
      <c r="E516" s="40" t="n">
        <f aca="false">Q!$O$41</f>
        <v>71.976</v>
      </c>
      <c r="F516" s="41" t="n">
        <v>0</v>
      </c>
      <c r="G516" s="40" t="n">
        <f aca="false">Sens!$E$516+Sens!$F$516</f>
        <v>71.976</v>
      </c>
      <c r="H516" s="41" t="n">
        <v>0</v>
      </c>
      <c r="I516" s="41" t="n">
        <v>0</v>
      </c>
      <c r="J516" s="41" t="n">
        <v>0</v>
      </c>
      <c r="K516" s="41" t="n">
        <v>0</v>
      </c>
      <c r="L516" s="41" t="n">
        <v>0</v>
      </c>
      <c r="M516" s="41" t="n">
        <v>0</v>
      </c>
      <c r="N516" s="40" t="n">
        <f aca="false">Q!$N$41</f>
        <v>17.303</v>
      </c>
      <c r="O516" s="40" t="n">
        <f aca="false">Q!$J$41</f>
        <v>2.307</v>
      </c>
      <c r="P516" s="5" t="s">
        <v>813</v>
      </c>
    </row>
    <row r="517" customFormat="false" ht="15" hidden="false" customHeight="false" outlineLevel="0" collapsed="false">
      <c r="A517" s="5" t="s">
        <v>595</v>
      </c>
      <c r="B517" s="0" t="s">
        <v>91</v>
      </c>
      <c r="C517" s="40" t="n">
        <f aca="false">Q!$D$38</f>
        <v>68.614</v>
      </c>
      <c r="D517" s="40" t="n">
        <f aca="false">Q!$E$38</f>
        <v>97.311</v>
      </c>
      <c r="E517" s="40" t="n">
        <f aca="false">Q!$O$38</f>
        <v>147.56</v>
      </c>
      <c r="F517" s="40" t="n">
        <f aca="false">Sens!$F$493-Sens!$F$514+Sens!$F$515+Sens!$F$516</f>
        <v>33.8314872421309</v>
      </c>
      <c r="G517" s="40" t="n">
        <f aca="false">Sens!$E$517+Sens!$F$517</f>
        <v>181.391487242131</v>
      </c>
      <c r="H517" s="40" t="n">
        <f aca="false">Sens!$H$493-Sens!$H$514+Sens!$H$515+Sens!$H$516</f>
        <v>130.699992816619</v>
      </c>
      <c r="I517" s="40" t="n">
        <f aca="false">Sens!$I$493-Sens!$I$514+Sens!$I$515+Sens!$I$516</f>
        <v>139.19465107237</v>
      </c>
      <c r="J517" s="40" t="n">
        <f aca="false">Sens!$J$493-Sens!$J$514+Sens!$J$515+Sens!$J$516</f>
        <v>154.676784886334</v>
      </c>
      <c r="K517" s="40" t="n">
        <f aca="false">Sens!$K$493-Sens!$K$514+Sens!$K$515+Sens!$K$516</f>
        <v>166.38793254299</v>
      </c>
      <c r="L517" s="40" t="n">
        <f aca="false">Sens!$L$493-Sens!$L$514+Sens!$L$515+Sens!$L$516</f>
        <v>181.915794318286</v>
      </c>
      <c r="M517" s="40" t="n">
        <f aca="false">Sens!$M$493-Sens!$M$514+Sens!$M$515+Sens!$M$516</f>
        <v>202.672282356561</v>
      </c>
      <c r="N517" s="40" t="n">
        <f aca="false">Q!$N$38</f>
        <v>70.706</v>
      </c>
      <c r="O517" s="40" t="n">
        <f aca="false">Q!$J$38</f>
        <v>26.605</v>
      </c>
    </row>
    <row r="518" customFormat="false" ht="15" hidden="false" customHeight="false" outlineLevel="0" collapsed="false">
      <c r="A518" s="5" t="s">
        <v>596</v>
      </c>
      <c r="B518" s="0" t="s">
        <v>91</v>
      </c>
      <c r="C518" s="40" t="n">
        <f aca="false">Q!$D$39</f>
        <v>9.265</v>
      </c>
      <c r="D518" s="40" t="n">
        <f aca="false">Q!$E$39</f>
        <v>19.087</v>
      </c>
      <c r="E518" s="40" t="n">
        <f aca="false">Q!$O$39</f>
        <v>33.939</v>
      </c>
      <c r="F518" s="40" t="n">
        <f aca="false">Sens!$F$517*tax</f>
        <v>5.87262269781057</v>
      </c>
      <c r="G518" s="40" t="n">
        <f aca="false">Sens!$E$518+Sens!$F$518</f>
        <v>39.8116226978106</v>
      </c>
      <c r="H518" s="40" t="n">
        <f aca="false">Sens!$H$517*tax</f>
        <v>22.6874963824443</v>
      </c>
      <c r="I518" s="40" t="n">
        <f aca="false">Sens!$I$517*tax</f>
        <v>24.1620376145762</v>
      </c>
      <c r="J518" s="40" t="n">
        <f aca="false">Sens!$J$517*tax</f>
        <v>26.8494964837565</v>
      </c>
      <c r="K518" s="40" t="n">
        <f aca="false">Sens!$K$517*tax</f>
        <v>28.8823705059262</v>
      </c>
      <c r="L518" s="40" t="n">
        <f aca="false">Sens!$L$517*tax</f>
        <v>31.5777670416275</v>
      </c>
      <c r="M518" s="40" t="n">
        <f aca="false">Sens!$M$517*tax</f>
        <v>35.1807721920665</v>
      </c>
      <c r="N518" s="40" t="n">
        <f aca="false">Q!$N$39</f>
        <v>14.141</v>
      </c>
      <c r="O518" s="40" t="n">
        <f aca="false">Q!$J$39</f>
        <v>4.946</v>
      </c>
    </row>
    <row r="519" customFormat="false" ht="15" hidden="false" customHeight="false" outlineLevel="0" collapsed="false">
      <c r="A519" s="3" t="s">
        <v>597</v>
      </c>
      <c r="B519" s="8" t="s">
        <v>91</v>
      </c>
      <c r="C519" s="40" t="n">
        <f aca="false">Q!$D$40</f>
        <v>59.248</v>
      </c>
      <c r="D519" s="40" t="n">
        <f aca="false">Q!$E$40</f>
        <v>77.67</v>
      </c>
      <c r="E519" s="40" t="n">
        <f aca="false">Q!$O$40</f>
        <v>113.587</v>
      </c>
      <c r="F519" s="40" t="n">
        <f aca="false">Sens!$F$517-Sens!$F$518</f>
        <v>27.9588645443204</v>
      </c>
      <c r="G519" s="40" t="n">
        <f aca="false">Sens!$E$519+Sens!$F$519</f>
        <v>141.54586454432</v>
      </c>
      <c r="H519" s="40" t="n">
        <f aca="false">Sens!$H$517-Sens!$H$518</f>
        <v>108.012496434175</v>
      </c>
      <c r="I519" s="40" t="n">
        <f aca="false">Sens!$I$517-Sens!$I$518</f>
        <v>115.032613457794</v>
      </c>
      <c r="J519" s="40" t="n">
        <f aca="false">Sens!$J$517-Sens!$J$518</f>
        <v>127.827288402577</v>
      </c>
      <c r="K519" s="40" t="n">
        <f aca="false">Sens!$K$517-Sens!$K$518</f>
        <v>137.505562037064</v>
      </c>
      <c r="L519" s="40" t="n">
        <f aca="false">Sens!$L$517-Sens!$L$518</f>
        <v>150.338027276658</v>
      </c>
      <c r="M519" s="40" t="n">
        <f aca="false">Sens!$M$517-Sens!$M$518</f>
        <v>167.491510164494</v>
      </c>
      <c r="N519" s="40" t="n">
        <f aca="false">Q!$N$40</f>
        <v>56.478</v>
      </c>
      <c r="O519" s="40" t="n">
        <f aca="false">Q!$J$40</f>
        <v>21.192</v>
      </c>
    </row>
    <row r="520" customFormat="false" ht="17.15" hidden="false" customHeight="false" outlineLevel="0" collapsed="false">
      <c r="A520" s="5" t="s">
        <v>600</v>
      </c>
      <c r="B520" s="5" t="s">
        <v>37</v>
      </c>
      <c r="C520" s="25" t="n">
        <f aca="false">Q!$D$43</f>
        <v>10.721</v>
      </c>
      <c r="D520" s="25" t="n">
        <f aca="false">Q!$E$43</f>
        <v>10.827</v>
      </c>
      <c r="E520" s="25" t="n">
        <f aca="false">Q!$O$43</f>
        <v>10.903</v>
      </c>
      <c r="F520" s="25" t="n">
        <f aca="false">Q!$M$43*(1+sh_g*0.25)</f>
        <v>10.950858</v>
      </c>
      <c r="G520" s="25" t="n">
        <f aca="false">(3*Sens!$E$520+Sens!$F$520)/4</f>
        <v>10.9149645</v>
      </c>
      <c r="H520" s="25" t="n">
        <f aca="false">Sens!$G$520*(1+sh_g)</f>
        <v>11.002284216</v>
      </c>
      <c r="I520" s="25" t="n">
        <f aca="false">Sens!$H$520*(1+sh_g)</f>
        <v>11.090302489728</v>
      </c>
      <c r="J520" s="25" t="n">
        <f aca="false">Sens!$I$520*(1+sh_g)</f>
        <v>11.1790249096458</v>
      </c>
      <c r="K520" s="25" t="n">
        <f aca="false">Sens!$J$520*(1+sh_g)</f>
        <v>11.268457108923</v>
      </c>
      <c r="L520" s="25" t="n">
        <f aca="false">Sens!$K$520*(1+sh_g)</f>
        <v>11.3586047657944</v>
      </c>
      <c r="M520" s="25" t="n">
        <f aca="false">Sens!$L$520*(1+sh_g)</f>
        <v>11.4494736039207</v>
      </c>
      <c r="P520" s="5" t="s">
        <v>814</v>
      </c>
    </row>
    <row r="521" customFormat="false" ht="17.15" hidden="false" customHeight="false" outlineLevel="0" collapsed="false">
      <c r="A521" s="5" t="s">
        <v>815</v>
      </c>
      <c r="B521" s="0" t="s">
        <v>91</v>
      </c>
      <c r="C521" s="40" t="n">
        <f aca="false">Sens!$C$519+Sens!$C$495*(1-tax)</f>
        <v>59.248</v>
      </c>
      <c r="D521" s="40" t="n">
        <f aca="false">Sens!$D$519+Sens!$D$495*(1-tax)</f>
        <v>77.67</v>
      </c>
      <c r="E521" s="40" t="n">
        <f aca="false">Sens!$E$519+Sens!$E$495*(1-tax)</f>
        <v>113.587</v>
      </c>
      <c r="F521" s="40" t="n">
        <f aca="false">Sens!$F$519+Sens!$F$495*(1-tax)</f>
        <v>27.9588645443204</v>
      </c>
      <c r="G521" s="40" t="n">
        <f aca="false">Sens!$G$519+Sens!$G$495*(1-tax)</f>
        <v>141.54586454432</v>
      </c>
      <c r="H521" s="40" t="n">
        <f aca="false">Sens!$H$519+Sens!$H$495*(1-tax)</f>
        <v>108.012496434175</v>
      </c>
      <c r="I521" s="40" t="n">
        <f aca="false">Sens!$I$519+Sens!$I$495*(1-tax)</f>
        <v>115.032613457794</v>
      </c>
      <c r="J521" s="40" t="n">
        <f aca="false">Sens!$J$519+Sens!$J$495*(1-tax)</f>
        <v>127.827288402577</v>
      </c>
      <c r="K521" s="40" t="n">
        <f aca="false">Sens!$K$519+Sens!$K$495*(1-tax)</f>
        <v>137.505562037064</v>
      </c>
      <c r="L521" s="40" t="n">
        <f aca="false">Sens!$L$519+Sens!$L$495*(1-tax)</f>
        <v>150.338027276658</v>
      </c>
      <c r="M521" s="40" t="n">
        <f aca="false">Sens!$M$519+Sens!$M$495*(1-tax)</f>
        <v>167.491510164494</v>
      </c>
      <c r="N521" s="40" t="n">
        <f aca="false">Sens!$N$519+Sens!$N$495*(1-tax)</f>
        <v>56.478</v>
      </c>
      <c r="O521" s="40" t="n">
        <f aca="false">Sens!$O$519+Sens!$O$495*(1-tax)</f>
        <v>21.192</v>
      </c>
    </row>
    <row r="522" customFormat="false" ht="17.15" hidden="false" customHeight="false" outlineLevel="0" collapsed="false">
      <c r="A522" s="45" t="s">
        <v>816</v>
      </c>
      <c r="B522" s="14" t="s">
        <v>27</v>
      </c>
      <c r="C522" s="46" t="n">
        <f aca="false">Sens!$C$521/Sens!$C$520</f>
        <v>5.52635015390355</v>
      </c>
      <c r="D522" s="46" t="n">
        <f aca="false">Sens!$D$521/Sens!$D$520</f>
        <v>7.1737323358271</v>
      </c>
      <c r="E522" s="46" t="n">
        <f aca="false">Sens!$E$521/Sens!$E$520</f>
        <v>10.4179583600844</v>
      </c>
      <c r="F522" s="14"/>
      <c r="G522" s="46" t="n">
        <f aca="false">Sens!$G$521/Sens!$G$520</f>
        <v>12.9680554200905</v>
      </c>
      <c r="H522" s="46" t="n">
        <f aca="false">Sens!$H$521/Sens!$H$520</f>
        <v>9.81727924071423</v>
      </c>
      <c r="I522" s="46" t="n">
        <f aca="false">Sens!$I$521/Sens!$I$520</f>
        <v>10.3723603178848</v>
      </c>
      <c r="J522" s="46" t="n">
        <f aca="false">Sens!$J$521/Sens!$J$520</f>
        <v>11.4345651285097</v>
      </c>
      <c r="K522" s="46" t="n">
        <f aca="false">Sens!$K$521/Sens!$K$520</f>
        <v>12.2026964923334</v>
      </c>
      <c r="L522" s="46" t="n">
        <f aca="false">Sens!$L$521/Sens!$L$520</f>
        <v>13.235606870431</v>
      </c>
      <c r="M522" s="46" t="n">
        <f aca="false">Sens!$M$521/Sens!$M$520</f>
        <v>14.6287520246467</v>
      </c>
      <c r="N522" s="14"/>
      <c r="O522" s="14"/>
    </row>
    <row r="523" customFormat="false" ht="17.15" hidden="false" customHeight="false" outlineLevel="0" collapsed="false">
      <c r="A523" s="0" t="s">
        <v>817</v>
      </c>
      <c r="B523" s="0" t="s">
        <v>27</v>
      </c>
      <c r="C523" s="34" t="n">
        <f aca="false">Sens!$C$519/Sens!$C$520</f>
        <v>5.52635015390355</v>
      </c>
      <c r="D523" s="34" t="n">
        <f aca="false">Sens!$D$519/Sens!$D$520</f>
        <v>7.1737323358271</v>
      </c>
      <c r="E523" s="34" t="n">
        <f aca="false">Sens!$E$519/Sens!$E$520</f>
        <v>10.4179583600844</v>
      </c>
      <c r="G523" s="34" t="n">
        <f aca="false">Sens!$G$519/Sens!$G$520</f>
        <v>12.9680554200905</v>
      </c>
      <c r="H523" s="34" t="n">
        <f aca="false">Sens!$H$519/Sens!$H$520</f>
        <v>9.81727924071423</v>
      </c>
      <c r="I523" s="34" t="n">
        <f aca="false">Sens!$I$519/Sens!$I$520</f>
        <v>10.3723603178848</v>
      </c>
      <c r="J523" s="34" t="n">
        <f aca="false">Sens!$J$519/Sens!$J$520</f>
        <v>11.4345651285097</v>
      </c>
      <c r="K523" s="34" t="n">
        <f aca="false">Sens!$K$519/Sens!$K$520</f>
        <v>12.2026964923334</v>
      </c>
      <c r="L523" s="34" t="n">
        <f aca="false">Sens!$L$519/Sens!$L$520</f>
        <v>13.235606870431</v>
      </c>
      <c r="M523" s="34" t="n">
        <f aca="false">Sens!$M$519/Sens!$M$520</f>
        <v>14.6287520246467</v>
      </c>
    </row>
    <row r="524" customFormat="false" ht="17.15" hidden="false" customHeight="false" outlineLevel="0" collapsed="false">
      <c r="A524" s="0" t="s">
        <v>818</v>
      </c>
      <c r="B524" s="0" t="s">
        <v>27</v>
      </c>
      <c r="C524" s="34" t="n">
        <f aca="false">(Sens!$C$519-Sens!$C$516*(1-tax))/Sens!$C$520</f>
        <v>5.33926775917445</v>
      </c>
      <c r="D524" s="34" t="n">
        <f aca="false">(Sens!$D$519-Sens!$D$516*(1-tax))/Sens!$D$520</f>
        <v>5.67691812755503</v>
      </c>
      <c r="E524" s="34" t="n">
        <f aca="false">(Sens!$E$519-Sens!$E$516*(1-tax))/Sens!$E$520</f>
        <v>4.96238832322067</v>
      </c>
      <c r="G524" s="34" t="n">
        <f aca="false">(Sens!$G$519-Sens!$G$516*(1-tax))/Sens!$G$520</f>
        <v>7.51846553714355</v>
      </c>
      <c r="H524" s="34" t="n">
        <f aca="false">(Sens!$H$519-Sens!$H$516*(1-tax))/Sens!$H$520</f>
        <v>9.81727924071423</v>
      </c>
      <c r="I524" s="34" t="n">
        <f aca="false">(Sens!$I$519-Sens!$I$516*(1-tax))/Sens!$I$520</f>
        <v>10.3723603178848</v>
      </c>
      <c r="J524" s="34" t="n">
        <f aca="false">(Sens!$J$519-Sens!$J$516*(1-tax))/Sens!$J$520</f>
        <v>11.4345651285097</v>
      </c>
      <c r="K524" s="34" t="n">
        <f aca="false">(Sens!$K$519-Sens!$K$516*(1-tax))/Sens!$K$520</f>
        <v>12.2026964923334</v>
      </c>
      <c r="L524" s="34" t="n">
        <f aca="false">(Sens!$L$519-Sens!$L$516*(1-tax))/Sens!$L$520</f>
        <v>13.235606870431</v>
      </c>
      <c r="M524" s="34" t="n">
        <f aca="false">(Sens!$M$519-Sens!$M$516*(1-tax))/Sens!$M$520</f>
        <v>14.6287520246467</v>
      </c>
      <c r="P524" s="5" t="s">
        <v>819</v>
      </c>
    </row>
    <row r="525" customFormat="false" ht="17.15" hidden="false" customHeight="false" outlineLevel="0" collapsed="false">
      <c r="A525" s="0" t="s">
        <v>820</v>
      </c>
      <c r="B525" s="0" t="s">
        <v>56</v>
      </c>
      <c r="H525" s="13" t="n">
        <f aca="false">Sens!$H$522/Sens!$G$522-1</f>
        <v>-0.242964428922396</v>
      </c>
      <c r="I525" s="13" t="n">
        <f aca="false">Sens!$I$522/Sens!$H$522-1</f>
        <v>0.0565412334273374</v>
      </c>
      <c r="J525" s="13" t="n">
        <f aca="false">Sens!$J$522/Sens!$I$522-1</f>
        <v>0.102407241753198</v>
      </c>
      <c r="K525" s="13" t="n">
        <f aca="false">Sens!$K$522/Sens!$J$522-1</f>
        <v>0.067176263827345</v>
      </c>
      <c r="L525" s="13" t="n">
        <f aca="false">Sens!$L$522/Sens!$K$522-1</f>
        <v>0.0846460762788377</v>
      </c>
      <c r="M525" s="13" t="n">
        <f aca="false">Sens!$M$522/Sens!$L$522-1</f>
        <v>0.105257368842533</v>
      </c>
    </row>
    <row r="528" customFormat="false" ht="19.4" hidden="false" customHeight="false" outlineLevel="0" collapsed="false">
      <c r="A528" s="35" t="s">
        <v>1312</v>
      </c>
    </row>
    <row r="529" customFormat="false" ht="17.15" hidden="false" customHeight="false" outlineLevel="0" collapsed="false">
      <c r="A529" s="6" t="s">
        <v>16</v>
      </c>
      <c r="B529" s="6" t="s">
        <v>17</v>
      </c>
      <c r="C529" s="23" t="s">
        <v>542</v>
      </c>
      <c r="D529" s="23" t="s">
        <v>543</v>
      </c>
      <c r="E529" s="23" t="s">
        <v>631</v>
      </c>
      <c r="F529" s="23" t="s">
        <v>632</v>
      </c>
      <c r="G529" s="23" t="s">
        <v>633</v>
      </c>
      <c r="H529" s="23" t="s">
        <v>634</v>
      </c>
      <c r="I529" s="23" t="s">
        <v>635</v>
      </c>
      <c r="J529" s="23" t="s">
        <v>636</v>
      </c>
      <c r="K529" s="23" t="s">
        <v>637</v>
      </c>
      <c r="L529" s="23" t="s">
        <v>638</v>
      </c>
      <c r="M529" s="23" t="s">
        <v>639</v>
      </c>
      <c r="N529" s="23" t="s">
        <v>640</v>
      </c>
      <c r="O529" s="23" t="s">
        <v>641</v>
      </c>
      <c r="P529" s="6" t="s">
        <v>23</v>
      </c>
      <c r="R529" s="23" t="n">
        <v>2023</v>
      </c>
      <c r="S529" s="23" t="n">
        <v>2024</v>
      </c>
      <c r="T529" s="23" t="n">
        <v>2025</v>
      </c>
      <c r="U529" s="23" t="n">
        <v>2026</v>
      </c>
      <c r="V529" s="23" t="n">
        <v>2027</v>
      </c>
      <c r="W529" s="23" t="n">
        <v>2028</v>
      </c>
      <c r="X529" s="23" t="n">
        <v>2029</v>
      </c>
      <c r="Y529" s="23" t="n">
        <v>2030</v>
      </c>
      <c r="Z529" s="23" t="n">
        <v>2031</v>
      </c>
      <c r="AA529" s="23" t="n">
        <v>2032</v>
      </c>
    </row>
    <row r="530" customFormat="false" ht="15" hidden="false" customHeight="false" outlineLevel="0" collapsed="false">
      <c r="A530" s="5" t="s">
        <v>597</v>
      </c>
      <c r="B530" s="0" t="s">
        <v>91</v>
      </c>
      <c r="C530" s="40" t="n">
        <f aca="false">Sens!$C$519</f>
        <v>59.248</v>
      </c>
      <c r="D530" s="40" t="n">
        <f aca="false">Sens!$D$519</f>
        <v>77.67</v>
      </c>
      <c r="E530" s="40" t="n">
        <f aca="false">Sens!$E$519</f>
        <v>113.587</v>
      </c>
      <c r="F530" s="40" t="n">
        <f aca="false">Sens!$F$519</f>
        <v>27.9588645443204</v>
      </c>
      <c r="G530" s="40" t="n">
        <f aca="false">Sens!$G$519</f>
        <v>141.54586454432</v>
      </c>
      <c r="H530" s="40" t="n">
        <f aca="false">Sens!$H$519</f>
        <v>108.012496434175</v>
      </c>
      <c r="I530" s="40" t="n">
        <f aca="false">Sens!$I$519</f>
        <v>115.032613457794</v>
      </c>
      <c r="J530" s="40" t="n">
        <f aca="false">Sens!$J$519</f>
        <v>127.827288402577</v>
      </c>
      <c r="K530" s="40" t="n">
        <f aca="false">Sens!$K$519</f>
        <v>137.505562037064</v>
      </c>
      <c r="L530" s="40" t="n">
        <f aca="false">Sens!$L$519</f>
        <v>150.338027276658</v>
      </c>
      <c r="M530" s="40" t="n">
        <f aca="false">Sens!$M$519</f>
        <v>167.491510164494</v>
      </c>
    </row>
    <row r="531" customFormat="false" ht="17.15" hidden="false" customHeight="false" outlineLevel="0" collapsed="false">
      <c r="A531" s="5" t="s">
        <v>843</v>
      </c>
      <c r="B531" s="0" t="s">
        <v>91</v>
      </c>
      <c r="C531" s="40" t="n">
        <f aca="false">Sens!$C$507</f>
        <v>32.067</v>
      </c>
      <c r="D531" s="40" t="n">
        <f aca="false">Sens!$D$507</f>
        <v>41.86</v>
      </c>
      <c r="E531" s="40" t="n">
        <f aca="false">Sens!$E$507</f>
        <v>41.23880553332</v>
      </c>
      <c r="F531" s="40" t="n">
        <f aca="false">Sens!$F$507</f>
        <v>15.5740390023468</v>
      </c>
      <c r="G531" s="40" t="n">
        <f aca="false">Sens!$G$507</f>
        <v>56.8128445356668</v>
      </c>
      <c r="H531" s="40" t="n">
        <f aca="false">Sens!$H$507</f>
        <v>78.7771455603241</v>
      </c>
      <c r="I531" s="40" t="n">
        <f aca="false">Sens!$I$507</f>
        <v>114.930756142734</v>
      </c>
      <c r="J531" s="40" t="n">
        <f aca="false">Sens!$J$507</f>
        <v>144.950446317972</v>
      </c>
      <c r="K531" s="40" t="n">
        <f aca="false">Sens!$K$507</f>
        <v>175.039176433454</v>
      </c>
      <c r="L531" s="40" t="n">
        <f aca="false">Sens!$L$507</f>
        <v>197.676468176405</v>
      </c>
      <c r="M531" s="40" t="n">
        <f aca="false">Sens!$M$507</f>
        <v>211.857899598634</v>
      </c>
    </row>
    <row r="532" customFormat="false" ht="15" hidden="false" customHeight="false" outlineLevel="0" collapsed="false">
      <c r="A532" s="5" t="s">
        <v>844</v>
      </c>
      <c r="B532" s="0" t="s">
        <v>91</v>
      </c>
      <c r="C532" s="40" t="n">
        <f aca="false">Q!$D$50</f>
        <v>22.011</v>
      </c>
      <c r="D532" s="40" t="n">
        <f aca="false">Q!$E$50</f>
        <v>19.467</v>
      </c>
      <c r="E532" s="40" t="n">
        <f aca="false">Q!$O$50</f>
        <v>15.476</v>
      </c>
      <c r="F532" s="40" t="n">
        <f aca="false">sbc_r*Sens!$F$449</f>
        <v>6.06814867296587</v>
      </c>
      <c r="G532" s="40" t="n">
        <f aca="false">Sens!$E$532+Sens!$F$532</f>
        <v>21.5441486729659</v>
      </c>
      <c r="H532" s="40" t="n">
        <f aca="false">sbc_r*Sens!$H$449</f>
        <v>23.5270236245786</v>
      </c>
      <c r="I532" s="40" t="n">
        <f aca="false">sbc_r*Sens!$I$449</f>
        <v>26.509280604404</v>
      </c>
      <c r="J532" s="40" t="n">
        <f aca="false">sbc_r*Sens!$J$449</f>
        <v>29.3657010341642</v>
      </c>
      <c r="K532" s="40" t="n">
        <f aca="false">sbc_r*Sens!$K$449</f>
        <v>31.8879450313334</v>
      </c>
      <c r="L532" s="40" t="n">
        <f aca="false">sbc_r*Sens!$L$449</f>
        <v>34.2800342950813</v>
      </c>
      <c r="M532" s="40" t="n">
        <f aca="false">sbc_r*Sens!$M$449</f>
        <v>36.5508729661877</v>
      </c>
    </row>
    <row r="533" customFormat="false" ht="17.15" hidden="false" customHeight="false" outlineLevel="0" collapsed="false">
      <c r="A533" s="5" t="s">
        <v>845</v>
      </c>
      <c r="B533" s="0" t="s">
        <v>91</v>
      </c>
      <c r="C533" s="40" t="n">
        <f aca="false">Q!$D$46-Sens!$C$530-Sens!$C$531-Sens!$C$532</f>
        <v>2.551</v>
      </c>
      <c r="D533" s="40" t="n">
        <f aca="false">Q!$E$46-Sens!$D$530-Sens!$D$531-Sens!$D$532</f>
        <v>0.51700000000001</v>
      </c>
      <c r="E533" s="40" t="n">
        <f aca="false">Q!$O$46-Sens!$E$530-Sens!$E$531-Sens!$E$532</f>
        <v>-56.46080553332</v>
      </c>
      <c r="F533" s="40" t="n">
        <f aca="false">oth_q4*Sens!$F$449</f>
        <v>21.2380336345827</v>
      </c>
      <c r="G533" s="40" t="n">
        <f aca="false">Sens!$E$533+Sens!$F$533</f>
        <v>-35.2227718987373</v>
      </c>
      <c r="H533" s="40" t="n">
        <f aca="false">oth_r*Sens!$H$449</f>
        <v>11.3144280776777</v>
      </c>
      <c r="I533" s="40" t="n">
        <f aca="false">oth_r*Sens!$I$449</f>
        <v>12.7486312580637</v>
      </c>
      <c r="J533" s="40" t="n">
        <f aca="false">oth_r*Sens!$J$449</f>
        <v>14.1223181309909</v>
      </c>
      <c r="K533" s="40" t="n">
        <f aca="false">oth_r*Sens!$K$449</f>
        <v>15.3352955460563</v>
      </c>
      <c r="L533" s="40" t="n">
        <f aca="false">oth_r*Sens!$L$449</f>
        <v>16.4856799874519</v>
      </c>
      <c r="M533" s="40" t="n">
        <f aca="false">oth_r*Sens!$M$449</f>
        <v>17.5777535633631</v>
      </c>
      <c r="P533" s="8" t="s">
        <v>846</v>
      </c>
    </row>
    <row r="534" customFormat="false" ht="15" hidden="false" customHeight="false" outlineLevel="0" collapsed="false">
      <c r="A534" s="3" t="s">
        <v>604</v>
      </c>
      <c r="B534" s="8" t="s">
        <v>91</v>
      </c>
      <c r="C534" s="40" t="n">
        <f aca="false">Q!$D$46</f>
        <v>115.877</v>
      </c>
      <c r="D534" s="40" t="n">
        <f aca="false">Q!$E$46</f>
        <v>139.514</v>
      </c>
      <c r="E534" s="40" t="n">
        <f aca="false">Q!$O$46</f>
        <v>113.841</v>
      </c>
      <c r="F534" s="40" t="n">
        <f aca="false">Sens!$F$530+Sens!$F$531+Sens!$F$532+Sens!$F$533</f>
        <v>70.8390858542158</v>
      </c>
      <c r="G534" s="40" t="n">
        <f aca="false">Sens!$E$534+Sens!$F$534</f>
        <v>184.680085854216</v>
      </c>
      <c r="H534" s="40" t="n">
        <f aca="false">Sens!$H$530+Sens!$H$531+Sens!$H$532+Sens!$H$533</f>
        <v>221.631093696755</v>
      </c>
      <c r="I534" s="40" t="n">
        <f aca="false">Sens!$I$530+Sens!$I$531+Sens!$I$532+Sens!$I$533</f>
        <v>269.221281462996</v>
      </c>
      <c r="J534" s="40" t="n">
        <f aca="false">Sens!$J$530+Sens!$J$531+Sens!$J$532+Sens!$J$533</f>
        <v>316.265753885704</v>
      </c>
      <c r="K534" s="40" t="n">
        <f aca="false">Sens!$K$530+Sens!$K$531+Sens!$K$532+Sens!$K$533</f>
        <v>359.767979047908</v>
      </c>
      <c r="L534" s="40" t="n">
        <f aca="false">Sens!$L$530+Sens!$L$531+Sens!$L$532+Sens!$L$533</f>
        <v>398.780209735596</v>
      </c>
      <c r="M534" s="40" t="n">
        <f aca="false">Sens!$M$530+Sens!$M$531+Sens!$M$532+Sens!$M$533</f>
        <v>433.478036292679</v>
      </c>
    </row>
    <row r="535" customFormat="false" ht="17.15" hidden="false" customHeight="false" outlineLevel="0" collapsed="false">
      <c r="A535" s="5" t="s">
        <v>847</v>
      </c>
      <c r="B535" s="0" t="s">
        <v>91</v>
      </c>
      <c r="C535" s="40" t="n">
        <f aca="false">Sens!$C$410</f>
        <v>25.2781053077374</v>
      </c>
      <c r="D535" s="40" t="n">
        <f aca="false">Sens!$D$410</f>
        <v>69.5686316310026</v>
      </c>
      <c r="E535" s="40" t="n">
        <f aca="false">Sens!$E$410</f>
        <v>123.196049161056</v>
      </c>
      <c r="F535" s="40" t="n">
        <f aca="false">Sens!$F$410</f>
        <v>28.695619283164</v>
      </c>
      <c r="G535" s="40" t="n">
        <f aca="false">Sens!$G$410</f>
        <v>151.89166844422</v>
      </c>
      <c r="H535" s="40" t="n">
        <f aca="false">Sens!$H$410</f>
        <v>177.245913338435</v>
      </c>
      <c r="I535" s="40" t="n">
        <f aca="false">Sens!$I$410</f>
        <v>183.579448050685</v>
      </c>
      <c r="J535" s="40" t="n">
        <f aca="false">Sens!$J$410</f>
        <v>187.873277448685</v>
      </c>
      <c r="K535" s="40" t="n">
        <f aca="false">Sens!$K$410</f>
        <v>138.407037940551</v>
      </c>
      <c r="L535" s="40" t="n">
        <f aca="false">Sens!$L$410</f>
        <v>114.703774820416</v>
      </c>
      <c r="M535" s="40" t="n">
        <f aca="false">Sens!$M$410</f>
        <v>112.986707313624</v>
      </c>
    </row>
    <row r="536" customFormat="false" ht="17.15" hidden="false" customHeight="false" outlineLevel="0" collapsed="false">
      <c r="A536" s="5" t="s">
        <v>848</v>
      </c>
      <c r="B536" s="0" t="s">
        <v>91</v>
      </c>
      <c r="C536" s="40" t="n">
        <f aca="false">cx_awso*Sens!$C$447</f>
        <v>21.0469989286053</v>
      </c>
      <c r="D536" s="40" t="n">
        <f aca="false">cx_awso*Sens!$D$447</f>
        <v>24.0042459822698</v>
      </c>
      <c r="E536" s="40" t="n">
        <f aca="false">cx_awso*Sens!$E$447</f>
        <v>21.9204583888104</v>
      </c>
      <c r="F536" s="40" t="n">
        <f aca="false">cx_awso*Sens!$F$447</f>
        <v>7.39593206711017</v>
      </c>
      <c r="G536" s="40" t="n">
        <f aca="false">Sens!$E$536+Sens!$F$536</f>
        <v>29.3163904559206</v>
      </c>
      <c r="H536" s="40" t="n">
        <f aca="false">cx_awso*Sens!$H$447</f>
        <v>32.9920830336434</v>
      </c>
      <c r="I536" s="40" t="n">
        <f aca="false">cx_awso*Sens!$I$447</f>
        <v>36.62957281938</v>
      </c>
      <c r="J536" s="40" t="n">
        <f aca="false">cx_awso*Sens!$J$447</f>
        <v>40.1140234584536</v>
      </c>
      <c r="K536" s="40" t="n">
        <f aca="false">cx_awso*Sens!$K$447</f>
        <v>43.3231453351299</v>
      </c>
      <c r="L536" s="40" t="n">
        <f aca="false">cx_awso*Sens!$L$447</f>
        <v>46.7889969619403</v>
      </c>
      <c r="M536" s="40" t="n">
        <f aca="false">cx_awso*Sens!$M$447</f>
        <v>50.5321167188955</v>
      </c>
    </row>
    <row r="537" customFormat="false" ht="17.15" hidden="false" customHeight="false" outlineLevel="0" collapsed="false">
      <c r="A537" s="5" t="s">
        <v>849</v>
      </c>
      <c r="B537" s="0" t="s">
        <v>91</v>
      </c>
      <c r="C537" s="40" t="n">
        <f aca="false">Q!$D$48-Sens!$C$535-Sens!$C$536</f>
        <v>31.3328957636573</v>
      </c>
      <c r="D537" s="40" t="n">
        <f aca="false">Q!$E$48-Sens!$D$535-Sens!$D$536</f>
        <v>34.7471223867276</v>
      </c>
      <c r="E537" s="40" t="n">
        <f aca="false">Q!$O$48-Sens!$E$535-Sens!$E$536</f>
        <v>27.0714924501335</v>
      </c>
      <c r="F537" s="40" t="n">
        <f aca="false">cx_rt*Sens!$F$373</f>
        <v>11.7204486497259</v>
      </c>
      <c r="G537" s="40" t="n">
        <f aca="false">Sens!$E$537+Sens!$F$537</f>
        <v>38.7919410998594</v>
      </c>
      <c r="H537" s="40" t="n">
        <f aca="false">cx_rt*Sens!$H$373</f>
        <v>42.8420898770438</v>
      </c>
      <c r="I537" s="40" t="n">
        <f aca="false">cx_rt*Sens!$I$373</f>
        <v>46.7625475113878</v>
      </c>
      <c r="J537" s="40" t="n">
        <f aca="false">cx_rt*Sens!$J$373</f>
        <v>50.4185886328199</v>
      </c>
      <c r="K537" s="40" t="n">
        <f aca="false">cx_rt*Sens!$K$373</f>
        <v>53.670701222965</v>
      </c>
      <c r="L537" s="40" t="n">
        <f aca="false">cx_rt*Sens!$L$373</f>
        <v>57.1488603007655</v>
      </c>
      <c r="M537" s="40" t="n">
        <f aca="false">cx_rt*Sens!$M$373</f>
        <v>60.8699498760758</v>
      </c>
    </row>
    <row r="538" customFormat="false" ht="15" hidden="false" customHeight="false" outlineLevel="0" collapsed="false">
      <c r="A538" s="3" t="s">
        <v>850</v>
      </c>
      <c r="B538" s="8" t="s">
        <v>91</v>
      </c>
      <c r="C538" s="40" t="n">
        <f aca="false">Q!$D$48</f>
        <v>77.658</v>
      </c>
      <c r="D538" s="40" t="n">
        <f aca="false">Q!$E$48</f>
        <v>128.32</v>
      </c>
      <c r="E538" s="40" t="n">
        <f aca="false">Q!$O$48</f>
        <v>172.188</v>
      </c>
      <c r="F538" s="40" t="n">
        <f aca="false">Sens!$F$535+Sens!$F$536+Sens!$F$537</f>
        <v>47.812</v>
      </c>
      <c r="G538" s="40" t="n">
        <f aca="false">Sens!$E$538+Sens!$F$538</f>
        <v>220</v>
      </c>
      <c r="H538" s="40" t="n">
        <f aca="false">Sens!$H$535+Sens!$H$536+Sens!$H$537</f>
        <v>253.080086249122</v>
      </c>
      <c r="I538" s="40" t="n">
        <f aca="false">Sens!$I$535+Sens!$I$536+Sens!$I$537</f>
        <v>266.971568381453</v>
      </c>
      <c r="J538" s="40" t="n">
        <f aca="false">Sens!$J$535+Sens!$J$536+Sens!$J$537</f>
        <v>278.405889539959</v>
      </c>
      <c r="K538" s="40" t="n">
        <f aca="false">Sens!$K$535+Sens!$K$536+Sens!$K$537</f>
        <v>235.400884498646</v>
      </c>
      <c r="L538" s="40" t="n">
        <f aca="false">Sens!$L$535+Sens!$L$536+Sens!$L$537</f>
        <v>218.641632083122</v>
      </c>
      <c r="M538" s="40" t="n">
        <f aca="false">Sens!$M$535+Sens!$M$536+Sens!$M$537</f>
        <v>224.388773908596</v>
      </c>
    </row>
    <row r="539" customFormat="false" ht="17.15" hidden="false" customHeight="false" outlineLevel="0" collapsed="false">
      <c r="A539" s="5" t="s">
        <v>612</v>
      </c>
      <c r="B539" s="0" t="s">
        <v>91</v>
      </c>
      <c r="C539" s="40" t="n">
        <f aca="false">Q!$D$52</f>
        <v>2.043</v>
      </c>
      <c r="D539" s="40" t="n">
        <f aca="false">Q!$E$52</f>
        <v>1.557</v>
      </c>
      <c r="E539" s="40" t="n">
        <f aca="false">Q!$O$52</f>
        <v>1.296</v>
      </c>
      <c r="F539" s="40" t="n">
        <f aca="false">lease_pr/4</f>
        <v>0.4</v>
      </c>
      <c r="G539" s="40" t="n">
        <f aca="false">Sens!$E$539+Sens!$F$539</f>
        <v>1.696</v>
      </c>
      <c r="H539" s="40" t="n">
        <f aca="false">lease_pr</f>
        <v>1.6</v>
      </c>
      <c r="I539" s="40" t="n">
        <f aca="false">lease_pr</f>
        <v>1.6</v>
      </c>
      <c r="J539" s="40" t="n">
        <f aca="false">lease_pr</f>
        <v>1.6</v>
      </c>
      <c r="K539" s="40" t="n">
        <f aca="false">lease_pr</f>
        <v>1.6</v>
      </c>
      <c r="L539" s="40" t="n">
        <f aca="false">lease_pr</f>
        <v>1.6</v>
      </c>
      <c r="M539" s="40" t="n">
        <f aca="false">lease_pr</f>
        <v>1.6</v>
      </c>
      <c r="P539" s="8" t="s">
        <v>851</v>
      </c>
    </row>
    <row r="540" customFormat="false" ht="15" hidden="false" customHeight="false" outlineLevel="0" collapsed="false">
      <c r="A540" s="48" t="s">
        <v>852</v>
      </c>
      <c r="B540" s="14" t="s">
        <v>91</v>
      </c>
      <c r="C540" s="49" t="n">
        <f aca="false">Sens!$C$534-Sens!$C$538-Sens!$C$539</f>
        <v>36.176</v>
      </c>
      <c r="D540" s="49" t="n">
        <f aca="false">Sens!$D$534-Sens!$D$538-Sens!$D$539</f>
        <v>9.63700000000002</v>
      </c>
      <c r="E540" s="49" t="n">
        <f aca="false">Sens!$E$534-Sens!$E$538-Sens!$E$539</f>
        <v>-59.643</v>
      </c>
      <c r="F540" s="49" t="n">
        <f aca="false">Sens!$F$534-Sens!$F$538-Sens!$F$539</f>
        <v>22.6270858542157</v>
      </c>
      <c r="G540" s="49" t="n">
        <f aca="false">Sens!$G$534-Sens!$G$538-Sens!$G$539</f>
        <v>-37.0159141457843</v>
      </c>
      <c r="H540" s="49" t="n">
        <f aca="false">Sens!$H$534-Sens!$H$538-Sens!$H$539</f>
        <v>-33.0489925523671</v>
      </c>
      <c r="I540" s="49" t="n">
        <f aca="false">Sens!$I$534-Sens!$I$538-Sens!$I$539</f>
        <v>0.649713081543234</v>
      </c>
      <c r="J540" s="49" t="n">
        <f aca="false">Sens!$J$534-Sens!$J$538-Sens!$J$539</f>
        <v>36.2598643457456</v>
      </c>
      <c r="K540" s="49" t="n">
        <f aca="false">Sens!$K$534-Sens!$K$538-Sens!$K$539</f>
        <v>122.767094549262</v>
      </c>
      <c r="L540" s="49" t="n">
        <f aca="false">Sens!$L$534-Sens!$L$538-Sens!$L$539</f>
        <v>178.538577652474</v>
      </c>
      <c r="M540" s="49" t="n">
        <f aca="false">Sens!$M$534-Sens!$M$538-Sens!$M$539</f>
        <v>207.489262384084</v>
      </c>
      <c r="N540" s="14"/>
      <c r="O540" s="14"/>
    </row>
    <row r="541" customFormat="false" ht="17.15" hidden="false" customHeight="false" outlineLevel="0" collapsed="false">
      <c r="A541" s="5" t="s">
        <v>853</v>
      </c>
      <c r="B541" s="0" t="s">
        <v>91</v>
      </c>
      <c r="C541" s="40" t="n">
        <f aca="false">dps*Sens!$C$520</f>
        <v>0</v>
      </c>
      <c r="D541" s="40" t="n">
        <f aca="false">dps*Sens!$D$520</f>
        <v>0</v>
      </c>
      <c r="E541" s="40" t="n">
        <f aca="false">dps*Sens!$E$520</f>
        <v>0</v>
      </c>
      <c r="F541" s="40" t="n">
        <f aca="false">0</f>
        <v>0</v>
      </c>
      <c r="G541" s="40" t="n">
        <f aca="false">dps*Sens!$G$520</f>
        <v>0</v>
      </c>
      <c r="H541" s="40" t="n">
        <f aca="false">dps*Sens!$H$520</f>
        <v>0</v>
      </c>
      <c r="I541" s="40" t="n">
        <f aca="false">dps*Sens!$I$520</f>
        <v>0</v>
      </c>
      <c r="J541" s="40" t="n">
        <f aca="false">dps*Sens!$J$520</f>
        <v>0</v>
      </c>
      <c r="K541" s="40" t="n">
        <f aca="false">dps*Sens!$K$520</f>
        <v>0</v>
      </c>
      <c r="L541" s="40" t="n">
        <f aca="false">dps*Sens!$L$520</f>
        <v>0</v>
      </c>
      <c r="M541" s="40" t="n">
        <f aca="false">dps*Sens!$M$520</f>
        <v>0</v>
      </c>
      <c r="P541" s="8" t="s">
        <v>854</v>
      </c>
    </row>
    <row r="542" customFormat="false" ht="17.15" hidden="false" customHeight="false" outlineLevel="0" collapsed="false">
      <c r="A542" s="5" t="s">
        <v>855</v>
      </c>
      <c r="B542" s="0" t="s">
        <v>91</v>
      </c>
      <c r="C542" s="40" t="n">
        <f aca="false">0</f>
        <v>0</v>
      </c>
      <c r="D542" s="40" t="n">
        <f aca="false">0</f>
        <v>0</v>
      </c>
      <c r="E542" s="40" t="n">
        <f aca="false">0</f>
        <v>0</v>
      </c>
      <c r="F542" s="40" t="n">
        <f aca="false">0</f>
        <v>0</v>
      </c>
      <c r="G542" s="40" t="n">
        <f aca="false">0</f>
        <v>0</v>
      </c>
      <c r="H542" s="40" t="n">
        <f aca="false">0</f>
        <v>0</v>
      </c>
      <c r="I542" s="40" t="n">
        <f aca="false">0</f>
        <v>0</v>
      </c>
      <c r="J542" s="40" t="n">
        <f aca="false">0</f>
        <v>0</v>
      </c>
      <c r="K542" s="40" t="n">
        <f aca="false">0</f>
        <v>0</v>
      </c>
      <c r="L542" s="40" t="n">
        <f aca="false">0</f>
        <v>0</v>
      </c>
      <c r="M542" s="40" t="n">
        <f aca="false">0</f>
        <v>0</v>
      </c>
      <c r="P542" s="8" t="s">
        <v>856</v>
      </c>
    </row>
    <row r="543" customFormat="false" ht="15" hidden="false" customHeight="false" outlineLevel="0" collapsed="false">
      <c r="A543" s="3" t="s">
        <v>857</v>
      </c>
      <c r="B543" s="8" t="s">
        <v>91</v>
      </c>
      <c r="C543" s="40" t="n">
        <f aca="false">Sens!$C$540-Sens!$C$541</f>
        <v>36.176</v>
      </c>
      <c r="D543" s="40" t="n">
        <f aca="false">Sens!$D$540-Sens!$D$541</f>
        <v>9.63700000000002</v>
      </c>
      <c r="E543" s="40" t="n">
        <f aca="false">Sens!$E$540-Sens!$E$541</f>
        <v>-59.643</v>
      </c>
      <c r="F543" s="40" t="n">
        <f aca="false">Sens!$F$540-Sens!$F$541</f>
        <v>22.6270858542157</v>
      </c>
      <c r="G543" s="40" t="n">
        <f aca="false">Sens!$G$540-Sens!$G$541</f>
        <v>-37.0159141457843</v>
      </c>
      <c r="H543" s="40" t="n">
        <f aca="false">Sens!$H$540-Sens!$H$541</f>
        <v>-33.0489925523671</v>
      </c>
      <c r="I543" s="40" t="n">
        <f aca="false">Sens!$I$540-Sens!$I$541</f>
        <v>0.649713081543234</v>
      </c>
      <c r="J543" s="40" t="n">
        <f aca="false">Sens!$J$540-Sens!$J$541</f>
        <v>36.2598643457456</v>
      </c>
      <c r="K543" s="40" t="n">
        <f aca="false">Sens!$K$540-Sens!$K$541</f>
        <v>122.767094549262</v>
      </c>
      <c r="L543" s="40" t="n">
        <f aca="false">Sens!$L$540-Sens!$L$541</f>
        <v>178.538577652474</v>
      </c>
      <c r="M543" s="40" t="n">
        <f aca="false">Sens!$M$540-Sens!$M$541</f>
        <v>207.489262384084</v>
      </c>
    </row>
    <row r="544" customFormat="false" ht="17.15" hidden="false" customHeight="false" outlineLevel="0" collapsed="false">
      <c r="A544" s="5" t="s">
        <v>858</v>
      </c>
      <c r="B544" s="0" t="s">
        <v>91</v>
      </c>
      <c r="E544" s="40" t="n">
        <f aca="false">Q!$O$55</f>
        <v>63.753</v>
      </c>
      <c r="F544" s="40" t="n">
        <f aca="false">inv_q4</f>
        <v>0</v>
      </c>
      <c r="G544" s="40" t="n">
        <f aca="false">Sens!$E$544+Sens!$F$544</f>
        <v>63.753</v>
      </c>
      <c r="H544" s="41" t="n">
        <v>0</v>
      </c>
      <c r="I544" s="41" t="n">
        <v>0</v>
      </c>
      <c r="J544" s="41" t="n">
        <v>0</v>
      </c>
      <c r="K544" s="41" t="n">
        <v>0</v>
      </c>
      <c r="L544" s="41" t="n">
        <v>0</v>
      </c>
      <c r="M544" s="41" t="n">
        <v>0</v>
      </c>
    </row>
    <row r="545" customFormat="false" ht="17.15" hidden="false" customHeight="false" outlineLevel="0" collapsed="false">
      <c r="A545" s="5" t="s">
        <v>859</v>
      </c>
      <c r="B545" s="0" t="s">
        <v>91</v>
      </c>
      <c r="F545" s="40" t="n">
        <f aca="false">cash_q3</f>
        <v>114.226</v>
      </c>
      <c r="G545" s="40" t="n">
        <f aca="false">cash_q3</f>
        <v>114.226</v>
      </c>
      <c r="H545" s="40" t="n">
        <f aca="false">Sens!$G$548</f>
        <v>136.853085854216</v>
      </c>
      <c r="I545" s="40" t="n">
        <f aca="false">Sens!$H$548</f>
        <v>103.804093301849</v>
      </c>
      <c r="J545" s="40" t="n">
        <f aca="false">Sens!$I$548</f>
        <v>104.453806383392</v>
      </c>
      <c r="K545" s="40" t="n">
        <f aca="false">Sens!$J$548</f>
        <v>140.713670729137</v>
      </c>
      <c r="L545" s="40" t="n">
        <f aca="false">Sens!$K$548</f>
        <v>263.4807652784</v>
      </c>
      <c r="M545" s="40" t="n">
        <f aca="false">Sens!$L$548</f>
        <v>442.019342930874</v>
      </c>
    </row>
    <row r="546" customFormat="false" ht="15" hidden="false" customHeight="false" outlineLevel="0" collapsed="false">
      <c r="A546" s="5" t="s">
        <v>860</v>
      </c>
      <c r="B546" s="0" t="s">
        <v>91</v>
      </c>
      <c r="F546" s="40" t="n">
        <f aca="false">Sens!$F$545+Sens!$F$543-Sens!$F$542-Sens!$F$544</f>
        <v>136.853085854216</v>
      </c>
      <c r="H546" s="40" t="n">
        <f aca="false">Sens!$H$545+Sens!$H$543-Sens!$H$542-Sens!$H$544</f>
        <v>103.804093301849</v>
      </c>
      <c r="I546" s="40" t="n">
        <f aca="false">Sens!$I$545+Sens!$I$543-Sens!$I$542-Sens!$I$544</f>
        <v>104.453806383392</v>
      </c>
      <c r="J546" s="40" t="n">
        <f aca="false">Sens!$J$545+Sens!$J$543-Sens!$J$542-Sens!$J$544</f>
        <v>140.713670729137</v>
      </c>
      <c r="K546" s="40" t="n">
        <f aca="false">Sens!$K$545+Sens!$K$543-Sens!$K$542-Sens!$K$544</f>
        <v>263.4807652784</v>
      </c>
      <c r="L546" s="40" t="n">
        <f aca="false">Sens!$L$545+Sens!$L$543-Sens!$L$542-Sens!$L$544</f>
        <v>442.019342930874</v>
      </c>
      <c r="M546" s="40" t="n">
        <f aca="false">Sens!$M$545+Sens!$M$543-Sens!$M$542-Sens!$M$544</f>
        <v>649.508605314957</v>
      </c>
    </row>
    <row r="547" customFormat="false" ht="17.15" hidden="false" customHeight="false" outlineLevel="0" collapsed="false">
      <c r="A547" s="5" t="s">
        <v>861</v>
      </c>
      <c r="B547" s="0" t="s">
        <v>91</v>
      </c>
      <c r="F547" s="40" t="n">
        <f aca="false">MAX(0,min_cash-Sens!$F$546)</f>
        <v>0</v>
      </c>
      <c r="G547" s="40" t="n">
        <f aca="false">Sens!$F$547</f>
        <v>0</v>
      </c>
      <c r="H547" s="40" t="n">
        <f aca="false">MAX(0,min_cash-Sens!$H$546)</f>
        <v>0</v>
      </c>
      <c r="I547" s="40" t="n">
        <f aca="false">MAX(0,min_cash-Sens!$I$546)</f>
        <v>0</v>
      </c>
      <c r="J547" s="40" t="n">
        <f aca="false">MAX(0,min_cash-Sens!$J$546)</f>
        <v>0</v>
      </c>
      <c r="K547" s="40" t="n">
        <f aca="false">MAX(0,min_cash-Sens!$K$546)</f>
        <v>0</v>
      </c>
      <c r="L547" s="40" t="n">
        <f aca="false">MAX(0,min_cash-Sens!$L$546)</f>
        <v>0</v>
      </c>
      <c r="M547" s="40" t="n">
        <f aca="false">MAX(0,min_cash-Sens!$M$546)</f>
        <v>0</v>
      </c>
      <c r="P547" s="5" t="s">
        <v>862</v>
      </c>
    </row>
    <row r="548" customFormat="false" ht="15" hidden="false" customHeight="false" outlineLevel="0" collapsed="false">
      <c r="A548" s="5" t="s">
        <v>863</v>
      </c>
      <c r="B548" s="0" t="s">
        <v>91</v>
      </c>
      <c r="D548" s="40" t="n">
        <f aca="false">Q!$E$63</f>
        <v>123.029</v>
      </c>
      <c r="E548" s="40" t="n">
        <f aca="false">Q!$M$63</f>
        <v>114.226</v>
      </c>
      <c r="F548" s="40" t="n">
        <f aca="false">Sens!$F$546+Sens!$F$547</f>
        <v>136.853085854216</v>
      </c>
      <c r="G548" s="40" t="n">
        <f aca="false">Sens!$F$548</f>
        <v>136.853085854216</v>
      </c>
      <c r="H548" s="40" t="n">
        <f aca="false">Sens!$H$546+Sens!$H$547</f>
        <v>103.804093301849</v>
      </c>
      <c r="I548" s="40" t="n">
        <f aca="false">Sens!$I$546+Sens!$I$547</f>
        <v>104.453806383392</v>
      </c>
      <c r="J548" s="40" t="n">
        <f aca="false">Sens!$J$546+Sens!$J$547</f>
        <v>140.713670729137</v>
      </c>
      <c r="K548" s="40" t="n">
        <f aca="false">Sens!$K$546+Sens!$K$547</f>
        <v>263.4807652784</v>
      </c>
      <c r="L548" s="40" t="n">
        <f aca="false">Sens!$L$546+Sens!$L$547</f>
        <v>442.019342930874</v>
      </c>
      <c r="M548" s="40" t="n">
        <f aca="false">Sens!$M$546+Sens!$M$547</f>
        <v>649.508605314957</v>
      </c>
    </row>
    <row r="549" customFormat="false" ht="15" hidden="false" customHeight="false" outlineLevel="0" collapsed="false">
      <c r="A549" s="5" t="s">
        <v>864</v>
      </c>
      <c r="B549" s="0" t="s">
        <v>91</v>
      </c>
      <c r="D549" s="40" t="n">
        <f aca="false">Q!$E$64</f>
        <v>68.836</v>
      </c>
      <c r="E549" s="40" t="n">
        <f aca="false">Q!$M$64</f>
        <v>181.09</v>
      </c>
      <c r="F549" s="40" t="n">
        <f aca="false">debt_q3+Sens!$F$547</f>
        <v>181.09</v>
      </c>
      <c r="G549" s="40" t="n">
        <f aca="false">Sens!$F$549</f>
        <v>181.09</v>
      </c>
      <c r="H549" s="40" t="n">
        <f aca="false">Sens!$G$549+Sens!$H$547</f>
        <v>181.09</v>
      </c>
      <c r="I549" s="40" t="n">
        <f aca="false">Sens!$H$549+Sens!$I$547</f>
        <v>181.09</v>
      </c>
      <c r="J549" s="40" t="n">
        <f aca="false">Sens!$I$549+Sens!$J$547</f>
        <v>181.09</v>
      </c>
      <c r="K549" s="40" t="n">
        <f aca="false">Sens!$J$549+Sens!$K$547</f>
        <v>181.09</v>
      </c>
      <c r="L549" s="40" t="n">
        <f aca="false">Sens!$K$549+Sens!$L$547</f>
        <v>181.09</v>
      </c>
      <c r="M549" s="40" t="n">
        <f aca="false">Sens!$L$549+Sens!$M$547</f>
        <v>181.09</v>
      </c>
    </row>
    <row r="550" customFormat="false" ht="15" hidden="false" customHeight="false" outlineLevel="0" collapsed="false">
      <c r="A550" s="5" t="s">
        <v>865</v>
      </c>
      <c r="B550" s="0" t="s">
        <v>91</v>
      </c>
      <c r="D550" s="40" t="n">
        <f aca="false">Sens!$D$549-Sens!$D$548</f>
        <v>-54.193</v>
      </c>
      <c r="E550" s="40" t="n">
        <f aca="false">Sens!$E$549-Sens!$E$548</f>
        <v>66.864</v>
      </c>
      <c r="F550" s="40" t="n">
        <f aca="false">Sens!$F$549-Sens!$F$548</f>
        <v>44.2369141457843</v>
      </c>
      <c r="G550" s="40" t="n">
        <f aca="false">Sens!$G$549-Sens!$G$548</f>
        <v>44.2369141457843</v>
      </c>
      <c r="H550" s="40" t="n">
        <f aca="false">Sens!$H$549-Sens!$H$548</f>
        <v>77.2859066981513</v>
      </c>
      <c r="I550" s="40" t="n">
        <f aca="false">Sens!$I$549-Sens!$I$548</f>
        <v>76.6361936166081</v>
      </c>
      <c r="J550" s="40" t="n">
        <f aca="false">Sens!$J$549-Sens!$J$548</f>
        <v>40.3763292708625</v>
      </c>
      <c r="K550" s="40" t="n">
        <f aca="false">Sens!$K$549-Sens!$K$548</f>
        <v>-82.3907652783997</v>
      </c>
      <c r="L550" s="40" t="n">
        <f aca="false">Sens!$L$549-Sens!$L$548</f>
        <v>-260.929342930874</v>
      </c>
      <c r="M550" s="40" t="n">
        <f aca="false">Sens!$M$549-Sens!$M$548</f>
        <v>-468.418605314957</v>
      </c>
    </row>
    <row r="551" customFormat="false" ht="17.15" hidden="false" customHeight="false" outlineLevel="0" collapsed="false">
      <c r="A551" s="5" t="s">
        <v>866</v>
      </c>
      <c r="B551" s="0" t="s">
        <v>91</v>
      </c>
      <c r="F551" s="40" t="n">
        <f aca="false">debt_q3*kd_book*0.25</f>
        <v>1.94993832879634</v>
      </c>
      <c r="H551" s="40" t="n">
        <f aca="false">debt_q3*kd_book+(Sens!$G$549-debt_q3)*kd_new</f>
        <v>7.79975331518538</v>
      </c>
      <c r="I551" s="40" t="n">
        <f aca="false">debt_q3*kd_book+(Sens!$H$549-debt_q3)*kd_new</f>
        <v>7.79975331518538</v>
      </c>
      <c r="J551" s="40" t="n">
        <f aca="false">debt_q3*kd_book+(Sens!$I$549-debt_q3)*kd_new</f>
        <v>7.79975331518538</v>
      </c>
      <c r="K551" s="40" t="n">
        <f aca="false">debt_q3*kd_book+(Sens!$J$549-debt_q3)*kd_new</f>
        <v>7.79975331518538</v>
      </c>
      <c r="L551" s="40" t="n">
        <f aca="false">debt_q3*kd_book+(Sens!$K$549-debt_q3)*kd_new</f>
        <v>7.79975331518538</v>
      </c>
      <c r="M551" s="40" t="n">
        <f aca="false">debt_q3*kd_book+(Sens!$L$549-debt_q3)*kd_new</f>
        <v>7.79975331518538</v>
      </c>
    </row>
    <row r="552" customFormat="false" ht="17.15" hidden="false" customHeight="false" outlineLevel="0" collapsed="false">
      <c r="A552" s="5" t="s">
        <v>867</v>
      </c>
      <c r="B552" s="0" t="s">
        <v>91</v>
      </c>
      <c r="F552" s="40" t="n">
        <f aca="false">cash_q3*y_cash*0.25</f>
        <v>1.187</v>
      </c>
      <c r="H552" s="40" t="n">
        <f aca="false">Sens!$G$548*y_cash</f>
        <v>5.68853371067722</v>
      </c>
      <c r="I552" s="40" t="n">
        <f aca="false">Sens!$H$548*y_cash</f>
        <v>4.31479553689333</v>
      </c>
      <c r="J552" s="40" t="n">
        <f aca="false">Sens!$I$548*y_cash</f>
        <v>4.34180197773138</v>
      </c>
      <c r="K552" s="40" t="n">
        <f aca="false">Sens!$J$548*y_cash</f>
        <v>5.84900555584495</v>
      </c>
      <c r="L552" s="40" t="n">
        <f aca="false">Sens!$K$548*y_cash</f>
        <v>10.9520308295996</v>
      </c>
      <c r="M552" s="40" t="n">
        <f aca="false">Sens!$L$548*y_cash</f>
        <v>18.3732936479942</v>
      </c>
    </row>
    <row r="553" customFormat="false" ht="17.15" hidden="false" customHeight="false" outlineLevel="0" collapsed="false">
      <c r="A553" s="48" t="s">
        <v>868</v>
      </c>
      <c r="B553" s="14" t="s">
        <v>91</v>
      </c>
      <c r="C553" s="14"/>
      <c r="D553" s="14"/>
      <c r="E553" s="14"/>
      <c r="F553" s="14"/>
      <c r="G553" s="49" t="n">
        <f aca="false">SUM(Sens!$G$543:$K$543)</f>
        <v>89.6117652783997</v>
      </c>
      <c r="H553" s="14"/>
      <c r="I553" s="14"/>
      <c r="J553" s="14"/>
      <c r="K553" s="14"/>
      <c r="L553" s="14"/>
      <c r="M553" s="14"/>
      <c r="N553" s="14"/>
      <c r="O553" s="14"/>
    </row>
    <row r="554" customFormat="false" ht="17.15" hidden="false" customHeight="false" outlineLevel="0" collapsed="false">
      <c r="A554" s="0" t="s">
        <v>835</v>
      </c>
      <c r="B554" s="0" t="s">
        <v>91</v>
      </c>
      <c r="G554" s="40" t="n">
        <f aca="false">SUM(Sens!$G$547:$K$547)</f>
        <v>0</v>
      </c>
    </row>
    <row r="555" customFormat="false" ht="17.15" hidden="false" customHeight="false" outlineLevel="0" collapsed="false">
      <c r="A555" s="27" t="s">
        <v>871</v>
      </c>
      <c r="B555" s="28" t="s">
        <v>91</v>
      </c>
      <c r="C555" s="28"/>
      <c r="D555" s="28"/>
      <c r="E555" s="28"/>
      <c r="F555" s="28"/>
      <c r="G555" s="43" t="n">
        <f aca="false">Sens!$G$553-(Sens!$G$543+Sens!$H$543+Sens!$I$543+Sens!$J$543+Sens!$K$543)</f>
        <v>0</v>
      </c>
      <c r="H555" s="28"/>
      <c r="I555" s="28"/>
      <c r="J555" s="28"/>
      <c r="K555" s="28"/>
      <c r="L555" s="28"/>
      <c r="M555" s="28"/>
      <c r="N555" s="28"/>
      <c r="O555" s="28"/>
    </row>
    <row r="558" customFormat="false" ht="19.4" hidden="false" customHeight="false" outlineLevel="0" collapsed="false">
      <c r="A558" s="35" t="s">
        <v>1313</v>
      </c>
    </row>
    <row r="559" customFormat="false" ht="17.15" hidden="false" customHeight="false" outlineLevel="0" collapsed="false">
      <c r="A559" s="6" t="s">
        <v>16</v>
      </c>
      <c r="B559" s="6" t="s">
        <v>17</v>
      </c>
      <c r="C559" s="23" t="s">
        <v>542</v>
      </c>
      <c r="D559" s="23" t="s">
        <v>543</v>
      </c>
      <c r="E559" s="23" t="s">
        <v>631</v>
      </c>
      <c r="F559" s="23" t="s">
        <v>632</v>
      </c>
      <c r="G559" s="23" t="s">
        <v>633</v>
      </c>
      <c r="H559" s="23" t="s">
        <v>634</v>
      </c>
      <c r="I559" s="23" t="s">
        <v>635</v>
      </c>
      <c r="J559" s="23" t="s">
        <v>636</v>
      </c>
      <c r="K559" s="23" t="s">
        <v>637</v>
      </c>
      <c r="L559" s="23" t="s">
        <v>638</v>
      </c>
      <c r="M559" s="23" t="s">
        <v>639</v>
      </c>
      <c r="N559" s="23" t="s">
        <v>640</v>
      </c>
      <c r="O559" s="23" t="s">
        <v>641</v>
      </c>
      <c r="P559" s="6" t="s">
        <v>23</v>
      </c>
      <c r="R559" s="23" t="n">
        <v>2023</v>
      </c>
      <c r="S559" s="23" t="n">
        <v>2024</v>
      </c>
      <c r="T559" s="23" t="n">
        <v>2025</v>
      </c>
      <c r="U559" s="23" t="n">
        <v>2026</v>
      </c>
      <c r="V559" s="23" t="n">
        <v>2027</v>
      </c>
      <c r="W559" s="23" t="n">
        <v>2028</v>
      </c>
      <c r="X559" s="23" t="n">
        <v>2029</v>
      </c>
      <c r="Y559" s="23" t="n">
        <v>2030</v>
      </c>
      <c r="Z559" s="23" t="n">
        <v>2031</v>
      </c>
      <c r="AA559" s="23" t="n">
        <v>2032</v>
      </c>
    </row>
    <row r="560" customFormat="false" ht="17.15" hidden="false" customHeight="false" outlineLevel="0" collapsed="false">
      <c r="A560" s="1" t="s">
        <v>972</v>
      </c>
    </row>
    <row r="561" customFormat="false" ht="17.15" hidden="false" customHeight="false" outlineLevel="0" collapsed="false">
      <c r="A561" s="0" t="s">
        <v>973</v>
      </c>
      <c r="B561" s="0" t="s">
        <v>91</v>
      </c>
      <c r="H561" s="40" t="n">
        <f aca="false">Sens!$H$496*(1-tax)</f>
        <v>109.757240983041</v>
      </c>
      <c r="I561" s="40" t="n">
        <f aca="false">Sens!$I$496*(1-tax)</f>
        <v>117.912636489847</v>
      </c>
      <c r="J561" s="40" t="n">
        <f aca="false">Sens!$J$496*(1-tax)</f>
        <v>130.684992894041</v>
      </c>
      <c r="K561" s="40" t="n">
        <f aca="false">Sens!$K$496*(1-tax)</f>
        <v>139.117690170043</v>
      </c>
      <c r="L561" s="40" t="n">
        <f aca="false">Sens!$L$496*(1-tax)</f>
        <v>147.732936362362</v>
      </c>
      <c r="M561" s="40" t="n">
        <f aca="false">Sens!$M$496*(1-tax)</f>
        <v>158.753372825065</v>
      </c>
    </row>
    <row r="562" customFormat="false" ht="15" hidden="false" customHeight="false" outlineLevel="0" collapsed="false">
      <c r="A562" s="5" t="s">
        <v>974</v>
      </c>
      <c r="B562" s="0" t="s">
        <v>91</v>
      </c>
      <c r="H562" s="40" t="n">
        <f aca="false">Sens!$H$507</f>
        <v>78.7771455603241</v>
      </c>
      <c r="I562" s="40" t="n">
        <f aca="false">Sens!$I$507</f>
        <v>114.930756142734</v>
      </c>
      <c r="J562" s="40" t="n">
        <f aca="false">Sens!$J$507</f>
        <v>144.950446317972</v>
      </c>
      <c r="K562" s="40" t="n">
        <f aca="false">Sens!$K$507</f>
        <v>175.039176433454</v>
      </c>
      <c r="L562" s="40" t="n">
        <f aca="false">Sens!$L$507</f>
        <v>197.676468176405</v>
      </c>
      <c r="M562" s="40" t="n">
        <f aca="false">Sens!$M$507</f>
        <v>211.857899598634</v>
      </c>
    </row>
    <row r="563" customFormat="false" ht="15" hidden="false" customHeight="false" outlineLevel="0" collapsed="false">
      <c r="A563" s="5" t="s">
        <v>975</v>
      </c>
      <c r="B563" s="0" t="s">
        <v>91</v>
      </c>
      <c r="H563" s="40" t="n">
        <f aca="false">Sens!$H$538</f>
        <v>253.080086249122</v>
      </c>
      <c r="I563" s="40" t="n">
        <f aca="false">Sens!$I$538</f>
        <v>266.971568381453</v>
      </c>
      <c r="J563" s="40" t="n">
        <f aca="false">Sens!$J$538</f>
        <v>278.405889539959</v>
      </c>
      <c r="K563" s="40" t="n">
        <f aca="false">Sens!$K$538</f>
        <v>235.400884498646</v>
      </c>
      <c r="L563" s="40" t="n">
        <f aca="false">Sens!$L$538</f>
        <v>218.641632083122</v>
      </c>
      <c r="M563" s="40" t="n">
        <f aca="false">Sens!$M$538</f>
        <v>224.388773908596</v>
      </c>
    </row>
    <row r="564" customFormat="false" ht="15" hidden="false" customHeight="false" outlineLevel="0" collapsed="false">
      <c r="A564" s="5" t="s">
        <v>976</v>
      </c>
      <c r="B564" s="0" t="s">
        <v>91</v>
      </c>
      <c r="H564" s="40" t="n">
        <f aca="false">Sens!$H$539</f>
        <v>1.6</v>
      </c>
      <c r="I564" s="40" t="n">
        <f aca="false">Sens!$I$539</f>
        <v>1.6</v>
      </c>
      <c r="J564" s="40" t="n">
        <f aca="false">Sens!$J$539</f>
        <v>1.6</v>
      </c>
      <c r="K564" s="40" t="n">
        <f aca="false">Sens!$K$539</f>
        <v>1.6</v>
      </c>
      <c r="L564" s="40" t="n">
        <f aca="false">Sens!$L$539</f>
        <v>1.6</v>
      </c>
      <c r="M564" s="40" t="n">
        <f aca="false">Sens!$M$539</f>
        <v>1.6</v>
      </c>
    </row>
    <row r="565" customFormat="false" ht="15" hidden="false" customHeight="false" outlineLevel="0" collapsed="false">
      <c r="A565" s="5" t="s">
        <v>977</v>
      </c>
      <c r="B565" s="0" t="s">
        <v>91</v>
      </c>
      <c r="H565" s="40" t="n">
        <f aca="false">Sens!$H$533</f>
        <v>11.3144280776777</v>
      </c>
      <c r="I565" s="40" t="n">
        <f aca="false">Sens!$I$533</f>
        <v>12.7486312580637</v>
      </c>
      <c r="J565" s="40" t="n">
        <f aca="false">Sens!$J$533</f>
        <v>14.1223181309909</v>
      </c>
      <c r="K565" s="40" t="n">
        <f aca="false">Sens!$K$533</f>
        <v>15.3352955460563</v>
      </c>
      <c r="L565" s="40" t="n">
        <f aca="false">Sens!$L$533</f>
        <v>16.4856799874519</v>
      </c>
      <c r="M565" s="40" t="n">
        <f aca="false">Sens!$M$533</f>
        <v>17.5777535633631</v>
      </c>
    </row>
    <row r="566" customFormat="false" ht="17.15" hidden="false" customHeight="false" outlineLevel="0" collapsed="false">
      <c r="A566" s="1" t="s">
        <v>978</v>
      </c>
      <c r="B566" s="8" t="s">
        <v>91</v>
      </c>
      <c r="H566" s="40" t="n">
        <f aca="false">Sens!$H$561+Sens!$H$562-Sens!$H$563-Sens!$H$564+Sens!$H$565</f>
        <v>-54.8312716280792</v>
      </c>
      <c r="I566" s="40" t="n">
        <f aca="false">Sens!$I$561+Sens!$I$562-Sens!$I$563-Sens!$I$564+Sens!$I$565</f>
        <v>-22.9795444908078</v>
      </c>
      <c r="J566" s="40" t="n">
        <f aca="false">Sens!$J$561+Sens!$J$562-Sens!$J$563-Sens!$J$564+Sens!$J$565</f>
        <v>9.75186780304488</v>
      </c>
      <c r="K566" s="40" t="n">
        <f aca="false">Sens!$K$561+Sens!$K$562-Sens!$K$563-Sens!$K$564+Sens!$K$565</f>
        <v>92.491277650907</v>
      </c>
      <c r="L566" s="40" t="n">
        <f aca="false">Sens!$L$561+Sens!$L$562-Sens!$L$563-Sens!$L$564+Sens!$L$565</f>
        <v>141.653452443096</v>
      </c>
      <c r="M566" s="40" t="n">
        <f aca="false">Sens!$M$561+Sens!$M$562-Sens!$M$563-Sens!$M$564+Sens!$M$565</f>
        <v>162.200252078466</v>
      </c>
    </row>
    <row r="567" customFormat="false" ht="15" hidden="false" customHeight="false" outlineLevel="0" collapsed="false">
      <c r="A567" s="5" t="s">
        <v>979</v>
      </c>
      <c r="B567" s="0" t="s">
        <v>61</v>
      </c>
      <c r="H567" s="42" t="n">
        <f aca="false">1/(1+wacc)^(2027-2026-0.5)</f>
        <v>0.948332509417004</v>
      </c>
      <c r="I567" s="42" t="n">
        <f aca="false">1/(1+wacc)^(2028-2026-0.5)</f>
        <v>0.852868189105847</v>
      </c>
      <c r="J567" s="42" t="n">
        <f aca="false">1/(1+wacc)^(2029-2026-0.5)</f>
        <v>0.767013827708861</v>
      </c>
      <c r="K567" s="42" t="n">
        <f aca="false">1/(1+wacc)^(2030-2026-0.5)</f>
        <v>0.68980203437226</v>
      </c>
      <c r="L567" s="42" t="n">
        <f aca="false">1/(1+wacc)^(2031-2026-0.5)</f>
        <v>0.62036280107941</v>
      </c>
      <c r="M567" s="42" t="n">
        <f aca="false">1/(1+wacc)^(2032-2026-0.5)</f>
        <v>0.557913699563551</v>
      </c>
    </row>
    <row r="568" customFormat="false" ht="15" hidden="false" customHeight="false" outlineLevel="0" collapsed="false">
      <c r="A568" s="5" t="s">
        <v>980</v>
      </c>
      <c r="B568" s="0" t="s">
        <v>91</v>
      </c>
      <c r="H568" s="40" t="n">
        <f aca="false">Sens!$H$566*Sens!$H$567</f>
        <v>-51.9982774175817</v>
      </c>
      <c r="I568" s="40" t="n">
        <f aca="false">Sens!$I$566*Sens!$I$567</f>
        <v>-19.5985224963525</v>
      </c>
      <c r="J568" s="40" t="n">
        <f aca="false">Sens!$J$566*Sens!$J$567</f>
        <v>7.47981745092425</v>
      </c>
      <c r="K568" s="40" t="n">
        <f aca="false">Sens!$K$566*Sens!$K$567</f>
        <v>63.8006714852852</v>
      </c>
      <c r="L568" s="40" t="n">
        <f aca="false">Sens!$L$566*Sens!$L$567</f>
        <v>87.8765325401682</v>
      </c>
      <c r="M568" s="40" t="n">
        <f aca="false">Sens!$M$566*Sens!$M$567</f>
        <v>90.4937427072374</v>
      </c>
    </row>
    <row r="569" customFormat="false" ht="15" hidden="false" customHeight="false" outlineLevel="0" collapsed="false">
      <c r="A569" s="5" t="s">
        <v>981</v>
      </c>
      <c r="B569" s="0" t="s">
        <v>91</v>
      </c>
      <c r="C569" s="40" t="n">
        <f aca="false">SUM(Sens!$H$568:$M$568)</f>
        <v>178.053964269681</v>
      </c>
    </row>
    <row r="570" customFormat="false" ht="17.15" hidden="false" customHeight="false" outlineLevel="0" collapsed="false">
      <c r="A570" s="5" t="s">
        <v>982</v>
      </c>
      <c r="B570" s="0" t="s">
        <v>91</v>
      </c>
      <c r="C570" s="40" t="n">
        <f aca="false">Sens!$M$561*(1+tg)*(1-tg/ronic)/(wacc-tg)</f>
        <v>1460.83450014708</v>
      </c>
    </row>
    <row r="571" customFormat="false" ht="15" hidden="false" customHeight="false" outlineLevel="0" collapsed="false">
      <c r="A571" s="5" t="s">
        <v>983</v>
      </c>
      <c r="B571" s="0" t="s">
        <v>91</v>
      </c>
      <c r="C571" s="40" t="n">
        <f aca="false">Sens!$C$570/(1+wacc)^6</f>
        <v>772.909563930452</v>
      </c>
    </row>
    <row r="572" customFormat="false" ht="17.15" hidden="false" customHeight="false" outlineLevel="0" collapsed="false">
      <c r="A572" s="5" t="s">
        <v>984</v>
      </c>
      <c r="B572" s="0" t="s">
        <v>91</v>
      </c>
      <c r="C572" s="40" t="n">
        <f aca="false">Sens!$C$569+Sens!$C$571</f>
        <v>950.963528200133</v>
      </c>
    </row>
    <row r="573" customFormat="false" ht="17.15" hidden="false" customHeight="false" outlineLevel="0" collapsed="false">
      <c r="A573" s="5" t="s">
        <v>985</v>
      </c>
      <c r="B573" s="0" t="s">
        <v>56</v>
      </c>
      <c r="C573" s="13" t="n">
        <f aca="false">Sens!$C$571/Sens!$C$572</f>
        <v>0.812764676047378</v>
      </c>
    </row>
    <row r="574" customFormat="false" ht="17.15" hidden="false" customHeight="false" outlineLevel="0" collapsed="false">
      <c r="A574" s="5" t="s">
        <v>986</v>
      </c>
      <c r="B574" s="0" t="s">
        <v>91</v>
      </c>
      <c r="C574" s="40" t="n">
        <f aca="false">Sens!$G$550+fin_debt</f>
        <v>68.7579141457843</v>
      </c>
    </row>
    <row r="575" customFormat="false" ht="17.15" hidden="false" customHeight="false" outlineLevel="0" collapsed="false">
      <c r="A575" s="5" t="s">
        <v>987</v>
      </c>
      <c r="B575" s="0" t="s">
        <v>91</v>
      </c>
      <c r="C575" s="40" t="n">
        <f aca="false">(ant_val*ant_sh+oai_val*oai_sh)*(1-liq_disc)</f>
        <v>178.944</v>
      </c>
    </row>
    <row r="576" customFormat="false" ht="15" hidden="false" customHeight="false" outlineLevel="0" collapsed="false">
      <c r="A576" s="5" t="s">
        <v>988</v>
      </c>
      <c r="B576" s="0" t="s">
        <v>91</v>
      </c>
      <c r="C576" s="40" t="n">
        <f aca="false">Sens!$C$572-Sens!$C$574+Sens!$C$575</f>
        <v>1061.14961405435</v>
      </c>
    </row>
    <row r="577" customFormat="false" ht="17.15" hidden="false" customHeight="false" outlineLevel="0" collapsed="false">
      <c r="A577" s="5" t="s">
        <v>989</v>
      </c>
      <c r="B577" s="0" t="s">
        <v>27</v>
      </c>
      <c r="C577" s="34" t="n">
        <f aca="false">Sens!$C$576/sh_out</f>
        <v>98.1546215941493</v>
      </c>
    </row>
    <row r="578" customFormat="false" ht="17.15" hidden="false" customHeight="false" outlineLevel="0" collapsed="false">
      <c r="A578" s="1" t="s">
        <v>990</v>
      </c>
      <c r="B578" s="8" t="s">
        <v>27</v>
      </c>
      <c r="C578" s="34" t="n">
        <f aca="false">Sens!$C$577*(1+ke)^tp_yf-dps*tp_yf</f>
        <v>107.63815168622</v>
      </c>
    </row>
    <row r="579" customFormat="false" ht="17.15" hidden="false" customHeight="false" outlineLevel="0" collapsed="false">
      <c r="A579" s="3" t="s">
        <v>991</v>
      </c>
    </row>
    <row r="580" customFormat="false" ht="17.15" hidden="false" customHeight="false" outlineLevel="0" collapsed="false">
      <c r="A580" s="5" t="s">
        <v>992</v>
      </c>
      <c r="B580" s="0" t="s">
        <v>91</v>
      </c>
      <c r="C580" s="40" t="n">
        <f aca="false">(1-tp_yf)*(Sens!$H$508+sbc_ab*Sens!$H$532*Sens!$H$366/Sens!$H$449)+tp_yf*(Sens!$I$508+sbc_ab*Sens!$I$532*Sens!$I$366/Sens!$I$449)</f>
        <v>56.9188491683843</v>
      </c>
    </row>
    <row r="581" customFormat="false" ht="15" hidden="false" customHeight="false" outlineLevel="0" collapsed="false">
      <c r="A581" s="5" t="s">
        <v>993</v>
      </c>
      <c r="B581" s="0" t="s">
        <v>61</v>
      </c>
      <c r="C581" s="34" t="n">
        <f aca="false">m_ads*m_x</f>
        <v>9.11</v>
      </c>
    </row>
    <row r="582" customFormat="false" ht="17.15" hidden="false" customHeight="false" outlineLevel="0" collapsed="false">
      <c r="A582" s="5" t="s">
        <v>994</v>
      </c>
      <c r="B582" s="0" t="s">
        <v>91</v>
      </c>
      <c r="C582" s="40" t="n">
        <f aca="false">Sens!$C$580*Sens!$C$581</f>
        <v>518.530715923981</v>
      </c>
    </row>
    <row r="583" customFormat="false" ht="17.15" hidden="false" customHeight="false" outlineLevel="0" collapsed="false">
      <c r="A583" s="5" t="s">
        <v>995</v>
      </c>
      <c r="B583" s="0" t="s">
        <v>91</v>
      </c>
      <c r="C583" s="40" t="n">
        <f aca="false">(1-tp_yf)*(Sens!$H$509+sbc_ab*Sens!$H$532*(Sens!$H$373-Sens!$H$366)/Sens!$H$449+IF(1=2,1,0)*(1-ext_sh)*Sens!$H$403)+tp_yf*(Sens!$I$509+sbc_ab*Sens!$I$532*(Sens!$I$373-Sens!$I$366)/Sens!$I$449+IF(1=2,1,0)*(1-ext_sh)*Sens!$I$403)</f>
        <v>52.7076685041939</v>
      </c>
    </row>
    <row r="584" customFormat="false" ht="17.15" hidden="false" customHeight="false" outlineLevel="0" collapsed="false">
      <c r="A584" s="5" t="s">
        <v>996</v>
      </c>
      <c r="B584" s="0" t="s">
        <v>61</v>
      </c>
      <c r="C584" s="34" t="n">
        <f aca="false">m_retail*m_x</f>
        <v>17.72</v>
      </c>
    </row>
    <row r="585" customFormat="false" ht="17.15" hidden="false" customHeight="false" outlineLevel="0" collapsed="false">
      <c r="A585" s="5" t="s">
        <v>997</v>
      </c>
      <c r="B585" s="0" t="s">
        <v>91</v>
      </c>
      <c r="C585" s="40" t="n">
        <f aca="false">Sens!$C$583*Sens!$C$584</f>
        <v>933.979885894316</v>
      </c>
    </row>
    <row r="586" customFormat="false" ht="17.15" hidden="false" customHeight="false" outlineLevel="0" collapsed="false">
      <c r="A586" s="0" t="s">
        <v>998</v>
      </c>
      <c r="B586" s="0" t="s">
        <v>91</v>
      </c>
      <c r="C586" s="40" t="n">
        <f aca="false">(1-tp_yf)*(Sens!$H$510+sbc_ab*Sens!$H$532*Sens!$H$447/Sens!$H$449)+tp_yf*(Sens!$I$510+sbc_ab*Sens!$I$532*Sens!$I$447/Sens!$I$449)</f>
        <v>101.29670394553</v>
      </c>
    </row>
    <row r="587" customFormat="false" ht="17.15" hidden="false" customHeight="false" outlineLevel="0" collapsed="false">
      <c r="A587" s="0" t="s">
        <v>999</v>
      </c>
      <c r="B587" s="0" t="s">
        <v>61</v>
      </c>
      <c r="C587" s="34" t="n">
        <f aca="false">m_cloud*m_x</f>
        <v>13.82</v>
      </c>
    </row>
    <row r="588" customFormat="false" ht="17.15" hidden="false" customHeight="false" outlineLevel="0" collapsed="false">
      <c r="A588" s="0" t="s">
        <v>1000</v>
      </c>
      <c r="B588" s="0" t="s">
        <v>91</v>
      </c>
      <c r="C588" s="40" t="n">
        <f aca="false">Sens!$C$586*Sens!$C$587</f>
        <v>1399.92044852722</v>
      </c>
    </row>
    <row r="589" customFormat="false" ht="17.15" hidden="false" customHeight="false" outlineLevel="0" collapsed="false">
      <c r="A589" s="0" t="s">
        <v>1001</v>
      </c>
      <c r="B589" s="0" t="s">
        <v>91</v>
      </c>
      <c r="H589" s="40" t="n">
        <f aca="false">Sens!$H$428-tax*Sens!$H$429-ext_sh*Sens!$H$410</f>
        <v>-104.326862952347</v>
      </c>
      <c r="I589" s="40" t="n">
        <f aca="false">Sens!$I$428-tax*Sens!$I$429-ext_sh*Sens!$I$410</f>
        <v>-83.2397629296139</v>
      </c>
      <c r="J589" s="40" t="n">
        <f aca="false">Sens!$J$428-tax*Sens!$J$429-ext_sh*Sens!$J$410</f>
        <v>-61.1885159389834</v>
      </c>
      <c r="K589" s="40" t="n">
        <f aca="false">Sens!$K$428-tax*Sens!$K$429-ext_sh*Sens!$K$410</f>
        <v>0.7020854501326</v>
      </c>
      <c r="L589" s="40" t="n">
        <f aca="false">Sens!$L$428-tax*Sens!$L$429-ext_sh*Sens!$L$410</f>
        <v>34.4580683411343</v>
      </c>
      <c r="M589" s="40" t="n">
        <f aca="false">Sens!$M$428-tax*Sens!$M$429-ext_sh*Sens!$M$410</f>
        <v>42.9340034127716</v>
      </c>
    </row>
    <row r="590" customFormat="false" ht="17.15" hidden="false" customHeight="false" outlineLevel="0" collapsed="false">
      <c r="A590" s="5" t="s">
        <v>1002</v>
      </c>
      <c r="B590" s="0" t="s">
        <v>91</v>
      </c>
      <c r="H590" s="40" t="n">
        <f aca="false">Sens!$H$589*Sens!$H$567</f>
        <v>-98.9365557432028</v>
      </c>
      <c r="I590" s="40" t="n">
        <f aca="false">Sens!$I$589*Sens!$I$567</f>
        <v>-70.9925458713798</v>
      </c>
      <c r="J590" s="40" t="n">
        <f aca="false">Sens!$J$589*Sens!$J$567</f>
        <v>-46.9324378221843</v>
      </c>
      <c r="K590" s="40" t="n">
        <f aca="false">Sens!$K$589*Sens!$K$567</f>
        <v>0.484299971804631</v>
      </c>
      <c r="L590" s="40" t="n">
        <f aca="false">Sens!$L$589*Sens!$L$567</f>
        <v>21.3765037958918</v>
      </c>
      <c r="M590" s="40" t="n">
        <f aca="false">Sens!$M$589*Sens!$M$567</f>
        <v>23.9534686810935</v>
      </c>
    </row>
    <row r="591" customFormat="false" ht="17.15" hidden="false" customHeight="false" outlineLevel="0" collapsed="false">
      <c r="A591" s="5" t="s">
        <v>1003</v>
      </c>
      <c r="B591" s="0" t="s">
        <v>91</v>
      </c>
      <c r="C591" s="40" t="n">
        <f aca="false">Sens!$M$429*(1-tax)*(1+tg)*(1-tg/ronic)/(wacc-tg)</f>
        <v>236.922840646448</v>
      </c>
    </row>
    <row r="592" customFormat="false" ht="17.15" hidden="false" customHeight="false" outlineLevel="0" collapsed="false">
      <c r="A592" s="0" t="s">
        <v>1004</v>
      </c>
      <c r="B592" s="0" t="s">
        <v>91</v>
      </c>
      <c r="C592" s="40" t="n">
        <f aca="false">(SUM(Sens!$I$590:$M$590)+Sens!$C$591/(1+wacc)^6)*(1+wacc)^tp_yf</f>
        <v>58.1613246968235</v>
      </c>
    </row>
    <row r="593" customFormat="false" ht="17.15" hidden="false" customHeight="false" outlineLevel="0" collapsed="false">
      <c r="A593" s="5" t="s">
        <v>1005</v>
      </c>
      <c r="B593" s="0" t="s">
        <v>91</v>
      </c>
      <c r="C593" s="40" t="n">
        <f aca="false">(1-tp_yf)*(Sens!$H$511)+tp_yf*(Sens!$I$511)</f>
        <v>62.9347807909731</v>
      </c>
    </row>
    <row r="594" customFormat="false" ht="17.15" hidden="false" customHeight="false" outlineLevel="0" collapsed="false">
      <c r="A594" s="5" t="s">
        <v>1006</v>
      </c>
      <c r="B594" s="0" t="s">
        <v>91</v>
      </c>
      <c r="C594" s="40" t="n">
        <f aca="false">Sens!$C$593*m_ai</f>
        <v>377.608684745839</v>
      </c>
    </row>
    <row r="595" customFormat="false" ht="17.15" hidden="false" customHeight="false" outlineLevel="0" collapsed="false">
      <c r="A595" s="0" t="s">
        <v>1007</v>
      </c>
      <c r="B595" s="0" t="s">
        <v>91</v>
      </c>
      <c r="C595" s="40" t="n">
        <f aca="false">IF(ai_leg=1,Sens!$C$592,Sens!$C$594)</f>
        <v>58.1613246968235</v>
      </c>
    </row>
    <row r="596" customFormat="false" ht="17.15" hidden="false" customHeight="false" outlineLevel="0" collapsed="false">
      <c r="A596" s="5" t="s">
        <v>1008</v>
      </c>
      <c r="B596" s="0" t="s">
        <v>91</v>
      </c>
      <c r="C596" s="40" t="n">
        <f aca="false">Sens!$C$582+Sens!$C$585+Sens!$C$588+Sens!$C$595</f>
        <v>2910.59237504234</v>
      </c>
    </row>
    <row r="597" customFormat="false" ht="17.15" hidden="false" customHeight="false" outlineLevel="0" collapsed="false">
      <c r="A597" s="5" t="s">
        <v>1009</v>
      </c>
      <c r="B597" s="0" t="s">
        <v>91</v>
      </c>
      <c r="C597" s="40" t="n">
        <f aca="false">Sens!$H$550+fin_debt</f>
        <v>101.806906698151</v>
      </c>
    </row>
    <row r="598" customFormat="false" ht="15" hidden="false" customHeight="false" outlineLevel="0" collapsed="false">
      <c r="A598" s="5" t="s">
        <v>1010</v>
      </c>
      <c r="B598" s="0" t="s">
        <v>91</v>
      </c>
      <c r="C598" s="40" t="n">
        <f aca="false">Sens!$C$596-Sens!$C$597+Sens!$C$575</f>
        <v>2987.72946834419</v>
      </c>
    </row>
    <row r="599" customFormat="false" ht="15" hidden="false" customHeight="false" outlineLevel="0" collapsed="false">
      <c r="A599" s="3" t="s">
        <v>1011</v>
      </c>
      <c r="B599" s="8" t="s">
        <v>27</v>
      </c>
      <c r="C599" s="34" t="n">
        <f aca="false">Sens!$C$598/sh_val</f>
        <v>270.774829467482</v>
      </c>
    </row>
    <row r="600" customFormat="false" ht="17.15" hidden="false" customHeight="false" outlineLevel="0" collapsed="false">
      <c r="A600" s="48" t="s">
        <v>1012</v>
      </c>
      <c r="B600" s="14" t="s">
        <v>27</v>
      </c>
      <c r="C600" s="46" t="n">
        <f aca="false">w_dcf*Sens!$C$578+(1-w_dcf)*Sens!$C$599</f>
        <v>189.206490576851</v>
      </c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</row>
    <row r="601" customFormat="false" ht="17.15" hidden="false" customHeight="false" outlineLevel="0" collapsed="false">
      <c r="A601" s="5" t="s">
        <v>1013</v>
      </c>
      <c r="B601" s="0" t="s">
        <v>27</v>
      </c>
      <c r="C601" s="34" t="n">
        <f aca="false">(Sens!$C$598-Sens!$C$595+Sens!$C$594)/sh_val</f>
        <v>299.726013086207</v>
      </c>
    </row>
    <row r="604" customFormat="false" ht="19.4" hidden="false" customHeight="false" outlineLevel="0" collapsed="false">
      <c r="A604" s="35" t="s">
        <v>1314</v>
      </c>
    </row>
    <row r="605" customFormat="false" ht="17.15" hidden="false" customHeight="false" outlineLevel="0" collapsed="false">
      <c r="A605" s="6" t="s">
        <v>16</v>
      </c>
      <c r="B605" s="6" t="s">
        <v>17</v>
      </c>
      <c r="C605" s="23" t="s">
        <v>542</v>
      </c>
      <c r="D605" s="23" t="s">
        <v>543</v>
      </c>
      <c r="E605" s="23" t="s">
        <v>631</v>
      </c>
      <c r="F605" s="23" t="s">
        <v>632</v>
      </c>
      <c r="G605" s="23" t="s">
        <v>633</v>
      </c>
      <c r="H605" s="23" t="s">
        <v>634</v>
      </c>
      <c r="I605" s="23" t="s">
        <v>635</v>
      </c>
      <c r="J605" s="23" t="s">
        <v>636</v>
      </c>
      <c r="K605" s="23" t="s">
        <v>637</v>
      </c>
      <c r="L605" s="23" t="s">
        <v>638</v>
      </c>
      <c r="M605" s="23" t="s">
        <v>639</v>
      </c>
      <c r="N605" s="23" t="s">
        <v>640</v>
      </c>
      <c r="O605" s="23" t="s">
        <v>641</v>
      </c>
      <c r="P605" s="6" t="s">
        <v>23</v>
      </c>
      <c r="R605" s="23" t="n">
        <v>2023</v>
      </c>
      <c r="S605" s="23" t="n">
        <v>2024</v>
      </c>
      <c r="T605" s="23" t="n">
        <v>2025</v>
      </c>
      <c r="U605" s="23" t="n">
        <v>2026</v>
      </c>
      <c r="V605" s="23" t="n">
        <v>2027</v>
      </c>
      <c r="W605" s="23" t="n">
        <v>2028</v>
      </c>
      <c r="X605" s="23" t="n">
        <v>2029</v>
      </c>
      <c r="Y605" s="23" t="n">
        <v>2030</v>
      </c>
      <c r="Z605" s="23" t="n">
        <v>2031</v>
      </c>
      <c r="AA605" s="23" t="n">
        <v>2032</v>
      </c>
    </row>
    <row r="606" customFormat="false" ht="17.15" hidden="false" customHeight="false" outlineLevel="0" collapsed="false">
      <c r="A606" s="1" t="s">
        <v>725</v>
      </c>
    </row>
    <row r="607" customFormat="false" ht="17.15" hidden="false" customHeight="false" outlineLevel="0" collapsed="false">
      <c r="A607" s="0" t="s">
        <v>564</v>
      </c>
      <c r="B607" s="0" t="s">
        <v>91</v>
      </c>
      <c r="C607" s="40" t="n">
        <f aca="false">Q!$D$10</f>
        <v>247.029</v>
      </c>
      <c r="D607" s="40" t="n">
        <f aca="false">Q!$E$10</f>
        <v>269.287</v>
      </c>
      <c r="E607" s="40" t="n">
        <f aca="false">Q!$O$10</f>
        <v>203.156</v>
      </c>
      <c r="F607" s="40" t="n">
        <f aca="false">Sens!$O$607*(1+Sens!$F$608)*Sens!$F$619</f>
        <v>90.388463759573</v>
      </c>
      <c r="G607" s="40" t="n">
        <f aca="false">Sens!$E$607+Sens!$F$607</f>
        <v>293.544463759573</v>
      </c>
      <c r="H607" s="40" t="n">
        <f aca="false">Sens!$G$607*(1+Sens!$H$608)</f>
        <v>317.13448447826</v>
      </c>
      <c r="I607" s="40" t="n">
        <f aca="false">Sens!$H$607*(1+Sens!$I$608)</f>
        <v>339.410577938345</v>
      </c>
      <c r="J607" s="40" t="n">
        <f aca="false">Sens!$I$607*(1+Sens!$J$608)</f>
        <v>359.816245442206</v>
      </c>
      <c r="K607" s="40" t="n">
        <f aca="false">Sens!$J$607*(1+Sens!$K$608)</f>
        <v>377.807057714316</v>
      </c>
      <c r="L607" s="40" t="n">
        <f aca="false">Sens!$K$607*(1+Sens!$L$608)</f>
        <v>396.697410600032</v>
      </c>
      <c r="M607" s="40" t="n">
        <f aca="false">Sens!$L$607*(1+Sens!$M$608)</f>
        <v>416.532281130034</v>
      </c>
      <c r="N607" s="40" t="n">
        <f aca="false">Q!$N$10</f>
        <v>186.299</v>
      </c>
      <c r="O607" s="40" t="n">
        <f aca="false">Q!$J$10</f>
        <v>82.988</v>
      </c>
      <c r="P607" s="8" t="s">
        <v>726</v>
      </c>
    </row>
    <row r="608" customFormat="false" ht="17.15" hidden="false" customHeight="false" outlineLevel="0" collapsed="false">
      <c r="A608" s="0" t="s">
        <v>727</v>
      </c>
      <c r="B608" s="0" t="s">
        <v>56</v>
      </c>
      <c r="E608" s="13" t="n">
        <f aca="false">Sens!$E$607/Sens!$N$607-1</f>
        <v>0.0904835774749195</v>
      </c>
      <c r="F608" s="13" t="n">
        <f aca="false">Sens!$E$608</f>
        <v>0.0904835774749195</v>
      </c>
      <c r="G608" s="13" t="n">
        <f aca="false">Sens!$G$607/Sens!$D$607-1</f>
        <v>0.0900803371851333</v>
      </c>
      <c r="H608" s="13" t="n">
        <f aca="false">Sens!$F$608+(g_os-Sens!$F$608)*1/4</f>
        <v>0.0803626831061896</v>
      </c>
      <c r="I608" s="13" t="n">
        <f aca="false">Sens!$F$608+(g_os-Sens!$F$608)*2/4</f>
        <v>0.0702417887374598</v>
      </c>
      <c r="J608" s="13" t="n">
        <f aca="false">Sens!$F$608+(g_os-Sens!$F$608)*3/4</f>
        <v>0.0601208943687299</v>
      </c>
      <c r="K608" s="13" t="n">
        <f aca="false">Sens!$F$608+(g_os-Sens!$F$608)*4/4</f>
        <v>0.05</v>
      </c>
      <c r="L608" s="13" t="n">
        <f aca="false">g_os</f>
        <v>0.05</v>
      </c>
      <c r="M608" s="13" t="n">
        <f aca="false">g_os</f>
        <v>0.05</v>
      </c>
      <c r="P608" s="8" t="s">
        <v>728</v>
      </c>
    </row>
    <row r="609" customFormat="false" ht="17.15" hidden="false" customHeight="false" outlineLevel="0" collapsed="false">
      <c r="A609" s="0" t="s">
        <v>565</v>
      </c>
      <c r="B609" s="0" t="s">
        <v>91</v>
      </c>
      <c r="C609" s="40" t="n">
        <f aca="false">Q!$D$11</f>
        <v>21.215</v>
      </c>
      <c r="D609" s="40" t="n">
        <f aca="false">Q!$E$11</f>
        <v>22.561</v>
      </c>
      <c r="E609" s="40" t="n">
        <f aca="false">Q!$O$11</f>
        <v>17.289</v>
      </c>
      <c r="F609" s="40" t="n">
        <f aca="false">Sens!$O$609*(1+Sens!$F$610)*Sens!$F$619</f>
        <v>6.05205510939944</v>
      </c>
      <c r="G609" s="40" t="n">
        <f aca="false">Sens!$E$609+Sens!$F$609</f>
        <v>23.3410551093994</v>
      </c>
      <c r="H609" s="40" t="n">
        <f aca="false">Sens!$G$609*(1+Sens!$H$610)</f>
        <v>24.1270238539533</v>
      </c>
      <c r="I609" s="40" t="n">
        <f aca="false">Sens!$H$609*(1+Sens!$I$610)</f>
        <v>24.9099173270163</v>
      </c>
      <c r="J609" s="40" t="n">
        <f aca="false">Sens!$I$609*(1+Sens!$J$610)</f>
        <v>25.6877148084528</v>
      </c>
      <c r="K609" s="40" t="n">
        <f aca="false">Sens!$J$609*(1+Sens!$K$610)</f>
        <v>26.4583462527063</v>
      </c>
      <c r="L609" s="40" t="n">
        <f aca="false">Sens!$K$609*(1+Sens!$L$610)</f>
        <v>27.2520966402875</v>
      </c>
      <c r="M609" s="40" t="n">
        <f aca="false">Sens!$L$609*(1+Sens!$M$610)</f>
        <v>28.0696595394962</v>
      </c>
      <c r="N609" s="40" t="n">
        <f aca="false">Q!$N$11</f>
        <v>16.706</v>
      </c>
      <c r="O609" s="40" t="n">
        <f aca="false">Q!$J$11</f>
        <v>5.855</v>
      </c>
      <c r="P609" s="8" t="s">
        <v>726</v>
      </c>
    </row>
    <row r="610" customFormat="false" ht="17.15" hidden="false" customHeight="false" outlineLevel="0" collapsed="false">
      <c r="A610" s="0" t="s">
        <v>729</v>
      </c>
      <c r="B610" s="0" t="s">
        <v>56</v>
      </c>
      <c r="E610" s="13" t="n">
        <f aca="false">Sens!$E$609/Sens!$N$609-1</f>
        <v>0.0348976415659046</v>
      </c>
      <c r="F610" s="13" t="n">
        <f aca="false">Sens!$E$610</f>
        <v>0.0348976415659046</v>
      </c>
      <c r="G610" s="13" t="n">
        <f aca="false">Sens!$G$609/Sens!$D$609-1</f>
        <v>0.0345753782810796</v>
      </c>
      <c r="H610" s="13" t="n">
        <f aca="false">Sens!$F$610+(g_ps-Sens!$F$610)*1/4</f>
        <v>0.0336732311744284</v>
      </c>
      <c r="I610" s="13" t="n">
        <f aca="false">Sens!$F$610+(g_ps-Sens!$F$610)*2/4</f>
        <v>0.0324488207829523</v>
      </c>
      <c r="J610" s="13" t="n">
        <f aca="false">Sens!$F$610+(g_ps-Sens!$F$610)*3/4</f>
        <v>0.0312244103914761</v>
      </c>
      <c r="K610" s="13" t="n">
        <f aca="false">Sens!$F$610+(g_ps-Sens!$F$610)*4/4</f>
        <v>0.03</v>
      </c>
      <c r="L610" s="13" t="n">
        <f aca="false">g_ps</f>
        <v>0.03</v>
      </c>
      <c r="M610" s="13" t="n">
        <f aca="false">g_ps</f>
        <v>0.03</v>
      </c>
      <c r="P610" s="8" t="s">
        <v>730</v>
      </c>
    </row>
    <row r="611" customFormat="false" ht="17.15" hidden="false" customHeight="false" outlineLevel="0" collapsed="false">
      <c r="A611" s="0" t="s">
        <v>566</v>
      </c>
      <c r="B611" s="0" t="s">
        <v>91</v>
      </c>
      <c r="C611" s="40" t="n">
        <f aca="false">Q!$D$12</f>
        <v>156.146</v>
      </c>
      <c r="D611" s="40" t="n">
        <f aca="false">Q!$E$12</f>
        <v>172.162</v>
      </c>
      <c r="E611" s="40" t="n">
        <f aca="false">Q!$O$12</f>
        <v>134.85</v>
      </c>
      <c r="F611" s="40" t="n">
        <f aca="false">Sens!$O$611*(1+Sens!$F$612)*Sens!$F$619</f>
        <v>59.6056141851888</v>
      </c>
      <c r="G611" s="40" t="n">
        <f aca="false">Sens!$E$611+Sens!$F$611</f>
        <v>194.455614185189</v>
      </c>
      <c r="H611" s="40" t="n">
        <f aca="false">Sens!$G$611*(1+Sens!$H$612)</f>
        <v>216.80459217381</v>
      </c>
      <c r="I611" s="40" t="n">
        <f aca="false">Sens!$H$611*(1+Sens!$I$612)</f>
        <v>238.475078227356</v>
      </c>
      <c r="J611" s="40" t="n">
        <f aca="false">Sens!$I$611*(1+Sens!$J$612)</f>
        <v>258.739974865958</v>
      </c>
      <c r="K611" s="40" t="n">
        <f aca="false">Sens!$J$611*(1+Sens!$K$612)</f>
        <v>276.851773106575</v>
      </c>
      <c r="L611" s="40" t="n">
        <f aca="false">Sens!$K$611*(1+Sens!$L$612)</f>
        <v>296.231397224035</v>
      </c>
      <c r="M611" s="40" t="n">
        <f aca="false">Sens!$L$611*(1+Sens!$M$612)</f>
        <v>316.967595029718</v>
      </c>
      <c r="N611" s="40" t="n">
        <f aca="false">Q!$N$12</f>
        <v>119.346</v>
      </c>
      <c r="O611" s="40" t="n">
        <f aca="false">Q!$J$12</f>
        <v>52.816</v>
      </c>
      <c r="P611" s="8" t="s">
        <v>726</v>
      </c>
    </row>
    <row r="612" customFormat="false" ht="17.15" hidden="false" customHeight="false" outlineLevel="0" collapsed="false">
      <c r="A612" s="0" t="s">
        <v>731</v>
      </c>
      <c r="B612" s="0" t="s">
        <v>56</v>
      </c>
      <c r="E612" s="13" t="n">
        <f aca="false">Sens!$E$611/Sens!$N$611-1</f>
        <v>0.129907998592328</v>
      </c>
      <c r="F612" s="13" t="n">
        <f aca="false">Sens!$E$612</f>
        <v>0.129907998592328</v>
      </c>
      <c r="G612" s="13" t="n">
        <f aca="false">Sens!$G$611/Sens!$D$611-1</f>
        <v>0.129492072496769</v>
      </c>
      <c r="H612" s="13" t="n">
        <f aca="false">Sens!$F$612+(g_sp-Sens!$F$612)*1/4</f>
        <v>0.114930998944246</v>
      </c>
      <c r="I612" s="13" t="n">
        <f aca="false">Sens!$F$612+(g_sp-Sens!$F$612)*2/4</f>
        <v>0.0999539992961641</v>
      </c>
      <c r="J612" s="13" t="n">
        <f aca="false">Sens!$F$612+(g_sp-Sens!$F$612)*3/4</f>
        <v>0.084976999648082</v>
      </c>
      <c r="K612" s="13" t="n">
        <f aca="false">Sens!$F$612+(g_sp-Sens!$F$612)*4/4</f>
        <v>0.07</v>
      </c>
      <c r="L612" s="13" t="n">
        <f aca="false">g_sp</f>
        <v>0.07</v>
      </c>
      <c r="M612" s="13" t="n">
        <f aca="false">g_sp</f>
        <v>0.07</v>
      </c>
      <c r="P612" s="8" t="s">
        <v>732</v>
      </c>
    </row>
    <row r="613" customFormat="false" ht="17.15" hidden="false" customHeight="false" outlineLevel="0" collapsed="false">
      <c r="A613" s="0" t="s">
        <v>567</v>
      </c>
      <c r="B613" s="0" t="s">
        <v>91</v>
      </c>
      <c r="C613" s="40" t="n">
        <f aca="false">Q!$D$13</f>
        <v>56.214</v>
      </c>
      <c r="D613" s="40" t="n">
        <f aca="false">Q!$E$13</f>
        <v>68.635</v>
      </c>
      <c r="E613" s="40" t="n">
        <f aca="false">Q!$O$13</f>
        <v>56.689</v>
      </c>
      <c r="F613" s="40" t="n">
        <f aca="false">Sens!$O$613*(1+Sens!$F$614)*Sens!$F$619</f>
        <v>25.5080393747055</v>
      </c>
      <c r="G613" s="40" t="n">
        <f aca="false">Sens!$E$613+Sens!$F$613</f>
        <v>82.1970393747055</v>
      </c>
      <c r="H613" s="40" t="n">
        <f aca="false">Sens!$G$613*(1+Sens!$H$614)</f>
        <v>96.4608782883025</v>
      </c>
      <c r="I613" s="40" t="n">
        <f aca="false">Sens!$H$613*(1+Sens!$I$614)</f>
        <v>110.835624413712</v>
      </c>
      <c r="J613" s="40" t="n">
        <f aca="false">Sens!$I$613*(1+Sens!$J$614)</f>
        <v>124.635851912673</v>
      </c>
      <c r="K613" s="40" t="n">
        <f aca="false">Sens!$J$613*(1+Sens!$K$614)</f>
        <v>137.09943710394</v>
      </c>
      <c r="L613" s="40" t="n">
        <f aca="false">Sens!$K$613*(1+Sens!$L$614)</f>
        <v>150.809380814334</v>
      </c>
      <c r="M613" s="40" t="n">
        <f aca="false">Sens!$L$613*(1+Sens!$M$614)</f>
        <v>165.890318895768</v>
      </c>
      <c r="N613" s="40" t="n">
        <f aca="false">Q!$N$13</f>
        <v>47.318</v>
      </c>
      <c r="O613" s="40" t="n">
        <f aca="false">Q!$J$13</f>
        <v>21.317</v>
      </c>
      <c r="P613" s="8" t="s">
        <v>726</v>
      </c>
    </row>
    <row r="614" customFormat="false" ht="17.15" hidden="false" customHeight="false" outlineLevel="0" collapsed="false">
      <c r="A614" s="0" t="s">
        <v>733</v>
      </c>
      <c r="B614" s="0" t="s">
        <v>56</v>
      </c>
      <c r="E614" s="13" t="n">
        <f aca="false">Sens!$E$613/Sens!$N$613-1</f>
        <v>0.198043028023162</v>
      </c>
      <c r="F614" s="13" t="n">
        <f aca="false">Sens!$E$614</f>
        <v>0.198043028023162</v>
      </c>
      <c r="G614" s="13" t="n">
        <f aca="false">Sens!$G$613/Sens!$D$613-1</f>
        <v>0.197596552410657</v>
      </c>
      <c r="H614" s="13" t="n">
        <f aca="false">Sens!$F$614+(g_ad-Sens!$F$614)*1/4</f>
        <v>0.173532271017372</v>
      </c>
      <c r="I614" s="13" t="n">
        <f aca="false">Sens!$F$614+(g_ad-Sens!$F$614)*2/4</f>
        <v>0.149021514011581</v>
      </c>
      <c r="J614" s="13" t="n">
        <f aca="false">Sens!$F$614+(g_ad-Sens!$F$614)*3/4</f>
        <v>0.124510757005791</v>
      </c>
      <c r="K614" s="13" t="n">
        <f aca="false">Sens!$F$614+(g_ad-Sens!$F$614)*4/4</f>
        <v>0.1</v>
      </c>
      <c r="L614" s="13" t="n">
        <f aca="false">g_ad</f>
        <v>0.1</v>
      </c>
      <c r="M614" s="13" t="n">
        <f aca="false">g_ad</f>
        <v>0.1</v>
      </c>
      <c r="P614" s="8" t="s">
        <v>734</v>
      </c>
    </row>
    <row r="615" customFormat="false" ht="17.15" hidden="false" customHeight="false" outlineLevel="0" collapsed="false">
      <c r="A615" s="0" t="s">
        <v>568</v>
      </c>
      <c r="B615" s="0" t="s">
        <v>91</v>
      </c>
      <c r="C615" s="40" t="n">
        <f aca="false">Q!$D$14</f>
        <v>44.374</v>
      </c>
      <c r="D615" s="40" t="n">
        <f aca="false">Q!$E$14</f>
        <v>49.619</v>
      </c>
      <c r="E615" s="40" t="n">
        <f aca="false">Q!$O$14</f>
        <v>41.163</v>
      </c>
      <c r="F615" s="40" t="n">
        <f aca="false">Sens!$O$615*(1+Sens!$F$616)*Sens!$F$619</f>
        <v>14.7818388144754</v>
      </c>
      <c r="G615" s="40" t="n">
        <f aca="false">Sens!$E$615+Sens!$F$615</f>
        <v>55.9448388144754</v>
      </c>
      <c r="H615" s="40" t="n">
        <f aca="false">Sens!$G$615*(1+Sens!$H$616)</f>
        <v>62.2881216081287</v>
      </c>
      <c r="I615" s="40" t="n">
        <f aca="false">Sens!$H$615*(1+Sens!$I$616)</f>
        <v>68.4498533343906</v>
      </c>
      <c r="J615" s="40" t="n">
        <f aca="false">Sens!$I$615*(1+Sens!$J$616)</f>
        <v>74.2312327495396</v>
      </c>
      <c r="K615" s="40" t="n">
        <f aca="false">Sens!$J$615*(1+Sens!$K$616)</f>
        <v>79.4274190420074</v>
      </c>
      <c r="L615" s="40" t="n">
        <f aca="false">Sens!$K$615*(1+Sens!$L$616)</f>
        <v>84.9873383749479</v>
      </c>
      <c r="M615" s="40" t="n">
        <f aca="false">Sens!$L$615*(1+Sens!$M$616)</f>
        <v>90.9364520611943</v>
      </c>
      <c r="N615" s="40" t="n">
        <f aca="false">Q!$N$14</f>
        <v>36.497</v>
      </c>
      <c r="O615" s="40" t="n">
        <f aca="false">Q!$J$14</f>
        <v>13.122</v>
      </c>
      <c r="P615" s="8" t="s">
        <v>726</v>
      </c>
    </row>
    <row r="616" customFormat="false" ht="17.15" hidden="false" customHeight="false" outlineLevel="0" collapsed="false">
      <c r="A616" s="0" t="s">
        <v>735</v>
      </c>
      <c r="B616" s="0" t="s">
        <v>56</v>
      </c>
      <c r="E616" s="13" t="n">
        <f aca="false">Sens!$E$615/Sens!$N$615-1</f>
        <v>0.127846124338987</v>
      </c>
      <c r="F616" s="13" t="n">
        <f aca="false">Sens!$E$616</f>
        <v>0.127846124338987</v>
      </c>
      <c r="G616" s="13" t="n">
        <f aca="false">Sens!$G$615/Sens!$D$615-1</f>
        <v>0.127488236652803</v>
      </c>
      <c r="H616" s="13" t="n">
        <f aca="false">Sens!$F$616+(g_sub-Sens!$F$616)*1/4</f>
        <v>0.11338459325424</v>
      </c>
      <c r="I616" s="13" t="n">
        <f aca="false">Sens!$F$616+(g_sub-Sens!$F$616)*2/4</f>
        <v>0.0989230621694934</v>
      </c>
      <c r="J616" s="13" t="n">
        <f aca="false">Sens!$F$616+(g_sub-Sens!$F$616)*3/4</f>
        <v>0.0844615310847467</v>
      </c>
      <c r="K616" s="13" t="n">
        <f aca="false">Sens!$F$616+(g_sub-Sens!$F$616)*4/4</f>
        <v>0.07</v>
      </c>
      <c r="L616" s="13" t="n">
        <f aca="false">g_sub</f>
        <v>0.07</v>
      </c>
      <c r="M616" s="13" t="n">
        <f aca="false">g_sub</f>
        <v>0.07</v>
      </c>
      <c r="P616" s="8" t="s">
        <v>736</v>
      </c>
    </row>
    <row r="617" customFormat="false" ht="17.15" hidden="false" customHeight="false" outlineLevel="0" collapsed="false">
      <c r="A617" s="0" t="s">
        <v>569</v>
      </c>
      <c r="B617" s="0" t="s">
        <v>91</v>
      </c>
      <c r="C617" s="40" t="n">
        <f aca="false">Q!$D$15</f>
        <v>5.425</v>
      </c>
      <c r="D617" s="40" t="n">
        <f aca="false">Q!$E$15</f>
        <v>5.935</v>
      </c>
      <c r="E617" s="40" t="n">
        <f aca="false">Q!$O$15</f>
        <v>5.119</v>
      </c>
      <c r="F617" s="40" t="n">
        <f aca="false">Sens!$O$617*(1+Sens!$F$618)*Sens!$F$619</f>
        <v>2.06764643489463</v>
      </c>
      <c r="G617" s="40" t="n">
        <f aca="false">Sens!$E$617+Sens!$F$617</f>
        <v>7.18664643489463</v>
      </c>
      <c r="H617" s="40" t="n">
        <f aca="false">Sens!$G$617*(1+Sens!$H$618)</f>
        <v>8.41544223415965</v>
      </c>
      <c r="I617" s="40" t="n">
        <f aca="false">Sens!$H$617*(1+Sens!$I$618)</f>
        <v>9.51496576222195</v>
      </c>
      <c r="J617" s="40" t="n">
        <f aca="false">Sens!$I$617*(1+Sens!$J$618)</f>
        <v>10.3744310498661</v>
      </c>
      <c r="K617" s="40" t="n">
        <f aca="false">Sens!$J$617*(1+Sens!$K$618)</f>
        <v>10.8931526023594</v>
      </c>
      <c r="L617" s="40" t="n">
        <f aca="false">Sens!$K$617*(1+Sens!$L$618)</f>
        <v>11.4378102324774</v>
      </c>
      <c r="M617" s="40" t="n">
        <f aca="false">Sens!$L$617*(1+Sens!$M$618)</f>
        <v>12.0097007441012</v>
      </c>
      <c r="N617" s="40" t="n">
        <f aca="false">Q!$N$15</f>
        <v>4.226</v>
      </c>
      <c r="O617" s="40" t="n">
        <f aca="false">Q!$J$15</f>
        <v>1.709</v>
      </c>
      <c r="P617" s="8" t="s">
        <v>726</v>
      </c>
    </row>
    <row r="618" customFormat="false" ht="17.15" hidden="false" customHeight="false" outlineLevel="0" collapsed="false">
      <c r="A618" s="0" t="s">
        <v>737</v>
      </c>
      <c r="B618" s="0" t="s">
        <v>56</v>
      </c>
      <c r="E618" s="13" t="n">
        <f aca="false">Sens!$E$617/Sens!$N$617-1</f>
        <v>0.21131093232371</v>
      </c>
      <c r="F618" s="13" t="n">
        <f aca="false">Sens!$E$618</f>
        <v>0.21131093232371</v>
      </c>
      <c r="G618" s="13" t="n">
        <f aca="false">Sens!$G$617/Sens!$D$617-1</f>
        <v>0.210892406890418</v>
      </c>
      <c r="H618" s="13" t="n">
        <f aca="false">Sens!$F$618+(g_ot-Sens!$F$618)*1/4</f>
        <v>0.170983199242783</v>
      </c>
      <c r="I618" s="13" t="n">
        <f aca="false">Sens!$F$618+(g_ot-Sens!$F$618)*2/4</f>
        <v>0.130655466161855</v>
      </c>
      <c r="J618" s="13" t="n">
        <f aca="false">Sens!$F$618+(g_ot-Sens!$F$618)*3/4</f>
        <v>0.0903277330809276</v>
      </c>
      <c r="K618" s="13" t="n">
        <f aca="false">Sens!$F$618+(g_ot-Sens!$F$618)*4/4</f>
        <v>0.05</v>
      </c>
      <c r="L618" s="13" t="n">
        <f aca="false">g_ot</f>
        <v>0.05</v>
      </c>
      <c r="M618" s="13" t="n">
        <f aca="false">g_ot</f>
        <v>0.05</v>
      </c>
      <c r="P618" s="8" t="s">
        <v>738</v>
      </c>
    </row>
    <row r="619" customFormat="false" ht="17.15" hidden="false" customHeight="false" outlineLevel="0" collapsed="false">
      <c r="A619" s="0" t="s">
        <v>739</v>
      </c>
      <c r="B619" s="0" t="s">
        <v>61</v>
      </c>
      <c r="F619" s="42" t="n">
        <f aca="false">(g26q4_mid-Thesis!$F$92-Thesis!$F$96)/(Sens!$O$607*(1+Sens!$F$608)+Sens!$O$609*(1+Sens!$F$610)+Sens!$O$611*(1+Sens!$F$612)+Sens!$O$613*(1+Sens!$F$614)+Sens!$O$615*(1+Sens!$F$616)+Sens!$O$617*(1+Sens!$F$618))</f>
        <v>0.998800100483245</v>
      </c>
      <c r="P619" s="8" t="s">
        <v>740</v>
      </c>
    </row>
    <row r="620" customFormat="false" ht="17.15" hidden="false" customHeight="false" outlineLevel="0" collapsed="false">
      <c r="A620" s="3" t="s">
        <v>741</v>
      </c>
      <c r="B620" s="8" t="s">
        <v>91</v>
      </c>
      <c r="C620" s="40" t="n">
        <f aca="false">Sens!$C$607+Sens!$C$609+Sens!$C$611+Sens!$C$613+Sens!$C$615+Sens!$C$617</f>
        <v>530.403</v>
      </c>
      <c r="D620" s="40" t="n">
        <f aca="false">Sens!$D$607+Sens!$D$609+Sens!$D$611+Sens!$D$613+Sens!$D$615+Sens!$D$617</f>
        <v>588.199</v>
      </c>
      <c r="E620" s="40" t="n">
        <f aca="false">Sens!$E$607+Sens!$E$609+Sens!$E$611+Sens!$E$613+Sens!$E$615+Sens!$E$617</f>
        <v>458.266</v>
      </c>
      <c r="F620" s="40" t="n">
        <f aca="false">Sens!$F$607+Sens!$F$609+Sens!$F$611+Sens!$F$613+Sens!$F$615+Sens!$F$617</f>
        <v>198.403657678237</v>
      </c>
      <c r="G620" s="40" t="n">
        <f aca="false">Sens!$G$607+Sens!$G$609+Sens!$G$611+Sens!$G$613+Sens!$G$615+Sens!$G$617</f>
        <v>656.669657678237</v>
      </c>
      <c r="H620" s="40" t="n">
        <f aca="false">Sens!$H$607+Sens!$H$609+Sens!$H$611+Sens!$H$613+Sens!$H$615+Sens!$H$617</f>
        <v>725.230542636613</v>
      </c>
      <c r="I620" s="40" t="n">
        <f aca="false">Sens!$I$607+Sens!$I$609+Sens!$I$611+Sens!$I$613+Sens!$I$615+Sens!$I$617</f>
        <v>791.596017003042</v>
      </c>
      <c r="J620" s="40" t="n">
        <f aca="false">Sens!$J$607+Sens!$J$609+Sens!$J$611+Sens!$J$613+Sens!$J$615+Sens!$J$617</f>
        <v>853.485450828695</v>
      </c>
      <c r="K620" s="40" t="n">
        <f aca="false">Sens!$K$607+Sens!$K$609+Sens!$K$611+Sens!$K$613+Sens!$K$615+Sens!$K$617</f>
        <v>908.537185821905</v>
      </c>
      <c r="L620" s="40" t="n">
        <f aca="false">Sens!$L$607+Sens!$L$609+Sens!$L$611+Sens!$L$613+Sens!$L$615+Sens!$L$617</f>
        <v>967.415433886114</v>
      </c>
      <c r="M620" s="40" t="n">
        <f aca="false">Sens!$M$607+Sens!$M$609+Sens!$M$611+Sens!$M$613+Sens!$M$615+Sens!$M$617</f>
        <v>1030.40600740031</v>
      </c>
      <c r="N620" s="40" t="n">
        <f aca="false">Sens!$N$607+Sens!$N$609+Sens!$N$611+Sens!$N$613+Sens!$N$615+Sens!$N$617</f>
        <v>410.392</v>
      </c>
      <c r="O620" s="40" t="n">
        <f aca="false">Sens!$O$607+Sens!$O$609+Sens!$O$611+Sens!$O$613+Sens!$O$615+Sens!$O$617</f>
        <v>177.807</v>
      </c>
    </row>
    <row r="621" customFormat="false" ht="17.15" hidden="false" customHeight="false" outlineLevel="0" collapsed="false">
      <c r="A621" s="5" t="s">
        <v>742</v>
      </c>
      <c r="B621" s="0" t="s">
        <v>56</v>
      </c>
      <c r="C621" s="13" t="n">
        <f aca="false">Q!$D$5/(Q!$D$5+Q!$D$6)</f>
        <v>0.730570905519011</v>
      </c>
      <c r="D621" s="13" t="n">
        <f aca="false">Q!$E$5/(Q!$E$5+Q!$E$6)</f>
        <v>0.724763217890544</v>
      </c>
      <c r="E621" s="13" t="n">
        <f aca="false">Q!$O$5/(Q!$O$5+Q!$O$6)</f>
        <v>0.727027534226846</v>
      </c>
      <c r="F621" s="13" t="n">
        <f aca="false">Sens!$O$621</f>
        <v>0.714724392178036</v>
      </c>
      <c r="G621" s="13" t="n">
        <f aca="false">Sens!$G$622/Sens!$G$620</f>
        <v>0.723310309965184</v>
      </c>
      <c r="H621" s="13" t="n">
        <f aca="false">Sens!$G$621</f>
        <v>0.723310309965184</v>
      </c>
      <c r="I621" s="13" t="n">
        <f aca="false">Sens!$G$621</f>
        <v>0.723310309965184</v>
      </c>
      <c r="J621" s="13" t="n">
        <f aca="false">Sens!$G$621</f>
        <v>0.723310309965184</v>
      </c>
      <c r="K621" s="13" t="n">
        <f aca="false">Sens!$G$621</f>
        <v>0.723310309965184</v>
      </c>
      <c r="L621" s="13" t="n">
        <f aca="false">Sens!$G$621</f>
        <v>0.723310309965184</v>
      </c>
      <c r="M621" s="13" t="n">
        <f aca="false">Sens!$G$621</f>
        <v>0.723310309965184</v>
      </c>
      <c r="N621" s="13" t="n">
        <f aca="false">Q!$N$5/(Q!$N$5+Q!$N$6)</f>
        <v>0.729112653268095</v>
      </c>
      <c r="O621" s="13" t="n">
        <f aca="false">Q!$J$5/(Q!$J$5+Q!$J$6)</f>
        <v>0.714724392178036</v>
      </c>
      <c r="P621" s="8" t="s">
        <v>743</v>
      </c>
    </row>
    <row r="622" customFormat="false" ht="17.15" hidden="false" customHeight="false" outlineLevel="0" collapsed="false">
      <c r="A622" s="1" t="s">
        <v>557</v>
      </c>
      <c r="B622" s="8" t="s">
        <v>91</v>
      </c>
      <c r="C622" s="40" t="n">
        <f aca="false">Q!$D$5</f>
        <v>387.497</v>
      </c>
      <c r="D622" s="40" t="n">
        <f aca="false">Q!$E$5</f>
        <v>426.305</v>
      </c>
      <c r="E622" s="40" t="n">
        <f aca="false">Q!$O$5</f>
        <v>333.172</v>
      </c>
      <c r="F622" s="40" t="n">
        <f aca="false">Sens!$F$620*Sens!$F$621</f>
        <v>141.803933639977</v>
      </c>
      <c r="G622" s="40" t="n">
        <f aca="false">Sens!$E$622+Sens!$F$622</f>
        <v>474.975933639977</v>
      </c>
      <c r="H622" s="40" t="n">
        <f aca="false">Sens!$H$620*Sens!$H$621</f>
        <v>524.566728590708</v>
      </c>
      <c r="I622" s="40" t="n">
        <f aca="false">Sens!$I$620*Sens!$I$621</f>
        <v>572.569560425675</v>
      </c>
      <c r="J622" s="40" t="n">
        <f aca="false">Sens!$J$620*Sens!$J$621</f>
        <v>617.334825989679</v>
      </c>
      <c r="K622" s="40" t="n">
        <f aca="false">Sens!$K$620*Sens!$K$621</f>
        <v>657.154313491738</v>
      </c>
      <c r="L622" s="40" t="n">
        <f aca="false">Sens!$L$620*Sens!$L$621</f>
        <v>699.741557349269</v>
      </c>
      <c r="M622" s="40" t="n">
        <f aca="false">Sens!$M$620*Sens!$M$621</f>
        <v>745.303288602707</v>
      </c>
      <c r="N622" s="40" t="n">
        <f aca="false">Q!$N$5</f>
        <v>299.222</v>
      </c>
      <c r="O622" s="40" t="n">
        <f aca="false">Q!$J$5</f>
        <v>127.083</v>
      </c>
      <c r="P622" s="5" t="s">
        <v>744</v>
      </c>
    </row>
    <row r="623" customFormat="false" ht="17.15" hidden="false" customHeight="false" outlineLevel="0" collapsed="false">
      <c r="A623" s="1" t="s">
        <v>560</v>
      </c>
      <c r="B623" s="8" t="s">
        <v>91</v>
      </c>
      <c r="C623" s="40" t="n">
        <f aca="false">Q!$D$6</f>
        <v>142.906</v>
      </c>
      <c r="D623" s="40" t="n">
        <f aca="false">Q!$E$6</f>
        <v>161.894</v>
      </c>
      <c r="E623" s="40" t="n">
        <f aca="false">Q!$O$6</f>
        <v>125.094</v>
      </c>
      <c r="F623" s="40" t="n">
        <f aca="false">Sens!$F$620*(1-Sens!$F$621)</f>
        <v>56.5997240382599</v>
      </c>
      <c r="G623" s="40" t="n">
        <f aca="false">Sens!$E$623+Sens!$F$623</f>
        <v>181.69372403826</v>
      </c>
      <c r="H623" s="40" t="n">
        <f aca="false">Sens!$H$620*(1-Sens!$H$621)</f>
        <v>200.663814045906</v>
      </c>
      <c r="I623" s="40" t="n">
        <f aca="false">Sens!$I$620*(1-Sens!$I$621)</f>
        <v>219.026456577366</v>
      </c>
      <c r="J623" s="40" t="n">
        <f aca="false">Sens!$J$620*(1-Sens!$J$621)</f>
        <v>236.150624839017</v>
      </c>
      <c r="K623" s="40" t="n">
        <f aca="false">Sens!$K$620*(1-Sens!$K$621)</f>
        <v>251.382872330167</v>
      </c>
      <c r="L623" s="40" t="n">
        <f aca="false">Sens!$L$620*(1-Sens!$L$621)</f>
        <v>267.673876536846</v>
      </c>
      <c r="M623" s="40" t="n">
        <f aca="false">Sens!$M$620*(1-Sens!$M$621)</f>
        <v>285.102718797604</v>
      </c>
      <c r="N623" s="40" t="n">
        <f aca="false">Q!$N$6</f>
        <v>111.17</v>
      </c>
      <c r="O623" s="40" t="n">
        <f aca="false">Q!$J$6</f>
        <v>50.724</v>
      </c>
      <c r="P623" s="5" t="s">
        <v>745</v>
      </c>
    </row>
    <row r="624" customFormat="false" ht="17.15" hidden="false" customHeight="false" outlineLevel="0" collapsed="false">
      <c r="A624" s="5" t="s">
        <v>746</v>
      </c>
      <c r="B624" s="0" t="s">
        <v>91</v>
      </c>
      <c r="C624" s="40" t="n">
        <f aca="false">Sens!$C$613*Sens!$C$621</f>
        <v>41.0683128828457</v>
      </c>
      <c r="D624" s="40" t="n">
        <f aca="false">Sens!$D$613*Sens!$D$621</f>
        <v>49.7441234599175</v>
      </c>
      <c r="E624" s="40" t="n">
        <f aca="false">Sens!$E$613*Sens!$E$621</f>
        <v>41.2144638877857</v>
      </c>
      <c r="F624" s="40" t="n">
        <f aca="false">Sens!$F$613*Sens!$F$621</f>
        <v>18.2312179377398</v>
      </c>
      <c r="G624" s="40" t="n">
        <f aca="false">Sens!$G$613*Sens!$G$621</f>
        <v>59.4539660283387</v>
      </c>
      <c r="H624" s="40" t="n">
        <f aca="false">Sens!$H$613*Sens!$H$621</f>
        <v>69.771147774226</v>
      </c>
      <c r="I624" s="40" t="n">
        <f aca="false">Sens!$I$613*Sens!$I$621</f>
        <v>80.1685498498669</v>
      </c>
      <c r="J624" s="40" t="n">
        <f aca="false">Sens!$J$613*Sens!$J$621</f>
        <v>90.1503966797303</v>
      </c>
      <c r="K624" s="40" t="n">
        <f aca="false">Sens!$K$613*Sens!$K$621</f>
        <v>99.1654363477033</v>
      </c>
      <c r="L624" s="40" t="n">
        <f aca="false">Sens!$L$613*Sens!$L$621</f>
        <v>109.081979982474</v>
      </c>
      <c r="M624" s="40" t="n">
        <f aca="false">Sens!$M$613*Sens!$M$621</f>
        <v>119.990177980721</v>
      </c>
      <c r="N624" s="40" t="n">
        <f aca="false">Sens!$N$613*Sens!$N$621</f>
        <v>34.5001525273397</v>
      </c>
      <c r="O624" s="40" t="n">
        <f aca="false">Sens!$O$613*Sens!$O$621</f>
        <v>15.2357798680592</v>
      </c>
      <c r="P624" s="5" t="s">
        <v>747</v>
      </c>
    </row>
    <row r="625" customFormat="false" ht="15" hidden="false" customHeight="false" outlineLevel="0" collapsed="false">
      <c r="A625" s="5" t="s">
        <v>748</v>
      </c>
      <c r="B625" s="0" t="s">
        <v>91</v>
      </c>
      <c r="C625" s="40" t="n">
        <f aca="false">Sens!$C$613-Sens!$C$624</f>
        <v>15.1456871171543</v>
      </c>
      <c r="D625" s="40" t="n">
        <f aca="false">Sens!$D$613-Sens!$D$624</f>
        <v>18.8908765400825</v>
      </c>
      <c r="E625" s="40" t="n">
        <f aca="false">Sens!$E$613-Sens!$E$624</f>
        <v>15.4745361122143</v>
      </c>
      <c r="F625" s="40" t="n">
        <f aca="false">Sens!$F$613-Sens!$F$624</f>
        <v>7.2768214369657</v>
      </c>
      <c r="G625" s="40" t="n">
        <f aca="false">Sens!$G$613-Sens!$G$624</f>
        <v>22.7430733463668</v>
      </c>
      <c r="H625" s="40" t="n">
        <f aca="false">Sens!$H$613-Sens!$H$624</f>
        <v>26.6897305140765</v>
      </c>
      <c r="I625" s="40" t="n">
        <f aca="false">Sens!$I$613-Sens!$I$624</f>
        <v>30.6670745638453</v>
      </c>
      <c r="J625" s="40" t="n">
        <f aca="false">Sens!$J$613-Sens!$J$624</f>
        <v>34.4854552329427</v>
      </c>
      <c r="K625" s="40" t="n">
        <f aca="false">Sens!$K$613-Sens!$K$624</f>
        <v>37.934000756237</v>
      </c>
      <c r="L625" s="40" t="n">
        <f aca="false">Sens!$L$613-Sens!$L$624</f>
        <v>41.7274008318607</v>
      </c>
      <c r="M625" s="40" t="n">
        <f aca="false">Sens!$M$613-Sens!$M$624</f>
        <v>45.9001409150467</v>
      </c>
      <c r="N625" s="40" t="n">
        <f aca="false">Sens!$N$613-Sens!$N$624</f>
        <v>12.8178474726603</v>
      </c>
      <c r="O625" s="40" t="n">
        <f aca="false">Sens!$O$613-Sens!$O$624</f>
        <v>6.08122013194081</v>
      </c>
    </row>
    <row r="626" customFormat="false" ht="19.4" hidden="false" customHeight="false" outlineLevel="0" collapsed="false">
      <c r="A626" s="35" t="s">
        <v>1315</v>
      </c>
    </row>
    <row r="627" customFormat="false" ht="17.15" hidden="false" customHeight="false" outlineLevel="0" collapsed="false">
      <c r="A627" s="6" t="s">
        <v>16</v>
      </c>
      <c r="B627" s="6" t="s">
        <v>17</v>
      </c>
      <c r="C627" s="23" t="s">
        <v>542</v>
      </c>
      <c r="D627" s="23" t="s">
        <v>543</v>
      </c>
      <c r="E627" s="23" t="s">
        <v>631</v>
      </c>
      <c r="F627" s="23" t="s">
        <v>632</v>
      </c>
      <c r="G627" s="23" t="s">
        <v>633</v>
      </c>
      <c r="H627" s="23" t="s">
        <v>634</v>
      </c>
      <c r="I627" s="23" t="s">
        <v>635</v>
      </c>
      <c r="J627" s="23" t="s">
        <v>636</v>
      </c>
      <c r="K627" s="23" t="s">
        <v>637</v>
      </c>
      <c r="L627" s="23" t="s">
        <v>638</v>
      </c>
      <c r="M627" s="23" t="s">
        <v>639</v>
      </c>
      <c r="N627" s="23" t="s">
        <v>640</v>
      </c>
      <c r="O627" s="23" t="s">
        <v>641</v>
      </c>
      <c r="P627" s="6" t="s">
        <v>23</v>
      </c>
      <c r="R627" s="23" t="n">
        <v>2023</v>
      </c>
      <c r="S627" s="23" t="n">
        <v>2024</v>
      </c>
      <c r="T627" s="23" t="n">
        <v>2025</v>
      </c>
      <c r="U627" s="23" t="n">
        <v>2026</v>
      </c>
      <c r="V627" s="23" t="n">
        <v>2027</v>
      </c>
      <c r="W627" s="23" t="n">
        <v>2028</v>
      </c>
      <c r="X627" s="23" t="n">
        <v>2029</v>
      </c>
      <c r="Y627" s="23" t="n">
        <v>2030</v>
      </c>
      <c r="Z627" s="23" t="n">
        <v>2031</v>
      </c>
      <c r="AA627" s="23" t="n">
        <v>2032</v>
      </c>
    </row>
    <row r="628" customFormat="false" ht="17.15" hidden="false" customHeight="false" outlineLevel="0" collapsed="false">
      <c r="A628" s="1" t="s">
        <v>642</v>
      </c>
    </row>
    <row r="629" customFormat="false" ht="17.15" hidden="false" customHeight="false" outlineLevel="0" collapsed="false">
      <c r="A629" s="5" t="s">
        <v>643</v>
      </c>
      <c r="B629" s="0" t="s">
        <v>153</v>
      </c>
      <c r="H629" s="36" t="n">
        <f aca="false">(pace_C*pace_x)</f>
        <v>3788.9</v>
      </c>
      <c r="I629" s="36" t="n">
        <f aca="false">(pace_C*pace_x)</f>
        <v>3788.9</v>
      </c>
      <c r="J629" s="36" t="n">
        <f aca="false">(pace_C*pace_x)</f>
        <v>3788.9</v>
      </c>
      <c r="K629" s="36" t="n">
        <f aca="false">(pace_C*pace_x)+(Sens!$J$630*tg-(pace_C*pace_x))*1/3</f>
        <v>2679.34483333333</v>
      </c>
      <c r="L629" s="36" t="n">
        <f aca="false">(pace_C*pace_x)+(Sens!$J$630*tg-(pace_C*pace_x))*2/3</f>
        <v>1569.78966666667</v>
      </c>
      <c r="M629" s="36" t="n">
        <f aca="false">(pace_C*pace_x)+(Sens!$J$630*tg-(pace_C*pace_x))*3/3</f>
        <v>460.2345</v>
      </c>
      <c r="P629" s="5" t="s">
        <v>644</v>
      </c>
    </row>
    <row r="630" customFormat="false" ht="17.15" hidden="false" customHeight="false" outlineLevel="0" collapsed="false">
      <c r="A630" s="15" t="s">
        <v>645</v>
      </c>
      <c r="B630" s="14" t="s">
        <v>138</v>
      </c>
      <c r="C630" s="37" t="n">
        <f aca="false">mw_ye24</f>
        <v>360</v>
      </c>
      <c r="D630" s="37" t="n">
        <f aca="false">mw_ye25</f>
        <v>1440</v>
      </c>
      <c r="E630" s="37" t="n">
        <f aca="false">mw_q3</f>
        <v>3027.225</v>
      </c>
      <c r="F630" s="37" t="n">
        <f aca="false">Sens!$E$630+(pace_C*pace_x)*0.25</f>
        <v>3974.45</v>
      </c>
      <c r="G630" s="37" t="n">
        <f aca="false">Sens!$F$630</f>
        <v>3974.45</v>
      </c>
      <c r="H630" s="37" t="n">
        <f aca="false">Sens!$G$630+Sens!$H$629</f>
        <v>7763.35</v>
      </c>
      <c r="I630" s="37" t="n">
        <f aca="false">Sens!$H$630+Sens!$I$629</f>
        <v>11552.25</v>
      </c>
      <c r="J630" s="37" t="n">
        <f aca="false">Sens!$I$630+Sens!$J$629</f>
        <v>15341.15</v>
      </c>
      <c r="K630" s="37" t="n">
        <f aca="false">Sens!$J$630+Sens!$K$629</f>
        <v>18020.4948333333</v>
      </c>
      <c r="L630" s="37" t="n">
        <f aca="false">Sens!$K$630+Sens!$L$629</f>
        <v>19590.2845</v>
      </c>
      <c r="M630" s="37" t="n">
        <f aca="false">Sens!$L$630+Sens!$M$629</f>
        <v>20050.519</v>
      </c>
      <c r="N630" s="37" t="n">
        <f aca="false">mw_ye24+(mw_ye25-mw_ye24)*0.75</f>
        <v>1170</v>
      </c>
      <c r="O630" s="37" t="n">
        <f aca="false">mw_ye25</f>
        <v>1440</v>
      </c>
      <c r="P630" s="5" t="s">
        <v>646</v>
      </c>
    </row>
    <row r="631" customFormat="false" ht="17.15" hidden="false" customHeight="false" outlineLevel="0" collapsed="false">
      <c r="A631" s="5" t="s">
        <v>647</v>
      </c>
      <c r="B631" s="0" t="s">
        <v>138</v>
      </c>
      <c r="C631" s="36" t="n">
        <f aca="false">(mw_ye23+mw_ye24)/2</f>
        <v>240</v>
      </c>
      <c r="D631" s="36" t="n">
        <f aca="false">(Sens!$C$630+Sens!$D$630)/2</f>
        <v>900</v>
      </c>
      <c r="E631" s="36" t="n">
        <f aca="false">(Sens!$D$630+Sens!$E$630)/2</f>
        <v>2233.6125</v>
      </c>
      <c r="F631" s="36" t="n">
        <f aca="false">(Sens!$E$630+Sens!$F$630)/2</f>
        <v>3500.8375</v>
      </c>
      <c r="G631" s="36" t="n">
        <f aca="false">Sens!$E$631*0.75+Sens!$F$631*0.25</f>
        <v>2550.41875</v>
      </c>
      <c r="H631" s="36" t="n">
        <f aca="false">(Sens!$G$630+Sens!$H$630)/2</f>
        <v>5868.9</v>
      </c>
      <c r="I631" s="36" t="n">
        <f aca="false">(Sens!$H$630+Sens!$I$630)/2</f>
        <v>9657.8</v>
      </c>
      <c r="J631" s="36" t="n">
        <f aca="false">(Sens!$I$630+Sens!$J$630)/2</f>
        <v>13446.7</v>
      </c>
      <c r="K631" s="36" t="n">
        <f aca="false">(Sens!$J$630+Sens!$K$630)/2</f>
        <v>16680.8224166667</v>
      </c>
      <c r="L631" s="36" t="n">
        <f aca="false">(Sens!$K$630+Sens!$L$630)/2</f>
        <v>18805.3896666667</v>
      </c>
      <c r="M631" s="36" t="n">
        <f aca="false">(Sens!$L$630+Sens!$M$630)/2</f>
        <v>19820.40175</v>
      </c>
      <c r="N631" s="36" t="n">
        <f aca="false">(Sens!$C$630+Sens!$N$630)/2</f>
        <v>765</v>
      </c>
      <c r="O631" s="36" t="n">
        <f aca="false">(Sens!$N$630+Sens!$O$630)/2</f>
        <v>1305</v>
      </c>
    </row>
    <row r="632" customFormat="false" ht="15" hidden="false" customHeight="false" outlineLevel="0" collapsed="false">
      <c r="A632" s="5" t="s">
        <v>648</v>
      </c>
      <c r="B632" s="5" t="s">
        <v>132</v>
      </c>
      <c r="C632" s="38" t="n">
        <v>1</v>
      </c>
      <c r="D632" s="38" t="n">
        <v>1</v>
      </c>
      <c r="E632" s="38" t="n">
        <v>0.75</v>
      </c>
      <c r="F632" s="38" t="n">
        <v>0.25</v>
      </c>
      <c r="G632" s="38" t="n">
        <v>1</v>
      </c>
      <c r="H632" s="38" t="n">
        <v>1</v>
      </c>
      <c r="I632" s="38" t="n">
        <v>1</v>
      </c>
      <c r="J632" s="38" t="n">
        <v>1</v>
      </c>
      <c r="K632" s="38" t="n">
        <v>1</v>
      </c>
      <c r="L632" s="38" t="n">
        <v>1</v>
      </c>
      <c r="M632" s="38" t="n">
        <v>1</v>
      </c>
      <c r="N632" s="38" t="n">
        <v>0.75</v>
      </c>
      <c r="O632" s="38" t="n">
        <v>0.25</v>
      </c>
    </row>
    <row r="633" customFormat="false" ht="17.15" hidden="false" customHeight="false" outlineLevel="0" collapsed="false">
      <c r="A633" s="5" t="s">
        <v>649</v>
      </c>
      <c r="B633" s="0" t="s">
        <v>138</v>
      </c>
      <c r="C633" s="36" t="n">
        <f aca="false">Sens!$C$630-mw_ye23</f>
        <v>240</v>
      </c>
      <c r="D633" s="36" t="n">
        <f aca="false">Sens!$D$630-Sens!$C$630</f>
        <v>1080</v>
      </c>
      <c r="E633" s="36" t="n">
        <f aca="false">Sens!$E$630-Sens!$D$630</f>
        <v>1587.225</v>
      </c>
      <c r="F633" s="36" t="n">
        <f aca="false">Sens!$F$630-Sens!$E$630</f>
        <v>947.225</v>
      </c>
      <c r="G633" s="36" t="n">
        <f aca="false">Sens!$E$633+Sens!$F$633</f>
        <v>2534.45</v>
      </c>
      <c r="H633" s="36" t="n">
        <f aca="false">Sens!$H$630-Sens!$G$630</f>
        <v>3788.9</v>
      </c>
      <c r="I633" s="36" t="n">
        <f aca="false">Sens!$I$630-Sens!$H$630</f>
        <v>3788.9</v>
      </c>
      <c r="J633" s="36" t="n">
        <f aca="false">Sens!$J$630-Sens!$I$630</f>
        <v>3788.9</v>
      </c>
      <c r="K633" s="36" t="n">
        <f aca="false">Sens!$K$630-Sens!$J$630</f>
        <v>2679.34483333333</v>
      </c>
      <c r="L633" s="36" t="n">
        <f aca="false">Sens!$L$630-Sens!$K$630</f>
        <v>1569.78966666667</v>
      </c>
      <c r="M633" s="36" t="n">
        <f aca="false">Sens!$M$630-Sens!$L$630</f>
        <v>460.234499999999</v>
      </c>
      <c r="N633" s="36" t="n">
        <f aca="false">Sens!$N$630-Sens!$C$630</f>
        <v>810</v>
      </c>
      <c r="O633" s="36" t="n">
        <f aca="false">Sens!$O$630-Sens!$N$630</f>
        <v>270</v>
      </c>
    </row>
    <row r="634" customFormat="false" ht="17.15" hidden="false" customHeight="false" outlineLevel="0" collapsed="false">
      <c r="A634" s="5" t="s">
        <v>650</v>
      </c>
      <c r="B634" s="0" t="s">
        <v>138</v>
      </c>
      <c r="C634" s="36" t="n">
        <f aca="false">Sens!$C$633/ext_sh</f>
        <v>300</v>
      </c>
      <c r="D634" s="36" t="n">
        <f aca="false">Sens!$D$633/ext_sh</f>
        <v>1350</v>
      </c>
      <c r="E634" s="36" t="n">
        <f aca="false">Sens!$E$633/ext_sh</f>
        <v>1984.03125</v>
      </c>
      <c r="F634" s="36" t="n">
        <f aca="false">Sens!$F$633/ext_sh</f>
        <v>1184.03125</v>
      </c>
      <c r="G634" s="36" t="n">
        <f aca="false">Sens!$G$633/ext_sh</f>
        <v>3168.0625</v>
      </c>
      <c r="H634" s="36" t="n">
        <f aca="false">Sens!$H$633/ext_sh</f>
        <v>4736.125</v>
      </c>
      <c r="I634" s="36" t="n">
        <f aca="false">Sens!$I$633/ext_sh</f>
        <v>4736.125</v>
      </c>
      <c r="J634" s="36" t="n">
        <f aca="false">Sens!$J$633/ext_sh</f>
        <v>4736.125</v>
      </c>
      <c r="K634" s="36" t="n">
        <f aca="false">Sens!$K$633/ext_sh</f>
        <v>3349.18104166667</v>
      </c>
      <c r="L634" s="36" t="n">
        <f aca="false">Sens!$L$633/ext_sh</f>
        <v>1962.23708333333</v>
      </c>
      <c r="M634" s="36" t="n">
        <f aca="false">Sens!$M$633/ext_sh</f>
        <v>575.293124999998</v>
      </c>
      <c r="N634" s="36" t="n">
        <f aca="false">Sens!$N$633/ext_sh</f>
        <v>1012.5</v>
      </c>
      <c r="O634" s="36" t="n">
        <f aca="false">Sens!$O$633/ext_sh</f>
        <v>337.5</v>
      </c>
      <c r="P634" s="8" t="s">
        <v>651</v>
      </c>
      <c r="R634" s="36" t="n">
        <f aca="false">mw_ye23/ext_sh</f>
        <v>150</v>
      </c>
      <c r="S634" s="36" t="n">
        <f aca="false">Sens!$C$634</f>
        <v>300</v>
      </c>
      <c r="T634" s="36" t="n">
        <f aca="false">Sens!$D$634</f>
        <v>1350</v>
      </c>
      <c r="U634" s="36" t="n">
        <f aca="false">Sens!$G$634</f>
        <v>3168.0625</v>
      </c>
      <c r="V634" s="36" t="n">
        <f aca="false">Sens!$H$634</f>
        <v>4736.125</v>
      </c>
      <c r="W634" s="36" t="n">
        <f aca="false">Sens!$I$634</f>
        <v>4736.125</v>
      </c>
      <c r="X634" s="36" t="n">
        <f aca="false">Sens!$J$634</f>
        <v>4736.125</v>
      </c>
      <c r="Y634" s="36" t="n">
        <f aca="false">Sens!$K$634</f>
        <v>3349.18104166667</v>
      </c>
      <c r="Z634" s="36" t="n">
        <f aca="false">Sens!$L$634</f>
        <v>1962.23708333333</v>
      </c>
      <c r="AA634" s="36" t="n">
        <f aca="false">Sens!$M$634</f>
        <v>575.293124999998</v>
      </c>
    </row>
    <row r="635" customFormat="false" ht="17.15" hidden="false" customHeight="false" outlineLevel="0" collapsed="false">
      <c r="A635" s="1" t="s">
        <v>652</v>
      </c>
    </row>
    <row r="636" customFormat="false" ht="17.15" hidden="false" customHeight="false" outlineLevel="0" collapsed="false">
      <c r="A636" s="0" t="s">
        <v>653</v>
      </c>
      <c r="B636" s="0" t="s">
        <v>56</v>
      </c>
      <c r="F636" s="22" t="n">
        <f aca="false">na_vr26</f>
        <v>0</v>
      </c>
      <c r="G636" s="22" t="n">
        <f aca="false">na_vr26</f>
        <v>0</v>
      </c>
      <c r="H636" s="22" t="n">
        <f aca="false">na_vr27</f>
        <v>0.5</v>
      </c>
      <c r="I636" s="22" t="n">
        <f aca="false">na_vr28</f>
        <v>1</v>
      </c>
      <c r="J636" s="22" t="n">
        <f aca="false">na_vr28</f>
        <v>1</v>
      </c>
      <c r="K636" s="22" t="n">
        <f aca="false">na_vr28</f>
        <v>1</v>
      </c>
      <c r="L636" s="22" t="n">
        <f aca="false">na_vr28</f>
        <v>1</v>
      </c>
      <c r="M636" s="22" t="n">
        <f aca="false">na_vr28</f>
        <v>1</v>
      </c>
    </row>
    <row r="637" customFormat="false" ht="17.15" hidden="false" customHeight="false" outlineLevel="0" collapsed="false">
      <c r="A637" s="5" t="s">
        <v>654</v>
      </c>
      <c r="B637" s="0" t="s">
        <v>187</v>
      </c>
      <c r="F637" s="21" t="n">
        <f aca="false">cust_sh*tk_he_gb300*cf_chip+(1-cust_sh)*((1-Sens!$F$636)*tk_he_gb300+Sens!$F$636*tk_he_vr200)</f>
        <v>8.76356085669863</v>
      </c>
      <c r="G637" s="21" t="n">
        <f aca="false">cust_sh*tk_he_gb300*cf_chip+(1-cust_sh)*((1-Sens!$G$636)*tk_he_gb300+Sens!$G$636*tk_he_vr200)</f>
        <v>8.76356085669863</v>
      </c>
      <c r="H637" s="21" t="n">
        <f aca="false">cust_sh*tk_he_gb300*cf_chip+(1-cust_sh)*((1-Sens!$H$636)*tk_he_gb300+Sens!$H$636*tk_he_vr200)</f>
        <v>9.09832585731713</v>
      </c>
      <c r="I637" s="21" t="n">
        <f aca="false">cust_sh*tk_he_gb300*cf_chip+(1-cust_sh)*((1-Sens!$I$636)*tk_he_gb300+Sens!$I$636*tk_he_vr200)</f>
        <v>9.43309085793563</v>
      </c>
      <c r="J637" s="21" t="n">
        <f aca="false">cust_sh*tk_he_gb300*cf_chip+(1-cust_sh)*((1-Sens!$J$636)*tk_he_gb300+Sens!$J$636*tk_he_vr200)</f>
        <v>9.43309085793563</v>
      </c>
      <c r="K637" s="21" t="n">
        <f aca="false">cust_sh*tk_he_gb300*cf_chip+(1-cust_sh)*((1-Sens!$K$636)*tk_he_gb300+Sens!$K$636*tk_he_vr200)</f>
        <v>9.43309085793563</v>
      </c>
      <c r="L637" s="21" t="n">
        <f aca="false">cust_sh*tk_he_gb300*cf_chip+(1-cust_sh)*((1-Sens!$L$636)*tk_he_gb300+Sens!$L$636*tk_he_vr200)</f>
        <v>9.43309085793563</v>
      </c>
      <c r="M637" s="21" t="n">
        <f aca="false">cust_sh*tk_he_gb300*cf_chip+(1-cust_sh)*((1-Sens!$M$636)*tk_he_gb300+Sens!$M$636*tk_he_vr200)</f>
        <v>9.43309085793563</v>
      </c>
    </row>
    <row r="638" customFormat="false" ht="17.15" hidden="false" customHeight="false" outlineLevel="0" collapsed="false">
      <c r="A638" s="5" t="s">
        <v>655</v>
      </c>
      <c r="B638" s="0" t="s">
        <v>187</v>
      </c>
      <c r="F638" s="21" t="n">
        <f aca="false">cust_sh*tk_ox_gb300+(1-cust_sh)*((1-Sens!$F$636)*tk_ox_gb300+Sens!$F$636*tk_ox_vr200)</f>
        <v>1.98263481314457</v>
      </c>
      <c r="G638" s="21" t="n">
        <f aca="false">cust_sh*tk_ox_gb300+(1-cust_sh)*((1-Sens!$G$636)*tk_ox_gb300+Sens!$G$636*tk_ox_vr200)</f>
        <v>1.98263481314457</v>
      </c>
      <c r="H638" s="21" t="n">
        <f aca="false">cust_sh*tk_ox_gb300+(1-cust_sh)*((1-Sens!$H$636)*tk_ox_gb300+Sens!$H$636*tk_ox_vr200)</f>
        <v>2.01034999693694</v>
      </c>
      <c r="I638" s="21" t="n">
        <f aca="false">cust_sh*tk_ox_gb300+(1-cust_sh)*((1-Sens!$I$636)*tk_ox_gb300+Sens!$I$636*tk_ox_vr200)</f>
        <v>2.0380651807293</v>
      </c>
      <c r="J638" s="21" t="n">
        <f aca="false">cust_sh*tk_ox_gb300+(1-cust_sh)*((1-Sens!$J$636)*tk_ox_gb300+Sens!$J$636*tk_ox_vr200)</f>
        <v>2.0380651807293</v>
      </c>
      <c r="K638" s="21" t="n">
        <f aca="false">cust_sh*tk_ox_gb300+(1-cust_sh)*((1-Sens!$K$636)*tk_ox_gb300+Sens!$K$636*tk_ox_vr200)</f>
        <v>2.0380651807293</v>
      </c>
      <c r="L638" s="21" t="n">
        <f aca="false">cust_sh*tk_ox_gb300+(1-cust_sh)*((1-Sens!$L$636)*tk_ox_gb300+Sens!$L$636*tk_ox_vr200)</f>
        <v>2.0380651807293</v>
      </c>
      <c r="M638" s="21" t="n">
        <f aca="false">cust_sh*tk_ox_gb300+(1-cust_sh)*((1-Sens!$M$636)*tk_ox_gb300+Sens!$M$636*tk_ox_vr200)</f>
        <v>2.0380651807293</v>
      </c>
    </row>
    <row r="639" customFormat="false" ht="17.15" hidden="false" customHeight="false" outlineLevel="0" collapsed="false">
      <c r="A639" s="5" t="s">
        <v>656</v>
      </c>
      <c r="B639" s="0" t="s">
        <v>206</v>
      </c>
      <c r="F639" s="21" t="n">
        <f aca="false">cust_sh*tk_cx_gb300*cf_cx+(1-cust_sh)*((1-Sens!$F$636)*tk_cx_gb300+Sens!$F$636*tk_cx_vr200)</f>
        <v>25.95096532</v>
      </c>
      <c r="G639" s="21" t="n">
        <f aca="false">cust_sh*tk_cx_gb300*cf_cx+(1-cust_sh)*((1-Sens!$G$636)*tk_cx_gb300+Sens!$G$636*tk_cx_vr200)</f>
        <v>25.95096532</v>
      </c>
      <c r="H639" s="21" t="n">
        <f aca="false">cust_sh*tk_cx_gb300*cf_cx+(1-cust_sh)*((1-Sens!$H$636)*tk_cx_gb300+Sens!$H$636*tk_cx_vr200)</f>
        <v>27.28824732</v>
      </c>
      <c r="I639" s="21" t="n">
        <f aca="false">cust_sh*tk_cx_gb300*cf_cx+(1-cust_sh)*((1-Sens!$I$636)*tk_cx_gb300+Sens!$I$636*tk_cx_vr200)</f>
        <v>28.62552932</v>
      </c>
      <c r="J639" s="21" t="n">
        <f aca="false">cust_sh*tk_cx_gb300*cf_cx+(1-cust_sh)*((1-Sens!$J$636)*tk_cx_gb300+Sens!$J$636*tk_cx_vr200)</f>
        <v>28.62552932</v>
      </c>
      <c r="K639" s="21" t="n">
        <f aca="false">cust_sh*tk_cx_gb300*cf_cx+(1-cust_sh)*((1-Sens!$K$636)*tk_cx_gb300+Sens!$K$636*tk_cx_vr200)</f>
        <v>28.62552932</v>
      </c>
      <c r="L639" s="21" t="n">
        <f aca="false">cust_sh*tk_cx_gb300*cf_cx+(1-cust_sh)*((1-Sens!$L$636)*tk_cx_gb300+Sens!$L$636*tk_cx_vr200)</f>
        <v>28.62552932</v>
      </c>
      <c r="M639" s="21" t="n">
        <f aca="false">cust_sh*tk_cx_gb300*cf_cx+(1-cust_sh)*((1-Sens!$M$636)*tk_cx_gb300+Sens!$M$636*tk_cx_vr200)</f>
        <v>28.62552932</v>
      </c>
    </row>
    <row r="640" customFormat="false" ht="17.15" hidden="false" customHeight="false" outlineLevel="0" collapsed="false">
      <c r="A640" s="5" t="s">
        <v>657</v>
      </c>
      <c r="B640" s="0" t="s">
        <v>138</v>
      </c>
      <c r="E640" s="36" t="n">
        <f aca="false">Sens!$E$630-mw_open</f>
        <v>947.225</v>
      </c>
      <c r="F640" s="36" t="n">
        <f aca="false">Sens!$F$630-mw_open</f>
        <v>1894.45</v>
      </c>
      <c r="G640" s="36" t="n">
        <f aca="false">Sens!$F$640</f>
        <v>1894.45</v>
      </c>
      <c r="H640" s="36" t="n">
        <f aca="false">Sens!$H$630-mw_open</f>
        <v>5683.35</v>
      </c>
      <c r="I640" s="36" t="n">
        <f aca="false">Sens!$I$630-mw_open</f>
        <v>9472.25</v>
      </c>
      <c r="J640" s="36" t="n">
        <f aca="false">Sens!$J$630-mw_open</f>
        <v>13261.15</v>
      </c>
      <c r="K640" s="36" t="n">
        <f aca="false">Sens!$K$630-mw_open</f>
        <v>15940.4948333333</v>
      </c>
      <c r="L640" s="36" t="n">
        <f aca="false">Sens!$L$630-mw_open</f>
        <v>17510.2845</v>
      </c>
      <c r="M640" s="36" t="n">
        <f aca="false">Sens!$M$630-mw_open</f>
        <v>17970.519</v>
      </c>
    </row>
    <row r="641" customFormat="false" ht="17.15" hidden="false" customHeight="false" outlineLevel="0" collapsed="false">
      <c r="A641" s="0" t="s">
        <v>658</v>
      </c>
      <c r="B641" s="0" t="s">
        <v>659</v>
      </c>
      <c r="E641" s="36" t="n">
        <f aca="false">Sens!$E$640*Sens!$F$637</f>
        <v>8301.06393248636</v>
      </c>
      <c r="F641" s="36" t="n">
        <f aca="false">Sens!$E$641+Sens!$F$633*Sens!$F$637</f>
        <v>16602.1278649727</v>
      </c>
      <c r="G641" s="36" t="n">
        <f aca="false">Sens!$F$641</f>
        <v>16602.1278649727</v>
      </c>
      <c r="H641" s="36" t="n">
        <f aca="false">Sens!$G$641+Sens!$H$633*Sens!$H$637</f>
        <v>51074.7747057616</v>
      </c>
      <c r="I641" s="36" t="n">
        <f aca="false">Sens!$H$641+Sens!$I$633*Sens!$I$637</f>
        <v>86815.8126573939</v>
      </c>
      <c r="J641" s="36" t="n">
        <f aca="false">Sens!$I$641+Sens!$J$633*Sens!$J$637</f>
        <v>122556.850609026</v>
      </c>
      <c r="K641" s="36" t="n">
        <f aca="false">Sens!$J$641+Sens!$K$633*Sens!$K$637</f>
        <v>147831.3538616</v>
      </c>
      <c r="L641" s="36" t="n">
        <f aca="false">Sens!$K$641+Sens!$L$633*Sens!$L$637</f>
        <v>162639.322415115</v>
      </c>
      <c r="M641" s="36" t="n">
        <f aca="false">Sens!$L$641+Sens!$M$633*Sens!$M$637</f>
        <v>166980.756269572</v>
      </c>
    </row>
    <row r="642" customFormat="false" ht="17.15" hidden="false" customHeight="false" outlineLevel="0" collapsed="false">
      <c r="A642" s="0" t="s">
        <v>660</v>
      </c>
      <c r="B642" s="0" t="s">
        <v>659</v>
      </c>
      <c r="E642" s="36" t="n">
        <f aca="false">Sens!$E$640*Sens!$F$638</f>
        <v>1878.00126088087</v>
      </c>
      <c r="F642" s="36" t="n">
        <f aca="false">Sens!$E$642+Sens!$F$633*Sens!$F$638</f>
        <v>3756.00252176173</v>
      </c>
      <c r="G642" s="36" t="n">
        <f aca="false">Sens!$F$642</f>
        <v>3756.00252176173</v>
      </c>
      <c r="H642" s="36" t="n">
        <f aca="false">Sens!$G$642+Sens!$H$633*Sens!$H$638</f>
        <v>11373.0176251561</v>
      </c>
      <c r="I642" s="36" t="n">
        <f aca="false">Sens!$H$642+Sens!$I$633*Sens!$I$638</f>
        <v>19095.0427884213</v>
      </c>
      <c r="J642" s="36" t="n">
        <f aca="false">Sens!$I$642+Sens!$J$633*Sens!$J$638</f>
        <v>26817.0679516866</v>
      </c>
      <c r="K642" s="36" t="n">
        <f aca="false">Sens!$J$642+Sens!$K$633*Sens!$K$638</f>
        <v>32277.7473636702</v>
      </c>
      <c r="L642" s="36" t="n">
        <f aca="false">Sens!$K$642+Sens!$L$633*Sens!$L$638</f>
        <v>35477.0810243722</v>
      </c>
      <c r="M642" s="36" t="n">
        <f aca="false">Sens!$L$642+Sens!$M$633*Sens!$M$638</f>
        <v>36415.0689337925</v>
      </c>
    </row>
    <row r="643" customFormat="false" ht="17.15" hidden="false" customHeight="false" outlineLevel="0" collapsed="false">
      <c r="A643" s="5" t="s">
        <v>661</v>
      </c>
      <c r="B643" s="0" t="s">
        <v>187</v>
      </c>
      <c r="F643" s="21" t="n">
        <f aca="false">IF(Sens!$F$640&gt;0,Sens!$F$641/Sens!$F$640,Sens!$F$637)</f>
        <v>8.76356085669863</v>
      </c>
      <c r="G643" s="21" t="n">
        <f aca="false">IF(Sens!$G$640&gt;0,Sens!$G$641/Sens!$G$640,Sens!$G$637)</f>
        <v>8.76356085669863</v>
      </c>
      <c r="H643" s="21" t="n">
        <f aca="false">IF(Sens!$H$640&gt;0,Sens!$H$641/Sens!$H$640,Sens!$H$637)</f>
        <v>8.98673752377763</v>
      </c>
      <c r="I643" s="21" t="n">
        <f aca="false">IF(Sens!$I$640&gt;0,Sens!$I$641/Sens!$I$640,Sens!$I$637)</f>
        <v>9.16527885744083</v>
      </c>
      <c r="J643" s="21" t="n">
        <f aca="false">IF(Sens!$J$640&gt;0,Sens!$J$641/Sens!$J$640,Sens!$J$637)</f>
        <v>9.24179657186792</v>
      </c>
      <c r="K643" s="21" t="n">
        <f aca="false">IF(Sens!$K$640&gt;0,Sens!$K$641/Sens!$K$640,Sens!$K$637)</f>
        <v>9.27395011304594</v>
      </c>
      <c r="L643" s="21" t="n">
        <f aca="false">IF(Sens!$L$640&gt;0,Sens!$L$641/Sens!$L$640,Sens!$L$637)</f>
        <v>9.28821701412762</v>
      </c>
      <c r="M643" s="21" t="n">
        <f aca="false">IF(Sens!$M$640&gt;0,Sens!$M$641/Sens!$M$640,Sens!$M$637)</f>
        <v>9.29192730992197</v>
      </c>
    </row>
    <row r="644" customFormat="false" ht="17.15" hidden="false" customHeight="false" outlineLevel="0" collapsed="false">
      <c r="A644" s="5" t="s">
        <v>662</v>
      </c>
      <c r="B644" s="0" t="s">
        <v>187</v>
      </c>
      <c r="F644" s="21" t="n">
        <f aca="false">IF(Sens!$F$640&gt;0,Sens!$F$642/Sens!$F$640,Sens!$F$638)</f>
        <v>1.98263481314457</v>
      </c>
      <c r="G644" s="21" t="n">
        <f aca="false">IF(Sens!$G$640&gt;0,Sens!$G$642/Sens!$G$640,Sens!$G$638)</f>
        <v>1.98263481314457</v>
      </c>
      <c r="H644" s="21" t="n">
        <f aca="false">IF(Sens!$H$640&gt;0,Sens!$H$642/Sens!$H$640,Sens!$H$638)</f>
        <v>2.00111160233948</v>
      </c>
      <c r="I644" s="21" t="n">
        <f aca="false">IF(Sens!$I$640&gt;0,Sens!$I$642/Sens!$I$640,Sens!$I$638)</f>
        <v>2.01589303369541</v>
      </c>
      <c r="J644" s="21" t="n">
        <f aca="false">IF(Sens!$J$640&gt;0,Sens!$J$642/Sens!$J$640,Sens!$J$638)</f>
        <v>2.02222793284795</v>
      </c>
      <c r="K644" s="21" t="n">
        <f aca="false">IF(Sens!$K$640&gt;0,Sens!$K$642/Sens!$K$640,Sens!$K$638)</f>
        <v>2.02488992350312</v>
      </c>
      <c r="L644" s="21" t="n">
        <f aca="false">IF(Sens!$L$640&gt;0,Sens!$L$642/Sens!$L$640,Sens!$L$638)</f>
        <v>2.02607107979155</v>
      </c>
      <c r="M644" s="21" t="n">
        <f aca="false">IF(Sens!$M$640&gt;0,Sens!$M$642/Sens!$M$640,Sens!$M$638)</f>
        <v>2.02637825506278</v>
      </c>
    </row>
    <row r="645" customFormat="false" ht="17.15" hidden="false" customHeight="false" outlineLevel="0" collapsed="false">
      <c r="A645" s="15" t="s">
        <v>663</v>
      </c>
      <c r="B645" s="14" t="s">
        <v>187</v>
      </c>
      <c r="C645" s="14"/>
      <c r="D645" s="14"/>
      <c r="E645" s="14"/>
      <c r="F645" s="39" t="n">
        <f aca="false">Sens!$F$643*k_C</f>
        <v>7.22929990288593</v>
      </c>
      <c r="G645" s="39" t="n">
        <f aca="false">Sens!$G$643*k_C</f>
        <v>7.22929990288593</v>
      </c>
      <c r="H645" s="39" t="n">
        <f aca="false">Sens!$H$643*k_C</f>
        <v>7.41340441063375</v>
      </c>
      <c r="I645" s="39" t="n">
        <f aca="false">Sens!$I$643*k_C</f>
        <v>7.56068801683202</v>
      </c>
      <c r="J645" s="39" t="n">
        <f aca="false">Sens!$J$643*k_C</f>
        <v>7.62380956234556</v>
      </c>
      <c r="K645" s="39" t="n">
        <f aca="false">Sens!$K$643*k_C</f>
        <v>7.65033389371231</v>
      </c>
      <c r="L645" s="39" t="n">
        <f aca="false">Sens!$L$643*k_C</f>
        <v>7.66210304877276</v>
      </c>
      <c r="M645" s="39" t="n">
        <f aca="false">Sens!$M$643*k_C</f>
        <v>7.66516377277119</v>
      </c>
      <c r="N645" s="14"/>
      <c r="O645" s="14"/>
      <c r="P645" s="8" t="s">
        <v>664</v>
      </c>
    </row>
    <row r="646" customFormat="false" ht="17.15" hidden="false" customHeight="false" outlineLevel="0" collapsed="false">
      <c r="A646" s="5" t="s">
        <v>665</v>
      </c>
      <c r="B646" s="0" t="s">
        <v>138</v>
      </c>
      <c r="F646" s="36" t="n">
        <f aca="false">(Sens!$E$640+Sens!$F$640)/2</f>
        <v>1420.8375</v>
      </c>
      <c r="H646" s="36" t="n">
        <f aca="false">(Sens!$G$640+Sens!$H$640)/2</f>
        <v>3788.9</v>
      </c>
      <c r="I646" s="36" t="n">
        <f aca="false">(Sens!$H$640+Sens!$I$640)/2</f>
        <v>7577.8</v>
      </c>
      <c r="J646" s="36" t="n">
        <f aca="false">(Sens!$I$640+Sens!$J$640)/2</f>
        <v>11366.7</v>
      </c>
      <c r="K646" s="36" t="n">
        <f aca="false">(Sens!$J$640+Sens!$K$640)/2</f>
        <v>14600.8224166667</v>
      </c>
      <c r="L646" s="36" t="n">
        <f aca="false">(Sens!$K$640+Sens!$L$640)/2</f>
        <v>16725.3896666667</v>
      </c>
      <c r="M646" s="36" t="n">
        <f aca="false">(Sens!$L$640+Sens!$M$640)/2</f>
        <v>17740.40175</v>
      </c>
    </row>
    <row r="647" customFormat="false" ht="17.15" hidden="false" customHeight="false" outlineLevel="0" collapsed="false">
      <c r="A647" s="1" t="s">
        <v>666</v>
      </c>
    </row>
    <row r="648" customFormat="false" ht="17.15" hidden="false" customHeight="false" outlineLevel="0" collapsed="false">
      <c r="A648" s="1" t="s">
        <v>667</v>
      </c>
      <c r="B648" s="8" t="s">
        <v>91</v>
      </c>
      <c r="C648" s="40" t="n">
        <f aca="false">Sens!$C$631*rpm_open*Sens!$C$632/1000</f>
        <v>2.32100535697364</v>
      </c>
      <c r="D648" s="40" t="n">
        <f aca="false">Sens!$D$631*rpm_open*Sens!$D$632/1000</f>
        <v>8.70377008865116</v>
      </c>
      <c r="E648" s="40" t="n">
        <f aca="false">Sens!$E$631*rpm_open*Sens!$E$632/1000</f>
        <v>16.2007080559478</v>
      </c>
      <c r="F648" s="40" t="n">
        <f aca="false">(mw_open*rpm_open+Sens!$F$646*Sens!$F$645)*Sens!$F$632/1000</f>
        <v>7.59676004030123</v>
      </c>
      <c r="G648" s="40" t="n">
        <f aca="false">Sens!$E$648+Sens!$F$648</f>
        <v>23.797468096249</v>
      </c>
      <c r="H648" s="40" t="n">
        <f aca="false">(mw_open*rpm_open+Sens!$H$646*Sens!$H$645)/1000</f>
        <v>48.2040277318885</v>
      </c>
      <c r="I648" s="40" t="n">
        <f aca="false">(mw_open*rpm_open+Sens!$I$646*Sens!$I$645)/1000</f>
        <v>77.4087614143879</v>
      </c>
      <c r="J648" s="40" t="n">
        <f aca="false">(mw_open*rpm_open+Sens!$J$646*Sens!$J$645)/1000</f>
        <v>106.772935912751</v>
      </c>
      <c r="K648" s="40" t="n">
        <f aca="false">(mw_open*rpm_open+Sens!$K$646*Sens!$K$645)/1000</f>
        <v>131.816546370738</v>
      </c>
      <c r="L648" s="40" t="n">
        <f aca="false">(mw_open*rpm_open+Sens!$L$646*Sens!$L$645)/1000</f>
        <v>148.267038917317</v>
      </c>
      <c r="M648" s="40" t="n">
        <f aca="false">(mw_open*rpm_open+Sens!$M$646*Sens!$M$645)/1000</f>
        <v>156.098464568945</v>
      </c>
      <c r="N648" s="40" t="n">
        <f aca="false">Sens!$N$631*rpm_open*Sens!$N$632/1000</f>
        <v>5.54865343151512</v>
      </c>
      <c r="O648" s="40" t="n">
        <f aca="false">Sens!$O$631*rpm_open*Sens!$O$632/1000</f>
        <v>3.15511665713605</v>
      </c>
      <c r="P648" s="5" t="s">
        <v>668</v>
      </c>
    </row>
    <row r="649" customFormat="false" ht="17.15" hidden="false" customHeight="false" outlineLevel="0" collapsed="false">
      <c r="A649" s="5" t="s">
        <v>669</v>
      </c>
      <c r="B649" s="0" t="s">
        <v>187</v>
      </c>
      <c r="C649" s="21" t="n">
        <f aca="false">Sens!$C$648*1000/(Sens!$C$631*Sens!$C$632)</f>
        <v>9.67085565405685</v>
      </c>
      <c r="D649" s="21" t="n">
        <f aca="false">Sens!$D$648*1000/(Sens!$D$631*Sens!$D$632)</f>
        <v>9.67085565405685</v>
      </c>
      <c r="E649" s="21" t="n">
        <f aca="false">Sens!$E$648*1000/(Sens!$E$631*Sens!$E$632)</f>
        <v>9.67085565405684</v>
      </c>
      <c r="F649" s="21" t="n">
        <f aca="false">Sens!$F$648*1000/(Sens!$F$631*Sens!$F$632)</f>
        <v>8.67993449030551</v>
      </c>
      <c r="G649" s="21" t="n">
        <f aca="false">Sens!$G$648*1000/(Sens!$G$631*Sens!$G$632)</f>
        <v>9.33080816483529</v>
      </c>
      <c r="H649" s="21" t="n">
        <f aca="false">Sens!$H$648*1000/(Sens!$H$631*Sens!$H$632)</f>
        <v>8.21346891783613</v>
      </c>
      <c r="I649" s="21" t="n">
        <f aca="false">Sens!$I$648*1000/(Sens!$I$631*Sens!$I$632)</f>
        <v>8.01515473652259</v>
      </c>
      <c r="J649" s="21" t="n">
        <f aca="false">Sens!$J$648*1000/(Sens!$J$631*Sens!$J$632)</f>
        <v>7.94045646238493</v>
      </c>
      <c r="K649" s="21" t="n">
        <f aca="false">Sens!$K$648*1000/(Sens!$K$631*Sens!$K$632)</f>
        <v>7.90228101937186</v>
      </c>
      <c r="L649" s="21" t="n">
        <f aca="false">Sens!$L$648*1000/(Sens!$L$631*Sens!$L$632)</f>
        <v>7.88428432196366</v>
      </c>
      <c r="M649" s="21" t="n">
        <f aca="false">Sens!$M$648*1000/(Sens!$M$631*Sens!$M$632)</f>
        <v>7.87564583896211</v>
      </c>
      <c r="N649" s="21" t="n">
        <f aca="false">Sens!$N$648*1000/(Sens!$N$631*Sens!$N$632)</f>
        <v>9.67085565405685</v>
      </c>
      <c r="O649" s="21" t="n">
        <f aca="false">Sens!$O$648*1000/(Sens!$O$631*Sens!$O$632)</f>
        <v>9.67085565405685</v>
      </c>
    </row>
    <row r="650" customFormat="false" ht="17.15" hidden="false" customHeight="false" outlineLevel="0" collapsed="false">
      <c r="A650" s="0" t="s">
        <v>670</v>
      </c>
      <c r="B650" s="0" t="s">
        <v>91</v>
      </c>
      <c r="C650" s="40" t="n">
        <f aca="false">Sens!$C$631/ext_sh*(ox_open+rent_mw)*Sens!$C$632/1000</f>
        <v>0.642569210675032</v>
      </c>
      <c r="D650" s="40" t="n">
        <f aca="false">Sens!$D$631/ext_sh*(ox_open+rent_mw)*Sens!$D$632/1000</f>
        <v>2.40963454003137</v>
      </c>
      <c r="E650" s="40" t="n">
        <f aca="false">Sens!$E$631/ext_sh*(ox_open+rent_mw)*Sens!$E$632/1000</f>
        <v>4.48515819087152</v>
      </c>
      <c r="F650" s="40" t="n">
        <f aca="false">((mw_open*ox_open+Sens!$F$646*Sens!$F$644)/ext_sh+Sens!$F$631/ext_sh*rent_mw)*Sens!$F$632/1000</f>
        <v>2.38505895036506</v>
      </c>
      <c r="G650" s="40" t="n">
        <f aca="false">Sens!$E$650+Sens!$F$650</f>
        <v>6.87021714123658</v>
      </c>
      <c r="H650" s="40" t="n">
        <f aca="false">((mw_open*ox_open+Sens!$H$646*Sens!$H$644)/ext_sh+Sens!$H$631/ext_sh*rent_mw)*Sens!$H$632/1000</f>
        <v>16.2465819218137</v>
      </c>
      <c r="I650" s="40" t="n">
        <f aca="false">((mw_open*ox_open+Sens!$I$646*Sens!$I$644)/ext_sh+Sens!$I$631/ext_sh*rent_mw)*Sens!$I$632/1000</f>
        <v>27.0642440976049</v>
      </c>
      <c r="J650" s="40" t="n">
        <f aca="false">((mw_open*ox_open+Sens!$J$646*Sens!$J$644)/ext_sh+Sens!$J$631/ext_sh*rent_mw)*Sens!$J$632/1000</f>
        <v>37.9019081895621</v>
      </c>
      <c r="K650" s="40" t="n">
        <f aca="false">((mw_open*ox_open+Sens!$K$646*Sens!$K$644)/ext_sh+Sens!$K$631/ext_sh*rent_mw)*Sens!$K$632/1000</f>
        <v>47.1500663926213</v>
      </c>
      <c r="L650" s="40" t="n">
        <f aca="false">((mw_open*ox_open+Sens!$L$646*Sens!$L$644)/ext_sh+Sens!$L$631/ext_sh*rent_mw)*Sens!$L$632/1000</f>
        <v>53.2252357134474</v>
      </c>
      <c r="M650" s="40" t="n">
        <f aca="false">((mw_open*ox_open+Sens!$M$646*Sens!$M$644)/ext_sh+Sens!$M$631/ext_sh*rent_mw)*Sens!$M$632/1000</f>
        <v>56.1241608413432</v>
      </c>
      <c r="N650" s="40" t="n">
        <f aca="false">Sens!$N$631/ext_sh*(ox_open+rent_mw)*Sens!$N$632/1000</f>
        <v>1.53614201927</v>
      </c>
      <c r="O650" s="40" t="n">
        <f aca="false">Sens!$O$631/ext_sh*(ox_open+rent_mw)*Sens!$O$632/1000</f>
        <v>0.873492520761372</v>
      </c>
    </row>
    <row r="651" customFormat="false" ht="17.15" hidden="false" customHeight="false" outlineLevel="0" collapsed="false">
      <c r="A651" s="0" t="s">
        <v>671</v>
      </c>
      <c r="B651" s="0" t="s">
        <v>91</v>
      </c>
      <c r="C651" s="40" t="n">
        <f aca="false">Q!$D$7</f>
        <v>107.556</v>
      </c>
      <c r="D651" s="40" t="n">
        <f aca="false">Q!$E$7</f>
        <v>128.725</v>
      </c>
      <c r="E651" s="40" t="n">
        <f aca="false">Q!$O$7</f>
        <v>125.803</v>
      </c>
      <c r="N651" s="40" t="n">
        <f aca="false">Q!$N$7</f>
        <v>93.146</v>
      </c>
      <c r="O651" s="40" t="n">
        <f aca="false">Q!$J$7</f>
        <v>35.579</v>
      </c>
    </row>
    <row r="652" customFormat="false" ht="17.15" hidden="false" customHeight="false" outlineLevel="0" collapsed="false">
      <c r="A652" s="1" t="s">
        <v>672</v>
      </c>
      <c r="B652" s="8" t="s">
        <v>91</v>
      </c>
      <c r="C652" s="40" t="n">
        <f aca="false">Sens!$C$651-Sens!$C$648</f>
        <v>105.234994643026</v>
      </c>
      <c r="D652" s="40" t="n">
        <f aca="false">Sens!$D$651-Sens!$D$648</f>
        <v>120.021229911349</v>
      </c>
      <c r="E652" s="40" t="n">
        <f aca="false">Sens!$E$651-Sens!$E$648</f>
        <v>109.602291944052</v>
      </c>
      <c r="F652" s="40" t="n">
        <f aca="false">Sens!$O$652*(1+Sens!$F$653)</f>
        <v>36.9796603355509</v>
      </c>
      <c r="G652" s="40" t="n">
        <f aca="false">Sens!$E$652+Sens!$F$652</f>
        <v>146.581952279603</v>
      </c>
      <c r="H652" s="40" t="n">
        <f aca="false">Sens!$G$652*(1+Sens!$H$653)</f>
        <v>164.960415168217</v>
      </c>
      <c r="I652" s="40" t="n">
        <f aca="false">Sens!$H$652*(1+Sens!$I$653)</f>
        <v>183.1478640969</v>
      </c>
      <c r="J652" s="40" t="n">
        <f aca="false">Sens!$I$652*(1+Sens!$J$653)</f>
        <v>200.570117292268</v>
      </c>
      <c r="K652" s="40" t="n">
        <f aca="false">Sens!$J$652*(1+Sens!$K$653)</f>
        <v>216.615726675649</v>
      </c>
      <c r="L652" s="40" t="n">
        <f aca="false">Sens!$K$652*(1+Sens!$L$653)</f>
        <v>233.944984809701</v>
      </c>
      <c r="M652" s="40" t="n">
        <f aca="false">Sens!$L$652*(1+Sens!$M$653)</f>
        <v>252.660583594477</v>
      </c>
      <c r="N652" s="40" t="n">
        <f aca="false">Sens!$N$651-Sens!$N$648</f>
        <v>87.5973465684849</v>
      </c>
      <c r="O652" s="40" t="n">
        <f aca="false">Sens!$O$651-Sens!$O$648</f>
        <v>32.423883342864</v>
      </c>
      <c r="P652" s="5" t="s">
        <v>673</v>
      </c>
    </row>
    <row r="653" customFormat="false" ht="17.15" hidden="false" customHeight="false" outlineLevel="0" collapsed="false">
      <c r="A653" s="0" t="s">
        <v>674</v>
      </c>
      <c r="B653" s="0" t="s">
        <v>56</v>
      </c>
      <c r="D653" s="13" t="n">
        <f aca="false">Sens!$D$652/Sens!$C$652-1</f>
        <v>0.140506827776062</v>
      </c>
      <c r="E653" s="13" t="n">
        <f aca="false">Sens!$E$652/Sens!$N$652-1</f>
        <v>0.251205615667405</v>
      </c>
      <c r="F653" s="13" t="n">
        <f aca="false">IF(awso_g0=1,Sens!$E$653,Sens!$D$653)</f>
        <v>0.140506827776062</v>
      </c>
      <c r="G653" s="13" t="n">
        <f aca="false">Sens!$G$652/Sens!$D$652-1</f>
        <v>0.221300201538284</v>
      </c>
      <c r="H653" s="13" t="n">
        <f aca="false">Sens!$F$653+(g_awso_lt-Sens!$F$653)*1/4</f>
        <v>0.125380120832046</v>
      </c>
      <c r="I653" s="13" t="n">
        <f aca="false">Sens!$F$653+(g_awso_lt-Sens!$F$653)*2/4</f>
        <v>0.110253413888031</v>
      </c>
      <c r="J653" s="13" t="n">
        <f aca="false">Sens!$F$653+(g_awso_lt-Sens!$F$653)*3/4</f>
        <v>0.0951267069440154</v>
      </c>
      <c r="K653" s="13" t="n">
        <f aca="false">Sens!$F$653+(g_awso_lt-Sens!$F$653)*4/4</f>
        <v>0.08</v>
      </c>
      <c r="L653" s="13" t="n">
        <f aca="false">g_awso_lt</f>
        <v>0.08</v>
      </c>
      <c r="M653" s="13" t="n">
        <f aca="false">g_awso_lt</f>
        <v>0.08</v>
      </c>
      <c r="P653" s="5" t="s">
        <v>675</v>
      </c>
    </row>
    <row r="654" customFormat="false" ht="17.15" hidden="false" customHeight="false" outlineLevel="0" collapsed="false">
      <c r="A654" s="1" t="s">
        <v>676</v>
      </c>
    </row>
    <row r="655" customFormat="false" ht="17.15" hidden="false" customHeight="false" outlineLevel="0" collapsed="false">
      <c r="A655" s="0" t="s">
        <v>677</v>
      </c>
      <c r="B655" s="0" t="s">
        <v>91</v>
      </c>
      <c r="F655" s="40" t="n">
        <f aca="false">cx_rt*Sens!$F$620+cx_awso*Sens!$F$652</f>
        <v>19.116380716836</v>
      </c>
    </row>
    <row r="656" customFormat="false" ht="17.15" hidden="false" customHeight="false" outlineLevel="0" collapsed="false">
      <c r="A656" s="0" t="s">
        <v>678</v>
      </c>
      <c r="B656" s="0" t="s">
        <v>56</v>
      </c>
      <c r="C656" s="13" t="n">
        <f aca="false">tk_cx_h100/(tk_cx_h100+tk_fac*(1-colo_sh))</f>
        <v>0.730756458006641</v>
      </c>
      <c r="D656" s="13" t="n">
        <f aca="false">tk_cx_h100/(tk_cx_h100+tk_fac*(1-colo_sh))</f>
        <v>0.730756458006641</v>
      </c>
      <c r="E656" s="13" t="n">
        <f aca="false">Sens!$F$656</f>
        <v>0.719122960046118</v>
      </c>
      <c r="F656" s="13" t="n">
        <f aca="false">Sens!$F$639/(Sens!$F$639+tk_fac*(1-colo_sh))</f>
        <v>0.719122960046118</v>
      </c>
      <c r="G656" s="13" t="n">
        <f aca="false">Sens!$G$639/(Sens!$G$639+tk_fac*(1-colo_sh))</f>
        <v>0.719122960046118</v>
      </c>
      <c r="H656" s="13" t="n">
        <f aca="false">Sens!$H$639/(Sens!$H$639+tk_fac*(1-colo_sh))</f>
        <v>0.729159549600796</v>
      </c>
      <c r="I656" s="13" t="n">
        <f aca="false">Sens!$I$639/(Sens!$I$639+tk_fac*(1-colo_sh))</f>
        <v>0.738503609691941</v>
      </c>
      <c r="J656" s="13" t="n">
        <f aca="false">Sens!$J$639/(Sens!$J$639+tk_fac*(1-colo_sh))</f>
        <v>0.738503609691941</v>
      </c>
      <c r="K656" s="13" t="n">
        <f aca="false">Sens!$K$639/(Sens!$K$639+tk_fac*(1-colo_sh))</f>
        <v>0.738503609691941</v>
      </c>
      <c r="L656" s="13" t="n">
        <f aca="false">Sens!$L$639/(Sens!$L$639+tk_fac*(1-colo_sh))</f>
        <v>0.738503609691941</v>
      </c>
      <c r="M656" s="13" t="n">
        <f aca="false">Sens!$M$639/(Sens!$M$639+tk_fac*(1-colo_sh))</f>
        <v>0.738503609691941</v>
      </c>
    </row>
    <row r="657" customFormat="false" ht="17.15" hidden="false" customHeight="false" outlineLevel="0" collapsed="false">
      <c r="A657" s="1" t="s">
        <v>679</v>
      </c>
      <c r="B657" s="8" t="s">
        <v>91</v>
      </c>
      <c r="C657" s="40" t="n">
        <f aca="false">Q!$D$48-cx_rt*Q!$D$16-cx_awso*Sens!$C$652</f>
        <v>25.2781053077374</v>
      </c>
      <c r="D657" s="40" t="n">
        <f aca="false">Q!$E$48-cx_rt*Q!$E$16-cx_awso*Sens!$D$652</f>
        <v>69.5686316310026</v>
      </c>
      <c r="E657" s="40" t="n">
        <f aca="false">Q!$O$48-cx_rt*Q!$O$16-cx_awso*Sens!$E$652</f>
        <v>123.196049161056</v>
      </c>
      <c r="F657" s="40" t="n">
        <f aca="false">capex_g26-Q!$O$48-Sens!$F$655</f>
        <v>28.695619283164</v>
      </c>
      <c r="G657" s="40" t="n">
        <f aca="false">Sens!$E$657+Sens!$F$657</f>
        <v>151.89166844422</v>
      </c>
      <c r="H657" s="40" t="n">
        <f aca="false">Sens!$H$634*(Sens!$H$639+tk_fac*(1-colo_sh))/1000+Sens!$H$661</f>
        <v>177.245913338435</v>
      </c>
      <c r="I657" s="40" t="n">
        <f aca="false">Sens!$I$634*(Sens!$I$639+tk_fac*(1-colo_sh))/1000+Sens!$I$661</f>
        <v>183.579448050685</v>
      </c>
      <c r="J657" s="40" t="n">
        <f aca="false">Sens!$J$634*(Sens!$J$639+tk_fac*(1-colo_sh))/1000+Sens!$J$661</f>
        <v>187.873277448685</v>
      </c>
      <c r="K657" s="40" t="n">
        <f aca="false">Sens!$K$634*(Sens!$K$639+tk_fac*(1-colo_sh))/1000+Sens!$K$661</f>
        <v>138.407037940551</v>
      </c>
      <c r="L657" s="40" t="n">
        <f aca="false">Sens!$L$634*(Sens!$L$639+tk_fac*(1-colo_sh))/1000+Sens!$L$661</f>
        <v>114.703774820416</v>
      </c>
      <c r="M657" s="40" t="n">
        <f aca="false">Sens!$M$634*(Sens!$M$639+tk_fac*(1-colo_sh))/1000+Sens!$M$661</f>
        <v>112.986707313624</v>
      </c>
      <c r="P657" s="5" t="s">
        <v>680</v>
      </c>
      <c r="R657" s="40" t="n">
        <f aca="false">Q!$C$48-cx_rt*Q!$C$16-cx_awso*(Q!$C$7-mw_ye23/2*rpm_open/1000)</f>
        <v>1.50429979529945</v>
      </c>
      <c r="S657" s="40" t="n">
        <f aca="false">Sens!$C$657</f>
        <v>25.2781053077374</v>
      </c>
      <c r="T657" s="40" t="n">
        <f aca="false">Sens!$D$657</f>
        <v>69.5686316310026</v>
      </c>
      <c r="U657" s="40" t="n">
        <f aca="false">Sens!$G$657</f>
        <v>151.89166844422</v>
      </c>
      <c r="V657" s="40" t="n">
        <f aca="false">Sens!$H$657</f>
        <v>177.245913338435</v>
      </c>
      <c r="W657" s="40" t="n">
        <f aca="false">Sens!$I$657</f>
        <v>183.579448050685</v>
      </c>
      <c r="X657" s="40" t="n">
        <f aca="false">Sens!$J$657</f>
        <v>187.873277448685</v>
      </c>
      <c r="Y657" s="40" t="n">
        <f aca="false">Sens!$K$657</f>
        <v>138.407037940551</v>
      </c>
      <c r="Z657" s="40" t="n">
        <f aca="false">Sens!$L$657</f>
        <v>114.703774820416</v>
      </c>
      <c r="AA657" s="40" t="n">
        <f aca="false">Sens!$M$657</f>
        <v>112.986707313624</v>
      </c>
    </row>
    <row r="658" customFormat="false" ht="17.15" hidden="false" customHeight="false" outlineLevel="0" collapsed="false">
      <c r="A658" s="0" t="s">
        <v>681</v>
      </c>
      <c r="B658" s="0" t="s">
        <v>91</v>
      </c>
      <c r="F658" s="40" t="n">
        <f aca="false">Sens!$F$634*(Sens!$F$639+tk_fac*(1-colo_sh))/1000</f>
        <v>42.7280946565462</v>
      </c>
    </row>
    <row r="659" customFormat="false" ht="17.15" hidden="false" customHeight="false" outlineLevel="0" collapsed="false">
      <c r="A659" s="0" t="s">
        <v>682</v>
      </c>
      <c r="B659" s="0" t="s">
        <v>91</v>
      </c>
      <c r="F659" s="40" t="n">
        <f aca="false">(capex_g26-Q!$P$48)/2-(Sens!$F$658+Sens!$F$655)</f>
        <v>0.000524626617739443</v>
      </c>
      <c r="P659" s="5" t="s">
        <v>683</v>
      </c>
    </row>
    <row r="660" customFormat="false" ht="17.15" hidden="false" customHeight="false" outlineLevel="0" collapsed="false">
      <c r="A660" s="5" t="s">
        <v>684</v>
      </c>
      <c r="B660" s="0" t="s">
        <v>91</v>
      </c>
      <c r="F660" s="40" t="n">
        <f aca="false">Sens!$F$657-Sens!$F$658</f>
        <v>-14.0324753733822</v>
      </c>
    </row>
    <row r="661" customFormat="false" ht="17.15" hidden="false" customHeight="false" outlineLevel="0" collapsed="false">
      <c r="A661" s="0" t="s">
        <v>685</v>
      </c>
      <c r="B661" s="0" t="s">
        <v>91</v>
      </c>
      <c r="H661" s="40" t="n">
        <f aca="false">SUMPRODUCT(--(Sens!$R$627:$AA$627=2027-tk_life),Sens!$R$634:$AA$634)*Sens!$H$639/1000</f>
        <v>0</v>
      </c>
      <c r="I661" s="40" t="n">
        <f aca="false">SUMPRODUCT(--(Sens!$R$627:$AA$627=2028-tk_life),Sens!$R$634:$AA$634)*Sens!$I$639/1000</f>
        <v>0</v>
      </c>
      <c r="J661" s="40" t="n">
        <f aca="false">SUMPRODUCT(--(Sens!$R$627:$AA$627=2029-tk_life),Sens!$R$634:$AA$634)*Sens!$J$639/1000</f>
        <v>4.293829398</v>
      </c>
      <c r="K661" s="40" t="n">
        <f aca="false">SUMPRODUCT(--(Sens!$R$627:$AA$627=2030-tk_life),Sens!$R$634:$AA$634)*Sens!$K$639/1000</f>
        <v>8.587658796</v>
      </c>
      <c r="L661" s="40" t="n">
        <f aca="false">SUMPRODUCT(--(Sens!$R$627:$AA$627=2031-tk_life),Sens!$R$634:$AA$634)*Sens!$L$639/1000</f>
        <v>38.644464582</v>
      </c>
      <c r="M661" s="40" t="n">
        <f aca="false">SUMPRODUCT(--(Sens!$R$627:$AA$627=2032-tk_life),Sens!$R$634:$AA$634)*Sens!$M$639/1000</f>
        <v>90.6874659813425</v>
      </c>
    </row>
    <row r="662" customFormat="false" ht="17.15" hidden="false" customHeight="false" outlineLevel="0" collapsed="false">
      <c r="A662" s="0" t="s">
        <v>686</v>
      </c>
      <c r="B662" s="0" t="s">
        <v>91</v>
      </c>
      <c r="C662" s="40" t="n">
        <f aca="false">MIN(Sens!$C$657,Sens!$C$634*(tk_cx_h100+tk_fac*(1-colo_sh))/1000)</f>
        <v>11.2938642</v>
      </c>
      <c r="D662" s="40" t="n">
        <f aca="false">MIN(Sens!$D$657,Sens!$D$634*(tk_cx_h100+tk_fac*(1-colo_sh))/1000)</f>
        <v>50.8223889</v>
      </c>
      <c r="E662" s="40" t="n">
        <f aca="false">MIN(Sens!$E$657,Sens!$E$634*(Sens!$F$639+tk_fac*(1-colo_sh))/1000)</f>
        <v>71.5976669125462</v>
      </c>
      <c r="F662" s="40" t="n">
        <f aca="false">Sens!$F$657</f>
        <v>28.695619283164</v>
      </c>
      <c r="G662" s="40" t="n">
        <f aca="false">Sens!$E$662+Sens!$F$662</f>
        <v>100.29328619571</v>
      </c>
      <c r="H662" s="40" t="n">
        <f aca="false">Sens!$H$657</f>
        <v>177.245913338435</v>
      </c>
      <c r="I662" s="40" t="n">
        <f aca="false">Sens!$I$657</f>
        <v>183.579448050685</v>
      </c>
      <c r="J662" s="40" t="n">
        <f aca="false">Sens!$J$657</f>
        <v>187.873277448685</v>
      </c>
      <c r="K662" s="40" t="n">
        <f aca="false">Sens!$K$657</f>
        <v>138.407037940551</v>
      </c>
      <c r="L662" s="40" t="n">
        <f aca="false">Sens!$L$657</f>
        <v>114.703774820416</v>
      </c>
      <c r="M662" s="40" t="n">
        <f aca="false">Sens!$M$657</f>
        <v>112.986707313624</v>
      </c>
      <c r="P662" s="5" t="s">
        <v>687</v>
      </c>
      <c r="R662" s="40" t="n">
        <f aca="false">MIN(Sens!$R$657,Sens!$R$634*(tk_cx_h100+tk_fac*(1-colo_sh))/1000)</f>
        <v>1.50429979529945</v>
      </c>
      <c r="S662" s="40" t="n">
        <f aca="false">Sens!$C$662</f>
        <v>11.2938642</v>
      </c>
      <c r="T662" s="40" t="n">
        <f aca="false">Sens!$D$662</f>
        <v>50.8223889</v>
      </c>
      <c r="U662" s="40" t="n">
        <f aca="false">Sens!$G$662</f>
        <v>100.29328619571</v>
      </c>
      <c r="V662" s="40" t="n">
        <f aca="false">Sens!$H$662</f>
        <v>177.245913338435</v>
      </c>
      <c r="W662" s="40" t="n">
        <f aca="false">Sens!$I$662</f>
        <v>183.579448050685</v>
      </c>
      <c r="X662" s="40" t="n">
        <f aca="false">Sens!$J$662</f>
        <v>187.873277448685</v>
      </c>
      <c r="Y662" s="40" t="n">
        <f aca="false">Sens!$K$662</f>
        <v>138.407037940551</v>
      </c>
      <c r="Z662" s="40" t="n">
        <f aca="false">Sens!$L$662</f>
        <v>114.703774820416</v>
      </c>
      <c r="AA662" s="40" t="n">
        <f aca="false">Sens!$M$662</f>
        <v>112.986707313624</v>
      </c>
    </row>
    <row r="663" customFormat="false" ht="17.15" hidden="false" customHeight="false" outlineLevel="0" collapsed="false">
      <c r="A663" s="5" t="s">
        <v>688</v>
      </c>
      <c r="B663" s="0" t="s">
        <v>91</v>
      </c>
      <c r="C663" s="40" t="n">
        <f aca="false">Sens!$C$657-Sens!$C$662</f>
        <v>13.9842411077374</v>
      </c>
      <c r="D663" s="40" t="n">
        <f aca="false">Sens!$D$657-Sens!$D$662</f>
        <v>18.7462427310026</v>
      </c>
      <c r="E663" s="40" t="n">
        <f aca="false">Sens!$E$657-Sens!$E$662</f>
        <v>51.5983822485098</v>
      </c>
      <c r="F663" s="40" t="n">
        <f aca="false">Sens!$F$657-Sens!$F$662</f>
        <v>0</v>
      </c>
      <c r="G663" s="40" t="n">
        <f aca="false">Sens!$G$657-Sens!$G$662</f>
        <v>51.5983822485098</v>
      </c>
      <c r="H663" s="40" t="n">
        <f aca="false">Sens!$H$657-Sens!$H$662</f>
        <v>0</v>
      </c>
      <c r="I663" s="40" t="n">
        <f aca="false">Sens!$I$657-Sens!$I$662</f>
        <v>0</v>
      </c>
      <c r="J663" s="40" t="n">
        <f aca="false">Sens!$J$657-Sens!$J$662</f>
        <v>0</v>
      </c>
      <c r="K663" s="40" t="n">
        <f aca="false">Sens!$K$657-Sens!$K$662</f>
        <v>0</v>
      </c>
      <c r="L663" s="40" t="n">
        <f aca="false">Sens!$L$657-Sens!$L$662</f>
        <v>0</v>
      </c>
      <c r="M663" s="40" t="n">
        <f aca="false">Sens!$M$657-Sens!$M$662</f>
        <v>0</v>
      </c>
      <c r="P663" s="5" t="s">
        <v>689</v>
      </c>
      <c r="R663" s="40" t="n">
        <f aca="false">Sens!$R$657-Sens!$R$662</f>
        <v>0</v>
      </c>
      <c r="S663" s="40" t="n">
        <f aca="false">Sens!$S$657-Sens!$S$662</f>
        <v>13.9842411077374</v>
      </c>
      <c r="T663" s="40" t="n">
        <f aca="false">Sens!$T$657-Sens!$T$662</f>
        <v>18.7462427310026</v>
      </c>
      <c r="U663" s="40" t="n">
        <f aca="false">Sens!$U$657-Sens!$U$662</f>
        <v>51.5983822485098</v>
      </c>
      <c r="V663" s="40" t="n">
        <f aca="false">Sens!$V$657-Sens!$V$662</f>
        <v>0</v>
      </c>
      <c r="W663" s="40" t="n">
        <f aca="false">Sens!$W$657-Sens!$W$662</f>
        <v>0</v>
      </c>
      <c r="X663" s="40" t="n">
        <f aca="false">Sens!$X$657-Sens!$X$662</f>
        <v>0</v>
      </c>
      <c r="Y663" s="40" t="n">
        <f aca="false">Sens!$Y$657-Sens!$Y$662</f>
        <v>0</v>
      </c>
      <c r="Z663" s="40" t="n">
        <f aca="false">Sens!$Z$657-Sens!$Z$662</f>
        <v>0</v>
      </c>
      <c r="AA663" s="40" t="n">
        <f aca="false">Sens!$AA$657-Sens!$AA$662</f>
        <v>0</v>
      </c>
    </row>
    <row r="664" customFormat="false" ht="17.15" hidden="false" customHeight="false" outlineLevel="0" collapsed="false">
      <c r="A664" s="5" t="s">
        <v>690</v>
      </c>
      <c r="B664" s="0" t="s">
        <v>91</v>
      </c>
      <c r="R664" s="40" t="n">
        <f aca="false">Sens!$R$663*Sens!$C$656</f>
        <v>0</v>
      </c>
      <c r="S664" s="40" t="n">
        <f aca="false">Sens!$S$663*Sens!$C$656</f>
        <v>10.219074499801</v>
      </c>
      <c r="T664" s="40" t="n">
        <f aca="false">Sens!$T$663*Sens!$C$656</f>
        <v>13.6989379390402</v>
      </c>
      <c r="U664" s="40" t="n">
        <f aca="false">Sens!$U$663*Sens!$E$656</f>
        <v>37.1055813761394</v>
      </c>
      <c r="V664" s="40" t="n">
        <f aca="false">Sens!$V$663*Sens!$E$656</f>
        <v>0</v>
      </c>
      <c r="W664" s="40" t="n">
        <f aca="false">Sens!$W$663*Sens!$E$656</f>
        <v>0</v>
      </c>
      <c r="X664" s="40" t="n">
        <f aca="false">Sens!$X$663*Sens!$E$656</f>
        <v>0</v>
      </c>
      <c r="Y664" s="40" t="n">
        <f aca="false">Sens!$Y$663*Sens!$E$656</f>
        <v>0</v>
      </c>
      <c r="Z664" s="40" t="n">
        <f aca="false">Sens!$Z$663*Sens!$E$656</f>
        <v>0</v>
      </c>
      <c r="AA664" s="40" t="n">
        <f aca="false">Sens!$AA$663*Sens!$E$656</f>
        <v>0</v>
      </c>
    </row>
    <row r="665" customFormat="false" ht="17.15" hidden="false" customHeight="false" outlineLevel="0" collapsed="false">
      <c r="A665" s="5" t="s">
        <v>691</v>
      </c>
      <c r="B665" s="0" t="s">
        <v>91</v>
      </c>
      <c r="R665" s="40" t="n">
        <f aca="false">SUMPRODUCT(--(Sens!$R$627:$AA$627=2023-cip_lag),Sens!$R$664:$AA$664)</f>
        <v>0</v>
      </c>
      <c r="S665" s="40" t="n">
        <f aca="false">SUMPRODUCT(--(Sens!$R$627:$AA$627=2024-cip_lag),Sens!$R$664:$AA$664)</f>
        <v>0</v>
      </c>
      <c r="T665" s="40" t="n">
        <f aca="false">SUMPRODUCT(--(Sens!$R$627:$AA$627=2025-cip_lag),Sens!$R$664:$AA$664)</f>
        <v>10.219074499801</v>
      </c>
      <c r="U665" s="40" t="n">
        <f aca="false">SUMPRODUCT(--(Sens!$R$627:$AA$627=2026-cip_lag),Sens!$R$664:$AA$664)</f>
        <v>13.6989379390402</v>
      </c>
      <c r="V665" s="40" t="n">
        <f aca="false">SUMPRODUCT(--(Sens!$R$627:$AA$627=2027-cip_lag),Sens!$R$664:$AA$664)</f>
        <v>37.1055813761394</v>
      </c>
      <c r="W665" s="40" t="n">
        <f aca="false">SUMPRODUCT(--(Sens!$R$627:$AA$627=2028-cip_lag),Sens!$R$664:$AA$664)</f>
        <v>0</v>
      </c>
      <c r="X665" s="40" t="n">
        <f aca="false">SUMPRODUCT(--(Sens!$R$627:$AA$627=2029-cip_lag),Sens!$R$664:$AA$664)</f>
        <v>0</v>
      </c>
      <c r="Y665" s="40" t="n">
        <f aca="false">SUMPRODUCT(--(Sens!$R$627:$AA$627=2030-cip_lag),Sens!$R$664:$AA$664)</f>
        <v>0</v>
      </c>
      <c r="Z665" s="40" t="n">
        <f aca="false">SUMPRODUCT(--(Sens!$R$627:$AA$627=2031-cip_lag),Sens!$R$664:$AA$664)</f>
        <v>0</v>
      </c>
      <c r="AA665" s="40" t="n">
        <f aca="false">SUMPRODUCT(--(Sens!$R$627:$AA$627=2032-cip_lag),Sens!$R$664:$AA$664)</f>
        <v>0</v>
      </c>
    </row>
    <row r="666" customFormat="false" ht="15" hidden="false" customHeight="false" outlineLevel="0" collapsed="false">
      <c r="A666" s="5" t="s">
        <v>692</v>
      </c>
      <c r="B666" s="0" t="s">
        <v>91</v>
      </c>
      <c r="R666" s="40" t="n">
        <f aca="false">SUMPRODUCT(--(Sens!$R$627:$AA$627=2023-cip_lag),Sens!$R$663:$AA$663)-Sens!$R$665</f>
        <v>0</v>
      </c>
      <c r="S666" s="40" t="n">
        <f aca="false">SUMPRODUCT(--(Sens!$R$627:$AA$627=2024-cip_lag),Sens!$R$663:$AA$663)-Sens!$S$665</f>
        <v>0</v>
      </c>
      <c r="T666" s="40" t="n">
        <f aca="false">SUMPRODUCT(--(Sens!$R$627:$AA$627=2025-cip_lag),Sens!$R$663:$AA$663)-Sens!$T$665</f>
        <v>3.76516660793636</v>
      </c>
      <c r="U666" s="40" t="n">
        <f aca="false">SUMPRODUCT(--(Sens!$R$627:$AA$627=2026-cip_lag),Sens!$R$663:$AA$663)-Sens!$U$665</f>
        <v>5.04730479196242</v>
      </c>
      <c r="V666" s="40" t="n">
        <f aca="false">SUMPRODUCT(--(Sens!$R$627:$AA$627=2027-cip_lag),Sens!$R$663:$AA$663)-Sens!$V$665</f>
        <v>14.4928008723704</v>
      </c>
      <c r="W666" s="40" t="n">
        <f aca="false">SUMPRODUCT(--(Sens!$R$627:$AA$627=2028-cip_lag),Sens!$R$663:$AA$663)-Sens!$W$665</f>
        <v>0</v>
      </c>
      <c r="X666" s="40" t="n">
        <f aca="false">SUMPRODUCT(--(Sens!$R$627:$AA$627=2029-cip_lag),Sens!$R$663:$AA$663)-Sens!$X$665</f>
        <v>0</v>
      </c>
      <c r="Y666" s="40" t="n">
        <f aca="false">SUMPRODUCT(--(Sens!$R$627:$AA$627=2030-cip_lag),Sens!$R$663:$AA$663)-Sens!$Y$665</f>
        <v>0</v>
      </c>
      <c r="Z666" s="40" t="n">
        <f aca="false">SUMPRODUCT(--(Sens!$R$627:$AA$627=2031-cip_lag),Sens!$R$663:$AA$663)-Sens!$Z$665</f>
        <v>0</v>
      </c>
      <c r="AA666" s="40" t="n">
        <f aca="false">SUMPRODUCT(--(Sens!$R$627:$AA$627=2032-cip_lag),Sens!$R$663:$AA$663)-Sens!$AA$665</f>
        <v>0</v>
      </c>
    </row>
    <row r="667" customFormat="false" ht="17.15" hidden="false" customHeight="false" outlineLevel="0" collapsed="false">
      <c r="A667" s="5" t="s">
        <v>693</v>
      </c>
      <c r="B667" s="0" t="s">
        <v>91</v>
      </c>
      <c r="C667" s="40" t="n">
        <f aca="false">Sens!$C$662*Sens!$C$656</f>
        <v>8.2530642</v>
      </c>
      <c r="D667" s="40" t="n">
        <f aca="false">Sens!$D$662*Sens!$D$656</f>
        <v>37.1387889</v>
      </c>
      <c r="E667" s="40" t="n">
        <f aca="false">Sens!$E$662*Sens!$E$656</f>
        <v>51.4875261625462</v>
      </c>
      <c r="F667" s="40" t="n">
        <f aca="false">Sens!$F$662*Sens!$F$656</f>
        <v>20.6356786792653</v>
      </c>
      <c r="G667" s="40" t="n">
        <f aca="false">Sens!$E$667+Sens!$F$667</f>
        <v>72.1232048418116</v>
      </c>
      <c r="H667" s="40" t="n">
        <f aca="false">(Sens!$H$662-Sens!$H$661)*Sens!$H$656+Sens!$H$661</f>
        <v>129.240550338435</v>
      </c>
      <c r="I667" s="40" t="n">
        <f aca="false">(Sens!$I$662-Sens!$I$661)*Sens!$I$656+Sens!$I$661</f>
        <v>135.574085050685</v>
      </c>
      <c r="J667" s="40" t="n">
        <f aca="false">(Sens!$J$662-Sens!$J$661)*Sens!$J$656+Sens!$J$661</f>
        <v>139.867914448685</v>
      </c>
      <c r="K667" s="40" t="n">
        <f aca="false">(Sens!$K$662-Sens!$K$661)*Sens!$K$656+Sens!$K$661</f>
        <v>104.459738902217</v>
      </c>
      <c r="L667" s="40" t="n">
        <f aca="false">(Sens!$L$662-Sens!$L$661)*Sens!$L$656+Sens!$L$661</f>
        <v>94.8145397437496</v>
      </c>
      <c r="M667" s="40" t="n">
        <f aca="false">(Sens!$M$662-Sens!$M$661)*Sens!$M$656+Sens!$M$661</f>
        <v>107.155536198624</v>
      </c>
      <c r="R667" s="40" t="n">
        <f aca="false">Sens!$R$662*Sens!$C$656</f>
        <v>1.09927679019314</v>
      </c>
      <c r="S667" s="40" t="n">
        <f aca="false">Sens!$C$667</f>
        <v>8.2530642</v>
      </c>
      <c r="T667" s="40" t="n">
        <f aca="false">Sens!$D$667</f>
        <v>37.1387889</v>
      </c>
      <c r="U667" s="40" t="n">
        <f aca="false">Sens!$G$667</f>
        <v>72.1232048418116</v>
      </c>
      <c r="V667" s="40" t="n">
        <f aca="false">Sens!$H$667</f>
        <v>129.240550338435</v>
      </c>
      <c r="W667" s="40" t="n">
        <f aca="false">Sens!$I$667</f>
        <v>135.574085050685</v>
      </c>
      <c r="X667" s="40" t="n">
        <f aca="false">Sens!$J$667</f>
        <v>139.867914448685</v>
      </c>
      <c r="Y667" s="40" t="n">
        <f aca="false">Sens!$K$667</f>
        <v>104.459738902217</v>
      </c>
      <c r="Z667" s="40" t="n">
        <f aca="false">Sens!$L$667</f>
        <v>94.8145397437496</v>
      </c>
      <c r="AA667" s="40" t="n">
        <f aca="false">Sens!$M$667</f>
        <v>107.155536198624</v>
      </c>
    </row>
    <row r="668" customFormat="false" ht="15" hidden="false" customHeight="false" outlineLevel="0" collapsed="false">
      <c r="A668" s="5" t="s">
        <v>694</v>
      </c>
      <c r="B668" s="0" t="s">
        <v>91</v>
      </c>
      <c r="C668" s="40" t="n">
        <f aca="false">Sens!$C$662-Sens!$C$667</f>
        <v>3.0408</v>
      </c>
      <c r="D668" s="40" t="n">
        <f aca="false">Sens!$D$662-Sens!$D$667</f>
        <v>13.6836</v>
      </c>
      <c r="E668" s="40" t="n">
        <f aca="false">Sens!$E$662-Sens!$E$667</f>
        <v>20.11014075</v>
      </c>
      <c r="F668" s="40" t="n">
        <f aca="false">Sens!$F$662-Sens!$F$667</f>
        <v>8.05994060389864</v>
      </c>
      <c r="G668" s="40" t="n">
        <f aca="false">Sens!$G$662-Sens!$G$667</f>
        <v>28.1700813538986</v>
      </c>
      <c r="H668" s="40" t="n">
        <f aca="false">Sens!$H$662-Sens!$H$667</f>
        <v>48.005363</v>
      </c>
      <c r="I668" s="40" t="n">
        <f aca="false">Sens!$I$662-Sens!$I$667</f>
        <v>48.005363</v>
      </c>
      <c r="J668" s="40" t="n">
        <f aca="false">Sens!$J$662-Sens!$J$667</f>
        <v>48.005363</v>
      </c>
      <c r="K668" s="40" t="n">
        <f aca="false">Sens!$K$662-Sens!$K$667</f>
        <v>33.9472990383334</v>
      </c>
      <c r="L668" s="40" t="n">
        <f aca="false">Sens!$L$662-Sens!$L$667</f>
        <v>19.8892350766667</v>
      </c>
      <c r="M668" s="40" t="n">
        <f aca="false">Sens!$M$662-Sens!$M$667</f>
        <v>5.83117111499999</v>
      </c>
      <c r="R668" s="40" t="n">
        <f aca="false">Sens!$R$662-Sens!$R$667</f>
        <v>0.405023005106309</v>
      </c>
      <c r="S668" s="40" t="n">
        <f aca="false">Sens!$S$662-Sens!$S$667</f>
        <v>3.0408</v>
      </c>
      <c r="T668" s="40" t="n">
        <f aca="false">Sens!$T$662-Sens!$T$667</f>
        <v>13.6836</v>
      </c>
      <c r="U668" s="40" t="n">
        <f aca="false">Sens!$U$662-Sens!$U$667</f>
        <v>28.1700813538986</v>
      </c>
      <c r="V668" s="40" t="n">
        <f aca="false">Sens!$V$662-Sens!$V$667</f>
        <v>48.005363</v>
      </c>
      <c r="W668" s="40" t="n">
        <f aca="false">Sens!$W$662-Sens!$W$667</f>
        <v>48.005363</v>
      </c>
      <c r="X668" s="40" t="n">
        <f aca="false">Sens!$X$662-Sens!$X$667</f>
        <v>48.005363</v>
      </c>
      <c r="Y668" s="40" t="n">
        <f aca="false">Sens!$Y$662-Sens!$Y$667</f>
        <v>33.9472990383334</v>
      </c>
      <c r="Z668" s="40" t="n">
        <f aca="false">Sens!$Z$662-Sens!$Z$667</f>
        <v>19.8892350766667</v>
      </c>
      <c r="AA668" s="40" t="n">
        <f aca="false">Sens!$AA$662-Sens!$AA$667</f>
        <v>5.83117111499999</v>
      </c>
    </row>
    <row r="669" customFormat="false" ht="17.15" hidden="false" customHeight="false" outlineLevel="0" collapsed="false">
      <c r="A669" s="0" t="s">
        <v>695</v>
      </c>
      <c r="B669" s="0" t="s">
        <v>56</v>
      </c>
      <c r="C669" s="13" t="n">
        <f aca="false">Sens!$C$657/Sens!$C$785</f>
        <v>0.325505489553393</v>
      </c>
      <c r="D669" s="13" t="n">
        <f aca="false">Sens!$D$657/Sens!$D$785</f>
        <v>0.54214956071542</v>
      </c>
      <c r="E669" s="13" t="n">
        <f aca="false">Sens!$E$657/Sens!$E$785</f>
        <v>0.715474069976166</v>
      </c>
      <c r="F669" s="13" t="n">
        <f aca="false">Sens!$F$657/Sens!$F$785</f>
        <v>0.600176091423994</v>
      </c>
      <c r="G669" s="13" t="n">
        <f aca="false">Sens!$G$657/Sens!$G$785</f>
        <v>0.690416674746455</v>
      </c>
      <c r="H669" s="13" t="n">
        <f aca="false">Sens!$H$657/Sens!$H$785</f>
        <v>0.700355037669622</v>
      </c>
      <c r="I669" s="13" t="n">
        <f aca="false">Sens!$I$657/Sens!$I$785</f>
        <v>0.687636699157358</v>
      </c>
      <c r="J669" s="13" t="n">
        <f aca="false">Sens!$J$657/Sens!$J$785</f>
        <v>0.674817899000374</v>
      </c>
      <c r="K669" s="13" t="n">
        <f aca="false">Sens!$K$657/Sens!$K$785</f>
        <v>0.587963117620941</v>
      </c>
      <c r="L669" s="13" t="n">
        <f aca="false">Sens!$L$657/Sens!$L$785</f>
        <v>0.524620008218786</v>
      </c>
      <c r="M669" s="13" t="n">
        <f aca="false">Sens!$M$657/Sens!$M$785</f>
        <v>0.50353101603759</v>
      </c>
    </row>
    <row r="670" customFormat="false" ht="17.15" hidden="false" customHeight="false" outlineLevel="0" collapsed="false">
      <c r="A670" s="0" t="s">
        <v>696</v>
      </c>
      <c r="B670" s="0" t="s">
        <v>91</v>
      </c>
      <c r="C670" s="40" t="n">
        <f aca="false">Sens!$S$670</f>
        <v>0.183212798365523</v>
      </c>
      <c r="D670" s="40" t="n">
        <f aca="false">Sens!$T$670</f>
        <v>1.55872349836552</v>
      </c>
      <c r="E670" s="40" t="n">
        <f aca="false">Sens!$G$670*0.75</f>
        <v>7.08877554874927</v>
      </c>
      <c r="F670" s="40" t="n">
        <f aca="false">Sens!$G$670*0.25</f>
        <v>2.36292518291642</v>
      </c>
      <c r="G670" s="40" t="n">
        <f aca="false">Sens!$U$670</f>
        <v>9.4517007316657</v>
      </c>
      <c r="H670" s="40" t="n">
        <f aca="false">Sens!$V$670</f>
        <v>23.755391195141</v>
      </c>
      <c r="I670" s="40" t="n">
        <f aca="false">Sens!$W$670</f>
        <v>51.4797464809034</v>
      </c>
      <c r="J670" s="40" t="n">
        <f aca="false">Sens!$X$670</f>
        <v>74.0754273226842</v>
      </c>
      <c r="K670" s="40" t="n">
        <f aca="false">Sens!$Y$670</f>
        <v>97.2035335990995</v>
      </c>
      <c r="L670" s="40" t="n">
        <f aca="false">Sens!$Z$670</f>
        <v>113.237979382802</v>
      </c>
      <c r="M670" s="40" t="n">
        <f aca="false">Sens!$AA$670</f>
        <v>121.147425440127</v>
      </c>
      <c r="N670" s="40" t="n">
        <f aca="false">Sens!$D$670*0.75</f>
        <v>1.16904262377414</v>
      </c>
      <c r="O670" s="40" t="n">
        <f aca="false">Sens!$D$670*0.25</f>
        <v>0.389680874591381</v>
      </c>
      <c r="R670" s="40" t="n">
        <f aca="false">(SUMPRODUCT(--(Sens!$R$627:$AA$627&lt;Sens!R$627),--(Sens!$R$627:$AA$627&gt;=Sens!R$627-tk_life),Sens!$R$667:$AA$667)+SUMPRODUCT(--(Sens!$R$627:$AA$627&lt;Sens!R$627),--(Sens!$R$627:$AA$627&gt;=Sens!R$627-tk_life),Sens!$R$665:$AA$665))/tk_life</f>
        <v>0</v>
      </c>
      <c r="S670" s="40" t="n">
        <f aca="false">(SUMPRODUCT(--(Sens!$R$627:$AA$627&lt;Sens!S$627),--(Sens!$R$627:$AA$627&gt;=Sens!S$627-tk_life),Sens!$R$667:$AA$667)+SUMPRODUCT(--(Sens!$R$627:$AA$627&lt;Sens!S$627),--(Sens!$R$627:$AA$627&gt;=Sens!S$627-tk_life),Sens!$R$665:$AA$665))/tk_life</f>
        <v>0.183212798365523</v>
      </c>
      <c r="T670" s="40" t="n">
        <f aca="false">(SUMPRODUCT(--(Sens!$R$627:$AA$627&lt;Sens!T$627),--(Sens!$R$627:$AA$627&gt;=Sens!T$627-tk_life),Sens!$R$667:$AA$667)+SUMPRODUCT(--(Sens!$R$627:$AA$627&lt;Sens!T$627),--(Sens!$R$627:$AA$627&gt;=Sens!T$627-tk_life),Sens!$R$665:$AA$665))/tk_life</f>
        <v>1.55872349836552</v>
      </c>
      <c r="U670" s="40" t="n">
        <f aca="false">(SUMPRODUCT(--(Sens!$R$627:$AA$627&lt;Sens!U$627),--(Sens!$R$627:$AA$627&gt;=Sens!U$627-tk_life),Sens!$R$667:$AA$667)+SUMPRODUCT(--(Sens!$R$627:$AA$627&lt;Sens!U$627),--(Sens!$R$627:$AA$627&gt;=Sens!U$627-tk_life),Sens!$R$665:$AA$665))/tk_life</f>
        <v>9.4517007316657</v>
      </c>
      <c r="V670" s="40" t="n">
        <f aca="false">(SUMPRODUCT(--(Sens!$R$627:$AA$627&lt;Sens!V$627),--(Sens!$R$627:$AA$627&gt;=Sens!V$627-tk_life),Sens!$R$667:$AA$667)+SUMPRODUCT(--(Sens!$R$627:$AA$627&lt;Sens!V$627),--(Sens!$R$627:$AA$627&gt;=Sens!V$627-tk_life),Sens!$R$665:$AA$665))/tk_life</f>
        <v>23.755391195141</v>
      </c>
      <c r="W670" s="40" t="n">
        <f aca="false">(SUMPRODUCT(--(Sens!$R$627:$AA$627&lt;Sens!W$627),--(Sens!$R$627:$AA$627&gt;=Sens!W$627-tk_life),Sens!$R$667:$AA$667)+SUMPRODUCT(--(Sens!$R$627:$AA$627&lt;Sens!W$627),--(Sens!$R$627:$AA$627&gt;=Sens!W$627-tk_life),Sens!$R$665:$AA$665))/tk_life</f>
        <v>51.4797464809034</v>
      </c>
      <c r="X670" s="40" t="n">
        <f aca="false">(SUMPRODUCT(--(Sens!$R$627:$AA$627&lt;Sens!X$627),--(Sens!$R$627:$AA$627&gt;=Sens!X$627-tk_life),Sens!$R$667:$AA$667)+SUMPRODUCT(--(Sens!$R$627:$AA$627&lt;Sens!X$627),--(Sens!$R$627:$AA$627&gt;=Sens!X$627-tk_life),Sens!$R$665:$AA$665))/tk_life</f>
        <v>74.0754273226842</v>
      </c>
      <c r="Y670" s="40" t="n">
        <f aca="false">(SUMPRODUCT(--(Sens!$R$627:$AA$627&lt;Sens!Y$627),--(Sens!$R$627:$AA$627&gt;=Sens!Y$627-tk_life),Sens!$R$667:$AA$667)+SUMPRODUCT(--(Sens!$R$627:$AA$627&lt;Sens!Y$627),--(Sens!$R$627:$AA$627&gt;=Sens!Y$627-tk_life),Sens!$R$665:$AA$665))/tk_life</f>
        <v>97.2035335990995</v>
      </c>
      <c r="Z670" s="40" t="n">
        <f aca="false">(SUMPRODUCT(--(Sens!$R$627:$AA$627&lt;Sens!Z$627),--(Sens!$R$627:$AA$627&gt;=Sens!Z$627-tk_life),Sens!$R$667:$AA$667)+SUMPRODUCT(--(Sens!$R$627:$AA$627&lt;Sens!Z$627),--(Sens!$R$627:$AA$627&gt;=Sens!Z$627-tk_life),Sens!$R$665:$AA$665))/tk_life</f>
        <v>113.237979382802</v>
      </c>
      <c r="AA670" s="40" t="n">
        <f aca="false">(SUMPRODUCT(--(Sens!$R$627:$AA$627&lt;Sens!AA$627),--(Sens!$R$627:$AA$627&gt;=Sens!AA$627-tk_life),Sens!$R$667:$AA$667)+SUMPRODUCT(--(Sens!$R$627:$AA$627&lt;Sens!AA$627),--(Sens!$R$627:$AA$627&gt;=Sens!AA$627-tk_life),Sens!$R$665:$AA$665))/tk_life</f>
        <v>121.147425440127</v>
      </c>
    </row>
    <row r="671" customFormat="false" ht="17.15" hidden="false" customHeight="false" outlineLevel="0" collapsed="false">
      <c r="A671" s="0" t="s">
        <v>697</v>
      </c>
      <c r="B671" s="0" t="s">
        <v>91</v>
      </c>
      <c r="C671" s="40" t="n">
        <f aca="false">Sens!$S$671</f>
        <v>0.0202511502553155</v>
      </c>
      <c r="D671" s="40" t="n">
        <f aca="false">Sens!$T$671</f>
        <v>0.172291150255315</v>
      </c>
      <c r="E671" s="40" t="n">
        <f aca="false">Sens!$G$671*0.75</f>
        <v>0.7835471104891</v>
      </c>
      <c r="F671" s="40" t="n">
        <f aca="false">Sens!$G$671*0.25</f>
        <v>0.261182370163033</v>
      </c>
      <c r="G671" s="40" t="n">
        <f aca="false">Sens!$U$671</f>
        <v>1.04472948065213</v>
      </c>
      <c r="H671" s="40" t="n">
        <f aca="false">Sens!$V$671</f>
        <v>2.70559878794519</v>
      </c>
      <c r="I671" s="40" t="n">
        <f aca="false">Sens!$W$671</f>
        <v>5.8305069815637</v>
      </c>
      <c r="J671" s="40" t="n">
        <f aca="false">Sens!$X$671</f>
        <v>8.23077513156371</v>
      </c>
      <c r="K671" s="40" t="n">
        <f aca="false">Sens!$Y$671</f>
        <v>10.6310432815637</v>
      </c>
      <c r="L671" s="40" t="n">
        <f aca="false">Sens!$Z$671</f>
        <v>12.3284082334804</v>
      </c>
      <c r="M671" s="40" t="n">
        <f aca="false">Sens!$AA$671</f>
        <v>13.3228699873137</v>
      </c>
      <c r="N671" s="40" t="n">
        <f aca="false">Sens!$D$671*0.75</f>
        <v>0.129218362691487</v>
      </c>
      <c r="O671" s="40" t="n">
        <f aca="false">Sens!$D$671*0.25</f>
        <v>0.0430727875638289</v>
      </c>
      <c r="R671" s="40" t="n">
        <f aca="false">(SUMPRODUCT(--(Sens!$R$627:$AA$627&lt;Sens!R$627),Sens!$R$668:$AA$668)+SUMPRODUCT(--(Sens!$R$627:$AA$627&lt;Sens!R$627),Sens!$R$666:$AA$666))/fac_life</f>
        <v>0</v>
      </c>
      <c r="S671" s="40" t="n">
        <f aca="false">(SUMPRODUCT(--(Sens!$R$627:$AA$627&lt;Sens!S$627),Sens!$R$668:$AA$668)+SUMPRODUCT(--(Sens!$R$627:$AA$627&lt;Sens!S$627),Sens!$R$666:$AA$666))/fac_life</f>
        <v>0.0202511502553155</v>
      </c>
      <c r="T671" s="40" t="n">
        <f aca="false">(SUMPRODUCT(--(Sens!$R$627:$AA$627&lt;Sens!T$627),Sens!$R$668:$AA$668)+SUMPRODUCT(--(Sens!$R$627:$AA$627&lt;Sens!T$627),Sens!$R$666:$AA$666))/fac_life</f>
        <v>0.172291150255315</v>
      </c>
      <c r="U671" s="40" t="n">
        <f aca="false">(SUMPRODUCT(--(Sens!$R$627:$AA$627&lt;Sens!U$627),Sens!$R$668:$AA$668)+SUMPRODUCT(--(Sens!$R$627:$AA$627&lt;Sens!U$627),Sens!$R$666:$AA$666))/fac_life</f>
        <v>1.04472948065213</v>
      </c>
      <c r="V671" s="40" t="n">
        <f aca="false">(SUMPRODUCT(--(Sens!$R$627:$AA$627&lt;Sens!V$627),Sens!$R$668:$AA$668)+SUMPRODUCT(--(Sens!$R$627:$AA$627&lt;Sens!V$627),Sens!$R$666:$AA$666))/fac_life</f>
        <v>2.70559878794519</v>
      </c>
      <c r="W671" s="40" t="n">
        <f aca="false">(SUMPRODUCT(--(Sens!$R$627:$AA$627&lt;Sens!W$627),Sens!$R$668:$AA$668)+SUMPRODUCT(--(Sens!$R$627:$AA$627&lt;Sens!W$627),Sens!$R$666:$AA$666))/fac_life</f>
        <v>5.8305069815637</v>
      </c>
      <c r="X671" s="40" t="n">
        <f aca="false">(SUMPRODUCT(--(Sens!$R$627:$AA$627&lt;Sens!X$627),Sens!$R$668:$AA$668)+SUMPRODUCT(--(Sens!$R$627:$AA$627&lt;Sens!X$627),Sens!$R$666:$AA$666))/fac_life</f>
        <v>8.23077513156371</v>
      </c>
      <c r="Y671" s="40" t="n">
        <f aca="false">(SUMPRODUCT(--(Sens!$R$627:$AA$627&lt;Sens!Y$627),Sens!$R$668:$AA$668)+SUMPRODUCT(--(Sens!$R$627:$AA$627&lt;Sens!Y$627),Sens!$R$666:$AA$666))/fac_life</f>
        <v>10.6310432815637</v>
      </c>
      <c r="Z671" s="40" t="n">
        <f aca="false">(SUMPRODUCT(--(Sens!$R$627:$AA$627&lt;Sens!Z$627),Sens!$R$668:$AA$668)+SUMPRODUCT(--(Sens!$R$627:$AA$627&lt;Sens!Z$627),Sens!$R$666:$AA$666))/fac_life</f>
        <v>12.3284082334804</v>
      </c>
      <c r="AA671" s="40" t="n">
        <f aca="false">(SUMPRODUCT(--(Sens!$R$627:$AA$627&lt;Sens!AA$627),Sens!$R$668:$AA$668)+SUMPRODUCT(--(Sens!$R$627:$AA$627&lt;Sens!AA$627),Sens!$R$666:$AA$666))/fac_life</f>
        <v>13.3228699873137</v>
      </c>
    </row>
    <row r="672" customFormat="false" ht="17.15" hidden="false" customHeight="false" outlineLevel="0" collapsed="false">
      <c r="A672" s="1" t="s">
        <v>698</v>
      </c>
      <c r="B672" s="8" t="s">
        <v>91</v>
      </c>
      <c r="C672" s="40" t="n">
        <f aca="false">Sens!$C$670+Sens!$C$671</f>
        <v>0.203463948620839</v>
      </c>
      <c r="D672" s="40" t="n">
        <f aca="false">Sens!$D$670+Sens!$D$671</f>
        <v>1.73101464862084</v>
      </c>
      <c r="E672" s="40" t="n">
        <f aca="false">Sens!$E$670+Sens!$E$671</f>
        <v>7.87232265923837</v>
      </c>
      <c r="F672" s="40" t="n">
        <f aca="false">Sens!$F$670+Sens!$F$671</f>
        <v>2.62410755307946</v>
      </c>
      <c r="G672" s="40" t="n">
        <f aca="false">Sens!$G$670+Sens!$G$671</f>
        <v>10.4964302123178</v>
      </c>
      <c r="H672" s="40" t="n">
        <f aca="false">Sens!$H$670+Sens!$H$671</f>
        <v>26.4609899830862</v>
      </c>
      <c r="I672" s="40" t="n">
        <f aca="false">Sens!$I$670+Sens!$I$671</f>
        <v>57.3102534624671</v>
      </c>
      <c r="J672" s="40" t="n">
        <f aca="false">Sens!$J$670+Sens!$J$671</f>
        <v>82.3062024542479</v>
      </c>
      <c r="K672" s="40" t="n">
        <f aca="false">Sens!$K$670+Sens!$K$671</f>
        <v>107.834576880663</v>
      </c>
      <c r="L672" s="40" t="n">
        <f aca="false">Sens!$L$670+Sens!$L$671</f>
        <v>125.566387616283</v>
      </c>
      <c r="M672" s="40" t="n">
        <f aca="false">Sens!$M$670+Sens!$M$671</f>
        <v>134.470295427441</v>
      </c>
      <c r="N672" s="40" t="n">
        <f aca="false">Sens!$N$670+Sens!$N$671</f>
        <v>1.29826098646563</v>
      </c>
      <c r="O672" s="40" t="n">
        <f aca="false">Sens!$O$670+Sens!$O$671</f>
        <v>0.43275366215521</v>
      </c>
      <c r="R672" s="40" t="n">
        <f aca="false">Sens!$R$670+Sens!$R$671</f>
        <v>0</v>
      </c>
      <c r="S672" s="40" t="n">
        <f aca="false">Sens!$S$670+Sens!$S$671</f>
        <v>0.203463948620839</v>
      </c>
      <c r="T672" s="40" t="n">
        <f aca="false">Sens!$T$670+Sens!$T$671</f>
        <v>1.73101464862084</v>
      </c>
      <c r="U672" s="40" t="n">
        <f aca="false">Sens!$U$670+Sens!$U$671</f>
        <v>10.4964302123178</v>
      </c>
      <c r="V672" s="40" t="n">
        <f aca="false">Sens!$V$670+Sens!$V$671</f>
        <v>26.4609899830862</v>
      </c>
      <c r="W672" s="40" t="n">
        <f aca="false">Sens!$W$670+Sens!$W$671</f>
        <v>57.3102534624671</v>
      </c>
      <c r="X672" s="40" t="n">
        <f aca="false">Sens!$X$670+Sens!$X$671</f>
        <v>82.3062024542479</v>
      </c>
      <c r="Y672" s="40" t="n">
        <f aca="false">Sens!$Y$670+Sens!$Y$671</f>
        <v>107.834576880663</v>
      </c>
      <c r="Z672" s="40" t="n">
        <f aca="false">Sens!$Z$670+Sens!$Z$671</f>
        <v>125.566387616283</v>
      </c>
      <c r="AA672" s="40" t="n">
        <f aca="false">Sens!$AA$670+Sens!$AA$671</f>
        <v>134.470295427441</v>
      </c>
    </row>
    <row r="673" customFormat="false" ht="17.15" hidden="false" customHeight="false" outlineLevel="0" collapsed="false">
      <c r="A673" s="0" t="s">
        <v>699</v>
      </c>
      <c r="B673" s="0" t="s">
        <v>91</v>
      </c>
      <c r="C673" s="40" t="n">
        <f aca="false">Sens!$S$673</f>
        <v>26.578941154416</v>
      </c>
      <c r="D673" s="40" t="n">
        <f aca="false">Sens!$T$673</f>
        <v>94.4165581367978</v>
      </c>
      <c r="G673" s="40" t="n">
        <f aca="false">Sens!$U$673</f>
        <v>235.8117963687</v>
      </c>
      <c r="H673" s="40" t="n">
        <f aca="false">Sens!$V$673</f>
        <v>386.596719724049</v>
      </c>
      <c r="I673" s="40" t="n">
        <f aca="false">Sens!$W$673</f>
        <v>512.865914312267</v>
      </c>
      <c r="J673" s="40" t="n">
        <f aca="false">Sens!$X$673</f>
        <v>618.432989306704</v>
      </c>
      <c r="K673" s="40" t="n">
        <f aca="false">Sens!$Y$673</f>
        <v>649.005450366591</v>
      </c>
      <c r="L673" s="40" t="n">
        <f aca="false">Sens!$Z$673</f>
        <v>638.142837570725</v>
      </c>
      <c r="M673" s="40" t="n">
        <f aca="false">Sens!$AA$673</f>
        <v>616.659249456908</v>
      </c>
      <c r="R673" s="40" t="n">
        <f aca="false">SUM(Sens!$R$657:$R$657)-SUM(Sens!$R$672:$R$672)</f>
        <v>1.50429979529945</v>
      </c>
      <c r="S673" s="40" t="n">
        <f aca="false">SUM(Sens!$R$657:$S$657)-SUM(Sens!$R$672:$S$672)</f>
        <v>26.578941154416</v>
      </c>
      <c r="T673" s="40" t="n">
        <f aca="false">SUM(Sens!$R$657:$T$657)-SUM(Sens!$R$672:$T$672)</f>
        <v>94.4165581367978</v>
      </c>
      <c r="U673" s="40" t="n">
        <f aca="false">SUM(Sens!$R$657:$U$657)-SUM(Sens!$R$672:$U$672)</f>
        <v>235.8117963687</v>
      </c>
      <c r="V673" s="40" t="n">
        <f aca="false">SUM(Sens!$R$657:$V$657)-SUM(Sens!$R$672:$V$672)</f>
        <v>386.596719724049</v>
      </c>
      <c r="W673" s="40" t="n">
        <f aca="false">SUM(Sens!$R$657:$W$657)-SUM(Sens!$R$672:$W$672)</f>
        <v>512.865914312267</v>
      </c>
      <c r="X673" s="40" t="n">
        <f aca="false">SUM(Sens!$R$657:$X$657)-SUM(Sens!$R$672:$X$672)</f>
        <v>618.432989306704</v>
      </c>
      <c r="Y673" s="40" t="n">
        <f aca="false">SUM(Sens!$R$657:$Y$657)-SUM(Sens!$R$672:$Y$672)</f>
        <v>649.005450366591</v>
      </c>
      <c r="Z673" s="40" t="n">
        <f aca="false">SUM(Sens!$R$657:$Z$657)-SUM(Sens!$R$672:$Z$672)</f>
        <v>638.142837570725</v>
      </c>
      <c r="AA673" s="40" t="n">
        <f aca="false">SUM(Sens!$R$657:$AA$657)-SUM(Sens!$R$672:$AA$672)</f>
        <v>616.659249456908</v>
      </c>
    </row>
    <row r="674" customFormat="false" ht="17.15" hidden="false" customHeight="false" outlineLevel="0" collapsed="false">
      <c r="A674" s="1" t="s">
        <v>700</v>
      </c>
    </row>
    <row r="675" customFormat="false" ht="17.15" hidden="false" customHeight="false" outlineLevel="0" collapsed="false">
      <c r="A675" s="0" t="s">
        <v>701</v>
      </c>
      <c r="B675" s="0" t="s">
        <v>91</v>
      </c>
      <c r="C675" s="40" t="n">
        <f aca="false">Sens!$C$648-ext_sh*Sens!$C$650</f>
        <v>1.80694998843362</v>
      </c>
      <c r="D675" s="40" t="n">
        <f aca="false">Sens!$D$648-ext_sh*Sens!$D$650</f>
        <v>6.77606245662607</v>
      </c>
      <c r="E675" s="40" t="n">
        <f aca="false">Sens!$E$648-ext_sh*Sens!$E$650</f>
        <v>12.6125815032506</v>
      </c>
      <c r="F675" s="40" t="n">
        <f aca="false">Sens!$F$648-ext_sh*Sens!$F$650</f>
        <v>5.68871288000918</v>
      </c>
      <c r="G675" s="40" t="n">
        <f aca="false">Sens!$G$648-ext_sh*Sens!$G$650</f>
        <v>18.3012943832598</v>
      </c>
      <c r="H675" s="40" t="n">
        <f aca="false">Sens!$H$648-ext_sh*Sens!$H$650</f>
        <v>35.2067621944375</v>
      </c>
      <c r="I675" s="40" t="n">
        <f aca="false">Sens!$I$648-ext_sh*Sens!$I$650</f>
        <v>55.7573661363039</v>
      </c>
      <c r="J675" s="40" t="n">
        <f aca="false">Sens!$J$648-ext_sh*Sens!$J$650</f>
        <v>76.4514093611018</v>
      </c>
      <c r="K675" s="40" t="n">
        <f aca="false">Sens!$K$648-ext_sh*Sens!$K$650</f>
        <v>94.0964932566406</v>
      </c>
      <c r="L675" s="40" t="n">
        <f aca="false">Sens!$L$648-ext_sh*Sens!$L$650</f>
        <v>105.686850346559</v>
      </c>
      <c r="M675" s="40" t="n">
        <f aca="false">Sens!$M$648-ext_sh*Sens!$M$650</f>
        <v>111.19913589587</v>
      </c>
      <c r="N675" s="40" t="n">
        <f aca="false">Sens!$N$648-ext_sh*Sens!$N$650</f>
        <v>4.31973981609912</v>
      </c>
      <c r="O675" s="40" t="n">
        <f aca="false">Sens!$O$648-ext_sh*Sens!$O$650</f>
        <v>2.45632264052695</v>
      </c>
    </row>
    <row r="676" customFormat="false" ht="17.15" hidden="false" customHeight="false" outlineLevel="0" collapsed="false">
      <c r="A676" s="1" t="s">
        <v>702</v>
      </c>
      <c r="B676" s="8" t="s">
        <v>91</v>
      </c>
      <c r="C676" s="40" t="n">
        <f aca="false">Sens!$C$675-ext_sh*Sens!$C$672</f>
        <v>1.64417882953695</v>
      </c>
      <c r="D676" s="40" t="n">
        <f aca="false">Sens!$D$675-ext_sh*Sens!$D$672</f>
        <v>5.39125073772939</v>
      </c>
      <c r="E676" s="40" t="n">
        <f aca="false">Sens!$E$675-ext_sh*Sens!$E$672</f>
        <v>6.31472337585987</v>
      </c>
      <c r="F676" s="40" t="n">
        <f aca="false">Sens!$F$675-ext_sh*Sens!$F$672</f>
        <v>3.58942683754562</v>
      </c>
      <c r="G676" s="40" t="n">
        <f aca="false">Sens!$G$675-ext_sh*Sens!$G$672</f>
        <v>9.90415021340549</v>
      </c>
      <c r="H676" s="40" t="n">
        <f aca="false">Sens!$H$675-ext_sh*Sens!$H$672</f>
        <v>14.0379702079686</v>
      </c>
      <c r="I676" s="40" t="n">
        <f aca="false">Sens!$I$675-ext_sh*Sens!$I$672</f>
        <v>9.90916336633023</v>
      </c>
      <c r="J676" s="40" t="n">
        <f aca="false">Sens!$J$675-ext_sh*Sens!$J$672</f>
        <v>10.6064473977034</v>
      </c>
      <c r="K676" s="40" t="n">
        <f aca="false">Sens!$K$675-ext_sh*Sens!$K$672</f>
        <v>7.82883175211005</v>
      </c>
      <c r="L676" s="40" t="n">
        <f aca="false">Sens!$L$675-ext_sh*Sens!$L$672</f>
        <v>5.23374025353317</v>
      </c>
      <c r="M676" s="40" t="n">
        <f aca="false">Sens!$M$675-ext_sh*Sens!$M$672</f>
        <v>3.62289955391755</v>
      </c>
      <c r="N676" s="40" t="n">
        <f aca="false">Sens!$N$675-ext_sh*Sens!$N$672</f>
        <v>3.28113102692661</v>
      </c>
      <c r="O676" s="40" t="n">
        <f aca="false">Sens!$O$675-ext_sh*Sens!$O$672</f>
        <v>2.11011971080278</v>
      </c>
    </row>
    <row r="677" customFormat="false" ht="17.15" hidden="false" customHeight="false" outlineLevel="0" collapsed="false">
      <c r="A677" s="0" t="s">
        <v>703</v>
      </c>
      <c r="B677" s="0" t="s">
        <v>56</v>
      </c>
      <c r="C677" s="13" t="n">
        <f aca="false">Sens!$C$676/Sens!$C$648</f>
        <v>0.708390794789371</v>
      </c>
      <c r="D677" s="13" t="n">
        <f aca="false">Sens!$D$676/Sens!$D$648</f>
        <v>0.619415573115729</v>
      </c>
      <c r="E677" s="13" t="n">
        <f aca="false">Sens!$E$676/Sens!$E$648</f>
        <v>0.38978070304412</v>
      </c>
      <c r="F677" s="13" t="n">
        <f aca="false">Sens!$F$676/Sens!$F$648</f>
        <v>0.472494434272441</v>
      </c>
      <c r="G677" s="13" t="n">
        <f aca="false">Sens!$G$676/Sens!$G$648</f>
        <v>0.416185040078553</v>
      </c>
      <c r="H677" s="13" t="n">
        <f aca="false">Sens!$H$676/Sens!$H$648</f>
        <v>0.291219860009375</v>
      </c>
      <c r="I677" s="13" t="n">
        <f aca="false">Sens!$I$676/Sens!$I$648</f>
        <v>0.128010876098173</v>
      </c>
      <c r="J677" s="13" t="n">
        <f aca="false">Sens!$J$676/Sens!$J$648</f>
        <v>0.099336477985118</v>
      </c>
      <c r="K677" s="13" t="n">
        <f aca="false">Sens!$K$676/Sens!$K$648</f>
        <v>0.0593918742954412</v>
      </c>
      <c r="L677" s="13" t="n">
        <f aca="false">Sens!$L$676/Sens!$L$648</f>
        <v>0.0352994184800023</v>
      </c>
      <c r="M677" s="13" t="n">
        <f aca="false">Sens!$M$676/Sens!$M$648</f>
        <v>0.0232090659182455</v>
      </c>
      <c r="N677" s="13" t="n">
        <f aca="false">Sens!$N$676/Sens!$N$648</f>
        <v>0.591338253041814</v>
      </c>
      <c r="O677" s="13" t="n">
        <f aca="false">Sens!$O$676/Sens!$O$648</f>
        <v>0.668792929107785</v>
      </c>
    </row>
    <row r="678" customFormat="false" ht="17.15" hidden="false" customHeight="false" outlineLevel="0" collapsed="false">
      <c r="A678" s="5" t="s">
        <v>704</v>
      </c>
      <c r="B678" s="0" t="s">
        <v>91</v>
      </c>
      <c r="C678" s="41" t="n">
        <v>0</v>
      </c>
      <c r="D678" s="41" t="n">
        <v>0</v>
      </c>
      <c r="E678" s="41" t="n">
        <v>0</v>
      </c>
      <c r="F678" s="40" t="n">
        <f aca="false">IF(1=2,1,0)*(1-ext_sh)/ext_sh*(mw_open*he_open+Sens!$F$646*Sens!$F$643)*Sens!$F$632/1000</f>
        <v>0</v>
      </c>
      <c r="G678" s="40" t="n">
        <f aca="false">Sens!$E$678+Sens!$F$678</f>
        <v>0</v>
      </c>
      <c r="H678" s="40" t="n">
        <f aca="false">IF(1=2,1,0)*(1-ext_sh)/ext_sh*(mw_open*he_open+Sens!$H$646*Sens!$H$643)*Sens!$H$632/1000</f>
        <v>0</v>
      </c>
      <c r="I678" s="40" t="n">
        <f aca="false">IF(1=2,1,0)*(1-ext_sh)/ext_sh*(mw_open*he_open+Sens!$I$646*Sens!$I$643)*Sens!$I$632/1000</f>
        <v>0</v>
      </c>
      <c r="J678" s="40" t="n">
        <f aca="false">IF(1=2,1,0)*(1-ext_sh)/ext_sh*(mw_open*he_open+Sens!$J$646*Sens!$J$643)*Sens!$J$632/1000</f>
        <v>0</v>
      </c>
      <c r="K678" s="40" t="n">
        <f aca="false">IF(1=2,1,0)*(1-ext_sh)/ext_sh*(mw_open*he_open+Sens!$K$646*Sens!$K$643)*Sens!$K$632/1000</f>
        <v>0</v>
      </c>
      <c r="L678" s="40" t="n">
        <f aca="false">IF(1=2,1,0)*(1-ext_sh)/ext_sh*(mw_open*he_open+Sens!$L$646*Sens!$L$643)*Sens!$L$632/1000</f>
        <v>0</v>
      </c>
      <c r="M678" s="40" t="n">
        <f aca="false">IF(1=2,1,0)*(1-ext_sh)/ext_sh*(mw_open*he_open+Sens!$M$646*Sens!$M$643)*Sens!$M$632/1000</f>
        <v>0</v>
      </c>
      <c r="N678" s="41" t="n">
        <v>0</v>
      </c>
      <c r="O678" s="41" t="n">
        <v>0</v>
      </c>
      <c r="P678" s="8" t="s">
        <v>705</v>
      </c>
    </row>
    <row r="679" customFormat="false" ht="17.15" hidden="false" customHeight="false" outlineLevel="0" collapsed="false">
      <c r="A679" s="5" t="s">
        <v>706</v>
      </c>
      <c r="B679" s="0" t="s">
        <v>91</v>
      </c>
      <c r="C679" s="40" t="n">
        <f aca="false">(1-ext_sh)*(Sens!$C$650+Sens!$C$672)</f>
        <v>0.169206631859174</v>
      </c>
      <c r="D679" s="40" t="n">
        <f aca="false">(1-ext_sh)*(Sens!$D$650+Sens!$D$672)</f>
        <v>0.828129837730442</v>
      </c>
      <c r="E679" s="40" t="n">
        <f aca="false">(1-ext_sh)*(Sens!$E$650+Sens!$E$672)</f>
        <v>2.47149617002198</v>
      </c>
      <c r="F679" s="40" t="n">
        <f aca="false">(1-ext_sh)*(Sens!$F$650+Sens!$F$672)</f>
        <v>1.0018333006889</v>
      </c>
      <c r="G679" s="40" t="n">
        <f aca="false">(1-ext_sh)*(Sens!$G$650+Sens!$G$672)</f>
        <v>3.47332947071088</v>
      </c>
      <c r="H679" s="40" t="n">
        <f aca="false">(1-ext_sh)*(Sens!$H$650+Sens!$H$672)</f>
        <v>8.54151438097997</v>
      </c>
      <c r="I679" s="40" t="n">
        <f aca="false">(1-ext_sh)*(Sens!$I$650+Sens!$I$672)</f>
        <v>16.8748995120144</v>
      </c>
      <c r="J679" s="40" t="n">
        <f aca="false">(1-ext_sh)*(Sens!$J$650+Sens!$J$672)</f>
        <v>24.041622128762</v>
      </c>
      <c r="K679" s="40" t="n">
        <f aca="false">(1-ext_sh)*(Sens!$K$650+Sens!$K$672)</f>
        <v>30.9969286546569</v>
      </c>
      <c r="L679" s="40" t="n">
        <f aca="false">(1-ext_sh)*(Sens!$L$650+Sens!$L$672)</f>
        <v>35.758324665946</v>
      </c>
      <c r="M679" s="40" t="n">
        <f aca="false">(1-ext_sh)*(Sens!$M$650+Sens!$M$672)</f>
        <v>38.1188912537568</v>
      </c>
      <c r="N679" s="40" t="n">
        <f aca="false">(1-ext_sh)*(Sens!$N$650+Sens!$N$672)</f>
        <v>0.566880601147126</v>
      </c>
      <c r="O679" s="40" t="n">
        <f aca="false">(1-ext_sh)*(Sens!$O$650+Sens!$O$672)</f>
        <v>0.261249236583316</v>
      </c>
    </row>
    <row r="680" customFormat="false" ht="17.15" hidden="false" customHeight="false" outlineLevel="0" collapsed="false">
      <c r="A680" s="0" t="s">
        <v>707</v>
      </c>
      <c r="B680" s="0" t="s">
        <v>91</v>
      </c>
      <c r="C680" s="40" t="n">
        <f aca="false">Q!$D$25</f>
        <v>39.834</v>
      </c>
      <c r="D680" s="40" t="n">
        <f aca="false">Q!$E$25</f>
        <v>45.606</v>
      </c>
      <c r="E680" s="40" t="n">
        <f aca="false">Q!$O$25</f>
        <v>48.555</v>
      </c>
      <c r="N680" s="40" t="n">
        <f aca="false">Q!$N$25</f>
        <v>33.141</v>
      </c>
      <c r="O680" s="40" t="n">
        <f aca="false">Q!$J$25</f>
        <v>12.465</v>
      </c>
    </row>
    <row r="681" customFormat="false" ht="17.15" hidden="false" customHeight="false" outlineLevel="0" collapsed="false">
      <c r="A681" s="0" t="s">
        <v>708</v>
      </c>
      <c r="B681" s="0" t="s">
        <v>91</v>
      </c>
      <c r="C681" s="40" t="n">
        <f aca="false">Sens!$C$680-Sens!$C$676</f>
        <v>38.1898211704631</v>
      </c>
      <c r="D681" s="40" t="n">
        <f aca="false">Sens!$D$680-Sens!$D$676</f>
        <v>40.2147492622706</v>
      </c>
      <c r="E681" s="40" t="n">
        <f aca="false">Sens!$E$680-Sens!$E$676</f>
        <v>42.2402766241401</v>
      </c>
      <c r="F681" s="40" t="n">
        <f aca="false">Sens!$F$652*Sens!$F$682</f>
        <v>13.6943139813566</v>
      </c>
      <c r="G681" s="40" t="n">
        <f aca="false">Sens!$E$681+Sens!$F$681</f>
        <v>55.9345906054967</v>
      </c>
      <c r="H681" s="40" t="n">
        <f aca="false">Sens!$H$652*Sens!$H$682</f>
        <v>61.088168450178</v>
      </c>
      <c r="I681" s="40" t="n">
        <f aca="false">Sens!$I$652*Sens!$I$682</f>
        <v>67.8233475699772</v>
      </c>
      <c r="J681" s="40" t="n">
        <f aca="false">Sens!$J$652*Sens!$J$682</f>
        <v>74.2751592782286</v>
      </c>
      <c r="K681" s="40" t="n">
        <f aca="false">Sens!$K$652*Sens!$K$682</f>
        <v>80.2171720204868</v>
      </c>
      <c r="L681" s="40" t="n">
        <f aca="false">Sens!$L$652*Sens!$L$682</f>
        <v>86.6345457821258</v>
      </c>
      <c r="M681" s="40" t="n">
        <f aca="false">Sens!$M$652*Sens!$M$682</f>
        <v>93.5653094446959</v>
      </c>
      <c r="N681" s="40" t="n">
        <f aca="false">Sens!$N$680-Sens!$N$676</f>
        <v>29.8598689730734</v>
      </c>
      <c r="O681" s="40" t="n">
        <f aca="false">Sens!$O$680-Sens!$O$676</f>
        <v>10.3548802891972</v>
      </c>
      <c r="P681" s="5" t="s">
        <v>709</v>
      </c>
    </row>
    <row r="682" customFormat="false" ht="17.15" hidden="false" customHeight="false" outlineLevel="0" collapsed="false">
      <c r="A682" s="0" t="s">
        <v>710</v>
      </c>
      <c r="B682" s="0" t="s">
        <v>56</v>
      </c>
      <c r="C682" s="13" t="n">
        <f aca="false">Sens!$C$681/Sens!$C$652</f>
        <v>0.362900395443635</v>
      </c>
      <c r="D682" s="13" t="n">
        <f aca="false">Sens!$D$681/Sens!$D$652</f>
        <v>0.335063632425483</v>
      </c>
      <c r="E682" s="13" t="n">
        <f aca="false">Sens!$E$681/Sens!$E$652</f>
        <v>0.385395924436527</v>
      </c>
      <c r="F682" s="13" t="n">
        <f aca="false">(Sens!$O$681+Sens!$E$681)/(Sens!$O$652+Sens!$E$652)</f>
        <v>0.37032016673748</v>
      </c>
      <c r="G682" s="13" t="n">
        <f aca="false">Sens!$G$681/Sens!$G$652</f>
        <v>0.381592615841289</v>
      </c>
      <c r="H682" s="13" t="n">
        <f aca="false">Sens!$F$682</f>
        <v>0.37032016673748</v>
      </c>
      <c r="I682" s="13" t="n">
        <f aca="false">Sens!$F$682</f>
        <v>0.37032016673748</v>
      </c>
      <c r="J682" s="13" t="n">
        <f aca="false">Sens!$F$682</f>
        <v>0.37032016673748</v>
      </c>
      <c r="K682" s="13" t="n">
        <f aca="false">Sens!$F$682</f>
        <v>0.37032016673748</v>
      </c>
      <c r="L682" s="13" t="n">
        <f aca="false">Sens!$F$682</f>
        <v>0.37032016673748</v>
      </c>
      <c r="M682" s="13" t="n">
        <f aca="false">Sens!$F$682</f>
        <v>0.37032016673748</v>
      </c>
      <c r="N682" s="13" t="n">
        <f aca="false">Sens!$N$681/Sens!$N$652</f>
        <v>0.340876409421015</v>
      </c>
      <c r="O682" s="13" t="n">
        <f aca="false">Sens!$O$681/Sens!$O$652</f>
        <v>0.319359657808422</v>
      </c>
      <c r="P682" s="8" t="s">
        <v>711</v>
      </c>
    </row>
    <row r="683" customFormat="false" ht="17.15" hidden="false" customHeight="false" outlineLevel="0" collapsed="false">
      <c r="A683" s="0" t="s">
        <v>712</v>
      </c>
      <c r="B683" s="0" t="s">
        <v>56</v>
      </c>
      <c r="D683" s="13" t="n">
        <f aca="false">(Q!$E$33-ext_sh*Sens!$D$672)/Sens!$D$652</f>
        <v>0.167180325480118</v>
      </c>
    </row>
    <row r="684" customFormat="false" ht="17.15" hidden="false" customHeight="false" outlineLevel="0" collapsed="false">
      <c r="A684" s="0" t="s">
        <v>713</v>
      </c>
      <c r="B684" s="0" t="s">
        <v>91</v>
      </c>
      <c r="C684" s="40" t="n">
        <f aca="false">Q!$D$33</f>
        <v>13.32</v>
      </c>
      <c r="D684" s="40" t="n">
        <f aca="false">Q!$E$33</f>
        <v>21.45</v>
      </c>
      <c r="E684" s="40" t="n">
        <f aca="false">Q!$O$33</f>
        <v>23.8172847708625</v>
      </c>
      <c r="F684" s="40" t="n">
        <f aca="false">ext_sh*Sens!$F$672+Sens!$D$683*Sens!$F$652</f>
        <v>8.28155769350516</v>
      </c>
      <c r="G684" s="40" t="n">
        <f aca="false">Sens!$E$684+Sens!$F$684</f>
        <v>32.0988424643677</v>
      </c>
      <c r="H684" s="40" t="n">
        <f aca="false">ext_sh*Sens!$H$672+Sens!$D$683*Sens!$H$652</f>
        <v>48.7469278856268</v>
      </c>
      <c r="I684" s="40" t="n">
        <f aca="false">ext_sh*Sens!$I$672+Sens!$D$683*Sens!$I$652</f>
        <v>76.4669223006817</v>
      </c>
      <c r="J684" s="40" t="n">
        <f aca="false">ext_sh*Sens!$J$672+Sens!$D$683*Sens!$J$652</f>
        <v>99.3763394539051</v>
      </c>
      <c r="K684" s="40" t="n">
        <f aca="false">ext_sh*Sens!$K$672+Sens!$D$683*Sens!$K$652</f>
        <v>122.481549194278</v>
      </c>
      <c r="L684" s="40" t="n">
        <f aca="false">ext_sh*Sens!$L$672+Sens!$D$683*Sens!$L$652</f>
        <v>139.564108797953</v>
      </c>
      <c r="M684" s="40" t="n">
        <f aca="false">ext_sh*Sens!$M$672+Sens!$D$683*Sens!$M$652</f>
        <v>149.816114943274</v>
      </c>
      <c r="N684" s="40" t="n">
        <f aca="false">Q!$N$33</f>
        <v>14.882</v>
      </c>
      <c r="O684" s="40" t="n">
        <f aca="false">Q!$J$33</f>
        <v>6.568</v>
      </c>
    </row>
    <row r="685" customFormat="false" ht="17.15" hidden="false" customHeight="false" outlineLevel="0" collapsed="false">
      <c r="A685" s="1" t="s">
        <v>714</v>
      </c>
    </row>
    <row r="686" customFormat="false" ht="17.15" hidden="false" customHeight="false" outlineLevel="0" collapsed="false">
      <c r="A686" s="15" t="s">
        <v>715</v>
      </c>
      <c r="B686" s="14" t="s">
        <v>56</v>
      </c>
      <c r="C686" s="14"/>
      <c r="D686" s="14"/>
      <c r="E686" s="14"/>
      <c r="F686" s="14"/>
      <c r="G686" s="17" t="n">
        <f aca="false">Sens!$G$676*(1-tax)/(ext_sh*(Sens!$D$673+Sens!$G$673)/2)</f>
        <v>0.0619642656010304</v>
      </c>
      <c r="H686" s="17" t="n">
        <f aca="false">Sens!$H$676*(1-tax)/(ext_sh*(Sens!$G$673+Sens!$H$673)/2)</f>
        <v>0.0465979959092073</v>
      </c>
      <c r="I686" s="17" t="n">
        <f aca="false">Sens!$I$676*(1-tax)/(ext_sh*(Sens!$H$673+Sens!$I$673)/2)</f>
        <v>0.0227610509439038</v>
      </c>
      <c r="J686" s="17" t="n">
        <f aca="false">Sens!$J$676*(1-tax)/(ext_sh*(Sens!$I$673+Sens!$J$673)/2)</f>
        <v>0.0193700626311102</v>
      </c>
      <c r="K686" s="17" t="n">
        <f aca="false">Sens!$K$676*(1-tax)/(ext_sh*(Sens!$J$673+Sens!$K$673)/2)</f>
        <v>0.0127617000871697</v>
      </c>
      <c r="L686" s="17" t="n">
        <f aca="false">Sens!$L$676*(1-tax)/(ext_sh*(Sens!$K$673+Sens!$L$673)/2)</f>
        <v>0.0084008267922601</v>
      </c>
      <c r="M686" s="17" t="n">
        <f aca="false">Sens!$M$676*(1-tax)/(ext_sh*(Sens!$L$673+Sens!$M$673)/2)</f>
        <v>0.0059651244622717</v>
      </c>
      <c r="N686" s="14"/>
      <c r="O686" s="14"/>
      <c r="P686" s="8" t="s">
        <v>716</v>
      </c>
    </row>
    <row r="687" customFormat="false" ht="17.15" hidden="false" customHeight="false" outlineLevel="0" collapsed="false">
      <c r="A687" s="5" t="s">
        <v>717</v>
      </c>
      <c r="B687" s="0" t="s">
        <v>61</v>
      </c>
      <c r="H687" s="21" t="n">
        <f aca="false">Sens!$H$648*1000/(mw_open*he_open+Sens!$H$646*Sens!$H$643)</f>
        <v>0.887269741231569</v>
      </c>
      <c r="I687" s="21" t="n">
        <f aca="false">Sens!$I$648*1000/(mw_open*he_open+Sens!$I$646*Sens!$I$643)</f>
        <v>0.862672973239064</v>
      </c>
      <c r="J687" s="21" t="n">
        <f aca="false">Sens!$J$648*1000/(mw_open*he_open+Sens!$J$646*Sens!$J$643)</f>
        <v>0.851952244335174</v>
      </c>
      <c r="K687" s="21" t="n">
        <f aca="false">Sens!$K$648*1000/(mw_open*he_open+Sens!$K$646*Sens!$K$643)</f>
        <v>0.846682397580613</v>
      </c>
      <c r="L687" s="21" t="n">
        <f aca="false">Sens!$L$648*1000/(mw_open*he_open+Sens!$L$646*Sens!$L$643)</f>
        <v>0.844212193176891</v>
      </c>
      <c r="M687" s="21" t="n">
        <f aca="false">Sens!$M$648*1000/(mw_open*he_open+Sens!$M$646*Sens!$M$643)</f>
        <v>0.843223211751805</v>
      </c>
    </row>
    <row r="688" customFormat="false" ht="17.15" hidden="false" customHeight="false" outlineLevel="0" collapsed="false">
      <c r="A688" s="5" t="s">
        <v>718</v>
      </c>
      <c r="B688" s="0" t="s">
        <v>61</v>
      </c>
      <c r="H688" s="21" t="n">
        <f aca="false">Sens!$H$687*(Sens!$H$648+wacc*ext_sh*(Sens!$G$673+Sens!$H$673)/2/(1-tax)-Sens!$H$676)/Sens!$H$648</f>
        <v>1.2495603691001</v>
      </c>
      <c r="I688" s="21" t="n">
        <f aca="false">Sens!$I$687*(Sens!$I$648+wacc*ext_sh*(Sens!$H$673+Sens!$I$673)/2/(1-tax)-Sens!$I$676)/Sens!$I$648</f>
        <v>1.29531658657202</v>
      </c>
      <c r="J688" s="21" t="n">
        <f aca="false">Sens!$J$687*(Sens!$J$648+wacc*ext_sh*(Sens!$I$673+Sens!$J$673)/2/(1-tax)-Sens!$J$676)/Sens!$J$648</f>
        <v>1.25637105868111</v>
      </c>
      <c r="K688" s="21" t="n">
        <f aca="false">Sens!$K$687*(Sens!$K$648+wacc*ext_sh*(Sens!$J$673+Sens!$K$673)/2/(1-tax)-Sens!$K$676)/Sens!$K$648</f>
        <v>1.23745687469817</v>
      </c>
      <c r="L688" s="21" t="n">
        <f aca="false">Sens!$L$687*(Sens!$L$648+wacc*ext_sh*(Sens!$K$673+Sens!$L$673)/2/(1-tax)-Sens!$L$676)/Sens!$L$648</f>
        <v>1.21147215032837</v>
      </c>
      <c r="M688" s="21" t="n">
        <f aca="false">Sens!$M$687*(Sens!$M$648+wacc*ext_sh*(Sens!$L$673+Sens!$M$673)/2/(1-tax)-Sens!$M$676)/Sens!$M$648</f>
        <v>1.19088424428048</v>
      </c>
    </row>
    <row r="689" customFormat="false" ht="17.15" hidden="false" customHeight="false" outlineLevel="0" collapsed="false">
      <c r="A689" s="5" t="s">
        <v>719</v>
      </c>
      <c r="B689" s="0" t="s">
        <v>56</v>
      </c>
      <c r="C689" s="13" t="n">
        <f aca="false">Sens!$C$649/tk_pq</f>
        <v>0.195316432429398</v>
      </c>
      <c r="D689" s="13" t="n">
        <f aca="false">Sens!$D$649/tk_pq</f>
        <v>0.195316432429398</v>
      </c>
      <c r="E689" s="13" t="n">
        <f aca="false">Sens!$E$649/tk_pq</f>
        <v>0.195316432429398</v>
      </c>
      <c r="F689" s="13" t="n">
        <f aca="false">Sens!$F$649/tk_pq</f>
        <v>0.175303395998489</v>
      </c>
      <c r="G689" s="13" t="n">
        <f aca="false">Sens!$G$649/tk_pq</f>
        <v>0.188448698608609</v>
      </c>
      <c r="H689" s="13" t="n">
        <f aca="false">Sens!$H$649/tk_pq</f>
        <v>0.165882472480968</v>
      </c>
      <c r="I689" s="13" t="n">
        <f aca="false">Sens!$I$649/tk_pq</f>
        <v>0.161877240702116</v>
      </c>
      <c r="J689" s="13" t="n">
        <f aca="false">Sens!$J$649/tk_pq</f>
        <v>0.160368604761812</v>
      </c>
      <c r="K689" s="13" t="n">
        <f aca="false">Sens!$K$649/tk_pq</f>
        <v>0.159597598389424</v>
      </c>
      <c r="L689" s="13" t="n">
        <f aca="false">Sens!$L$649/tk_pq</f>
        <v>0.159234129958189</v>
      </c>
      <c r="M689" s="13" t="n">
        <f aca="false">Sens!$M$649/tk_pq</f>
        <v>0.159059663732881</v>
      </c>
      <c r="N689" s="13" t="n">
        <f aca="false">Sens!$N$649/tk_pq</f>
        <v>0.195316432429398</v>
      </c>
      <c r="O689" s="13" t="n">
        <f aca="false">Sens!$O$649/tk_pq</f>
        <v>0.195316432429398</v>
      </c>
      <c r="P689" s="5" t="s">
        <v>720</v>
      </c>
    </row>
    <row r="692" customFormat="false" ht="17.15" hidden="false" customHeight="false" outlineLevel="0" collapsed="false">
      <c r="A692" s="1" t="s">
        <v>749</v>
      </c>
    </row>
    <row r="693" customFormat="false" ht="17.15" hidden="false" customHeight="false" outlineLevel="0" collapsed="false">
      <c r="A693" s="0" t="s">
        <v>750</v>
      </c>
      <c r="B693" s="0" t="s">
        <v>91</v>
      </c>
      <c r="C693" s="40" t="n">
        <f aca="false">Sens!$C$648</f>
        <v>2.32100535697364</v>
      </c>
      <c r="D693" s="40" t="n">
        <f aca="false">Sens!$D$648</f>
        <v>8.70377008865116</v>
      </c>
      <c r="E693" s="40" t="n">
        <f aca="false">Sens!$E$648</f>
        <v>16.2007080559478</v>
      </c>
      <c r="F693" s="40" t="n">
        <f aca="false">Sens!$F$648</f>
        <v>7.59676004030123</v>
      </c>
      <c r="G693" s="40" t="n">
        <f aca="false">Sens!$G$648</f>
        <v>23.797468096249</v>
      </c>
      <c r="H693" s="40" t="n">
        <f aca="false">Sens!$H$648</f>
        <v>48.2040277318885</v>
      </c>
      <c r="I693" s="40" t="n">
        <f aca="false">Sens!$I$648</f>
        <v>77.4087614143879</v>
      </c>
      <c r="J693" s="40" t="n">
        <f aca="false">Sens!$J$648</f>
        <v>106.772935912751</v>
      </c>
      <c r="K693" s="40" t="n">
        <f aca="false">Sens!$K$648</f>
        <v>131.816546370738</v>
      </c>
      <c r="L693" s="40" t="n">
        <f aca="false">Sens!$L$648</f>
        <v>148.267038917317</v>
      </c>
      <c r="M693" s="40" t="n">
        <f aca="false">Sens!$M$648</f>
        <v>156.098464568945</v>
      </c>
      <c r="N693" s="40" t="n">
        <f aca="false">Sens!$N$648</f>
        <v>5.54865343151512</v>
      </c>
      <c r="O693" s="40" t="n">
        <f aca="false">Sens!$O$648</f>
        <v>3.15511665713605</v>
      </c>
      <c r="P693" s="8" t="s">
        <v>751</v>
      </c>
    </row>
    <row r="694" customFormat="false" ht="17.15" hidden="false" customHeight="false" outlineLevel="0" collapsed="false">
      <c r="A694" s="0" t="s">
        <v>752</v>
      </c>
      <c r="B694" s="0" t="s">
        <v>91</v>
      </c>
      <c r="C694" s="40" t="n">
        <f aca="false">Sens!$C$652</f>
        <v>105.234994643026</v>
      </c>
      <c r="D694" s="40" t="n">
        <f aca="false">Sens!$D$652</f>
        <v>120.021229911349</v>
      </c>
      <c r="E694" s="40" t="n">
        <f aca="false">Sens!$E$652</f>
        <v>109.602291944052</v>
      </c>
      <c r="F694" s="40" t="n">
        <f aca="false">Sens!$F$652</f>
        <v>36.9796603355509</v>
      </c>
      <c r="G694" s="40" t="n">
        <f aca="false">Sens!$G$652</f>
        <v>146.581952279603</v>
      </c>
      <c r="H694" s="40" t="n">
        <f aca="false">Sens!$H$652</f>
        <v>164.960415168217</v>
      </c>
      <c r="I694" s="40" t="n">
        <f aca="false">Sens!$I$652</f>
        <v>183.1478640969</v>
      </c>
      <c r="J694" s="40" t="n">
        <f aca="false">Sens!$J$652</f>
        <v>200.570117292268</v>
      </c>
      <c r="K694" s="40" t="n">
        <f aca="false">Sens!$K$652</f>
        <v>216.615726675649</v>
      </c>
      <c r="L694" s="40" t="n">
        <f aca="false">Sens!$L$652</f>
        <v>233.944984809701</v>
      </c>
      <c r="M694" s="40" t="n">
        <f aca="false">Sens!$M$652</f>
        <v>252.660583594477</v>
      </c>
      <c r="N694" s="40" t="n">
        <f aca="false">Sens!$N$652</f>
        <v>87.5973465684849</v>
      </c>
      <c r="O694" s="40" t="n">
        <f aca="false">Sens!$O$652</f>
        <v>32.423883342864</v>
      </c>
      <c r="P694" s="8" t="s">
        <v>751</v>
      </c>
    </row>
    <row r="695" customFormat="false" ht="17.15" hidden="false" customHeight="false" outlineLevel="0" collapsed="false">
      <c r="A695" s="1" t="s">
        <v>561</v>
      </c>
      <c r="B695" s="8" t="s">
        <v>91</v>
      </c>
      <c r="C695" s="40" t="n">
        <f aca="false">Q!$D$7</f>
        <v>107.556</v>
      </c>
      <c r="D695" s="40" t="n">
        <f aca="false">Q!$E$7</f>
        <v>128.725</v>
      </c>
      <c r="E695" s="40" t="n">
        <f aca="false">Q!$O$7</f>
        <v>125.803</v>
      </c>
      <c r="F695" s="40" t="n">
        <f aca="false">Sens!$F$693+Sens!$F$694</f>
        <v>44.5764203758521</v>
      </c>
      <c r="G695" s="40" t="n">
        <f aca="false">Sens!$G$693+Sens!$G$694</f>
        <v>170.379420375852</v>
      </c>
      <c r="H695" s="40" t="n">
        <f aca="false">Sens!$H$693+Sens!$H$694</f>
        <v>213.164442900105</v>
      </c>
      <c r="I695" s="40" t="n">
        <f aca="false">Sens!$I$693+Sens!$I$694</f>
        <v>260.556625511288</v>
      </c>
      <c r="J695" s="40" t="n">
        <f aca="false">Sens!$J$693+Sens!$J$694</f>
        <v>307.343053205019</v>
      </c>
      <c r="K695" s="40" t="n">
        <f aca="false">Sens!$K$693+Sens!$K$694</f>
        <v>348.432273046387</v>
      </c>
      <c r="L695" s="40" t="n">
        <f aca="false">Sens!$L$693+Sens!$L$694</f>
        <v>382.212023727019</v>
      </c>
      <c r="M695" s="40" t="n">
        <f aca="false">Sens!$M$693+Sens!$M$694</f>
        <v>408.759048163422</v>
      </c>
      <c r="N695" s="40" t="n">
        <f aca="false">Q!$N$7</f>
        <v>93.146</v>
      </c>
      <c r="O695" s="40" t="n">
        <f aca="false">Q!$J$7</f>
        <v>35.579</v>
      </c>
      <c r="P695" s="5" t="s">
        <v>753</v>
      </c>
    </row>
    <row r="696" customFormat="false" ht="15" hidden="false" customHeight="false" outlineLevel="0" collapsed="false">
      <c r="A696" s="3" t="s">
        <v>754</v>
      </c>
      <c r="B696" s="8" t="s">
        <v>91</v>
      </c>
      <c r="C696" s="40" t="n">
        <f aca="false">Q!$D$8</f>
        <v>637.959</v>
      </c>
      <c r="D696" s="40" t="n">
        <f aca="false">Q!$E$8</f>
        <v>716.924</v>
      </c>
      <c r="E696" s="40" t="n">
        <f aca="false">Q!$O$8</f>
        <v>584.069</v>
      </c>
      <c r="F696" s="40" t="n">
        <f aca="false">Sens!$F$620+Sens!$F$695</f>
        <v>242.980078054089</v>
      </c>
      <c r="G696" s="40" t="n">
        <f aca="false">Sens!$G$620+Sens!$G$695</f>
        <v>827.049078054089</v>
      </c>
      <c r="H696" s="40" t="n">
        <f aca="false">Sens!$H$620+Sens!$H$695</f>
        <v>938.394985536719</v>
      </c>
      <c r="I696" s="40" t="n">
        <f aca="false">Sens!$I$620+Sens!$I$695</f>
        <v>1052.15264251433</v>
      </c>
      <c r="J696" s="40" t="n">
        <f aca="false">Sens!$J$620+Sens!$J$695</f>
        <v>1160.82850403371</v>
      </c>
      <c r="K696" s="40" t="n">
        <f aca="false">Sens!$K$620+Sens!$K$695</f>
        <v>1256.96945886829</v>
      </c>
      <c r="L696" s="40" t="n">
        <f aca="false">Sens!$L$620+Sens!$L$695</f>
        <v>1349.62745761313</v>
      </c>
      <c r="M696" s="40" t="n">
        <f aca="false">Sens!$M$620+Sens!$M$695</f>
        <v>1439.16505556373</v>
      </c>
      <c r="N696" s="40" t="n">
        <f aca="false">Q!$N$8</f>
        <v>503.538</v>
      </c>
      <c r="O696" s="40" t="n">
        <f aca="false">Q!$J$8</f>
        <v>213.386</v>
      </c>
    </row>
    <row r="697" customFormat="false" ht="17.15" hidden="false" customHeight="false" outlineLevel="0" collapsed="false">
      <c r="A697" s="27" t="s">
        <v>766</v>
      </c>
      <c r="B697" s="28" t="s">
        <v>91</v>
      </c>
      <c r="C697" s="43" t="n">
        <f aca="false">Sens!$C$620-(Sens!$C$622+Sens!$C$623)</f>
        <v>0</v>
      </c>
      <c r="D697" s="43" t="n">
        <f aca="false">Sens!$D$620-(Sens!$D$622+Sens!$D$623)</f>
        <v>0</v>
      </c>
      <c r="E697" s="43" t="n">
        <f aca="false">Sens!$E$620-(Sens!$E$622+Sens!$E$623)</f>
        <v>0</v>
      </c>
      <c r="F697" s="43" t="n">
        <f aca="false">Sens!$F$620-(Sens!$F$622+Sens!$F$623)</f>
        <v>0</v>
      </c>
      <c r="G697" s="43" t="n">
        <f aca="false">Sens!$G$620-(Sens!$G$622+Sens!$G$623)</f>
        <v>0</v>
      </c>
      <c r="H697" s="43" t="n">
        <f aca="false">Sens!$H$620-(Sens!$H$622+Sens!$H$623)</f>
        <v>0</v>
      </c>
      <c r="I697" s="43" t="n">
        <f aca="false">Sens!$I$620-(Sens!$I$622+Sens!$I$623)</f>
        <v>0</v>
      </c>
      <c r="J697" s="43" t="n">
        <f aca="false">Sens!$J$620-(Sens!$J$622+Sens!$J$623)</f>
        <v>0</v>
      </c>
      <c r="K697" s="43" t="n">
        <f aca="false">Sens!$K$620-(Sens!$K$622+Sens!$K$623)</f>
        <v>0</v>
      </c>
      <c r="L697" s="43" t="n">
        <f aca="false">Sens!$L$620-(Sens!$L$622+Sens!$L$623)</f>
        <v>0</v>
      </c>
      <c r="M697" s="43" t="n">
        <f aca="false">Sens!$M$620-(Sens!$M$622+Sens!$M$623)</f>
        <v>0</v>
      </c>
      <c r="N697" s="43" t="n">
        <f aca="false">Sens!$N$620-(Sens!$N$622+Sens!$N$623)</f>
        <v>0</v>
      </c>
      <c r="O697" s="43" t="n">
        <f aca="false">Sens!$O$620-(Sens!$O$622+Sens!$O$623)</f>
        <v>0</v>
      </c>
    </row>
    <row r="698" customFormat="false" ht="17.15" hidden="false" customHeight="false" outlineLevel="0" collapsed="false">
      <c r="A698" s="27" t="s">
        <v>767</v>
      </c>
      <c r="B698" s="28" t="s">
        <v>91</v>
      </c>
      <c r="C698" s="43" t="n">
        <f aca="false">Sens!$C$693+Sens!$C$694-Sens!$C$695</f>
        <v>0</v>
      </c>
      <c r="D698" s="43" t="n">
        <f aca="false">Sens!$D$693+Sens!$D$694-Sens!$D$695</f>
        <v>0</v>
      </c>
      <c r="E698" s="43" t="n">
        <f aca="false">Sens!$E$693+Sens!$E$694-Sens!$E$695</f>
        <v>0</v>
      </c>
      <c r="F698" s="43" t="n">
        <f aca="false">Sens!$F$693+Sens!$F$694-Sens!$F$695</f>
        <v>0</v>
      </c>
      <c r="G698" s="43" t="n">
        <f aca="false">Sens!$G$693+Sens!$G$694-Sens!$G$695</f>
        <v>0</v>
      </c>
      <c r="H698" s="43" t="n">
        <f aca="false">Sens!$H$693+Sens!$H$694-Sens!$H$695</f>
        <v>0</v>
      </c>
      <c r="I698" s="43" t="n">
        <f aca="false">Sens!$I$693+Sens!$I$694-Sens!$I$695</f>
        <v>0</v>
      </c>
      <c r="J698" s="43" t="n">
        <f aca="false">Sens!$J$693+Sens!$J$694-Sens!$J$695</f>
        <v>0</v>
      </c>
      <c r="K698" s="43" t="n">
        <f aca="false">Sens!$K$693+Sens!$K$694-Sens!$K$695</f>
        <v>0</v>
      </c>
      <c r="L698" s="43" t="n">
        <f aca="false">Sens!$L$693+Sens!$L$694-Sens!$L$695</f>
        <v>0</v>
      </c>
      <c r="M698" s="43" t="n">
        <f aca="false">Sens!$M$693+Sens!$M$694-Sens!$M$695</f>
        <v>0</v>
      </c>
      <c r="N698" s="43" t="n">
        <f aca="false">Sens!$N$693+Sens!$N$694-Sens!$N$695</f>
        <v>0</v>
      </c>
      <c r="O698" s="43" t="n">
        <f aca="false">Sens!$O$693+Sens!$O$694-Sens!$O$695</f>
        <v>0</v>
      </c>
    </row>
    <row r="699" customFormat="false" ht="17.15" hidden="false" customHeight="false" outlineLevel="0" collapsed="false">
      <c r="A699" s="27" t="s">
        <v>768</v>
      </c>
      <c r="B699" s="28" t="s">
        <v>91</v>
      </c>
      <c r="C699" s="43" t="n">
        <f aca="false">Sens!$C$622+Sens!$C$623+Sens!$C$695-Sens!$C$696</f>
        <v>0</v>
      </c>
      <c r="D699" s="43" t="n">
        <f aca="false">Sens!$D$622+Sens!$D$623+Sens!$D$695-Sens!$D$696</f>
        <v>0</v>
      </c>
      <c r="E699" s="43" t="n">
        <f aca="false">Sens!$E$622+Sens!$E$623+Sens!$E$695-Sens!$E$696</f>
        <v>0</v>
      </c>
      <c r="F699" s="43" t="n">
        <f aca="false">Sens!$F$622+Sens!$F$623+Sens!$F$695-Sens!$F$696</f>
        <v>0</v>
      </c>
      <c r="G699" s="43" t="n">
        <f aca="false">Sens!$G$622+Sens!$G$623+Sens!$G$695-Sens!$G$696</f>
        <v>0</v>
      </c>
      <c r="H699" s="43" t="n">
        <f aca="false">Sens!$H$622+Sens!$H$623+Sens!$H$695-Sens!$H$696</f>
        <v>0</v>
      </c>
      <c r="I699" s="43" t="n">
        <f aca="false">Sens!$I$622+Sens!$I$623+Sens!$I$695-Sens!$I$696</f>
        <v>0</v>
      </c>
      <c r="J699" s="43" t="n">
        <f aca="false">Sens!$J$622+Sens!$J$623+Sens!$J$695-Sens!$J$696</f>
        <v>0</v>
      </c>
      <c r="K699" s="43" t="n">
        <f aca="false">Sens!$K$622+Sens!$K$623+Sens!$K$695-Sens!$K$696</f>
        <v>0</v>
      </c>
      <c r="L699" s="43" t="n">
        <f aca="false">Sens!$L$622+Sens!$L$623+Sens!$L$695-Sens!$L$696</f>
        <v>0</v>
      </c>
      <c r="M699" s="43" t="n">
        <f aca="false">Sens!$M$622+Sens!$M$623+Sens!$M$695-Sens!$M$696</f>
        <v>0</v>
      </c>
      <c r="N699" s="43" t="n">
        <f aca="false">Sens!$N$622+Sens!$N$623+Sens!$N$695-Sens!$N$696</f>
        <v>0</v>
      </c>
      <c r="O699" s="43" t="n">
        <f aca="false">Sens!$O$622+Sens!$O$623+Sens!$O$695-Sens!$O$696</f>
        <v>0</v>
      </c>
    </row>
    <row r="700" customFormat="false" ht="15" hidden="false" customHeight="false" outlineLevel="0" collapsed="false">
      <c r="A700" s="5" t="s">
        <v>758</v>
      </c>
      <c r="B700" s="0" t="s">
        <v>56</v>
      </c>
      <c r="G700" s="13" t="n">
        <f aca="false">Sens!$G$696/Sens!$D$696-1</f>
        <v>0.153607743713544</v>
      </c>
      <c r="H700" s="13" t="n">
        <f aca="false">Sens!$H$696/Sens!$G$696-1</f>
        <v>0.134630350770245</v>
      </c>
      <c r="I700" s="13" t="n">
        <f aca="false">Sens!$I$696/Sens!$H$696-1</f>
        <v>0.121225772442237</v>
      </c>
      <c r="J700" s="13" t="n">
        <f aca="false">Sens!$J$696/Sens!$I$696-1</f>
        <v>0.103289063894458</v>
      </c>
      <c r="K700" s="13" t="n">
        <f aca="false">Sens!$K$696/Sens!$J$696-1</f>
        <v>0.0828209804467246</v>
      </c>
      <c r="L700" s="13" t="n">
        <f aca="false">Sens!$L$696/Sens!$K$696-1</f>
        <v>0.0737153938714357</v>
      </c>
      <c r="M700" s="13" t="n">
        <f aca="false">Sens!$M$696/Sens!$L$696-1</f>
        <v>0.0663424543162086</v>
      </c>
    </row>
    <row r="701" customFormat="false" ht="17.15" hidden="false" customHeight="false" outlineLevel="0" collapsed="false">
      <c r="A701" s="0" t="s">
        <v>759</v>
      </c>
      <c r="B701" s="0" t="s">
        <v>56</v>
      </c>
      <c r="C701" s="13" t="n">
        <f aca="false">Sens!$C$695/Sens!$C$696</f>
        <v>0.168593906504964</v>
      </c>
      <c r="D701" s="13" t="n">
        <f aca="false">Sens!$D$695/Sens!$D$696</f>
        <v>0.179551807444025</v>
      </c>
      <c r="E701" s="13" t="n">
        <f aca="false">Sens!$E$695/Sens!$E$696</f>
        <v>0.2153906473379</v>
      </c>
      <c r="F701" s="13" t="n">
        <f aca="false">Sens!$F$695/Sens!$F$696</f>
        <v>0.183457099581345</v>
      </c>
      <c r="G701" s="13" t="n">
        <f aca="false">Sens!$G$695/Sens!$G$696</f>
        <v>0.206008839011981</v>
      </c>
      <c r="H701" s="13" t="n">
        <f aca="false">Sens!$H$695/Sens!$H$696</f>
        <v>0.227158548570233</v>
      </c>
      <c r="I701" s="13" t="n">
        <f aca="false">Sens!$I$695/Sens!$I$696</f>
        <v>0.247641468531254</v>
      </c>
      <c r="J701" s="13" t="n">
        <f aca="false">Sens!$J$695/Sens!$J$696</f>
        <v>0.264761807740804</v>
      </c>
      <c r="K701" s="13" t="n">
        <f aca="false">Sens!$K$695/Sens!$K$696</f>
        <v>0.277200269734554</v>
      </c>
      <c r="L701" s="13" t="n">
        <f aca="false">Sens!$L$695/Sens!$L$696</f>
        <v>0.283198168184111</v>
      </c>
      <c r="M701" s="13" t="n">
        <f aca="false">Sens!$M$695/Sens!$M$696</f>
        <v>0.284025134284064</v>
      </c>
      <c r="N701" s="13" t="n">
        <f aca="false">Sens!$N$695/Sens!$N$696</f>
        <v>0.184983059868371</v>
      </c>
      <c r="O701" s="13" t="n">
        <f aca="false">Sens!$O$695/Sens!$O$696</f>
        <v>0.1667353996982</v>
      </c>
    </row>
    <row r="702" customFormat="false" ht="17.15" hidden="false" customHeight="false" outlineLevel="0" collapsed="false">
      <c r="A702" s="0" t="s">
        <v>760</v>
      </c>
      <c r="B702" s="0" t="s">
        <v>56</v>
      </c>
      <c r="C702" s="13" t="n">
        <f aca="false">Sens!$C$693/Sens!$C$695</f>
        <v>0.0215795060896058</v>
      </c>
      <c r="D702" s="13" t="n">
        <f aca="false">Sens!$D$693/Sens!$D$695</f>
        <v>0.0676152269462122</v>
      </c>
      <c r="E702" s="13" t="n">
        <f aca="false">Sens!$E$693/Sens!$E$695</f>
        <v>0.128778392057008</v>
      </c>
      <c r="F702" s="13" t="n">
        <f aca="false">Sens!$F$693/Sens!$F$695</f>
        <v>0.170421042700336</v>
      </c>
      <c r="G702" s="13" t="n">
        <f aca="false">Sens!$G$693/Sens!$G$695</f>
        <v>0.139673371606456</v>
      </c>
      <c r="H702" s="13" t="n">
        <f aca="false">Sens!$H$693/Sens!$H$695</f>
        <v>0.226135405492924</v>
      </c>
      <c r="I702" s="13" t="n">
        <f aca="false">Sens!$I$693/Sens!$I$695</f>
        <v>0.297089975211682</v>
      </c>
      <c r="J702" s="13" t="n">
        <f aca="false">Sens!$J$693/Sens!$J$695</f>
        <v>0.347406374731126</v>
      </c>
      <c r="K702" s="13" t="n">
        <f aca="false">Sens!$K$693/Sens!$K$695</f>
        <v>0.378313252151556</v>
      </c>
      <c r="L702" s="13" t="n">
        <f aca="false">Sens!$L$693/Sens!$L$695</f>
        <v>0.387918301134377</v>
      </c>
      <c r="M702" s="13" t="n">
        <f aca="false">Sens!$M$693/Sens!$M$695</f>
        <v>0.381883814609864</v>
      </c>
      <c r="N702" s="13" t="n">
        <f aca="false">Sens!$N$693/Sens!$N$695</f>
        <v>0.0595694225357516</v>
      </c>
      <c r="O702" s="13" t="n">
        <f aca="false">Sens!$O$693/Sens!$O$695</f>
        <v>0.0886791831455647</v>
      </c>
    </row>
    <row r="705" customFormat="false" ht="19.4" hidden="false" customHeight="false" outlineLevel="0" collapsed="false">
      <c r="A705" s="35" t="s">
        <v>1316</v>
      </c>
    </row>
    <row r="706" customFormat="false" ht="17.15" hidden="false" customHeight="false" outlineLevel="0" collapsed="false">
      <c r="A706" s="6" t="s">
        <v>16</v>
      </c>
      <c r="B706" s="6" t="s">
        <v>17</v>
      </c>
      <c r="C706" s="23" t="s">
        <v>542</v>
      </c>
      <c r="D706" s="23" t="s">
        <v>543</v>
      </c>
      <c r="E706" s="23" t="s">
        <v>631</v>
      </c>
      <c r="F706" s="23" t="s">
        <v>632</v>
      </c>
      <c r="G706" s="23" t="s">
        <v>633</v>
      </c>
      <c r="H706" s="23" t="s">
        <v>634</v>
      </c>
      <c r="I706" s="23" t="s">
        <v>635</v>
      </c>
      <c r="J706" s="23" t="s">
        <v>636</v>
      </c>
      <c r="K706" s="23" t="s">
        <v>637</v>
      </c>
      <c r="L706" s="23" t="s">
        <v>638</v>
      </c>
      <c r="M706" s="23" t="s">
        <v>639</v>
      </c>
      <c r="N706" s="23" t="s">
        <v>640</v>
      </c>
      <c r="O706" s="23" t="s">
        <v>641</v>
      </c>
      <c r="P706" s="6" t="s">
        <v>23</v>
      </c>
      <c r="R706" s="23" t="n">
        <v>2023</v>
      </c>
      <c r="S706" s="23" t="n">
        <v>2024</v>
      </c>
      <c r="T706" s="23" t="n">
        <v>2025</v>
      </c>
      <c r="U706" s="23" t="n">
        <v>2026</v>
      </c>
      <c r="V706" s="23" t="n">
        <v>2027</v>
      </c>
      <c r="W706" s="23" t="n">
        <v>2028</v>
      </c>
      <c r="X706" s="23" t="n">
        <v>2029</v>
      </c>
      <c r="Y706" s="23" t="n">
        <v>2030</v>
      </c>
      <c r="Z706" s="23" t="n">
        <v>2031</v>
      </c>
      <c r="AA706" s="23" t="n">
        <v>2032</v>
      </c>
    </row>
    <row r="707" customFormat="false" ht="17.15" hidden="false" customHeight="false" outlineLevel="0" collapsed="false">
      <c r="A707" s="1" t="s">
        <v>775</v>
      </c>
    </row>
    <row r="708" customFormat="false" ht="15" hidden="false" customHeight="false" outlineLevel="0" collapsed="false">
      <c r="A708" s="0" t="s">
        <v>564</v>
      </c>
      <c r="B708" s="0" t="s">
        <v>91</v>
      </c>
      <c r="C708" s="40" t="n">
        <f aca="false">Sens!$C$607</f>
        <v>247.029</v>
      </c>
      <c r="D708" s="40" t="n">
        <f aca="false">Sens!$D$607</f>
        <v>269.287</v>
      </c>
      <c r="E708" s="40" t="n">
        <f aca="false">Sens!$E$607</f>
        <v>203.156</v>
      </c>
      <c r="F708" s="40" t="n">
        <f aca="false">Sens!$F$607</f>
        <v>90.388463759573</v>
      </c>
      <c r="G708" s="40" t="n">
        <f aca="false">Sens!$G$607</f>
        <v>293.544463759573</v>
      </c>
      <c r="H708" s="40" t="n">
        <f aca="false">Sens!$H$607</f>
        <v>317.13448447826</v>
      </c>
      <c r="I708" s="40" t="n">
        <f aca="false">Sens!$I$607</f>
        <v>339.410577938345</v>
      </c>
      <c r="J708" s="40" t="n">
        <f aca="false">Sens!$J$607</f>
        <v>359.816245442206</v>
      </c>
      <c r="K708" s="40" t="n">
        <f aca="false">Sens!$K$607</f>
        <v>377.807057714316</v>
      </c>
      <c r="L708" s="40" t="n">
        <f aca="false">Sens!$L$607</f>
        <v>396.697410600032</v>
      </c>
      <c r="M708" s="40" t="n">
        <f aca="false">Sens!$M$607</f>
        <v>416.532281130034</v>
      </c>
      <c r="N708" s="40" t="n">
        <f aca="false">Sens!$N$607</f>
        <v>186.299</v>
      </c>
      <c r="O708" s="40" t="n">
        <f aca="false">Sens!$O$607</f>
        <v>82.988</v>
      </c>
    </row>
    <row r="709" customFormat="false" ht="15" hidden="false" customHeight="false" outlineLevel="0" collapsed="false">
      <c r="A709" s="0" t="s">
        <v>565</v>
      </c>
      <c r="B709" s="0" t="s">
        <v>91</v>
      </c>
      <c r="C709" s="40" t="n">
        <f aca="false">Sens!$C$609</f>
        <v>21.215</v>
      </c>
      <c r="D709" s="40" t="n">
        <f aca="false">Sens!$D$609</f>
        <v>22.561</v>
      </c>
      <c r="E709" s="40" t="n">
        <f aca="false">Sens!$E$609</f>
        <v>17.289</v>
      </c>
      <c r="F709" s="40" t="n">
        <f aca="false">Sens!$F$609</f>
        <v>6.05205510939944</v>
      </c>
      <c r="G709" s="40" t="n">
        <f aca="false">Sens!$G$609</f>
        <v>23.3410551093994</v>
      </c>
      <c r="H709" s="40" t="n">
        <f aca="false">Sens!$H$609</f>
        <v>24.1270238539533</v>
      </c>
      <c r="I709" s="40" t="n">
        <f aca="false">Sens!$I$609</f>
        <v>24.9099173270163</v>
      </c>
      <c r="J709" s="40" t="n">
        <f aca="false">Sens!$J$609</f>
        <v>25.6877148084528</v>
      </c>
      <c r="K709" s="40" t="n">
        <f aca="false">Sens!$K$609</f>
        <v>26.4583462527063</v>
      </c>
      <c r="L709" s="40" t="n">
        <f aca="false">Sens!$L$609</f>
        <v>27.2520966402875</v>
      </c>
      <c r="M709" s="40" t="n">
        <f aca="false">Sens!$M$609</f>
        <v>28.0696595394962</v>
      </c>
      <c r="N709" s="40" t="n">
        <f aca="false">Sens!$N$609</f>
        <v>16.706</v>
      </c>
      <c r="O709" s="40" t="n">
        <f aca="false">Sens!$O$609</f>
        <v>5.855</v>
      </c>
    </row>
    <row r="710" customFormat="false" ht="15" hidden="false" customHeight="false" outlineLevel="0" collapsed="false">
      <c r="A710" s="0" t="s">
        <v>566</v>
      </c>
      <c r="B710" s="0" t="s">
        <v>91</v>
      </c>
      <c r="C710" s="40" t="n">
        <f aca="false">Sens!$C$611</f>
        <v>156.146</v>
      </c>
      <c r="D710" s="40" t="n">
        <f aca="false">Sens!$D$611</f>
        <v>172.162</v>
      </c>
      <c r="E710" s="40" t="n">
        <f aca="false">Sens!$E$611</f>
        <v>134.85</v>
      </c>
      <c r="F710" s="40" t="n">
        <f aca="false">Sens!$F$611</f>
        <v>59.6056141851888</v>
      </c>
      <c r="G710" s="40" t="n">
        <f aca="false">Sens!$G$611</f>
        <v>194.455614185189</v>
      </c>
      <c r="H710" s="40" t="n">
        <f aca="false">Sens!$H$611</f>
        <v>216.80459217381</v>
      </c>
      <c r="I710" s="40" t="n">
        <f aca="false">Sens!$I$611</f>
        <v>238.475078227356</v>
      </c>
      <c r="J710" s="40" t="n">
        <f aca="false">Sens!$J$611</f>
        <v>258.739974865958</v>
      </c>
      <c r="K710" s="40" t="n">
        <f aca="false">Sens!$K$611</f>
        <v>276.851773106575</v>
      </c>
      <c r="L710" s="40" t="n">
        <f aca="false">Sens!$L$611</f>
        <v>296.231397224035</v>
      </c>
      <c r="M710" s="40" t="n">
        <f aca="false">Sens!$M$611</f>
        <v>316.967595029718</v>
      </c>
      <c r="N710" s="40" t="n">
        <f aca="false">Sens!$N$611</f>
        <v>119.346</v>
      </c>
      <c r="O710" s="40" t="n">
        <f aca="false">Sens!$O$611</f>
        <v>52.816</v>
      </c>
    </row>
    <row r="711" customFormat="false" ht="15" hidden="false" customHeight="false" outlineLevel="0" collapsed="false">
      <c r="A711" s="0" t="s">
        <v>567</v>
      </c>
      <c r="B711" s="0" t="s">
        <v>91</v>
      </c>
      <c r="C711" s="40" t="n">
        <f aca="false">Sens!$C$613</f>
        <v>56.214</v>
      </c>
      <c r="D711" s="40" t="n">
        <f aca="false">Sens!$D$613</f>
        <v>68.635</v>
      </c>
      <c r="E711" s="40" t="n">
        <f aca="false">Sens!$E$613</f>
        <v>56.689</v>
      </c>
      <c r="F711" s="40" t="n">
        <f aca="false">Sens!$F$613</f>
        <v>25.5080393747055</v>
      </c>
      <c r="G711" s="40" t="n">
        <f aca="false">Sens!$G$613</f>
        <v>82.1970393747055</v>
      </c>
      <c r="H711" s="40" t="n">
        <f aca="false">Sens!$H$613</f>
        <v>96.4608782883025</v>
      </c>
      <c r="I711" s="40" t="n">
        <f aca="false">Sens!$I$613</f>
        <v>110.835624413712</v>
      </c>
      <c r="J711" s="40" t="n">
        <f aca="false">Sens!$J$613</f>
        <v>124.635851912673</v>
      </c>
      <c r="K711" s="40" t="n">
        <f aca="false">Sens!$K$613</f>
        <v>137.09943710394</v>
      </c>
      <c r="L711" s="40" t="n">
        <f aca="false">Sens!$L$613</f>
        <v>150.809380814334</v>
      </c>
      <c r="M711" s="40" t="n">
        <f aca="false">Sens!$M$613</f>
        <v>165.890318895768</v>
      </c>
      <c r="N711" s="40" t="n">
        <f aca="false">Sens!$N$613</f>
        <v>47.318</v>
      </c>
      <c r="O711" s="40" t="n">
        <f aca="false">Sens!$O$613</f>
        <v>21.317</v>
      </c>
    </row>
    <row r="712" customFormat="false" ht="15" hidden="false" customHeight="false" outlineLevel="0" collapsed="false">
      <c r="A712" s="0" t="s">
        <v>568</v>
      </c>
      <c r="B712" s="0" t="s">
        <v>91</v>
      </c>
      <c r="C712" s="40" t="n">
        <f aca="false">Sens!$C$615</f>
        <v>44.374</v>
      </c>
      <c r="D712" s="40" t="n">
        <f aca="false">Sens!$D$615</f>
        <v>49.619</v>
      </c>
      <c r="E712" s="40" t="n">
        <f aca="false">Sens!$E$615</f>
        <v>41.163</v>
      </c>
      <c r="F712" s="40" t="n">
        <f aca="false">Sens!$F$615</f>
        <v>14.7818388144754</v>
      </c>
      <c r="G712" s="40" t="n">
        <f aca="false">Sens!$G$615</f>
        <v>55.9448388144754</v>
      </c>
      <c r="H712" s="40" t="n">
        <f aca="false">Sens!$H$615</f>
        <v>62.2881216081287</v>
      </c>
      <c r="I712" s="40" t="n">
        <f aca="false">Sens!$I$615</f>
        <v>68.4498533343906</v>
      </c>
      <c r="J712" s="40" t="n">
        <f aca="false">Sens!$J$615</f>
        <v>74.2312327495396</v>
      </c>
      <c r="K712" s="40" t="n">
        <f aca="false">Sens!$K$615</f>
        <v>79.4274190420074</v>
      </c>
      <c r="L712" s="40" t="n">
        <f aca="false">Sens!$L$615</f>
        <v>84.9873383749479</v>
      </c>
      <c r="M712" s="40" t="n">
        <f aca="false">Sens!$M$615</f>
        <v>90.9364520611943</v>
      </c>
      <c r="N712" s="40" t="n">
        <f aca="false">Sens!$N$615</f>
        <v>36.497</v>
      </c>
      <c r="O712" s="40" t="n">
        <f aca="false">Sens!$O$615</f>
        <v>13.122</v>
      </c>
    </row>
    <row r="713" customFormat="false" ht="15" hidden="false" customHeight="false" outlineLevel="0" collapsed="false">
      <c r="A713" s="0" t="s">
        <v>569</v>
      </c>
      <c r="B713" s="0" t="s">
        <v>91</v>
      </c>
      <c r="C713" s="40" t="n">
        <f aca="false">Sens!$C$617</f>
        <v>5.425</v>
      </c>
      <c r="D713" s="40" t="n">
        <f aca="false">Sens!$D$617</f>
        <v>5.935</v>
      </c>
      <c r="E713" s="40" t="n">
        <f aca="false">Sens!$E$617</f>
        <v>5.119</v>
      </c>
      <c r="F713" s="40" t="n">
        <f aca="false">Sens!$F$617</f>
        <v>2.06764643489463</v>
      </c>
      <c r="G713" s="40" t="n">
        <f aca="false">Sens!$G$617</f>
        <v>7.18664643489463</v>
      </c>
      <c r="H713" s="40" t="n">
        <f aca="false">Sens!$H$617</f>
        <v>8.41544223415965</v>
      </c>
      <c r="I713" s="40" t="n">
        <f aca="false">Sens!$I$617</f>
        <v>9.51496576222195</v>
      </c>
      <c r="J713" s="40" t="n">
        <f aca="false">Sens!$J$617</f>
        <v>10.3744310498661</v>
      </c>
      <c r="K713" s="40" t="n">
        <f aca="false">Sens!$K$617</f>
        <v>10.8931526023594</v>
      </c>
      <c r="L713" s="40" t="n">
        <f aca="false">Sens!$L$617</f>
        <v>11.4378102324774</v>
      </c>
      <c r="M713" s="40" t="n">
        <f aca="false">Sens!$M$617</f>
        <v>12.0097007441012</v>
      </c>
      <c r="N713" s="40" t="n">
        <f aca="false">Sens!$N$617</f>
        <v>4.226</v>
      </c>
      <c r="O713" s="40" t="n">
        <f aca="false">Sens!$O$617</f>
        <v>1.709</v>
      </c>
    </row>
    <row r="714" customFormat="false" ht="17.15" hidden="false" customHeight="false" outlineLevel="0" collapsed="false">
      <c r="A714" s="0" t="s">
        <v>776</v>
      </c>
      <c r="B714" s="0" t="s">
        <v>91</v>
      </c>
      <c r="C714" s="40" t="n">
        <f aca="false">Sens!$C$695</f>
        <v>107.556</v>
      </c>
      <c r="D714" s="40" t="n">
        <f aca="false">Sens!$D$695</f>
        <v>128.725</v>
      </c>
      <c r="E714" s="40" t="n">
        <f aca="false">Sens!$E$695</f>
        <v>125.803</v>
      </c>
      <c r="F714" s="40" t="n">
        <f aca="false">Sens!$F$695</f>
        <v>44.5764203758521</v>
      </c>
      <c r="G714" s="40" t="n">
        <f aca="false">Sens!$G$695</f>
        <v>170.379420375852</v>
      </c>
      <c r="H714" s="40" t="n">
        <f aca="false">Sens!$H$695</f>
        <v>213.164442900105</v>
      </c>
      <c r="I714" s="40" t="n">
        <f aca="false">Sens!$I$695</f>
        <v>260.556625511288</v>
      </c>
      <c r="J714" s="40" t="n">
        <f aca="false">Sens!$J$695</f>
        <v>307.343053205019</v>
      </c>
      <c r="K714" s="40" t="n">
        <f aca="false">Sens!$K$695</f>
        <v>348.432273046387</v>
      </c>
      <c r="L714" s="40" t="n">
        <f aca="false">Sens!$L$695</f>
        <v>382.212023727019</v>
      </c>
      <c r="M714" s="40" t="n">
        <f aca="false">Sens!$M$695</f>
        <v>408.759048163422</v>
      </c>
      <c r="N714" s="40" t="n">
        <f aca="false">Sens!$N$695</f>
        <v>93.146</v>
      </c>
      <c r="O714" s="40" t="n">
        <f aca="false">Sens!$O$695</f>
        <v>35.579</v>
      </c>
    </row>
    <row r="715" customFormat="false" ht="15" hidden="false" customHeight="false" outlineLevel="0" collapsed="false">
      <c r="A715" s="1" t="s">
        <v>557</v>
      </c>
      <c r="B715" s="8" t="s">
        <v>91</v>
      </c>
      <c r="C715" s="40" t="n">
        <f aca="false">Sens!$C$622</f>
        <v>387.497</v>
      </c>
      <c r="D715" s="40" t="n">
        <f aca="false">Sens!$D$622</f>
        <v>426.305</v>
      </c>
      <c r="E715" s="40" t="n">
        <f aca="false">Sens!$E$622</f>
        <v>333.172</v>
      </c>
      <c r="F715" s="40" t="n">
        <f aca="false">Sens!$F$622</f>
        <v>141.803933639977</v>
      </c>
      <c r="G715" s="40" t="n">
        <f aca="false">Sens!$G$622</f>
        <v>474.975933639977</v>
      </c>
      <c r="H715" s="40" t="n">
        <f aca="false">Sens!$H$622</f>
        <v>524.566728590708</v>
      </c>
      <c r="I715" s="40" t="n">
        <f aca="false">Sens!$I$622</f>
        <v>572.569560425675</v>
      </c>
      <c r="J715" s="40" t="n">
        <f aca="false">Sens!$J$622</f>
        <v>617.334825989679</v>
      </c>
      <c r="K715" s="40" t="n">
        <f aca="false">Sens!$K$622</f>
        <v>657.154313491738</v>
      </c>
      <c r="L715" s="40" t="n">
        <f aca="false">Sens!$L$622</f>
        <v>699.741557349269</v>
      </c>
      <c r="M715" s="40" t="n">
        <f aca="false">Sens!$M$622</f>
        <v>745.303288602707</v>
      </c>
      <c r="N715" s="40" t="n">
        <f aca="false">Sens!$N$622</f>
        <v>299.222</v>
      </c>
      <c r="O715" s="40" t="n">
        <f aca="false">Sens!$O$622</f>
        <v>127.083</v>
      </c>
    </row>
    <row r="716" customFormat="false" ht="15" hidden="false" customHeight="false" outlineLevel="0" collapsed="false">
      <c r="A716" s="1" t="s">
        <v>560</v>
      </c>
      <c r="B716" s="8" t="s">
        <v>91</v>
      </c>
      <c r="C716" s="40" t="n">
        <f aca="false">Sens!$C$623</f>
        <v>142.906</v>
      </c>
      <c r="D716" s="40" t="n">
        <f aca="false">Sens!$D$623</f>
        <v>161.894</v>
      </c>
      <c r="E716" s="40" t="n">
        <f aca="false">Sens!$E$623</f>
        <v>125.094</v>
      </c>
      <c r="F716" s="40" t="n">
        <f aca="false">Sens!$F$623</f>
        <v>56.5997240382599</v>
      </c>
      <c r="G716" s="40" t="n">
        <f aca="false">Sens!$G$623</f>
        <v>181.69372403826</v>
      </c>
      <c r="H716" s="40" t="n">
        <f aca="false">Sens!$H$623</f>
        <v>200.663814045906</v>
      </c>
      <c r="I716" s="40" t="n">
        <f aca="false">Sens!$I$623</f>
        <v>219.026456577366</v>
      </c>
      <c r="J716" s="40" t="n">
        <f aca="false">Sens!$J$623</f>
        <v>236.150624839017</v>
      </c>
      <c r="K716" s="40" t="n">
        <f aca="false">Sens!$K$623</f>
        <v>251.382872330167</v>
      </c>
      <c r="L716" s="40" t="n">
        <f aca="false">Sens!$L$623</f>
        <v>267.673876536846</v>
      </c>
      <c r="M716" s="40" t="n">
        <f aca="false">Sens!$M$623</f>
        <v>285.102718797604</v>
      </c>
      <c r="N716" s="40" t="n">
        <f aca="false">Sens!$N$623</f>
        <v>111.17</v>
      </c>
      <c r="O716" s="40" t="n">
        <f aca="false">Sens!$O$623</f>
        <v>50.724</v>
      </c>
    </row>
    <row r="717" customFormat="false" ht="15" hidden="false" customHeight="false" outlineLevel="0" collapsed="false">
      <c r="A717" s="1" t="s">
        <v>561</v>
      </c>
      <c r="B717" s="8" t="s">
        <v>91</v>
      </c>
      <c r="C717" s="40" t="n">
        <f aca="false">Sens!$C$695</f>
        <v>107.556</v>
      </c>
      <c r="D717" s="40" t="n">
        <f aca="false">Sens!$D$695</f>
        <v>128.725</v>
      </c>
      <c r="E717" s="40" t="n">
        <f aca="false">Sens!$E$695</f>
        <v>125.803</v>
      </c>
      <c r="F717" s="40" t="n">
        <f aca="false">Sens!$F$695</f>
        <v>44.5764203758521</v>
      </c>
      <c r="G717" s="40" t="n">
        <f aca="false">Sens!$G$695</f>
        <v>170.379420375852</v>
      </c>
      <c r="H717" s="40" t="n">
        <f aca="false">Sens!$H$695</f>
        <v>213.164442900105</v>
      </c>
      <c r="I717" s="40" t="n">
        <f aca="false">Sens!$I$695</f>
        <v>260.556625511288</v>
      </c>
      <c r="J717" s="40" t="n">
        <f aca="false">Sens!$J$695</f>
        <v>307.343053205019</v>
      </c>
      <c r="K717" s="40" t="n">
        <f aca="false">Sens!$K$695</f>
        <v>348.432273046387</v>
      </c>
      <c r="L717" s="40" t="n">
        <f aca="false">Sens!$L$695</f>
        <v>382.212023727019</v>
      </c>
      <c r="M717" s="40" t="n">
        <f aca="false">Sens!$M$695</f>
        <v>408.759048163422</v>
      </c>
      <c r="N717" s="40" t="n">
        <f aca="false">Sens!$N$695</f>
        <v>93.146</v>
      </c>
      <c r="O717" s="40" t="n">
        <f aca="false">Sens!$O$695</f>
        <v>35.579</v>
      </c>
    </row>
    <row r="718" customFormat="false" ht="17.15" hidden="false" customHeight="false" outlineLevel="0" collapsed="false">
      <c r="A718" s="0" t="s">
        <v>750</v>
      </c>
      <c r="B718" s="0" t="s">
        <v>91</v>
      </c>
      <c r="C718" s="40" t="n">
        <f aca="false">Sens!$C$693</f>
        <v>2.32100535697364</v>
      </c>
      <c r="D718" s="40" t="n">
        <f aca="false">Sens!$D$693</f>
        <v>8.70377008865116</v>
      </c>
      <c r="E718" s="40" t="n">
        <f aca="false">Sens!$E$693</f>
        <v>16.2007080559478</v>
      </c>
      <c r="F718" s="40" t="n">
        <f aca="false">Sens!$F$693</f>
        <v>7.59676004030123</v>
      </c>
      <c r="G718" s="40" t="n">
        <f aca="false">Sens!$G$693</f>
        <v>23.797468096249</v>
      </c>
      <c r="H718" s="40" t="n">
        <f aca="false">Sens!$H$693</f>
        <v>48.2040277318885</v>
      </c>
      <c r="I718" s="40" t="n">
        <f aca="false">Sens!$I$693</f>
        <v>77.4087614143879</v>
      </c>
      <c r="J718" s="40" t="n">
        <f aca="false">Sens!$J$693</f>
        <v>106.772935912751</v>
      </c>
      <c r="K718" s="40" t="n">
        <f aca="false">Sens!$K$693</f>
        <v>131.816546370738</v>
      </c>
      <c r="L718" s="40" t="n">
        <f aca="false">Sens!$L$693</f>
        <v>148.267038917317</v>
      </c>
      <c r="M718" s="40" t="n">
        <f aca="false">Sens!$M$693</f>
        <v>156.098464568945</v>
      </c>
      <c r="N718" s="40" t="n">
        <f aca="false">Sens!$N$693</f>
        <v>5.54865343151512</v>
      </c>
      <c r="O718" s="40" t="n">
        <f aca="false">Sens!$O$693</f>
        <v>3.15511665713605</v>
      </c>
    </row>
    <row r="719" customFormat="false" ht="17.15" hidden="false" customHeight="false" outlineLevel="0" collapsed="false">
      <c r="A719" s="0" t="s">
        <v>752</v>
      </c>
      <c r="B719" s="0" t="s">
        <v>91</v>
      </c>
      <c r="C719" s="40" t="n">
        <f aca="false">Sens!$C$694</f>
        <v>105.234994643026</v>
      </c>
      <c r="D719" s="40" t="n">
        <f aca="false">Sens!$D$694</f>
        <v>120.021229911349</v>
      </c>
      <c r="E719" s="40" t="n">
        <f aca="false">Sens!$E$694</f>
        <v>109.602291944052</v>
      </c>
      <c r="F719" s="40" t="n">
        <f aca="false">Sens!$F$694</f>
        <v>36.9796603355509</v>
      </c>
      <c r="G719" s="40" t="n">
        <f aca="false">Sens!$G$694</f>
        <v>146.581952279603</v>
      </c>
      <c r="H719" s="40" t="n">
        <f aca="false">Sens!$H$694</f>
        <v>164.960415168217</v>
      </c>
      <c r="I719" s="40" t="n">
        <f aca="false">Sens!$I$694</f>
        <v>183.1478640969</v>
      </c>
      <c r="J719" s="40" t="n">
        <f aca="false">Sens!$J$694</f>
        <v>200.570117292268</v>
      </c>
      <c r="K719" s="40" t="n">
        <f aca="false">Sens!$K$694</f>
        <v>216.615726675649</v>
      </c>
      <c r="L719" s="40" t="n">
        <f aca="false">Sens!$L$694</f>
        <v>233.944984809701</v>
      </c>
      <c r="M719" s="40" t="n">
        <f aca="false">Sens!$M$694</f>
        <v>252.660583594477</v>
      </c>
      <c r="N719" s="40" t="n">
        <f aca="false">Sens!$N$694</f>
        <v>87.5973465684849</v>
      </c>
      <c r="O719" s="40" t="n">
        <f aca="false">Sens!$O$694</f>
        <v>32.423883342864</v>
      </c>
    </row>
    <row r="720" customFormat="false" ht="15" hidden="false" customHeight="false" outlineLevel="0" collapsed="false">
      <c r="A720" s="3" t="s">
        <v>562</v>
      </c>
      <c r="B720" s="8" t="s">
        <v>91</v>
      </c>
      <c r="C720" s="40" t="n">
        <f aca="false">Sens!$C$696</f>
        <v>637.959</v>
      </c>
      <c r="D720" s="40" t="n">
        <f aca="false">Sens!$D$696</f>
        <v>716.924</v>
      </c>
      <c r="E720" s="40" t="n">
        <f aca="false">Sens!$E$696</f>
        <v>584.069</v>
      </c>
      <c r="F720" s="40" t="n">
        <f aca="false">Sens!$F$696</f>
        <v>242.980078054089</v>
      </c>
      <c r="G720" s="40" t="n">
        <f aca="false">Sens!$G$696</f>
        <v>827.049078054089</v>
      </c>
      <c r="H720" s="40" t="n">
        <f aca="false">Sens!$H$696</f>
        <v>938.394985536719</v>
      </c>
      <c r="I720" s="40" t="n">
        <f aca="false">Sens!$I$696</f>
        <v>1052.15264251433</v>
      </c>
      <c r="J720" s="40" t="n">
        <f aca="false">Sens!$J$696</f>
        <v>1160.82850403371</v>
      </c>
      <c r="K720" s="40" t="n">
        <f aca="false">Sens!$K$696</f>
        <v>1256.96945886829</v>
      </c>
      <c r="L720" s="40" t="n">
        <f aca="false">Sens!$L$696</f>
        <v>1349.62745761313</v>
      </c>
      <c r="M720" s="40" t="n">
        <f aca="false">Sens!$M$696</f>
        <v>1439.16505556373</v>
      </c>
      <c r="N720" s="40" t="n">
        <f aca="false">Sens!$N$696</f>
        <v>503.538</v>
      </c>
      <c r="O720" s="40" t="n">
        <f aca="false">Sens!$O$696</f>
        <v>213.386</v>
      </c>
    </row>
    <row r="721" customFormat="false" ht="17.15" hidden="false" customHeight="false" outlineLevel="0" collapsed="false">
      <c r="A721" s="27" t="s">
        <v>766</v>
      </c>
      <c r="B721" s="28" t="s">
        <v>91</v>
      </c>
      <c r="C721" s="43" t="n">
        <f aca="false">Sens!$C$708+Sens!$C$709+Sens!$C$710+Sens!$C$711+Sens!$C$712+Sens!$C$713-(Sens!$C$715+Sens!$C$716)</f>
        <v>0</v>
      </c>
      <c r="D721" s="43" t="n">
        <f aca="false">Sens!$D$708+Sens!$D$709+Sens!$D$710+Sens!$D$711+Sens!$D$712+Sens!$D$713-(Sens!$D$715+Sens!$D$716)</f>
        <v>0</v>
      </c>
      <c r="E721" s="43" t="n">
        <f aca="false">Sens!$E$708+Sens!$E$709+Sens!$E$710+Sens!$E$711+Sens!$E$712+Sens!$E$713-(Sens!$E$715+Sens!$E$716)</f>
        <v>0</v>
      </c>
      <c r="F721" s="43" t="n">
        <f aca="false">Sens!$F$708+Sens!$F$709+Sens!$F$710+Sens!$F$711+Sens!$F$712+Sens!$F$713-(Sens!$F$715+Sens!$F$716)</f>
        <v>0</v>
      </c>
      <c r="G721" s="43" t="n">
        <f aca="false">Sens!$G$708+Sens!$G$709+Sens!$G$710+Sens!$G$711+Sens!$G$712+Sens!$G$713-(Sens!$G$715+Sens!$G$716)</f>
        <v>0</v>
      </c>
      <c r="H721" s="43" t="n">
        <f aca="false">Sens!$H$708+Sens!$H$709+Sens!$H$710+Sens!$H$711+Sens!$H$712+Sens!$H$713-(Sens!$H$715+Sens!$H$716)</f>
        <v>0</v>
      </c>
      <c r="I721" s="43" t="n">
        <f aca="false">Sens!$I$708+Sens!$I$709+Sens!$I$710+Sens!$I$711+Sens!$I$712+Sens!$I$713-(Sens!$I$715+Sens!$I$716)</f>
        <v>0</v>
      </c>
      <c r="J721" s="43" t="n">
        <f aca="false">Sens!$J$708+Sens!$J$709+Sens!$J$710+Sens!$J$711+Sens!$J$712+Sens!$J$713-(Sens!$J$715+Sens!$J$716)</f>
        <v>0</v>
      </c>
      <c r="K721" s="43" t="n">
        <f aca="false">Sens!$K$708+Sens!$K$709+Sens!$K$710+Sens!$K$711+Sens!$K$712+Sens!$K$713-(Sens!$K$715+Sens!$K$716)</f>
        <v>0</v>
      </c>
      <c r="L721" s="43" t="n">
        <f aca="false">Sens!$L$708+Sens!$L$709+Sens!$L$710+Sens!$L$711+Sens!$L$712+Sens!$L$713-(Sens!$L$715+Sens!$L$716)</f>
        <v>0</v>
      </c>
      <c r="M721" s="43" t="n">
        <f aca="false">Sens!$M$708+Sens!$M$709+Sens!$M$710+Sens!$M$711+Sens!$M$712+Sens!$M$713-(Sens!$M$715+Sens!$M$716)</f>
        <v>0</v>
      </c>
      <c r="N721" s="43" t="n">
        <f aca="false">Sens!$N$708+Sens!$N$709+Sens!$N$710+Sens!$N$711+Sens!$N$712+Sens!$N$713-(Sens!$N$715+Sens!$N$716)</f>
        <v>0</v>
      </c>
      <c r="O721" s="43" t="n">
        <f aca="false">Sens!$O$708+Sens!$O$709+Sens!$O$710+Sens!$O$711+Sens!$O$712+Sens!$O$713-(Sens!$O$715+Sens!$O$716)</f>
        <v>0</v>
      </c>
    </row>
    <row r="722" customFormat="false" ht="17.15" hidden="false" customHeight="false" outlineLevel="0" collapsed="false">
      <c r="A722" s="27" t="s">
        <v>767</v>
      </c>
      <c r="B722" s="28" t="s">
        <v>91</v>
      </c>
      <c r="C722" s="43" t="n">
        <f aca="false">Sens!$C$718+Sens!$C$719-Sens!$C$717</f>
        <v>0</v>
      </c>
      <c r="D722" s="43" t="n">
        <f aca="false">Sens!$D$718+Sens!$D$719-Sens!$D$717</f>
        <v>0</v>
      </c>
      <c r="E722" s="43" t="n">
        <f aca="false">Sens!$E$718+Sens!$E$719-Sens!$E$717</f>
        <v>0</v>
      </c>
      <c r="F722" s="43" t="n">
        <f aca="false">Sens!$F$718+Sens!$F$719-Sens!$F$717</f>
        <v>0</v>
      </c>
      <c r="G722" s="43" t="n">
        <f aca="false">Sens!$G$718+Sens!$G$719-Sens!$G$717</f>
        <v>0</v>
      </c>
      <c r="H722" s="43" t="n">
        <f aca="false">Sens!$H$718+Sens!$H$719-Sens!$H$717</f>
        <v>0</v>
      </c>
      <c r="I722" s="43" t="n">
        <f aca="false">Sens!$I$718+Sens!$I$719-Sens!$I$717</f>
        <v>0</v>
      </c>
      <c r="J722" s="43" t="n">
        <f aca="false">Sens!$J$718+Sens!$J$719-Sens!$J$717</f>
        <v>0</v>
      </c>
      <c r="K722" s="43" t="n">
        <f aca="false">Sens!$K$718+Sens!$K$719-Sens!$K$717</f>
        <v>0</v>
      </c>
      <c r="L722" s="43" t="n">
        <f aca="false">Sens!$L$718+Sens!$L$719-Sens!$L$717</f>
        <v>0</v>
      </c>
      <c r="M722" s="43" t="n">
        <f aca="false">Sens!$M$718+Sens!$M$719-Sens!$M$717</f>
        <v>0</v>
      </c>
      <c r="N722" s="43" t="n">
        <f aca="false">Sens!$N$718+Sens!$N$719-Sens!$N$717</f>
        <v>0</v>
      </c>
      <c r="O722" s="43" t="n">
        <f aca="false">Sens!$O$718+Sens!$O$719-Sens!$O$717</f>
        <v>0</v>
      </c>
    </row>
    <row r="723" customFormat="false" ht="17.15" hidden="false" customHeight="false" outlineLevel="0" collapsed="false">
      <c r="A723" s="27" t="s">
        <v>825</v>
      </c>
      <c r="B723" s="28" t="s">
        <v>91</v>
      </c>
      <c r="C723" s="43" t="n">
        <f aca="false">Sens!$C$708+Sens!$C$709+Sens!$C$710+Sens!$C$711+Sens!$C$712+Sens!$C$713+Sens!$C$714-Sens!$C$720</f>
        <v>0</v>
      </c>
      <c r="D723" s="43" t="n">
        <f aca="false">Sens!$D$708+Sens!$D$709+Sens!$D$710+Sens!$D$711+Sens!$D$712+Sens!$D$713+Sens!$D$714-Sens!$D$720</f>
        <v>0</v>
      </c>
      <c r="E723" s="43" t="n">
        <f aca="false">Sens!$E$708+Sens!$E$709+Sens!$E$710+Sens!$E$711+Sens!$E$712+Sens!$E$713+Sens!$E$714-Sens!$E$720</f>
        <v>0</v>
      </c>
      <c r="F723" s="43" t="n">
        <f aca="false">Sens!$F$708+Sens!$F$709+Sens!$F$710+Sens!$F$711+Sens!$F$712+Sens!$F$713+Sens!$F$714-Sens!$F$720</f>
        <v>0</v>
      </c>
      <c r="G723" s="43" t="n">
        <f aca="false">Sens!$G$708+Sens!$G$709+Sens!$G$710+Sens!$G$711+Sens!$G$712+Sens!$G$713+Sens!$G$714-Sens!$G$720</f>
        <v>0</v>
      </c>
      <c r="H723" s="43" t="n">
        <f aca="false">Sens!$H$708+Sens!$H$709+Sens!$H$710+Sens!$H$711+Sens!$H$712+Sens!$H$713+Sens!$H$714-Sens!$H$720</f>
        <v>0</v>
      </c>
      <c r="I723" s="43" t="n">
        <f aca="false">Sens!$I$708+Sens!$I$709+Sens!$I$710+Sens!$I$711+Sens!$I$712+Sens!$I$713+Sens!$I$714-Sens!$I$720</f>
        <v>0</v>
      </c>
      <c r="J723" s="43" t="n">
        <f aca="false">Sens!$J$708+Sens!$J$709+Sens!$J$710+Sens!$J$711+Sens!$J$712+Sens!$J$713+Sens!$J$714-Sens!$J$720</f>
        <v>0</v>
      </c>
      <c r="K723" s="43" t="n">
        <f aca="false">Sens!$K$708+Sens!$K$709+Sens!$K$710+Sens!$K$711+Sens!$K$712+Sens!$K$713+Sens!$K$714-Sens!$K$720</f>
        <v>0</v>
      </c>
      <c r="L723" s="43" t="n">
        <f aca="false">Sens!$L$708+Sens!$L$709+Sens!$L$710+Sens!$L$711+Sens!$L$712+Sens!$L$713+Sens!$L$714-Sens!$L$720</f>
        <v>0</v>
      </c>
      <c r="M723" s="43" t="n">
        <f aca="false">Sens!$M$708+Sens!$M$709+Sens!$M$710+Sens!$M$711+Sens!$M$712+Sens!$M$713+Sens!$M$714-Sens!$M$720</f>
        <v>0</v>
      </c>
      <c r="N723" s="43" t="n">
        <f aca="false">Sens!$N$708+Sens!$N$709+Sens!$N$710+Sens!$N$711+Sens!$N$712+Sens!$N$713+Sens!$N$714-Sens!$N$720</f>
        <v>0</v>
      </c>
      <c r="O723" s="43" t="n">
        <f aca="false">Sens!$O$708+Sens!$O$709+Sens!$O$710+Sens!$O$711+Sens!$O$712+Sens!$O$713+Sens!$O$714-Sens!$O$720</f>
        <v>0</v>
      </c>
    </row>
    <row r="724" customFormat="false" ht="17.15" hidden="false" customHeight="false" outlineLevel="0" collapsed="false">
      <c r="A724" s="27" t="s">
        <v>768</v>
      </c>
      <c r="B724" s="28" t="s">
        <v>91</v>
      </c>
      <c r="C724" s="43" t="n">
        <f aca="false">Sens!$C$715+Sens!$C$716+Sens!$C$717-Sens!$C$720</f>
        <v>0</v>
      </c>
      <c r="D724" s="43" t="n">
        <f aca="false">Sens!$D$715+Sens!$D$716+Sens!$D$717-Sens!$D$720</f>
        <v>0</v>
      </c>
      <c r="E724" s="43" t="n">
        <f aca="false">Sens!$E$715+Sens!$E$716+Sens!$E$717-Sens!$E$720</f>
        <v>0</v>
      </c>
      <c r="F724" s="43" t="n">
        <f aca="false">Sens!$F$715+Sens!$F$716+Sens!$F$717-Sens!$F$720</f>
        <v>0</v>
      </c>
      <c r="G724" s="43" t="n">
        <f aca="false">Sens!$G$715+Sens!$G$716+Sens!$G$717-Sens!$G$720</f>
        <v>0</v>
      </c>
      <c r="H724" s="43" t="n">
        <f aca="false">Sens!$H$715+Sens!$H$716+Sens!$H$717-Sens!$H$720</f>
        <v>0</v>
      </c>
      <c r="I724" s="43" t="n">
        <f aca="false">Sens!$I$715+Sens!$I$716+Sens!$I$717-Sens!$I$720</f>
        <v>0</v>
      </c>
      <c r="J724" s="43" t="n">
        <f aca="false">Sens!$J$715+Sens!$J$716+Sens!$J$717-Sens!$J$720</f>
        <v>0</v>
      </c>
      <c r="K724" s="43" t="n">
        <f aca="false">Sens!$K$715+Sens!$K$716+Sens!$K$717-Sens!$K$720</f>
        <v>0</v>
      </c>
      <c r="L724" s="43" t="n">
        <f aca="false">Sens!$L$715+Sens!$L$716+Sens!$L$717-Sens!$L$720</f>
        <v>0</v>
      </c>
      <c r="M724" s="43" t="n">
        <f aca="false">Sens!$M$715+Sens!$M$716+Sens!$M$717-Sens!$M$720</f>
        <v>0</v>
      </c>
      <c r="N724" s="43" t="n">
        <f aca="false">Sens!$N$715+Sens!$N$716+Sens!$N$717-Sens!$N$720</f>
        <v>0</v>
      </c>
      <c r="O724" s="43" t="n">
        <f aca="false">Sens!$O$715+Sens!$O$716+Sens!$O$717-Sens!$O$720</f>
        <v>0</v>
      </c>
    </row>
    <row r="725" customFormat="false" ht="17.15" hidden="false" customHeight="false" outlineLevel="0" collapsed="false">
      <c r="A725" s="1" t="s">
        <v>778</v>
      </c>
    </row>
    <row r="726" customFormat="false" ht="17.15" hidden="false" customHeight="false" outlineLevel="0" collapsed="false">
      <c r="A726" s="0" t="s">
        <v>779</v>
      </c>
      <c r="B726" s="0" t="s">
        <v>91</v>
      </c>
      <c r="C726" s="40" t="n">
        <f aca="false">Sens!$C$624*m_ad</f>
        <v>20.5341564414228</v>
      </c>
      <c r="D726" s="40" t="n">
        <f aca="false">Sens!$D$624*m_ad</f>
        <v>24.8720617299587</v>
      </c>
      <c r="E726" s="40" t="n">
        <f aca="false">Sens!$E$624*m_ad</f>
        <v>20.6072319438929</v>
      </c>
      <c r="F726" s="40" t="n">
        <f aca="false">Sens!$F$624*m_ad</f>
        <v>9.11560896886989</v>
      </c>
      <c r="G726" s="40" t="n">
        <f aca="false">Sens!$G$624*m_ad</f>
        <v>29.7269830141693</v>
      </c>
      <c r="H726" s="40" t="n">
        <f aca="false">Sens!$H$624*m_ad</f>
        <v>34.885573887113</v>
      </c>
      <c r="I726" s="40" t="n">
        <f aca="false">Sens!$I$624*m_ad</f>
        <v>40.0842749249334</v>
      </c>
      <c r="J726" s="40" t="n">
        <f aca="false">Sens!$J$624*m_ad</f>
        <v>45.0751983398651</v>
      </c>
      <c r="K726" s="40" t="n">
        <f aca="false">Sens!$K$624*m_ad</f>
        <v>49.5827181738516</v>
      </c>
      <c r="L726" s="40" t="n">
        <f aca="false">Sens!$L$624*m_ad</f>
        <v>54.5409899912368</v>
      </c>
      <c r="M726" s="40" t="n">
        <f aca="false">Sens!$M$624*m_ad</f>
        <v>59.9950889903605</v>
      </c>
      <c r="N726" s="40" t="n">
        <f aca="false">Sens!$N$624*m_ad</f>
        <v>17.2500762636699</v>
      </c>
      <c r="O726" s="40" t="n">
        <f aca="false">Sens!$O$624*m_ad</f>
        <v>7.61788993402959</v>
      </c>
    </row>
    <row r="727" customFormat="false" ht="17.15" hidden="false" customHeight="false" outlineLevel="0" collapsed="false">
      <c r="A727" s="0" t="s">
        <v>780</v>
      </c>
      <c r="B727" s="0" t="s">
        <v>91</v>
      </c>
      <c r="C727" s="40" t="n">
        <f aca="false">Sens!$C$622-Sens!$C$624</f>
        <v>346.428687117154</v>
      </c>
      <c r="D727" s="40" t="n">
        <f aca="false">Sens!$D$622-Sens!$D$624</f>
        <v>376.560876540083</v>
      </c>
      <c r="E727" s="40" t="n">
        <f aca="false">Sens!$E$622-Sens!$E$624</f>
        <v>291.957536112214</v>
      </c>
      <c r="F727" s="40" t="n">
        <f aca="false">Sens!$F$622-Sens!$F$624</f>
        <v>123.572715702237</v>
      </c>
      <c r="G727" s="40" t="n">
        <f aca="false">Sens!$G$622-Sens!$G$624</f>
        <v>415.521967611638</v>
      </c>
      <c r="H727" s="40" t="n">
        <f aca="false">Sens!$H$622-Sens!$H$624</f>
        <v>454.795580816482</v>
      </c>
      <c r="I727" s="40" t="n">
        <f aca="false">Sens!$I$622-Sens!$I$624</f>
        <v>492.401010575808</v>
      </c>
      <c r="J727" s="40" t="n">
        <f aca="false">Sens!$J$622-Sens!$J$624</f>
        <v>527.184429309948</v>
      </c>
      <c r="K727" s="40" t="n">
        <f aca="false">Sens!$K$622-Sens!$K$624</f>
        <v>557.988877144035</v>
      </c>
      <c r="L727" s="40" t="n">
        <f aca="false">Sens!$L$622-Sens!$L$624</f>
        <v>590.659577366795</v>
      </c>
      <c r="M727" s="40" t="n">
        <f aca="false">Sens!$M$622-Sens!$M$624</f>
        <v>625.313110621986</v>
      </c>
      <c r="N727" s="40" t="n">
        <f aca="false">Sens!$N$622-Sens!$N$624</f>
        <v>264.72184747266</v>
      </c>
      <c r="O727" s="40" t="n">
        <f aca="false">Sens!$O$622-Sens!$O$624</f>
        <v>111.847220131941</v>
      </c>
    </row>
    <row r="728" customFormat="false" ht="17.15" hidden="false" customHeight="false" outlineLevel="0" collapsed="false">
      <c r="A728" s="0" t="s">
        <v>781</v>
      </c>
      <c r="B728" s="0" t="s">
        <v>91</v>
      </c>
      <c r="C728" s="40" t="n">
        <f aca="false">Sens!$C$679*Sens!$C$621</f>
        <v>0.123617442257179</v>
      </c>
      <c r="D728" s="40" t="n">
        <f aca="false">Sens!$D$679*Sens!$D$621</f>
        <v>0.600198046024689</v>
      </c>
      <c r="E728" s="40" t="n">
        <f aca="false">Sens!$E$679*Sens!$E$621</f>
        <v>1.79684576634217</v>
      </c>
      <c r="F728" s="40" t="n">
        <f aca="false">Sens!$F$679*Sens!$F$621</f>
        <v>0.716034696898591</v>
      </c>
      <c r="G728" s="40" t="n">
        <f aca="false">Sens!$G$679*Sens!$G$621</f>
        <v>2.5122950160711</v>
      </c>
      <c r="H728" s="40" t="n">
        <f aca="false">Sens!$H$679*Sens!$H$621</f>
        <v>6.1781654144787</v>
      </c>
      <c r="I728" s="40" t="n">
        <f aca="false">Sens!$I$679*Sens!$I$621</f>
        <v>12.2057887966665</v>
      </c>
      <c r="J728" s="40" t="n">
        <f aca="false">Sens!$J$679*Sens!$J$621</f>
        <v>17.3895531540207</v>
      </c>
      <c r="K728" s="40" t="n">
        <f aca="false">Sens!$K$679*Sens!$K$621</f>
        <v>22.4203980731686</v>
      </c>
      <c r="L728" s="40" t="n">
        <f aca="false">Sens!$L$679*Sens!$L$621</f>
        <v>25.8643648979611</v>
      </c>
      <c r="M728" s="40" t="n">
        <f aca="false">Sens!$M$679*Sens!$M$621</f>
        <v>27.571787048284</v>
      </c>
      <c r="N728" s="40" t="n">
        <f aca="false">Sens!$N$679*Sens!$N$621</f>
        <v>0.413319819188593</v>
      </c>
      <c r="O728" s="40" t="n">
        <f aca="false">Sens!$O$679*Sens!$O$621</f>
        <v>0.186721201823987</v>
      </c>
    </row>
    <row r="729" customFormat="false" ht="17.15" hidden="false" customHeight="false" outlineLevel="0" collapsed="false">
      <c r="A729" s="0" t="s">
        <v>782</v>
      </c>
      <c r="B729" s="0" t="s">
        <v>56</v>
      </c>
      <c r="C729" s="32" t="n">
        <f aca="false">(Sens!$C$730-Sens!$C$726+Sens!$C$728)/Sens!$C$727</f>
        <v>0.0131526665379575</v>
      </c>
      <c r="D729" s="32" t="n">
        <f aca="false">(Sens!$D$730-Sens!$D$726+Sens!$D$728)/Sens!$D$727</f>
        <v>0.0141999252954702</v>
      </c>
      <c r="E729" s="32" t="n">
        <f aca="false">(Sens!$E$730-Sens!$E$726+Sens!$E$728)/Sens!$E$727</f>
        <v>0.0250125888843046</v>
      </c>
      <c r="F729" s="32" t="n">
        <f aca="false">Sens!$O$729+(Sens!$E$729-Sens!$N$729)</f>
        <v>0.056191211622316</v>
      </c>
      <c r="G729" s="32" t="n">
        <f aca="false">(Sens!$G$730-Sens!$G$726+Sens!$G$728)/Sens!$G$727</f>
        <v>0.0342739686532108</v>
      </c>
      <c r="H729" s="32" t="n">
        <f aca="false">Sens!$G$729+step_na</f>
        <v>0.0372739686532108</v>
      </c>
      <c r="I729" s="32" t="n">
        <f aca="false">Sens!$H$729+step_na</f>
        <v>0.0402739686532108</v>
      </c>
      <c r="J729" s="32" t="n">
        <f aca="false">Sens!$I$729+step_na</f>
        <v>0.0432739686532108</v>
      </c>
      <c r="K729" s="32" t="n">
        <f aca="false">Sens!$J$729+step_na</f>
        <v>0.0462739686532108</v>
      </c>
      <c r="L729" s="32" t="n">
        <f aca="false">Sens!$K$729</f>
        <v>0.0462739686532108</v>
      </c>
      <c r="M729" s="32" t="n">
        <f aca="false">Sens!$L$729</f>
        <v>0.0462739686532108</v>
      </c>
      <c r="N729" s="32" t="n">
        <f aca="false">(Sens!$N$730-Sens!$N$726+Sens!$N$728)/Sens!$N$727</f>
        <v>0.00494951046930139</v>
      </c>
      <c r="O729" s="32" t="n">
        <f aca="false">(Sens!$O$730-Sens!$O$726+Sens!$O$728)/Sens!$O$727</f>
        <v>0.0361281332073128</v>
      </c>
      <c r="P729" s="8" t="s">
        <v>783</v>
      </c>
    </row>
    <row r="730" customFormat="false" ht="17.15" hidden="false" customHeight="false" outlineLevel="0" collapsed="false">
      <c r="A730" s="1" t="s">
        <v>784</v>
      </c>
      <c r="B730" s="8" t="s">
        <v>91</v>
      </c>
      <c r="C730" s="40" t="n">
        <f aca="false">Q!$D$23</f>
        <v>24.967</v>
      </c>
      <c r="D730" s="40" t="n">
        <f aca="false">Q!$E$23</f>
        <v>29.619</v>
      </c>
      <c r="E730" s="40" t="n">
        <f aca="false">Q!$O$23</f>
        <v>26.113</v>
      </c>
      <c r="F730" s="40" t="n">
        <f aca="false">Sens!$F$726+Sens!$F$727*Sens!$F$729-Sens!$F$728</f>
        <v>15.34327489074</v>
      </c>
      <c r="G730" s="40" t="n">
        <f aca="false">Sens!$E$730+Sens!$F$730</f>
        <v>41.45627489074</v>
      </c>
      <c r="H730" s="40" t="n">
        <f aca="false">Sens!$H$726+Sens!$H$727*Sens!$H$729-Sens!$H$728</f>
        <v>45.6594446956066</v>
      </c>
      <c r="I730" s="40" t="n">
        <f aca="false">Sens!$I$726+Sens!$I$727*Sens!$I$729-Sens!$I$728</f>
        <v>47.7094289930064</v>
      </c>
      <c r="J730" s="40" t="n">
        <f aca="false">Sens!$J$726+Sens!$J$727*Sens!$J$729-Sens!$J$728</f>
        <v>50.499007654264</v>
      </c>
      <c r="K730" s="40" t="n">
        <f aca="false">Sens!$K$726+Sens!$K$727*Sens!$K$729-Sens!$K$728</f>
        <v>52.9826799104864</v>
      </c>
      <c r="L730" s="40" t="n">
        <f aca="false">Sens!$L$726+Sens!$L$727*Sens!$L$729-Sens!$L$728</f>
        <v>56.0087878610655</v>
      </c>
      <c r="M730" s="40" t="n">
        <f aca="false">Sens!$M$726+Sens!$M$727*Sens!$M$729-Sens!$M$728</f>
        <v>61.35902122144</v>
      </c>
      <c r="N730" s="40" t="n">
        <f aca="false">Q!$N$23</f>
        <v>18.147</v>
      </c>
      <c r="O730" s="40" t="n">
        <f aca="false">Q!$J$23</f>
        <v>11.472</v>
      </c>
    </row>
    <row r="731" customFormat="false" ht="17.15" hidden="false" customHeight="false" outlineLevel="0" collapsed="false">
      <c r="A731" s="0" t="s">
        <v>785</v>
      </c>
      <c r="B731" s="0" t="s">
        <v>91</v>
      </c>
      <c r="C731" s="40" t="n">
        <f aca="false">Sens!$C$625*m_ad</f>
        <v>7.57284355857716</v>
      </c>
      <c r="D731" s="40" t="n">
        <f aca="false">Sens!$D$625*m_ad</f>
        <v>9.44543827004127</v>
      </c>
      <c r="E731" s="40" t="n">
        <f aca="false">Sens!$E$625*m_ad</f>
        <v>7.73726805610715</v>
      </c>
      <c r="F731" s="40" t="n">
        <f aca="false">Sens!$F$625*m_ad</f>
        <v>3.63841071848285</v>
      </c>
      <c r="G731" s="40" t="n">
        <f aca="false">Sens!$G$625*m_ad</f>
        <v>11.3715366731834</v>
      </c>
      <c r="H731" s="40" t="n">
        <f aca="false">Sens!$H$625*m_ad</f>
        <v>13.3448652570383</v>
      </c>
      <c r="I731" s="40" t="n">
        <f aca="false">Sens!$I$625*m_ad</f>
        <v>15.3335372819226</v>
      </c>
      <c r="J731" s="40" t="n">
        <f aca="false">Sens!$J$625*m_ad</f>
        <v>17.2427276164713</v>
      </c>
      <c r="K731" s="40" t="n">
        <f aca="false">Sens!$K$625*m_ad</f>
        <v>18.9670003781185</v>
      </c>
      <c r="L731" s="40" t="n">
        <f aca="false">Sens!$L$625*m_ad</f>
        <v>20.8637004159303</v>
      </c>
      <c r="M731" s="40" t="n">
        <f aca="false">Sens!$M$625*m_ad</f>
        <v>22.9500704575234</v>
      </c>
      <c r="N731" s="40" t="n">
        <f aca="false">Sens!$N$625*m_ad</f>
        <v>6.40892373633015</v>
      </c>
      <c r="O731" s="40" t="n">
        <f aca="false">Sens!$O$625*m_ad</f>
        <v>3.04061006597041</v>
      </c>
    </row>
    <row r="732" customFormat="false" ht="17.15" hidden="false" customHeight="false" outlineLevel="0" collapsed="false">
      <c r="A732" s="0" t="s">
        <v>786</v>
      </c>
      <c r="B732" s="0" t="s">
        <v>91</v>
      </c>
      <c r="C732" s="40" t="n">
        <f aca="false">Sens!$C$623-Sens!$C$625</f>
        <v>127.760312882846</v>
      </c>
      <c r="D732" s="40" t="n">
        <f aca="false">Sens!$D$623-Sens!$D$625</f>
        <v>143.003123459917</v>
      </c>
      <c r="E732" s="40" t="n">
        <f aca="false">Sens!$E$623-Sens!$E$625</f>
        <v>109.619463887786</v>
      </c>
      <c r="F732" s="40" t="n">
        <f aca="false">Sens!$F$623-Sens!$F$625</f>
        <v>49.3229026012942</v>
      </c>
      <c r="G732" s="40" t="n">
        <f aca="false">Sens!$G$623-Sens!$G$625</f>
        <v>158.950650691893</v>
      </c>
      <c r="H732" s="40" t="n">
        <f aca="false">Sens!$H$623-Sens!$H$625</f>
        <v>173.974083531829</v>
      </c>
      <c r="I732" s="40" t="n">
        <f aca="false">Sens!$I$623-Sens!$I$625</f>
        <v>188.359382013521</v>
      </c>
      <c r="J732" s="40" t="n">
        <f aca="false">Sens!$J$623-Sens!$J$625</f>
        <v>201.665169606074</v>
      </c>
      <c r="K732" s="40" t="n">
        <f aca="false">Sens!$K$623-Sens!$K$625</f>
        <v>213.44887157393</v>
      </c>
      <c r="L732" s="40" t="n">
        <f aca="false">Sens!$L$623-Sens!$L$625</f>
        <v>225.946475704985</v>
      </c>
      <c r="M732" s="40" t="n">
        <f aca="false">Sens!$M$623-Sens!$M$625</f>
        <v>239.202577882557</v>
      </c>
      <c r="N732" s="40" t="n">
        <f aca="false">Sens!$N$623-Sens!$N$625</f>
        <v>98.3521525273397</v>
      </c>
      <c r="O732" s="40" t="n">
        <f aca="false">Sens!$O$623-Sens!$O$625</f>
        <v>44.6427798680592</v>
      </c>
    </row>
    <row r="733" customFormat="false" ht="17.15" hidden="false" customHeight="false" outlineLevel="0" collapsed="false">
      <c r="A733" s="0" t="s">
        <v>787</v>
      </c>
      <c r="B733" s="0" t="s">
        <v>91</v>
      </c>
      <c r="C733" s="40" t="n">
        <f aca="false">Sens!$C$679*(1-Sens!$C$621)</f>
        <v>0.0455891896019953</v>
      </c>
      <c r="D733" s="40" t="n">
        <f aca="false">Sens!$D$679*(1-Sens!$D$621)</f>
        <v>0.227931791705753</v>
      </c>
      <c r="E733" s="40" t="n">
        <f aca="false">Sens!$E$679*(1-Sens!$E$621)</f>
        <v>0.674650403679804</v>
      </c>
      <c r="F733" s="40" t="n">
        <f aca="false">Sens!$F$679*(1-Sens!$F$621)</f>
        <v>0.285798603790311</v>
      </c>
      <c r="G733" s="40" t="n">
        <f aca="false">Sens!$G$679*(1-Sens!$G$621)</f>
        <v>0.961034454639784</v>
      </c>
      <c r="H733" s="40" t="n">
        <f aca="false">Sens!$H$679*(1-Sens!$H$621)</f>
        <v>2.36334896650127</v>
      </c>
      <c r="I733" s="40" t="n">
        <f aca="false">Sens!$I$679*(1-Sens!$I$621)</f>
        <v>4.66911071534793</v>
      </c>
      <c r="J733" s="40" t="n">
        <f aca="false">Sens!$J$679*(1-Sens!$J$621)</f>
        <v>6.65206897474133</v>
      </c>
      <c r="K733" s="40" t="n">
        <f aca="false">Sens!$K$679*(1-Sens!$K$621)</f>
        <v>8.57653058148831</v>
      </c>
      <c r="L733" s="40" t="n">
        <f aca="false">Sens!$L$679*(1-Sens!$L$621)</f>
        <v>9.89395976798492</v>
      </c>
      <c r="M733" s="40" t="n">
        <f aca="false">Sens!$M$679*(1-Sens!$M$621)</f>
        <v>10.5471042054728</v>
      </c>
      <c r="N733" s="40" t="n">
        <f aca="false">Sens!$N$679*(1-Sens!$N$621)</f>
        <v>0.153560781958532</v>
      </c>
      <c r="O733" s="40" t="n">
        <f aca="false">Sens!$O$679*(1-Sens!$O$621)</f>
        <v>0.0745280347593297</v>
      </c>
    </row>
    <row r="734" customFormat="false" ht="17.15" hidden="false" customHeight="false" outlineLevel="0" collapsed="false">
      <c r="A734" s="0" t="s">
        <v>788</v>
      </c>
      <c r="B734" s="0" t="s">
        <v>56</v>
      </c>
      <c r="C734" s="32" t="n">
        <f aca="false">(Sens!$C$735-Sens!$C$731+Sens!$C$733)/Sens!$C$732</f>
        <v>-0.0292364215826579</v>
      </c>
      <c r="D734" s="32" t="n">
        <f aca="false">(Sens!$D$735-Sens!$D$731+Sens!$D$733)/Sens!$D$732</f>
        <v>-0.0312406216748665</v>
      </c>
      <c r="E734" s="32" t="n">
        <f aca="false">(Sens!$E$735-Sens!$E$731+Sens!$E$733)/Sens!$E$732</f>
        <v>-0.0213613310025343</v>
      </c>
      <c r="F734" s="32" t="n">
        <f aca="false">Sens!$O$734+(Sens!$E$734-Sens!$N$734)</f>
        <v>-0.0386255491636166</v>
      </c>
      <c r="G734" s="32" t="n">
        <f aca="false">(Sens!$G$735-Sens!$G$731+Sens!$G$733)/Sens!$G$732</f>
        <v>-0.0266876183564186</v>
      </c>
      <c r="H734" s="32" t="n">
        <f aca="false">Sens!$G$734+step_in</f>
        <v>-0.0266876183564186</v>
      </c>
      <c r="I734" s="32" t="n">
        <f aca="false">Sens!$H$734+step_in</f>
        <v>-0.0266876183564186</v>
      </c>
      <c r="J734" s="32" t="n">
        <f aca="false">Sens!$I$734+step_in</f>
        <v>-0.0266876183564186</v>
      </c>
      <c r="K734" s="32" t="n">
        <f aca="false">Sens!$J$734+step_in</f>
        <v>-0.0266876183564186</v>
      </c>
      <c r="L734" s="32" t="n">
        <f aca="false">Sens!$K$734</f>
        <v>-0.0266876183564186</v>
      </c>
      <c r="M734" s="32" t="n">
        <f aca="false">Sens!$L$734</f>
        <v>-0.0266876183564186</v>
      </c>
      <c r="N734" s="32" t="n">
        <f aca="false">(Sens!$N$735-Sens!$N$731+Sens!$N$733)/Sens!$N$732</f>
        <v>-0.0258800940189292</v>
      </c>
      <c r="O734" s="32" t="n">
        <f aca="false">(Sens!$O$735-Sens!$O$731+Sens!$O$733)/Sens!$O$732</f>
        <v>-0.0431443121800115</v>
      </c>
      <c r="P734" s="8" t="s">
        <v>783</v>
      </c>
    </row>
    <row r="735" customFormat="false" ht="17.15" hidden="false" customHeight="false" outlineLevel="0" collapsed="false">
      <c r="A735" s="1" t="s">
        <v>789</v>
      </c>
      <c r="B735" s="8" t="s">
        <v>91</v>
      </c>
      <c r="C735" s="40" t="n">
        <f aca="false">Q!$D$24</f>
        <v>3.792</v>
      </c>
      <c r="D735" s="40" t="n">
        <f aca="false">Q!$E$24</f>
        <v>4.75</v>
      </c>
      <c r="E735" s="40" t="n">
        <f aca="false">Q!$O$24</f>
        <v>4.721</v>
      </c>
      <c r="F735" s="40" t="n">
        <f aca="false">Sens!$F$731+Sens!$F$732*Sens!$F$734-Sens!$F$733</f>
        <v>1.44748791537398</v>
      </c>
      <c r="G735" s="40" t="n">
        <f aca="false">Sens!$E$735+Sens!$F$735</f>
        <v>6.16848791537398</v>
      </c>
      <c r="H735" s="40" t="n">
        <f aca="false">Sens!$H$731+Sens!$H$732*Sens!$H$734-Sens!$H$733</f>
        <v>6.33856234533184</v>
      </c>
      <c r="I735" s="40" t="n">
        <f aca="false">Sens!$I$731+Sens!$I$732*Sens!$I$734-Sens!$I$733</f>
        <v>5.637563265547</v>
      </c>
      <c r="J735" s="40" t="n">
        <f aca="false">Sens!$J$731+Sens!$J$732*Sens!$J$734-Sens!$J$733</f>
        <v>5.20869555950068</v>
      </c>
      <c r="K735" s="40" t="n">
        <f aca="false">Sens!$K$731+Sens!$K$732*Sens!$K$734-Sens!$K$733</f>
        <v>4.69402777345693</v>
      </c>
      <c r="L735" s="40" t="n">
        <f aca="false">Sens!$L$731+Sens!$L$732*Sens!$L$734-Sens!$L$733</f>
        <v>4.93976733535296</v>
      </c>
      <c r="M735" s="40" t="n">
        <f aca="false">Sens!$M$731+Sens!$M$732*Sens!$M$734-Sens!$M$733</f>
        <v>6.01921914364936</v>
      </c>
      <c r="N735" s="40" t="n">
        <f aca="false">Q!$N$24</f>
        <v>3.71</v>
      </c>
      <c r="O735" s="40" t="n">
        <f aca="false">Q!$J$24</f>
        <v>1.04</v>
      </c>
    </row>
    <row r="736" customFormat="false" ht="17.15" hidden="false" customHeight="false" outlineLevel="0" collapsed="false">
      <c r="A736" s="0" t="s">
        <v>790</v>
      </c>
      <c r="B736" s="0" t="s">
        <v>91</v>
      </c>
      <c r="C736" s="40" t="n">
        <f aca="false">Sens!$C$676</f>
        <v>1.64417882953695</v>
      </c>
      <c r="D736" s="40" t="n">
        <f aca="false">Sens!$D$676</f>
        <v>5.39125073772939</v>
      </c>
      <c r="E736" s="40" t="n">
        <f aca="false">Sens!$E$676</f>
        <v>6.31472337585987</v>
      </c>
      <c r="F736" s="40" t="n">
        <f aca="false">Sens!$F$676</f>
        <v>3.58942683754562</v>
      </c>
      <c r="G736" s="40" t="n">
        <f aca="false">Sens!$G$676</f>
        <v>9.90415021340549</v>
      </c>
      <c r="H736" s="40" t="n">
        <f aca="false">Sens!$H$676</f>
        <v>14.0379702079686</v>
      </c>
      <c r="I736" s="40" t="n">
        <f aca="false">Sens!$I$676</f>
        <v>9.90916336633023</v>
      </c>
      <c r="J736" s="40" t="n">
        <f aca="false">Sens!$J$676</f>
        <v>10.6064473977034</v>
      </c>
      <c r="K736" s="40" t="n">
        <f aca="false">Sens!$K$676</f>
        <v>7.82883175211005</v>
      </c>
      <c r="L736" s="40" t="n">
        <f aca="false">Sens!$L$676</f>
        <v>5.23374025353317</v>
      </c>
      <c r="M736" s="40" t="n">
        <f aca="false">Sens!$M$676</f>
        <v>3.62289955391755</v>
      </c>
      <c r="N736" s="40" t="n">
        <f aca="false">Sens!$N$676</f>
        <v>3.28113102692661</v>
      </c>
      <c r="O736" s="40" t="n">
        <f aca="false">Sens!$O$676</f>
        <v>2.11011971080278</v>
      </c>
    </row>
    <row r="737" customFormat="false" ht="17.15" hidden="false" customHeight="false" outlineLevel="0" collapsed="false">
      <c r="A737" s="0" t="s">
        <v>708</v>
      </c>
      <c r="B737" s="0" t="s">
        <v>91</v>
      </c>
      <c r="C737" s="40" t="n">
        <f aca="false">Sens!$C$681</f>
        <v>38.1898211704631</v>
      </c>
      <c r="D737" s="40" t="n">
        <f aca="false">Sens!$D$681</f>
        <v>40.2147492622706</v>
      </c>
      <c r="E737" s="40" t="n">
        <f aca="false">Sens!$E$681</f>
        <v>42.2402766241401</v>
      </c>
      <c r="F737" s="40" t="n">
        <f aca="false">Sens!$F$681</f>
        <v>13.6943139813566</v>
      </c>
      <c r="G737" s="40" t="n">
        <f aca="false">Sens!$G$681</f>
        <v>55.9345906054967</v>
      </c>
      <c r="H737" s="40" t="n">
        <f aca="false">Sens!$H$681</f>
        <v>61.088168450178</v>
      </c>
      <c r="I737" s="40" t="n">
        <f aca="false">Sens!$I$681</f>
        <v>67.8233475699772</v>
      </c>
      <c r="J737" s="40" t="n">
        <f aca="false">Sens!$J$681</f>
        <v>74.2751592782286</v>
      </c>
      <c r="K737" s="40" t="n">
        <f aca="false">Sens!$K$681</f>
        <v>80.2171720204868</v>
      </c>
      <c r="L737" s="40" t="n">
        <f aca="false">Sens!$L$681</f>
        <v>86.6345457821258</v>
      </c>
      <c r="M737" s="40" t="n">
        <f aca="false">Sens!$M$681</f>
        <v>93.5653094446959</v>
      </c>
      <c r="N737" s="40" t="n">
        <f aca="false">Sens!$N$681</f>
        <v>29.8598689730734</v>
      </c>
      <c r="O737" s="40" t="n">
        <f aca="false">Sens!$O$681</f>
        <v>10.3548802891972</v>
      </c>
    </row>
    <row r="738" customFormat="false" ht="17.15" hidden="false" customHeight="false" outlineLevel="0" collapsed="false">
      <c r="A738" s="1" t="s">
        <v>791</v>
      </c>
      <c r="B738" s="8" t="s">
        <v>91</v>
      </c>
      <c r="C738" s="40" t="n">
        <f aca="false">Q!$D$25</f>
        <v>39.834</v>
      </c>
      <c r="D738" s="40" t="n">
        <f aca="false">Q!$E$25</f>
        <v>45.606</v>
      </c>
      <c r="E738" s="40" t="n">
        <f aca="false">Q!$O$25</f>
        <v>48.555</v>
      </c>
      <c r="F738" s="40" t="n">
        <f aca="false">Sens!$F$736+Sens!$F$737</f>
        <v>17.2837408189022</v>
      </c>
      <c r="G738" s="40" t="n">
        <f aca="false">Sens!$G$736+Sens!$G$737</f>
        <v>65.8387408189022</v>
      </c>
      <c r="H738" s="40" t="n">
        <f aca="false">Sens!$H$736+Sens!$H$737</f>
        <v>75.1261386581466</v>
      </c>
      <c r="I738" s="40" t="n">
        <f aca="false">Sens!$I$736+Sens!$I$737</f>
        <v>77.7325109363075</v>
      </c>
      <c r="J738" s="40" t="n">
        <f aca="false">Sens!$J$736+Sens!$J$737</f>
        <v>84.881606675932</v>
      </c>
      <c r="K738" s="40" t="n">
        <f aca="false">Sens!$K$736+Sens!$K$737</f>
        <v>88.0460037725969</v>
      </c>
      <c r="L738" s="40" t="n">
        <f aca="false">Sens!$L$736+Sens!$L$737</f>
        <v>91.868286035659</v>
      </c>
      <c r="M738" s="40" t="n">
        <f aca="false">Sens!$M$736+Sens!$M$737</f>
        <v>97.1882089986134</v>
      </c>
      <c r="N738" s="40" t="n">
        <f aca="false">Q!$N$25</f>
        <v>33.141</v>
      </c>
      <c r="O738" s="40" t="n">
        <f aca="false">Q!$J$25</f>
        <v>12.465</v>
      </c>
    </row>
    <row r="739" customFormat="false" ht="17.15" hidden="false" customHeight="false" outlineLevel="0" collapsed="false">
      <c r="A739" s="5" t="s">
        <v>792</v>
      </c>
      <c r="B739" s="0" t="s">
        <v>91</v>
      </c>
      <c r="C739" s="40" t="n">
        <f aca="false">Q!$D$27</f>
        <v>0</v>
      </c>
      <c r="D739" s="40" t="n">
        <f aca="false">Q!$E$27</f>
        <v>0</v>
      </c>
      <c r="E739" s="40" t="n">
        <f aca="false">Q!$O$27</f>
        <v>0</v>
      </c>
      <c r="F739" s="41" t="n">
        <v>0</v>
      </c>
      <c r="G739" s="40" t="n">
        <f aca="false">Sens!$E$739+Sens!$F$739</f>
        <v>0</v>
      </c>
      <c r="H739" s="41" t="n">
        <v>0</v>
      </c>
      <c r="I739" s="41" t="n">
        <v>0</v>
      </c>
      <c r="J739" s="41" t="n">
        <v>0</v>
      </c>
      <c r="K739" s="41" t="n">
        <v>0</v>
      </c>
      <c r="L739" s="41" t="n">
        <v>0</v>
      </c>
      <c r="M739" s="41" t="n">
        <v>0</v>
      </c>
      <c r="N739" s="40" t="n">
        <f aca="false">Q!$N$27</f>
        <v>0</v>
      </c>
      <c r="O739" s="40" t="n">
        <f aca="false">Q!$J$27</f>
        <v>0</v>
      </c>
    </row>
    <row r="740" customFormat="false" ht="15" hidden="false" customHeight="false" outlineLevel="0" collapsed="false">
      <c r="A740" s="3" t="s">
        <v>580</v>
      </c>
      <c r="B740" s="8" t="s">
        <v>91</v>
      </c>
      <c r="C740" s="40" t="n">
        <f aca="false">Q!$D$26</f>
        <v>68.593</v>
      </c>
      <c r="D740" s="40" t="n">
        <f aca="false">Q!$E$26</f>
        <v>79.975</v>
      </c>
      <c r="E740" s="40" t="n">
        <f aca="false">Q!$O$26</f>
        <v>79.389</v>
      </c>
      <c r="F740" s="40" t="n">
        <f aca="false">Sens!$F$730+Sens!$F$735+Sens!$F$738+Sens!$F$739</f>
        <v>34.0745036250161</v>
      </c>
      <c r="G740" s="40" t="n">
        <f aca="false">Sens!$G$730+Sens!$G$735+Sens!$G$738+Sens!$G$739</f>
        <v>113.463503625016</v>
      </c>
      <c r="H740" s="40" t="n">
        <f aca="false">Sens!$H$730+Sens!$H$735+Sens!$H$738+Sens!$H$739</f>
        <v>127.124145699085</v>
      </c>
      <c r="I740" s="40" t="n">
        <f aca="false">Sens!$I$730+Sens!$I$735+Sens!$I$738+Sens!$I$739</f>
        <v>131.079503194861</v>
      </c>
      <c r="J740" s="40" t="n">
        <f aca="false">Sens!$J$730+Sens!$J$735+Sens!$J$738+Sens!$J$739</f>
        <v>140.589309889697</v>
      </c>
      <c r="K740" s="40" t="n">
        <f aca="false">Sens!$K$730+Sens!$K$735+Sens!$K$738+Sens!$K$739</f>
        <v>145.72271145654</v>
      </c>
      <c r="L740" s="40" t="n">
        <f aca="false">Sens!$L$730+Sens!$L$735+Sens!$L$738+Sens!$L$739</f>
        <v>152.816841232077</v>
      </c>
      <c r="M740" s="40" t="n">
        <f aca="false">Sens!$M$730+Sens!$M$735+Sens!$M$738+Sens!$M$739</f>
        <v>164.566449363703</v>
      </c>
      <c r="N740" s="40" t="n">
        <f aca="false">Q!$N$26</f>
        <v>54.998</v>
      </c>
      <c r="O740" s="40" t="n">
        <f aca="false">Q!$J$26</f>
        <v>24.977</v>
      </c>
    </row>
    <row r="741" customFormat="false" ht="17.15" hidden="false" customHeight="false" outlineLevel="0" collapsed="false">
      <c r="A741" s="27" t="s">
        <v>826</v>
      </c>
      <c r="B741" s="28" t="s">
        <v>91</v>
      </c>
      <c r="C741" s="43" t="n">
        <f aca="false">Sens!$C$730+Sens!$C$735+Sens!$C$738+Sens!$C$739-Sens!$C$740</f>
        <v>0</v>
      </c>
      <c r="D741" s="43" t="n">
        <f aca="false">Sens!$D$730+Sens!$D$735+Sens!$D$738+Sens!$D$739-Sens!$D$740</f>
        <v>0</v>
      </c>
      <c r="E741" s="43" t="n">
        <f aca="false">Sens!$E$730+Sens!$E$735+Sens!$E$738+Sens!$E$739-Sens!$E$740</f>
        <v>0</v>
      </c>
      <c r="F741" s="43" t="n">
        <f aca="false">Sens!$F$730+Sens!$F$735+Sens!$F$738+Sens!$F$739-Sens!$F$740</f>
        <v>0</v>
      </c>
      <c r="G741" s="43" t="n">
        <f aca="false">Sens!$G$730+Sens!$G$735+Sens!$G$738+Sens!$G$739-Sens!$G$740</f>
        <v>0</v>
      </c>
      <c r="H741" s="43" t="n">
        <f aca="false">Sens!$H$730+Sens!$H$735+Sens!$H$738+Sens!$H$739-Sens!$H$740</f>
        <v>0</v>
      </c>
      <c r="I741" s="43" t="n">
        <f aca="false">Sens!$I$730+Sens!$I$735+Sens!$I$738+Sens!$I$739-Sens!$I$740</f>
        <v>0</v>
      </c>
      <c r="J741" s="43" t="n">
        <f aca="false">Sens!$J$730+Sens!$J$735+Sens!$J$738+Sens!$J$739-Sens!$J$740</f>
        <v>0</v>
      </c>
      <c r="K741" s="43" t="n">
        <f aca="false">Sens!$K$730+Sens!$K$735+Sens!$K$738+Sens!$K$739-Sens!$K$740</f>
        <v>0</v>
      </c>
      <c r="L741" s="43" t="n">
        <f aca="false">Sens!$L$730+Sens!$L$735+Sens!$L$738+Sens!$L$739-Sens!$L$740</f>
        <v>0</v>
      </c>
      <c r="M741" s="43" t="n">
        <f aca="false">Sens!$M$730+Sens!$M$735+Sens!$M$738+Sens!$M$739-Sens!$M$740</f>
        <v>0</v>
      </c>
      <c r="N741" s="43" t="n">
        <f aca="false">Sens!$N$730+Sens!$N$735+Sens!$N$738+Sens!$N$739-Sens!$N$740</f>
        <v>0</v>
      </c>
      <c r="O741" s="43" t="n">
        <f aca="false">Sens!$O$730+Sens!$O$735+Sens!$O$738+Sens!$O$739-Sens!$O$740</f>
        <v>0</v>
      </c>
    </row>
    <row r="742" customFormat="false" ht="17.15" hidden="false" customHeight="false" outlineLevel="0" collapsed="false">
      <c r="A742" s="5" t="s">
        <v>794</v>
      </c>
      <c r="B742" s="0" t="s">
        <v>91</v>
      </c>
      <c r="C742" s="40" t="n">
        <f aca="false">Sens!$C$678</f>
        <v>0</v>
      </c>
      <c r="D742" s="40" t="n">
        <f aca="false">Sens!$D$678</f>
        <v>0</v>
      </c>
      <c r="E742" s="40" t="n">
        <f aca="false">Sens!$E$678</f>
        <v>0</v>
      </c>
      <c r="F742" s="40" t="n">
        <f aca="false">Sens!$F$678</f>
        <v>0</v>
      </c>
      <c r="G742" s="40" t="n">
        <f aca="false">Sens!$G$678</f>
        <v>0</v>
      </c>
      <c r="H742" s="40" t="n">
        <f aca="false">Sens!$H$678</f>
        <v>0</v>
      </c>
      <c r="I742" s="40" t="n">
        <f aca="false">Sens!$I$678</f>
        <v>0</v>
      </c>
      <c r="J742" s="40" t="n">
        <f aca="false">Sens!$J$678</f>
        <v>0</v>
      </c>
      <c r="K742" s="40" t="n">
        <f aca="false">Sens!$K$678</f>
        <v>0</v>
      </c>
      <c r="L742" s="40" t="n">
        <f aca="false">Sens!$L$678</f>
        <v>0</v>
      </c>
      <c r="M742" s="40" t="n">
        <f aca="false">Sens!$M$678</f>
        <v>0</v>
      </c>
      <c r="N742" s="40" t="n">
        <f aca="false">Sens!$N$678</f>
        <v>0</v>
      </c>
      <c r="O742" s="40" t="n">
        <f aca="false">Sens!$O$678</f>
        <v>0</v>
      </c>
      <c r="P742" s="5" t="s">
        <v>795</v>
      </c>
    </row>
    <row r="743" customFormat="false" ht="17.15" hidden="false" customHeight="false" outlineLevel="0" collapsed="false">
      <c r="A743" s="5" t="s">
        <v>796</v>
      </c>
      <c r="B743" s="0" t="s">
        <v>91</v>
      </c>
      <c r="C743" s="40" t="n">
        <f aca="false">Sens!$C$740+Sens!$C$742</f>
        <v>68.593</v>
      </c>
      <c r="D743" s="40" t="n">
        <f aca="false">Sens!$D$740+Sens!$D$742</f>
        <v>79.975</v>
      </c>
      <c r="E743" s="40" t="n">
        <f aca="false">Sens!$E$740+Sens!$E$742</f>
        <v>79.389</v>
      </c>
      <c r="F743" s="40" t="n">
        <f aca="false">Sens!$F$740+Sens!$F$742</f>
        <v>34.0745036250161</v>
      </c>
      <c r="G743" s="40" t="n">
        <f aca="false">Sens!$G$740+Sens!$G$742</f>
        <v>113.463503625016</v>
      </c>
      <c r="H743" s="40" t="n">
        <f aca="false">Sens!$H$740+Sens!$H$742</f>
        <v>127.124145699085</v>
      </c>
      <c r="I743" s="40" t="n">
        <f aca="false">Sens!$I$740+Sens!$I$742</f>
        <v>131.079503194861</v>
      </c>
      <c r="J743" s="40" t="n">
        <f aca="false">Sens!$J$740+Sens!$J$742</f>
        <v>140.589309889697</v>
      </c>
      <c r="K743" s="40" t="n">
        <f aca="false">Sens!$K$740+Sens!$K$742</f>
        <v>145.72271145654</v>
      </c>
      <c r="L743" s="40" t="n">
        <f aca="false">Sens!$L$740+Sens!$L$742</f>
        <v>152.816841232077</v>
      </c>
      <c r="M743" s="40" t="n">
        <f aca="false">Sens!$M$740+Sens!$M$742</f>
        <v>164.566449363703</v>
      </c>
      <c r="N743" s="40" t="n">
        <f aca="false">Sens!$N$740+Sens!$N$742</f>
        <v>54.998</v>
      </c>
      <c r="O743" s="40" t="n">
        <f aca="false">Sens!$O$740+Sens!$O$742</f>
        <v>24.977</v>
      </c>
    </row>
    <row r="744" customFormat="false" ht="17.15" hidden="false" customHeight="false" outlineLevel="0" collapsed="false">
      <c r="A744" s="0" t="s">
        <v>797</v>
      </c>
      <c r="B744" s="0" t="s">
        <v>56</v>
      </c>
      <c r="C744" s="13" t="n">
        <f aca="false">Sens!$C$730/Sens!$C$715</f>
        <v>0.0644314665661928</v>
      </c>
      <c r="D744" s="13" t="n">
        <f aca="false">Sens!$D$730/Sens!$D$715</f>
        <v>0.0694784250712518</v>
      </c>
      <c r="E744" s="13" t="n">
        <f aca="false">Sens!$E$730/Sens!$E$715</f>
        <v>0.0783769344362671</v>
      </c>
      <c r="F744" s="13" t="n">
        <f aca="false">Sens!$F$730/Sens!$F$715</f>
        <v>0.108200629537504</v>
      </c>
      <c r="G744" s="13" t="n">
        <f aca="false">Sens!$G$730/Sens!$G$715</f>
        <v>0.0872807903613977</v>
      </c>
      <c r="H744" s="13" t="n">
        <f aca="false">Sens!$H$730/Sens!$H$715</f>
        <v>0.0870422049417326</v>
      </c>
      <c r="I744" s="13" t="n">
        <f aca="false">Sens!$I$730/Sens!$I$715</f>
        <v>0.0833251229030354</v>
      </c>
      <c r="J744" s="13" t="n">
        <f aca="false">Sens!$J$730/Sens!$J$715</f>
        <v>0.0818016504630314</v>
      </c>
      <c r="K744" s="13" t="n">
        <f aca="false">Sens!$K$730/Sens!$K$715</f>
        <v>0.0806244116834098</v>
      </c>
      <c r="L744" s="13" t="n">
        <f aca="false">Sens!$L$730/Sens!$L$715</f>
        <v>0.0800421059358481</v>
      </c>
      <c r="M744" s="13" t="n">
        <f aca="false">Sens!$M$730/Sens!$M$715</f>
        <v>0.0823275868492085</v>
      </c>
      <c r="N744" s="13" t="n">
        <f aca="false">Sens!$N$730/Sens!$N$715</f>
        <v>0.0606472786091932</v>
      </c>
      <c r="O744" s="13" t="n">
        <f aca="false">Sens!$O$730/Sens!$O$715</f>
        <v>0.0902717121880975</v>
      </c>
    </row>
    <row r="745" customFormat="false" ht="17.15" hidden="false" customHeight="false" outlineLevel="0" collapsed="false">
      <c r="A745" s="0" t="s">
        <v>798</v>
      </c>
      <c r="B745" s="0" t="s">
        <v>56</v>
      </c>
      <c r="C745" s="13" t="n">
        <f aca="false">Sens!$C$735/Sens!$C$716</f>
        <v>0.026534925055631</v>
      </c>
      <c r="D745" s="13" t="n">
        <f aca="false">Sens!$D$735/Sens!$D$716</f>
        <v>0.0293401855535103</v>
      </c>
      <c r="E745" s="13" t="n">
        <f aca="false">Sens!$E$735/Sens!$E$716</f>
        <v>0.037739619805906</v>
      </c>
      <c r="F745" s="13" t="n">
        <f aca="false">Sens!$F$735/Sens!$F$716</f>
        <v>0.0255741161281195</v>
      </c>
      <c r="G745" s="13" t="n">
        <f aca="false">Sens!$G$735/Sens!$G$716</f>
        <v>0.0339499228607096</v>
      </c>
      <c r="H745" s="13" t="n">
        <f aca="false">Sens!$H$735/Sens!$H$716</f>
        <v>0.0315879690390105</v>
      </c>
      <c r="I745" s="13" t="n">
        <f aca="false">Sens!$I$735/Sens!$I$716</f>
        <v>0.0257391885603357</v>
      </c>
      <c r="J745" s="13" t="n">
        <f aca="false">Sens!$J$735/Sens!$J$716</f>
        <v>0.0220566664308063</v>
      </c>
      <c r="K745" s="13" t="n">
        <f aca="false">Sens!$K$735/Sens!$K$716</f>
        <v>0.0186728225751665</v>
      </c>
      <c r="L745" s="13" t="n">
        <f aca="false">Sens!$L$735/Sens!$L$716</f>
        <v>0.0184544244633189</v>
      </c>
      <c r="M745" s="13" t="n">
        <f aca="false">Sens!$M$735/Sens!$M$716</f>
        <v>0.0211124578854768</v>
      </c>
      <c r="N745" s="13" t="n">
        <f aca="false">Sens!$N$735/Sens!$N$716</f>
        <v>0.0333723126742826</v>
      </c>
      <c r="O745" s="13" t="n">
        <f aca="false">Sens!$O$735/Sens!$O$716</f>
        <v>0.0205031148963016</v>
      </c>
    </row>
    <row r="746" customFormat="false" ht="17.15" hidden="false" customHeight="false" outlineLevel="0" collapsed="false">
      <c r="A746" s="14" t="s">
        <v>799</v>
      </c>
      <c r="B746" s="14" t="s">
        <v>56</v>
      </c>
      <c r="C746" s="17" t="n">
        <f aca="false">Sens!$C$738/Sens!$C$717</f>
        <v>0.370355907620217</v>
      </c>
      <c r="D746" s="17" t="n">
        <f aca="false">Sens!$D$738/Sens!$D$717</f>
        <v>0.35429015342785</v>
      </c>
      <c r="E746" s="17" t="n">
        <f aca="false">Sens!$E$738/Sens!$E$717</f>
        <v>0.385960589175139</v>
      </c>
      <c r="F746" s="17" t="n">
        <f aca="false">Sens!$F$738/Sens!$F$717</f>
        <v>0.387732811947931</v>
      </c>
      <c r="G746" s="17" t="n">
        <f aca="false">Sens!$G$738/Sens!$G$717</f>
        <v>0.386424256366548</v>
      </c>
      <c r="H746" s="17" t="n">
        <f aca="false">Sens!$H$738/Sens!$H$717</f>
        <v>0.352432786800905</v>
      </c>
      <c r="I746" s="17" t="n">
        <f aca="false">Sens!$I$738/Sens!$I$717</f>
        <v>0.298332505587888</v>
      </c>
      <c r="J746" s="17" t="n">
        <f aca="false">Sens!$J$738/Sens!$J$717</f>
        <v>0.276178705816754</v>
      </c>
      <c r="K746" s="17" t="n">
        <f aca="false">Sens!$K$738/Sens!$K$717</f>
        <v>0.252691873237802</v>
      </c>
      <c r="L746" s="17" t="n">
        <f aca="false">Sens!$L$738/Sens!$L$717</f>
        <v>0.240359487228671</v>
      </c>
      <c r="M746" s="17" t="n">
        <f aca="false">Sens!$M$738/Sens!$M$717</f>
        <v>0.237764055463202</v>
      </c>
      <c r="N746" s="17" t="n">
        <f aca="false">Sens!$N$738/Sens!$N$717</f>
        <v>0.355796276812746</v>
      </c>
      <c r="O746" s="17" t="n">
        <f aca="false">Sens!$O$738/Sens!$O$717</f>
        <v>0.350347114871132</v>
      </c>
    </row>
    <row r="747" customFormat="false" ht="17.15" hidden="false" customHeight="false" outlineLevel="0" collapsed="false">
      <c r="A747" s="0" t="s">
        <v>800</v>
      </c>
      <c r="B747" s="0" t="s">
        <v>56</v>
      </c>
      <c r="C747" s="13" t="n">
        <f aca="false">Sens!$C$736/Sens!$C$718</f>
        <v>0.708390794789371</v>
      </c>
      <c r="D747" s="13" t="n">
        <f aca="false">Sens!$D$736/Sens!$D$718</f>
        <v>0.619415573115729</v>
      </c>
      <c r="E747" s="13" t="n">
        <f aca="false">Sens!$E$736/Sens!$E$718</f>
        <v>0.38978070304412</v>
      </c>
      <c r="F747" s="13" t="n">
        <f aca="false">Sens!$F$736/Sens!$F$718</f>
        <v>0.472494434272441</v>
      </c>
      <c r="G747" s="13" t="n">
        <f aca="false">Sens!$G$736/Sens!$G$718</f>
        <v>0.416185040078553</v>
      </c>
      <c r="H747" s="13" t="n">
        <f aca="false">Sens!$H$736/Sens!$H$718</f>
        <v>0.291219860009375</v>
      </c>
      <c r="I747" s="13" t="n">
        <f aca="false">Sens!$I$736/Sens!$I$718</f>
        <v>0.128010876098173</v>
      </c>
      <c r="J747" s="13" t="n">
        <f aca="false">Sens!$J$736/Sens!$J$718</f>
        <v>0.099336477985118</v>
      </c>
      <c r="K747" s="13" t="n">
        <f aca="false">Sens!$K$736/Sens!$K$718</f>
        <v>0.0593918742954412</v>
      </c>
      <c r="L747" s="13" t="n">
        <f aca="false">Sens!$L$736/Sens!$L$718</f>
        <v>0.0352994184800023</v>
      </c>
      <c r="M747" s="13" t="n">
        <f aca="false">Sens!$M$736/Sens!$M$718</f>
        <v>0.0232090659182455</v>
      </c>
      <c r="N747" s="13" t="n">
        <f aca="false">Sens!$N$736/Sens!$N$718</f>
        <v>0.591338253041814</v>
      </c>
      <c r="O747" s="13" t="n">
        <f aca="false">Sens!$O$736/Sens!$O$718</f>
        <v>0.668792929107785</v>
      </c>
    </row>
    <row r="748" customFormat="false" ht="15" hidden="false" customHeight="false" outlineLevel="0" collapsed="false">
      <c r="A748" s="5" t="s">
        <v>801</v>
      </c>
      <c r="B748" s="0" t="s">
        <v>56</v>
      </c>
      <c r="C748" s="13" t="n">
        <f aca="false">Sens!$C$740/Sens!$C$720</f>
        <v>0.107519448742004</v>
      </c>
      <c r="D748" s="13" t="n">
        <f aca="false">Sens!$D$740/Sens!$D$720</f>
        <v>0.111552967957552</v>
      </c>
      <c r="E748" s="13" t="n">
        <f aca="false">Sens!$E$740/Sens!$E$720</f>
        <v>0.135924008978391</v>
      </c>
      <c r="F748" s="13" t="n">
        <f aca="false">Sens!$F$740/Sens!$F$720</f>
        <v>0.140235791748453</v>
      </c>
      <c r="G748" s="13" t="n">
        <f aca="false">Sens!$G$740/Sens!$G$720</f>
        <v>0.13719077456924</v>
      </c>
      <c r="H748" s="13" t="n">
        <f aca="false">Sens!$H$740/Sens!$H$720</f>
        <v>0.135469762369175</v>
      </c>
      <c r="I748" s="13" t="n">
        <f aca="false">Sens!$I$740/Sens!$I$720</f>
        <v>0.124582211647181</v>
      </c>
      <c r="J748" s="13" t="n">
        <f aca="false">Sens!$J$740/Sens!$J$720</f>
        <v>0.121111179990127</v>
      </c>
      <c r="K748" s="13" t="n">
        <f aca="false">Sens!$K$740/Sens!$K$720</f>
        <v>0.115931783726664</v>
      </c>
      <c r="L748" s="13" t="n">
        <f aca="false">Sens!$L$740/Sens!$L$720</f>
        <v>0.113228906517907</v>
      </c>
      <c r="M748" s="13" t="n">
        <f aca="false">Sens!$M$740/Sens!$M$720</f>
        <v>0.114348558372438</v>
      </c>
      <c r="N748" s="13" t="n">
        <f aca="false">Sens!$N$740/Sens!$N$720</f>
        <v>0.109223137082008</v>
      </c>
      <c r="O748" s="13" t="n">
        <f aca="false">Sens!$O$740/Sens!$O$720</f>
        <v>0.117050790586074</v>
      </c>
    </row>
    <row r="749" customFormat="false" ht="17.15" hidden="false" customHeight="false" outlineLevel="0" collapsed="false">
      <c r="A749" s="1" t="s">
        <v>802</v>
      </c>
    </row>
    <row r="750" customFormat="false" ht="17.15" hidden="false" customHeight="false" outlineLevel="0" collapsed="false">
      <c r="A750" s="5" t="s">
        <v>803</v>
      </c>
      <c r="B750" s="0" t="s">
        <v>56</v>
      </c>
      <c r="D750" s="32" t="n">
        <f aca="false">(Q!$E$31+Q!$E$32-(1-ext_sh)*Sens!$D$672)/Sens!$D$620</f>
        <v>0.0341105596409988</v>
      </c>
    </row>
    <row r="751" customFormat="false" ht="17.15" hidden="false" customHeight="false" outlineLevel="0" collapsed="false">
      <c r="A751" s="0" t="s">
        <v>585</v>
      </c>
      <c r="B751" s="0" t="s">
        <v>91</v>
      </c>
      <c r="C751" s="40" t="n">
        <f aca="false">Q!$D$31</f>
        <v>14.285</v>
      </c>
      <c r="D751" s="40" t="n">
        <f aca="false">Q!$E$31</f>
        <v>15.503</v>
      </c>
      <c r="E751" s="40" t="n">
        <f aca="false">Q!$O$31</f>
        <v>13.4963548128877</v>
      </c>
      <c r="F751" s="40" t="n">
        <f aca="false">(Sens!$D$750*Sens!$F$620+(1-ext_sh)*Sens!$F$672)*Sens!$F$621</f>
        <v>5.21211427093156</v>
      </c>
      <c r="G751" s="40" t="n">
        <f aca="false">Sens!$E$751+Sens!$F$751</f>
        <v>18.7084690838193</v>
      </c>
      <c r="H751" s="40" t="n">
        <f aca="false">(Sens!$D$750*Sens!$H$620+(1-ext_sh)*Sens!$H$672)*Sens!$H$621</f>
        <v>21.7211660546073</v>
      </c>
      <c r="I751" s="40" t="n">
        <f aca="false">(Sens!$D$750*Sens!$I$620+(1-ext_sh)*Sens!$I$672)*Sens!$I$621</f>
        <v>27.8212875787445</v>
      </c>
      <c r="J751" s="40" t="n">
        <f aca="false">(Sens!$D$750*Sens!$J$620+(1-ext_sh)*Sens!$J$672)*Sens!$J$621</f>
        <v>32.9642213622344</v>
      </c>
      <c r="K751" s="40" t="n">
        <f aca="false">(Sens!$D$750*Sens!$K$620+(1-ext_sh)*Sens!$K$672)*Sens!$K$621</f>
        <v>38.0154736494029</v>
      </c>
      <c r="L751" s="40" t="n">
        <f aca="false">(Sens!$D$750*Sens!$L$620+(1-ext_sh)*Sens!$L$672)*Sens!$L$621</f>
        <v>42.033268674836</v>
      </c>
      <c r="M751" s="40" t="n">
        <f aca="false">(Sens!$D$750*Sens!$M$620+(1-ext_sh)*Sens!$M$672)*Sens!$M$621</f>
        <v>44.8754624898616</v>
      </c>
      <c r="N751" s="40" t="n">
        <f aca="false">Q!$N$31</f>
        <v>11.273</v>
      </c>
      <c r="O751" s="40" t="n">
        <f aca="false">Q!$J$31</f>
        <v>4.23</v>
      </c>
    </row>
    <row r="752" customFormat="false" ht="17.15" hidden="false" customHeight="false" outlineLevel="0" collapsed="false">
      <c r="A752" s="0" t="s">
        <v>588</v>
      </c>
      <c r="B752" s="0" t="s">
        <v>91</v>
      </c>
      <c r="C752" s="40" t="n">
        <f aca="false">Q!$D$32</f>
        <v>4.462</v>
      </c>
      <c r="D752" s="40" t="n">
        <f aca="false">Q!$E$32</f>
        <v>4.907</v>
      </c>
      <c r="E752" s="40" t="n">
        <f aca="false">Q!$O$32</f>
        <v>3.92516594956974</v>
      </c>
      <c r="F752" s="40" t="n">
        <f aca="false">(Sens!$D$750*Sens!$F$620+(1-ext_sh)*Sens!$F$672)*(1-Sens!$F$621)</f>
        <v>2.08036703791013</v>
      </c>
      <c r="G752" s="40" t="n">
        <f aca="false">Sens!$E$752+Sens!$F$752</f>
        <v>6.00553298747987</v>
      </c>
      <c r="H752" s="40" t="n">
        <f aca="false">(Sens!$D$750*Sens!$H$620+(1-ext_sh)*Sens!$H$672)*(1-Sens!$H$621)</f>
        <v>8.30905162009005</v>
      </c>
      <c r="I752" s="40" t="n">
        <f aca="false">(Sens!$D$750*Sens!$I$620+(1-ext_sh)*Sens!$I$672)*(1-Sens!$I$621)</f>
        <v>10.6425462633082</v>
      </c>
      <c r="J752" s="40" t="n">
        <f aca="false">(Sens!$D$750*Sens!$J$620+(1-ext_sh)*Sens!$J$672)*(1-Sens!$J$621)</f>
        <v>12.6098855018321</v>
      </c>
      <c r="K752" s="40" t="n">
        <f aca="false">(Sens!$D$750*Sens!$K$620+(1-ext_sh)*Sens!$K$672)*(1-Sens!$K$621)</f>
        <v>14.542153589773</v>
      </c>
      <c r="L752" s="40" t="n">
        <f aca="false">(Sens!$D$750*Sens!$L$620+(1-ext_sh)*Sens!$L$672)*(1-Sens!$L$621)</f>
        <v>16.0790907036156</v>
      </c>
      <c r="M752" s="40" t="n">
        <f aca="false">(Sens!$D$750*Sens!$M$620+(1-ext_sh)*Sens!$M$672)*(1-Sens!$M$621)</f>
        <v>17.1663221654983</v>
      </c>
      <c r="N752" s="40" t="n">
        <f aca="false">Q!$N$32</f>
        <v>3.592</v>
      </c>
      <c r="O752" s="40" t="n">
        <f aca="false">Q!$J$32</f>
        <v>1.315</v>
      </c>
    </row>
    <row r="753" customFormat="false" ht="17.15" hidden="false" customHeight="false" outlineLevel="0" collapsed="false">
      <c r="A753" s="0" t="s">
        <v>589</v>
      </c>
      <c r="B753" s="0" t="s">
        <v>91</v>
      </c>
      <c r="C753" s="40" t="n">
        <f aca="false">Sens!$C$684</f>
        <v>13.32</v>
      </c>
      <c r="D753" s="40" t="n">
        <f aca="false">Sens!$D$684</f>
        <v>21.45</v>
      </c>
      <c r="E753" s="40" t="n">
        <f aca="false">Sens!$E$684</f>
        <v>23.8172847708625</v>
      </c>
      <c r="F753" s="40" t="n">
        <f aca="false">Sens!$F$684</f>
        <v>8.28155769350516</v>
      </c>
      <c r="G753" s="40" t="n">
        <f aca="false">Sens!$G$684</f>
        <v>32.0988424643677</v>
      </c>
      <c r="H753" s="40" t="n">
        <f aca="false">Sens!$H$684</f>
        <v>48.7469278856268</v>
      </c>
      <c r="I753" s="40" t="n">
        <f aca="false">Sens!$I$684</f>
        <v>76.4669223006817</v>
      </c>
      <c r="J753" s="40" t="n">
        <f aca="false">Sens!$J$684</f>
        <v>99.3763394539051</v>
      </c>
      <c r="K753" s="40" t="n">
        <f aca="false">Sens!$K$684</f>
        <v>122.481549194278</v>
      </c>
      <c r="L753" s="40" t="n">
        <f aca="false">Sens!$L$684</f>
        <v>139.564108797953</v>
      </c>
      <c r="M753" s="40" t="n">
        <f aca="false">Sens!$M$684</f>
        <v>149.816114943274</v>
      </c>
      <c r="N753" s="40" t="n">
        <f aca="false">Sens!$N$684</f>
        <v>14.882</v>
      </c>
      <c r="O753" s="40" t="n">
        <f aca="false">Sens!$O$684</f>
        <v>6.568</v>
      </c>
    </row>
    <row r="754" customFormat="false" ht="17.15" hidden="false" customHeight="false" outlineLevel="0" collapsed="false">
      <c r="A754" s="5" t="s">
        <v>804</v>
      </c>
      <c r="B754" s="0" t="s">
        <v>91</v>
      </c>
      <c r="C754" s="40" t="n">
        <f aca="false">Sens!$C$751+Sens!$C$752+Sens!$C$753</f>
        <v>32.067</v>
      </c>
      <c r="D754" s="40" t="n">
        <f aca="false">Sens!$D$751+Sens!$D$752+Sens!$D$753</f>
        <v>41.86</v>
      </c>
      <c r="E754" s="40" t="n">
        <f aca="false">Sens!$E$751+Sens!$E$752+Sens!$E$753</f>
        <v>41.23880553332</v>
      </c>
      <c r="F754" s="40" t="n">
        <f aca="false">Sens!$F$751+Sens!$F$752+Sens!$F$753</f>
        <v>15.5740390023468</v>
      </c>
      <c r="G754" s="40" t="n">
        <f aca="false">Sens!$G$751+Sens!$G$752+Sens!$G$753</f>
        <v>56.8128445356668</v>
      </c>
      <c r="H754" s="40" t="n">
        <f aca="false">Sens!$H$751+Sens!$H$752+Sens!$H$753</f>
        <v>78.7771455603241</v>
      </c>
      <c r="I754" s="40" t="n">
        <f aca="false">Sens!$I$751+Sens!$I$752+Sens!$I$753</f>
        <v>114.930756142734</v>
      </c>
      <c r="J754" s="40" t="n">
        <f aca="false">Sens!$J$751+Sens!$J$752+Sens!$J$753</f>
        <v>144.950446317972</v>
      </c>
      <c r="K754" s="40" t="n">
        <f aca="false">Sens!$K$751+Sens!$K$752+Sens!$K$753</f>
        <v>175.039176433454</v>
      </c>
      <c r="L754" s="40" t="n">
        <f aca="false">Sens!$L$751+Sens!$L$752+Sens!$L$753</f>
        <v>197.676468176405</v>
      </c>
      <c r="M754" s="40" t="n">
        <f aca="false">Sens!$M$751+Sens!$M$752+Sens!$M$753</f>
        <v>211.857899598634</v>
      </c>
      <c r="N754" s="40" t="n">
        <f aca="false">Sens!$N$751+Sens!$N$752+Sens!$N$753</f>
        <v>29.747</v>
      </c>
      <c r="O754" s="40" t="n">
        <f aca="false">Sens!$O$751+Sens!$O$752+Sens!$O$753</f>
        <v>12.113</v>
      </c>
    </row>
    <row r="755" customFormat="false" ht="17.15" hidden="false" customHeight="false" outlineLevel="0" collapsed="false">
      <c r="A755" s="0" t="s">
        <v>805</v>
      </c>
      <c r="B755" s="0" t="s">
        <v>91</v>
      </c>
      <c r="C755" s="40" t="n">
        <f aca="false">Sens!$C$726+Sens!$C$731</f>
        <v>28.107</v>
      </c>
      <c r="D755" s="40" t="n">
        <f aca="false">Sens!$D$726+Sens!$D$731</f>
        <v>34.3175</v>
      </c>
      <c r="E755" s="40" t="n">
        <f aca="false">Sens!$E$726+Sens!$E$731</f>
        <v>28.3445</v>
      </c>
      <c r="F755" s="40" t="n">
        <f aca="false">Sens!$F$726+Sens!$F$731</f>
        <v>12.7540196873527</v>
      </c>
      <c r="G755" s="40" t="n">
        <f aca="false">Sens!$G$726+Sens!$G$731</f>
        <v>41.0985196873527</v>
      </c>
      <c r="H755" s="40" t="n">
        <f aca="false">Sens!$H$726+Sens!$H$731</f>
        <v>48.2304391441512</v>
      </c>
      <c r="I755" s="40" t="n">
        <f aca="false">Sens!$I$726+Sens!$I$731</f>
        <v>55.4178122068561</v>
      </c>
      <c r="J755" s="40" t="n">
        <f aca="false">Sens!$J$726+Sens!$J$731</f>
        <v>62.3179259563365</v>
      </c>
      <c r="K755" s="40" t="n">
        <f aca="false">Sens!$K$726+Sens!$K$731</f>
        <v>68.5497185519701</v>
      </c>
      <c r="L755" s="40" t="n">
        <f aca="false">Sens!$L$726+Sens!$L$731</f>
        <v>75.4046904071671</v>
      </c>
      <c r="M755" s="40" t="n">
        <f aca="false">Sens!$M$726+Sens!$M$731</f>
        <v>82.9451594478839</v>
      </c>
      <c r="N755" s="40" t="n">
        <f aca="false">Sens!$N$726+Sens!$N$731</f>
        <v>23.659</v>
      </c>
      <c r="O755" s="40" t="n">
        <f aca="false">Sens!$O$726+Sens!$O$731</f>
        <v>10.6585</v>
      </c>
    </row>
    <row r="756" customFormat="false" ht="17.15" hidden="false" customHeight="false" outlineLevel="0" collapsed="false">
      <c r="A756" s="0" t="s">
        <v>806</v>
      </c>
      <c r="B756" s="0" t="s">
        <v>91</v>
      </c>
      <c r="C756" s="40" t="n">
        <f aca="false">Sens!$C$730+Sens!$C$735+Sens!$C$751+Sens!$C$752-Sens!$C$755</f>
        <v>19.399</v>
      </c>
      <c r="D756" s="40" t="n">
        <f aca="false">Sens!$D$730+Sens!$D$735+Sens!$D$751+Sens!$D$752-Sens!$D$755</f>
        <v>20.4615</v>
      </c>
      <c r="E756" s="40" t="n">
        <f aca="false">Sens!$E$730+Sens!$E$735+Sens!$E$751+Sens!$E$752-Sens!$E$755</f>
        <v>19.9110207624575</v>
      </c>
      <c r="F756" s="40" t="n">
        <f aca="false">Sens!$F$730+Sens!$F$735+Sens!$F$751+Sens!$F$752-Sens!$F$755</f>
        <v>11.3292244276029</v>
      </c>
      <c r="G756" s="40" t="n">
        <f aca="false">Sens!$G$730+Sens!$G$735+Sens!$G$751+Sens!$G$752-Sens!$G$755</f>
        <v>31.2402451900604</v>
      </c>
      <c r="H756" s="40" t="n">
        <f aca="false">Sens!$H$730+Sens!$H$735+Sens!$H$751+Sens!$H$752-Sens!$H$755</f>
        <v>33.7977855714846</v>
      </c>
      <c r="I756" s="40" t="n">
        <f aca="false">Sens!$I$730+Sens!$I$735+Sens!$I$751+Sens!$I$752-Sens!$I$755</f>
        <v>36.3930138937501</v>
      </c>
      <c r="J756" s="40" t="n">
        <f aca="false">Sens!$J$730+Sens!$J$735+Sens!$J$751+Sens!$J$752-Sens!$J$755</f>
        <v>38.9638841214947</v>
      </c>
      <c r="K756" s="40" t="n">
        <f aca="false">Sens!$K$730+Sens!$K$735+Sens!$K$751+Sens!$K$752-Sens!$K$755</f>
        <v>41.6846163711491</v>
      </c>
      <c r="L756" s="40" t="n">
        <f aca="false">Sens!$L$730+Sens!$L$735+Sens!$L$751+Sens!$L$752-Sens!$L$755</f>
        <v>43.6562241677029</v>
      </c>
      <c r="M756" s="40" t="n">
        <f aca="false">Sens!$M$730+Sens!$M$735+Sens!$M$751+Sens!$M$752-Sens!$M$755</f>
        <v>46.4748655725654</v>
      </c>
      <c r="N756" s="40" t="n">
        <f aca="false">Sens!$N$730+Sens!$N$735+Sens!$N$751+Sens!$N$752-Sens!$N$755</f>
        <v>13.063</v>
      </c>
      <c r="O756" s="40" t="n">
        <f aca="false">Sens!$O$730+Sens!$O$735+Sens!$O$751+Sens!$O$752-Sens!$O$755</f>
        <v>7.3985</v>
      </c>
    </row>
    <row r="757" customFormat="false" ht="17.15" hidden="false" customHeight="false" outlineLevel="0" collapsed="false">
      <c r="A757" s="0" t="s">
        <v>807</v>
      </c>
      <c r="B757" s="0" t="s">
        <v>91</v>
      </c>
      <c r="C757" s="40" t="n">
        <f aca="false">Sens!$C$737+Sens!$C$753-ext_sh*Sens!$C$672</f>
        <v>51.3470500115664</v>
      </c>
      <c r="D757" s="40" t="n">
        <f aca="false">Sens!$D$737+Sens!$D$753-ext_sh*Sens!$D$672</f>
        <v>60.2799375433739</v>
      </c>
      <c r="E757" s="40" t="n">
        <f aca="false">Sens!$E$737+Sens!$E$753-ext_sh*Sens!$E$672</f>
        <v>59.7597032676119</v>
      </c>
      <c r="F757" s="40" t="n">
        <f aca="false">Sens!$F$737+Sens!$F$753-ext_sh*Sens!$F$672</f>
        <v>19.8765856323982</v>
      </c>
      <c r="G757" s="40" t="n">
        <f aca="false">Sens!$G$737+Sens!$G$753-ext_sh*Sens!$G$672</f>
        <v>79.6362889000101</v>
      </c>
      <c r="H757" s="40" t="n">
        <f aca="false">Sens!$H$737+Sens!$H$753-ext_sh*Sens!$H$672</f>
        <v>88.6663043493359</v>
      </c>
      <c r="I757" s="40" t="n">
        <f aca="false">Sens!$I$737+Sens!$I$753-ext_sh*Sens!$I$672</f>
        <v>98.4420671006853</v>
      </c>
      <c r="J757" s="40" t="n">
        <f aca="false">Sens!$J$737+Sens!$J$753-ext_sh*Sens!$J$672</f>
        <v>107.806536768735</v>
      </c>
      <c r="K757" s="40" t="n">
        <f aca="false">Sens!$K$737+Sens!$K$753-ext_sh*Sens!$K$672</f>
        <v>116.431059710234</v>
      </c>
      <c r="L757" s="40" t="n">
        <f aca="false">Sens!$L$737+Sens!$L$753-ext_sh*Sens!$L$672</f>
        <v>125.745544487053</v>
      </c>
      <c r="M757" s="40" t="n">
        <f aca="false">Sens!$M$737+Sens!$M$753-ext_sh*Sens!$M$672</f>
        <v>135.805188046017</v>
      </c>
      <c r="N757" s="40" t="n">
        <f aca="false">Sens!$N$737+Sens!$N$753-ext_sh*Sens!$N$672</f>
        <v>43.7032601839009</v>
      </c>
      <c r="O757" s="40" t="n">
        <f aca="false">Sens!$O$737+Sens!$O$753-ext_sh*Sens!$O$672</f>
        <v>16.5766773594731</v>
      </c>
    </row>
    <row r="758" customFormat="false" ht="17.15" hidden="false" customHeight="false" outlineLevel="0" collapsed="false">
      <c r="A758" s="0" t="s">
        <v>808</v>
      </c>
      <c r="B758" s="0" t="s">
        <v>91</v>
      </c>
      <c r="C758" s="40" t="n">
        <f aca="false">Sens!$C$675</f>
        <v>1.80694998843362</v>
      </c>
      <c r="D758" s="40" t="n">
        <f aca="false">Sens!$D$675</f>
        <v>6.77606245662607</v>
      </c>
      <c r="E758" s="40" t="n">
        <f aca="false">Sens!$E$675</f>
        <v>12.6125815032506</v>
      </c>
      <c r="F758" s="40" t="n">
        <f aca="false">Sens!$F$675</f>
        <v>5.68871288000918</v>
      </c>
      <c r="G758" s="40" t="n">
        <f aca="false">Sens!$G$675</f>
        <v>18.3012943832598</v>
      </c>
      <c r="H758" s="40" t="n">
        <f aca="false">Sens!$H$675</f>
        <v>35.2067621944375</v>
      </c>
      <c r="I758" s="40" t="n">
        <f aca="false">Sens!$I$675</f>
        <v>55.7573661363039</v>
      </c>
      <c r="J758" s="40" t="n">
        <f aca="false">Sens!$J$675</f>
        <v>76.4514093611018</v>
      </c>
      <c r="K758" s="40" t="n">
        <f aca="false">Sens!$K$675</f>
        <v>94.0964932566406</v>
      </c>
      <c r="L758" s="40" t="n">
        <f aca="false">Sens!$L$675</f>
        <v>105.686850346559</v>
      </c>
      <c r="M758" s="40" t="n">
        <f aca="false">Sens!$M$675</f>
        <v>111.19913589587</v>
      </c>
      <c r="N758" s="40" t="n">
        <f aca="false">Sens!$N$675</f>
        <v>4.31973981609912</v>
      </c>
      <c r="O758" s="40" t="n">
        <f aca="false">Sens!$O$675</f>
        <v>2.45632264052695</v>
      </c>
    </row>
    <row r="759" customFormat="false" ht="17.15" hidden="false" customHeight="false" outlineLevel="0" collapsed="false">
      <c r="A759" s="0" t="s">
        <v>809</v>
      </c>
      <c r="B759" s="0" t="s">
        <v>91</v>
      </c>
      <c r="C759" s="40" t="n">
        <f aca="false">Sens!$C$740+Sens!$C$754</f>
        <v>100.66</v>
      </c>
      <c r="D759" s="40" t="n">
        <f aca="false">Sens!$D$740+Sens!$D$754</f>
        <v>121.835</v>
      </c>
      <c r="E759" s="40" t="n">
        <f aca="false">Sens!$E$740+Sens!$E$754</f>
        <v>120.62780553332</v>
      </c>
      <c r="F759" s="40" t="n">
        <f aca="false">Sens!$F$740+Sens!$F$754</f>
        <v>49.648542627363</v>
      </c>
      <c r="G759" s="40" t="n">
        <f aca="false">Sens!$G$740+Sens!$G$754</f>
        <v>170.276348160683</v>
      </c>
      <c r="H759" s="40" t="n">
        <f aca="false">Sens!$H$740+Sens!$H$754</f>
        <v>205.901291259409</v>
      </c>
      <c r="I759" s="40" t="n">
        <f aca="false">Sens!$I$740+Sens!$I$754</f>
        <v>246.010259337595</v>
      </c>
      <c r="J759" s="40" t="n">
        <f aca="false">Sens!$J$740+Sens!$J$754</f>
        <v>285.539756207668</v>
      </c>
      <c r="K759" s="40" t="n">
        <f aca="false">Sens!$K$740+Sens!$K$754</f>
        <v>320.761887889994</v>
      </c>
      <c r="L759" s="40" t="n">
        <f aca="false">Sens!$L$740+Sens!$L$754</f>
        <v>350.493309408482</v>
      </c>
      <c r="M759" s="40" t="n">
        <f aca="false">Sens!$M$740+Sens!$M$754</f>
        <v>376.424348962337</v>
      </c>
      <c r="N759" s="40" t="n">
        <f aca="false">Sens!$N$740+Sens!$N$754</f>
        <v>84.745</v>
      </c>
      <c r="O759" s="40" t="n">
        <f aca="false">Sens!$O$740+Sens!$O$754</f>
        <v>37.09</v>
      </c>
    </row>
    <row r="760" customFormat="false" ht="17.15" hidden="false" customHeight="false" outlineLevel="0" collapsed="false">
      <c r="A760" s="1" t="s">
        <v>810</v>
      </c>
    </row>
    <row r="761" customFormat="false" ht="15" hidden="false" customHeight="false" outlineLevel="0" collapsed="false">
      <c r="A761" s="5" t="s">
        <v>592</v>
      </c>
      <c r="B761" s="0" t="s">
        <v>91</v>
      </c>
      <c r="C761" s="40" t="n">
        <f aca="false">Q!$D$36</f>
        <v>2.406</v>
      </c>
      <c r="D761" s="40" t="n">
        <f aca="false">Q!$E$36</f>
        <v>2.274</v>
      </c>
      <c r="E761" s="40" t="n">
        <f aca="false">Q!$O$36</f>
        <v>3.805</v>
      </c>
      <c r="F761" s="40" t="n">
        <f aca="false">Sens!$F$798</f>
        <v>1.94993832879634</v>
      </c>
      <c r="G761" s="40" t="n">
        <f aca="false">Sens!$E$761+Sens!$F$761</f>
        <v>5.75493832879634</v>
      </c>
      <c r="H761" s="40" t="n">
        <f aca="false">Sens!$H$798</f>
        <v>7.79975331518538</v>
      </c>
      <c r="I761" s="40" t="n">
        <f aca="false">Sens!$I$798</f>
        <v>7.79975331518538</v>
      </c>
      <c r="J761" s="40" t="n">
        <f aca="false">Sens!$J$798</f>
        <v>7.79975331518538</v>
      </c>
      <c r="K761" s="40" t="n">
        <f aca="false">Sens!$K$798</f>
        <v>7.79975331518538</v>
      </c>
      <c r="L761" s="40" t="n">
        <f aca="false">Sens!$L$798</f>
        <v>7.79975331518538</v>
      </c>
      <c r="M761" s="40" t="n">
        <f aca="false">Sens!$M$798</f>
        <v>7.79975331518538</v>
      </c>
      <c r="N761" s="40" t="n">
        <f aca="false">Q!$N$36</f>
        <v>1.595</v>
      </c>
      <c r="O761" s="40" t="n">
        <f aca="false">Q!$J$36</f>
        <v>0.679</v>
      </c>
    </row>
    <row r="762" customFormat="false" ht="15" hidden="false" customHeight="false" outlineLevel="0" collapsed="false">
      <c r="A762" s="5" t="s">
        <v>811</v>
      </c>
      <c r="B762" s="0" t="s">
        <v>91</v>
      </c>
      <c r="F762" s="40" t="n">
        <f aca="false">Sens!$F$799</f>
        <v>1.187</v>
      </c>
      <c r="H762" s="40" t="n">
        <f aca="false">Sens!$H$799</f>
        <v>5.66825015852675</v>
      </c>
      <c r="I762" s="40" t="n">
        <f aca="false">Sens!$I$799</f>
        <v>4.08973253128784</v>
      </c>
      <c r="J762" s="40" t="n">
        <f aca="false">Sens!$J$799</f>
        <v>3.69273327245235</v>
      </c>
      <c r="K762" s="40" t="n">
        <f aca="false">Sens!$K$799</f>
        <v>4.54801573727125</v>
      </c>
      <c r="L762" s="40" t="n">
        <f aca="false">Sens!$L$799</f>
        <v>8.79476704295466</v>
      </c>
      <c r="M762" s="40" t="n">
        <f aca="false">Sens!$M$799</f>
        <v>15.2108179456719</v>
      </c>
    </row>
    <row r="763" customFormat="false" ht="17.15" hidden="false" customHeight="false" outlineLevel="0" collapsed="false">
      <c r="A763" s="5" t="s">
        <v>812</v>
      </c>
      <c r="B763" s="0" t="s">
        <v>91</v>
      </c>
      <c r="C763" s="40" t="n">
        <f aca="false">Q!$D$41</f>
        <v>2.427</v>
      </c>
      <c r="D763" s="40" t="n">
        <f aca="false">Q!$E$41</f>
        <v>19.61</v>
      </c>
      <c r="E763" s="40" t="n">
        <f aca="false">Q!$O$41</f>
        <v>71.976</v>
      </c>
      <c r="F763" s="41" t="n">
        <v>0</v>
      </c>
      <c r="G763" s="40" t="n">
        <f aca="false">Sens!$E$763+Sens!$F$763</f>
        <v>71.976</v>
      </c>
      <c r="H763" s="41" t="n">
        <v>0</v>
      </c>
      <c r="I763" s="41" t="n">
        <v>0</v>
      </c>
      <c r="J763" s="41" t="n">
        <v>0</v>
      </c>
      <c r="K763" s="41" t="n">
        <v>0</v>
      </c>
      <c r="L763" s="41" t="n">
        <v>0</v>
      </c>
      <c r="M763" s="41" t="n">
        <v>0</v>
      </c>
      <c r="N763" s="40" t="n">
        <f aca="false">Q!$N$41</f>
        <v>17.303</v>
      </c>
      <c r="O763" s="40" t="n">
        <f aca="false">Q!$J$41</f>
        <v>2.307</v>
      </c>
      <c r="P763" s="5" t="s">
        <v>813</v>
      </c>
    </row>
    <row r="764" customFormat="false" ht="15" hidden="false" customHeight="false" outlineLevel="0" collapsed="false">
      <c r="A764" s="5" t="s">
        <v>595</v>
      </c>
      <c r="B764" s="0" t="s">
        <v>91</v>
      </c>
      <c r="C764" s="40" t="n">
        <f aca="false">Q!$D$38</f>
        <v>68.614</v>
      </c>
      <c r="D764" s="40" t="n">
        <f aca="false">Q!$E$38</f>
        <v>97.311</v>
      </c>
      <c r="E764" s="40" t="n">
        <f aca="false">Q!$O$38</f>
        <v>147.56</v>
      </c>
      <c r="F764" s="40" t="n">
        <f aca="false">Sens!$F$740-Sens!$F$761+Sens!$F$762+Sens!$F$763</f>
        <v>33.3115652962198</v>
      </c>
      <c r="G764" s="40" t="n">
        <f aca="false">Sens!$E$764+Sens!$F$764</f>
        <v>180.87156529622</v>
      </c>
      <c r="H764" s="40" t="n">
        <f aca="false">Sens!$H$740-Sens!$H$761+Sens!$H$762+Sens!$H$763</f>
        <v>124.992642542426</v>
      </c>
      <c r="I764" s="40" t="n">
        <f aca="false">Sens!$I$740-Sens!$I$761+Sens!$I$762+Sens!$I$763</f>
        <v>127.369482410963</v>
      </c>
      <c r="J764" s="40" t="n">
        <f aca="false">Sens!$J$740-Sens!$J$761+Sens!$J$762+Sens!$J$763</f>
        <v>136.482289846964</v>
      </c>
      <c r="K764" s="40" t="n">
        <f aca="false">Sens!$K$740-Sens!$K$761+Sens!$K$762+Sens!$K$763</f>
        <v>142.470973878626</v>
      </c>
      <c r="L764" s="40" t="n">
        <f aca="false">Sens!$L$740-Sens!$L$761+Sens!$L$762+Sens!$L$763</f>
        <v>153.811854959847</v>
      </c>
      <c r="M764" s="40" t="n">
        <f aca="false">Sens!$M$740-Sens!$M$761+Sens!$M$762+Sens!$M$763</f>
        <v>171.977513994189</v>
      </c>
      <c r="N764" s="40" t="n">
        <f aca="false">Q!$N$38</f>
        <v>70.706</v>
      </c>
      <c r="O764" s="40" t="n">
        <f aca="false">Q!$J$38</f>
        <v>26.605</v>
      </c>
    </row>
    <row r="765" customFormat="false" ht="15" hidden="false" customHeight="false" outlineLevel="0" collapsed="false">
      <c r="A765" s="5" t="s">
        <v>596</v>
      </c>
      <c r="B765" s="0" t="s">
        <v>91</v>
      </c>
      <c r="C765" s="40" t="n">
        <f aca="false">Q!$D$39</f>
        <v>9.265</v>
      </c>
      <c r="D765" s="40" t="n">
        <f aca="false">Q!$E$39</f>
        <v>19.087</v>
      </c>
      <c r="E765" s="40" t="n">
        <f aca="false">Q!$O$39</f>
        <v>33.939</v>
      </c>
      <c r="F765" s="40" t="n">
        <f aca="false">Sens!$F$764*tax</f>
        <v>5.78237229294971</v>
      </c>
      <c r="G765" s="40" t="n">
        <f aca="false">Sens!$E$765+Sens!$F$765</f>
        <v>39.7213722929497</v>
      </c>
      <c r="H765" s="40" t="n">
        <f aca="false">Sens!$H$764*tax</f>
        <v>21.6967886868382</v>
      </c>
      <c r="I765" s="40" t="n">
        <f aca="false">Sens!$I$764*tax</f>
        <v>22.1093713102721</v>
      </c>
      <c r="J765" s="40" t="n">
        <f aca="false">Sens!$J$764*tax</f>
        <v>23.6912136752388</v>
      </c>
      <c r="K765" s="40" t="n">
        <f aca="false">Sens!$K$764*tax</f>
        <v>24.7307565579578</v>
      </c>
      <c r="L765" s="40" t="n">
        <f aca="false">Sens!$L$764*tax</f>
        <v>26.6993580319069</v>
      </c>
      <c r="M765" s="40" t="n">
        <f aca="false">Sens!$M$764*tax</f>
        <v>29.8526353561422</v>
      </c>
      <c r="N765" s="40" t="n">
        <f aca="false">Q!$N$39</f>
        <v>14.141</v>
      </c>
      <c r="O765" s="40" t="n">
        <f aca="false">Q!$J$39</f>
        <v>4.946</v>
      </c>
    </row>
    <row r="766" customFormat="false" ht="15" hidden="false" customHeight="false" outlineLevel="0" collapsed="false">
      <c r="A766" s="3" t="s">
        <v>597</v>
      </c>
      <c r="B766" s="8" t="s">
        <v>91</v>
      </c>
      <c r="C766" s="40" t="n">
        <f aca="false">Q!$D$40</f>
        <v>59.248</v>
      </c>
      <c r="D766" s="40" t="n">
        <f aca="false">Q!$E$40</f>
        <v>77.67</v>
      </c>
      <c r="E766" s="40" t="n">
        <f aca="false">Q!$O$40</f>
        <v>113.587</v>
      </c>
      <c r="F766" s="40" t="n">
        <f aca="false">Sens!$F$764-Sens!$F$765</f>
        <v>27.5291930032701</v>
      </c>
      <c r="G766" s="40" t="n">
        <f aca="false">Sens!$E$766+Sens!$F$766</f>
        <v>141.11619300327</v>
      </c>
      <c r="H766" s="40" t="n">
        <f aca="false">Sens!$H$764-Sens!$H$765</f>
        <v>103.295853855588</v>
      </c>
      <c r="I766" s="40" t="n">
        <f aca="false">Sens!$I$764-Sens!$I$765</f>
        <v>105.260111100691</v>
      </c>
      <c r="J766" s="40" t="n">
        <f aca="false">Sens!$J$764-Sens!$J$765</f>
        <v>112.791076171725</v>
      </c>
      <c r="K766" s="40" t="n">
        <f aca="false">Sens!$K$764-Sens!$K$765</f>
        <v>117.740217320668</v>
      </c>
      <c r="L766" s="40" t="n">
        <f aca="false">Sens!$L$764-Sens!$L$765</f>
        <v>127.11249692794</v>
      </c>
      <c r="M766" s="40" t="n">
        <f aca="false">Sens!$M$764-Sens!$M$765</f>
        <v>142.124878638047</v>
      </c>
      <c r="N766" s="40" t="n">
        <f aca="false">Q!$N$40</f>
        <v>56.478</v>
      </c>
      <c r="O766" s="40" t="n">
        <f aca="false">Q!$J$40</f>
        <v>21.192</v>
      </c>
    </row>
    <row r="767" customFormat="false" ht="17.15" hidden="false" customHeight="false" outlineLevel="0" collapsed="false">
      <c r="A767" s="5" t="s">
        <v>600</v>
      </c>
      <c r="B767" s="5" t="s">
        <v>37</v>
      </c>
      <c r="C767" s="25" t="n">
        <f aca="false">Q!$D$43</f>
        <v>10.721</v>
      </c>
      <c r="D767" s="25" t="n">
        <f aca="false">Q!$E$43</f>
        <v>10.827</v>
      </c>
      <c r="E767" s="25" t="n">
        <f aca="false">Q!$O$43</f>
        <v>10.903</v>
      </c>
      <c r="F767" s="25" t="n">
        <f aca="false">Q!$M$43*(1+sh_g*0.25)</f>
        <v>10.950858</v>
      </c>
      <c r="G767" s="25" t="n">
        <f aca="false">(3*Sens!$E$767+Sens!$F$767)/4</f>
        <v>10.9149645</v>
      </c>
      <c r="H767" s="25" t="n">
        <f aca="false">Sens!$G$767*(1+sh_g)</f>
        <v>11.002284216</v>
      </c>
      <c r="I767" s="25" t="n">
        <f aca="false">Sens!$H$767*(1+sh_g)</f>
        <v>11.090302489728</v>
      </c>
      <c r="J767" s="25" t="n">
        <f aca="false">Sens!$I$767*(1+sh_g)</f>
        <v>11.1790249096458</v>
      </c>
      <c r="K767" s="25" t="n">
        <f aca="false">Sens!$J$767*(1+sh_g)</f>
        <v>11.268457108923</v>
      </c>
      <c r="L767" s="25" t="n">
        <f aca="false">Sens!$K$767*(1+sh_g)</f>
        <v>11.3586047657944</v>
      </c>
      <c r="M767" s="25" t="n">
        <f aca="false">Sens!$L$767*(1+sh_g)</f>
        <v>11.4494736039207</v>
      </c>
      <c r="P767" s="5" t="s">
        <v>814</v>
      </c>
    </row>
    <row r="768" customFormat="false" ht="17.15" hidden="false" customHeight="false" outlineLevel="0" collapsed="false">
      <c r="A768" s="5" t="s">
        <v>815</v>
      </c>
      <c r="B768" s="0" t="s">
        <v>91</v>
      </c>
      <c r="C768" s="40" t="n">
        <f aca="false">Sens!$C$766+Sens!$C$742*(1-tax)</f>
        <v>59.248</v>
      </c>
      <c r="D768" s="40" t="n">
        <f aca="false">Sens!$D$766+Sens!$D$742*(1-tax)</f>
        <v>77.67</v>
      </c>
      <c r="E768" s="40" t="n">
        <f aca="false">Sens!$E$766+Sens!$E$742*(1-tax)</f>
        <v>113.587</v>
      </c>
      <c r="F768" s="40" t="n">
        <f aca="false">Sens!$F$766+Sens!$F$742*(1-tax)</f>
        <v>27.5291930032701</v>
      </c>
      <c r="G768" s="40" t="n">
        <f aca="false">Sens!$G$766+Sens!$G$742*(1-tax)</f>
        <v>141.11619300327</v>
      </c>
      <c r="H768" s="40" t="n">
        <f aca="false">Sens!$H$766+Sens!$H$742*(1-tax)</f>
        <v>103.295853855588</v>
      </c>
      <c r="I768" s="40" t="n">
        <f aca="false">Sens!$I$766+Sens!$I$742*(1-tax)</f>
        <v>105.260111100691</v>
      </c>
      <c r="J768" s="40" t="n">
        <f aca="false">Sens!$J$766+Sens!$J$742*(1-tax)</f>
        <v>112.791076171725</v>
      </c>
      <c r="K768" s="40" t="n">
        <f aca="false">Sens!$K$766+Sens!$K$742*(1-tax)</f>
        <v>117.740217320668</v>
      </c>
      <c r="L768" s="40" t="n">
        <f aca="false">Sens!$L$766+Sens!$L$742*(1-tax)</f>
        <v>127.11249692794</v>
      </c>
      <c r="M768" s="40" t="n">
        <f aca="false">Sens!$M$766+Sens!$M$742*(1-tax)</f>
        <v>142.124878638047</v>
      </c>
      <c r="N768" s="40" t="n">
        <f aca="false">Sens!$N$766+Sens!$N$742*(1-tax)</f>
        <v>56.478</v>
      </c>
      <c r="O768" s="40" t="n">
        <f aca="false">Sens!$O$766+Sens!$O$742*(1-tax)</f>
        <v>21.192</v>
      </c>
    </row>
    <row r="769" customFormat="false" ht="17.15" hidden="false" customHeight="false" outlineLevel="0" collapsed="false">
      <c r="A769" s="45" t="s">
        <v>816</v>
      </c>
      <c r="B769" s="14" t="s">
        <v>27</v>
      </c>
      <c r="C769" s="46" t="n">
        <f aca="false">Sens!$C$768/Sens!$C$767</f>
        <v>5.52635015390355</v>
      </c>
      <c r="D769" s="46" t="n">
        <f aca="false">Sens!$D$768/Sens!$D$767</f>
        <v>7.1737323358271</v>
      </c>
      <c r="E769" s="46" t="n">
        <f aca="false">Sens!$E$768/Sens!$E$767</f>
        <v>10.4179583600844</v>
      </c>
      <c r="F769" s="14"/>
      <c r="G769" s="46" t="n">
        <f aca="false">Sens!$G$768/Sens!$G$767</f>
        <v>12.9286900569645</v>
      </c>
      <c r="H769" s="46" t="n">
        <f aca="false">Sens!$H$768/Sens!$H$767</f>
        <v>9.38858257318702</v>
      </c>
      <c r="I769" s="46" t="n">
        <f aca="false">Sens!$I$768/Sens!$I$767</f>
        <v>9.49118486156573</v>
      </c>
      <c r="J769" s="46" t="n">
        <f aca="false">Sens!$J$768/Sens!$J$767</f>
        <v>10.0895272247227</v>
      </c>
      <c r="K769" s="46" t="n">
        <f aca="false">Sens!$K$768/Sens!$K$767</f>
        <v>10.4486546989148</v>
      </c>
      <c r="L769" s="46" t="n">
        <f aca="false">Sens!$L$768/Sens!$L$767</f>
        <v>11.1908548231848</v>
      </c>
      <c r="M769" s="46" t="n">
        <f aca="false">Sens!$M$768/Sens!$M$767</f>
        <v>12.4132238349699</v>
      </c>
      <c r="N769" s="14"/>
      <c r="O769" s="14"/>
    </row>
    <row r="770" customFormat="false" ht="17.15" hidden="false" customHeight="false" outlineLevel="0" collapsed="false">
      <c r="A770" s="0" t="s">
        <v>817</v>
      </c>
      <c r="B770" s="0" t="s">
        <v>27</v>
      </c>
      <c r="C770" s="34" t="n">
        <f aca="false">Sens!$C$766/Sens!$C$767</f>
        <v>5.52635015390355</v>
      </c>
      <c r="D770" s="34" t="n">
        <f aca="false">Sens!$D$766/Sens!$D$767</f>
        <v>7.1737323358271</v>
      </c>
      <c r="E770" s="34" t="n">
        <f aca="false">Sens!$E$766/Sens!$E$767</f>
        <v>10.4179583600844</v>
      </c>
      <c r="G770" s="34" t="n">
        <f aca="false">Sens!$G$766/Sens!$G$767</f>
        <v>12.9286900569645</v>
      </c>
      <c r="H770" s="34" t="n">
        <f aca="false">Sens!$H$766/Sens!$H$767</f>
        <v>9.38858257318702</v>
      </c>
      <c r="I770" s="34" t="n">
        <f aca="false">Sens!$I$766/Sens!$I$767</f>
        <v>9.49118486156573</v>
      </c>
      <c r="J770" s="34" t="n">
        <f aca="false">Sens!$J$766/Sens!$J$767</f>
        <v>10.0895272247227</v>
      </c>
      <c r="K770" s="34" t="n">
        <f aca="false">Sens!$K$766/Sens!$K$767</f>
        <v>10.4486546989148</v>
      </c>
      <c r="L770" s="34" t="n">
        <f aca="false">Sens!$L$766/Sens!$L$767</f>
        <v>11.1908548231848</v>
      </c>
      <c r="M770" s="34" t="n">
        <f aca="false">Sens!$M$766/Sens!$M$767</f>
        <v>12.4132238349699</v>
      </c>
    </row>
    <row r="771" customFormat="false" ht="17.15" hidden="false" customHeight="false" outlineLevel="0" collapsed="false">
      <c r="A771" s="0" t="s">
        <v>818</v>
      </c>
      <c r="B771" s="0" t="s">
        <v>27</v>
      </c>
      <c r="C771" s="34" t="n">
        <f aca="false">(Sens!$C$766-Sens!$C$763*(1-tax))/Sens!$C$767</f>
        <v>5.33926775917445</v>
      </c>
      <c r="D771" s="34" t="n">
        <f aca="false">(Sens!$D$766-Sens!$D$763*(1-tax))/Sens!$D$767</f>
        <v>5.67691812755503</v>
      </c>
      <c r="E771" s="34" t="n">
        <f aca="false">(Sens!$E$766-Sens!$E$763*(1-tax))/Sens!$E$767</f>
        <v>4.96238832322067</v>
      </c>
      <c r="G771" s="34" t="n">
        <f aca="false">(Sens!$G$766-Sens!$G$763*(1-tax))/Sens!$G$767</f>
        <v>7.47910017401752</v>
      </c>
      <c r="H771" s="34" t="n">
        <f aca="false">(Sens!$H$766-Sens!$H$763*(1-tax))/Sens!$H$767</f>
        <v>9.38858257318702</v>
      </c>
      <c r="I771" s="34" t="n">
        <f aca="false">(Sens!$I$766-Sens!$I$763*(1-tax))/Sens!$I$767</f>
        <v>9.49118486156573</v>
      </c>
      <c r="J771" s="34" t="n">
        <f aca="false">(Sens!$J$766-Sens!$J$763*(1-tax))/Sens!$J$767</f>
        <v>10.0895272247227</v>
      </c>
      <c r="K771" s="34" t="n">
        <f aca="false">(Sens!$K$766-Sens!$K$763*(1-tax))/Sens!$K$767</f>
        <v>10.4486546989148</v>
      </c>
      <c r="L771" s="34" t="n">
        <f aca="false">(Sens!$L$766-Sens!$L$763*(1-tax))/Sens!$L$767</f>
        <v>11.1908548231848</v>
      </c>
      <c r="M771" s="34" t="n">
        <f aca="false">(Sens!$M$766-Sens!$M$763*(1-tax))/Sens!$M$767</f>
        <v>12.4132238349699</v>
      </c>
      <c r="P771" s="5" t="s">
        <v>819</v>
      </c>
    </row>
    <row r="772" customFormat="false" ht="17.15" hidden="false" customHeight="false" outlineLevel="0" collapsed="false">
      <c r="A772" s="0" t="s">
        <v>820</v>
      </c>
      <c r="B772" s="0" t="s">
        <v>56</v>
      </c>
      <c r="H772" s="13" t="n">
        <f aca="false">Sens!$H$769/Sens!$G$769-1</f>
        <v>-0.273817955893409</v>
      </c>
      <c r="I772" s="13" t="n">
        <f aca="false">Sens!$I$769/Sens!$H$769-1</f>
        <v>0.010928410926665</v>
      </c>
      <c r="J772" s="13" t="n">
        <f aca="false">Sens!$J$769/Sens!$I$769-1</f>
        <v>0.0630419038175039</v>
      </c>
      <c r="K772" s="13" t="n">
        <f aca="false">Sens!$K$769/Sens!$J$769-1</f>
        <v>0.0355940834682647</v>
      </c>
      <c r="L772" s="13" t="n">
        <f aca="false">Sens!$L$769/Sens!$K$769-1</f>
        <v>0.071033079918611</v>
      </c>
      <c r="M772" s="13" t="n">
        <f aca="false">Sens!$M$769/Sens!$L$769-1</f>
        <v>0.109229279719776</v>
      </c>
    </row>
    <row r="775" customFormat="false" ht="19.4" hidden="false" customHeight="false" outlineLevel="0" collapsed="false">
      <c r="A775" s="35" t="s">
        <v>1317</v>
      </c>
    </row>
    <row r="776" customFormat="false" ht="17.15" hidden="false" customHeight="false" outlineLevel="0" collapsed="false">
      <c r="A776" s="6" t="s">
        <v>16</v>
      </c>
      <c r="B776" s="6" t="s">
        <v>17</v>
      </c>
      <c r="C776" s="23" t="s">
        <v>542</v>
      </c>
      <c r="D776" s="23" t="s">
        <v>543</v>
      </c>
      <c r="E776" s="23" t="s">
        <v>631</v>
      </c>
      <c r="F776" s="23" t="s">
        <v>632</v>
      </c>
      <c r="G776" s="23" t="s">
        <v>633</v>
      </c>
      <c r="H776" s="23" t="s">
        <v>634</v>
      </c>
      <c r="I776" s="23" t="s">
        <v>635</v>
      </c>
      <c r="J776" s="23" t="s">
        <v>636</v>
      </c>
      <c r="K776" s="23" t="s">
        <v>637</v>
      </c>
      <c r="L776" s="23" t="s">
        <v>638</v>
      </c>
      <c r="M776" s="23" t="s">
        <v>639</v>
      </c>
      <c r="N776" s="23" t="s">
        <v>640</v>
      </c>
      <c r="O776" s="23" t="s">
        <v>641</v>
      </c>
      <c r="P776" s="6" t="s">
        <v>23</v>
      </c>
      <c r="R776" s="23" t="n">
        <v>2023</v>
      </c>
      <c r="S776" s="23" t="n">
        <v>2024</v>
      </c>
      <c r="T776" s="23" t="n">
        <v>2025</v>
      </c>
      <c r="U776" s="23" t="n">
        <v>2026</v>
      </c>
      <c r="V776" s="23" t="n">
        <v>2027</v>
      </c>
      <c r="W776" s="23" t="n">
        <v>2028</v>
      </c>
      <c r="X776" s="23" t="n">
        <v>2029</v>
      </c>
      <c r="Y776" s="23" t="n">
        <v>2030</v>
      </c>
      <c r="Z776" s="23" t="n">
        <v>2031</v>
      </c>
      <c r="AA776" s="23" t="n">
        <v>2032</v>
      </c>
    </row>
    <row r="777" customFormat="false" ht="15" hidden="false" customHeight="false" outlineLevel="0" collapsed="false">
      <c r="A777" s="5" t="s">
        <v>597</v>
      </c>
      <c r="B777" s="0" t="s">
        <v>91</v>
      </c>
      <c r="C777" s="40" t="n">
        <f aca="false">Sens!$C$766</f>
        <v>59.248</v>
      </c>
      <c r="D777" s="40" t="n">
        <f aca="false">Sens!$D$766</f>
        <v>77.67</v>
      </c>
      <c r="E777" s="40" t="n">
        <f aca="false">Sens!$E$766</f>
        <v>113.587</v>
      </c>
      <c r="F777" s="40" t="n">
        <f aca="false">Sens!$F$766</f>
        <v>27.5291930032701</v>
      </c>
      <c r="G777" s="40" t="n">
        <f aca="false">Sens!$G$766</f>
        <v>141.11619300327</v>
      </c>
      <c r="H777" s="40" t="n">
        <f aca="false">Sens!$H$766</f>
        <v>103.295853855588</v>
      </c>
      <c r="I777" s="40" t="n">
        <f aca="false">Sens!$I$766</f>
        <v>105.260111100691</v>
      </c>
      <c r="J777" s="40" t="n">
        <f aca="false">Sens!$J$766</f>
        <v>112.791076171725</v>
      </c>
      <c r="K777" s="40" t="n">
        <f aca="false">Sens!$K$766</f>
        <v>117.740217320668</v>
      </c>
      <c r="L777" s="40" t="n">
        <f aca="false">Sens!$L$766</f>
        <v>127.11249692794</v>
      </c>
      <c r="M777" s="40" t="n">
        <f aca="false">Sens!$M$766</f>
        <v>142.124878638047</v>
      </c>
    </row>
    <row r="778" customFormat="false" ht="17.15" hidden="false" customHeight="false" outlineLevel="0" collapsed="false">
      <c r="A778" s="5" t="s">
        <v>843</v>
      </c>
      <c r="B778" s="0" t="s">
        <v>91</v>
      </c>
      <c r="C778" s="40" t="n">
        <f aca="false">Sens!$C$754</f>
        <v>32.067</v>
      </c>
      <c r="D778" s="40" t="n">
        <f aca="false">Sens!$D$754</f>
        <v>41.86</v>
      </c>
      <c r="E778" s="40" t="n">
        <f aca="false">Sens!$E$754</f>
        <v>41.23880553332</v>
      </c>
      <c r="F778" s="40" t="n">
        <f aca="false">Sens!$F$754</f>
        <v>15.5740390023468</v>
      </c>
      <c r="G778" s="40" t="n">
        <f aca="false">Sens!$G$754</f>
        <v>56.8128445356668</v>
      </c>
      <c r="H778" s="40" t="n">
        <f aca="false">Sens!$H$754</f>
        <v>78.7771455603241</v>
      </c>
      <c r="I778" s="40" t="n">
        <f aca="false">Sens!$I$754</f>
        <v>114.930756142734</v>
      </c>
      <c r="J778" s="40" t="n">
        <f aca="false">Sens!$J$754</f>
        <v>144.950446317972</v>
      </c>
      <c r="K778" s="40" t="n">
        <f aca="false">Sens!$K$754</f>
        <v>175.039176433454</v>
      </c>
      <c r="L778" s="40" t="n">
        <f aca="false">Sens!$L$754</f>
        <v>197.676468176405</v>
      </c>
      <c r="M778" s="40" t="n">
        <f aca="false">Sens!$M$754</f>
        <v>211.857899598634</v>
      </c>
    </row>
    <row r="779" customFormat="false" ht="15" hidden="false" customHeight="false" outlineLevel="0" collapsed="false">
      <c r="A779" s="5" t="s">
        <v>844</v>
      </c>
      <c r="B779" s="0" t="s">
        <v>91</v>
      </c>
      <c r="C779" s="40" t="n">
        <f aca="false">Q!$D$50</f>
        <v>22.011</v>
      </c>
      <c r="D779" s="40" t="n">
        <f aca="false">Q!$E$50</f>
        <v>19.467</v>
      </c>
      <c r="E779" s="40" t="n">
        <f aca="false">Q!$O$50</f>
        <v>15.476</v>
      </c>
      <c r="F779" s="40" t="n">
        <f aca="false">sbc_r*Sens!$F$696</f>
        <v>6.05519194333086</v>
      </c>
      <c r="G779" s="40" t="n">
        <f aca="false">Sens!$E$779+Sens!$F$779</f>
        <v>21.5311919433309</v>
      </c>
      <c r="H779" s="40" t="n">
        <f aca="false">sbc_r*Sens!$H$696</f>
        <v>23.3852989166426</v>
      </c>
      <c r="I779" s="40" t="n">
        <f aca="false">sbc_r*Sens!$I$696</f>
        <v>26.2201998416052</v>
      </c>
      <c r="J779" s="40" t="n">
        <f aca="false">sbc_r*Sens!$J$696</f>
        <v>28.9284597383702</v>
      </c>
      <c r="K779" s="40" t="n">
        <f aca="false">sbc_r*Sens!$K$696</f>
        <v>31.3243431367156</v>
      </c>
      <c r="L779" s="40" t="n">
        <f aca="false">sbc_r*Sens!$L$696</f>
        <v>33.6334294288026</v>
      </c>
      <c r="M779" s="40" t="n">
        <f aca="false">sbc_r*Sens!$M$696</f>
        <v>35.8647536841804</v>
      </c>
    </row>
    <row r="780" customFormat="false" ht="17.15" hidden="false" customHeight="false" outlineLevel="0" collapsed="false">
      <c r="A780" s="5" t="s">
        <v>845</v>
      </c>
      <c r="B780" s="0" t="s">
        <v>91</v>
      </c>
      <c r="C780" s="40" t="n">
        <f aca="false">Q!$D$46-Sens!$C$777-Sens!$C$778-Sens!$C$779</f>
        <v>2.551</v>
      </c>
      <c r="D780" s="40" t="n">
        <f aca="false">Q!$E$46-Sens!$D$777-Sens!$D$778-Sens!$D$779</f>
        <v>0.51700000000001</v>
      </c>
      <c r="E780" s="40" t="n">
        <f aca="false">Q!$O$46-Sens!$E$777-Sens!$E$778-Sens!$E$779</f>
        <v>-56.46080553332</v>
      </c>
      <c r="F780" s="40" t="n">
        <f aca="false">oth_q4*Sens!$F$696</f>
        <v>21.1926861201079</v>
      </c>
      <c r="G780" s="40" t="n">
        <f aca="false">Sens!$E$780+Sens!$F$780</f>
        <v>-35.2681194132122</v>
      </c>
      <c r="H780" s="40" t="n">
        <f aca="false">oth_r*Sens!$H$696</f>
        <v>11.2462709643786</v>
      </c>
      <c r="I780" s="40" t="n">
        <f aca="false">oth_r*Sens!$I$696</f>
        <v>12.6096088491301</v>
      </c>
      <c r="J780" s="40" t="n">
        <f aca="false">oth_r*Sens!$J$696</f>
        <v>13.912043543232</v>
      </c>
      <c r="K780" s="40" t="n">
        <f aca="false">oth_r*Sens!$K$696</f>
        <v>15.0642526295</v>
      </c>
      <c r="L780" s="40" t="n">
        <f aca="false">oth_r*Sens!$L$696</f>
        <v>16.1747199454624</v>
      </c>
      <c r="M780" s="40" t="n">
        <f aca="false">oth_r*Sens!$M$696</f>
        <v>17.2477905645217</v>
      </c>
      <c r="P780" s="8" t="s">
        <v>846</v>
      </c>
    </row>
    <row r="781" customFormat="false" ht="15" hidden="false" customHeight="false" outlineLevel="0" collapsed="false">
      <c r="A781" s="3" t="s">
        <v>604</v>
      </c>
      <c r="B781" s="8" t="s">
        <v>91</v>
      </c>
      <c r="C781" s="40" t="n">
        <f aca="false">Q!$D$46</f>
        <v>115.877</v>
      </c>
      <c r="D781" s="40" t="n">
        <f aca="false">Q!$E$46</f>
        <v>139.514</v>
      </c>
      <c r="E781" s="40" t="n">
        <f aca="false">Q!$O$46</f>
        <v>113.841</v>
      </c>
      <c r="F781" s="40" t="n">
        <f aca="false">Sens!$F$777+Sens!$F$778+Sens!$F$779+Sens!$F$780</f>
        <v>70.3511100690556</v>
      </c>
      <c r="G781" s="40" t="n">
        <f aca="false">Sens!$E$781+Sens!$F$781</f>
        <v>184.192110069056</v>
      </c>
      <c r="H781" s="40" t="n">
        <f aca="false">Sens!$H$777+Sens!$H$778+Sens!$H$779+Sens!$H$780</f>
        <v>216.704569296933</v>
      </c>
      <c r="I781" s="40" t="n">
        <f aca="false">Sens!$I$777+Sens!$I$778+Sens!$I$779+Sens!$I$780</f>
        <v>259.020675934161</v>
      </c>
      <c r="J781" s="40" t="n">
        <f aca="false">Sens!$J$777+Sens!$J$778+Sens!$J$779+Sens!$J$780</f>
        <v>300.582025771299</v>
      </c>
      <c r="K781" s="40" t="n">
        <f aca="false">Sens!$K$777+Sens!$K$778+Sens!$K$779+Sens!$K$780</f>
        <v>339.167989520338</v>
      </c>
      <c r="L781" s="40" t="n">
        <f aca="false">Sens!$L$777+Sens!$L$778+Sens!$L$779+Sens!$L$780</f>
        <v>374.59711447861</v>
      </c>
      <c r="M781" s="40" t="n">
        <f aca="false">Sens!$M$777+Sens!$M$778+Sens!$M$779+Sens!$M$780</f>
        <v>407.095322485383</v>
      </c>
    </row>
    <row r="782" customFormat="false" ht="17.15" hidden="false" customHeight="false" outlineLevel="0" collapsed="false">
      <c r="A782" s="5" t="s">
        <v>847</v>
      </c>
      <c r="B782" s="0" t="s">
        <v>91</v>
      </c>
      <c r="C782" s="40" t="n">
        <f aca="false">Sens!$C$657</f>
        <v>25.2781053077374</v>
      </c>
      <c r="D782" s="40" t="n">
        <f aca="false">Sens!$D$657</f>
        <v>69.5686316310026</v>
      </c>
      <c r="E782" s="40" t="n">
        <f aca="false">Sens!$E$657</f>
        <v>123.196049161056</v>
      </c>
      <c r="F782" s="40" t="n">
        <f aca="false">Sens!$F$657</f>
        <v>28.695619283164</v>
      </c>
      <c r="G782" s="40" t="n">
        <f aca="false">Sens!$G$657</f>
        <v>151.89166844422</v>
      </c>
      <c r="H782" s="40" t="n">
        <f aca="false">Sens!$H$657</f>
        <v>177.245913338435</v>
      </c>
      <c r="I782" s="40" t="n">
        <f aca="false">Sens!$I$657</f>
        <v>183.579448050685</v>
      </c>
      <c r="J782" s="40" t="n">
        <f aca="false">Sens!$J$657</f>
        <v>187.873277448685</v>
      </c>
      <c r="K782" s="40" t="n">
        <f aca="false">Sens!$K$657</f>
        <v>138.407037940551</v>
      </c>
      <c r="L782" s="40" t="n">
        <f aca="false">Sens!$L$657</f>
        <v>114.703774820416</v>
      </c>
      <c r="M782" s="40" t="n">
        <f aca="false">Sens!$M$657</f>
        <v>112.986707313624</v>
      </c>
    </row>
    <row r="783" customFormat="false" ht="17.15" hidden="false" customHeight="false" outlineLevel="0" collapsed="false">
      <c r="A783" s="5" t="s">
        <v>848</v>
      </c>
      <c r="B783" s="0" t="s">
        <v>91</v>
      </c>
      <c r="C783" s="40" t="n">
        <f aca="false">cx_awso*Sens!$C$694</f>
        <v>21.0469989286053</v>
      </c>
      <c r="D783" s="40" t="n">
        <f aca="false">cx_awso*Sens!$D$694</f>
        <v>24.0042459822698</v>
      </c>
      <c r="E783" s="40" t="n">
        <f aca="false">cx_awso*Sens!$E$694</f>
        <v>21.9204583888104</v>
      </c>
      <c r="F783" s="40" t="n">
        <f aca="false">cx_awso*Sens!$F$694</f>
        <v>7.39593206711017</v>
      </c>
      <c r="G783" s="40" t="n">
        <f aca="false">Sens!$E$783+Sens!$F$783</f>
        <v>29.3163904559206</v>
      </c>
      <c r="H783" s="40" t="n">
        <f aca="false">cx_awso*Sens!$H$694</f>
        <v>32.9920830336434</v>
      </c>
      <c r="I783" s="40" t="n">
        <f aca="false">cx_awso*Sens!$I$694</f>
        <v>36.62957281938</v>
      </c>
      <c r="J783" s="40" t="n">
        <f aca="false">cx_awso*Sens!$J$694</f>
        <v>40.1140234584536</v>
      </c>
      <c r="K783" s="40" t="n">
        <f aca="false">cx_awso*Sens!$K$694</f>
        <v>43.3231453351299</v>
      </c>
      <c r="L783" s="40" t="n">
        <f aca="false">cx_awso*Sens!$L$694</f>
        <v>46.7889969619403</v>
      </c>
      <c r="M783" s="40" t="n">
        <f aca="false">cx_awso*Sens!$M$694</f>
        <v>50.5321167188955</v>
      </c>
    </row>
    <row r="784" customFormat="false" ht="17.15" hidden="false" customHeight="false" outlineLevel="0" collapsed="false">
      <c r="A784" s="5" t="s">
        <v>849</v>
      </c>
      <c r="B784" s="0" t="s">
        <v>91</v>
      </c>
      <c r="C784" s="40" t="n">
        <f aca="false">Q!$D$48-Sens!$C$782-Sens!$C$783</f>
        <v>31.3328957636573</v>
      </c>
      <c r="D784" s="40" t="n">
        <f aca="false">Q!$E$48-Sens!$D$782-Sens!$D$783</f>
        <v>34.7471223867276</v>
      </c>
      <c r="E784" s="40" t="n">
        <f aca="false">Q!$O$48-Sens!$E$782-Sens!$E$783</f>
        <v>27.0714924501335</v>
      </c>
      <c r="F784" s="40" t="n">
        <f aca="false">cx_rt*Sens!$F$620</f>
        <v>11.7204486497259</v>
      </c>
      <c r="G784" s="40" t="n">
        <f aca="false">Sens!$E$784+Sens!$F$784</f>
        <v>38.7919410998594</v>
      </c>
      <c r="H784" s="40" t="n">
        <f aca="false">cx_rt*Sens!$H$620</f>
        <v>42.8420898770438</v>
      </c>
      <c r="I784" s="40" t="n">
        <f aca="false">cx_rt*Sens!$I$620</f>
        <v>46.7625475113878</v>
      </c>
      <c r="J784" s="40" t="n">
        <f aca="false">cx_rt*Sens!$J$620</f>
        <v>50.4185886328199</v>
      </c>
      <c r="K784" s="40" t="n">
        <f aca="false">cx_rt*Sens!$K$620</f>
        <v>53.670701222965</v>
      </c>
      <c r="L784" s="40" t="n">
        <f aca="false">cx_rt*Sens!$L$620</f>
        <v>57.1488603007655</v>
      </c>
      <c r="M784" s="40" t="n">
        <f aca="false">cx_rt*Sens!$M$620</f>
        <v>60.8699498760758</v>
      </c>
    </row>
    <row r="785" customFormat="false" ht="15" hidden="false" customHeight="false" outlineLevel="0" collapsed="false">
      <c r="A785" s="3" t="s">
        <v>850</v>
      </c>
      <c r="B785" s="8" t="s">
        <v>91</v>
      </c>
      <c r="C785" s="40" t="n">
        <f aca="false">Q!$D$48</f>
        <v>77.658</v>
      </c>
      <c r="D785" s="40" t="n">
        <f aca="false">Q!$E$48</f>
        <v>128.32</v>
      </c>
      <c r="E785" s="40" t="n">
        <f aca="false">Q!$O$48</f>
        <v>172.188</v>
      </c>
      <c r="F785" s="40" t="n">
        <f aca="false">Sens!$F$782+Sens!$F$783+Sens!$F$784</f>
        <v>47.812</v>
      </c>
      <c r="G785" s="40" t="n">
        <f aca="false">Sens!$E$785+Sens!$F$785</f>
        <v>220</v>
      </c>
      <c r="H785" s="40" t="n">
        <f aca="false">Sens!$H$782+Sens!$H$783+Sens!$H$784</f>
        <v>253.080086249122</v>
      </c>
      <c r="I785" s="40" t="n">
        <f aca="false">Sens!$I$782+Sens!$I$783+Sens!$I$784</f>
        <v>266.971568381453</v>
      </c>
      <c r="J785" s="40" t="n">
        <f aca="false">Sens!$J$782+Sens!$J$783+Sens!$J$784</f>
        <v>278.405889539959</v>
      </c>
      <c r="K785" s="40" t="n">
        <f aca="false">Sens!$K$782+Sens!$K$783+Sens!$K$784</f>
        <v>235.400884498646</v>
      </c>
      <c r="L785" s="40" t="n">
        <f aca="false">Sens!$L$782+Sens!$L$783+Sens!$L$784</f>
        <v>218.641632083122</v>
      </c>
      <c r="M785" s="40" t="n">
        <f aca="false">Sens!$M$782+Sens!$M$783+Sens!$M$784</f>
        <v>224.388773908596</v>
      </c>
    </row>
    <row r="786" customFormat="false" ht="17.15" hidden="false" customHeight="false" outlineLevel="0" collapsed="false">
      <c r="A786" s="5" t="s">
        <v>612</v>
      </c>
      <c r="B786" s="0" t="s">
        <v>91</v>
      </c>
      <c r="C786" s="40" t="n">
        <f aca="false">Q!$D$52</f>
        <v>2.043</v>
      </c>
      <c r="D786" s="40" t="n">
        <f aca="false">Q!$E$52</f>
        <v>1.557</v>
      </c>
      <c r="E786" s="40" t="n">
        <f aca="false">Q!$O$52</f>
        <v>1.296</v>
      </c>
      <c r="F786" s="40" t="n">
        <f aca="false">lease_pr/4</f>
        <v>0.4</v>
      </c>
      <c r="G786" s="40" t="n">
        <f aca="false">Sens!$E$786+Sens!$F$786</f>
        <v>1.696</v>
      </c>
      <c r="H786" s="40" t="n">
        <f aca="false">lease_pr</f>
        <v>1.6</v>
      </c>
      <c r="I786" s="40" t="n">
        <f aca="false">lease_pr</f>
        <v>1.6</v>
      </c>
      <c r="J786" s="40" t="n">
        <f aca="false">lease_pr</f>
        <v>1.6</v>
      </c>
      <c r="K786" s="40" t="n">
        <f aca="false">lease_pr</f>
        <v>1.6</v>
      </c>
      <c r="L786" s="40" t="n">
        <f aca="false">lease_pr</f>
        <v>1.6</v>
      </c>
      <c r="M786" s="40" t="n">
        <f aca="false">lease_pr</f>
        <v>1.6</v>
      </c>
      <c r="P786" s="8" t="s">
        <v>851</v>
      </c>
    </row>
    <row r="787" customFormat="false" ht="15" hidden="false" customHeight="false" outlineLevel="0" collapsed="false">
      <c r="A787" s="48" t="s">
        <v>852</v>
      </c>
      <c r="B787" s="14" t="s">
        <v>91</v>
      </c>
      <c r="C787" s="49" t="n">
        <f aca="false">Sens!$C$781-Sens!$C$785-Sens!$C$786</f>
        <v>36.176</v>
      </c>
      <c r="D787" s="49" t="n">
        <f aca="false">Sens!$D$781-Sens!$D$785-Sens!$D$786</f>
        <v>9.63700000000002</v>
      </c>
      <c r="E787" s="49" t="n">
        <f aca="false">Sens!$E$781-Sens!$E$785-Sens!$E$786</f>
        <v>-59.643</v>
      </c>
      <c r="F787" s="49" t="n">
        <f aca="false">Sens!$F$781-Sens!$F$785-Sens!$F$786</f>
        <v>22.1391100690556</v>
      </c>
      <c r="G787" s="49" t="n">
        <f aca="false">Sens!$G$781-Sens!$G$785-Sens!$G$786</f>
        <v>-37.5038899309444</v>
      </c>
      <c r="H787" s="49" t="n">
        <f aca="false">Sens!$H$781-Sens!$H$785-Sens!$H$786</f>
        <v>-37.9755169521887</v>
      </c>
      <c r="I787" s="49" t="n">
        <f aca="false">Sens!$I$781-Sens!$I$785-Sens!$I$786</f>
        <v>-9.55089244729184</v>
      </c>
      <c r="J787" s="49" t="n">
        <f aca="false">Sens!$J$781-Sens!$J$785-Sens!$J$786</f>
        <v>20.5761362313401</v>
      </c>
      <c r="K787" s="49" t="n">
        <f aca="false">Sens!$K$781-Sens!$K$785-Sens!$K$786</f>
        <v>102.167105021692</v>
      </c>
      <c r="L787" s="49" t="n">
        <f aca="false">Sens!$L$781-Sens!$L$785-Sens!$L$786</f>
        <v>154.355482395488</v>
      </c>
      <c r="M787" s="49" t="n">
        <f aca="false">Sens!$M$781-Sens!$M$785-Sens!$M$786</f>
        <v>181.106548576787</v>
      </c>
      <c r="N787" s="14"/>
      <c r="O787" s="14"/>
    </row>
    <row r="788" customFormat="false" ht="17.15" hidden="false" customHeight="false" outlineLevel="0" collapsed="false">
      <c r="A788" s="5" t="s">
        <v>853</v>
      </c>
      <c r="B788" s="0" t="s">
        <v>91</v>
      </c>
      <c r="C788" s="40" t="n">
        <f aca="false">dps*Sens!$C$767</f>
        <v>0</v>
      </c>
      <c r="D788" s="40" t="n">
        <f aca="false">dps*Sens!$D$767</f>
        <v>0</v>
      </c>
      <c r="E788" s="40" t="n">
        <f aca="false">dps*Sens!$E$767</f>
        <v>0</v>
      </c>
      <c r="F788" s="40" t="n">
        <f aca="false">0</f>
        <v>0</v>
      </c>
      <c r="G788" s="40" t="n">
        <f aca="false">dps*Sens!$G$767</f>
        <v>0</v>
      </c>
      <c r="H788" s="40" t="n">
        <f aca="false">dps*Sens!$H$767</f>
        <v>0</v>
      </c>
      <c r="I788" s="40" t="n">
        <f aca="false">dps*Sens!$I$767</f>
        <v>0</v>
      </c>
      <c r="J788" s="40" t="n">
        <f aca="false">dps*Sens!$J$767</f>
        <v>0</v>
      </c>
      <c r="K788" s="40" t="n">
        <f aca="false">dps*Sens!$K$767</f>
        <v>0</v>
      </c>
      <c r="L788" s="40" t="n">
        <f aca="false">dps*Sens!$L$767</f>
        <v>0</v>
      </c>
      <c r="M788" s="40" t="n">
        <f aca="false">dps*Sens!$M$767</f>
        <v>0</v>
      </c>
      <c r="P788" s="8" t="s">
        <v>854</v>
      </c>
    </row>
    <row r="789" customFormat="false" ht="17.15" hidden="false" customHeight="false" outlineLevel="0" collapsed="false">
      <c r="A789" s="5" t="s">
        <v>855</v>
      </c>
      <c r="B789" s="0" t="s">
        <v>91</v>
      </c>
      <c r="C789" s="40" t="n">
        <f aca="false">0</f>
        <v>0</v>
      </c>
      <c r="D789" s="40" t="n">
        <f aca="false">0</f>
        <v>0</v>
      </c>
      <c r="E789" s="40" t="n">
        <f aca="false">0</f>
        <v>0</v>
      </c>
      <c r="F789" s="40" t="n">
        <f aca="false">0</f>
        <v>0</v>
      </c>
      <c r="G789" s="40" t="n">
        <f aca="false">0</f>
        <v>0</v>
      </c>
      <c r="H789" s="40" t="n">
        <f aca="false">0</f>
        <v>0</v>
      </c>
      <c r="I789" s="40" t="n">
        <f aca="false">0</f>
        <v>0</v>
      </c>
      <c r="J789" s="40" t="n">
        <f aca="false">0</f>
        <v>0</v>
      </c>
      <c r="K789" s="40" t="n">
        <f aca="false">0</f>
        <v>0</v>
      </c>
      <c r="L789" s="40" t="n">
        <f aca="false">0</f>
        <v>0</v>
      </c>
      <c r="M789" s="40" t="n">
        <f aca="false">0</f>
        <v>0</v>
      </c>
      <c r="P789" s="8" t="s">
        <v>856</v>
      </c>
    </row>
    <row r="790" customFormat="false" ht="15" hidden="false" customHeight="false" outlineLevel="0" collapsed="false">
      <c r="A790" s="3" t="s">
        <v>857</v>
      </c>
      <c r="B790" s="8" t="s">
        <v>91</v>
      </c>
      <c r="C790" s="40" t="n">
        <f aca="false">Sens!$C$787-Sens!$C$788</f>
        <v>36.176</v>
      </c>
      <c r="D790" s="40" t="n">
        <f aca="false">Sens!$D$787-Sens!$D$788</f>
        <v>9.63700000000002</v>
      </c>
      <c r="E790" s="40" t="n">
        <f aca="false">Sens!$E$787-Sens!$E$788</f>
        <v>-59.643</v>
      </c>
      <c r="F790" s="40" t="n">
        <f aca="false">Sens!$F$787-Sens!$F$788</f>
        <v>22.1391100690556</v>
      </c>
      <c r="G790" s="40" t="n">
        <f aca="false">Sens!$G$787-Sens!$G$788</f>
        <v>-37.5038899309444</v>
      </c>
      <c r="H790" s="40" t="n">
        <f aca="false">Sens!$H$787-Sens!$H$788</f>
        <v>-37.9755169521887</v>
      </c>
      <c r="I790" s="40" t="n">
        <f aca="false">Sens!$I$787-Sens!$I$788</f>
        <v>-9.55089244729184</v>
      </c>
      <c r="J790" s="40" t="n">
        <f aca="false">Sens!$J$787-Sens!$J$788</f>
        <v>20.5761362313401</v>
      </c>
      <c r="K790" s="40" t="n">
        <f aca="false">Sens!$K$787-Sens!$K$788</f>
        <v>102.167105021692</v>
      </c>
      <c r="L790" s="40" t="n">
        <f aca="false">Sens!$L$787-Sens!$L$788</f>
        <v>154.355482395488</v>
      </c>
      <c r="M790" s="40" t="n">
        <f aca="false">Sens!$M$787-Sens!$M$788</f>
        <v>181.106548576787</v>
      </c>
    </row>
    <row r="791" customFormat="false" ht="17.15" hidden="false" customHeight="false" outlineLevel="0" collapsed="false">
      <c r="A791" s="5" t="s">
        <v>858</v>
      </c>
      <c r="B791" s="0" t="s">
        <v>91</v>
      </c>
      <c r="E791" s="40" t="n">
        <f aca="false">Q!$O$55</f>
        <v>63.753</v>
      </c>
      <c r="F791" s="40" t="n">
        <f aca="false">inv_q4</f>
        <v>0</v>
      </c>
      <c r="G791" s="40" t="n">
        <f aca="false">Sens!$E$791+Sens!$F$791</f>
        <v>63.753</v>
      </c>
      <c r="H791" s="41" t="n">
        <v>0</v>
      </c>
      <c r="I791" s="41" t="n">
        <v>0</v>
      </c>
      <c r="J791" s="41" t="n">
        <v>0</v>
      </c>
      <c r="K791" s="41" t="n">
        <v>0</v>
      </c>
      <c r="L791" s="41" t="n">
        <v>0</v>
      </c>
      <c r="M791" s="41" t="n">
        <v>0</v>
      </c>
    </row>
    <row r="792" customFormat="false" ht="17.15" hidden="false" customHeight="false" outlineLevel="0" collapsed="false">
      <c r="A792" s="5" t="s">
        <v>859</v>
      </c>
      <c r="B792" s="0" t="s">
        <v>91</v>
      </c>
      <c r="F792" s="40" t="n">
        <f aca="false">cash_q3</f>
        <v>114.226</v>
      </c>
      <c r="G792" s="40" t="n">
        <f aca="false">cash_q3</f>
        <v>114.226</v>
      </c>
      <c r="H792" s="40" t="n">
        <f aca="false">Sens!$G$795</f>
        <v>136.365110069056</v>
      </c>
      <c r="I792" s="40" t="n">
        <f aca="false">Sens!$H$795</f>
        <v>98.3895931168669</v>
      </c>
      <c r="J792" s="40" t="n">
        <f aca="false">Sens!$I$795</f>
        <v>88.8387006695751</v>
      </c>
      <c r="K792" s="40" t="n">
        <f aca="false">Sens!$J$795</f>
        <v>109.414836900915</v>
      </c>
      <c r="L792" s="40" t="n">
        <f aca="false">Sens!$K$795</f>
        <v>211.581941922607</v>
      </c>
      <c r="M792" s="40" t="n">
        <f aca="false">Sens!$L$795</f>
        <v>365.937424318095</v>
      </c>
    </row>
    <row r="793" customFormat="false" ht="15" hidden="false" customHeight="false" outlineLevel="0" collapsed="false">
      <c r="A793" s="5" t="s">
        <v>860</v>
      </c>
      <c r="B793" s="0" t="s">
        <v>91</v>
      </c>
      <c r="F793" s="40" t="n">
        <f aca="false">Sens!$F$792+Sens!$F$790-Sens!$F$789-Sens!$F$791</f>
        <v>136.365110069056</v>
      </c>
      <c r="H793" s="40" t="n">
        <f aca="false">Sens!$H$792+Sens!$H$790-Sens!$H$789-Sens!$H$791</f>
        <v>98.3895931168669</v>
      </c>
      <c r="I793" s="40" t="n">
        <f aca="false">Sens!$I$792+Sens!$I$790-Sens!$I$789-Sens!$I$791</f>
        <v>88.8387006695751</v>
      </c>
      <c r="J793" s="40" t="n">
        <f aca="false">Sens!$J$792+Sens!$J$790-Sens!$J$789-Sens!$J$791</f>
        <v>109.414836900915</v>
      </c>
      <c r="K793" s="40" t="n">
        <f aca="false">Sens!$K$792+Sens!$K$790-Sens!$K$789-Sens!$K$791</f>
        <v>211.581941922607</v>
      </c>
      <c r="L793" s="40" t="n">
        <f aca="false">Sens!$L$792+Sens!$L$790-Sens!$L$789-Sens!$L$791</f>
        <v>365.937424318095</v>
      </c>
      <c r="M793" s="40" t="n">
        <f aca="false">Sens!$M$792+Sens!$M$790-Sens!$M$789-Sens!$M$791</f>
        <v>547.043972894882</v>
      </c>
    </row>
    <row r="794" customFormat="false" ht="17.15" hidden="false" customHeight="false" outlineLevel="0" collapsed="false">
      <c r="A794" s="5" t="s">
        <v>861</v>
      </c>
      <c r="B794" s="0" t="s">
        <v>91</v>
      </c>
      <c r="F794" s="40" t="n">
        <f aca="false">MAX(0,min_cash-Sens!$F$793)</f>
        <v>0</v>
      </c>
      <c r="G794" s="40" t="n">
        <f aca="false">Sens!$F$794</f>
        <v>0</v>
      </c>
      <c r="H794" s="40" t="n">
        <f aca="false">MAX(0,min_cash-Sens!$H$793)</f>
        <v>0</v>
      </c>
      <c r="I794" s="40" t="n">
        <f aca="false">MAX(0,min_cash-Sens!$I$793)</f>
        <v>0</v>
      </c>
      <c r="J794" s="40" t="n">
        <f aca="false">MAX(0,min_cash-Sens!$J$793)</f>
        <v>0</v>
      </c>
      <c r="K794" s="40" t="n">
        <f aca="false">MAX(0,min_cash-Sens!$K$793)</f>
        <v>0</v>
      </c>
      <c r="L794" s="40" t="n">
        <f aca="false">MAX(0,min_cash-Sens!$L$793)</f>
        <v>0</v>
      </c>
      <c r="M794" s="40" t="n">
        <f aca="false">MAX(0,min_cash-Sens!$M$793)</f>
        <v>0</v>
      </c>
      <c r="P794" s="5" t="s">
        <v>862</v>
      </c>
    </row>
    <row r="795" customFormat="false" ht="15" hidden="false" customHeight="false" outlineLevel="0" collapsed="false">
      <c r="A795" s="5" t="s">
        <v>863</v>
      </c>
      <c r="B795" s="0" t="s">
        <v>91</v>
      </c>
      <c r="D795" s="40" t="n">
        <f aca="false">Q!$E$63</f>
        <v>123.029</v>
      </c>
      <c r="E795" s="40" t="n">
        <f aca="false">Q!$M$63</f>
        <v>114.226</v>
      </c>
      <c r="F795" s="40" t="n">
        <f aca="false">Sens!$F$793+Sens!$F$794</f>
        <v>136.365110069056</v>
      </c>
      <c r="G795" s="40" t="n">
        <f aca="false">Sens!$F$795</f>
        <v>136.365110069056</v>
      </c>
      <c r="H795" s="40" t="n">
        <f aca="false">Sens!$H$793+Sens!$H$794</f>
        <v>98.3895931168669</v>
      </c>
      <c r="I795" s="40" t="n">
        <f aca="false">Sens!$I$793+Sens!$I$794</f>
        <v>88.8387006695751</v>
      </c>
      <c r="J795" s="40" t="n">
        <f aca="false">Sens!$J$793+Sens!$J$794</f>
        <v>109.414836900915</v>
      </c>
      <c r="K795" s="40" t="n">
        <f aca="false">Sens!$K$793+Sens!$K$794</f>
        <v>211.581941922607</v>
      </c>
      <c r="L795" s="40" t="n">
        <f aca="false">Sens!$L$793+Sens!$L$794</f>
        <v>365.937424318095</v>
      </c>
      <c r="M795" s="40" t="n">
        <f aca="false">Sens!$M$793+Sens!$M$794</f>
        <v>547.043972894882</v>
      </c>
    </row>
    <row r="796" customFormat="false" ht="15" hidden="false" customHeight="false" outlineLevel="0" collapsed="false">
      <c r="A796" s="5" t="s">
        <v>864</v>
      </c>
      <c r="B796" s="0" t="s">
        <v>91</v>
      </c>
      <c r="D796" s="40" t="n">
        <f aca="false">Q!$E$64</f>
        <v>68.836</v>
      </c>
      <c r="E796" s="40" t="n">
        <f aca="false">Q!$M$64</f>
        <v>181.09</v>
      </c>
      <c r="F796" s="40" t="n">
        <f aca="false">debt_q3+Sens!$F$794</f>
        <v>181.09</v>
      </c>
      <c r="G796" s="40" t="n">
        <f aca="false">Sens!$F$796</f>
        <v>181.09</v>
      </c>
      <c r="H796" s="40" t="n">
        <f aca="false">Sens!$G$796+Sens!$H$794</f>
        <v>181.09</v>
      </c>
      <c r="I796" s="40" t="n">
        <f aca="false">Sens!$H$796+Sens!$I$794</f>
        <v>181.09</v>
      </c>
      <c r="J796" s="40" t="n">
        <f aca="false">Sens!$I$796+Sens!$J$794</f>
        <v>181.09</v>
      </c>
      <c r="K796" s="40" t="n">
        <f aca="false">Sens!$J$796+Sens!$K$794</f>
        <v>181.09</v>
      </c>
      <c r="L796" s="40" t="n">
        <f aca="false">Sens!$K$796+Sens!$L$794</f>
        <v>181.09</v>
      </c>
      <c r="M796" s="40" t="n">
        <f aca="false">Sens!$L$796+Sens!$M$794</f>
        <v>181.09</v>
      </c>
    </row>
    <row r="797" customFormat="false" ht="15" hidden="false" customHeight="false" outlineLevel="0" collapsed="false">
      <c r="A797" s="5" t="s">
        <v>865</v>
      </c>
      <c r="B797" s="0" t="s">
        <v>91</v>
      </c>
      <c r="D797" s="40" t="n">
        <f aca="false">Sens!$D$796-Sens!$D$795</f>
        <v>-54.193</v>
      </c>
      <c r="E797" s="40" t="n">
        <f aca="false">Sens!$E$796-Sens!$E$795</f>
        <v>66.864</v>
      </c>
      <c r="F797" s="40" t="n">
        <f aca="false">Sens!$F$796-Sens!$F$795</f>
        <v>44.7248899309444</v>
      </c>
      <c r="G797" s="40" t="n">
        <f aca="false">Sens!$G$796-Sens!$G$795</f>
        <v>44.7248899309444</v>
      </c>
      <c r="H797" s="40" t="n">
        <f aca="false">Sens!$H$796-Sens!$H$795</f>
        <v>82.7004068831331</v>
      </c>
      <c r="I797" s="40" t="n">
        <f aca="false">Sens!$I$796-Sens!$I$795</f>
        <v>92.2512993304249</v>
      </c>
      <c r="J797" s="40" t="n">
        <f aca="false">Sens!$J$796-Sens!$J$795</f>
        <v>71.6751630990848</v>
      </c>
      <c r="K797" s="40" t="n">
        <f aca="false">Sens!$K$796-Sens!$K$795</f>
        <v>-30.4919419226073</v>
      </c>
      <c r="L797" s="40" t="n">
        <f aca="false">Sens!$L$796-Sens!$L$795</f>
        <v>-184.847424318095</v>
      </c>
      <c r="M797" s="40" t="n">
        <f aca="false">Sens!$M$796-Sens!$M$795</f>
        <v>-365.953972894882</v>
      </c>
    </row>
    <row r="798" customFormat="false" ht="17.15" hidden="false" customHeight="false" outlineLevel="0" collapsed="false">
      <c r="A798" s="5" t="s">
        <v>866</v>
      </c>
      <c r="B798" s="0" t="s">
        <v>91</v>
      </c>
      <c r="F798" s="40" t="n">
        <f aca="false">debt_q3*kd_book*0.25</f>
        <v>1.94993832879634</v>
      </c>
      <c r="H798" s="40" t="n">
        <f aca="false">debt_q3*kd_book+(Sens!$G$796-debt_q3)*kd_new</f>
        <v>7.79975331518538</v>
      </c>
      <c r="I798" s="40" t="n">
        <f aca="false">debt_q3*kd_book+(Sens!$H$796-debt_q3)*kd_new</f>
        <v>7.79975331518538</v>
      </c>
      <c r="J798" s="40" t="n">
        <f aca="false">debt_q3*kd_book+(Sens!$I$796-debt_q3)*kd_new</f>
        <v>7.79975331518538</v>
      </c>
      <c r="K798" s="40" t="n">
        <f aca="false">debt_q3*kd_book+(Sens!$J$796-debt_q3)*kd_new</f>
        <v>7.79975331518538</v>
      </c>
      <c r="L798" s="40" t="n">
        <f aca="false">debt_q3*kd_book+(Sens!$K$796-debt_q3)*kd_new</f>
        <v>7.79975331518538</v>
      </c>
      <c r="M798" s="40" t="n">
        <f aca="false">debt_q3*kd_book+(Sens!$L$796-debt_q3)*kd_new</f>
        <v>7.79975331518538</v>
      </c>
    </row>
    <row r="799" customFormat="false" ht="17.15" hidden="false" customHeight="false" outlineLevel="0" collapsed="false">
      <c r="A799" s="5" t="s">
        <v>867</v>
      </c>
      <c r="B799" s="0" t="s">
        <v>91</v>
      </c>
      <c r="F799" s="40" t="n">
        <f aca="false">cash_q3*y_cash*0.25</f>
        <v>1.187</v>
      </c>
      <c r="H799" s="40" t="n">
        <f aca="false">Sens!$G$795*y_cash</f>
        <v>5.66825015852675</v>
      </c>
      <c r="I799" s="40" t="n">
        <f aca="false">Sens!$H$795*y_cash</f>
        <v>4.08973253128784</v>
      </c>
      <c r="J799" s="40" t="n">
        <f aca="false">Sens!$I$795*y_cash</f>
        <v>3.69273327245235</v>
      </c>
      <c r="K799" s="40" t="n">
        <f aca="false">Sens!$J$795*y_cash</f>
        <v>4.54801573727125</v>
      </c>
      <c r="L799" s="40" t="n">
        <f aca="false">Sens!$K$795*y_cash</f>
        <v>8.79476704295466</v>
      </c>
      <c r="M799" s="40" t="n">
        <f aca="false">Sens!$L$795*y_cash</f>
        <v>15.2108179456719</v>
      </c>
    </row>
    <row r="800" customFormat="false" ht="17.15" hidden="false" customHeight="false" outlineLevel="0" collapsed="false">
      <c r="A800" s="48" t="s">
        <v>868</v>
      </c>
      <c r="B800" s="14" t="s">
        <v>91</v>
      </c>
      <c r="C800" s="14"/>
      <c r="D800" s="14"/>
      <c r="E800" s="14"/>
      <c r="F800" s="14"/>
      <c r="G800" s="49" t="n">
        <f aca="false">SUM(Sens!$G$790:$K$790)</f>
        <v>37.7129419226073</v>
      </c>
      <c r="H800" s="14"/>
      <c r="I800" s="14"/>
      <c r="J800" s="14"/>
      <c r="K800" s="14"/>
      <c r="L800" s="14"/>
      <c r="M800" s="14"/>
      <c r="N800" s="14"/>
      <c r="O800" s="14"/>
    </row>
    <row r="801" customFormat="false" ht="17.15" hidden="false" customHeight="false" outlineLevel="0" collapsed="false">
      <c r="A801" s="0" t="s">
        <v>835</v>
      </c>
      <c r="B801" s="0" t="s">
        <v>91</v>
      </c>
      <c r="G801" s="40" t="n">
        <f aca="false">SUM(Sens!$G$794:$K$794)</f>
        <v>0</v>
      </c>
    </row>
    <row r="802" customFormat="false" ht="17.15" hidden="false" customHeight="false" outlineLevel="0" collapsed="false">
      <c r="A802" s="27" t="s">
        <v>873</v>
      </c>
      <c r="B802" s="28" t="s">
        <v>91</v>
      </c>
      <c r="C802" s="28"/>
      <c r="D802" s="28"/>
      <c r="E802" s="28"/>
      <c r="F802" s="28"/>
      <c r="G802" s="43" t="n">
        <f aca="false">Sens!$G$800-(Sens!$G$790+Sens!$H$790+Sens!$I$790+Sens!$J$790+Sens!$K$790)</f>
        <v>0</v>
      </c>
      <c r="H802" s="28"/>
      <c r="I802" s="28"/>
      <c r="J802" s="28"/>
      <c r="K802" s="28"/>
      <c r="L802" s="28"/>
      <c r="M802" s="28"/>
      <c r="N802" s="28"/>
      <c r="O802" s="28"/>
    </row>
    <row r="805" customFormat="false" ht="19.4" hidden="false" customHeight="false" outlineLevel="0" collapsed="false">
      <c r="A805" s="35" t="s">
        <v>1318</v>
      </c>
    </row>
    <row r="806" customFormat="false" ht="17.15" hidden="false" customHeight="false" outlineLevel="0" collapsed="false">
      <c r="A806" s="6" t="s">
        <v>16</v>
      </c>
      <c r="B806" s="6" t="s">
        <v>17</v>
      </c>
      <c r="C806" s="23" t="s">
        <v>542</v>
      </c>
      <c r="D806" s="23" t="s">
        <v>543</v>
      </c>
      <c r="E806" s="23" t="s">
        <v>631</v>
      </c>
      <c r="F806" s="23" t="s">
        <v>632</v>
      </c>
      <c r="G806" s="23" t="s">
        <v>633</v>
      </c>
      <c r="H806" s="23" t="s">
        <v>634</v>
      </c>
      <c r="I806" s="23" t="s">
        <v>635</v>
      </c>
      <c r="J806" s="23" t="s">
        <v>636</v>
      </c>
      <c r="K806" s="23" t="s">
        <v>637</v>
      </c>
      <c r="L806" s="23" t="s">
        <v>638</v>
      </c>
      <c r="M806" s="23" t="s">
        <v>639</v>
      </c>
      <c r="N806" s="23" t="s">
        <v>640</v>
      </c>
      <c r="O806" s="23" t="s">
        <v>641</v>
      </c>
      <c r="P806" s="6" t="s">
        <v>23</v>
      </c>
      <c r="R806" s="23" t="n">
        <v>2023</v>
      </c>
      <c r="S806" s="23" t="n">
        <v>2024</v>
      </c>
      <c r="T806" s="23" t="n">
        <v>2025</v>
      </c>
      <c r="U806" s="23" t="n">
        <v>2026</v>
      </c>
      <c r="V806" s="23" t="n">
        <v>2027</v>
      </c>
      <c r="W806" s="23" t="n">
        <v>2028</v>
      </c>
      <c r="X806" s="23" t="n">
        <v>2029</v>
      </c>
      <c r="Y806" s="23" t="n">
        <v>2030</v>
      </c>
      <c r="Z806" s="23" t="n">
        <v>2031</v>
      </c>
      <c r="AA806" s="23" t="n">
        <v>2032</v>
      </c>
    </row>
    <row r="807" customFormat="false" ht="17.15" hidden="false" customHeight="false" outlineLevel="0" collapsed="false">
      <c r="A807" s="1" t="s">
        <v>972</v>
      </c>
    </row>
    <row r="808" customFormat="false" ht="17.15" hidden="false" customHeight="false" outlineLevel="0" collapsed="false">
      <c r="A808" s="0" t="s">
        <v>973</v>
      </c>
      <c r="B808" s="0" t="s">
        <v>91</v>
      </c>
      <c r="H808" s="40" t="n">
        <f aca="false">Sens!$H$743*(1-tax)</f>
        <v>105.057361045807</v>
      </c>
      <c r="I808" s="40" t="n">
        <f aca="false">Sens!$I$743*(1-tax)</f>
        <v>108.326129683062</v>
      </c>
      <c r="J808" s="40" t="n">
        <f aca="false">Sens!$J$743*(1-tax)</f>
        <v>116.185181084517</v>
      </c>
      <c r="K808" s="40" t="n">
        <f aca="false">Sens!$K$743*(1-tax)</f>
        <v>120.427503570424</v>
      </c>
      <c r="L808" s="40" t="n">
        <f aca="false">Sens!$L$743*(1-tax)</f>
        <v>126.290202187087</v>
      </c>
      <c r="M808" s="40" t="n">
        <f aca="false">Sens!$M$743*(1-tax)</f>
        <v>136.000260153201</v>
      </c>
    </row>
    <row r="809" customFormat="false" ht="15" hidden="false" customHeight="false" outlineLevel="0" collapsed="false">
      <c r="A809" s="5" t="s">
        <v>974</v>
      </c>
      <c r="B809" s="0" t="s">
        <v>91</v>
      </c>
      <c r="H809" s="40" t="n">
        <f aca="false">Sens!$H$754</f>
        <v>78.7771455603241</v>
      </c>
      <c r="I809" s="40" t="n">
        <f aca="false">Sens!$I$754</f>
        <v>114.930756142734</v>
      </c>
      <c r="J809" s="40" t="n">
        <f aca="false">Sens!$J$754</f>
        <v>144.950446317972</v>
      </c>
      <c r="K809" s="40" t="n">
        <f aca="false">Sens!$K$754</f>
        <v>175.039176433454</v>
      </c>
      <c r="L809" s="40" t="n">
        <f aca="false">Sens!$L$754</f>
        <v>197.676468176405</v>
      </c>
      <c r="M809" s="40" t="n">
        <f aca="false">Sens!$M$754</f>
        <v>211.857899598634</v>
      </c>
    </row>
    <row r="810" customFormat="false" ht="15" hidden="false" customHeight="false" outlineLevel="0" collapsed="false">
      <c r="A810" s="5" t="s">
        <v>975</v>
      </c>
      <c r="B810" s="0" t="s">
        <v>91</v>
      </c>
      <c r="H810" s="40" t="n">
        <f aca="false">Sens!$H$785</f>
        <v>253.080086249122</v>
      </c>
      <c r="I810" s="40" t="n">
        <f aca="false">Sens!$I$785</f>
        <v>266.971568381453</v>
      </c>
      <c r="J810" s="40" t="n">
        <f aca="false">Sens!$J$785</f>
        <v>278.405889539959</v>
      </c>
      <c r="K810" s="40" t="n">
        <f aca="false">Sens!$K$785</f>
        <v>235.400884498646</v>
      </c>
      <c r="L810" s="40" t="n">
        <f aca="false">Sens!$L$785</f>
        <v>218.641632083122</v>
      </c>
      <c r="M810" s="40" t="n">
        <f aca="false">Sens!$M$785</f>
        <v>224.388773908596</v>
      </c>
    </row>
    <row r="811" customFormat="false" ht="15" hidden="false" customHeight="false" outlineLevel="0" collapsed="false">
      <c r="A811" s="5" t="s">
        <v>976</v>
      </c>
      <c r="B811" s="0" t="s">
        <v>91</v>
      </c>
      <c r="H811" s="40" t="n">
        <f aca="false">Sens!$H$786</f>
        <v>1.6</v>
      </c>
      <c r="I811" s="40" t="n">
        <f aca="false">Sens!$I$786</f>
        <v>1.6</v>
      </c>
      <c r="J811" s="40" t="n">
        <f aca="false">Sens!$J$786</f>
        <v>1.6</v>
      </c>
      <c r="K811" s="40" t="n">
        <f aca="false">Sens!$K$786</f>
        <v>1.6</v>
      </c>
      <c r="L811" s="40" t="n">
        <f aca="false">Sens!$L$786</f>
        <v>1.6</v>
      </c>
      <c r="M811" s="40" t="n">
        <f aca="false">Sens!$M$786</f>
        <v>1.6</v>
      </c>
    </row>
    <row r="812" customFormat="false" ht="15" hidden="false" customHeight="false" outlineLevel="0" collapsed="false">
      <c r="A812" s="5" t="s">
        <v>977</v>
      </c>
      <c r="B812" s="0" t="s">
        <v>91</v>
      </c>
      <c r="H812" s="40" t="n">
        <f aca="false">Sens!$H$780</f>
        <v>11.2462709643786</v>
      </c>
      <c r="I812" s="40" t="n">
        <f aca="false">Sens!$I$780</f>
        <v>12.6096088491301</v>
      </c>
      <c r="J812" s="40" t="n">
        <f aca="false">Sens!$J$780</f>
        <v>13.912043543232</v>
      </c>
      <c r="K812" s="40" t="n">
        <f aca="false">Sens!$K$780</f>
        <v>15.0642526295</v>
      </c>
      <c r="L812" s="40" t="n">
        <f aca="false">Sens!$L$780</f>
        <v>16.1747199454624</v>
      </c>
      <c r="M812" s="40" t="n">
        <f aca="false">Sens!$M$780</f>
        <v>17.2477905645217</v>
      </c>
    </row>
    <row r="813" customFormat="false" ht="17.15" hidden="false" customHeight="false" outlineLevel="0" collapsed="false">
      <c r="A813" s="1" t="s">
        <v>978</v>
      </c>
      <c r="B813" s="8" t="s">
        <v>91</v>
      </c>
      <c r="H813" s="40" t="n">
        <f aca="false">Sens!$H$808+Sens!$H$809-Sens!$H$810-Sens!$H$811+Sens!$H$812</f>
        <v>-59.5993086786125</v>
      </c>
      <c r="I813" s="40" t="n">
        <f aca="false">Sens!$I$808+Sens!$I$809-Sens!$I$810-Sens!$I$811+Sens!$I$812</f>
        <v>-32.7050737065265</v>
      </c>
      <c r="J813" s="40" t="n">
        <f aca="false">Sens!$J$808+Sens!$J$809-Sens!$J$810-Sens!$J$811+Sens!$J$812</f>
        <v>-4.95821859423798</v>
      </c>
      <c r="K813" s="40" t="n">
        <f aca="false">Sens!$K$808+Sens!$K$809-Sens!$K$810-Sens!$K$811+Sens!$K$812</f>
        <v>73.5300481347325</v>
      </c>
      <c r="L813" s="40" t="n">
        <f aca="false">Sens!$L$808+Sens!$L$809-Sens!$L$810-Sens!$L$811+Sens!$L$812</f>
        <v>119.899758225832</v>
      </c>
      <c r="M813" s="40" t="n">
        <f aca="false">Sens!$M$808+Sens!$M$809-Sens!$M$810-Sens!$M$811+Sens!$M$812</f>
        <v>139.117176407761</v>
      </c>
    </row>
    <row r="814" customFormat="false" ht="15" hidden="false" customHeight="false" outlineLevel="0" collapsed="false">
      <c r="A814" s="5" t="s">
        <v>979</v>
      </c>
      <c r="B814" s="0" t="s">
        <v>61</v>
      </c>
      <c r="H814" s="42" t="n">
        <f aca="false">1/(1+wacc)^(2027-2026-0.5)</f>
        <v>0.948332509417004</v>
      </c>
      <c r="I814" s="42" t="n">
        <f aca="false">1/(1+wacc)^(2028-2026-0.5)</f>
        <v>0.852868189105847</v>
      </c>
      <c r="J814" s="42" t="n">
        <f aca="false">1/(1+wacc)^(2029-2026-0.5)</f>
        <v>0.767013827708861</v>
      </c>
      <c r="K814" s="42" t="n">
        <f aca="false">1/(1+wacc)^(2030-2026-0.5)</f>
        <v>0.68980203437226</v>
      </c>
      <c r="L814" s="42" t="n">
        <f aca="false">1/(1+wacc)^(2031-2026-0.5)</f>
        <v>0.62036280107941</v>
      </c>
      <c r="M814" s="42" t="n">
        <f aca="false">1/(1+wacc)^(2032-2026-0.5)</f>
        <v>0.557913699563551</v>
      </c>
    </row>
    <row r="815" customFormat="false" ht="15" hidden="false" customHeight="false" outlineLevel="0" collapsed="false">
      <c r="A815" s="5" t="s">
        <v>980</v>
      </c>
      <c r="B815" s="0" t="s">
        <v>91</v>
      </c>
      <c r="H815" s="40" t="n">
        <f aca="false">Sens!$H$813*Sens!$H$814</f>
        <v>-56.5199619587072</v>
      </c>
      <c r="I815" s="40" t="n">
        <f aca="false">Sens!$I$813*Sens!$I$814</f>
        <v>-27.8931169866585</v>
      </c>
      <c r="J815" s="40" t="n">
        <f aca="false">Sens!$J$813*Sens!$J$814</f>
        <v>-3.80302222258372</v>
      </c>
      <c r="K815" s="40" t="n">
        <f aca="false">Sens!$K$813*Sens!$K$814</f>
        <v>50.7211767908287</v>
      </c>
      <c r="L815" s="40" t="n">
        <f aca="false">Sens!$L$813*Sens!$L$814</f>
        <v>74.3813498617211</v>
      </c>
      <c r="M815" s="40" t="n">
        <f aca="false">Sens!$M$813*Sens!$M$814</f>
        <v>77.6153785624892</v>
      </c>
    </row>
    <row r="816" customFormat="false" ht="15" hidden="false" customHeight="false" outlineLevel="0" collapsed="false">
      <c r="A816" s="5" t="s">
        <v>981</v>
      </c>
      <c r="B816" s="0" t="s">
        <v>91</v>
      </c>
      <c r="C816" s="40" t="n">
        <f aca="false">SUM(Sens!$H$815:$M$815)</f>
        <v>114.50180404709</v>
      </c>
    </row>
    <row r="817" customFormat="false" ht="17.15" hidden="false" customHeight="false" outlineLevel="0" collapsed="false">
      <c r="A817" s="5" t="s">
        <v>982</v>
      </c>
      <c r="B817" s="0" t="s">
        <v>91</v>
      </c>
      <c r="C817" s="40" t="n">
        <f aca="false">Sens!$M$808*(1+tg)*(1-tg/ronic)/(wacc-tg)</f>
        <v>1251.46236911577</v>
      </c>
    </row>
    <row r="818" customFormat="false" ht="15" hidden="false" customHeight="false" outlineLevel="0" collapsed="false">
      <c r="A818" s="5" t="s">
        <v>983</v>
      </c>
      <c r="B818" s="0" t="s">
        <v>91</v>
      </c>
      <c r="C818" s="40" t="n">
        <f aca="false">Sens!$C$817/(1+wacc)^6</f>
        <v>662.133344941714</v>
      </c>
    </row>
    <row r="819" customFormat="false" ht="17.15" hidden="false" customHeight="false" outlineLevel="0" collapsed="false">
      <c r="A819" s="5" t="s">
        <v>984</v>
      </c>
      <c r="B819" s="0" t="s">
        <v>91</v>
      </c>
      <c r="C819" s="40" t="n">
        <f aca="false">Sens!$C$816+Sens!$C$818</f>
        <v>776.635148988803</v>
      </c>
    </row>
    <row r="820" customFormat="false" ht="17.15" hidden="false" customHeight="false" outlineLevel="0" collapsed="false">
      <c r="A820" s="5" t="s">
        <v>985</v>
      </c>
      <c r="B820" s="0" t="s">
        <v>56</v>
      </c>
      <c r="C820" s="13" t="n">
        <f aca="false">Sens!$C$818/Sens!$C$819</f>
        <v>0.852566801546166</v>
      </c>
    </row>
    <row r="821" customFormat="false" ht="17.15" hidden="false" customHeight="false" outlineLevel="0" collapsed="false">
      <c r="A821" s="5" t="s">
        <v>986</v>
      </c>
      <c r="B821" s="0" t="s">
        <v>91</v>
      </c>
      <c r="C821" s="40" t="n">
        <f aca="false">Sens!$G$797+fin_debt</f>
        <v>69.2458899309444</v>
      </c>
    </row>
    <row r="822" customFormat="false" ht="17.15" hidden="false" customHeight="false" outlineLevel="0" collapsed="false">
      <c r="A822" s="5" t="s">
        <v>987</v>
      </c>
      <c r="B822" s="0" t="s">
        <v>91</v>
      </c>
      <c r="C822" s="40" t="n">
        <f aca="false">(ant_val*ant_sh+oai_val*oai_sh)*(1-liq_disc)</f>
        <v>178.944</v>
      </c>
    </row>
    <row r="823" customFormat="false" ht="15" hidden="false" customHeight="false" outlineLevel="0" collapsed="false">
      <c r="A823" s="5" t="s">
        <v>988</v>
      </c>
      <c r="B823" s="0" t="s">
        <v>91</v>
      </c>
      <c r="C823" s="40" t="n">
        <f aca="false">Sens!$C$819-Sens!$C$821+Sens!$C$822</f>
        <v>886.333259057859</v>
      </c>
    </row>
    <row r="824" customFormat="false" ht="17.15" hidden="false" customHeight="false" outlineLevel="0" collapsed="false">
      <c r="A824" s="5" t="s">
        <v>989</v>
      </c>
      <c r="B824" s="0" t="s">
        <v>27</v>
      </c>
      <c r="C824" s="34" t="n">
        <f aca="false">Sens!$C$823/sh_out</f>
        <v>81.9843917359965</v>
      </c>
    </row>
    <row r="825" customFormat="false" ht="17.15" hidden="false" customHeight="false" outlineLevel="0" collapsed="false">
      <c r="A825" s="1" t="s">
        <v>990</v>
      </c>
      <c r="B825" s="8" t="s">
        <v>27</v>
      </c>
      <c r="C825" s="34" t="n">
        <f aca="false">Sens!$C$824*(1+ke)^tp_yf-dps*tp_yf</f>
        <v>89.9055821341748</v>
      </c>
    </row>
    <row r="826" customFormat="false" ht="17.15" hidden="false" customHeight="false" outlineLevel="0" collapsed="false">
      <c r="A826" s="3" t="s">
        <v>991</v>
      </c>
    </row>
    <row r="827" customFormat="false" ht="17.15" hidden="false" customHeight="false" outlineLevel="0" collapsed="false">
      <c r="A827" s="5" t="s">
        <v>992</v>
      </c>
      <c r="B827" s="0" t="s">
        <v>91</v>
      </c>
      <c r="C827" s="40" t="n">
        <f aca="false">(1-tp_yf)*(Sens!$H$755+sbc_ab*Sens!$H$779*Sens!$H$613/Sens!$H$696)+tp_yf*(Sens!$I$755+sbc_ab*Sens!$I$779*Sens!$I$613/Sens!$I$696)</f>
        <v>56.9188491683843</v>
      </c>
    </row>
    <row r="828" customFormat="false" ht="15" hidden="false" customHeight="false" outlineLevel="0" collapsed="false">
      <c r="A828" s="5" t="s">
        <v>993</v>
      </c>
      <c r="B828" s="0" t="s">
        <v>61</v>
      </c>
      <c r="C828" s="34" t="n">
        <f aca="false">m_ads*m_x</f>
        <v>9.11</v>
      </c>
    </row>
    <row r="829" customFormat="false" ht="17.15" hidden="false" customHeight="false" outlineLevel="0" collapsed="false">
      <c r="A829" s="5" t="s">
        <v>994</v>
      </c>
      <c r="B829" s="0" t="s">
        <v>91</v>
      </c>
      <c r="C829" s="40" t="n">
        <f aca="false">Sens!$C$827*Sens!$C$828</f>
        <v>518.530715923981</v>
      </c>
    </row>
    <row r="830" customFormat="false" ht="17.15" hidden="false" customHeight="false" outlineLevel="0" collapsed="false">
      <c r="A830" s="5" t="s">
        <v>995</v>
      </c>
      <c r="B830" s="0" t="s">
        <v>91</v>
      </c>
      <c r="C830" s="40" t="n">
        <f aca="false">(1-tp_yf)*(Sens!$H$756+sbc_ab*Sens!$H$779*(Sens!$H$620-Sens!$H$613)/Sens!$H$696+IF(1=2,1,0)*(1-ext_sh)*Sens!$H$650)+tp_yf*(Sens!$I$756+sbc_ab*Sens!$I$779*(Sens!$I$620-Sens!$I$613)/Sens!$I$696+IF(1=2,1,0)*(1-ext_sh)*Sens!$I$650)</f>
        <v>52.7076685041939</v>
      </c>
    </row>
    <row r="831" customFormat="false" ht="17.15" hidden="false" customHeight="false" outlineLevel="0" collapsed="false">
      <c r="A831" s="5" t="s">
        <v>996</v>
      </c>
      <c r="B831" s="0" t="s">
        <v>61</v>
      </c>
      <c r="C831" s="34" t="n">
        <f aca="false">m_retail*m_x</f>
        <v>17.72</v>
      </c>
    </row>
    <row r="832" customFormat="false" ht="17.15" hidden="false" customHeight="false" outlineLevel="0" collapsed="false">
      <c r="A832" s="5" t="s">
        <v>997</v>
      </c>
      <c r="B832" s="0" t="s">
        <v>91</v>
      </c>
      <c r="C832" s="40" t="n">
        <f aca="false">Sens!$C$830*Sens!$C$831</f>
        <v>933.979885894316</v>
      </c>
    </row>
    <row r="833" customFormat="false" ht="17.15" hidden="false" customHeight="false" outlineLevel="0" collapsed="false">
      <c r="A833" s="0" t="s">
        <v>998</v>
      </c>
      <c r="B833" s="0" t="s">
        <v>91</v>
      </c>
      <c r="C833" s="40" t="n">
        <f aca="false">(1-tp_yf)*(Sens!$H$757+sbc_ab*Sens!$H$779*Sens!$H$694/Sens!$H$696)+tp_yf*(Sens!$I$757+sbc_ab*Sens!$I$779*Sens!$I$694/Sens!$I$696)</f>
        <v>101.29670394553</v>
      </c>
    </row>
    <row r="834" customFormat="false" ht="17.15" hidden="false" customHeight="false" outlineLevel="0" collapsed="false">
      <c r="A834" s="0" t="s">
        <v>999</v>
      </c>
      <c r="B834" s="0" t="s">
        <v>61</v>
      </c>
      <c r="C834" s="34" t="n">
        <f aca="false">m_cloud*m_x</f>
        <v>13.82</v>
      </c>
    </row>
    <row r="835" customFormat="false" ht="17.15" hidden="false" customHeight="false" outlineLevel="0" collapsed="false">
      <c r="A835" s="0" t="s">
        <v>1000</v>
      </c>
      <c r="B835" s="0" t="s">
        <v>91</v>
      </c>
      <c r="C835" s="40" t="n">
        <f aca="false">Sens!$C$833*Sens!$C$834</f>
        <v>1399.92044852722</v>
      </c>
    </row>
    <row r="836" customFormat="false" ht="17.15" hidden="false" customHeight="false" outlineLevel="0" collapsed="false">
      <c r="A836" s="0" t="s">
        <v>1001</v>
      </c>
      <c r="B836" s="0" t="s">
        <v>91</v>
      </c>
      <c r="H836" s="40" t="n">
        <f aca="false">Sens!$H$675-tax*Sens!$H$676-ext_sh*Sens!$H$657</f>
        <v>-109.026742889581</v>
      </c>
      <c r="I836" s="40" t="n">
        <f aca="false">Sens!$I$675-tax*Sens!$I$676-ext_sh*Sens!$I$657</f>
        <v>-92.8262697363989</v>
      </c>
      <c r="J836" s="40" t="n">
        <f aca="false">Sens!$J$675-tax*Sens!$J$676-ext_sh*Sens!$J$657</f>
        <v>-75.6883277485074</v>
      </c>
      <c r="K836" s="40" t="n">
        <f aca="false">Sens!$K$675-tax*Sens!$K$676-ext_sh*Sens!$K$657</f>
        <v>-17.9881011494856</v>
      </c>
      <c r="L836" s="40" t="n">
        <f aca="false">Sens!$L$675-tax*Sens!$L$676-ext_sh*Sens!$L$657</f>
        <v>13.0153341658594</v>
      </c>
      <c r="M836" s="40" t="n">
        <f aca="false">Sens!$M$675-tax*Sens!$M$676-ext_sh*Sens!$M$657</f>
        <v>20.1808907409085</v>
      </c>
    </row>
    <row r="837" customFormat="false" ht="17.15" hidden="false" customHeight="false" outlineLevel="0" collapsed="false">
      <c r="A837" s="5" t="s">
        <v>1002</v>
      </c>
      <c r="B837" s="0" t="s">
        <v>91</v>
      </c>
      <c r="H837" s="40" t="n">
        <f aca="false">Sens!$H$836*Sens!$H$814</f>
        <v>-103.393604678039</v>
      </c>
      <c r="I837" s="40" t="n">
        <f aca="false">Sens!$I$836*Sens!$I$814</f>
        <v>-79.1685725715334</v>
      </c>
      <c r="J837" s="40" t="n">
        <f aca="false">Sens!$J$836*Sens!$J$814</f>
        <v>-58.0539939792654</v>
      </c>
      <c r="K837" s="40" t="n">
        <f aca="false">Sens!$K$836*Sens!$K$814</f>
        <v>-12.4082287674092</v>
      </c>
      <c r="L837" s="40" t="n">
        <f aca="false">Sens!$L$836*Sens!$L$814</f>
        <v>8.07422916011706</v>
      </c>
      <c r="M837" s="40" t="n">
        <f aca="false">Sens!$M$836*Sens!$M$814</f>
        <v>11.2591954137481</v>
      </c>
    </row>
    <row r="838" customFormat="false" ht="17.15" hidden="false" customHeight="false" outlineLevel="0" collapsed="false">
      <c r="A838" s="5" t="s">
        <v>1003</v>
      </c>
      <c r="B838" s="0" t="s">
        <v>91</v>
      </c>
      <c r="C838" s="40" t="n">
        <f aca="false">Sens!$M$676*(1-tax)*(1+tg)*(1-tg/ronic)/(wacc-tg)</f>
        <v>27.5507096151407</v>
      </c>
    </row>
    <row r="839" customFormat="false" ht="17.15" hidden="false" customHeight="false" outlineLevel="0" collapsed="false">
      <c r="A839" s="0" t="s">
        <v>1004</v>
      </c>
      <c r="B839" s="0" t="s">
        <v>91</v>
      </c>
      <c r="C839" s="40" t="n">
        <f aca="false">(SUM(Sens!$I$837:$M$837)+Sens!$C$838/(1+wacc)^6)*(1+wacc)^tp_yf</f>
        <v>-126.412110271739</v>
      </c>
    </row>
    <row r="840" customFormat="false" ht="17.15" hidden="false" customHeight="false" outlineLevel="0" collapsed="false">
      <c r="A840" s="5" t="s">
        <v>1005</v>
      </c>
      <c r="B840" s="0" t="s">
        <v>91</v>
      </c>
      <c r="C840" s="40" t="n">
        <f aca="false">(1-tp_yf)*(Sens!$H$758)+tp_yf*(Sens!$I$758)</f>
        <v>52.3228816419098</v>
      </c>
    </row>
    <row r="841" customFormat="false" ht="17.15" hidden="false" customHeight="false" outlineLevel="0" collapsed="false">
      <c r="A841" s="5" t="s">
        <v>1006</v>
      </c>
      <c r="B841" s="0" t="s">
        <v>91</v>
      </c>
      <c r="C841" s="40" t="n">
        <f aca="false">Sens!$C$840*m_ai</f>
        <v>313.937289851459</v>
      </c>
    </row>
    <row r="842" customFormat="false" ht="17.15" hidden="false" customHeight="false" outlineLevel="0" collapsed="false">
      <c r="A842" s="0" t="s">
        <v>1007</v>
      </c>
      <c r="B842" s="0" t="s">
        <v>91</v>
      </c>
      <c r="C842" s="40" t="n">
        <f aca="false">IF(ai_leg=1,Sens!$C$839,Sens!$C$841)</f>
        <v>-126.412110271739</v>
      </c>
    </row>
    <row r="843" customFormat="false" ht="17.15" hidden="false" customHeight="false" outlineLevel="0" collapsed="false">
      <c r="A843" s="5" t="s">
        <v>1008</v>
      </c>
      <c r="B843" s="0" t="s">
        <v>91</v>
      </c>
      <c r="C843" s="40" t="n">
        <f aca="false">Sens!$C$829+Sens!$C$832+Sens!$C$835+Sens!$C$842</f>
        <v>2726.01894007378</v>
      </c>
    </row>
    <row r="844" customFormat="false" ht="17.15" hidden="false" customHeight="false" outlineLevel="0" collapsed="false">
      <c r="A844" s="5" t="s">
        <v>1009</v>
      </c>
      <c r="B844" s="0" t="s">
        <v>91</v>
      </c>
      <c r="C844" s="40" t="n">
        <f aca="false">Sens!$H$797+fin_debt</f>
        <v>107.221406883133</v>
      </c>
    </row>
    <row r="845" customFormat="false" ht="15" hidden="false" customHeight="false" outlineLevel="0" collapsed="false">
      <c r="A845" s="5" t="s">
        <v>1010</v>
      </c>
      <c r="B845" s="0" t="s">
        <v>91</v>
      </c>
      <c r="C845" s="40" t="n">
        <f aca="false">Sens!$C$843-Sens!$C$844+Sens!$C$822</f>
        <v>2797.74153319065</v>
      </c>
    </row>
    <row r="846" customFormat="false" ht="15" hidden="false" customHeight="false" outlineLevel="0" collapsed="false">
      <c r="A846" s="3" t="s">
        <v>1011</v>
      </c>
      <c r="B846" s="8" t="s">
        <v>27</v>
      </c>
      <c r="C846" s="34" t="n">
        <f aca="false">Sens!$C$845/sh_val</f>
        <v>253.556419538757</v>
      </c>
    </row>
    <row r="847" customFormat="false" ht="17.15" hidden="false" customHeight="false" outlineLevel="0" collapsed="false">
      <c r="A847" s="48" t="s">
        <v>1012</v>
      </c>
      <c r="B847" s="14" t="s">
        <v>27</v>
      </c>
      <c r="C847" s="46" t="n">
        <f aca="false">w_dcf*Sens!$C$825+(1-w_dcf)*Sens!$C$846</f>
        <v>171.731000836466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</row>
    <row r="848" customFormat="false" ht="17.15" hidden="false" customHeight="false" outlineLevel="0" collapsed="false">
      <c r="A848" s="5" t="s">
        <v>1013</v>
      </c>
      <c r="B848" s="0" t="s">
        <v>27</v>
      </c>
      <c r="C848" s="34" t="n">
        <f aca="false">(Sens!$C$845-Sens!$C$842+Sens!$C$841)/sh_val</f>
        <v>293.464829917876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2"/>
    <col collapsed="false" customWidth="true" hidden="false" outlineLevel="0" max="4" min="4" style="0" width="100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1" t="s">
        <v>1319</v>
      </c>
    </row>
    <row r="2" customFormat="false" ht="15" hidden="false" customHeight="false" outlineLevel="0" collapsed="false">
      <c r="A2" s="6" t="s">
        <v>1320</v>
      </c>
      <c r="B2" s="6" t="s">
        <v>1321</v>
      </c>
      <c r="C2" s="6" t="s">
        <v>1322</v>
      </c>
      <c r="D2" s="6" t="s">
        <v>1323</v>
      </c>
      <c r="E2" s="6" t="s">
        <v>21</v>
      </c>
    </row>
    <row r="3" customFormat="false" ht="17.15" hidden="false" customHeight="false" outlineLevel="0" collapsed="false">
      <c r="A3" s="0" t="s">
        <v>87</v>
      </c>
      <c r="B3" s="0" t="s">
        <v>1324</v>
      </c>
      <c r="C3" s="0" t="s">
        <v>1325</v>
      </c>
      <c r="D3" s="0" t="s">
        <v>1326</v>
      </c>
      <c r="E3" s="0" t="s">
        <v>28</v>
      </c>
    </row>
    <row r="4" customFormat="false" ht="17.15" hidden="false" customHeight="false" outlineLevel="0" collapsed="false">
      <c r="A4" s="0" t="s">
        <v>77</v>
      </c>
      <c r="B4" s="0" t="s">
        <v>1327</v>
      </c>
      <c r="C4" s="0" t="s">
        <v>1328</v>
      </c>
      <c r="D4" s="0" t="s">
        <v>1329</v>
      </c>
      <c r="E4" s="0" t="s">
        <v>28</v>
      </c>
    </row>
    <row r="5" customFormat="false" ht="17.15" hidden="false" customHeight="false" outlineLevel="0" collapsed="false">
      <c r="A5" s="0" t="s">
        <v>1330</v>
      </c>
      <c r="B5" s="0" t="s">
        <v>1331</v>
      </c>
      <c r="C5" s="0" t="s">
        <v>1332</v>
      </c>
      <c r="D5" s="0" t="s">
        <v>1333</v>
      </c>
      <c r="E5" s="0" t="s">
        <v>28</v>
      </c>
    </row>
    <row r="6" customFormat="false" ht="17.15" hidden="false" customHeight="false" outlineLevel="0" collapsed="false">
      <c r="A6" s="0" t="s">
        <v>326</v>
      </c>
      <c r="B6" s="0" t="s">
        <v>1334</v>
      </c>
      <c r="C6" s="0" t="s">
        <v>1335</v>
      </c>
      <c r="D6" s="0" t="s">
        <v>1336</v>
      </c>
      <c r="E6" s="0" t="s">
        <v>38</v>
      </c>
    </row>
    <row r="7" customFormat="false" ht="17.15" hidden="false" customHeight="false" outlineLevel="0" collapsed="false">
      <c r="A7" s="0" t="s">
        <v>1337</v>
      </c>
      <c r="B7" s="0" t="s">
        <v>1338</v>
      </c>
      <c r="C7" s="0" t="s">
        <v>1339</v>
      </c>
      <c r="D7" s="0" t="s">
        <v>1340</v>
      </c>
      <c r="E7" s="0" t="s">
        <v>38</v>
      </c>
    </row>
    <row r="8" customFormat="false" ht="17.15" hidden="false" customHeight="false" outlineLevel="0" collapsed="false">
      <c r="A8" s="0" t="s">
        <v>388</v>
      </c>
      <c r="B8" s="0" t="s">
        <v>1341</v>
      </c>
      <c r="C8" s="0" t="s">
        <v>1342</v>
      </c>
      <c r="D8" s="0" t="s">
        <v>1343</v>
      </c>
      <c r="E8" s="0" t="s">
        <v>38</v>
      </c>
    </row>
    <row r="9" customFormat="false" ht="17.15" hidden="false" customHeight="false" outlineLevel="0" collapsed="false">
      <c r="A9" s="0" t="s">
        <v>1344</v>
      </c>
      <c r="B9" s="0" t="s">
        <v>1345</v>
      </c>
      <c r="C9" s="0" t="s">
        <v>1346</v>
      </c>
      <c r="D9" s="0" t="s">
        <v>1347</v>
      </c>
      <c r="E9" s="0" t="s">
        <v>38</v>
      </c>
    </row>
    <row r="10" customFormat="false" ht="17.15" hidden="false" customHeight="false" outlineLevel="0" collapsed="false">
      <c r="A10" s="0" t="s">
        <v>1348</v>
      </c>
      <c r="B10" s="0" t="s">
        <v>1349</v>
      </c>
      <c r="C10" s="0" t="s">
        <v>1350</v>
      </c>
      <c r="D10" s="0" t="s">
        <v>1351</v>
      </c>
      <c r="E10" s="0" t="s">
        <v>38</v>
      </c>
    </row>
    <row r="11" customFormat="false" ht="17.15" hidden="false" customHeight="false" outlineLevel="0" collapsed="false">
      <c r="A11" s="0" t="s">
        <v>1352</v>
      </c>
      <c r="B11" s="0" t="s">
        <v>1353</v>
      </c>
      <c r="C11" s="0" t="s">
        <v>1354</v>
      </c>
      <c r="D11" s="0" t="s">
        <v>1355</v>
      </c>
      <c r="E11" s="0" t="s">
        <v>38</v>
      </c>
    </row>
    <row r="12" customFormat="false" ht="17.15" hidden="false" customHeight="false" outlineLevel="0" collapsed="false">
      <c r="A12" s="0" t="s">
        <v>395</v>
      </c>
      <c r="B12" s="0" t="s">
        <v>1356</v>
      </c>
      <c r="C12" s="0" t="s">
        <v>1357</v>
      </c>
      <c r="D12" s="0" t="s">
        <v>1358</v>
      </c>
      <c r="E12" s="0" t="s">
        <v>28</v>
      </c>
    </row>
    <row r="13" customFormat="false" ht="17.15" hidden="false" customHeight="false" outlineLevel="0" collapsed="false">
      <c r="A13" s="0" t="s">
        <v>1359</v>
      </c>
      <c r="B13" s="0" t="s">
        <v>1360</v>
      </c>
      <c r="C13" s="0" t="s">
        <v>1335</v>
      </c>
      <c r="D13" s="0" t="s">
        <v>1361</v>
      </c>
      <c r="E13" s="0" t="s">
        <v>38</v>
      </c>
    </row>
    <row r="14" customFormat="false" ht="17.15" hidden="false" customHeight="false" outlineLevel="0" collapsed="false">
      <c r="A14" s="0" t="s">
        <v>1362</v>
      </c>
      <c r="B14" s="0" t="s">
        <v>1363</v>
      </c>
      <c r="C14" s="0" t="s">
        <v>1364</v>
      </c>
      <c r="D14" s="0" t="s">
        <v>1365</v>
      </c>
      <c r="E14" s="0" t="s">
        <v>38</v>
      </c>
    </row>
    <row r="15" customFormat="false" ht="17.15" hidden="false" customHeight="false" outlineLevel="0" collapsed="false">
      <c r="A15" s="0" t="s">
        <v>39</v>
      </c>
      <c r="B15" s="0" t="s">
        <v>1366</v>
      </c>
      <c r="C15" s="0" t="s">
        <v>1367</v>
      </c>
      <c r="D15" s="0" t="s">
        <v>1368</v>
      </c>
      <c r="E15" s="0" t="s">
        <v>38</v>
      </c>
    </row>
    <row r="16" customFormat="false" ht="17.15" hidden="false" customHeight="false" outlineLevel="0" collapsed="false">
      <c r="A16" s="0" t="s">
        <v>333</v>
      </c>
      <c r="B16" s="0" t="s">
        <v>1369</v>
      </c>
      <c r="C16" s="0" t="s">
        <v>1367</v>
      </c>
      <c r="D16" s="0" t="s">
        <v>1370</v>
      </c>
      <c r="E16" s="0" t="s">
        <v>38</v>
      </c>
    </row>
    <row r="17" customFormat="false" ht="17.15" hidden="false" customHeight="false" outlineLevel="0" collapsed="false">
      <c r="A17" s="0" t="s">
        <v>33</v>
      </c>
      <c r="B17" s="0" t="s">
        <v>1371</v>
      </c>
      <c r="C17" s="0" t="s">
        <v>1372</v>
      </c>
      <c r="D17" s="0" t="s">
        <v>1373</v>
      </c>
      <c r="E17" s="0" t="s">
        <v>28</v>
      </c>
    </row>
    <row r="18" customFormat="false" ht="17.15" hidden="false" customHeight="false" outlineLevel="0" collapsed="false">
      <c r="A18" s="0" t="s">
        <v>1374</v>
      </c>
      <c r="B18" s="0" t="s">
        <v>1375</v>
      </c>
      <c r="C18" s="0" t="s">
        <v>1372</v>
      </c>
      <c r="D18" s="0" t="s">
        <v>1376</v>
      </c>
      <c r="E18" s="0" t="s">
        <v>28</v>
      </c>
    </row>
    <row r="19" customFormat="false" ht="17.15" hidden="false" customHeight="false" outlineLevel="0" collapsed="false">
      <c r="A19" s="0" t="s">
        <v>1377</v>
      </c>
      <c r="B19" s="0" t="s">
        <v>1378</v>
      </c>
      <c r="C19" s="0" t="s">
        <v>1372</v>
      </c>
      <c r="D19" s="0" t="s">
        <v>1379</v>
      </c>
      <c r="E19" s="0" t="s">
        <v>38</v>
      </c>
    </row>
    <row r="20" customFormat="false" ht="17.15" hidden="false" customHeight="false" outlineLevel="0" collapsed="false">
      <c r="A20" s="0" t="s">
        <v>503</v>
      </c>
      <c r="B20" s="0" t="s">
        <v>1380</v>
      </c>
      <c r="C20" s="0" t="s">
        <v>1367</v>
      </c>
      <c r="D20" s="0" t="s">
        <v>1381</v>
      </c>
      <c r="E20" s="0" t="s">
        <v>38</v>
      </c>
    </row>
    <row r="21" customFormat="false" ht="17.15" hidden="false" customHeight="false" outlineLevel="0" collapsed="false">
      <c r="A21" s="0" t="s">
        <v>492</v>
      </c>
      <c r="B21" s="0" t="s">
        <v>1382</v>
      </c>
      <c r="C21" s="0" t="s">
        <v>1383</v>
      </c>
      <c r="D21" s="0" t="s">
        <v>1384</v>
      </c>
      <c r="E21" s="0" t="s">
        <v>38</v>
      </c>
    </row>
    <row r="22" customFormat="false" ht="17.15" hidden="false" customHeight="false" outlineLevel="0" collapsed="false">
      <c r="A22" s="0" t="s">
        <v>448</v>
      </c>
      <c r="B22" s="0" t="s">
        <v>1385</v>
      </c>
      <c r="C22" s="0" t="s">
        <v>1357</v>
      </c>
      <c r="D22" s="0" t="s">
        <v>1386</v>
      </c>
      <c r="E22" s="0" t="s">
        <v>38</v>
      </c>
    </row>
    <row r="23" customFormat="false" ht="17.15" hidden="false" customHeight="false" outlineLevel="0" collapsed="false">
      <c r="A23" s="0" t="s">
        <v>196</v>
      </c>
      <c r="B23" s="0" t="s">
        <v>1387</v>
      </c>
      <c r="C23" s="0" t="s">
        <v>1388</v>
      </c>
      <c r="D23" s="0" t="s">
        <v>1389</v>
      </c>
      <c r="E23" s="0" t="s">
        <v>46</v>
      </c>
    </row>
    <row r="24" customFormat="false" ht="17.15" hidden="false" customHeight="false" outlineLevel="0" collapsed="false">
      <c r="A24" s="0" t="s">
        <v>520</v>
      </c>
      <c r="B24" s="0" t="s">
        <v>1390</v>
      </c>
      <c r="C24" s="0" t="s">
        <v>1391</v>
      </c>
      <c r="D24" s="0" t="s">
        <v>1392</v>
      </c>
      <c r="E24" s="0" t="s">
        <v>46</v>
      </c>
    </row>
    <row r="25" customFormat="false" ht="17.15" hidden="false" customHeight="false" outlineLevel="0" collapsed="false">
      <c r="A25" s="0" t="s">
        <v>180</v>
      </c>
      <c r="B25" s="0" t="s">
        <v>1393</v>
      </c>
      <c r="C25" s="0" t="s">
        <v>1357</v>
      </c>
      <c r="D25" s="0" t="s">
        <v>1394</v>
      </c>
      <c r="E25" s="0" t="s">
        <v>28</v>
      </c>
    </row>
    <row r="26" customFormat="false" ht="17.15" hidden="false" customHeight="false" outlineLevel="0" collapsed="false">
      <c r="A26" s="0" t="s">
        <v>1395</v>
      </c>
      <c r="B26" s="0" t="s">
        <v>1396</v>
      </c>
      <c r="C26" s="0" t="s">
        <v>1397</v>
      </c>
      <c r="D26" s="0" t="s">
        <v>1398</v>
      </c>
      <c r="E26" s="0" t="s">
        <v>1399</v>
      </c>
    </row>
    <row r="27" customFormat="false" ht="17.15" hidden="false" customHeight="false" outlineLevel="0" collapsed="false">
      <c r="A27" s="0" t="s">
        <v>261</v>
      </c>
      <c r="B27" s="0" t="s">
        <v>1400</v>
      </c>
      <c r="C27" s="0" t="s">
        <v>1357</v>
      </c>
      <c r="D27" s="0" t="s">
        <v>1401</v>
      </c>
      <c r="E27" s="0" t="s">
        <v>46</v>
      </c>
    </row>
    <row r="28" customFormat="false" ht="17.15" hidden="false" customHeight="false" outlineLevel="0" collapsed="false">
      <c r="A28" s="0" t="s">
        <v>1402</v>
      </c>
      <c r="B28" s="0" t="s">
        <v>1403</v>
      </c>
      <c r="C28" s="0" t="s">
        <v>1404</v>
      </c>
      <c r="D28" s="0" t="s">
        <v>1405</v>
      </c>
      <c r="E28" s="0" t="s">
        <v>46</v>
      </c>
    </row>
    <row r="29" customFormat="false" ht="17.15" hidden="false" customHeight="false" outlineLevel="0" collapsed="false">
      <c r="A29" s="0" t="s">
        <v>951</v>
      </c>
      <c r="B29" s="5" t="s">
        <v>1406</v>
      </c>
      <c r="C29" s="0" t="s">
        <v>1407</v>
      </c>
      <c r="D29" s="0" t="s">
        <v>1408</v>
      </c>
      <c r="E29" s="0" t="s">
        <v>46</v>
      </c>
    </row>
    <row r="30" customFormat="false" ht="17.15" hidden="false" customHeight="false" outlineLevel="0" collapsed="false">
      <c r="A30" s="0" t="s">
        <v>937</v>
      </c>
      <c r="B30" s="5" t="s">
        <v>1409</v>
      </c>
      <c r="C30" s="0" t="s">
        <v>1407</v>
      </c>
      <c r="D30" s="0" t="s">
        <v>1410</v>
      </c>
      <c r="E30" s="0" t="s">
        <v>46</v>
      </c>
    </row>
    <row r="31" customFormat="false" ht="17.15" hidden="false" customHeight="false" outlineLevel="0" collapsed="false">
      <c r="A31" s="0" t="s">
        <v>929</v>
      </c>
      <c r="B31" s="5" t="s">
        <v>1411</v>
      </c>
      <c r="C31" s="0" t="s">
        <v>1407</v>
      </c>
      <c r="D31" s="0" t="s">
        <v>1412</v>
      </c>
      <c r="E31" s="0" t="s">
        <v>46</v>
      </c>
    </row>
    <row r="32" customFormat="false" ht="17.15" hidden="false" customHeight="false" outlineLevel="0" collapsed="false">
      <c r="A32" s="0" t="s">
        <v>417</v>
      </c>
      <c r="B32" s="0" t="s">
        <v>1413</v>
      </c>
      <c r="C32" s="0" t="s">
        <v>1414</v>
      </c>
      <c r="D32" s="0" t="s">
        <v>1415</v>
      </c>
      <c r="E32" s="0" t="s">
        <v>38</v>
      </c>
    </row>
    <row r="33" customFormat="false" ht="17.15" hidden="false" customHeight="false" outlineLevel="0" collapsed="false">
      <c r="A33" s="0" t="s">
        <v>1416</v>
      </c>
      <c r="B33" s="0" t="s">
        <v>1417</v>
      </c>
      <c r="C33" s="0" t="s">
        <v>1418</v>
      </c>
      <c r="D33" s="0" t="s">
        <v>1419</v>
      </c>
      <c r="E33" s="0" t="s">
        <v>1399</v>
      </c>
    </row>
    <row r="34" customFormat="false" ht="17.15" hidden="false" customHeight="false" outlineLevel="0" collapsed="false">
      <c r="A34" s="0" t="s">
        <v>425</v>
      </c>
      <c r="B34" s="0" t="s">
        <v>1420</v>
      </c>
      <c r="C34" s="0" t="s">
        <v>1421</v>
      </c>
      <c r="D34" s="0" t="s">
        <v>1422</v>
      </c>
      <c r="E34" s="0" t="s">
        <v>38</v>
      </c>
    </row>
    <row r="35" customFormat="false" ht="17.15" hidden="false" customHeight="false" outlineLevel="0" collapsed="false">
      <c r="A35" s="0" t="s">
        <v>57</v>
      </c>
      <c r="B35" s="5" t="s">
        <v>1423</v>
      </c>
      <c r="C35" s="0" t="s">
        <v>1424</v>
      </c>
      <c r="D35" s="0" t="s">
        <v>1425</v>
      </c>
      <c r="E35" s="0" t="s">
        <v>28</v>
      </c>
    </row>
    <row r="36" customFormat="false" ht="17.15" hidden="false" customHeight="false" outlineLevel="0" collapsed="false">
      <c r="A36" s="0" t="s">
        <v>303</v>
      </c>
      <c r="B36" s="0" t="s">
        <v>1426</v>
      </c>
      <c r="C36" s="0" t="s">
        <v>1427</v>
      </c>
      <c r="D36" s="0" t="s">
        <v>1428</v>
      </c>
      <c r="E36" s="0" t="s">
        <v>38</v>
      </c>
    </row>
    <row r="37" customFormat="false" ht="17.15" hidden="false" customHeight="false" outlineLevel="0" collapsed="false">
      <c r="A37" s="0" t="s">
        <v>1429</v>
      </c>
      <c r="B37" s="0" t="s">
        <v>1430</v>
      </c>
      <c r="C37" s="0" t="s">
        <v>1431</v>
      </c>
      <c r="D37" s="0" t="s">
        <v>1432</v>
      </c>
      <c r="E37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2026-10-31T01:46:15Z</dcterms:created>
  <dc:creator>openpyxl</dc:creator>
  <dc:description/>
  <dc:language>en-US</dc:language>
  <cp:lastModifiedBy/>
  <dcterms:modified xsi:type="dcterms:W3CDTF">2026-10-31T01:46:16Z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