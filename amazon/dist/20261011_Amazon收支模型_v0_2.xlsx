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AI增量報酬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Tokenomics_取數!$G$87</definedName>
    <definedName function="false" hidden="false" name="TK_AvgDraw_GB300" vbProcedure="false">Tokenomics_取數!$G$88</definedName>
    <definedName function="false" hidden="false" name="TK_AvgDraw_H100" vbProcedure="false">Tokenomics_取數!$G$86</definedName>
    <definedName function="false" hidden="false" name="TK_AvgDraw_RU" vbProcedure="false">Tokenomics_取數!$G$90</definedName>
    <definedName function="false" hidden="false" name="TK_AvgDraw_VR200" vbProcedure="false">Tokenomics_取數!$G$89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Tokenomics_取數!$G$47</definedName>
    <definedName function="false" hidden="false" name="TK_DeprFac_GB300" vbProcedure="false">Tokenomics_取數!$G$48</definedName>
    <definedName function="false" hidden="false" name="TK_DeprFac_H100" vbProcedure="false">Tokenomics_取數!$G$46</definedName>
    <definedName function="false" hidden="false" name="TK_DeprFac_RU" vbProcedure="false">Tokenomics_取數!$G$50</definedName>
    <definedName function="false" hidden="false" name="TK_DeprFac_VR200" vbProcedure="false">Tokenomics_取數!$G$49</definedName>
    <definedName function="false" hidden="false" name="TK_DeprIT_GB200" vbProcedure="false">Tokenomics_取數!$G$42</definedName>
    <definedName function="false" hidden="false" name="TK_DeprIT_GB300" vbProcedure="false">Tokenomics_取數!$G$43</definedName>
    <definedName function="false" hidden="false" name="TK_DeprIT_H100" vbProcedure="false">Tokenomics_取數!$G$41</definedName>
    <definedName function="false" hidden="false" name="TK_DeprIT_RU" vbProcedure="false">Tokenomics_取數!$G$45</definedName>
    <definedName function="false" hidden="false" name="TK_DeprIT_VR200" vbProcedure="false">Tokenomics_取數!$G$44</definedName>
    <definedName function="false" hidden="false" name="TK_DeprLifeIT_GB200" vbProcedure="false">Tokenomics_取數!$G$37</definedName>
    <definedName function="false" hidden="false" name="TK_DeprLifeIT_GB300" vbProcedure="false">Tokenomics_取數!$G$38</definedName>
    <definedName function="false" hidden="false" name="TK_DeprLifeIT_H100" vbProcedure="false">Tokenomics_取數!$G$36</definedName>
    <definedName function="false" hidden="false" name="TK_DeprLifeIT_RU" vbProcedure="false">Tokenomics_取數!$G$40</definedName>
    <definedName function="false" hidden="false" name="TK_DeprLifeIT_VR200" vbProcedure="false">Tokenomics_取數!$G$39</definedName>
    <definedName function="false" hidden="false" name="TK_FacCapexMW" vbProcedure="false">Tokenomics_取數!$G$35</definedName>
    <definedName function="false" hidden="false" name="TK_FacilityGW_GB200" vbProcedure="false">Tokenomics_取數!$G$92</definedName>
    <definedName function="false" hidden="false" name="TK_FacilityGW_GB300" vbProcedure="false">Tokenomics_取數!$G$93</definedName>
    <definedName function="false" hidden="false" name="TK_FacilityGW_H100" vbProcedure="false">Tokenomics_取數!$G$91</definedName>
    <definedName function="false" hidden="false" name="TK_FacilityGW_RU" vbProcedure="false">Tokenomics_取數!$G$95</definedName>
    <definedName function="false" hidden="false" name="TK_FacilityGW_VR200" vbProcedure="false">Tokenomics_取數!$G$94</definedName>
    <definedName function="false" hidden="false" name="TK_GPUhrEcon_GB200" vbProcedure="false">Tokenomics_取數!$G$16</definedName>
    <definedName function="false" hidden="false" name="TK_GPUhrEcon_GB300" vbProcedure="false">Tokenomics_取數!$G$17</definedName>
    <definedName function="false" hidden="false" name="TK_GPUhrEcon_H100" vbProcedure="false">Tokenomics_取數!$G$15</definedName>
    <definedName function="false" hidden="false" name="TK_GPUhrEcon_RU" vbProcedure="false">Tokenomics_取數!$G$19</definedName>
    <definedName function="false" hidden="false" name="TK_GPUhrEcon_VR200" vbProcedure="false">Tokenomics_取數!$G$18</definedName>
    <definedName function="false" hidden="false" name="TK_GPUhr_GB200" vbProcedure="false">Tokenomics_取數!$G$113</definedName>
    <definedName function="false" hidden="false" name="TK_GPUhr_GB300" vbProcedure="false">Tokenomics_取數!$G$114</definedName>
    <definedName function="false" hidden="false" name="TK_GPUhr_Hopper" vbProcedure="false">Tokenomics_取數!$G$112</definedName>
    <definedName function="false" hidden="false" name="TK_GPUhr_VR200" vbProcedure="false">Tokenomics_取數!$G$115</definedName>
    <definedName function="false" hidden="false" name="TK_GPUsPerGW_GB200" vbProcedure="false">Tokenomics_取數!$G$97</definedName>
    <definedName function="false" hidden="false" name="TK_GPUsPerGW_GB300" vbProcedure="false">Tokenomics_取數!$G$98</definedName>
    <definedName function="false" hidden="false" name="TK_GPUsPerGW_H100" vbProcedure="false">Tokenomics_取數!$G$96</definedName>
    <definedName function="false" hidden="false" name="TK_GPUsPerGW_RU" vbProcedure="false">Tokenomics_取數!$G$100</definedName>
    <definedName function="false" hidden="false" name="TK_GPUsPerGW_VR200" vbProcedure="false">Tokenomics_取數!$G$99</definedName>
    <definedName function="false" hidden="false" name="TK_HoldAcct_GB200" vbProcedure="false">Tokenomics_取數!$G$11</definedName>
    <definedName function="false" hidden="false" name="TK_HoldAcct_GB300" vbProcedure="false">Tokenomics_取數!$G$12</definedName>
    <definedName function="false" hidden="false" name="TK_HoldAcct_H100" vbProcedure="false">Tokenomics_取數!$G$10</definedName>
    <definedName function="false" hidden="false" name="TK_HoldAcct_RU" vbProcedure="false">Tokenomics_取數!$G$14</definedName>
    <definedName function="false" hidden="false" name="TK_HoldAcct_VR200" vbProcedure="false">Tokenomics_取數!$G$13</definedName>
    <definedName function="false" hidden="false" name="TK_HoldEconGW_GB200" vbProcedure="false">Tokenomics_取數!$G$117</definedName>
    <definedName function="false" hidden="false" name="TK_HoldEconGW_GB300" vbProcedure="false">Tokenomics_取數!$G$118</definedName>
    <definedName function="false" hidden="false" name="TK_HoldEconGW_Hopper" vbProcedure="false">Tokenomics_取數!$G$116</definedName>
    <definedName function="false" hidden="false" name="TK_HoldEconGW_VR200" vbProcedure="false">Tokenomics_取數!$G$119</definedName>
    <definedName function="false" hidden="false" name="TK_HoldEcon_GB200" vbProcedure="false">Tokenomics_取數!$G$6</definedName>
    <definedName function="false" hidden="false" name="TK_HoldEcon_GB300" vbProcedure="false">Tokenomics_取數!$G$7</definedName>
    <definedName function="false" hidden="false" name="TK_HoldEcon_H100" vbProcedure="false">Tokenomics_取數!$G$5</definedName>
    <definedName function="false" hidden="false" name="TK_HoldEcon_RU" vbProcedure="false">Tokenomics_取數!$G$9</definedName>
    <definedName function="false" hidden="false" name="TK_HoldEcon_VR200" vbProcedure="false">Tokenomics_取數!$G$8</definedName>
    <definedName function="false" hidden="false" name="TK_IFW_RevGWFleet_100_GB200" vbProcedure="false">Tokenomics_取數!$G$122</definedName>
    <definedName function="false" hidden="false" name="TK_IFW_RevGWFleet_100_GB300" vbProcedure="false">Tokenomics_取數!$G$123</definedName>
    <definedName function="false" hidden="false" name="TK_IFW_RevGWFleet_100_H100" vbProcedure="false">Tokenomics_取數!$G$121</definedName>
    <definedName function="false" hidden="false" name="TK_IFW_RevGWFleet_100_RU" vbProcedure="false">Tokenomics_取數!$G$125</definedName>
    <definedName function="false" hidden="false" name="TK_IFW_RevGWFleet_100_VR200" vbProcedure="false">Tokenomics_取數!$G$124</definedName>
    <definedName function="false" hidden="false" name="TK_IFW_RevGWFleet_Life_GB200" vbProcedure="false">Tokenomics_取數!$G$137</definedName>
    <definedName function="false" hidden="false" name="TK_IFW_RevGWFleet_Life_GB300" vbProcedure="false">Tokenomics_取數!$G$138</definedName>
    <definedName function="false" hidden="false" name="TK_IFW_RevGWFleet_Life_H100" vbProcedure="false">Tokenomics_取數!$G$136</definedName>
    <definedName function="false" hidden="false" name="TK_IFW_RevGWFleet_Life_RU" vbProcedure="false">Tokenomics_取數!$G$140</definedName>
    <definedName function="false" hidden="false" name="TK_IFW_RevGWFleet_Life_VR200" vbProcedure="false">Tokenomics_取數!$G$139</definedName>
    <definedName function="false" hidden="false" name="TK_IFW_RevGWFleet_Prod_GB200" vbProcedure="false">Tokenomics_取數!$G$132</definedName>
    <definedName function="false" hidden="false" name="TK_IFW_RevGWFleet_Prod_GB300" vbProcedure="false">Tokenomics_取數!$G$133</definedName>
    <definedName function="false" hidden="false" name="TK_IFW_RevGWFleet_Prod_H100" vbProcedure="false">Tokenomics_取數!$G$131</definedName>
    <definedName function="false" hidden="false" name="TK_IFW_RevGWFleet_Prod_RU" vbProcedure="false">Tokenomics_取數!$G$135</definedName>
    <definedName function="false" hidden="false" name="TK_IFW_RevGWFleet_Prod_VR200" vbProcedure="false">Tokenomics_取數!$G$134</definedName>
    <definedName function="false" hidden="false" name="TK_IFW_RevGWFleet_Util_GB200" vbProcedure="false">Tokenomics_取數!$G$127</definedName>
    <definedName function="false" hidden="false" name="TK_IFW_RevGWFleet_Util_GB300" vbProcedure="false">Tokenomics_取數!$G$128</definedName>
    <definedName function="false" hidden="false" name="TK_IFW_RevGWFleet_Util_H100" vbProcedure="false">Tokenomics_取數!$G$126</definedName>
    <definedName function="false" hidden="false" name="TK_IFW_RevGWFleet_Util_RU" vbProcedure="false">Tokenomics_取數!$G$130</definedName>
    <definedName function="false" hidden="false" name="TK_IFW_RevGWFleet_Util_VR200" vbProcedure="false">Tokenomics_取數!$G$129</definedName>
    <definedName function="false" hidden="false" name="TK_MaintFac_GB200" vbProcedure="false">Tokenomics_取數!$G$72</definedName>
    <definedName function="false" hidden="false" name="TK_MaintFac_GB300" vbProcedure="false">Tokenomics_取數!$G$73</definedName>
    <definedName function="false" hidden="false" name="TK_MaintFac_H100" vbProcedure="false">Tokenomics_取數!$G$71</definedName>
    <definedName function="false" hidden="false" name="TK_MaintFac_RU" vbProcedure="false">Tokenomics_取數!$G$75</definedName>
    <definedName function="false" hidden="false" name="TK_MaintFac_VR200" vbProcedure="false">Tokenomics_取數!$G$74</definedName>
    <definedName function="false" hidden="false" name="TK_MaintIT_GB200" vbProcedure="false">Tokenomics_取數!$G$67</definedName>
    <definedName function="false" hidden="false" name="TK_MaintIT_GB300" vbProcedure="false">Tokenomics_取數!$G$68</definedName>
    <definedName function="false" hidden="false" name="TK_MaintIT_H100" vbProcedure="false">Tokenomics_取數!$G$66</definedName>
    <definedName function="false" hidden="false" name="TK_MaintIT_RU" vbProcedure="false">Tokenomics_取數!$G$70</definedName>
    <definedName function="false" hidden="false" name="TK_MaintIT_VR200" vbProcedure="false">Tokenomics_取數!$G$69</definedName>
    <definedName function="false" hidden="false" name="TK_NvContentGW_VR200" vbProcedure="false">Tokenomics_取數!$G$120</definedName>
    <definedName function="false" hidden="false" name="TK_OpexGW_GB200" vbProcedure="false">Tokenomics_取數!$G$52</definedName>
    <definedName function="false" hidden="false" name="TK_OpexGW_GB300" vbProcedure="false">Tokenomics_取數!$G$53</definedName>
    <definedName function="false" hidden="false" name="TK_OpexGW_H100" vbProcedure="false">Tokenomics_取數!$G$51</definedName>
    <definedName function="false" hidden="false" name="TK_OpexGW_RU" vbProcedure="false">Tokenomics_取數!$G$55</definedName>
    <definedName function="false" hidden="false" name="TK_OpexGW_VR200" vbProcedure="false">Tokenomics_取數!$G$54</definedName>
    <definedName function="false" hidden="false" name="TK_PowerCost_GB200" vbProcedure="false">Tokenomics_取數!$G$62</definedName>
    <definedName function="false" hidden="false" name="TK_PowerCost_GB300" vbProcedure="false">Tokenomics_取數!$G$63</definedName>
    <definedName function="false" hidden="false" name="TK_PowerCost_H100" vbProcedure="false">Tokenomics_取數!$G$61</definedName>
    <definedName function="false" hidden="false" name="TK_PowerCost_RU" vbProcedure="false">Tokenomics_取數!$G$65</definedName>
    <definedName function="false" hidden="false" name="TK_PowerCost_VR200" vbProcedure="false">Tokenomics_取數!$G$64</definedName>
    <definedName function="false" hidden="false" name="TK_PowerPrice_GB200" vbProcedure="false">Tokenomics_取數!$G$57</definedName>
    <definedName function="false" hidden="false" name="TK_PowerPrice_GB300" vbProcedure="false">Tokenomics_取數!$G$58</definedName>
    <definedName function="false" hidden="false" name="TK_PowerPrice_H100" vbProcedure="false">Tokenomics_取數!$G$56</definedName>
    <definedName function="false" hidden="false" name="TK_PowerPrice_RU" vbProcedure="false">Tokenomics_取數!$G$60</definedName>
    <definedName function="false" hidden="false" name="TK_PowerPrice_VR200" vbProcedure="false">Tokenomics_取數!$G$59</definedName>
    <definedName function="false" hidden="false" name="TK_RacksPerGW_GB200" vbProcedure="false">Tokenomics_取數!$G$102</definedName>
    <definedName function="false" hidden="false" name="TK_RacksPerGW_GB300" vbProcedure="false">Tokenomics_取數!$G$103</definedName>
    <definedName function="false" hidden="false" name="TK_RacksPerGW_H100" vbProcedure="false">Tokenomics_取數!$G$101</definedName>
    <definedName function="false" hidden="false" name="TK_RacksPerGW_RU" vbProcedure="false">Tokenomics_取數!$G$105</definedName>
    <definedName function="false" hidden="false" name="TK_RacksPerGW_VR200" vbProcedure="false">Tokenomics_取數!$G$104</definedName>
    <definedName function="false" hidden="false" name="TK_RevGWFleet_GB200" vbProcedure="false">Tokenomics_取數!$G$108</definedName>
    <definedName function="false" hidden="false" name="TK_RevGWFleet_GB300" vbProcedure="false">Tokenomics_取數!$G$109</definedName>
    <definedName function="false" hidden="false" name="TK_RevGWFleet_H100" vbProcedure="false">Tokenomics_取數!$G$107</definedName>
    <definedName function="false" hidden="false" name="TK_RevGWFleet_RU" vbProcedure="false">Tokenomics_取數!$G$111</definedName>
    <definedName function="false" hidden="false" name="TK_RevGWFleet_VR200" vbProcedure="false">Tokenomics_取數!$G$110</definedName>
    <definedName function="false" hidden="false" name="TK_StaffSW_GB200" vbProcedure="false">Tokenomics_取數!$G$77</definedName>
    <definedName function="false" hidden="false" name="TK_StaffSW_GB300" vbProcedure="false">Tokenomics_取數!$G$78</definedName>
    <definedName function="false" hidden="false" name="TK_StaffSW_H100" vbProcedure="false">Tokenomics_取數!$G$76</definedName>
    <definedName function="false" hidden="false" name="TK_StaffSW_RU" vbProcedure="false">Tokenomics_取數!$G$80</definedName>
    <definedName function="false" hidden="false" name="TK_StaffSW_VR200" vbProcedure="false">Tokenomics_取數!$G$79</definedName>
    <definedName function="false" hidden="false" name="TK_TaxIns_GB200" vbProcedure="false">Tokenomics_取數!$G$82</definedName>
    <definedName function="false" hidden="false" name="TK_TaxIns_GB300" vbProcedure="false">Tokenomics_取數!$G$83</definedName>
    <definedName function="false" hidden="false" name="TK_TaxIns_H100" vbProcedure="false">Tokenomics_取數!$G$81</definedName>
    <definedName function="false" hidden="false" name="TK_TaxIns_RU" vbProcedure="false">Tokenomics_取數!$G$85</definedName>
    <definedName function="false" hidden="false" name="TK_TaxIns_VR200" vbProcedure="false">Tokenomics_取數!$G$84</definedName>
    <definedName function="false" hidden="false" name="TK_Util" vbProcedure="false">Tokenomics_取數!$G$106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<sst xmlns="http://schemas.openxmlformats.org/spreadsheetml/2006/main" count="4723" uniqueCount="2605">
  <si>
    <r>
      <rPr>
        <b val="true"/>
        <sz val="14"/>
        <rFont val="Arial"/>
        <family val="0"/>
        <charset val="1"/>
      </rPr>
      <t xml:space="preserve">Amazon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v0.2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2026-10-08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v0.2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</si>
  <si>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</si>
  <si>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資本支出有沒有賺到資金成本：每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收入能否覆蓋每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全成本——</t>
    </r>
    <r>
      <rPr>
        <sz val="10"/>
        <rFont val="Arial"/>
        <family val="0"/>
        <charset val="1"/>
      </rPr>
      <t xml:space="preserve">Amazon </t>
    </r>
    <r>
      <rPr>
        <sz val="10"/>
        <rFont val="Noto Sans CJK SC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</si>
  <si>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</si>
  <si>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</si>
  <si>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</si>
  <si>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</si>
  <si>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</si>
  <si>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</si>
  <si>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</si>
  <si>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</si>
  <si>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</si>
  <si>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</si>
  <si>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</si>
  <si>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</si>
  <si>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</si>
  <si>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</si>
  <si>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</si>
  <si>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</si>
  <si>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</si>
  <si>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在役世代占比 </t>
    </r>
    <r>
      <rPr>
        <sz val="10"/>
        <rFont val="Arial"/>
        <family val="0"/>
        <charset val="1"/>
      </rPr>
      <t xml:space="preserve">× Tokenomics </t>
    </r>
    <r>
      <rPr>
        <sz val="10"/>
        <rFont val="Noto Sans CJK SC"/>
        <family val="2"/>
      </rPr>
      <t xml:space="preserve">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晶片係數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（輸入與假設 </t>
    </r>
    <r>
      <rPr>
        <sz val="10"/>
        <rFont val="Arial"/>
        <family val="0"/>
        <charset val="1"/>
      </rPr>
      <t xml:space="preserve">B0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依價格軸）；不以公司營收、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run-rate </t>
    </r>
    <r>
      <rPr>
        <sz val="10"/>
        <rFont val="Noto Sans CJK SC"/>
        <family val="2"/>
      </rPr>
      <t xml:space="preserve">反推；按 </t>
    </r>
    <r>
      <rPr>
        <sz val="10"/>
        <rFont val="Arial"/>
        <family val="0"/>
        <charset val="1"/>
      </rPr>
      <t xml:space="preserve">MW-year </t>
    </r>
    <r>
      <rPr>
        <sz val="10"/>
        <rFont val="Noto Sans CJK SC"/>
        <family val="2"/>
      </rPr>
      <t xml:space="preserve">計價，利用率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（收入端不乘 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</si>
  <si>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</si>
  <si>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</si>
  <si>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</si>
  <si>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</si>
  <si>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</si>
  <si>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</si>
  <si>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</si>
  <si>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</si>
  <si>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</si>
  <si>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</si>
  <si>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</si>
  <si>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</si>
  <si>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</si>
  <si>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</si>
  <si>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</si>
  <si>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</si>
  <si>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</si>
  <si>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</si>
  <si>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</si>
  <si>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</si>
  <si>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</si>
  <si>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</si>
  <si>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</si>
  <si>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</si>
  <si>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</si>
  <si>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</si>
  <si>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</si>
  <si>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</si>
  <si>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結論｜投資級句</t>
  </si>
  <si>
    <t xml:space="preserve">結論｜調整後槓桿句</t>
  </si>
  <si>
    <t xml:space="preserve">結論｜評價口徑敏感度句</t>
  </si>
  <si>
    <t xml:space="preserve">結論｜終值占比規則句</t>
  </si>
  <si>
    <t xml:space="preserve">結論｜兩種讀法句</t>
  </si>
  <si>
    <t xml:space="preserve">結論｜對外比例句</t>
  </si>
  <si>
    <t xml:space="preserve">結論｜主命題句</t>
  </si>
  <si>
    <r>
      <rPr>
        <b val="true"/>
        <sz val="10"/>
        <rFont val="Noto Sans CJK SC"/>
        <family val="2"/>
      </rPr>
      <t xml:space="preserve">結論｜股東回饋與 </t>
    </r>
    <r>
      <rPr>
        <b val="true"/>
        <sz val="10"/>
        <rFont val="Arial"/>
        <family val="0"/>
        <charset val="1"/>
      </rPr>
      <t xml:space="preserve">FCF </t>
    </r>
    <r>
      <rPr>
        <b val="true"/>
        <sz val="10"/>
        <rFont val="Noto Sans CJK SC"/>
        <family val="2"/>
      </rPr>
      <t xml:space="preserve">句</t>
    </r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</si>
  <si>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</si>
  <si>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2026–2028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</si>
  <si>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</si>
  <si>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</si>
  <si>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2026</t>
  </si>
  <si>
    <t xml:space="preserve">2027</t>
  </si>
  <si>
    <t xml:space="preserve">2028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</si>
  <si>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</si>
  <si>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</si>
  <si>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</si>
  <si>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</si>
  <si>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</si>
  <si>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</si>
  <si>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</si>
  <si>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</si>
  <si>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</si>
  <si>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</si>
  <si>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</si>
  <si>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</si>
  <si>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</si>
  <si>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</si>
  <si>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</si>
  <si>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</si>
  <si>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</si>
  <si>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</si>
  <si>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</si>
  <si>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</si>
  <si>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</si>
  <si>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</si>
  <si>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</si>
  <si>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</si>
  <si>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</si>
  <si>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</si>
  <si>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</si>
  <si>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</si>
  <si>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</si>
  <si>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</si>
  <si>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</si>
  <si>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</si>
  <si>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</si>
  <si>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</si>
  <si>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</si>
  <si>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</si>
  <si>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</si>
  <si>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</si>
  <si>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</si>
  <si>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</si>
  <si>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</si>
  <si>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</si>
  <si>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2026–2028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</si>
  <si>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</si>
  <si>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</si>
  <si>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</si>
  <si>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</si>
  <si>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</si>
  <si>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</si>
  <si>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</si>
  <si>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</si>
  <si>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</si>
  <si>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倍數）錨定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</si>
  <si>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r>
      <rPr>
        <sz val="10"/>
        <rFont val="Noto Sans CJK SC"/>
        <family val="2"/>
      </rPr>
      <t xml:space="preserve">隱含｜模型 </t>
    </r>
    <r>
      <rPr>
        <sz val="10"/>
        <rFont val="Arial"/>
        <family val="0"/>
        <charset val="1"/>
      </rPr>
      <t xml:space="preserve">2028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</si>
  <si>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扣除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</si>
  <si>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</si>
  <si>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r>
      <rPr>
        <sz val="9"/>
        <color rgb="FF595959"/>
        <rFont val="Noto Sans CJK SC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</si>
  <si>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</si>
  <si>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t xml:space="preserve">同上，價格換成現價</t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</si>
  <si>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</si>
  <si>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</si>
  <si>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</si>
  <si>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</si>
  <si>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</si>
  <si>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</si>
  <si>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</si>
  <si>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</si>
  <si>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</si>
  <si>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</si>
  <si>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</si>
  <si>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</si>
  <si>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</si>
  <si>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</si>
  <si>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</si>
  <si>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</si>
  <si>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</si>
  <si>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</si>
  <si>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59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</si>
  <si>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</si>
  <si>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59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2026-10-08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</si>
  <si>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的目標價、評等、</t>
    </r>
    <r>
      <rPr>
        <sz val="9"/>
        <color rgb="FF595959"/>
        <rFont val="Arial"/>
        <family val="0"/>
        <charset val="1"/>
      </rPr>
      <t xml:space="preserve">2026–2027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Yahoo Finance Analysis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828.44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948.44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完全相同，推測同源（本次不視為獨立）；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12.88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10.51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口徑）與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相同。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系）營收 </t>
    </r>
    <r>
      <rPr>
        <sz val="9"/>
        <color rgb="FF595959"/>
        <rFont val="Arial"/>
        <family val="0"/>
        <charset val="1"/>
      </rPr>
      <t xml:space="preserve">828.285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947.853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&lt;0.1%</t>
    </r>
    <r>
      <rPr>
        <sz val="9"/>
        <color rgb="FF595959"/>
        <rFont val="Noto Sans CJK SC"/>
        <family val="2"/>
      </rPr>
      <t xml:space="preserve">，同一底層的兩個呈現，不算獨立。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），作目標價的獨立交叉。營收與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共識本次只有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系，找不到第二個獨立供應商。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</si>
  <si>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</si>
  <si>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</si>
  <si>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</si>
  <si>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</si>
  <si>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第三方可辨識站點、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依資本支出指引、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依公司容量目標）</t>
    </r>
  </si>
  <si>
    <r>
      <rPr>
        <sz val="9"/>
        <color rgb="FF595959"/>
        <rFont val="Noto Sans CJK SC"/>
        <family val="2"/>
      </rPr>
      <t xml:space="preserve">三情境只改容量軸（對外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路徑；世代組合隨新增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改變每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年收入）；價格軸另見 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</si>
  <si>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</si>
  <si>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</si>
  <si>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2029</t>
  </si>
  <si>
    <t xml:space="preserve">2030</t>
  </si>
  <si>
    <r>
      <rPr>
        <b val="true"/>
        <sz val="11"/>
        <color rgb="FFFFFFFF"/>
        <rFont val="Arial"/>
        <family val="0"/>
        <charset val="1"/>
      </rPr>
      <t xml:space="preserve">2031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</si>
  <si>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評價日在役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（期初計費，三情境共用）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</si>
  <si>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</si>
  <si>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company.json → defaults.billableOpen</t>
    </r>
    <r>
      <rPr>
        <sz val="9"/>
        <color rgb="FF595959"/>
        <rFont val="Noto Sans CJK SC"/>
        <family val="2"/>
      </rPr>
      <t xml:space="preserve">；來源見 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Noto Sans CJK SC"/>
        <family val="2"/>
      </rPr>
      <t xml:space="preserve">（第三方估計，不以營收校準）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</si>
  <si>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sz val="10"/>
        <rFont val="Noto Sans CJK SC"/>
        <family val="2"/>
      </rPr>
      <t xml:space="preserve">保守 第三方可辨識站點｜合約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</si>
  <si>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</si>
  <si>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t xml:space="preserve">保守 第三方可辨識站點｜併網速度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</si>
  <si>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</si>
  <si>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</si>
  <si>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t xml:space="preserve">保守 第三方可辨識站點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</si>
  <si>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只計 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Noto Sans CJK SC"/>
        <family val="2"/>
      </rPr>
      <t xml:space="preserve">追蹤站點的已交付＋在建（三站 </t>
    </r>
    <r>
      <rPr>
        <sz val="9"/>
        <color rgb="FF595959"/>
        <rFont val="Arial"/>
        <family val="0"/>
        <charset val="1"/>
      </rPr>
      <t xml:space="preserve">1,422 → 2028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3,448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+2,026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），每年 </t>
    </r>
    <r>
      <rPr>
        <sz val="9"/>
        <color rgb="FF595959"/>
        <rFont val="Arial"/>
        <family val="0"/>
        <charset val="1"/>
      </rPr>
      <t xml:space="preserve">+720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3,700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</si>
  <si>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依資本支出指引｜合約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</si>
  <si>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基準 依資本支出指引｜併網速度</t>
  </si>
  <si>
    <t xml:space="preserve">基準 依資本支出指引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</si>
  <si>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新增速度＝近端資本支出隱含的建置量：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全年指引 </t>
    </r>
    <r>
      <rPr>
        <sz val="9"/>
        <color rgb="FF595959"/>
        <rFont val="Arial"/>
        <family val="0"/>
        <charset val="1"/>
      </rPr>
      <t xml:space="preserve">$220bn −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公式值＋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Tokenomics IT</t>
    </r>
    <r>
      <rPr>
        <sz val="9"/>
        <color rgb="FF595959"/>
        <rFont val="Noto Sans CJK SC"/>
        <family val="2"/>
      </rPr>
      <t xml:space="preserve">＋設施）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λ </t>
    </r>
    <r>
      <rPr>
        <sz val="9"/>
        <color rgb="FF595959"/>
        <rFont val="Noto Sans CJK SC"/>
        <family val="2"/>
      </rPr>
      <t xml:space="preserve">遞延上線 → 每年 </t>
    </r>
    <r>
      <rPr>
        <sz val="9"/>
        <color rgb="FF595959"/>
        <rFont val="Arial"/>
        <family val="0"/>
        <charset val="1"/>
      </rPr>
      <t xml:space="preserve">+3,173.5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scripts/calib_pace.js </t>
    </r>
    <r>
      <rPr>
        <sz val="9"/>
        <color rgb="FF595959"/>
        <rFont val="Noto Sans CJK SC"/>
        <family val="2"/>
      </rPr>
      <t xml:space="preserve">解，對帳落差＝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）；之後各年資本支出＝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成本（同一套數字）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</si>
  <si>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依公司容量目標｜合約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</si>
  <si>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積極 依公司容量目標｜併網速度</t>
  </si>
  <si>
    <t xml:space="preserve">積極 依公司容量目標</t>
  </si>
  <si>
    <r>
      <rPr>
        <sz val="9"/>
        <color rgb="FF595959"/>
        <rFont val="Noto Sans CJK SC"/>
        <family val="2"/>
      </rPr>
      <t xml:space="preserve">公司目標：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年底電力容量為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年兩倍（</t>
    </r>
    <r>
      <rPr>
        <sz val="9"/>
        <color rgb="FF595959"/>
        <rFont val="Arial"/>
        <family val="0"/>
        <charset val="1"/>
      </rPr>
      <t xml:space="preserve">2026–2027 </t>
    </r>
    <r>
      <rPr>
        <sz val="9"/>
        <color rgb="FF595959"/>
        <rFont val="Noto Sans CJK SC"/>
        <family val="2"/>
      </rPr>
      <t xml:space="preserve">合計新增＝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年底總容量）。總容量未揭露，以 </t>
    </r>
    <r>
      <rPr>
        <sz val="9"/>
        <color rgb="FF595959"/>
        <rFont val="Arial"/>
        <family val="0"/>
        <charset val="1"/>
      </rPr>
      <t xml:space="preserve">Morgan Stanley 2026 +6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+8 GW </t>
    </r>
    <r>
      <rPr>
        <sz val="9"/>
        <color rgb="FF595959"/>
        <rFont val="Noto Sans CJK SC"/>
        <family val="2"/>
      </rPr>
      <t xml:space="preserve">對照隱含約 </t>
    </r>
    <r>
      <rPr>
        <sz val="9"/>
        <color rgb="FF595959"/>
        <rFont val="Arial"/>
        <family val="0"/>
        <charset val="1"/>
      </rPr>
      <t xml:space="preserve">14 GW</t>
    </r>
    <r>
      <rPr>
        <sz val="9"/>
        <color rgb="FF595959"/>
        <rFont val="Noto Sans CJK SC"/>
        <family val="2"/>
      </rPr>
      <t xml:space="preserve">（設施，全部負載）→ 每年 </t>
    </r>
    <r>
      <rPr>
        <sz val="9"/>
        <color rgb="FF595959"/>
        <rFont val="Arial"/>
        <family val="0"/>
        <charset val="1"/>
      </rPr>
      <t xml:space="preserve">+7 GW × AI </t>
    </r>
    <r>
      <rPr>
        <sz val="9"/>
        <color rgb="FF595959"/>
        <rFont val="Noto Sans CJK SC"/>
        <family val="2"/>
      </rPr>
      <t xml:space="preserve">占新增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（推估區間 </t>
    </r>
    <r>
      <rPr>
        <sz val="9"/>
        <color rgb="FF595959"/>
        <rFont val="Arial"/>
        <family val="0"/>
        <charset val="1"/>
      </rPr>
      <t xml:space="preserve">60%–80% </t>
    </r>
    <r>
      <rPr>
        <sz val="9"/>
        <color rgb="FF595959"/>
        <rFont val="Noto Sans CJK SC"/>
        <family val="2"/>
      </rPr>
      <t xml:space="preserve">上緣）</t>
    </r>
    <r>
      <rPr>
        <sz val="9"/>
        <color rgb="FF595959"/>
        <rFont val="Arial"/>
        <family val="0"/>
        <charset val="1"/>
      </rPr>
      <t xml:space="preserve">÷ PUE 1.2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＝每年 </t>
    </r>
    <r>
      <rPr>
        <sz val="9"/>
        <color rgb="FF595959"/>
        <rFont val="Arial"/>
        <family val="0"/>
        <charset val="1"/>
      </rPr>
      <t xml:space="preserve">+3,733 MW-IT [Derived</t>
    </r>
    <r>
      <rPr>
        <sz val="9"/>
        <color rgb="FF595959"/>
        <rFont val="Noto Sans CJK SC"/>
        <family val="2"/>
      </rPr>
      <t xml:space="preserve">；總容量為賣方對照，非公司揭露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</si>
  <si>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t xml:space="preserve">在役／已連網比例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</si>
  <si>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計價：已連網即計費（在役比例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）；期初計費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＝第三方估計 </t>
    </r>
    <r>
      <rPr>
        <sz val="9"/>
        <color rgb="FF595959"/>
        <rFont val="Arial"/>
        <family val="0"/>
        <charset val="1"/>
      </rPr>
      <t xml:space="preserve">2,080</t>
    </r>
    <r>
      <rPr>
        <sz val="9"/>
        <color rgb="FF595959"/>
        <rFont val="Noto Sans CJK SC"/>
        <family val="2"/>
      </rPr>
      <t xml:space="preserve">，不以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營收校準（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營收含非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</si>
  <si>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未起租租賃總額（未折現）</t>
  </si>
  <si>
    <r>
      <rPr>
        <sz val="9"/>
        <color rgb="FF595959"/>
        <rFont val="Noto Sans CJK SC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</si>
  <si>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</si>
  <si>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</si>
  <si>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</si>
  <si>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</si>
  <si>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Arial"/>
        <family val="0"/>
        <charset val="1"/>
      </rPr>
      <t xml:space="preserve">company.json → leases.uncommenced.quarters</t>
    </r>
    <r>
      <rPr>
        <sz val="9"/>
        <color rgb="FF595959"/>
        <rFont val="Noto Sans CJK SC"/>
        <family val="2"/>
      </rPr>
      <t xml:space="preserve">（起租時程見該欄說明）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</si>
  <si>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</si>
  <si>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</si>
  <si>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Noto Sans CJK SC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</si>
  <si>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</si>
  <si>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6/30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</si>
  <si>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496.0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</si>
  <si>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</si>
  <si>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</si>
  <si>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</si>
  <si>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0%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</si>
  <si>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</si>
  <si>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</si>
  <si>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</si>
  <si>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未揭露：</t>
    </r>
    <r>
      <rPr>
        <sz val="9"/>
        <color rgb="FF595959"/>
        <rFont val="Arial"/>
        <family val="0"/>
        <charset val="1"/>
      </rPr>
      <t xml:space="preserve">Trainium2 &gt;140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× 0.871 kW ≈ 1,220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600 ≈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AI 1,800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 ≈ 1,440 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</si>
  <si>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6/30 Billable MW</t>
  </si>
  <si>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</si>
  <si>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</si>
  <si>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</si>
  <si>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</si>
  <si>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</si>
  <si>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</si>
  <si>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</si>
  <si>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</si>
  <si>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</si>
  <si>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</si>
  <si>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</si>
  <si>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</si>
  <si>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桶（</t>
    </r>
    <r>
      <rPr>
        <sz val="9"/>
        <color rgb="FF595959"/>
        <rFont val="Arial"/>
        <family val="0"/>
        <charset val="1"/>
      </rPr>
      <t xml:space="preserve">RPO 496B</t>
    </r>
    <r>
      <rPr>
        <sz val="9"/>
        <color rgb="FF595959"/>
        <rFont val="Noto Sans CJK SC"/>
        <family val="2"/>
      </rPr>
      <t xml:space="preserve">（加權剩餘 </t>
    </r>
    <r>
      <rPr>
        <sz val="9"/>
        <color rgb="FF595959"/>
        <rFont val="Arial"/>
        <family val="0"/>
        <charset val="1"/>
      </rPr>
      <t xml:space="preserve">6.4 </t>
    </r>
    <r>
      <rPr>
        <sz val="9"/>
        <color rgb="FF595959"/>
        <rFont val="Noto Sans CJK SC"/>
        <family val="2"/>
      </rPr>
      <t xml:space="preserve">年、未分桶揭露）含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與其他，只作對照（模型排程歸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雲端收入＝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</si>
  <si>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</si>
  <si>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</si>
  <si>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</si>
  <si>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</si>
  <si>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</si>
  <si>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計價，收入端不乘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下游契約第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條）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</si>
  <si>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</si>
  <si>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</si>
  <si>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Noto Sans CJK SC"/>
        <family val="2"/>
      </rPr>
      <t xml:space="preserve">＝加權每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年持有成本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k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× k</t>
    </r>
    <r>
      <rPr>
        <sz val="9"/>
        <color rgb="FF595959"/>
        <rFont val="Noto Sans CJK SC"/>
        <family val="2"/>
      </rPr>
      <t xml:space="preserve">，不以公司營收反推）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</si>
  <si>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</si>
  <si>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</si>
  <si>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</si>
  <si>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</si>
  <si>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</si>
  <si>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</si>
  <si>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</si>
  <si>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</si>
  <si>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（輸入）</t>
    </r>
  </si>
  <si>
    <r>
      <rPr>
        <sz val="9"/>
        <color rgb="FF595959"/>
        <rFont val="Noto Sans CJK SC"/>
        <family val="2"/>
      </rPr>
      <t xml:space="preserve">未分攤公司層費用（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分部營業利益已含全部費用，無未分攤項）：</t>
    </r>
    <r>
      <rPr>
        <sz val="9"/>
        <color rgb="FF595959"/>
        <rFont val="Arial"/>
        <family val="0"/>
        <charset val="1"/>
      </rPr>
      <t xml:space="preserve">0</t>
    </r>
  </si>
  <si>
    <t xml:space="preserve">租用算力租金（營運成本）</t>
  </si>
  <si>
    <r>
      <rPr>
        <sz val="9"/>
        <color rgb="FF595959"/>
        <rFont val="Noto Sans CJK SC"/>
        <family val="2"/>
      </rPr>
      <t xml:space="preserve">租用算力（向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租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）：未見 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公開合約（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為出租方；</t>
    </r>
    <r>
      <rPr>
        <sz val="9"/>
        <color rgb="FF595959"/>
        <rFont val="Arial"/>
        <family val="0"/>
        <charset val="1"/>
      </rPr>
      <t xml:space="preserve">Cipher Black Pearl </t>
    </r>
    <r>
      <rPr>
        <sz val="9"/>
        <color rgb="FF595959"/>
        <rFont val="Noto Sans CJK SC"/>
        <family val="2"/>
      </rPr>
      <t xml:space="preserve">為機房租約，已在未起租租賃內）→ 空清單。格式：</t>
    </r>
    <r>
      <rPr>
        <sz val="9"/>
        <color rgb="FF595959"/>
        <rFont val="Arial"/>
        <family val="0"/>
        <charset val="1"/>
      </rPr>
      <t xml:space="preserve">[{name, start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YYYY-MM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years, annualRent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／年）</t>
    </r>
    <r>
      <rPr>
        <sz val="9"/>
        <color rgb="FF595959"/>
        <rFont val="Arial"/>
        <family val="0"/>
        <charset val="1"/>
      </rPr>
      <t xml:space="preserve">, mw, use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external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internal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}]</t>
    </r>
    <r>
      <rPr>
        <sz val="9"/>
        <color rgb="FF595959"/>
        <rFont val="Noto Sans CJK SC"/>
        <family val="2"/>
      </rPr>
      <t xml:space="preserve">；租金計入營運成本（扣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與營運現金，不是資本支出；對照表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</si>
  <si>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</si>
  <si>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t xml:space="preserve">＝輸入 − 租用算力租金（下游引用此列）</t>
  </si>
  <si>
    <r>
      <rPr>
        <sz val="10"/>
        <rFont val="Noto Sans CJK SC"/>
        <family val="2"/>
      </rPr>
      <t xml:space="preserve">股權報酬占營收（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，非現金加回）</t>
    </r>
  </si>
  <si>
    <r>
      <rPr>
        <sz val="9"/>
        <color rgb="FF595959"/>
        <rFont val="Noto Sans CJK SC"/>
        <family val="2"/>
      </rPr>
      <t xml:space="preserve">股權報酬（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）為非現金費用：分部營業利益已扣除，營運現金加回＝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模型期總營收；近四季 </t>
    </r>
    <r>
      <rPr>
        <sz val="9"/>
        <color rgb="FF595959"/>
        <rFont val="Arial"/>
        <family val="0"/>
        <charset val="1"/>
      </rPr>
      <t xml:space="preserve">SBC 19.314 ÷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775.680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2.49%</t>
    </r>
    <r>
      <rPr>
        <sz val="9"/>
        <color rgb="FF595959"/>
        <rFont val="Noto Sans CJK SC"/>
        <family val="2"/>
      </rPr>
      <t xml:space="preserve">（現金流量表；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）。股數稀釋沿用模板每年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，評價略重複計入，偏保守）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</si>
  <si>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剩餘季度營運資金變動（上年同期實際，流入為正）</t>
    </r>
  </si>
  <si>
    <r>
      <rPr>
        <sz val="9"/>
        <color rgb="FF595959"/>
        <rFont val="Noto Sans CJK SC"/>
        <family val="2"/>
      </rPr>
      <t xml:space="preserve">首期剩餘季度（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下半年）營運資金變動＝上一年度同期實際：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全年「營運資產與負債變動」合計 −</t>
    </r>
    <r>
      <rPr>
        <sz val="9"/>
        <color rgb="FF595959"/>
        <rFont val="Arial"/>
        <family val="0"/>
        <charset val="1"/>
      </rPr>
      <t xml:space="preserve">19.969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上半年 −</t>
    </r>
    <r>
      <rPr>
        <sz val="9"/>
        <color rgb="FF595959"/>
        <rFont val="Arial"/>
        <family val="0"/>
        <charset val="1"/>
      </rPr>
      <t xml:space="preserve">21.916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2026Q2 10-Q </t>
    </r>
    <r>
      <rPr>
        <sz val="9"/>
        <color rgb="FF595959"/>
        <rFont val="Noto Sans CJK SC"/>
        <family val="2"/>
      </rPr>
      <t xml:space="preserve">比較欄）＝</t>
    </r>
    <r>
      <rPr>
        <sz val="9"/>
        <color rgb="FF595959"/>
        <rFont val="Arial"/>
        <family val="0"/>
        <charset val="1"/>
      </rPr>
      <t xml:space="preserve">+1.947</t>
    </r>
    <r>
      <rPr>
        <sz val="9"/>
        <color rgb="FF595959"/>
        <rFont val="Noto Sans CJK SC"/>
        <family val="2"/>
      </rPr>
      <t xml:space="preserve">（流入）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；之後年度沿用營收增量比例（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C14</t>
    </r>
    <r>
      <rPr>
        <sz val="9"/>
        <color rgb="FF595959"/>
        <rFont val="Noto Sans CJK SC"/>
        <family val="2"/>
      </rPr>
      <t xml:space="preserve">；已實現的季節模式，非預測）</t>
    </r>
  </si>
  <si>
    <r>
      <rPr>
        <b val="true"/>
        <sz val="10"/>
        <color rgb="FF1F3864"/>
        <rFont val="Arial"/>
        <family val="0"/>
        <charset val="1"/>
      </rPr>
      <t xml:space="preserve">▸ B0</t>
    </r>
    <r>
      <rPr>
        <b val="true"/>
        <sz val="10"/>
        <color rgb="FF1F3864"/>
        <rFont val="Noto Sans CJK SC"/>
        <family val="2"/>
      </rPr>
      <t xml:space="preserve">｜對外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雲端定價：每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年收入＝</t>
    </r>
    <r>
      <rPr>
        <b val="true"/>
        <sz val="10"/>
        <color rgb="FF1F3864"/>
        <rFont val="Arial"/>
        <family val="0"/>
        <charset val="1"/>
      </rPr>
      <t xml:space="preserve">Σ </t>
    </r>
    <r>
      <rPr>
        <b val="true"/>
        <sz val="10"/>
        <color rgb="FF1F3864"/>
        <rFont val="Noto Sans CJK SC"/>
        <family val="2"/>
      </rPr>
      <t xml:space="preserve">在役世代占比 </t>
    </r>
    <r>
      <rPr>
        <b val="true"/>
        <sz val="10"/>
        <color rgb="FF1F3864"/>
        <rFont val="Arial"/>
        <family val="0"/>
        <charset val="1"/>
      </rPr>
      <t xml:space="preserve">× Tokenomics </t>
    </r>
    <r>
      <rPr>
        <b val="true"/>
        <sz val="10"/>
        <color rgb="FF1F3864"/>
        <rFont val="Noto Sans CJK SC"/>
        <family val="2"/>
      </rPr>
      <t xml:space="preserve">持有成本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晶片係數 </t>
    </r>
    <r>
      <rPr>
        <b val="true"/>
        <sz val="10"/>
        <color rgb="FF1F3864"/>
        <rFont val="Arial"/>
        <family val="0"/>
        <charset val="1"/>
      </rPr>
      <t xml:space="preserve">× k</t>
    </r>
    <r>
      <rPr>
        <b val="true"/>
        <sz val="10"/>
        <color rgb="FF1F3864"/>
        <rFont val="Noto Sans CJK SC"/>
        <family val="2"/>
      </rPr>
      <t xml:space="preserve">（收入端不乘 </t>
    </r>
    <r>
      <rPr>
        <b val="true"/>
        <sz val="10"/>
        <color rgb="FF1F3864"/>
        <rFont val="Arial"/>
        <family val="0"/>
        <charset val="1"/>
      </rPr>
      <t xml:space="preserve">IF_Util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</si>
  <si>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價格軸選擇（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＝低 長約下緣、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C1 </t>
    </r>
    <r>
      <rPr>
        <b val="true"/>
        <sz val="10"/>
        <rFont val="Noto Sans CJK SC"/>
        <family val="2"/>
      </rPr>
      <t xml:space="preserve">混合、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＝高 現貨改用 </t>
    </r>
    <r>
      <rPr>
        <b val="true"/>
        <sz val="10"/>
        <rFont val="Arial"/>
        <family val="0"/>
        <charset val="1"/>
      </rPr>
      <t xml:space="preserve">AWS </t>
    </r>
    <r>
      <rPr>
        <b val="true"/>
        <sz val="10"/>
        <rFont val="Noto Sans CJK SC"/>
        <family val="2"/>
      </rPr>
      <t xml:space="preserve">牌價）</t>
    </r>
  </si>
  <si>
    <r>
      <rPr>
        <sz val="9"/>
        <color rgb="FF595959"/>
        <rFont val="Noto Sans CJK SC"/>
        <family val="2"/>
      </rPr>
      <t xml:space="preserve">價格軸與容量軸（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區情境）分離；三容量情境預設都用基準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 × 3 </t>
    </r>
    <r>
      <rPr>
        <sz val="9"/>
        <color rgb="FF595959"/>
        <rFont val="Noto Sans CJK SC"/>
        <family val="2"/>
      </rPr>
      <t xml:space="preserve">目標價矩陣見「評價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與目標價」（對照表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</si>
  <si>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Noto Sans CJK SC"/>
        <family val="2"/>
      </rPr>
      <t xml:space="preserve">組成（價格軸）</t>
    </r>
  </si>
  <si>
    <t xml:space="preserve">低</t>
  </si>
  <si>
    <t xml:space="preserve">基準</t>
  </si>
  <si>
    <t xml:space="preserve">高</t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</si>
  <si>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｜長約</t>
    </r>
  </si>
  <si>
    <t xml:space="preserve">倍</t>
  </si>
  <si>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 Trainium 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）–</t>
    </r>
    <r>
      <rPr>
        <sz val="9"/>
        <color rgb="FF595959"/>
        <rFont val="Arial"/>
        <family val="0"/>
        <charset val="1"/>
      </rPr>
      <t xml:space="preserve">0.84</t>
    </r>
    <r>
      <rPr>
        <sz val="9"/>
        <color rgb="FF595959"/>
        <rFont val="Noto Sans CJK SC"/>
        <family val="2"/>
      </rPr>
      <t xml:space="preserve">（設施）、</t>
    </r>
    <r>
      <rPr>
        <sz val="9"/>
        <color rgb="FF595959"/>
        <rFont val="Arial"/>
        <family val="0"/>
        <charset val="1"/>
      </rPr>
      <t xml:space="preserve">OpenAI NVIDIA 30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0.82 →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；低＝長約區間下緣 </t>
    </r>
    <r>
      <rPr>
        <sz val="9"/>
        <color rgb="FF595959"/>
        <rFont val="Arial"/>
        <family val="0"/>
        <charset val="1"/>
      </rPr>
      <t xml:space="preserve">0.55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0.22–0.45 </t>
    </r>
    <r>
      <rPr>
        <sz val="9"/>
        <color rgb="FF595959"/>
        <rFont val="Noto Sans CJK SC"/>
        <family val="2"/>
      </rPr>
      <t xml:space="preserve">只作對照）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kevidence longContracts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</si>
  <si>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｜現貨</t>
    </r>
  </si>
  <si>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1.76</t>
    </r>
    <r>
      <rPr>
        <sz val="9"/>
        <color rgb="FF595959"/>
        <rFont val="Noto Sans CJK SC"/>
        <family val="2"/>
      </rPr>
      <t xml:space="preserve">＝與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同一市場現貨指數（對照表 </t>
    </r>
    <r>
      <rPr>
        <sz val="9"/>
        <color rgb="FF595959"/>
        <rFont val="Arial"/>
        <family val="0"/>
        <charset val="1"/>
      </rPr>
      <t xml:space="preserve">r1 C1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牌價換算（</t>
    </r>
    <r>
      <rPr>
        <sz val="9"/>
        <color rgb="FF595959"/>
        <rFont val="Arial"/>
        <family val="0"/>
        <charset val="1"/>
      </rPr>
      <t xml:space="preserve">p5.48xlarge </t>
    </r>
    <r>
      <rPr>
        <sz val="9"/>
        <color rgb="FF595959"/>
        <rFont val="Noto Sans CJK SC"/>
        <family val="2"/>
      </rPr>
      <t xml:space="preserve">隨需 </t>
    </r>
    <r>
      <rPr>
        <sz val="9"/>
        <color rgb="FF595959"/>
        <rFont val="Arial"/>
        <family val="0"/>
        <charset val="1"/>
      </rPr>
      <t xml:space="preserve">6.88 ÷ IF_GPUhrEcon H100 1.605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4.29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kevidence price.p5.od</t>
    </r>
    <r>
      <rPr>
        <sz val="9"/>
        <color rgb="FF595959"/>
        <rFont val="Noto Sans CJK SC"/>
        <family val="2"/>
      </rPr>
      <t xml:space="preserve">）</t>
    </r>
  </si>
  <si>
    <t xml:space="preserve">長約占比</t>
  </si>
  <si>
    <r>
      <rPr>
        <sz val="9"/>
        <color rgb="FF595959"/>
        <rFont val="Noto Sans CJK SC"/>
        <family val="2"/>
      </rPr>
      <t xml:space="preserve">長約占比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 Trainium2 </t>
    </r>
    <r>
      <rPr>
        <sz val="9"/>
        <color rgb="FF595959"/>
        <rFont val="Noto Sans CJK SC"/>
        <family val="2"/>
      </rPr>
      <t xml:space="preserve">三站＋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兩筆占對外容量多數；</t>
    </r>
    <r>
      <rPr>
        <sz val="9"/>
        <color rgb="FF595959"/>
        <rFont val="Arial"/>
        <family val="0"/>
        <charset val="1"/>
      </rPr>
      <t xml:space="preserve">70%–90% [Assumed]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</si>
  <si>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混合 </t>
    </r>
    <r>
      <rPr>
        <sz val="10"/>
        <rFont val="Arial"/>
        <family val="0"/>
        <charset val="1"/>
      </rPr>
      <t xml:space="preserve">k</t>
    </r>
  </si>
  <si>
    <r>
      <rPr>
        <sz val="9"/>
        <color rgb="FF595959"/>
        <rFont val="Noto Sans CJK SC"/>
        <family val="2"/>
      </rPr>
      <t xml:space="preserve">＝長約占比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長約＋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) × k_</t>
    </r>
    <r>
      <rPr>
        <sz val="9"/>
        <color rgb="FF595959"/>
        <rFont val="Noto Sans CJK SC"/>
        <family val="2"/>
      </rPr>
      <t xml:space="preserve">現貨</t>
    </r>
  </si>
  <si>
    <r>
      <rPr>
        <sz val="10"/>
        <rFont val="Noto Sans CJK SC"/>
        <family val="2"/>
      </rPr>
      <t xml:space="preserve">採用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（依價格軸）</t>
    </r>
  </si>
  <si>
    <t xml:space="preserve">＝依上方價格軸選擇</t>
  </si>
  <si>
    <t xml:space="preserve">自研晶片持有成本係數</t>
  </si>
  <si>
    <r>
      <rPr>
        <sz val="9"/>
        <color rgb="FF595959"/>
        <rFont val="Noto Sans CJK SC"/>
        <family val="2"/>
      </rPr>
      <t xml:space="preserve">自研晶片（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Noto Sans CJK SC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錨＝同期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IF_HoldEcon ×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Trainium2 →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 → GB300</t>
    </r>
    <r>
      <rPr>
        <sz val="9"/>
        <color rgb="FF595959"/>
        <rFont val="Noto Sans CJK SC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× 0.7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具名範圍（</t>
    </r>
    <r>
      <rPr>
        <sz val="9"/>
        <color rgb="FF595959"/>
        <rFont val="Arial"/>
        <family val="0"/>
        <charset val="1"/>
      </rPr>
      <t xml:space="preserve">IF_NonNVRatio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IF_NonNVCostRatio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missing</t>
    </r>
    <r>
      <rPr>
        <sz val="9"/>
        <color rgb="FF595959"/>
        <rFont val="Noto Sans CJK SC"/>
        <family val="2"/>
      </rPr>
      <t xml:space="preserve">），已列缺口回報。</t>
    </r>
  </si>
  <si>
    <r>
      <rPr>
        <sz val="10"/>
        <rFont val="Noto Sans CJK SC"/>
        <family val="2"/>
      </rPr>
      <t xml:space="preserve">自研晶片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資本支出係數</t>
    </r>
  </si>
  <si>
    <r>
      <rPr>
        <sz val="9"/>
        <color rgb="FF595959"/>
        <rFont val="Noto Sans CJK SC"/>
        <family val="2"/>
      </rPr>
      <t xml:space="preserve">自研晶片每 </t>
    </r>
    <r>
      <rPr>
        <sz val="9"/>
        <color rgb="FF595959"/>
        <rFont val="Arial"/>
        <family val="0"/>
        <charset val="1"/>
      </rPr>
      <t xml:space="preserve">MW IT </t>
    </r>
    <r>
      <rPr>
        <sz val="9"/>
        <color rgb="FF595959"/>
        <rFont val="Noto Sans CJK SC"/>
        <family val="2"/>
      </rPr>
      <t xml:space="preserve">資本支出係數：預設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Trainium </t>
    </r>
    <r>
      <rPr>
        <sz val="9"/>
        <color rgb="FF595959"/>
        <rFont val="Noto Sans CJK SC"/>
        <family val="2"/>
      </rPr>
      <t xml:space="preserve">的資本支出以同期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TK_CapexIT </t>
    </r>
    <r>
      <rPr>
        <sz val="9"/>
        <color rgb="FF595959"/>
        <rFont val="Noto Sans CJK SC"/>
        <family val="2"/>
      </rPr>
      <t xml:space="preserve">計）；雙邊敏感度時與 </t>
    </r>
    <r>
      <rPr>
        <sz val="9"/>
        <color rgb="FF595959"/>
        <rFont val="Arial"/>
        <family val="0"/>
        <charset val="1"/>
      </rPr>
      <t xml:space="preserve">customFactor </t>
    </r>
    <r>
      <rPr>
        <sz val="9"/>
        <color rgb="FF595959"/>
        <rFont val="Noto Sans CJK SC"/>
        <family val="2"/>
      </rPr>
      <t xml:space="preserve">同乘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（收入錨與資本支出同降）；機房成本不變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</si>
  <si>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上限檢查門檻（每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參考付費營收）</t>
    </r>
  </si>
  <si>
    <r>
      <rPr>
        <sz val="9"/>
        <color rgb="FF595959"/>
        <rFont val="Noto Sans CJK SC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</si>
  <si>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</si>
  <si>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t xml:space="preserve">US$m/MW</t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</si>
  <si>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</si>
  <si>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</si>
  <si>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</si>
  <si>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</si>
  <si>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</si>
  <si>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</si>
  <si>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</si>
  <si>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｜期初在役占比</t>
    </r>
  </si>
  <si>
    <r>
      <rPr>
        <sz val="9"/>
        <color rgb="FF595959"/>
        <rFont val="Noto Sans CJK SC"/>
        <family val="2"/>
      </rPr>
      <t xml:space="preserve">期初在役（評價日）：</t>
    </r>
    <r>
      <rPr>
        <sz val="9"/>
        <color rgb="FF595959"/>
        <rFont val="Arial"/>
        <family val="0"/>
        <charset val="1"/>
      </rPr>
      <t xml:space="preserve">Trainium2 55%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）。新增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：自研與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各半（</t>
    </r>
    <r>
      <rPr>
        <sz val="9"/>
        <color rgb="FF595959"/>
        <rFont val="Arial"/>
        <family val="0"/>
        <charset val="1"/>
      </rPr>
      <t xml:space="preserve">Trainium3 2026 </t>
    </r>
    <r>
      <rPr>
        <sz val="9"/>
        <color rgb="FF595959"/>
        <rFont val="Noto Sans CJK SC"/>
        <family val="2"/>
      </rPr>
      <t xml:space="preserve">年初出貨且「接近全數認購」；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部署 </t>
    </r>
    <r>
      <rPr>
        <sz val="9"/>
        <color rgb="FF595959"/>
        <rFont val="Arial"/>
        <family val="0"/>
        <charset val="1"/>
      </rPr>
      <t xml:space="preserve">&gt;100 </t>
    </r>
    <r>
      <rPr>
        <sz val="9"/>
        <color rgb="FF595959"/>
        <rFont val="Noto Sans CJK SC"/>
        <family val="2"/>
      </rPr>
      <t xml:space="preserve">萬顆、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追加 </t>
    </r>
    <r>
      <rPr>
        <sz val="9"/>
        <color rgb="FF595959"/>
        <rFont val="Arial"/>
        <family val="0"/>
        <charset val="1"/>
      </rPr>
      <t xml:space="preserve">200 </t>
    </r>
    <r>
      <rPr>
        <sz val="9"/>
        <color rgb="FF595959"/>
        <rFont val="Noto Sans CJK SC"/>
        <family val="2"/>
      </rPr>
      <t xml:space="preserve">萬顆於 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Noto Sans CJK SC"/>
        <family val="2"/>
      </rPr>
      <t xml:space="preserve">交付）；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部分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各半、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VR200 [Assumed]</t>
    </r>
    <r>
      <rPr>
        <sz val="9"/>
        <color rgb="FF595959"/>
        <rFont val="Noto Sans CJK SC"/>
        <family val="2"/>
      </rPr>
      <t xml:space="preserve">。在役占比＝各世代累計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（不建模退役後的世代替換）。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</si>
  <si>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</si>
  <si>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各期新增在役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的世代組合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</si>
  <si>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</si>
  <si>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＝前期＋本期新增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新增占比（首期＝評價日在役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期初占比＋新增）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</si>
  <si>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</si>
  <si>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</si>
  <si>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</si>
  <si>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</si>
  <si>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</si>
  <si>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）｜期初在役占比</t>
    </r>
  </si>
  <si>
    <r>
      <rPr>
        <sz val="9"/>
        <color rgb="FF595959"/>
        <rFont val="Noto Sans CJK SC"/>
        <family val="2"/>
      </rPr>
      <t xml:space="preserve">見第一個世代的說明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</si>
  <si>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</si>
  <si>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</si>
  <si>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</si>
  <si>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</si>
  <si>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</si>
  <si>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</si>
  <si>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</si>
  <si>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</si>
  <si>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</si>
  <si>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</si>
  <si>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</si>
  <si>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</si>
  <si>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</si>
  <si>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</si>
  <si>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</si>
  <si>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</si>
  <si>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</si>
  <si>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</si>
  <si>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</si>
  <si>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</si>
  <si>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</si>
  <si>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</si>
  <si>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</si>
  <si>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</si>
  <si>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</si>
  <si>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</si>
  <si>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</si>
  <si>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</si>
  <si>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</si>
  <si>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</si>
  <si>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</si>
  <si>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</si>
  <si>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</si>
  <si>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</si>
  <si>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</si>
  <si>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</si>
  <si>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</si>
  <si>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</si>
  <si>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</si>
  <si>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</si>
  <si>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</si>
  <si>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</si>
  <si>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</si>
  <si>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合計（世代加總）</t>
    </r>
  </si>
  <si>
    <r>
      <rPr>
        <sz val="9"/>
        <color rgb="FF595959"/>
        <rFont val="Noto Sans CJK SC"/>
        <family val="2"/>
      </rPr>
      <t xml:space="preserve">應＝</t>
    </r>
    <r>
      <rPr>
        <sz val="9"/>
        <color rgb="FF595959"/>
        <rFont val="Arial"/>
        <family val="0"/>
        <charset val="1"/>
      </rPr>
      <t xml:space="preserve">Accepted MW</t>
    </r>
    <r>
      <rPr>
        <sz val="9"/>
        <color rgb="FF595959"/>
        <rFont val="Noto Sans CJK SC"/>
        <family val="2"/>
      </rPr>
      <t xml:space="preserve">（核對見檢查頁）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</si>
  <si>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</si>
  <si>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</si>
  <si>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</si>
  <si>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率的成本端）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</si>
  <si>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</si>
  <si>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IFW_RevGWFleet_Util 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</si>
  <si>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</si>
  <si>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Noto Sans CJK SC"/>
        <family val="2"/>
      </rPr>
      <t xml:space="preserve">上限檢查：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示警門檻時示警（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營收的比例偏高）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</si>
  <si>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</si>
  <si>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IFW_RevGWFleet_Prod ÷ </t>
    </r>
    <r>
      <rPr>
        <sz val="9"/>
        <color rgb="FF595959"/>
        <rFont val="Noto Sans CJK SC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</si>
  <si>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</si>
  <si>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Noto Sans CJK SC"/>
        <family val="2"/>
      </rPr>
      <t xml:space="preserve">硬上限：</t>
    </r>
    <r>
      <rPr>
        <sz val="9"/>
        <color rgb="FF595959"/>
        <rFont val="Arial"/>
        <family val="0"/>
        <charset val="1"/>
      </rPr>
      <t xml:space="preserve">&gt; 100% </t>
    </r>
    <r>
      <rPr>
        <sz val="9"/>
        <color rgb="FF595959"/>
        <rFont val="Noto Sans CJK SC"/>
        <family val="2"/>
      </rPr>
      <t xml:space="preserve">時檢查頁標紅（每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收入高於客戶在生產條件下可產生的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營收）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</si>
  <si>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Noto Sans CJK SC"/>
        <family val="2"/>
      </rPr>
      <t xml:space="preserve">｜非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事業（</t>
    </r>
    <r>
      <rPr>
        <b val="true"/>
        <sz val="10"/>
        <color rgb="FF1F3864"/>
        <rFont val="Arial"/>
        <family val="0"/>
        <charset val="1"/>
      </rPr>
      <t xml:space="preserve">N </t>
    </r>
    <r>
      <rPr>
        <b val="true"/>
        <sz val="10"/>
        <color rgb="FF1F3864"/>
        <rFont val="Noto Sans CJK SC"/>
        <family val="2"/>
      </rPr>
      <t xml:space="preserve">線：</t>
    </r>
    <r>
      <rPr>
        <b val="true"/>
        <sz val="10"/>
        <color rgb="FF1F3864"/>
        <rFont val="Arial"/>
        <family val="0"/>
        <charset val="1"/>
      </rPr>
      <t xml:space="preserve">growth</t>
    </r>
    <r>
      <rPr>
        <b val="true"/>
        <sz val="10"/>
        <color rgb="FF1F3864"/>
        <rFont val="Noto Sans CJK SC"/>
        <family val="2"/>
      </rPr>
      <t xml:space="preserve">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Noto Sans CJK SC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Noto Sans CJK SC"/>
        <family val="2"/>
      </rPr>
      <t xml:space="preserve">；</t>
    </r>
    <r>
      <rPr>
        <b val="true"/>
        <sz val="10"/>
        <color rgb="FF1F3864"/>
        <rFont val="Arial"/>
        <family val="0"/>
        <charset val="1"/>
      </rPr>
      <t xml:space="preserve">cloudResidual</t>
    </r>
    <r>
      <rPr>
        <b val="true"/>
        <sz val="10"/>
        <color rgb="FF1F3864"/>
        <rFont val="Noto Sans CJK SC"/>
        <family val="2"/>
      </rPr>
      <t xml:space="preserve">＝雲端分部 − 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雲端；</t>
    </r>
    <r>
      <rPr>
        <b val="true"/>
        <sz val="10"/>
        <color rgb="FF1F3864"/>
        <rFont val="Arial"/>
        <family val="0"/>
        <charset val="1"/>
      </rPr>
      <t xml:space="preserve">explicit</t>
    </r>
    <r>
      <rPr>
        <b val="true"/>
        <sz val="10"/>
        <color rgb="FF1F3864"/>
        <rFont val="Noto Sans CJK SC"/>
        <family val="2"/>
      </rPr>
      <t xml:space="preserve">＝直接輸入；</t>
    </r>
    <r>
      <rPr>
        <b val="true"/>
        <sz val="10"/>
        <color rgb="FF1F3864"/>
        <rFont val="Arial"/>
        <family val="0"/>
        <charset val="1"/>
      </rPr>
      <t xml:space="preserve">2026 </t>
    </r>
    <r>
      <rPr>
        <b val="true"/>
        <sz val="10"/>
        <color rgb="FF1F3864"/>
        <rFont val="Noto Sans CJK SC"/>
        <family val="2"/>
      </rPr>
      <t xml:space="preserve">模型期＝全年 − </t>
    </r>
    <r>
      <rPr>
        <b val="true"/>
        <sz val="10"/>
        <color rgb="FF1F3864"/>
        <rFont val="Arial"/>
        <family val="0"/>
        <charset val="1"/>
      </rPr>
      <t xml:space="preserve">1H </t>
    </r>
    <r>
      <rPr>
        <b val="true"/>
        <sz val="10"/>
        <color rgb="FF1F3864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</si>
  <si>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雲端營收（模型期，引自運營頁）</t>
    </r>
  </si>
  <si>
    <r>
      <rPr>
        <sz val="9"/>
        <color rgb="FF595959"/>
        <rFont val="Noto Sans CJK SC"/>
        <family val="2"/>
      </rPr>
      <t xml:space="preserve">＝『運營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產能與收入』損益用算力收入（非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雲端殘差用）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</si>
  <si>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年收入（含倍數與利用率）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</si>
  <si>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雲端殘差的年初至今與近四季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營收估計用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</si>
  <si>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</si>
  <si>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率同式；非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率殘差用）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</si>
  <si>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事業｜北美零售｜上一財年實際</t>
    </r>
  </si>
  <si>
    <r>
      <rPr>
        <sz val="9"/>
        <color rgb="FF595959"/>
        <rFont val="Noto Sans CJK SC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</si>
  <si>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</si>
  <si>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</si>
  <si>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事業｜北美零售｜起始年增率</t>
    </r>
  </si>
  <si>
    <r>
      <rPr>
        <sz val="9"/>
        <color rgb="FF595959"/>
        <rFont val="Noto Sans CJK SC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</si>
  <si>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</si>
  <si>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近四季（分部營業利益＋放大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</si>
  <si>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事業｜北美零售｜長期年增率</t>
    </r>
  </si>
  <si>
    <r>
      <rPr>
        <sz val="9"/>
        <color rgb="FF595959"/>
        <rFont val="Noto Sans CJK SC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</si>
  <si>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</si>
  <si>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2023–2025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</si>
  <si>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事業｜北美零售｜其他攤銷占營收</t>
    </r>
  </si>
  <si>
    <r>
      <rPr>
        <sz val="9"/>
        <color rgb="FF595959"/>
        <rFont val="Noto Sans CJK SC"/>
        <family val="2"/>
      </rPr>
      <t xml:space="preserve">影音內容、營業租賃資產等攤銷（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Noto Sans CJK SC"/>
        <family val="2"/>
      </rPr>
      <t xml:space="preserve">放大部分）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營收：進損益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、自營運現金扣除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</si>
  <si>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事業｜北美零售｜資本支出強度（占全年營收）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</si>
  <si>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資本支出＝全年營收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此比例（</t>
    </r>
    <r>
      <rPr>
        <sz val="9"/>
        <color rgb="FF595959"/>
        <rFont val="Arial"/>
        <family val="0"/>
        <charset val="1"/>
      </rPr>
      <t xml:space="preserve">company.json → legacyBiz.lines.cx</t>
    </r>
    <r>
      <rPr>
        <sz val="9"/>
        <color rgb="FF595959"/>
        <rFont val="Noto Sans CJK SC"/>
        <family val="2"/>
      </rPr>
      <t xml:space="preserve">；說明見 </t>
    </r>
    <r>
      <rPr>
        <sz val="9"/>
        <color rgb="FF595959"/>
        <rFont val="Arial"/>
        <family val="0"/>
        <charset val="1"/>
      </rPr>
      <t xml:space="preserve">legacyBiz.cxNote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</si>
  <si>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事業｜北美零售｜年增率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</si>
  <si>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</si>
  <si>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事業｜北美零售｜全年營收</t>
    </r>
  </si>
  <si>
    <r>
      <rPr>
        <sz val="9"/>
        <color rgb="FF595959"/>
        <rFont val="Noto Sans CJK SC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</si>
  <si>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事業｜北美零售｜模型期營收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</si>
  <si>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＝全年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</si>
  <si>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</si>
  <si>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</si>
  <si>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</si>
  <si>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事業｜北美零售｜其他攤銷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</si>
  <si>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</si>
  <si>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</si>
  <si>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</si>
  <si>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</si>
  <si>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</si>
  <si>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</si>
  <si>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</si>
  <si>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</si>
  <si>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</si>
  <si>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</si>
  <si>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</si>
  <si>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</si>
  <si>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</si>
  <si>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</si>
  <si>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</si>
  <si>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</si>
  <si>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</si>
  <si>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</si>
  <si>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</si>
  <si>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分部未揭露廣告利潤率：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40%–60%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</si>
  <si>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</si>
  <si>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</si>
  <si>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＝起始（固定）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</si>
  <si>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</si>
  <si>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</si>
  <si>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</si>
  <si>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</si>
  <si>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</si>
  <si>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</si>
  <si>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</si>
  <si>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</si>
  <si>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</si>
  <si>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</si>
  <si>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</si>
  <si>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</si>
  <si>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分部未揭露訂閱利潤率：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0%–20%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</si>
  <si>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</si>
  <si>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</si>
  <si>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</si>
  <si>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</si>
  <si>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</si>
  <si>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</si>
  <si>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</si>
  <si>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</si>
  <si>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</si>
  <si>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</si>
  <si>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</si>
  <si>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雲端分部年初至今實際營收（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</si>
  <si>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雲端｜分部去年同期實際（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</si>
  <si>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去年同期（首期模型部分對應季度）實際營收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</si>
  <si>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雲端｜分部近四季年增率</t>
    </r>
  </si>
  <si>
    <r>
      <rPr>
        <sz val="9"/>
        <color rgb="FF595959"/>
        <rFont val="Noto Sans CJK SC"/>
        <family val="2"/>
      </rPr>
      <t xml:space="preserve">近四季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前四季 − </t>
    </r>
    <r>
      <rPr>
        <sz val="9"/>
        <color rgb="FF595959"/>
        <rFont val="Arial"/>
        <family val="0"/>
        <charset val="1"/>
      </rPr>
      <t xml:space="preserve">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</si>
  <si>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雲端｜分部近四季營收</t>
    </r>
  </si>
  <si>
    <t xml:space="preserve">[Interested-party]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</si>
  <si>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雲端｜分部前四季營收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</si>
  <si>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</si>
  <si>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</t>
    </r>
    <r>
      <rPr>
        <sz val="9"/>
        <color rgb="FF595959"/>
        <rFont val="Noto Sans CJK SC"/>
        <family val="2"/>
      </rPr>
      <t xml:space="preserve">放大倍數（對照表 </t>
    </r>
    <r>
      <rPr>
        <sz val="9"/>
        <color rgb="FF595959"/>
        <rFont val="Arial"/>
        <family val="0"/>
        <charset val="1"/>
      </rPr>
      <t xml:space="preserve">r1 C5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</si>
  <si>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</si>
  <si>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內插（</t>
    </r>
    <r>
      <rPr>
        <sz val="9"/>
        <color rgb="FF595959"/>
        <rFont val="Arial"/>
        <family val="0"/>
        <charset val="1"/>
      </rPr>
      <t xml:space="preserve">company.json → 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billableOpen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</si>
  <si>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</si>
  <si>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</si>
  <si>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1H </t>
    </r>
    <r>
      <rPr>
        <sz val="10"/>
        <rFont val="Noto Sans CJK SC"/>
        <family val="2"/>
      </rPr>
      <t xml:space="preserve">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</si>
  <si>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(</t>
    </r>
    <r>
      <rPr>
        <sz val="9"/>
        <color rgb="FF595959"/>
        <rFont val="Noto Sans CJK SC"/>
        <family val="2"/>
      </rPr>
      <t xml:space="preserve">期初年底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＋評價日 </t>
    </r>
    <r>
      <rPr>
        <sz val="9"/>
        <color rgb="FF595959"/>
        <rFont val="Arial"/>
        <family val="0"/>
        <charset val="1"/>
      </rPr>
      <t xml:space="preserve">MW) ÷ 2 × </t>
    </r>
    <r>
      <rPr>
        <sz val="9"/>
        <color rgb="FF595959"/>
        <rFont val="Noto Sans CJK SC"/>
        <family val="2"/>
      </rPr>
      <t xml:space="preserve">年初至今年數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</si>
  <si>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</si>
  <si>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近四季平均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</si>
  <si>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前四季營收估計</t>
    </r>
  </si>
  <si>
    <r>
      <rPr>
        <sz val="9"/>
        <color rgb="FF595959"/>
        <rFont val="Noto Sans CJK SC"/>
        <family val="2"/>
      </rPr>
      <t xml:space="preserve">同上（前四季）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</si>
  <si>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雲端｜起始年增率</t>
    </r>
  </si>
  <si>
    <r>
      <rPr>
        <sz val="9"/>
        <color rgb="FF595959"/>
        <rFont val="Noto Sans CJK SC"/>
        <family val="2"/>
      </rPr>
      <t xml:space="preserve">推估的近四季非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年增率＝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 ÷ (</t>
    </r>
    <r>
      <rPr>
        <sz val="9"/>
        <color rgb="FF595959"/>
        <rFont val="Noto Sans CJK SC"/>
        <family val="2"/>
      </rPr>
      <t xml:space="preserve">前四季分部 − 前四季 </t>
    </r>
    <r>
      <rPr>
        <sz val="9"/>
        <color rgb="FF595959"/>
        <rFont val="Arial"/>
        <family val="0"/>
        <charset val="1"/>
      </rPr>
      <t xml:space="preserve">AI) − 1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</si>
  <si>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</si>
  <si>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＝分部年初至今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</si>
  <si>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</si>
  <si>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AI EBITDA </t>
    </r>
    <r>
      <rPr>
        <sz val="9"/>
        <color rgb="FF595959"/>
        <rFont val="Noto Sans CJK SC"/>
        <family val="2"/>
      </rPr>
      <t xml:space="preserve">率</t>
    </r>
    <r>
      <rPr>
        <sz val="9"/>
        <color rgb="FF595959"/>
        <rFont val="Arial"/>
        <family val="0"/>
        <charset val="1"/>
      </rPr>
      <t xml:space="preserve">) ÷ 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</t>
    </r>
    <r>
      <rPr>
        <sz val="9"/>
        <color rgb="FF595959"/>
        <rFont val="Noto Sans CJK SC"/>
        <family val="2"/>
      </rPr>
      <t xml:space="preserve">，近四季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</si>
  <si>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</si>
  <si>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</si>
  <si>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</si>
  <si>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</si>
  <si>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</si>
  <si>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雲端｜全年營收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</si>
  <si>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＝分部首期估計（</t>
    </r>
    <r>
      <rPr>
        <sz val="9"/>
        <color rgb="FF595959"/>
        <rFont val="Arial"/>
        <family val="0"/>
        <charset val="1"/>
      </rPr>
      <t xml:space="preserve">1H</t>
    </r>
    <r>
      <rPr>
        <sz val="9"/>
        <color rgb="FF595959"/>
        <rFont val="Noto Sans CJK SC"/>
        <family val="2"/>
      </rPr>
      <t xml:space="preserve">＋去年同期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＋近四季年增率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AI 1H </t>
    </r>
    <r>
      <rPr>
        <sz val="9"/>
        <color rgb="FF595959"/>
        <rFont val="Noto Sans CJK SC"/>
        <family val="2"/>
      </rPr>
      <t xml:space="preserve">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模型期營收；之後＝前一年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</si>
  <si>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</si>
  <si>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</si>
  <si>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</si>
  <si>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</si>
  <si>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事業營收（模型期）</t>
    </r>
  </si>
  <si>
    <t xml:space="preserve">各線合計（下游引用此列）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</si>
  <si>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</si>
  <si>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各線合計；同時進入損益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與營運來源（扣其他攤銷；現金稅另列）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</si>
  <si>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事業其他攤銷（模型期）</t>
    </r>
  </si>
  <si>
    <r>
      <rPr>
        <sz val="9"/>
        <color rgb="FF595959"/>
        <rFont val="Noto Sans CJK SC"/>
        <family val="2"/>
      </rPr>
      <t xml:space="preserve">各線合計；進損益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，自營運來源扣除（視為等額現金支出）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</si>
  <si>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</si>
  <si>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1.512) ÷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Noto Sans CJK SC"/>
        <family val="2"/>
      </rPr>
      <t xml:space="preserve">放大分攤；近四季 </t>
    </r>
    <r>
      <rPr>
        <sz val="9"/>
        <color rgb="FF595959"/>
        <rFont val="Arial"/>
        <family val="0"/>
        <charset val="1"/>
      </rPr>
      <t xml:space="preserve">m0 → 2023–2025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mLT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雲端＝殘差（</t>
    </r>
    <r>
      <rPr>
        <sz val="9"/>
        <color rgb="FF595959"/>
        <rFont val="Arial"/>
        <family val="0"/>
        <charset val="1"/>
      </rPr>
      <t xml:space="preserve">AWS EBITDA − 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估計），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</si>
  <si>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核對（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＋模型期 − 全年）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</si>
  <si>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</si>
  <si>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</si>
  <si>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</si>
  <si>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1 − Tokenomics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</si>
  <si>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</si>
  <si>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</si>
  <si>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</si>
  <si>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年營運成本（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年收入（含倍數）；未扣租金（租金另列現金支出）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</si>
  <si>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</si>
  <si>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</si>
  <si>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</si>
  <si>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</si>
  <si>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</si>
  <si>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</si>
  <si>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</si>
  <si>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</si>
  <si>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</si>
  <si>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</si>
  <si>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</si>
  <si>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</si>
  <si>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</si>
  <si>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</si>
  <si>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</si>
  <si>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</si>
  <si>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全年指引下緣（法說會二手逐字稿（</t>
    </r>
    <r>
      <rPr>
        <sz val="9"/>
        <color rgb="FF595959"/>
        <rFont val="Arial"/>
        <family val="0"/>
        <charset val="1"/>
      </rPr>
      <t xml:space="preserve">2026-07-30</t>
    </r>
    <r>
      <rPr>
        <sz val="9"/>
        <color rgb="FF595959"/>
        <rFont val="Noto Sans CJK SC"/>
        <family val="2"/>
      </rPr>
      <t xml:space="preserve">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</si>
  <si>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</si>
  <si>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Arial"/>
        <family val="0"/>
        <charset val="1"/>
      </rPr>
      <t xml:space="preserve">Tokenomics IF_DeprLifeIT 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tk.IF_DeprLifeIT</t>
    </r>
    <r>
      <rPr>
        <sz val="9"/>
        <color rgb="FF595959"/>
        <rFont val="Noto Sans CJK SC"/>
        <family val="2"/>
      </rPr>
      <t xml:space="preserve">）；管理層口述伺服器 </t>
    </r>
    <r>
      <rPr>
        <sz val="9"/>
        <color rgb="FF595959"/>
        <rFont val="Arial"/>
        <family val="0"/>
        <charset val="1"/>
      </rPr>
      <t xml:space="preserve">5–6 </t>
    </r>
    <r>
      <rPr>
        <sz val="9"/>
        <color rgb="FF595959"/>
        <rFont val="Noto Sans CJK SC"/>
        <family val="2"/>
      </rPr>
      <t xml:space="preserve">年（事實總帳 </t>
    </r>
    <r>
      <rPr>
        <sz val="9"/>
        <color rgb="FF595959"/>
        <rFont val="Arial"/>
        <family val="0"/>
        <charset val="1"/>
      </rPr>
      <t xml:space="preserve">guide.server.life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</si>
  <si>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</si>
  <si>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占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70%–90%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mw.ai.extShare</t>
    </r>
    <r>
      <rPr>
        <sz val="9"/>
        <color rgb="FF595959"/>
        <rFont val="Noto Sans CJK SC"/>
        <family val="2"/>
      </rPr>
      <t xml:space="preserve">）：自用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Alexa+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Rufus</t>
    </r>
    <r>
      <rPr>
        <sz val="9"/>
        <color rgb="FF595959"/>
        <rFont val="Noto Sans CJK SC"/>
        <family val="2"/>
      </rPr>
      <t xml:space="preserve">、內部模型）同樣需要資本支出，影子收入只作對照</t>
    </r>
  </si>
  <si>
    <t xml:space="preserve">自建機房比例</t>
  </si>
  <si>
    <r>
      <rPr>
        <sz val="9"/>
        <color rgb="FF595959"/>
        <rFont val="Noto Sans CJK SC"/>
        <family val="2"/>
      </rPr>
      <t xml:space="preserve">自建機房比例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（第三方託管約占運算力 </t>
    </r>
    <r>
      <rPr>
        <sz val="9"/>
        <color rgb="FF595959"/>
        <rFont val="Arial"/>
        <family val="0"/>
        <charset val="1"/>
      </rPr>
      <t xml:space="preserve">1/5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Noto Sans CJK SC"/>
        <family val="2"/>
      </rPr>
      <t xml:space="preserve">內部文件轉述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）；租用部分不計機房資本支出（租金由未起租租賃承擔）</t>
    </r>
  </si>
  <si>
    <r>
      <rPr>
        <sz val="10"/>
        <rFont val="Noto Sans CJK SC"/>
        <family val="2"/>
      </rPr>
      <t xml:space="preserve">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年化（最新季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</si>
  <si>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最新季（</t>
    </r>
    <r>
      <rPr>
        <sz val="9"/>
        <color rgb="FF595959"/>
        <rFont val="Arial"/>
        <family val="0"/>
        <charset val="1"/>
      </rPr>
      <t xml:space="preserve">2026Q2</t>
    </r>
    <r>
      <rPr>
        <sz val="9"/>
        <color rgb="FF595959"/>
        <rFont val="Noto Sans CJK SC"/>
        <family val="2"/>
      </rPr>
      <t xml:space="preserve">）分部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（不動產與設備）北美 </t>
    </r>
    <r>
      <rPr>
        <sz val="9"/>
        <color rgb="FF595959"/>
        <rFont val="Arial"/>
        <family val="0"/>
        <charset val="1"/>
      </rPr>
      <t xml:space="preserve">4.500</t>
    </r>
    <r>
      <rPr>
        <sz val="9"/>
        <color rgb="FF595959"/>
        <rFont val="Noto Sans CJK SC"/>
        <family val="2"/>
      </rPr>
      <t xml:space="preserve">＋國際 </t>
    </r>
    <r>
      <rPr>
        <sz val="9"/>
        <color rgb="FF595959"/>
        <rFont val="Arial"/>
        <family val="0"/>
        <charset val="1"/>
      </rPr>
      <t xml:space="preserve">1.293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AWS 8.076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13.869 ×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附註分部資訊；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）：校準非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</si>
  <si>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</si>
  <si>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（早期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Trainium1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；只用於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汰換批次）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</si>
  <si>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</si>
  <si>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360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Omdia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採購 </t>
    </r>
    <r>
      <rPr>
        <sz val="9"/>
        <color rgb="FF595959"/>
        <rFont val="Arial"/>
        <family val="0"/>
        <charset val="1"/>
      </rPr>
      <t xml:space="preserve">Hopper 19.6 </t>
    </r>
    <r>
      <rPr>
        <sz val="9"/>
        <color rgb="FF595959"/>
        <rFont val="Noto Sans CJK SC"/>
        <family val="2"/>
      </rPr>
      <t xml:space="preserve">萬顆 ≈ </t>
    </r>
    <r>
      <rPr>
        <sz val="9"/>
        <color rgb="FF595959"/>
        <rFont val="Arial"/>
        <family val="0"/>
        <charset val="1"/>
      </rPr>
      <t xml:space="preserve">273 MW-IT </t>
    </r>
    <r>
      <rPr>
        <sz val="9"/>
        <color rgb="FF595959"/>
        <rFont val="Noto Sans CJK SC"/>
        <family val="2"/>
      </rPr>
      <t xml:space="preserve">加既有，</t>
    </r>
    <r>
      <rPr>
        <sz val="9"/>
        <color rgb="FF595959"/>
        <rFont val="Arial"/>
        <family val="0"/>
        <charset val="1"/>
      </rPr>
      <t xml:space="preserve">× 80%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</si>
  <si>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基礎</t>
    </r>
  </si>
  <si>
    <r>
      <rPr>
        <sz val="9"/>
        <color rgb="FF595959"/>
        <rFont val="Noto Sans CJK SC"/>
        <family val="2"/>
      </rPr>
      <t xml:space="preserve">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446.0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AWS 263.8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期初毛額估計（評價日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成本）＋非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（其餘，壽命以最新季分部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年化校準）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</si>
  <si>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</si>
  <si>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</si>
  <si>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</si>
  <si>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(TK_CapexIT</t>
    </r>
    <r>
      <rPr>
        <sz val="9"/>
        <color rgb="FF595959"/>
        <rFont val="Noto Sans CJK SC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80% × TK_CapexFacility)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v5.27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</si>
  <si>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</si>
  <si>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TK_CapexIT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汰換只換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</si>
  <si>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</si>
  <si>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Noto Sans CJK SC"/>
        <family val="2"/>
      </rPr>
      <t xml:space="preserve">）</t>
    </r>
  </si>
  <si>
    <t xml:space="preserve">預付占相關資本支出比</t>
  </si>
  <si>
    <t xml:space="preserve">不適用（無客戶預付）</t>
  </si>
  <si>
    <t xml:space="preserve">預付認列年數</t>
  </si>
  <si>
    <r>
      <rPr>
        <sz val="9"/>
        <color rgb="FF595959"/>
        <rFont val="Noto Sans CJK SC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</si>
  <si>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合約負債（客戶預付餘額）</t>
    </r>
  </si>
  <si>
    <t xml:space="preserve">預付隱含利率（重大財務組成）</t>
  </si>
  <si>
    <r>
      <rPr>
        <sz val="9"/>
        <color rgb="FF595959"/>
        <rFont val="Noto Sans CJK SC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</si>
  <si>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</si>
  <si>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</si>
  <si>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</si>
  <si>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71.534 [Verified]</t>
    </r>
  </si>
  <si>
    <t xml:space="preserve">未起租：期末累計季數（評價日起）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</si>
  <si>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Noto Sans CJK SC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</si>
  <si>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</si>
  <si>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</si>
  <si>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在帳現金租金（自現金扣除）</t>
  </si>
  <si>
    <r>
      <rPr>
        <sz val="9"/>
        <color rgb="FF595959"/>
        <rFont val="Noto Sans CJK SC"/>
        <family val="2"/>
      </rPr>
      <t xml:space="preserve">融資租賃＋融資義務未折現付款（營業租賃已含在分部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leases.operatingInEbitdaNote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</si>
  <si>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未起租：自現金扣除比例（融資部分）</t>
  </si>
  <si>
    <r>
      <rPr>
        <sz val="9"/>
        <color rgb="FF595959"/>
        <rFont val="Noto Sans CJK SC"/>
        <family val="2"/>
      </rPr>
      <t xml:space="preserve">三家統一定義（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C21</t>
    </r>
    <r>
      <rPr>
        <sz val="9"/>
        <color rgb="FF595959"/>
        <rFont val="Noto Sans CJK SC"/>
        <family val="2"/>
      </rPr>
      <t xml:space="preserve">）：未起租租約中預期列為營業租賃的比例（租金入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的部分；不另自現金扣除；</t>
    </r>
    <r>
      <rPr>
        <sz val="9"/>
        <color rgb="FF595959"/>
        <rFont val="Arial"/>
        <family val="0"/>
        <charset val="1"/>
      </rPr>
      <t xml:space="preserve">1 − opShare</t>
    </r>
    <r>
      <rPr>
        <sz val="9"/>
        <color rgb="FF595959"/>
        <rFont val="Noto Sans CJK SC"/>
        <family val="2"/>
      </rPr>
      <t xml:space="preserve">＝融資部分，自現金扣除）。</t>
    </r>
    <r>
      <rPr>
        <sz val="9"/>
        <color rgb="FF595959"/>
        <rFont val="Arial"/>
        <family val="0"/>
        <charset val="1"/>
      </rPr>
      <t xml:space="preserve">Amazon</t>
    </r>
    <r>
      <rPr>
        <sz val="9"/>
        <color rgb="FF595959"/>
        <rFont val="Noto Sans CJK SC"/>
        <family val="2"/>
      </rPr>
      <t xml:space="preserve">：取在帳租賃負債的營業占比 </t>
    </r>
    <r>
      <rPr>
        <sz val="9"/>
        <color rgb="FF595959"/>
        <rFont val="Arial"/>
        <family val="0"/>
        <charset val="1"/>
      </rPr>
      <t xml:space="preserve">96.32 ÷ (96.32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13.451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9.315)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80.9%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；類型未揭露）；本格＝</t>
    </r>
    <r>
      <rPr>
        <sz val="9"/>
        <color rgb="FF595959"/>
        <rFont val="Arial"/>
        <family val="0"/>
        <charset val="1"/>
      </rPr>
      <t xml:space="preserve">1 − leases.uncommenced.opShare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</si>
  <si>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</si>
  <si>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</si>
  <si>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</si>
  <si>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</si>
  <si>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</si>
  <si>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</si>
  <si>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</si>
  <si>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</si>
  <si>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1440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</si>
  <si>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</si>
  <si>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</si>
  <si>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（評價日）</t>
    </r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</si>
  <si>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無租用的對外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算力（對外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全部自有；租用第三方機房屬 </t>
    </r>
    <r>
      <rPr>
        <sz val="9"/>
        <color rgb="FF595959"/>
        <rFont val="Arial"/>
        <family val="0"/>
        <charset val="1"/>
      </rPr>
      <t xml:space="preserve">selfBuild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C20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</si>
  <si>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（期末）</t>
    </r>
  </si>
  <si>
    <r>
      <rPr>
        <sz val="9"/>
        <color rgb="FF595959"/>
        <rFont val="Arial"/>
        <family val="0"/>
        <charset val="1"/>
      </rPr>
      <t xml:space="preserve">company.json → capexModel.rentedExt.path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</si>
  <si>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新增</t>
    </r>
  </si>
  <si>
    <r>
      <rPr>
        <sz val="9"/>
        <color rgb="FF595959"/>
        <rFont val="Noto Sans CJK SC"/>
        <family val="2"/>
      </rPr>
      <t xml:space="preserve">不需資本支出（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</si>
  <si>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次期新增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</si>
  <si>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</si>
  <si>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×λ)÷ </t>
    </r>
    <r>
      <rPr>
        <sz val="9"/>
        <color rgb="FF595959"/>
        <rFont val="Noto Sans CJK SC"/>
        <family val="2"/>
      </rPr>
      <t xml:space="preserve">對外比例（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）− 租用對外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成長型，全年）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</si>
  <si>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資本支出（全年）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</si>
  <si>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資本支出強度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</si>
  <si>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</si>
  <si>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＝全年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模型期月數 </t>
    </r>
    <r>
      <rPr>
        <sz val="9"/>
        <color rgb="FF595959"/>
        <rFont val="Arial"/>
        <family val="0"/>
        <charset val="1"/>
      </rPr>
      <t xml:space="preserve">÷ 12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</si>
  <si>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</si>
  <si>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AI, </t>
    </r>
    <r>
      <rPr>
        <sz val="9"/>
        <color rgb="FF595959"/>
        <rFont val="Noto Sans CJK SC"/>
        <family val="2"/>
      </rPr>
      <t xml:space="preserve">指引下限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Noto Sans CJK SC"/>
        <family val="2"/>
      </rPr>
      <t xml:space="preserve">；之後＝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</si>
  <si>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</si>
  <si>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＝成長型 − 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（指引高於公式的差額歸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，保守）</t>
    </r>
  </si>
  <si>
    <r>
      <rPr>
        <sz val="10"/>
        <rFont val="Noto Sans CJK SC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</si>
  <si>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</si>
  <si>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</si>
  <si>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</si>
  <si>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不再增加或終值年）</t>
    </r>
  </si>
  <si>
    <r>
      <rPr>
        <sz val="9"/>
        <color rgb="FF595959"/>
        <rFont val="Noto Sans CJK SC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Noto Sans CJK SC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</si>
  <si>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</si>
  <si>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時取穩態汰換，否則取批次汰換；汰換不增加折舊基礎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</si>
  <si>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</si>
  <si>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</si>
  <si>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D&amp;A </t>
    </r>
    <r>
      <rPr>
        <b val="true"/>
        <sz val="10"/>
        <color rgb="FF1F3864"/>
        <rFont val="Noto Sans CJK SC"/>
        <family val="2"/>
      </rPr>
      <t xml:space="preserve">分池（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Noto Sans CJK SC"/>
        <family val="2"/>
      </rPr>
      <t xml:space="preserve">依 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壽命、機房依機房壽命；非 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：期初＝</t>
    </r>
    <r>
      <rPr>
        <b val="true"/>
        <sz val="10"/>
        <color rgb="FF1F3864"/>
        <rFont val="Arial"/>
        <family val="0"/>
        <charset val="1"/>
      </rPr>
      <t xml:space="preserve">PP&amp;E − AI </t>
    </r>
    <r>
      <rPr>
        <b val="true"/>
        <sz val="10"/>
        <color rgb="FF1F3864"/>
        <rFont val="Noto Sans CJK SC"/>
        <family val="2"/>
      </rPr>
      <t xml:space="preserve">估計，預設年限；汰換不增加基礎）</t>
    </r>
  </si>
  <si>
    <r>
      <rPr>
        <sz val="10"/>
        <rFont val="Noto Sans CJK SC"/>
        <family val="2"/>
      </rPr>
      <t xml:space="preserve">評價日自有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（對外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對外比例 − 租用對外）</t>
    </r>
  </si>
  <si>
    <r>
      <rPr>
        <sz val="9"/>
        <color rgb="FF595959"/>
        <rFont val="Noto Sans CJK SC"/>
        <family val="2"/>
      </rPr>
      <t xml:space="preserve">＝評價日在役對外 </t>
    </r>
    <r>
      <rPr>
        <sz val="9"/>
        <color rgb="FF595959"/>
        <rFont val="Arial"/>
        <family val="0"/>
        <charset val="1"/>
      </rPr>
      <t xml:space="preserve">AI MW ÷ </t>
    </r>
    <r>
      <rPr>
        <sz val="9"/>
        <color rgb="FF595959"/>
        <rFont val="Noto Sans CJK SC"/>
        <family val="2"/>
      </rPr>
      <t xml:space="preserve">對外比例 − 租用對外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</si>
  <si>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</si>
  <si>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TK_CapexIT 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</si>
  <si>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期初機房毛額（估計）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</si>
  <si>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自建比例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TK_CapexFacility [Derived]</t>
    </r>
  </si>
  <si>
    <t xml:space="preserve">機房折舊年限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</si>
  <si>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TK_CapexFacility ÷ TK_DeprFac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；土地不折舊）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</si>
  <si>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</si>
  <si>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壽命＋機房毛額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機房年限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</si>
  <si>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</si>
  <si>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</si>
  <si>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毛額（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投入資本起點）</t>
    </r>
  </si>
  <si>
    <r>
      <rPr>
        <sz val="9"/>
        <color rgb="FF595959"/>
        <rFont val="Noto Sans CJK SC"/>
        <family val="2"/>
      </rPr>
      <t xml:space="preserve">期初 </t>
    </r>
    <r>
      <rPr>
        <sz val="9"/>
        <color rgb="FF595959"/>
        <rFont val="Arial"/>
        <family val="0"/>
        <charset val="1"/>
      </rPr>
      <t xml:space="preserve">AI 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（在役機隊平均約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60%–90%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Noto Sans CJK SC"/>
        <family val="2"/>
      </rPr>
      <t xml:space="preserve">的期初投入資本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</si>
  <si>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折舊年限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</si>
  <si>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折舊年限預設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8–15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反解為 </t>
    </r>
    <r>
      <rPr>
        <sz val="9"/>
        <color rgb="FF595959"/>
        <rFont val="Arial"/>
        <family val="0"/>
        <charset val="1"/>
      </rPr>
      <t xml:space="preserve">8.3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 </t>
    </r>
    <r>
      <rPr>
        <sz val="9"/>
        <color rgb="FF595959"/>
        <rFont val="Noto Sans CJK SC"/>
        <family val="2"/>
      </rPr>
      <t xml:space="preserve">改為預設年限，差額列對帳殘差）（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Noto Sans CJK SC"/>
        <family val="2"/>
      </rPr>
      <t xml:space="preserve">：不再以分部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反解）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</si>
  <si>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 −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年限）</t>
    </r>
  </si>
  <si>
    <r>
      <rPr>
        <sz val="9"/>
        <color rgb="FF595959"/>
        <rFont val="Noto Sans CJK SC"/>
        <family val="2"/>
      </rPr>
      <t xml:space="preserve">不回填：正值＝模型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低於公司實際（年限偏長或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期初估計偏低）；檢查頁示警（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</si>
  <si>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AI IT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</si>
  <si>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</si>
  <si>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機房期初基礎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</si>
  <si>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機房占比</t>
    </r>
  </si>
  <si>
    <t xml:space="preserve">AI D&amp;A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</si>
  <si>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[(IT 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IT × ½) ÷ GPU </t>
    </r>
    <r>
      <rPr>
        <sz val="9"/>
        <color rgb="FF595959"/>
        <rFont val="Noto Sans CJK SC"/>
        <family val="2"/>
      </rPr>
      <t xml:space="preserve">壽命＋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機房期初＋本期機房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機房年限</t>
    </r>
    <r>
      <rPr>
        <sz val="9"/>
        <color rgb="FF595959"/>
        <rFont val="Arial"/>
        <family val="0"/>
        <charset val="1"/>
      </rPr>
      <t xml:space="preserve">]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</si>
  <si>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期初基礎（各期）</t>
    </r>
  </si>
  <si>
    <r>
      <rPr>
        <sz val="9"/>
        <color rgb="FF595959"/>
        <rFont val="Noto Sans CJK SC"/>
        <family val="2"/>
      </rPr>
      <t xml:space="preserve">＝前期＋前期非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</si>
  <si>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D&amp;A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</si>
  <si>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</si>
  <si>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</si>
  <si>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</si>
  <si>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</si>
  <si>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</si>
  <si>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分池；不含其他攤銷）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</si>
  <si>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</si>
  <si>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</si>
  <si>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78.213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44.775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</si>
  <si>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</si>
  <si>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Noto Sans CJK SC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</si>
  <si>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</si>
  <si>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</si>
  <si>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</si>
  <si>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循環信用額度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Noto Sans CJK SC"/>
        <family val="2"/>
      </rPr>
      <t xml:space="preserve">，未動用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</si>
  <si>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</si>
  <si>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</si>
  <si>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</si>
  <si>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</si>
  <si>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</si>
  <si>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</si>
  <si>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Noto Sans CJK SC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Noto Sans CJK SC"/>
        <family val="2"/>
      </rPr>
      <t xml:space="preserve">）</t>
    </r>
  </si>
  <si>
    <t xml:space="preserve">leaseAdj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</si>
  <si>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Noto Sans CJK SC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</si>
  <si>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Noto Sans CJK SC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</si>
  <si>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Noto Sans CJK SC"/>
        <family val="2"/>
      </rPr>
      <t xml:space="preserve">時本格＝調整後槓桿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的上限。</t>
    </r>
    <r>
      <rPr>
        <sz val="9"/>
        <color rgb="FF595959"/>
        <rFont val="Arial"/>
        <family val="0"/>
        <charset val="1"/>
      </rPr>
      <t xml:space="preserve">S&amp;P BBB- </t>
    </r>
    <r>
      <rPr>
        <sz val="9"/>
        <color rgb="FF595959"/>
        <rFont val="Noto Sans CJK SC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（事實總帳 </t>
    </r>
    <r>
      <rPr>
        <sz val="9"/>
        <color rgb="FF595959"/>
        <rFont val="Arial"/>
        <family val="0"/>
        <charset val="1"/>
      </rPr>
      <t xml:space="preserve">rating.sp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二手轉述）；敏感度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5.0×</t>
    </r>
    <r>
      <rPr>
        <sz val="9"/>
        <color rgb="FF595959"/>
        <rFont val="Noto Sans CJK SC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</si>
  <si>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</si>
  <si>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</si>
  <si>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</si>
  <si>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Noto Sans CJK SC"/>
        <family val="2"/>
      </rPr>
      <t xml:space="preserve">不配息（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sh.dps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Noto Sans CJK SC"/>
        <family val="2"/>
      </rPr>
      <t xml:space="preserve">）</t>
    </r>
  </si>
  <si>
    <t xml:space="preserve">普通股每股股利年成長率</t>
  </si>
  <si>
    <r>
      <rPr>
        <sz val="9"/>
        <color rgb="FF595959"/>
        <rFont val="Noto Sans CJK SC"/>
        <family val="2"/>
      </rPr>
      <t xml:space="preserve">不配息；第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期每股＝每季 </t>
    </r>
    <r>
      <rPr>
        <sz val="9"/>
        <color rgb="FF595959"/>
        <rFont val="Arial"/>
        <family val="0"/>
        <charset val="1"/>
      </rPr>
      <t xml:space="preserve">× (1</t>
    </r>
    <r>
      <rPr>
        <sz val="9"/>
        <color rgb="FF595959"/>
        <rFont val="Noto Sans CJK SC"/>
        <family val="2"/>
      </rPr>
      <t xml:space="preserve">＋成長率</t>
    </r>
    <r>
      <rPr>
        <sz val="9"/>
        <color rgb="FF595959"/>
        <rFont val="Arial"/>
        <family val="0"/>
        <charset val="1"/>
      </rPr>
      <t xml:space="preserve">)^n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Noto Sans CJK SC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</si>
  <si>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</si>
  <si>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</si>
  <si>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</si>
  <si>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</si>
  <si>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</si>
  <si>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回購基準（年額）</t>
  </si>
  <si>
    <r>
      <rPr>
        <sz val="9"/>
        <color rgb="FF595959"/>
        <rFont val="Noto Sans CJK SC"/>
        <family val="2"/>
      </rPr>
      <t xml:space="preserve">回購基準＝近四季實際年額（</t>
    </r>
    <r>
      <rPr>
        <sz val="9"/>
        <color rgb="FF595959"/>
        <rFont val="Arial"/>
        <family val="0"/>
        <charset val="1"/>
      </rPr>
      <t xml:space="preserve">Amazon 2023 </t>
    </r>
    <r>
      <rPr>
        <sz val="9"/>
        <color rgb="FF595959"/>
        <rFont val="Noto Sans CJK SC"/>
        <family val="2"/>
      </rPr>
      <t xml:space="preserve">年以來無買回；授權餘額 </t>
    </r>
    <r>
      <rPr>
        <sz val="9"/>
        <color rgb="FF595959"/>
        <rFont val="Arial"/>
        <family val="0"/>
        <charset val="1"/>
      </rPr>
      <t xml:space="preserve">6.1B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sh.buyback.2026h1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（瀑布「減少回購」步驟不適用）；</t>
    </r>
    <r>
      <rPr>
        <sz val="9"/>
        <color rgb="FF595959"/>
        <rFont val="Arial"/>
        <family val="0"/>
        <charset val="1"/>
      </rPr>
      <t xml:space="preserve">floorShare</t>
    </r>
    <r>
      <rPr>
        <sz val="9"/>
        <color rgb="FF595959"/>
        <rFont val="Noto Sans CJK SC"/>
        <family val="2"/>
      </rPr>
      <t xml:space="preserve">＝回購可減到計畫的比例下限（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＝可全數取消；對照表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</si>
  <si>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回購下限（占計畫）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</si>
  <si>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＝缺口時可全數取消回購（對照表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</si>
  <si>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</si>
  <si>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</si>
  <si>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</si>
  <si>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</si>
  <si>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</si>
  <si>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</si>
  <si>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</si>
  <si>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</si>
  <si>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可轉債年發行上限｜保守 第三方可辨識站點</t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</si>
  <si>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</si>
  <si>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</si>
  <si>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可轉債年發行上限｜基準 依資本支出指引</t>
  </si>
  <si>
    <t xml:space="preserve">可轉債年發行上限｜積極 依公司容量目標</t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</si>
  <si>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</si>
  <si>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</si>
  <si>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</si>
  <si>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</si>
  <si>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</si>
  <si>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</si>
  <si>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</si>
  <si>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</si>
  <si>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</si>
  <si>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Noto Sans CJK SC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</si>
  <si>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</si>
  <si>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</si>
  <si>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AMZN CDS </t>
    </r>
    <r>
      <rPr>
        <sz val="9"/>
        <color rgb="FF595959"/>
        <rFont val="Noto Sans CJK SC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</si>
  <si>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</si>
  <si>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</si>
  <si>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</si>
  <si>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</si>
  <si>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</si>
  <si>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</si>
  <si>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</si>
  <si>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Noto Sans CJK SC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</si>
  <si>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</si>
  <si>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95.609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</si>
  <si>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</si>
  <si>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瀑布新債利率取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美元票據有效利率區間中點約 </t>
    </r>
    <r>
      <rPr>
        <sz val="9"/>
        <color rgb="FF595959"/>
        <rFont val="Arial"/>
        <family val="0"/>
        <charset val="1"/>
      </rPr>
      <t xml:space="preserve">5.0% [Derived]</t>
    </r>
    <r>
      <rPr>
        <sz val="9"/>
        <color rgb="FF595959"/>
        <rFont val="Noto Sans CJK SC"/>
        <family val="2"/>
      </rPr>
      <t xml:space="preserve">；最長天期 </t>
    </r>
    <r>
      <rPr>
        <sz val="9"/>
        <color rgb="FF595959"/>
        <rFont val="Arial"/>
        <family val="0"/>
        <charset val="1"/>
      </rPr>
      <t xml:space="preserve">2066 </t>
    </r>
    <r>
      <rPr>
        <sz val="9"/>
        <color rgb="FF595959"/>
        <rFont val="Noto Sans CJK SC"/>
        <family val="2"/>
      </rPr>
      <t xml:space="preserve">有效利率 </t>
    </r>
    <r>
      <rPr>
        <sz val="9"/>
        <color rgb="FF595959"/>
        <rFont val="Arial"/>
        <family val="0"/>
        <charset val="1"/>
      </rPr>
      <t xml:space="preserve">6.33%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</si>
  <si>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</si>
  <si>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期間長度＋可轉債利息＋首期校準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</si>
  <si>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</si>
  <si>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</si>
  <si>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（歷史股價）（</t>
    </r>
    <r>
      <rPr>
        <sz val="9"/>
        <color rgb="FF595959"/>
        <rFont val="Arial"/>
        <family val="0"/>
        <charset val="1"/>
      </rPr>
      <t xml:space="preserve">https://stockanalysis.com/stocks/amzn/history/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</si>
  <si>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</si>
  <si>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10.786314</t>
    </r>
    <r>
      <rPr>
        <sz val="9"/>
        <color rgb="FF595959"/>
        <rFont val="Noto Sans CJK SC"/>
        <family val="2"/>
      </rPr>
      <t xml:space="preserve">＋未歸屬 </t>
    </r>
    <r>
      <rPr>
        <sz val="9"/>
        <color rgb="FF595959"/>
        <rFont val="Arial"/>
        <family val="0"/>
        <charset val="1"/>
      </rPr>
      <t xml:space="preserve">RSU 0.244bn </t>
    </r>
    <r>
      <rPr>
        <sz val="9"/>
        <color rgb="FF595959"/>
        <rFont val="Noto Sans CJK SC"/>
        <family val="2"/>
      </rPr>
      <t xml:space="preserve">股（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</si>
  <si>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</si>
  <si>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</si>
  <si>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</si>
  <si>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；上市持股不折價；敏感度見報告（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</si>
  <si>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</si>
  <si>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持股比例一手不存在：</t>
    </r>
    <r>
      <rPr>
        <sz val="9"/>
        <color rgb="FF595959"/>
        <rFont val="Arial"/>
        <family val="0"/>
        <charset val="1"/>
      </rPr>
      <t xml:space="preserve">Fortune 15%–19%</t>
    </r>
    <r>
      <rPr>
        <sz val="9"/>
        <color rgb="FF595959"/>
        <rFont val="Noto Sans CJK SC"/>
        <family val="2"/>
      </rPr>
      <t xml:space="preserve">、帳列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投後 </t>
    </r>
    <r>
      <rPr>
        <sz val="9"/>
        <color rgb="FF595959"/>
        <rFont val="Arial"/>
        <family val="0"/>
        <charset val="1"/>
      </rPr>
      <t xml:space="preserve">19.7%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Crypto Briefing 21%</t>
    </r>
    <r>
      <rPr>
        <sz val="9"/>
        <color rgb="FF595959"/>
        <rFont val="Noto Sans CJK SC"/>
        <family val="2"/>
      </rPr>
      <t xml:space="preserve">（無法查證）→ </t>
    </r>
    <r>
      <rPr>
        <sz val="9"/>
        <color rgb="FF595959"/>
        <rFont val="Arial"/>
        <family val="0"/>
        <charset val="1"/>
      </rPr>
      <t xml:space="preserve">18% [Assumed]</t>
    </r>
    <r>
      <rPr>
        <sz val="9"/>
        <color rgb="FF595959"/>
        <rFont val="Noto Sans CJK SC"/>
        <family val="2"/>
      </rPr>
      <t xml:space="preserve">；估值 </t>
    </r>
    <r>
      <rPr>
        <sz val="9"/>
        <color rgb="FF595959"/>
        <rFont val="Arial"/>
        <family val="0"/>
        <charset val="1"/>
      </rPr>
      <t xml:space="preserve">965B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 Series H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</si>
  <si>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投後估值）｜持股比例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</si>
  <si>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</si>
  <si>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：上市持股以市值計、不折價（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</si>
  <si>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（投後估值推估）｜估值（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</si>
  <si>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投入 </t>
    </r>
    <r>
      <rPr>
        <sz val="9"/>
        <color rgb="FF595959"/>
        <rFont val="Arial"/>
        <family val="0"/>
        <charset val="1"/>
      </rPr>
      <t xml:space="preserve">50.0B ÷ </t>
    </r>
    <r>
      <rPr>
        <sz val="9"/>
        <color rgb="FF595959"/>
        <rFont val="Noto Sans CJK SC"/>
        <family val="2"/>
      </rPr>
      <t xml:space="preserve">投後 </t>
    </r>
    <r>
      <rPr>
        <sz val="9"/>
        <color rgb="FF595959"/>
        <rFont val="Arial"/>
        <family val="0"/>
        <charset val="1"/>
      </rPr>
      <t xml:space="preserve">840B</t>
    </r>
    <r>
      <rPr>
        <sz val="9"/>
        <color rgb="FF595959"/>
        <rFont val="Noto Sans CJK SC"/>
        <family val="2"/>
      </rPr>
      <t xml:space="preserve">（投前 </t>
    </r>
    <r>
      <rPr>
        <sz val="9"/>
        <color rgb="FF595959"/>
        <rFont val="Arial"/>
        <family val="0"/>
        <charset val="1"/>
      </rPr>
      <t xml:space="preserve">730B</t>
    </r>
    <r>
      <rPr>
        <sz val="9"/>
        <color rgb="FF595959"/>
        <rFont val="Noto Sans CJK SC"/>
        <family val="2"/>
      </rPr>
      <t xml:space="preserve">＋該輪）＝</t>
    </r>
    <r>
      <rPr>
        <sz val="9"/>
        <color rgb="FF595959"/>
        <rFont val="Arial"/>
        <family val="0"/>
        <charset val="1"/>
      </rPr>
      <t xml:space="preserve">5.95% [Derived]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</si>
  <si>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（投後估值推估）｜持股比例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</si>
  <si>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（投後估值推估）｜上市（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</si>
  <si>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t xml:space="preserve">持股價值（分部加總項）</t>
  </si>
  <si>
    <r>
      <rPr>
        <sz val="9"/>
        <color rgb="FF595959"/>
        <rFont val="Noto Sans CJK SC"/>
        <family val="2"/>
      </rPr>
      <t xml:space="preserve">持股清單：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估值（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持股比例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說明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上市（</t>
    </r>
    <r>
      <rPr>
        <sz val="9"/>
        <color rgb="FF595959"/>
        <rFont val="Arial"/>
        <family val="0"/>
        <charset val="1"/>
      </rPr>
      <t xml:space="preserve">true</t>
    </r>
    <r>
      <rPr>
        <sz val="9"/>
        <color rgb="FF595959"/>
        <rFont val="Noto Sans CJK SC"/>
        <family val="2"/>
      </rPr>
      <t xml:space="preserve">＝不折價）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；價值＝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估值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折價；上市持股不折價），自淨負債扣除（分部加總項）。流動性折價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0%–40%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</si>
  <si>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</si>
  <si>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</si>
  <si>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</si>
  <si>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2023–2025 </t>
    </r>
    <r>
      <rPr>
        <sz val="9"/>
        <color rgb="FF595959"/>
        <rFont val="Noto Sans CJK SC"/>
        <family val="2"/>
      </rPr>
      <t xml:space="preserve">有效稅率平均（</t>
    </r>
    <r>
      <rPr>
        <sz val="9"/>
        <color rgb="FF595959"/>
        <rFont val="Arial"/>
        <family val="0"/>
        <charset val="1"/>
      </rPr>
      <t xml:space="preserve">19.0%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13.5%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19.6%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上半年含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公允價值上調的離散稅務 </t>
    </r>
    <r>
      <rPr>
        <sz val="9"/>
        <color rgb="FF595959"/>
        <rFont val="Arial"/>
        <family val="0"/>
        <charset val="1"/>
      </rPr>
      <t xml:space="preserve">15.9B</t>
    </r>
    <r>
      <rPr>
        <sz val="9"/>
        <color rgb="FF595959"/>
        <rFont val="Noto Sans CJK SC"/>
        <family val="2"/>
      </rPr>
      <t xml:space="preserve">，不作基準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</si>
  <si>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</si>
  <si>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Noto Sans CJK SC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</si>
  <si>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</si>
  <si>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＝獨立來源平均（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C13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StockAnalysis 5 </t>
    </r>
    <r>
      <rPr>
        <sz val="9"/>
        <color rgb="FF595959"/>
        <rFont val="Noto Sans CJK SC"/>
        <family val="2"/>
      </rPr>
      <t xml:space="preserve">年月 </t>
    </r>
    <r>
      <rPr>
        <sz val="9"/>
        <color rgb="FF595959"/>
        <rFont val="Arial"/>
        <family val="0"/>
        <charset val="1"/>
      </rPr>
      <t xml:space="preserve">1.46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同值，推測同源，只算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個）、</t>
    </r>
    <r>
      <rPr>
        <sz val="9"/>
        <color rgb="FF595959"/>
        <rFont val="Arial"/>
        <family val="0"/>
        <charset val="1"/>
      </rPr>
      <t xml:space="preserve">GuruFocus 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1.567 → 1.5135</t>
    </r>
    <r>
      <rPr>
        <sz val="9"/>
        <color rgb="FF595959"/>
        <rFont val="Noto Sans CJK SC"/>
        <family val="2"/>
      </rPr>
      <t xml:space="preserve">；敏感度＝獨立來源區間 </t>
    </r>
    <r>
      <rPr>
        <sz val="9"/>
        <color rgb="FF595959"/>
        <rFont val="Arial"/>
        <family val="0"/>
        <charset val="1"/>
      </rPr>
      <t xml:space="preserve">1.46–1.567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Alpha Spread 0.78 </t>
    </r>
    <r>
      <rPr>
        <sz val="9"/>
        <color rgb="FF595959"/>
        <rFont val="Noto Sans CJK SC"/>
        <family val="2"/>
      </rPr>
      <t xml:space="preserve">口徑未說明、</t>
    </r>
    <r>
      <rPr>
        <sz val="9"/>
        <color rgb="FF595959"/>
        <rFont val="Arial"/>
        <family val="0"/>
        <charset val="1"/>
      </rPr>
      <t xml:space="preserve">MarketBeat 1.45 </t>
    </r>
    <r>
      <rPr>
        <sz val="9"/>
        <color rgb="FF595959"/>
        <rFont val="Noto Sans CJK SC"/>
        <family val="2"/>
      </rPr>
      <t xml:space="preserve">口徑未說明，不計入（列事實總帳對照）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</si>
  <si>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</si>
  <si>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</si>
  <si>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</si>
  <si>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</si>
  <si>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Noto Sans CJK SC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</si>
  <si>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新發 </t>
    </r>
    <r>
      <rPr>
        <sz val="9"/>
        <color rgb="FF595959"/>
        <rFont val="Arial"/>
        <family val="0"/>
        <charset val="1"/>
      </rPr>
      <t xml:space="preserve">2066 </t>
    </r>
    <r>
      <rPr>
        <sz val="9"/>
        <color rgb="FF595959"/>
        <rFont val="Noto Sans CJK SC"/>
        <family val="2"/>
      </rPr>
      <t xml:space="preserve">票據有效利率（市場邊際成本）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</si>
  <si>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季末流通股數）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</si>
  <si>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10.786314bn </t>
    </r>
    <r>
      <rPr>
        <sz val="9"/>
        <color rgb="FF595959"/>
        <rFont val="Noto Sans CJK SC"/>
        <family val="2"/>
      </rPr>
      <t xml:space="preserve">股</t>
    </r>
  </si>
  <si>
    <r>
      <rPr>
        <sz val="10"/>
        <rFont val="Noto Sans CJK SC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（評價日債務本金）</t>
    </r>
  </si>
  <si>
    <r>
      <rPr>
        <sz val="9"/>
        <color rgb="FF595959"/>
        <rFont val="Noto Sans CJK SC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</si>
  <si>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Noto Sans CJK SC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</si>
  <si>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</si>
  <si>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</si>
  <si>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</si>
  <si>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t xml:space="preserve">WACC</t>
  </si>
  <si>
    <r>
      <rPr>
        <sz val="9"/>
        <color rgb="FF595959"/>
        <rFont val="Noto Sans CJK SC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</si>
  <si>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</si>
  <si>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</si>
  <si>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），此比例不使用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</si>
  <si>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</si>
  <si>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</si>
  <si>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</si>
  <si>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</si>
  <si>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</si>
  <si>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</si>
  <si>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</si>
  <si>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事業另用同業倍數（分部加總）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</si>
  <si>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WMT</t>
    </r>
  </si>
  <si>
    <r>
      <rPr>
        <sz val="9"/>
        <color rgb="FF595959"/>
        <rFont val="Arial"/>
        <family val="0"/>
        <charset val="1"/>
      </rPr>
      <t xml:space="preserve">Walmart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val.peer.retail.wmt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</si>
  <si>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COST</t>
    </r>
  </si>
  <si>
    <r>
      <rPr>
        <sz val="9"/>
        <color rgb="FF595959"/>
        <rFont val="Arial"/>
        <family val="0"/>
        <charset val="1"/>
      </rPr>
      <t xml:space="preserve">Costco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val.peer.retail.cost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</si>
  <si>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TGT</t>
    </r>
  </si>
  <si>
    <r>
      <rPr>
        <sz val="9"/>
        <color rgb="FF595959"/>
        <rFont val="Arial"/>
        <family val="0"/>
        <charset val="1"/>
      </rPr>
      <t xml:space="preserve">Target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val.peer.retail.tgt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</si>
  <si>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分部倍數｜零售｜</t>
    </r>
    <r>
      <rPr>
        <sz val="10"/>
        <rFont val="Arial"/>
        <family val="0"/>
        <charset val="1"/>
      </rPr>
      <t xml:space="preserve">WMT</t>
    </r>
  </si>
  <si>
    <r>
      <rPr>
        <sz val="10"/>
        <rFont val="Noto Sans CJK SC"/>
        <family val="2"/>
      </rPr>
      <t xml:space="preserve">分部倍數｜零售｜</t>
    </r>
    <r>
      <rPr>
        <sz val="10"/>
        <rFont val="Arial"/>
        <family val="0"/>
        <charset val="1"/>
      </rPr>
      <t xml:space="preserve">COST</t>
    </r>
  </si>
  <si>
    <r>
      <rPr>
        <sz val="10"/>
        <rFont val="Noto Sans CJK SC"/>
        <family val="2"/>
      </rPr>
      <t xml:space="preserve">分部倍數｜零售｜</t>
    </r>
    <r>
      <rPr>
        <sz val="10"/>
        <rFont val="Arial"/>
        <family val="0"/>
        <charset val="1"/>
      </rPr>
      <t xml:space="preserve">TGT</t>
    </r>
  </si>
  <si>
    <r>
      <rPr>
        <sz val="10"/>
        <rFont val="Noto Sans CJK SC"/>
        <family val="2"/>
      </rPr>
      <t xml:space="preserve">分部倍數｜零售（同業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</si>
  <si>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9"/>
        <color rgb="FF595959"/>
        <rFont val="Noto Sans CJK SC"/>
        <family val="2"/>
      </rPr>
      <t xml:space="preserve">同業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Noto Sans CJK SC"/>
        <family val="2"/>
      </rPr>
      <t xml:space="preserve">中位數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</si>
  <si>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META</t>
    </r>
  </si>
  <si>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val.peer.ads.meta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</si>
  <si>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PINS</t>
    </r>
  </si>
  <si>
    <r>
      <rPr>
        <sz val="9"/>
        <color rgb="FF595959"/>
        <rFont val="Arial"/>
        <family val="0"/>
        <charset val="1"/>
      </rPr>
      <t xml:space="preserve">Pinterest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val.peer.ads.pins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</si>
  <si>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TTD</t>
    </r>
  </si>
  <si>
    <r>
      <rPr>
        <sz val="9"/>
        <color rgb="FF595959"/>
        <rFont val="Arial"/>
        <family val="0"/>
        <charset val="1"/>
      </rPr>
      <t xml:space="preserve">The Trade Desk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val.peer.ads.ttd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</si>
  <si>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APP</t>
    </r>
  </si>
  <si>
    <r>
      <rPr>
        <sz val="9"/>
        <color rgb="FF595959"/>
        <rFont val="Arial"/>
        <family val="0"/>
        <charset val="1"/>
      </rPr>
      <t xml:space="preserve">AppLovin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val.peer.ads.app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</si>
  <si>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RDDT</t>
    </r>
  </si>
  <si>
    <r>
      <rPr>
        <sz val="9"/>
        <color rgb="FF595959"/>
        <rFont val="Arial"/>
        <family val="0"/>
        <charset val="1"/>
      </rPr>
      <t xml:space="preserve">Reddit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val.peer.ads.rddt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</si>
  <si>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SNAP</t>
    </r>
  </si>
  <si>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val.peer.ads.snap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</si>
  <si>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</si>
  <si>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NFLX</t>
    </r>
  </si>
  <si>
    <r>
      <rPr>
        <sz val="9"/>
        <color rgb="FF595959"/>
        <rFont val="Arial"/>
        <family val="0"/>
        <charset val="1"/>
      </rPr>
      <t xml:space="preserve">Netflix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val.peer.subs.nflx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</si>
  <si>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SPOT</t>
    </r>
  </si>
  <si>
    <r>
      <rPr>
        <sz val="9"/>
        <color rgb="FF595959"/>
        <rFont val="Arial"/>
        <family val="0"/>
        <charset val="1"/>
      </rPr>
      <t xml:space="preserve">Spotify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val.peerTTM.subs.spot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</si>
  <si>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DIS</t>
    </r>
  </si>
  <si>
    <r>
      <rPr>
        <sz val="9"/>
        <color rgb="FF595959"/>
        <rFont val="Arial"/>
        <family val="0"/>
        <charset val="1"/>
      </rPr>
      <t xml:space="preserve">Disney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val.peerTTM.subs.dis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</si>
  <si>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</si>
  <si>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</si>
  <si>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val.peer.cloud.orcl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</si>
  <si>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IBM</t>
    </r>
  </si>
  <si>
    <r>
      <rPr>
        <sz val="9"/>
        <color rgb="FF595959"/>
        <rFont val="Arial"/>
        <family val="0"/>
        <charset val="1"/>
      </rPr>
      <t xml:space="preserve">IBM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val.peer.cloud.ibm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</si>
  <si>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</si>
  <si>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val.peer.cloud.sap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</si>
  <si>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</si>
  <si>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val.peer.cloud.crm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</si>
  <si>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</si>
  <si>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val.peer.cloud.now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</si>
  <si>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AKAM</t>
    </r>
  </si>
  <si>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val.peer.cloud.akam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</si>
  <si>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EQIX</t>
    </r>
  </si>
  <si>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val.peer.cloud.eqix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</si>
  <si>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DOCN</t>
    </r>
  </si>
  <si>
    <r>
      <rPr>
        <sz val="9"/>
        <color rgb="FF595959"/>
        <rFont val="Arial"/>
        <family val="0"/>
        <charset val="1"/>
      </rPr>
      <t xml:space="preserve">DigitalOcean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val.peer.cloud.docn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</si>
  <si>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</si>
  <si>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事業加權倍數（錨定年度各線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加權）</t>
    </r>
  </si>
  <si>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EV/EBITDA</t>
    </r>
    <r>
      <rPr>
        <sz val="9"/>
        <color rgb="FF595959"/>
        <rFont val="Noto Sans CJK SC"/>
        <family val="2"/>
      </rPr>
      <t xml:space="preserve">：各非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所屬同業組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Noto Sans CJK SC"/>
        <family val="2"/>
      </rPr>
      <t xml:space="preserve">中位數（</t>
    </r>
    <r>
      <rPr>
        <sz val="9"/>
        <color rgb="FF595959"/>
        <rFont val="Arial"/>
        <family val="0"/>
        <charset val="1"/>
      </rPr>
      <t xml:space="preserve">legacyBiz.lines.peer</t>
    </r>
    <r>
      <rPr>
        <sz val="9"/>
        <color rgb="FF595959"/>
        <rFont val="Noto Sans CJK SC"/>
        <family val="2"/>
      </rPr>
      <t xml:space="preserve">；每組至少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SPOT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DIS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代替，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已註明；數位廣告＝共用同業組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家（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data/peers_ads_20261009.json</t>
    </r>
    <r>
      <rPr>
        <sz val="9"/>
        <color rgb="FF595959"/>
        <rFont val="Noto Sans CJK SC"/>
        <family val="2"/>
      </rPr>
      <t xml:space="preserve">））；非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雲端＝共用同業組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家中位數（</t>
    </r>
    <r>
      <rPr>
        <sz val="9"/>
        <color rgb="FF595959"/>
        <rFont val="Arial"/>
        <family val="0"/>
        <charset val="1"/>
      </rPr>
      <t xml:space="preserve">C12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data/peers_cloud_20261008.json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× valuation.evEbitda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6×</t>
    </r>
    <r>
      <rPr>
        <sz val="9"/>
        <color rgb="FF595959"/>
        <rFont val="Noto Sans CJK SC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事業倍數＝錨定年度各線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valuation.legacyEvEbitda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null </t>
    </r>
    <r>
      <rPr>
        <sz val="9"/>
        <color rgb="FF595959"/>
        <rFont val="Noto Sans CJK SC"/>
        <family val="2"/>
      </rPr>
      <t xml:space="preserve">時為手動覆蓋）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</si>
  <si>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</si>
  <si>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</si>
  <si>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</si>
  <si>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</si>
  <si>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</si>
  <si>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</si>
  <si>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</si>
  <si>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</si>
  <si>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</si>
  <si>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</si>
  <si>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</si>
  <si>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</si>
  <si>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</si>
  <si>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</si>
  <si>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1H SBC 10.07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</si>
  <si>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</si>
  <si>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</si>
  <si>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</si>
  <si>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</si>
  <si>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</si>
  <si>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</si>
  <si>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</si>
  <si>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</si>
  <si>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</si>
  <si>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</si>
  <si>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</si>
  <si>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</si>
  <si>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2026Q2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</si>
  <si>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</si>
  <si>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</si>
  <si>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</si>
  <si>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</si>
  <si>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</si>
  <si>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</si>
  <si>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</si>
  <si>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</si>
  <si>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</si>
  <si>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2026–2030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</si>
  <si>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</si>
  <si>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</si>
  <si>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2026-10-08</t>
  </si>
  <si>
    <t xml:space="preserve">company.json → meta.updateDate</t>
  </si>
  <si>
    <t xml:space="preserve">現價日（收盤）</t>
  </si>
  <si>
    <t xml:space="preserve">2026-10-07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</si>
  <si>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</si>
  <si>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</si>
  <si>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</si>
  <si>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</si>
  <si>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</si>
  <si>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</si>
  <si>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</si>
  <si>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</si>
  <si>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</si>
  <si>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</si>
  <si>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</si>
  <si>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</si>
  <si>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</si>
  <si>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</si>
  <si>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</si>
  <si>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</si>
  <si>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</si>
  <si>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</si>
  <si>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</si>
  <si>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</si>
  <si>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</si>
  <si>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</si>
  <si>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</si>
  <si>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</si>
  <si>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</si>
  <si>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</si>
  <si>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</si>
  <si>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</si>
  <si>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</si>
  <si>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</si>
  <si>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現金及約當現金 </t>
    </r>
    <r>
      <rPr>
        <sz val="9"/>
        <color rgb="FF595959"/>
        <rFont val="Arial"/>
        <family val="0"/>
        <charset val="1"/>
      </rPr>
      <t xml:space="preserve">86,810</t>
    </r>
    <r>
      <rPr>
        <sz val="9"/>
        <color rgb="FF595959"/>
        <rFont val="Noto Sans CJK SC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36,219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經查核；模型現金口徑含有價證券）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</si>
  <si>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</si>
  <si>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現金流量表：</t>
    </r>
    <r>
      <rPr>
        <sz val="9"/>
        <color rgb="FF595959"/>
        <rFont val="Arial"/>
        <family val="0"/>
        <charset val="1"/>
      </rPr>
      <t xml:space="preserve">Q1 26,032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45,387 [Interested-party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</si>
  <si>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</si>
  <si>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資本支出淨額（購置 − 出售及獎勵；公司 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Noto Sans CJK SC"/>
        <family val="2"/>
      </rPr>
      <t xml:space="preserve">定義）</t>
    </r>
    <r>
      <rPr>
        <sz val="9"/>
        <color rgb="FF595959"/>
        <rFont val="Arial"/>
        <family val="0"/>
        <charset val="1"/>
      </rPr>
      <t xml:space="preserve">Q1 43,234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53,076</t>
    </r>
    <r>
      <rPr>
        <sz val="9"/>
        <color rgb="FF595959"/>
        <rFont val="Noto Sans CJK SC"/>
        <family val="2"/>
      </rPr>
      <t xml:space="preserve">；購置毛額 </t>
    </r>
    <r>
      <rPr>
        <sz val="9"/>
        <color rgb="FF595959"/>
        <rFont val="Arial"/>
        <family val="0"/>
        <charset val="1"/>
      </rPr>
      <t xml:space="preserve">98,411 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</si>
  <si>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</si>
  <si>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Noto Sans CJK SC"/>
        <family val="2"/>
      </rPr>
      <t xml:space="preserve">應計口徑未揭露，以現金淨額代替（與指引 </t>
    </r>
    <r>
      <rPr>
        <sz val="9"/>
        <color rgb="FF595959"/>
        <rFont val="Arial"/>
        <family val="0"/>
        <charset val="1"/>
      </rPr>
      <t xml:space="preserve">220B </t>
    </r>
    <r>
      <rPr>
        <sz val="9"/>
        <color rgb="FF595959"/>
        <rFont val="Noto Sans CJK SC"/>
        <family val="2"/>
      </rPr>
      <t xml:space="preserve">同口徑）；另以融資租賃取得 </t>
    </r>
    <r>
      <rPr>
        <sz val="9"/>
        <color rgb="FF595959"/>
        <rFont val="Arial"/>
        <family val="0"/>
        <charset val="1"/>
      </rPr>
      <t xml:space="preserve">PP&amp;E 2,128 </t>
    </r>
    <r>
      <rPr>
        <sz val="9"/>
        <color rgb="FF595959"/>
        <rFont val="Noto Sans CJK SC"/>
        <family val="2"/>
      </rPr>
      <t xml:space="preserve">不在本列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</si>
  <si>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</si>
  <si>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Noto Sans CJK SC"/>
        <family val="2"/>
      </rPr>
      <t xml:space="preserve">收購、非上市投資及其他（主要為 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投資）</t>
    </r>
    <r>
      <rPr>
        <sz val="9"/>
        <color rgb="FF595959"/>
        <rFont val="Arial"/>
        <family val="0"/>
        <charset val="1"/>
      </rPr>
      <t xml:space="preserve">39,767 [Interested-party]</t>
    </r>
  </si>
  <si>
    <t xml:space="preserve">借款</t>
  </si>
  <si>
    <r>
      <rPr>
        <sz val="9"/>
        <color rgb="FF595959"/>
        <rFont val="Noto Sans CJK SC"/>
        <family val="2"/>
      </rPr>
      <t xml:space="preserve">長期債發行收入 </t>
    </r>
    <r>
      <rPr>
        <sz val="9"/>
        <color rgb="FF595959"/>
        <rFont val="Arial"/>
        <family val="0"/>
        <charset val="1"/>
      </rPr>
      <t xml:space="preserve">66,998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美元、歐元，</t>
    </r>
    <r>
      <rPr>
        <sz val="9"/>
        <color rgb="FF595959"/>
        <rFont val="Arial"/>
        <family val="0"/>
        <charset val="1"/>
      </rPr>
      <t xml:space="preserve">2026-05 </t>
    </r>
    <r>
      <rPr>
        <sz val="9"/>
        <color rgb="FF595959"/>
        <rFont val="Noto Sans CJK SC"/>
        <family val="2"/>
      </rPr>
      <t xml:space="preserve">瑞郎，</t>
    </r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Noto Sans CJK SC"/>
        <family val="2"/>
      </rPr>
      <t xml:space="preserve">加幣票據）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</si>
  <si>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還款</t>
  </si>
  <si>
    <r>
      <rPr>
        <sz val="9"/>
        <color rgb="FF595959"/>
        <rFont val="Noto Sans CJK SC"/>
        <family val="2"/>
      </rPr>
      <t xml:space="preserve">長期債償還 </t>
    </r>
    <r>
      <rPr>
        <sz val="9"/>
        <color rgb="FF595959"/>
        <rFont val="Arial"/>
        <family val="0"/>
        <charset val="1"/>
      </rPr>
      <t xml:space="preserve">2,752</t>
    </r>
    <r>
      <rPr>
        <sz val="9"/>
        <color rgb="FF595959"/>
        <rFont val="Noto Sans CJK SC"/>
        <family val="2"/>
      </rPr>
      <t xml:space="preserve">＋短期借款淨償還 </t>
    </r>
    <r>
      <rPr>
        <sz val="9"/>
        <color rgb="FF595959"/>
        <rFont val="Arial"/>
        <family val="0"/>
        <charset val="1"/>
      </rPr>
      <t xml:space="preserve">296</t>
    </r>
    <r>
      <rPr>
        <sz val="9"/>
        <color rgb="FF595959"/>
        <rFont val="Noto Sans CJK SC"/>
        <family val="2"/>
      </rPr>
      <t xml:space="preserve">（借 </t>
    </r>
    <r>
      <rPr>
        <sz val="9"/>
        <color rgb="FF595959"/>
        <rFont val="Arial"/>
        <family val="0"/>
        <charset val="1"/>
      </rPr>
      <t xml:space="preserve">15,386</t>
    </r>
    <r>
      <rPr>
        <sz val="9"/>
        <color rgb="FF595959"/>
        <rFont val="Noto Sans CJK SC"/>
        <family val="2"/>
      </rPr>
      <t xml:space="preserve">、還 </t>
    </r>
    <r>
      <rPr>
        <sz val="9"/>
        <color rgb="FF595959"/>
        <rFont val="Arial"/>
        <family val="0"/>
        <charset val="1"/>
      </rPr>
      <t xml:space="preserve">15,682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</si>
  <si>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</si>
  <si>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t xml:space="preserve">不適用</t>
  </si>
  <si>
    <t xml:space="preserve">私募股權</t>
  </si>
  <si>
    <t xml:space="preserve">不適用（未發行股權）</t>
  </si>
  <si>
    <t xml:space="preserve">利息費用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</si>
  <si>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利息費用 </t>
    </r>
    <r>
      <rPr>
        <sz val="9"/>
        <color rgb="FF595959"/>
        <rFont val="Arial"/>
        <family val="0"/>
        <charset val="1"/>
      </rPr>
      <t xml:space="preserve">Q1 800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1,314</t>
    </r>
    <r>
      <rPr>
        <sz val="9"/>
        <color rgb="FF595959"/>
        <rFont val="Noto Sans CJK SC"/>
        <family val="2"/>
      </rPr>
      <t xml:space="preserve">；現金利息 </t>
    </r>
    <r>
      <rPr>
        <sz val="9"/>
        <color rgb="FF595959"/>
        <rFont val="Arial"/>
        <family val="0"/>
        <charset val="1"/>
      </rPr>
      <t xml:space="preserve">1,010 [Interested-party]</t>
    </r>
  </si>
  <si>
    <t xml:space="preserve">租賃現金支付</t>
  </si>
  <si>
    <r>
      <rPr>
        <sz val="9"/>
        <color rgb="FF595959"/>
        <rFont val="Noto Sans CJK SC"/>
        <family val="2"/>
      </rPr>
      <t xml:space="preserve">營業租賃現金 </t>
    </r>
    <r>
      <rPr>
        <sz val="9"/>
        <color rgb="FF595959"/>
        <rFont val="Arial"/>
        <family val="0"/>
        <charset val="1"/>
      </rPr>
      <t xml:space="preserve">7,804</t>
    </r>
    <r>
      <rPr>
        <sz val="9"/>
        <color rgb="FF595959"/>
        <rFont val="Noto Sans CJK SC"/>
        <family val="2"/>
      </rPr>
      <t xml:space="preserve">＋融資租賃本金 </t>
    </r>
    <r>
      <rPr>
        <sz val="9"/>
        <color rgb="FF595959"/>
        <rFont val="Arial"/>
        <family val="0"/>
        <charset val="1"/>
      </rPr>
      <t xml:space="preserve">863</t>
    </r>
    <r>
      <rPr>
        <sz val="9"/>
        <color rgb="FF595959"/>
        <rFont val="Noto Sans CJK SC"/>
        <family val="2"/>
      </rPr>
      <t xml:space="preserve">＋利息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＋融資義務本金 </t>
    </r>
    <r>
      <rPr>
        <sz val="9"/>
        <color rgb="FF595959"/>
        <rFont val="Arial"/>
        <family val="0"/>
        <charset val="1"/>
      </rPr>
      <t xml:space="preserve">174</t>
    </r>
    <r>
      <rPr>
        <sz val="9"/>
        <color rgb="FF595959"/>
        <rFont val="Noto Sans CJK SC"/>
        <family val="2"/>
      </rPr>
      <t xml:space="preserve">＋利息 </t>
    </r>
    <r>
      <rPr>
        <sz val="9"/>
        <color rgb="FF595959"/>
        <rFont val="Arial"/>
        <family val="0"/>
        <charset val="1"/>
      </rPr>
      <t xml:space="preserve">126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補充現金流量資訊）；營業租賃已含在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</si>
  <si>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營收</t>
  </si>
  <si>
    <r>
      <rPr>
        <sz val="9"/>
        <color rgb="FF595959"/>
        <rFont val="Noto Sans CJK SC"/>
        <family val="2"/>
      </rPr>
      <t xml:space="preserve">北美 </t>
    </r>
    <r>
      <rPr>
        <sz val="9"/>
        <color rgb="FF595959"/>
        <rFont val="Arial"/>
        <family val="0"/>
        <charset val="1"/>
      </rPr>
      <t xml:space="preserve">220,320</t>
    </r>
    <r>
      <rPr>
        <sz val="9"/>
        <color rgb="FF595959"/>
        <rFont val="Noto Sans CJK SC"/>
        <family val="2"/>
      </rPr>
      <t xml:space="preserve">＋國際 </t>
    </r>
    <r>
      <rPr>
        <sz val="9"/>
        <color rgb="FF595959"/>
        <rFont val="Arial"/>
        <family val="0"/>
        <charset val="1"/>
      </rPr>
      <t xml:space="preserve">81,986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AWS 79,819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</si>
  <si>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</si>
  <si>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Q1 23,852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27,461 [Interested-party]</t>
    </r>
  </si>
  <si>
    <t xml:space="preserve">淨損</t>
  </si>
  <si>
    <r>
      <rPr>
        <sz val="9"/>
        <color rgb="FF595959"/>
        <rFont val="Noto Sans CJK SC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Q1 30,255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62,647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公允價值上調等其他收益 </t>
    </r>
    <r>
      <rPr>
        <sz val="9"/>
        <color rgb="FF595959"/>
        <rFont val="Arial"/>
        <family val="0"/>
        <charset val="1"/>
      </rPr>
      <t xml:space="preserve">69,062</t>
    </r>
    <r>
      <rPr>
        <sz val="9"/>
        <color rgb="FF595959"/>
        <rFont val="Noto Sans CJK SC"/>
        <family val="2"/>
      </rPr>
      <t xml:space="preserve">，非營業）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</si>
  <si>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遞延收入淨流入</t>
  </si>
  <si>
    <t xml:space="preserve">不適用（無客戶預付融資機制）</t>
  </si>
  <si>
    <t xml:space="preserve">D&amp;A</t>
  </si>
  <si>
    <r>
      <rPr>
        <sz val="9"/>
        <color rgb="FF595959"/>
        <rFont val="Noto Sans CJK SC"/>
        <family val="2"/>
      </rPr>
      <t xml:space="preserve">現金流量表折舊攤銷（含影音內容、營業租賃資產）</t>
    </r>
    <r>
      <rPr>
        <sz val="9"/>
        <color rgb="FF595959"/>
        <rFont val="Arial"/>
        <family val="0"/>
        <charset val="1"/>
      </rPr>
      <t xml:space="preserve">Q1 18,945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19,988 [Interested-party]</t>
    </r>
  </si>
  <si>
    <t xml:space="preserve">SBC</t>
  </si>
  <si>
    <r>
      <rPr>
        <sz val="9"/>
        <color rgb="FF595959"/>
        <rFont val="Noto Sans CJK SC"/>
        <family val="2"/>
      </rPr>
      <t xml:space="preserve">股權報酬 </t>
    </r>
    <r>
      <rPr>
        <sz val="9"/>
        <color rgb="FF595959"/>
        <rFont val="Arial"/>
        <family val="0"/>
        <charset val="1"/>
      </rPr>
      <t xml:space="preserve">Q1 4,032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6,038 [Interested-party]</t>
    </r>
  </si>
  <si>
    <t xml:space="preserve">GAAP EPS</t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</si>
  <si>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稀釋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8.53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</si>
  <si>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</si>
  <si>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 ÷ </t>
    </r>
    <r>
      <rPr>
        <sz val="9"/>
        <color rgb="FF595959"/>
        <rFont val="Noto Sans CJK SC"/>
        <family val="2"/>
      </rPr>
      <t xml:space="preserve">上半年稀釋加權股數 </t>
    </r>
    <r>
      <rPr>
        <sz val="9"/>
        <color rgb="FF595959"/>
        <rFont val="Arial"/>
        <family val="0"/>
        <charset val="1"/>
      </rPr>
      <t xml:space="preserve">10,889m [Derived]</t>
    </r>
  </si>
  <si>
    <t xml:space="preserve">股利支付（普通股＋特別股）</t>
  </si>
  <si>
    <r>
      <rPr>
        <sz val="9"/>
        <color rgb="FF595959"/>
        <rFont val="Noto Sans CJK SC"/>
        <family val="2"/>
      </rPr>
      <t xml:space="preserve">不配息（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</si>
  <si>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</si>
  <si>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42.797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47.449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2026Q1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2026Q2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2026-07-30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2026-07-31</t>
    </r>
    <r>
      <rPr>
        <sz val="9"/>
        <color rgb="FF595959"/>
        <rFont val="Noto Sans CJK SC"/>
        <family val="2"/>
      </rPr>
      <t xml:space="preserve">）；公司不揭露調整後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；本列＝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營業利益＋現金流量表折舊攤銷（含影音內容與營業租賃資產攤銷），與 </t>
    </r>
    <r>
      <rPr>
        <sz val="9"/>
        <color rgb="FF595959"/>
        <rFont val="Arial"/>
        <family val="0"/>
        <charset val="1"/>
      </rPr>
      <t xml:space="preserve">MarketScreener EBITDA </t>
    </r>
    <r>
      <rPr>
        <sz val="9"/>
        <color rgb="FF595959"/>
        <rFont val="Noto Sans CJK SC"/>
        <family val="2"/>
      </rPr>
      <t xml:space="preserve">口徑（未揭露）可能不同。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23.852</t>
    </r>
    <r>
      <rPr>
        <sz val="9"/>
        <color rgb="FF595959"/>
        <rFont val="Noto Sans CJK SC"/>
        <family val="2"/>
      </rPr>
      <t xml:space="preserve">＋折舊攤銷 </t>
    </r>
    <r>
      <rPr>
        <sz val="9"/>
        <color rgb="FF595959"/>
        <rFont val="Arial"/>
        <family val="0"/>
        <charset val="1"/>
      </rPr>
      <t xml:space="preserve">18.945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27.461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19.988 [Derived] [Derived]</t>
    </r>
  </si>
  <si>
    <t xml:space="preserve">回購（買回庫藏股）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</si>
  <si>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上半年無買回；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</si>
  <si>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</si>
  <si>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</si>
  <si>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</si>
  <si>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t xml:space="preserve">情境區間運算表｜保守 第三方可辨識站點</t>
  </si>
  <si>
    <t xml:space="preserve">情境區間運算表｜基準 依資本支出指引</t>
  </si>
  <si>
    <t xml:space="preserve">情境區間運算表｜積極 依公司容量目標</t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</si>
  <si>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data/consensus_amzn_20261008.json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</si>
  <si>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</si>
  <si>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</si>
  <si>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</si>
  <si>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</si>
  <si>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</si>
  <si>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</si>
  <si>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</si>
  <si>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</si>
  <si>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</si>
  <si>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（歷史股價）｜</t>
    </r>
    <r>
      <rPr>
        <sz val="9"/>
        <color rgb="FF595959"/>
        <rFont val="Arial"/>
        <family val="0"/>
        <charset val="1"/>
      </rPr>
      <t xml:space="preserve">https://stockanalysis.com/stocks/amzn/history/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</si>
  <si>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2026-10-07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</si>
  <si>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</si>
  <si>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</si>
  <si>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https://stockanalysis.com/stocks/amzn/forecast/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</si>
  <si>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</si>
  <si>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</si>
  <si>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</si>
  <si>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</si>
  <si>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</si>
  <si>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Strong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</si>
  <si>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</si>
  <si>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https://www.marketbeat.com/stocks/NASDAQ/AMZN/forecast/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</si>
  <si>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</si>
  <si>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</si>
  <si>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Moderate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</si>
  <si>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</si>
  <si>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同值，推測同源）｜</t>
    </r>
    <r>
      <rPr>
        <sz val="9"/>
        <color rgb="FF595959"/>
        <rFont val="Arial"/>
        <family val="0"/>
        <charset val="1"/>
      </rPr>
      <t xml:space="preserve">https://finance.yahoo.com/quote/AMZN/</t>
    </r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</si>
  <si>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</si>
  <si>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</si>
  <si>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</si>
  <si>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</si>
  <si>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</si>
  <si>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</si>
  <si>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</si>
  <si>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2026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</si>
  <si>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</si>
  <si>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https://www.marketscreener.com/quote/stock/AMAZON-COM-INC-12864605/finances/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</si>
  <si>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</si>
  <si>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</si>
  <si>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</si>
  <si>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</si>
  <si>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</si>
  <si>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</si>
  <si>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</si>
  <si>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</si>
  <si>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</si>
  <si>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</si>
  <si>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年度共識；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EBIT </t>
    </r>
    <r>
      <rPr>
        <sz val="10"/>
        <rFont val="Noto Sans CJK SC"/>
        <family val="2"/>
      </rPr>
      <t xml:space="preserve">口徑由供應商定義（未揭露是否扣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Q2 Anthropic </t>
    </r>
    <r>
      <rPr>
        <sz val="10"/>
        <rFont val="Noto Sans CJK SC"/>
        <family val="2"/>
      </rPr>
      <t xml:space="preserve">公允價值利益，故 </t>
    </r>
    <r>
      <rPr>
        <sz val="10"/>
        <rFont val="Arial"/>
        <family val="0"/>
        <charset val="1"/>
      </rPr>
      <t xml:space="preserve">2026 EPS 12.88 </t>
    </r>
    <r>
      <rPr>
        <sz val="10"/>
        <rFont val="Noto Sans CJK SC"/>
        <family val="2"/>
      </rPr>
      <t xml:space="preserve">高於 </t>
    </r>
    <r>
      <rPr>
        <sz val="10"/>
        <rFont val="Arial"/>
        <family val="0"/>
        <charset val="1"/>
      </rPr>
      <t xml:space="preserve">2027 10.51</t>
    </r>
    <r>
      <rPr>
        <sz val="10"/>
        <rFont val="Noto Sans CJK SC"/>
        <family val="2"/>
      </rPr>
      <t xml:space="preserve">）；淨負債正值＝淨負債（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實際 −</t>
    </r>
    <r>
      <rPr>
        <sz val="10"/>
        <rFont val="Arial"/>
        <family val="0"/>
        <charset val="1"/>
      </rPr>
      <t xml:space="preserve">57.381</t>
    </r>
    <r>
      <rPr>
        <sz val="10"/>
        <rFont val="Noto Sans CJK SC"/>
        <family val="2"/>
      </rPr>
      <t xml:space="preserve">＝淨現金）；資本支出為共識（非公司指引）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</si>
  <si>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</si>
  <si>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</si>
  <si>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</si>
  <si>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</si>
  <si>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</si>
  <si>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免費提供 </t>
    </r>
    <r>
      <rPr>
        <sz val="9"/>
        <color rgb="FF595959"/>
        <rFont val="Arial"/>
        <family val="0"/>
        <charset val="1"/>
      </rPr>
      <t xml:space="preserve">2026–2027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non-GAAP EPS</t>
    </r>
    <r>
      <rPr>
        <sz val="9"/>
        <color rgb="FF595959"/>
        <rFont val="Noto Sans CJK SC"/>
        <family val="2"/>
      </rPr>
      <t xml:space="preserve">（與上表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Noto Sans CJK SC"/>
        <family val="2"/>
      </rPr>
      <t xml:space="preserve">口徑不同，不可混用）；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需付費。</t>
    </r>
  </si>
  <si>
    <t xml:space="preserve">公司指引（管理層預估）</t>
  </si>
  <si>
    <t xml:space="preserve">共識｜公司指引｜下一季營收（低／高）</t>
  </si>
  <si>
    <t xml:space="preserve">未列</t>
  </si>
  <si>
    <r>
      <rPr>
        <sz val="9"/>
        <color rgb="FF595959"/>
        <rFont val="Arial"/>
        <family val="0"/>
        <charset val="1"/>
      </rPr>
      <t xml:space="preserve">2026Q2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）；資本支出為法說會口述（二手逐字稿）｜</t>
    </r>
    <r>
      <rPr>
        <sz val="9"/>
        <color rgb="FF595959"/>
        <rFont val="Arial"/>
        <family val="0"/>
        <charset val="1"/>
      </rPr>
      <t xml:space="preserve">https://www.sec.gov/Archives/edgar/data/1018724/000101872426000024/amzn-20260630xex991.htm</t>
    </r>
  </si>
  <si>
    <r>
      <rPr>
        <sz val="9"/>
        <color rgb="FF595959"/>
        <rFont val="Noto Sans CJK SC"/>
        <family val="2"/>
      </rPr>
      <t xml:space="preserve">公司指引屬利害關係人（管理層）預估；營收與營業利益為新聞稿正式文字；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現金資本支出約 </t>
    </r>
    <r>
      <rPr>
        <sz val="9"/>
        <color rgb="FF595959"/>
        <rFont val="Arial"/>
        <family val="0"/>
        <charset val="1"/>
      </rPr>
      <t xml:space="preserve">220 </t>
    </r>
    <r>
      <rPr>
        <sz val="9"/>
        <color rgb="FF595959"/>
        <rFont val="Noto Sans CJK SC"/>
        <family val="2"/>
      </rPr>
      <t xml:space="preserve">只見於法說（見事實總帳 </t>
    </r>
    <r>
      <rPr>
        <sz val="9"/>
        <color rgb="FF595959"/>
        <rFont val="Arial"/>
        <family val="0"/>
        <charset val="1"/>
      </rPr>
      <t xml:space="preserve">guide.2026.capex</t>
    </r>
    <r>
      <rPr>
        <sz val="9"/>
        <color rgb="FF595959"/>
        <rFont val="Noto Sans CJK SC"/>
        <family val="2"/>
      </rPr>
      <t xml:space="preserve">）。共識資本支出 </t>
    </r>
    <r>
      <rPr>
        <sz val="9"/>
        <color rgb="FF595959"/>
        <rFont val="Arial"/>
        <family val="0"/>
        <charset val="1"/>
      </rPr>
      <t xml:space="preserve">220.5 </t>
    </r>
    <r>
      <rPr>
        <sz val="9"/>
        <color rgb="FF595959"/>
        <rFont val="Noto Sans CJK SC"/>
        <family val="2"/>
      </rPr>
      <t xml:space="preserve">與指引一致</t>
    </r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</si>
  <si>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MarketBeat</t>
    </r>
    <r>
      <rPr>
        <b val="true"/>
        <sz val="11"/>
        <color rgb="FFFFFFFF"/>
        <rFont val="Noto Sans CJK SC"/>
        <family val="2"/>
      </rPr>
      <t xml:space="preserve">（目標價））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</si>
  <si>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（目標價） 對照｜</t>
    </r>
    <r>
      <rPr>
        <sz val="10"/>
        <rFont val="Arial"/>
        <family val="0"/>
        <charset val="1"/>
      </rPr>
      <t xml:space="preserve">meanTarget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</si>
  <si>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（目標價）（經 </t>
    </r>
    <r>
      <rPr>
        <sz val="9"/>
        <color rgb="FF595959"/>
        <rFont val="Arial"/>
        <family val="0"/>
        <charset val="1"/>
      </rPr>
      <t xml:space="preserve">https://www.marketbeat.com/stocks/NASDAQ/AMZN/forecast/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https://www.marketbeat.com/stocks/NASDAQ/AMZN/forecast/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</si>
  <si>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331.53 </t>
    </r>
    <r>
      <rPr>
        <sz val="9"/>
        <color rgb="FF595959"/>
        <rFont val="Noto Sans CJK SC"/>
        <family val="2"/>
      </rPr>
      <t xml:space="preserve">差 </t>
    </r>
    <r>
      <rPr>
        <sz val="9"/>
        <color rgb="FF595959"/>
        <rFont val="Arial"/>
        <family val="0"/>
        <charset val="1"/>
      </rPr>
      <t xml:space="preserve">2.6%</t>
    </r>
    <r>
      <rPr>
        <sz val="9"/>
        <color rgb="FF595959"/>
        <rFont val="Noto Sans CJK SC"/>
        <family val="2"/>
      </rPr>
      <t xml:space="preserve">；營收／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無獨立第二來源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</si>
  <si>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</si>
  <si>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財報後） </t>
    </r>
    <r>
      <rPr>
        <sz val="10"/>
        <rFont val="Arial"/>
        <family val="0"/>
        <charset val="1"/>
      </rPr>
      <t xml:space="preserve">Morgan Stanley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Brian Nowak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</si>
  <si>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Overweight</t>
    </r>
    <r>
      <rPr>
        <sz val="9"/>
        <color rgb="FF595959"/>
        <rFont val="Noto Sans CJK SC"/>
        <family val="2"/>
      </rPr>
      <t xml:space="preserve">（維持）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</si>
  <si>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</si>
  <si>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</si>
  <si>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的目標價、評等、</t>
    </r>
    <r>
      <rPr>
        <sz val="10"/>
        <rFont val="Arial"/>
        <family val="0"/>
        <charset val="1"/>
      </rPr>
      <t xml:space="preserve">2026–2027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Yahoo Finance Analysis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828.44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948.44</t>
    </r>
    <r>
      <rPr>
        <sz val="10"/>
        <rFont val="Noto Sans CJK SC"/>
        <family val="2"/>
      </rPr>
      <t xml:space="preserve">）與 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完全相同，推測同源（本次不視為獨立）；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12.88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10.51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口徑）與 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相同。</t>
    </r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S&amp;P Capital IQ </t>
    </r>
    <r>
      <rPr>
        <sz val="10"/>
        <rFont val="Noto Sans CJK SC"/>
        <family val="2"/>
      </rPr>
      <t xml:space="preserve">系）營收 </t>
    </r>
    <r>
      <rPr>
        <sz val="10"/>
        <rFont val="Arial"/>
        <family val="0"/>
        <charset val="1"/>
      </rPr>
      <t xml:space="preserve">828.285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947.853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相差 </t>
    </r>
    <r>
      <rPr>
        <sz val="10"/>
        <rFont val="Arial"/>
        <family val="0"/>
        <charset val="1"/>
      </rPr>
      <t xml:space="preserve">&lt;0.1%</t>
    </r>
    <r>
      <rPr>
        <sz val="10"/>
        <rFont val="Noto Sans CJK SC"/>
        <family val="2"/>
      </rPr>
      <t xml:space="preserve">，同一底層的兩個呈現，不算獨立。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），作目標價的獨立交叉。營收與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共識本次只有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系，找不到第二個獨立供應商。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</si>
  <si>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</si>
  <si>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</si>
  <si>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2026–2028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的第二個獨立供應商（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同值、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屬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系）——「找不到」，非不存在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</si>
  <si>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</si>
  <si>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2029 </t>
    </r>
    <r>
      <rPr>
        <sz val="10"/>
        <rFont val="Noto Sans CJK SC"/>
        <family val="2"/>
      </rPr>
      <t xml:space="preserve">以後共識：公開來源只到 </t>
    </r>
    <r>
      <rPr>
        <sz val="10"/>
        <rFont val="Arial"/>
        <family val="0"/>
        <charset val="1"/>
      </rPr>
      <t xml:space="preserve">2028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</si>
  <si>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</si>
  <si>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、資本支出共識的高低區間：未公開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</si>
  <si>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</si>
  <si>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2026Q3 </t>
    </r>
    <r>
      <rPr>
        <sz val="10"/>
        <rFont val="Noto Sans CJK SC"/>
        <family val="2"/>
      </rPr>
      <t xml:space="preserve">單季共識：未取得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</si>
  <si>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5</t>
    </r>
  </si>
  <si>
    <t xml:space="preserve">逐家目標價變動明細：未逐筆蒐集</t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</si>
  <si>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</si>
  <si>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</si>
  <si>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</si>
  <si>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</si>
  <si>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</si>
  <si>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</si>
  <si>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</si>
  <si>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</si>
  <si>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</si>
  <si>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</si>
  <si>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</si>
  <si>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</si>
  <si>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</si>
  <si>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</si>
  <si>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</si>
  <si>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</si>
  <si>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</si>
  <si>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2026Q2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</si>
  <si>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</si>
  <si>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</si>
  <si>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未揭露：第三方估計 </t>
    </r>
    <r>
      <rPr>
        <sz val="9"/>
        <color rgb="FF595959"/>
        <rFont val="Arial"/>
        <family val="0"/>
        <charset val="1"/>
      </rPr>
      <t xml:space="preserve">2,080</t>
    </r>
    <r>
      <rPr>
        <sz val="9"/>
        <color rgb="FF595959"/>
        <rFont val="Noto Sans CJK SC"/>
        <family val="2"/>
      </rPr>
      <t xml:space="preserve">（在役 </t>
    </r>
    <r>
      <rPr>
        <sz val="9"/>
        <color rgb="FF595959"/>
        <rFont val="Arial"/>
        <family val="0"/>
        <charset val="1"/>
      </rPr>
      <t xml:space="preserve">AI 2,600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mw.ai.ext.2026q2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</si>
  <si>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</si>
  <si>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</si>
  <si>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</si>
  <si>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</si>
  <si>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</si>
  <si>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</si>
  <si>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</si>
  <si>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</si>
  <si>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</si>
  <si>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</si>
  <si>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2026Q2 </t>
    </r>
    <r>
      <rPr>
        <sz val="9"/>
        <color rgb="FF595959"/>
        <rFont val="Noto Sans CJK SC"/>
        <family val="2"/>
      </rPr>
      <t xml:space="preserve">財報新聞稿：</t>
    </r>
    <r>
      <rPr>
        <sz val="9"/>
        <color rgb="FF595959"/>
        <rFont val="Arial"/>
        <family val="0"/>
        <charset val="1"/>
      </rPr>
      <t xml:space="preserve">2026Q3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197.0–202.0B</t>
    </r>
    <r>
      <rPr>
        <sz val="9"/>
        <color rgb="FF595959"/>
        <rFont val="Noto Sans CJK SC"/>
        <family val="2"/>
      </rPr>
      <t xml:space="preserve">、營業利益 </t>
    </r>
    <r>
      <rPr>
        <sz val="9"/>
        <color rgb="FF595959"/>
        <rFont val="Arial"/>
        <family val="0"/>
        <charset val="1"/>
      </rPr>
      <t xml:space="preserve">22.5–26.5B [Interested-party] 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</si>
  <si>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</si>
  <si>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</si>
  <si>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</si>
  <si>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</si>
  <si>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全年現金資本支出指引約 </t>
    </r>
    <r>
      <rPr>
        <sz val="9"/>
        <color rgb="FF595959"/>
        <rFont val="Arial"/>
        <family val="0"/>
        <charset val="1"/>
      </rPr>
      <t xml:space="preserve">220</t>
    </r>
    <r>
      <rPr>
        <sz val="9"/>
        <color rgb="FF595959"/>
        <rFont val="Noto Sans CJK SC"/>
        <family val="2"/>
      </rPr>
      <t xml:space="preserve">（法說二手逐字稿）− 上半年實際＝下半年隱含指引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；公司未給全年營收指引；只用於判斷季度差距是否為「拆法」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</si>
  <si>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</si>
  <si>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</si>
  <si>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</si>
  <si>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</si>
  <si>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</si>
  <si>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220–220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</si>
  <si>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</si>
  <si>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</si>
  <si>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Noto Sans CJK SC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不計）；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</si>
  <si>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</si>
  <si>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</si>
  <si>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</si>
  <si>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Noto Sans CJK SC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Noto Sans CJK SC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</si>
  <si>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</si>
  <si>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</si>
  <si>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</si>
  <si>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</si>
  <si>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</si>
  <si>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</si>
  <si>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</si>
  <si>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71.534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9.154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</si>
  <si>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</si>
  <si>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137.214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</si>
  <si>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</si>
  <si>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9"/>
        <color rgb="FF595959"/>
        <rFont val="Noto Sans CJK SC"/>
        <family val="2"/>
      </rPr>
      <t xml:space="preserve">＝在帳融資租賃現金＋未起租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融資部分比例（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，不重複扣除；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推得、未扣租金）</t>
    </r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</si>
  <si>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</si>
  <si>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</si>
  <si>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</si>
  <si>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</si>
  <si>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</si>
  <si>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</si>
  <si>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</si>
  <si>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</si>
  <si>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</si>
  <si>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39.767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39.767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Noto Sans CJK SC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</si>
  <si>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</si>
  <si>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Noto Sans CJK SC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</si>
  <si>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⑨ 回購（瀑布：現金不足時先減）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</si>
  <si>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瀑布後實際回購；計畫與被迫減少見下方「期前融資瀑布」（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</si>
  <si>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</si>
  <si>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</si>
  <si>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</si>
  <si>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</si>
  <si>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3.048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</si>
  <si>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</si>
  <si>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</si>
  <si>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⑦ 現金稅（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</si>
  <si>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</si>
  <si>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</si>
  <si>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</si>
  <si>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</si>
  <si>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</si>
  <si>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</si>
  <si>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</si>
  <si>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</si>
  <si>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</si>
  <si>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</si>
  <si>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</si>
  <si>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</si>
  <si>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其他攤銷（視為等額現金支出），視為現金（現金稅另列於用途；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</si>
  <si>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Noto Sans CJK SC"/>
        <family val="2"/>
      </rPr>
      <t xml:space="preserve">減：延誤罰則（營業費用）</t>
    </r>
  </si>
  <si>
    <r>
      <rPr>
        <sz val="9"/>
        <color rgb="FF595959"/>
        <rFont val="Noto Sans CJK SC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</si>
  <si>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Ⓒ5 </t>
    </r>
    <r>
      <rPr>
        <sz val="10"/>
        <rFont val="Noto Sans CJK SC"/>
        <family val="2"/>
      </rPr>
      <t xml:space="preserve">加回：股權報酬（非現金）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</si>
  <si>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模型期總營收（分部營業利益已扣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</si>
  <si>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Ⓒ6 </t>
    </r>
    <r>
      <rPr>
        <sz val="10"/>
        <rFont val="Noto Sans CJK SC"/>
        <family val="2"/>
      </rPr>
      <t xml:space="preserve">首期營運資金變動（上年同期實際）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</si>
  <si>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剩餘季度＝上一年度同期實際（流入為正；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）；之後年度資金模型不計營運資金（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</si>
  <si>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</si>
  <si>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</si>
  <si>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</si>
  <si>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</si>
  <si>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r>
      <rPr>
        <b val="true"/>
        <sz val="10"/>
        <rFont val="Noto Sans CJK SC"/>
        <family val="2"/>
      </rPr>
      <t xml:space="preserve">自由現金流（</t>
    </r>
    <r>
      <rPr>
        <b val="true"/>
        <sz val="10"/>
        <rFont val="Arial"/>
        <family val="0"/>
        <charset val="1"/>
      </rPr>
      <t xml:space="preserve">FCF</t>
    </r>
    <r>
      <rPr>
        <b val="true"/>
        <sz val="10"/>
        <rFont val="Noto Sans CJK SC"/>
        <family val="2"/>
      </rPr>
      <t xml:space="preserve">＝營運現金 − 現金資本支出）</t>
    </r>
  </si>
  <si>
    <r>
      <rPr>
        <sz val="9"/>
        <color rgb="FF595959"/>
        <rFont val="Noto Sans CJK SC"/>
        <family val="2"/>
      </rPr>
      <t xml:space="preserve">公司定義近似：營運來源（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）− 現金稅 − 利息 − 現金資本支出（不扣融資租賃本金）；一頁摘要「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Noto Sans CJK SC"/>
        <family val="2"/>
      </rPr>
      <t xml:space="preserve">首次為負的年份」（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</si>
  <si>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</si>
  <si>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股權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期後股權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（不發股、不配息、不回購）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</si>
  <si>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</si>
  <si>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66.998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</si>
  <si>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</si>
  <si>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</si>
  <si>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</si>
  <si>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</si>
  <si>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</si>
  <si>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</si>
  <si>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</si>
  <si>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</si>
  <si>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</si>
  <si>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</si>
  <si>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</si>
  <si>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</si>
  <si>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</si>
  <si>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</si>
  <si>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</si>
  <si>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</si>
  <si>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</si>
  <si>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Noto Sans CJK SC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</si>
  <si>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</si>
  <si>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Noto Sans CJK SC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</si>
  <si>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</si>
  <si>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</si>
  <si>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</si>
  <si>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Noto Sans CJK SC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71.534</t>
    </r>
    <r>
      <rPr>
        <sz val="9"/>
        <color rgb="FF595959"/>
        <rFont val="Noto Sans CJK SC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</si>
  <si>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</si>
  <si>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Noto Sans CJK SC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</si>
  <si>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</si>
  <si>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</si>
  <si>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</si>
  <si>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</si>
  <si>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</si>
  <si>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</si>
  <si>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</si>
  <si>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</si>
  <si>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</si>
  <si>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</si>
  <si>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</si>
  <si>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</si>
  <si>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最低現金 −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融資前現金 − 實際回購</t>
    </r>
    <r>
      <rPr>
        <sz val="9"/>
        <color rgb="FF595959"/>
        <rFont val="Arial"/>
        <family val="0"/>
        <charset val="1"/>
      </rPr>
      <t xml:space="preserve">))</t>
    </r>
  </si>
  <si>
    <r>
      <rPr>
        <sz val="10"/>
        <rFont val="Noto Sans CJK SC"/>
        <family val="2"/>
      </rPr>
      <t xml:space="preserve">回購計畫（基準年額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</si>
  <si>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：瀑布第二步（現金之後、新債之前）</t>
    </r>
  </si>
  <si>
    <t xml:space="preserve">回購（實際，減少後）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</si>
  <si>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計畫</t>
    </r>
    <r>
      <rPr>
        <sz val="9"/>
        <color rgb="FF595959"/>
        <rFont val="Arial"/>
        <family val="0"/>
        <charset val="1"/>
      </rPr>
      <t xml:space="preserve">, MAX(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融資前現金 − 最低現金</t>
    </r>
    <r>
      <rPr>
        <sz val="9"/>
        <color rgb="FF595959"/>
        <rFont val="Arial"/>
        <family val="0"/>
        <charset val="1"/>
      </rPr>
      <t xml:space="preserve">))</t>
    </r>
  </si>
  <si>
    <t xml:space="preserve">回購被迫減少</t>
  </si>
  <si>
    <t xml:space="preserve">＝計畫 − 實際（一頁摘要「回購被迫減少的年份與金額」）</t>
  </si>
  <si>
    <t xml:space="preserve">回購股數</t>
  </si>
  <si>
    <r>
      <rPr>
        <sz val="9"/>
        <color rgb="FF595959"/>
        <rFont val="Noto Sans CJK SC"/>
        <family val="2"/>
      </rPr>
      <t xml:space="preserve">＝實際回購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發行參考價（現價）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</si>
  <si>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</si>
  <si>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0.0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</si>
  <si>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</si>
  <si>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</si>
  <si>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</si>
  <si>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</si>
  <si>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132.995)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</si>
  <si>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</si>
  <si>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</si>
  <si>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</si>
  <si>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</si>
  <si>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</si>
  <si>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</si>
  <si>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</si>
  <si>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</si>
  <si>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</si>
  <si>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</si>
  <si>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</si>
  <si>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</si>
  <si>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</si>
  <si>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</si>
  <si>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10.7863bn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</si>
  <si>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</si>
  <si>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</si>
  <si>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</si>
  <si>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</si>
  <si>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</si>
  <si>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</si>
  <si>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</si>
  <si>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</si>
  <si>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</si>
  <si>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</si>
  <si>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</si>
  <si>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</si>
  <si>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</si>
  <si>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</si>
  <si>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</si>
  <si>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</si>
  <si>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</si>
  <si>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</si>
  <si>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</si>
  <si>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</si>
  <si>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</si>
  <si>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</si>
  <si>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</si>
  <si>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</si>
  <si>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</si>
  <si>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</si>
  <si>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</si>
  <si>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</si>
  <si>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</si>
  <si>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t xml:space="preserve">公司指引 未給全年營收指引</t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</si>
  <si>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</si>
  <si>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220–220</t>
    </r>
    <r>
      <rPr>
        <sz val="9"/>
        <color rgb="FF595959"/>
        <rFont val="Noto Sans CJK SC"/>
        <family val="2"/>
      </rPr>
      <t xml:space="preserve">（法說會二手逐字稿（</t>
    </r>
    <r>
      <rPr>
        <sz val="9"/>
        <color rgb="FF595959"/>
        <rFont val="Arial"/>
        <family val="0"/>
        <charset val="1"/>
      </rPr>
      <t xml:space="preserve">2026-07-30</t>
    </r>
    <r>
      <rPr>
        <sz val="9"/>
        <color rgb="FF595959"/>
        <rFont val="Noto Sans CJK SC"/>
        <family val="2"/>
      </rPr>
      <t xml:space="preserve">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</si>
  <si>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</si>
  <si>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</si>
  <si>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</si>
  <si>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9.154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</si>
  <si>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</si>
  <si>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3.048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0.0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</si>
  <si>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</si>
  <si>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</si>
  <si>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</si>
  <si>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</si>
  <si>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</si>
  <si>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</si>
  <si>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</si>
  <si>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</si>
  <si>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</si>
  <si>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</si>
  <si>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</si>
  <si>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</si>
  <si>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</si>
  <si>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</si>
  <si>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</si>
  <si>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</si>
  <si>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</si>
  <si>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</si>
  <si>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</si>
  <si>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</si>
  <si>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</si>
  <si>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</si>
  <si>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</si>
  <si>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</si>
  <si>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</si>
  <si>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</si>
  <si>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</si>
  <si>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</si>
  <si>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</si>
  <si>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</si>
  <si>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</si>
  <si>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</si>
  <si>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</si>
  <si>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</si>
  <si>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</si>
  <si>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</si>
  <si>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</si>
  <si>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</si>
  <si>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</si>
  <si>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</si>
  <si>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</si>
  <si>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</si>
  <si>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</si>
  <si>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</si>
  <si>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</si>
  <si>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</si>
  <si>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</si>
  <si>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</si>
  <si>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＝期間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分池）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期內季數</t>
    </r>
  </si>
  <si>
    <t xml:space="preserve">其他攤銷（模型）</t>
  </si>
  <si>
    <r>
      <rPr>
        <sz val="9"/>
        <color rgb="FF595959"/>
        <rFont val="Noto Sans CJK SC"/>
        <family val="2"/>
      </rPr>
      <t xml:space="preserve">＝期間非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季營收占比（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</si>
  <si>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</si>
  <si>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 − 其他攤銷（未扣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</si>
  <si>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</si>
  <si>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</si>
  <si>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</si>
  <si>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</si>
  <si>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</si>
  <si>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</si>
  <si>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</si>
  <si>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</si>
  <si>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</si>
  <si>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</si>
  <si>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</si>
  <si>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（供應商口徑）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</si>
  <si>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</si>
  <si>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</si>
  <si>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</si>
  <si>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</si>
  <si>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</si>
  <si>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</si>
  <si>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</si>
  <si>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</si>
  <si>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</si>
  <si>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</si>
  <si>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</si>
  <si>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</si>
  <si>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</si>
  <si>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</si>
  <si>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</si>
  <si>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</si>
  <si>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</si>
  <si>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</si>
  <si>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</si>
  <si>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</si>
  <si>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</si>
  <si>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</si>
  <si>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</si>
  <si>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</si>
  <si>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</si>
  <si>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</si>
  <si>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</si>
  <si>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</si>
  <si>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</si>
  <si>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</si>
  <si>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</si>
  <si>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</si>
  <si>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</si>
  <si>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</si>
  <si>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</si>
  <si>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</si>
  <si>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</si>
  <si>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</si>
  <si>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</si>
  <si>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</si>
  <si>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</si>
  <si>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</si>
  <si>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</si>
  <si>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</si>
  <si>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</si>
  <si>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</si>
  <si>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</si>
  <si>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</si>
  <si>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</si>
  <si>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</si>
  <si>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</si>
  <si>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</si>
  <si>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</si>
  <si>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</si>
  <si>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</si>
  <si>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</si>
  <si>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</si>
  <si>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</si>
  <si>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</si>
  <si>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</si>
  <si>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</si>
  <si>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</si>
  <si>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</si>
  <si>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</si>
  <si>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</si>
  <si>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</si>
  <si>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</si>
  <si>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</si>
  <si>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</si>
  <si>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</si>
  <si>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</si>
  <si>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</si>
  <si>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</si>
  <si>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</si>
  <si>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</si>
  <si>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</si>
  <si>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</si>
  <si>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</si>
  <si>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</si>
  <si>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</si>
  <si>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</si>
  <si>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</si>
  <si>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</si>
  <si>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</si>
  <si>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</si>
  <si>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</si>
  <si>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</si>
  <si>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</si>
  <si>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</si>
  <si>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</si>
  <si>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</si>
  <si>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</si>
  <si>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</si>
  <si>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</si>
  <si>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</si>
  <si>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</si>
  <si>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</si>
  <si>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</si>
  <si>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</si>
  <si>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</si>
  <si>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</si>
  <si>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</si>
  <si>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</si>
  <si>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</si>
  <si>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</si>
  <si>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</si>
  <si>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</si>
  <si>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</si>
  <si>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</si>
  <si>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</si>
  <si>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</si>
  <si>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</si>
  <si>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</si>
  <si>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</si>
  <si>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</si>
  <si>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（延誤後，計費用）</t>
    </r>
  </si>
  <si>
    <r>
      <rPr>
        <sz val="9"/>
        <color rgb="FF595959"/>
        <rFont val="Noto Sans CJK SC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</si>
  <si>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</si>
  <si>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</si>
  <si>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</si>
  <si>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</si>
  <si>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</si>
  <si>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</si>
  <si>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</si>
  <si>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</si>
  <si>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</si>
  <si>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</si>
  <si>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</si>
  <si>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</si>
  <si>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</si>
  <si>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</si>
  <si>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</si>
  <si>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</si>
  <si>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</si>
  <si>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</si>
  <si>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</si>
  <si>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</si>
  <si>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</si>
  <si>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</si>
  <si>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</si>
  <si>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</si>
  <si>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</si>
  <si>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</si>
  <si>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Noto Sans CJK SC"/>
        <family val="2"/>
      </rPr>
      <t xml:space="preserve">個月內轉換的對照用（只作對照，不驅動營收）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</si>
  <si>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</si>
  <si>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r>
      <rPr>
        <sz val="9"/>
        <color rgb="FF595959"/>
        <rFont val="Noto Sans CJK SC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496 × 36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46.875%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</si>
  <si>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</si>
  <si>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</si>
  <si>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</si>
  <si>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欄對照公司全年指引 未給全年營收指引；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</si>
  <si>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</si>
  <si>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</si>
  <si>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</si>
  <si>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</si>
  <si>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</si>
  <si>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</si>
  <si>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</si>
  <si>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</si>
  <si>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</si>
  <si>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</si>
  <si>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</si>
  <si>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</si>
  <si>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</si>
  <si>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</si>
  <si>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</si>
  <si>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資本支出與客戶出資照原時程；折舊自投入使用時點起算</t>
    </r>
  </si>
  <si>
    <t xml:space="preserve">建設延誤月數｜保守 第三方可辨識站點</t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</si>
  <si>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Noto Sans CJK SC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</si>
  <si>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t xml:space="preserve">建設延誤月數｜基準 依資本支出指引</t>
  </si>
  <si>
    <t xml:space="preserve">建設延誤月數｜積極 依公司容量目標</t>
  </si>
  <si>
    <t xml:space="preserve">建設延誤月數（目前情境）</t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</si>
  <si>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</si>
  <si>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</si>
  <si>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</si>
  <si>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</si>
  <si>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</si>
  <si>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</si>
  <si>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Noto Sans CJK SC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</t>
    </r>
  </si>
  <si>
    <r>
      <rPr>
        <sz val="10"/>
        <rFont val="Noto Sans CJK SC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（折舊基礎）</t>
    </r>
  </si>
  <si>
    <r>
      <rPr>
        <sz val="9"/>
        <color rgb="FF595959"/>
        <rFont val="Noto Sans CJK SC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</si>
  <si>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</si>
  <si>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Noto Sans CJK SC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。一頁摘要以一句呈現峰值</t>
    </r>
  </si>
  <si>
    <r>
      <rPr>
        <sz val="10"/>
        <rFont val="Noto Sans CJK SC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</si>
  <si>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</si>
  <si>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</si>
  <si>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</si>
  <si>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</si>
  <si>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Noto Sans CJK SC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Noto Sans CJK SC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</si>
  <si>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</si>
  <si>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</si>
  <si>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</si>
  <si>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Noto Sans CJK SC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</si>
  <si>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</si>
  <si>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</si>
  <si>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</si>
  <si>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Noto Sans CJK SC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、營運來源、稅基與債務上限。客戶預付不因延誤退還（已知限制）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</si>
  <si>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</si>
  <si>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</si>
  <si>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</si>
  <si>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</si>
  <si>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</si>
  <si>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</si>
  <si>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</si>
  <si>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</si>
  <si>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</si>
  <si>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</si>
  <si>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</si>
  <si>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</si>
  <si>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r>
      <rPr>
        <sz val="10"/>
        <rFont val="Arial"/>
        <family val="0"/>
        <charset val="1"/>
      </rPr>
      <t xml:space="preserve">New Carlisle, 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Project Rainier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</si>
  <si>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</si>
  <si>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</si>
  <si>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—</t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</si>
  <si>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Noto Sans CJK SC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910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2026-03-23 </t>
    </r>
    <r>
      <rPr>
        <sz val="9"/>
        <color rgb="FF595959"/>
        <rFont val="Noto Sans CJK SC"/>
        <family val="2"/>
      </rPr>
      <t xml:space="preserve">起；事實總帳 </t>
    </r>
    <r>
      <rPr>
        <sz val="9"/>
        <color rgb="FF595959"/>
        <rFont val="Arial"/>
        <family val="0"/>
        <charset val="1"/>
      </rPr>
      <t xml:space="preserve">mw.epoch.newCarlisle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／第三方</t>
    </r>
    <r>
      <rPr>
        <sz val="9"/>
        <color rgb="FF595959"/>
        <rFont val="Arial"/>
        <family val="0"/>
        <charset val="1"/>
      </rPr>
      <t xml:space="preserve">]</t>
    </r>
  </si>
  <si>
    <t xml:space="preserve">Ridgeland, MS</t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</si>
  <si>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</si>
  <si>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Noto Sans CJK SC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228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2026-05-15 </t>
    </r>
    <r>
      <rPr>
        <sz val="9"/>
        <color rgb="FF595959"/>
        <rFont val="Noto Sans CJK SC"/>
        <family val="2"/>
      </rPr>
      <t xml:space="preserve">起）</t>
    </r>
  </si>
  <si>
    <t xml:space="preserve">Madison Mega Site, MS</t>
  </si>
  <si>
    <t xml:space="preserve">2025</t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</si>
  <si>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Noto Sans CJK SC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284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2025-06-23 </t>
    </r>
    <r>
      <rPr>
        <sz val="9"/>
        <color rgb="FF595959"/>
        <rFont val="Noto Sans CJK SC"/>
        <family val="2"/>
      </rPr>
      <t xml:space="preserve">起）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</si>
  <si>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</si>
  <si>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</si>
  <si>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</si>
  <si>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</si>
  <si>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</si>
  <si>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</si>
  <si>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</si>
  <si>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</si>
  <si>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</si>
  <si>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</si>
  <si>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</si>
  <si>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</si>
  <si>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</si>
  <si>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</si>
  <si>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</si>
  <si>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</si>
  <si>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</si>
  <si>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</si>
  <si>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</si>
  <si>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</si>
  <si>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</si>
  <si>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</si>
  <si>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</si>
  <si>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</si>
  <si>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</si>
  <si>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</si>
  <si>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</si>
  <si>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</si>
  <si>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</si>
  <si>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</si>
  <si>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</si>
  <si>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</si>
  <si>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</si>
  <si>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</si>
  <si>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</si>
  <si>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2014 </t>
    </r>
    <r>
      <rPr>
        <sz val="10"/>
        <rFont val="Noto Sans CJK SC"/>
        <family val="2"/>
      </rPr>
      <t xml:space="preserve">票據（發行 </t>
    </r>
    <r>
      <rPr>
        <sz val="10"/>
        <rFont val="Arial"/>
        <family val="0"/>
        <charset val="1"/>
      </rPr>
      <t xml:space="preserve">6.0B</t>
    </r>
    <r>
      <rPr>
        <sz val="10"/>
        <rFont val="Noto Sans CJK SC"/>
        <family val="2"/>
      </rPr>
      <t xml:space="preserve">）</t>
    </r>
  </si>
  <si>
    <t xml:space="preserve">無擔保</t>
  </si>
  <si>
    <t xml:space="preserve">2040-06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</si>
  <si>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2,750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4.93%–5.12%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2034–2044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13.9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</si>
  <si>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2017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17.0B</t>
    </r>
    <r>
      <rPr>
        <sz val="10"/>
        <rFont val="Noto Sans CJK SC"/>
        <family val="2"/>
      </rPr>
      <t xml:space="preserve">）</t>
    </r>
  </si>
  <si>
    <t xml:space="preserve">2041-06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</si>
  <si>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12,000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3.25%–4.33%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2027–2057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14.9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</si>
  <si>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2020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10.0B</t>
    </r>
    <r>
      <rPr>
        <sz val="10"/>
        <rFont val="Noto Sans CJK SC"/>
        <family val="2"/>
      </rPr>
      <t xml:space="preserve">）</t>
    </r>
  </si>
  <si>
    <t xml:space="preserve">2044-02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</si>
  <si>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7,750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1.26%–2.77%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2027–2060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17.6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</si>
  <si>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2021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18.5B</t>
    </r>
    <r>
      <rPr>
        <sz val="10"/>
        <rFont val="Noto Sans CJK SC"/>
        <family val="2"/>
      </rPr>
      <t xml:space="preserve">）</t>
    </r>
  </si>
  <si>
    <t xml:space="preserve">2042-02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</si>
  <si>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12,250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1.70%–3.31%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2028–2061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15.6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</si>
  <si>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2022-04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12.8B</t>
    </r>
    <r>
      <rPr>
        <sz val="10"/>
        <rFont val="Noto Sans CJK SC"/>
        <family val="2"/>
      </rPr>
      <t xml:space="preserve">）</t>
    </r>
  </si>
  <si>
    <t xml:space="preserve">2039-11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</si>
  <si>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9,750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3.40%–4.15%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2027–2062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13.3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</si>
  <si>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2022-12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8.3B</t>
    </r>
    <r>
      <rPr>
        <sz val="10"/>
        <rFont val="Noto Sans CJK SC"/>
        <family val="2"/>
      </rPr>
      <t xml:space="preserve">）</t>
    </r>
  </si>
  <si>
    <t xml:space="preserve">2030-06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</si>
  <si>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5,750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4.61%–4.74%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2027–2032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3.9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</si>
  <si>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15.0B</t>
    </r>
    <r>
      <rPr>
        <sz val="10"/>
        <rFont val="Noto Sans CJK SC"/>
        <family val="2"/>
      </rPr>
      <t xml:space="preserve">）</t>
    </r>
  </si>
  <si>
    <t xml:space="preserve">2041-08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</si>
  <si>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15,000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3.99%–5.62%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2028–2065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15.1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</si>
  <si>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美元票據（</t>
    </r>
    <r>
      <rPr>
        <sz val="10"/>
        <rFont val="Arial"/>
        <family val="0"/>
        <charset val="1"/>
      </rPr>
      <t xml:space="preserve">37.0B</t>
    </r>
    <r>
      <rPr>
        <sz val="10"/>
        <rFont val="Noto Sans CJK SC"/>
        <family val="2"/>
      </rPr>
      <t xml:space="preserve">；含浮動 </t>
    </r>
    <r>
      <rPr>
        <sz val="10"/>
        <rFont val="Arial"/>
        <family val="0"/>
        <charset val="1"/>
      </rPr>
      <t xml:space="preserve">2.8B</t>
    </r>
    <r>
      <rPr>
        <sz val="10"/>
        <rFont val="Noto Sans CJK SC"/>
        <family val="2"/>
      </rPr>
      <t xml:space="preserve">）</t>
    </r>
  </si>
  <si>
    <t xml:space="preserve">2042-12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</si>
  <si>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37,000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3.96%–6.12%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2028–2076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16.4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</si>
  <si>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歐元票據（€</t>
    </r>
    <r>
      <rPr>
        <sz val="10"/>
        <rFont val="Arial"/>
        <family val="0"/>
        <charset val="1"/>
      </rPr>
      <t xml:space="preserve">14.5B</t>
    </r>
    <r>
      <rPr>
        <sz val="10"/>
        <rFont val="Noto Sans CJK SC"/>
        <family val="2"/>
      </rPr>
      <t xml:space="preserve">；含浮動 €</t>
    </r>
    <r>
      <rPr>
        <sz val="10"/>
        <rFont val="Arial"/>
        <family val="0"/>
        <charset val="1"/>
      </rPr>
      <t xml:space="preserve">1.8B</t>
    </r>
    <r>
      <rPr>
        <sz val="10"/>
        <rFont val="Noto Sans CJK SC"/>
        <family val="2"/>
      </rPr>
      <t xml:space="preserve">）</t>
    </r>
  </si>
  <si>
    <t xml:space="preserve">2036-08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</si>
  <si>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16,550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2.59%–4.88%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2028–2064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10.1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</si>
  <si>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2026-05 </t>
    </r>
    <r>
      <rPr>
        <sz val="10"/>
        <rFont val="Noto Sans CJK SC"/>
        <family val="2"/>
      </rPr>
      <t xml:space="preserve">瑞士法郎票據（</t>
    </r>
    <r>
      <rPr>
        <sz val="10"/>
        <rFont val="Arial"/>
        <family val="0"/>
        <charset val="1"/>
      </rPr>
      <t xml:space="preserve">CHF2.8B</t>
    </r>
    <r>
      <rPr>
        <sz val="10"/>
        <rFont val="Noto Sans CJK SC"/>
        <family val="2"/>
      </rPr>
      <t xml:space="preserve">）</t>
    </r>
  </si>
  <si>
    <t xml:space="preserve">2035-06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</si>
  <si>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3,487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0.90%–2.10%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2029–2051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8.9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</si>
  <si>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2026-06 </t>
    </r>
    <r>
      <rPr>
        <sz val="10"/>
        <rFont val="Noto Sans CJK SC"/>
        <family val="2"/>
      </rPr>
      <t xml:space="preserve">加幣票據（</t>
    </r>
    <r>
      <rPr>
        <sz val="10"/>
        <rFont val="Arial"/>
        <family val="0"/>
        <charset val="1"/>
      </rPr>
      <t xml:space="preserve">C$14.0B</t>
    </r>
    <r>
      <rPr>
        <sz val="10"/>
        <rFont val="Noto Sans CJK SC"/>
        <family val="2"/>
      </rPr>
      <t xml:space="preserve">）</t>
    </r>
  </si>
  <si>
    <t xml:space="preserve">2041-05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</si>
  <si>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9,853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3.46%–5.05%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2029–2056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14.8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</si>
  <si>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其他長期債</t>
  </si>
  <si>
    <t xml:space="preserve">2036-06</t>
  </si>
  <si>
    <r>
      <rPr>
        <sz val="9"/>
        <color rgb="FF595959"/>
        <rFont val="Noto Sans CJK SC"/>
        <family val="2"/>
      </rPr>
      <t xml:space="preserve">其他長期債 </t>
    </r>
    <r>
      <rPr>
        <sz val="9"/>
        <color rgb="FF595959"/>
        <rFont val="Arial"/>
        <family val="0"/>
        <charset val="1"/>
      </rPr>
      <t xml:space="preserve">855</t>
    </r>
    <r>
      <rPr>
        <sz val="9"/>
        <color rgb="FF595959"/>
        <rFont val="Noto Sans CJK SC"/>
        <family val="2"/>
      </rPr>
      <t xml:space="preserve">（利率未揭露，取 </t>
    </r>
    <r>
      <rPr>
        <sz val="9"/>
        <color rgb="FF595959"/>
        <rFont val="Arial"/>
        <family val="0"/>
        <charset val="1"/>
      </rPr>
      <t xml:space="preserve">4.0% [Assumed]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</si>
  <si>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</si>
  <si>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132.995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</si>
  <si>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</si>
  <si>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</si>
  <si>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</si>
  <si>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</si>
  <si>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</si>
  <si>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</si>
  <si>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</si>
  <si>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</si>
  <si>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</si>
  <si>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</si>
  <si>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</si>
  <si>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Noto Sans CJK SC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＝是）</t>
    </r>
  </si>
  <si>
    <t xml:space="preserve">（無可轉債，不適用）</t>
  </si>
  <si>
    <t xml:space="preserve">2099-12</t>
  </si>
  <si>
    <r>
      <rPr>
        <sz val="9"/>
        <color rgb="FF595959"/>
        <rFont val="Arial"/>
        <family val="0"/>
        <charset val="1"/>
      </rPr>
      <t xml:space="preserve">company.json → debt.convertibles </t>
    </r>
    <r>
      <rPr>
        <sz val="9"/>
        <color rgb="FF595959"/>
        <rFont val="Noto Sans CJK SC"/>
        <family val="2"/>
      </rPr>
      <t xml:space="preserve">為空清單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</si>
  <si>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</si>
  <si>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</si>
  <si>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</si>
  <si>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</si>
  <si>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</si>
  <si>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</si>
  <si>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</si>
  <si>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</si>
  <si>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</si>
  <si>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</si>
  <si>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</si>
  <si>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</si>
  <si>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</si>
  <si>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</si>
  <si>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</si>
  <si>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</si>
  <si>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</si>
  <si>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</si>
  <si>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</si>
  <si>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</si>
  <si>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</si>
  <si>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</si>
  <si>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</si>
  <si>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</si>
  <si>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</si>
  <si>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</si>
  <si>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t xml:space="preserve">首期新增借款利息校準</t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</si>
  <si>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</si>
  <si>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</si>
  <si>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</si>
  <si>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</si>
  <si>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</si>
  <si>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</si>
  <si>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</si>
  <si>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</si>
  <si>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</si>
  <si>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</si>
  <si>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</si>
  <si>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</si>
  <si>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</si>
  <si>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</si>
  <si>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回購（瀑布第二步）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</si>
  <si>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</si>
  <si>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</si>
  <si>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</si>
  <si>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</si>
  <si>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</si>
  <si>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</si>
  <si>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</si>
  <si>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</si>
  <si>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</si>
  <si>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</si>
  <si>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</si>
  <si>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</si>
  <si>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</si>
  <si>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</si>
  <si>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</si>
  <si>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</si>
  <si>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</si>
  <si>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</si>
  <si>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</si>
  <si>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</si>
  <si>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</si>
  <si>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</si>
  <si>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</si>
  <si>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</si>
  <si>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</si>
  <si>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</si>
  <si>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</si>
  <si>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</si>
  <si>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以模型期長度年化</t>
    </r>
  </si>
  <si>
    <t xml:space="preserve">租賃負債（期末）</t>
  </si>
  <si>
    <r>
      <rPr>
        <sz val="9"/>
        <color rgb="FF595959"/>
        <rFont val="Noto Sans CJK SC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</si>
  <si>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Noto Sans CJK SC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Noto Sans CJK SC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期間長度）</t>
    </r>
  </si>
  <si>
    <r>
      <rPr>
        <b val="true"/>
        <sz val="10"/>
        <rFont val="Noto Sans CJK SC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</si>
  <si>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自身口徑另含全部未起租承諾與無條件採購義務，較本列高（見報告）</t>
    </r>
  </si>
  <si>
    <t xml:space="preserve">距投資級上限的空間（上限 − 調整後槓桿）</t>
  </si>
  <si>
    <t xml:space="preserve">負值＝超過上限：需股權或失去投資級</t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</si>
  <si>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</si>
  <si>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</si>
  <si>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</si>
  <si>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</si>
  <si>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</si>
  <si>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</si>
  <si>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</si>
  <si>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</si>
  <si>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96.32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13.451</t>
    </r>
    <r>
      <rPr>
        <sz val="9"/>
        <color rgb="FF595959"/>
        <rFont val="Noto Sans CJK SC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</si>
  <si>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</si>
  <si>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</si>
  <si>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</si>
  <si>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</si>
  <si>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</si>
  <si>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</si>
  <si>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</si>
  <si>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</si>
  <si>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</si>
  <si>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</si>
  <si>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</si>
  <si>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</si>
  <si>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</si>
  <si>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（循環信用額度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Noto Sans CJK SC"/>
        <family val="2"/>
      </rPr>
      <t xml:space="preserve">，未動用）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</si>
  <si>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</si>
  <si>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</si>
  <si>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</si>
  <si>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</si>
  <si>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</si>
  <si>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</si>
  <si>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</si>
  <si>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</si>
  <si>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</si>
  <si>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</si>
  <si>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</si>
  <si>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</si>
  <si>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</si>
  <si>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</si>
  <si>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事業各線合計（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Noto Sans CJK SC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</si>
  <si>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</si>
  <si>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</si>
  <si>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</si>
  <si>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− 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</si>
  <si>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</si>
  <si>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</si>
  <si>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Noto Sans CJK SC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</si>
  <si>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</si>
  <si>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</si>
  <si>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</si>
  <si>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</si>
  <si>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</si>
  <si>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</si>
  <si>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</si>
  <si>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</si>
  <si>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</si>
  <si>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r>
      <rPr>
        <sz val="9"/>
        <color rgb="FF595959"/>
        <rFont val="Noto Sans CJK SC"/>
        <family val="2"/>
      </rPr>
      <t xml:space="preserve">車隊折舊＋非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事業其他攤銷，見輸入頁</t>
    </r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</si>
  <si>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</si>
  <si>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</si>
  <si>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</si>
  <si>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</si>
  <si>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</si>
  <si>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</si>
  <si>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</si>
  <si>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</si>
  <si>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</si>
  <si>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</si>
  <si>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可對照指引 未給全年營收指引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</si>
  <si>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</si>
  <si>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716.924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</si>
  <si>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</si>
  <si>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</si>
  <si>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</si>
  <si>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38.933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</si>
  <si>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</si>
  <si>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</si>
  <si>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起瀑布新債利息與新股同時影響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</si>
  <si>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</si>
  <si>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</si>
  <si>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</si>
  <si>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8.53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</si>
  <si>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</si>
  <si>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</si>
  <si>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</si>
  <si>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</si>
  <si>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</si>
  <si>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</si>
  <si>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96.31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</si>
  <si>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</si>
  <si>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716.924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382.125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</si>
  <si>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</si>
  <si>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</si>
  <si>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</si>
  <si>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＝−上年同期實際（輸入非空白時；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）；之後＝營收增量的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</si>
  <si>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</si>
  <si>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</si>
  <si>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</si>
  <si>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</si>
  <si>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</si>
  <si>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</si>
  <si>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</si>
  <si>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</si>
  <si>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</si>
  <si>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</si>
  <si>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</si>
  <si>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</si>
  <si>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</si>
  <si>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</si>
  <si>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 UFCF</t>
    </r>
    <r>
      <rPr>
        <sz val="10"/>
        <rFont val="Noto Sans CJK SC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</si>
  <si>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不是永續資產，終值年須持續再投資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</si>
  <si>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</si>
  <si>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</si>
  <si>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</si>
  <si>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</si>
  <si>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</si>
  <si>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</si>
  <si>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</si>
  <si>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</si>
  <si>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</si>
  <si>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</si>
  <si>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</si>
  <si>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：扣瀑布回購現金（淨股權）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</si>
  <si>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</si>
  <si>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</si>
  <si>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</si>
  <si>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</si>
  <si>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</si>
  <si>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</si>
  <si>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</si>
  <si>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</si>
  <si>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</si>
  <si>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</si>
  <si>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</si>
  <si>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</si>
  <si>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</si>
  <si>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</si>
  <si>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</si>
  <si>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</si>
  <si>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</si>
  <si>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</si>
  <si>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</si>
  <si>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</si>
  <si>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</si>
  <si>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</si>
  <si>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Noto Sans CJK SC"/>
        <family val="2"/>
      </rPr>
      <t xml:space="preserve">錨定年度非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</si>
  <si>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倍數（同業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</si>
  <si>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（算力＋服務＋其他）</t>
    </r>
  </si>
  <si>
    <r>
      <rPr>
        <sz val="9"/>
        <color rgb="FF595959"/>
        <rFont val="Noto Sans CJK SC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Noto Sans CJK SC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</si>
  <si>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</si>
  <si>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</si>
  <si>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</si>
  <si>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</si>
  <si>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</si>
  <si>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</si>
  <si>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</si>
  <si>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</si>
  <si>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｜自用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價值中性（自用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計影子收入進評價；讀法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＝影子收入不進評價，主值不變）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</si>
  <si>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影子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</si>
  <si>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k 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 − </t>
    </r>
    <r>
      <rPr>
        <sz val="9"/>
        <color rgb="FF595959"/>
        <rFont val="Noto Sans CJK SC"/>
        <family val="2"/>
      </rPr>
      <t xml:space="preserve">同口徑營運成本：自用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剛好回收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持有成本（不創造也不毀損價值）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</si>
  <si>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</si>
  <si>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</si>
  <si>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｜本期動用（無槓桿）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</si>
  <si>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</si>
  <si>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｜無槓桿所得稅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</si>
  <si>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UFCF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</si>
  <si>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UFCF</t>
    </r>
    <r>
      <rPr>
        <sz val="9"/>
        <color rgb="FF595959"/>
        <rFont val="Noto Sans CJK SC"/>
        <family val="2"/>
      </rPr>
      <t xml:space="preserve">＋影子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稅差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</si>
  <si>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</si>
  <si>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</si>
  <si>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｜終值基準 </t>
    </r>
    <r>
      <rPr>
        <sz val="10"/>
        <rFont val="Arial"/>
        <family val="0"/>
        <charset val="1"/>
      </rPr>
      <t xml:space="preserve">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</si>
  <si>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終值基準＋末期影子現金流差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</si>
  <si>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</si>
  <si>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</si>
  <si>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｜企業價值 </t>
    </r>
    <r>
      <rPr>
        <sz val="10"/>
        <rFont val="Arial"/>
        <family val="0"/>
        <charset val="1"/>
      </rPr>
      <t xml:space="preserve">EV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</si>
  <si>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</si>
  <si>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</si>
  <si>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同股數、同淨負債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</si>
  <si>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</si>
  <si>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</si>
  <si>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加影子 </t>
    </r>
    <r>
      <rPr>
        <sz val="9"/>
        <color rgb="FF595959"/>
        <rFont val="Arial"/>
        <family val="0"/>
        <charset val="1"/>
      </rPr>
      <t xml:space="preserve">EBITDA × AI </t>
    </r>
    <r>
      <rPr>
        <sz val="9"/>
        <color rgb="FF595959"/>
        <rFont val="Noto Sans CJK SC"/>
        <family val="2"/>
      </rPr>
      <t xml:space="preserve">雲端倍數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</si>
  <si>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｜加權目標價</t>
    </r>
  </si>
  <si>
    <r>
      <rPr>
        <sz val="9"/>
        <color rgb="FF595959"/>
        <rFont val="Noto Sans CJK SC"/>
        <family val="2"/>
      </rPr>
      <t xml:space="preserve">只有對外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的超額報酬影響目標價（對照表 </t>
    </r>
    <r>
      <rPr>
        <sz val="9"/>
        <color rgb="FF595959"/>
        <rFont val="Arial"/>
        <family val="0"/>
        <charset val="1"/>
      </rPr>
      <t xml:space="preserve">r1 C16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</si>
  <si>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2 − </t>
    </r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（目標價差額）</t>
    </r>
  </si>
  <si>
    <r>
      <rPr>
        <sz val="9"/>
        <color rgb="FF595959"/>
        <rFont val="Noto Sans CJK SC"/>
        <family val="2"/>
      </rPr>
      <t xml:space="preserve">主值取哪一個是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的判斷（待決）</t>
    </r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</si>
  <si>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</si>
  <si>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</si>
  <si>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</si>
  <si>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</si>
  <si>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</si>
  <si>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</si>
  <si>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</si>
  <si>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</si>
  <si>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</si>
  <si>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</si>
  <si>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</si>
  <si>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</si>
  <si>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</si>
  <si>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</si>
  <si>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</si>
  <si>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</si>
  <si>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</si>
  <si>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</si>
  <si>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</si>
  <si>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</si>
  <si>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</si>
  <si>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</si>
  <si>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</si>
  <si>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</si>
  <si>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</si>
  <si>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</si>
  <si>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</si>
  <si>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</si>
  <si>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</si>
  <si>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</si>
  <si>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</si>
  <si>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</si>
  <si>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</si>
  <si>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</si>
  <si>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t xml:space="preserve">目標價區間｜保守 第三方可辨識站點（加權目標價／評等代碼／距賣出門檻）</t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</si>
  <si>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</si>
  <si>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t xml:space="preserve">目標價區間｜基準 依資本支出指引（加權目標價／評等代碼／距賣出門檻）</t>
  </si>
  <si>
    <t xml:space="preserve">目標價區間｜積極 依公司容量目標（加權目標價／評等代碼／距賣出門檻）</t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</si>
  <si>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</si>
  <si>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</si>
  <si>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</si>
  <si>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</si>
  <si>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</si>
  <si>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</si>
  <si>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｜保守 第三方可辨識站點（加權目標價／讀法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</si>
  <si>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Noto Sans CJK SC"/>
        <family val="2"/>
      </rPr>
      <t xml:space="preserve">重算求得；</t>
    </r>
    <r>
      <rPr>
        <sz val="9"/>
        <color rgb="FF595959"/>
        <rFont val="Arial"/>
        <family val="0"/>
        <charset val="1"/>
      </rPr>
      <t xml:space="preserve">scripts/rv_solve.py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即時計算，</t>
    </r>
    <r>
      <rPr>
        <sz val="9"/>
        <color rgb="FF595959"/>
        <rFont val="Arial"/>
        <family val="0"/>
        <charset val="1"/>
      </rPr>
      <t xml:space="preserve">cmp31 </t>
    </r>
    <r>
      <rPr>
        <sz val="9"/>
        <color rgb="FF595959"/>
        <rFont val="Noto Sans CJK SC"/>
        <family val="2"/>
      </rPr>
      <t xml:space="preserve">比對）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</si>
  <si>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｜基準 依資本支出指引（加權目標價／讀法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</si>
  <si>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｜積極 依公司容量目標（加權目標價／讀法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</si>
  <si>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對外比例敏感度｜−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</si>
  <si>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對外比例敏感度｜＋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</si>
  <si>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</si>
  <si>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</si>
  <si>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11%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</si>
  <si>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4%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</si>
  <si>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6%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</si>
  <si>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分部改用公司自身 </t>
    </r>
    <r>
      <rPr>
        <sz val="10"/>
        <rFont val="Arial"/>
        <family val="0"/>
        <charset val="1"/>
      </rPr>
      <t xml:space="preserve">NTM EV/EBITDA 11.26×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</si>
  <si>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</si>
  <si>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評價口徑敏感度｜組合：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自身倍數＋</t>
    </r>
    <r>
      <rPr>
        <sz val="10"/>
        <rFont val="Arial"/>
        <family val="0"/>
        <charset val="1"/>
      </rPr>
      <t xml:space="preserve">AI 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</si>
  <si>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評價口徑敏感度｜評等翻轉點（</t>
    </r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ERP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</si>
  <si>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｜保守 第三方可辨識站點（價格軸 低／基準／高）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</si>
  <si>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重算）：列＝容量情境（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區）、欄＝價格軸（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：低 長約下緣／基準 </t>
    </r>
    <r>
      <rPr>
        <sz val="9"/>
        <color rgb="FF595959"/>
        <rFont val="Arial"/>
        <family val="0"/>
        <charset val="1"/>
      </rPr>
      <t xml:space="preserve">C1 </t>
    </r>
    <r>
      <rPr>
        <sz val="9"/>
        <color rgb="FF595959"/>
        <rFont val="Noto Sans CJK SC"/>
        <family val="2"/>
      </rPr>
      <t xml:space="preserve">混合／高 現貨改用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牌價）；其餘輸入為預設值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</si>
  <si>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｜基準 依資本支出指引（價格軸 低／基準／高）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</si>
  <si>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｜積極 依公司容量目標（價格軸 低／基準／高）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</si>
  <si>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</si>
  <si>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</si>
  <si>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</si>
  <si>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</si>
  <si>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</si>
  <si>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</si>
  <si>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</si>
  <si>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</si>
  <si>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</si>
  <si>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</si>
  <si>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</si>
  <si>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</si>
  <si>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</si>
  <si>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錨定（加權目標價）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</si>
  <si>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</si>
  <si>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</si>
  <si>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</si>
  <si>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</si>
  <si>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</si>
  <si>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</si>
  <si>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</si>
  <si>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</si>
  <si>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</si>
  <si>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</si>
  <si>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</si>
  <si>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</si>
  <si>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</si>
  <si>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</si>
  <si>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</si>
  <si>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</si>
  <si>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</si>
  <si>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</si>
  <si>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</si>
  <si>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</si>
  <si>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</si>
  <si>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</si>
  <si>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</si>
  <si>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OpenAI Trainium </t>
    </r>
    <r>
      <rPr>
        <sz val="9"/>
        <color rgb="FF595959"/>
        <rFont val="Noto Sans CJK SC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6.25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US$m/MW-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</si>
  <si>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</si>
  <si>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</si>
  <si>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＋自建機房）約 </t>
    </r>
    <r>
      <rPr>
        <sz val="9"/>
        <color rgb="FF595959"/>
        <rFont val="Arial"/>
        <family val="0"/>
        <charset val="1"/>
      </rPr>
      <t xml:space="preserve">$47.6m/MW-IT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</si>
  <si>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</si>
  <si>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</si>
  <si>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</si>
  <si>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2030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</si>
  <si>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</si>
  <si>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率維度：非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率與同業倍數）不隨此表變動，表內只測算力業務的單位經濟</t>
    </r>
  </si>
  <si>
    <r>
      <rPr>
        <sz val="10"/>
        <rFont val="Arial"/>
        <family val="0"/>
        <charset val="1"/>
      </rPr>
      <t xml:space="preserve">$31.5m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</si>
  <si>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$36.0m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</si>
  <si>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$40.5m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</si>
  <si>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$45.0m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</si>
  <si>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$49.6m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</si>
  <si>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</si>
  <si>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</si>
  <si>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</si>
  <si>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</si>
  <si>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</si>
  <si>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</si>
  <si>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</si>
  <si>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</si>
  <si>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</si>
  <si>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</si>
  <si>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</si>
  <si>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</si>
  <si>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</si>
  <si>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</si>
  <si>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</si>
  <si>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</si>
  <si>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</si>
  <si>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</si>
  <si>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</si>
  <si>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</si>
  <si>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</si>
  <si>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</si>
  <si>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</si>
  <si>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</si>
  <si>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</si>
  <si>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</si>
  <si>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</si>
  <si>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</si>
  <si>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</si>
  <si>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AMZN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 2026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</si>
  <si>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 2026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</si>
  <si>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96.32</t>
    </r>
  </si>
  <si>
    <r>
      <rPr>
        <sz val="10"/>
        <rFont val="Arial"/>
        <family val="0"/>
        <charset val="1"/>
      </rPr>
      <t xml:space="preserve">AMZN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2027E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</si>
  <si>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</si>
  <si>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Noto Sans CJK SC"/>
        <family val="2"/>
      </rPr>
      <t xml:space="preserve">為整體公司（零售＋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</si>
  <si>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Noto Sans CJK SC"/>
        <family val="2"/>
      </rPr>
      <t xml:space="preserve">以自建為主（另有未起租承諾 </t>
    </r>
    <r>
      <rPr>
        <sz val="9"/>
        <color rgb="FF595959"/>
        <rFont val="Arial"/>
        <family val="0"/>
        <charset val="1"/>
      </rPr>
      <t xml:space="preserve">137.2B </t>
    </r>
    <r>
      <rPr>
        <sz val="9"/>
        <color rgb="FF595959"/>
        <rFont val="Noto Sans CJK SC"/>
        <family val="2"/>
      </rPr>
      <t xml:space="preserve">尚未入表）。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</si>
  <si>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Noto Sans CJK SC"/>
        <family val="2"/>
      </rPr>
      <t xml:space="preserve">模型列。此表為市場比較用，不進入目標價。</t>
    </r>
  </si>
  <si>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增量報酬：對外 </t>
    </r>
    <r>
      <rPr>
        <b val="true"/>
        <sz val="14"/>
        <rFont val="Arial"/>
        <family val="0"/>
        <charset val="1"/>
      </rPr>
      <t xml:space="preserve">AI ROIC </t>
    </r>
    <r>
      <rPr>
        <b val="true"/>
        <sz val="14"/>
        <rFont val="Noto Sans CJK SC"/>
        <family val="2"/>
      </rPr>
      <t xml:space="preserve">＝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對外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雲端 </t>
    </r>
    <r>
      <rPr>
        <b val="true"/>
        <sz val="14"/>
        <rFont val="Arial"/>
        <family val="0"/>
        <charset val="1"/>
      </rPr>
      <t xml:space="preserve">EBITDA − AI </t>
    </r>
    <r>
      <rPr>
        <b val="true"/>
        <sz val="14"/>
        <rFont val="Noto Sans CJK SC"/>
        <family val="2"/>
      </rPr>
      <t xml:space="preserve">折舊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)×(1 − </t>
    </r>
    <r>
      <rPr>
        <b val="true"/>
        <sz val="14"/>
        <rFont val="Noto Sans CJK SC"/>
        <family val="2"/>
      </rPr>
      <t xml:space="preserve">稅率</t>
    </r>
    <r>
      <rPr>
        <b val="true"/>
        <sz val="14"/>
        <rFont val="Arial"/>
        <family val="0"/>
        <charset val="1"/>
      </rPr>
      <t xml:space="preserve">) ÷ (</t>
    </r>
    <r>
      <rPr>
        <b val="true"/>
        <sz val="14"/>
        <rFont val="Noto Sans CJK SC"/>
        <family val="2"/>
      </rPr>
      <t xml:space="preserve">平均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投入資本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Noto Sans CJK SC"/>
        <family val="2"/>
      </rPr>
      <t xml:space="preserve">，對 </t>
    </r>
    <r>
      <rPr>
        <b val="true"/>
        <sz val="14"/>
        <rFont val="Arial"/>
        <family val="0"/>
        <charset val="1"/>
      </rPr>
      <t xml:space="preserve">WACC</t>
    </r>
  </si>
  <si>
    <r>
      <rPr>
        <sz val="9"/>
        <color rgb="FF595959"/>
        <rFont val="Noto Sans CJK SC"/>
        <family val="2"/>
      </rPr>
      <t xml:space="preserve">年化＝模型期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期間長度（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只含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）；投入資本（全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淨額比＋累計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成長型與汰換 − 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折舊；對外口徑＝投入資本與折舊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對外比例（主值）；全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口徑（含影子收入）只作對照；打平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＝使錨定期對外 </t>
    </r>
    <r>
      <rPr>
        <sz val="9"/>
        <color rgb="FF595959"/>
        <rFont val="Arial"/>
        <family val="0"/>
        <charset val="1"/>
      </rPr>
      <t xml:space="preserve">AI ROIC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（解出的門檻，不是輸入）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</si>
  <si>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</si>
  <si>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</si>
  <si>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營運成本推得（輸入與假設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</si>
  <si>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</si>
  <si>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營運成本（年化）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</si>
  <si>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折舊（年化）</t>
    </r>
  </si>
  <si>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分池（輸入與假設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</si>
  <si>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Noto Sans CJK SC"/>
        <family val="2"/>
      </rPr>
      <t xml:space="preserve">有效在役對外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</si>
  <si>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（平均）</t>
    </r>
  </si>
  <si>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）：收入照算、投入資本與折舊不計</t>
    </r>
  </si>
  <si>
    <r>
      <rPr>
        <sz val="10"/>
        <rFont val="Noto Sans CJK SC"/>
        <family val="2"/>
      </rPr>
      <t xml:space="preserve">自有對外占自有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</si>
  <si>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投入資本與折舊按此比例分攤（無租用時＝對外比例；</t>
    </r>
    <r>
      <rPr>
        <sz val="9"/>
        <color rgb="FF595959"/>
        <rFont val="Arial"/>
        <family val="0"/>
        <charset val="1"/>
      </rPr>
      <t xml:space="preserve">C11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</si>
  <si>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機房年租金（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機房成本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資本回收係數）</t>
    </r>
  </si>
  <si>
    <r>
      <rPr>
        <sz val="9"/>
        <color rgb="FF595959"/>
        <rFont val="Noto Sans CJK SC"/>
        <family val="2"/>
      </rPr>
      <t xml:space="preserve">出租方打平租金＝在役世代加權 </t>
    </r>
    <r>
      <rPr>
        <sz val="9"/>
        <color rgb="FF595959"/>
        <rFont val="Arial"/>
        <family val="0"/>
        <charset val="1"/>
      </rPr>
      <t xml:space="preserve">TK_CapexFacility × 10% </t>
    </r>
    <r>
      <rPr>
        <sz val="9"/>
        <color rgb="FF595959"/>
        <rFont val="Noto Sans CJK SC"/>
        <family val="2"/>
      </rPr>
      <t xml:space="preserve">資本回收係數（機房年限）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</si>
  <si>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機房租金（自有對外 </t>
    </r>
    <r>
      <rPr>
        <sz val="10"/>
        <rFont val="Arial"/>
        <family val="0"/>
        <charset val="1"/>
      </rPr>
      <t xml:space="preserve">MW ×(1 − </t>
    </r>
    <r>
      <rPr>
        <sz val="10"/>
        <rFont val="Noto Sans CJK SC"/>
        <family val="2"/>
      </rPr>
      <t xml:space="preserve">自建比例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</si>
  <si>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增量報酬（資金與評價的租金現金已在租賃承諾內，不重複扣；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</si>
  <si>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租金</t>
    </r>
  </si>
  <si>
    <r>
      <rPr>
        <sz val="9"/>
        <color rgb="FF595959"/>
        <rFont val="Noto Sans CJK SC"/>
        <family val="2"/>
      </rPr>
      <t xml:space="preserve">＝租用對外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年租金（</t>
    </r>
    <r>
      <rPr>
        <sz val="9"/>
        <color rgb="FF595959"/>
        <rFont val="Arial"/>
        <family val="0"/>
        <charset val="1"/>
      </rPr>
      <t xml:space="preserve">capexModel.rentedExt.rentMW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</si>
  <si>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EBITDA</t>
    </r>
    <r>
      <rPr>
        <sz val="10"/>
        <rFont val="Noto Sans CJK SC"/>
        <family val="2"/>
      </rPr>
      <t xml:space="preserve">（扣租金）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</si>
  <si>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折舊（年化，按對外比例分攤）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</si>
  <si>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NOPAT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</si>
  <si>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對外折舊</t>
    </r>
    <r>
      <rPr>
        <sz val="9"/>
        <color rgb="FF595959"/>
        <rFont val="Arial"/>
        <family val="0"/>
        <charset val="1"/>
      </rPr>
      <t xml:space="preserve">)×(1 −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</si>
  <si>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投入資本（期初）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</si>
  <si>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淨額比；之後＝前期期末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</si>
  <si>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投入（成長型＋汰換，模型期）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</si>
  <si>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投入資本（期末）</t>
    </r>
  </si>
  <si>
    <r>
      <rPr>
        <sz val="9"/>
        <color rgb="FF595959"/>
        <rFont val="Noto Sans CJK SC"/>
        <family val="2"/>
      </rPr>
      <t xml:space="preserve">＝期初＋投入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</si>
  <si>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平均投入資本（按對外比例分攤）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</si>
  <si>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（主值）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</si>
  <si>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NOPAT ÷ </t>
    </r>
    <r>
      <rPr>
        <sz val="9"/>
        <color rgb="FF595959"/>
        <rFont val="Noto Sans CJK SC"/>
        <family val="2"/>
      </rPr>
      <t xml:space="preserve">對外平均投入資本（對照表 </t>
    </r>
    <r>
      <rPr>
        <sz val="9"/>
        <color rgb="FF595959"/>
        <rFont val="Arial"/>
        <family val="0"/>
        <charset val="1"/>
      </rPr>
      <t xml:space="preserve">r1 C11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</si>
  <si>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 − WACC</t>
    </r>
  </si>
  <si>
    <r>
      <rPr>
        <sz val="9"/>
        <color rgb="FF595959"/>
        <rFont val="Noto Sans CJK SC"/>
        <family val="2"/>
      </rPr>
      <t xml:space="preserve">負值＝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投資未賺到資金成本</t>
    </r>
  </si>
  <si>
    <r>
      <rPr>
        <sz val="10"/>
        <rFont val="Noto Sans CJK SC"/>
        <family val="2"/>
      </rPr>
      <t xml:space="preserve">影子收入（自用 </t>
    </r>
    <r>
      <rPr>
        <sz val="10"/>
        <rFont val="Arial"/>
        <family val="0"/>
        <charset val="1"/>
      </rPr>
      <t xml:space="preserve">AI 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年收入，年化）</t>
    </r>
  </si>
  <si>
    <r>
      <rPr>
        <sz val="9"/>
        <color rgb="FF595959"/>
        <rFont val="Noto Sans CJK SC"/>
        <family val="2"/>
      </rPr>
      <t xml:space="preserve">自用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</t>
    </r>
    <r>
      <rPr>
        <sz val="9"/>
        <color rgb="FF595959"/>
        <rFont val="Noto Sans CJK SC"/>
        <family val="2"/>
      </rPr>
      <t xml:space="preserve">；只作對照，不進評價（對照表 </t>
    </r>
    <r>
      <rPr>
        <sz val="9"/>
        <color rgb="FF595959"/>
        <rFont val="Arial"/>
        <family val="0"/>
        <charset val="1"/>
      </rPr>
      <t xml:space="preserve">r1 D2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</si>
  <si>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全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（含影子收入，對照）</t>
    </r>
  </si>
  <si>
    <r>
      <rPr>
        <sz val="9"/>
        <color rgb="FF595959"/>
        <rFont val="Noto Sans CJK SC"/>
        <family val="2"/>
      </rPr>
      <t xml:space="preserve">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機房租金＝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自建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機房年租金（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</si>
  <si>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打平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（使 </t>
    </r>
    <r>
      <rPr>
        <b val="true"/>
        <sz val="10"/>
        <rFont val="Arial"/>
        <family val="0"/>
        <charset val="1"/>
      </rPr>
      <t xml:space="preserve">2029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WACC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</si>
  <si>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 ×(WACC × </t>
    </r>
    <r>
      <rPr>
        <sz val="9"/>
        <color rgb="FF595959"/>
        <rFont val="Noto Sans CJK SC"/>
        <family val="2"/>
      </rPr>
      <t xml:space="preserve">對外平均投入資本 </t>
    </r>
    <r>
      <rPr>
        <sz val="9"/>
        <color rgb="FF595959"/>
        <rFont val="Arial"/>
        <family val="0"/>
        <charset val="1"/>
      </rPr>
      <t xml:space="preserve">÷ 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＋營運成本＋租金＋對外折舊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線性，閉式解；對外口徑）</t>
    </r>
  </si>
  <si>
    <r>
      <rPr>
        <sz val="10"/>
        <rFont val="Noto Sans CJK SC"/>
        <family val="2"/>
      </rPr>
      <t xml:space="preserve">目前採用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</si>
  <si>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Arial"/>
        <family val="0"/>
        <charset val="1"/>
      </rPr>
      <t xml:space="preserve">C15 </t>
    </r>
    <r>
      <rPr>
        <b val="true"/>
        <sz val="10"/>
        <rFont val="Noto Sans CJK SC"/>
        <family val="2"/>
      </rPr>
      <t xml:space="preserve">一致性檢查（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Noto Sans CJK SC"/>
        <family val="2"/>
      </rPr>
      <t xml:space="preserve">，對外口徑；序列拆解，各步差額加總＝總差距）</t>
    </r>
  </si>
  <si>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隱含報酬（</t>
    </r>
    <r>
      <rPr>
        <sz val="10"/>
        <rFont val="Arial"/>
        <family val="0"/>
        <charset val="1"/>
      </rPr>
      <t xml:space="preserve">Tokenomics WACC</t>
    </r>
    <r>
      <rPr>
        <sz val="10"/>
        <rFont val="Noto Sans CJK SC"/>
        <family val="2"/>
      </rPr>
      <t xml:space="preserve">，經濟口徑）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</si>
  <si>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的資本回收年金折現率：</t>
    </r>
    <r>
      <rPr>
        <sz val="9"/>
        <color rgb="FF595959"/>
        <rFont val="Arial"/>
        <family val="0"/>
        <charset val="1"/>
      </rPr>
      <t xml:space="preserve">Tokenomics Inputs!E28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（經濟口徑）」基準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builder v5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L1_HoldEconGW</t>
    </r>
    <r>
      <rPr>
        <sz val="9"/>
        <color rgb="FF595959"/>
        <rFont val="Noto Sans CJK SC"/>
        <family val="2"/>
      </rPr>
      <t xml:space="preserve">＝資本回收年金（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）＋營運費用）；非具名範圍，換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版本時核對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；只用於一致性檢查（對照表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</si>
  <si>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（有效，＝營收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</si>
  <si>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自有在役對外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 − 租用）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</si>
  <si>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，不含晶片係數）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</si>
  <si>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營運成本（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IF_OpexGW</t>
    </r>
    <r>
      <rPr>
        <sz val="10"/>
        <rFont val="Noto Sans CJK SC"/>
        <family val="2"/>
      </rPr>
      <t xml:space="preserve">）</t>
    </r>
  </si>
  <si>
    <t xml:space="preserve">累計汰換（對外，至錨定期中點）</t>
  </si>
  <si>
    <r>
      <rPr>
        <sz val="10"/>
        <rFont val="Noto Sans CJK SC"/>
        <family val="2"/>
      </rPr>
      <t xml:space="preserve">穩態投入資本（自有在役 </t>
    </r>
    <r>
      <rPr>
        <sz val="10"/>
        <rFont val="Arial"/>
        <family val="0"/>
        <charset val="1"/>
      </rPr>
      <t xml:space="preserve">MW ×(IT</t>
    </r>
    <r>
      <rPr>
        <sz val="10"/>
        <rFont val="Noto Sans CJK SC"/>
        <family val="2"/>
      </rPr>
      <t xml:space="preserve">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</t>
    </r>
    <r>
      <rPr>
        <sz val="10"/>
        <rFont val="Arial"/>
        <family val="0"/>
        <charset val="1"/>
      </rPr>
      <t xml:space="preserve">)× 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</si>
  <si>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穩態折舊（自有在役 </t>
    </r>
    <r>
      <rPr>
        <sz val="10"/>
        <rFont val="Arial"/>
        <family val="0"/>
        <charset val="1"/>
      </rPr>
      <t xml:space="preserve">MW ×(IT ÷ </t>
    </r>
    <r>
      <rPr>
        <sz val="10"/>
        <rFont val="Noto Sans CJK SC"/>
        <family val="2"/>
      </rPr>
      <t xml:space="preserve">壽命＋自建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機房壽命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</si>
  <si>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穩態投入資本（全部自有、自建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</si>
  <si>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</si>
  <si>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｜模型對外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（稅後）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</si>
  <si>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｜稅前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</si>
  <si>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</si>
  <si>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｜營運成本改 </t>
    </r>
    <r>
      <rPr>
        <sz val="10"/>
        <rFont val="Arial"/>
        <family val="0"/>
        <charset val="1"/>
      </rPr>
      <t xml:space="preserve">Tokenomics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</si>
  <si>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｜移除汰換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</si>
  <si>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｜穩態（無爬坡／閒置）</t>
    </r>
  </si>
  <si>
    <r>
      <rPr>
        <b val="true"/>
        <sz val="10"/>
        <rFont val="Noto Sans CJK SC"/>
        <family val="2"/>
      </rPr>
      <t xml:space="preserve">階段 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｜全部自有、自建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、無租金＝乾淨稅前 </t>
    </r>
    <r>
      <rPr>
        <b val="true"/>
        <sz val="10"/>
        <rFont val="Arial"/>
        <family val="0"/>
        <charset val="1"/>
      </rPr>
      <t xml:space="preserve">ROIC</t>
    </r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</si>
  <si>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成本、無爬坡延遲、無稅（對照表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</si>
  <si>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t xml:space="preserve">拆解｜稅（稅後 → 稅前）</t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</si>
  <si>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</si>
  <si>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拆解｜營運成本來源（模型 → </t>
    </r>
    <r>
      <rPr>
        <sz val="10"/>
        <rFont val="Arial"/>
        <family val="0"/>
        <charset val="1"/>
      </rPr>
      <t xml:space="preserve">Tokenomics IF_OpexGW</t>
    </r>
    <r>
      <rPr>
        <sz val="10"/>
        <rFont val="Noto Sans CJK SC"/>
        <family val="2"/>
      </rPr>
      <t xml:space="preserve">）</t>
    </r>
  </si>
  <si>
    <t xml:space="preserve">拆解｜汰換（自投入資本與折舊移除累計汰換）</t>
  </si>
  <si>
    <r>
      <rPr>
        <sz val="10"/>
        <rFont val="Noto Sans CJK SC"/>
        <family val="2"/>
      </rPr>
      <t xml:space="preserve">拆解｜爬坡／閒置（投入資本與折舊改為自有在役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穩態，淨額比 </t>
    </r>
    <r>
      <rPr>
        <sz val="10"/>
        <rFont val="Arial"/>
        <family val="0"/>
        <charset val="1"/>
      </rPr>
      <t xml:space="preserve">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</si>
  <si>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拆解｜機房與租用（全部自有、自建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、無租金）</t>
    </r>
  </si>
  <si>
    <r>
      <rPr>
        <sz val="10"/>
        <rFont val="Noto Sans CJK SC"/>
        <family val="2"/>
      </rPr>
      <t xml:space="preserve">拆解｜會計口徑殘差（平均淨帳面 </t>
    </r>
    <r>
      <rPr>
        <sz val="10"/>
        <rFont val="Arial"/>
        <family val="0"/>
        <charset val="1"/>
      </rPr>
      <t xml:space="preserve">vs 10% </t>
    </r>
    <r>
      <rPr>
        <sz val="10"/>
        <rFont val="Noto Sans CJK SC"/>
        <family val="2"/>
      </rPr>
      <t xml:space="preserve">年金）</t>
    </r>
  </si>
  <si>
    <r>
      <rPr>
        <b val="true"/>
        <sz val="10"/>
        <rFont val="Noto Sans CJK SC"/>
        <family val="2"/>
      </rPr>
      <t xml:space="preserve">總差距（</t>
    </r>
    <r>
      <rPr>
        <b val="true"/>
        <sz val="10"/>
        <rFont val="Arial"/>
        <family val="0"/>
        <charset val="1"/>
      </rPr>
      <t xml:space="preserve">IF_HoldEcon </t>
    </r>
    <r>
      <rPr>
        <b val="true"/>
        <sz val="10"/>
        <rFont val="Noto Sans CJK SC"/>
        <family val="2"/>
      </rPr>
      <t xml:space="preserve">隱含報酬 − 模型稅後）</t>
    </r>
  </si>
  <si>
    <t xml:space="preserve">＝上方各拆解項加總</t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</si>
  <si>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</si>
  <si>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</si>
  <si>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</si>
  <si>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</si>
  <si>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</si>
  <si>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70.3125%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</si>
  <si>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</si>
  <si>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</si>
  <si>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</si>
  <si>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</si>
  <si>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</si>
  <si>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</si>
  <si>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220–220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</si>
  <si>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220–220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</si>
  <si>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</si>
  <si>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未給全年營收指引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</si>
  <si>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382.125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</si>
  <si>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參考付費營收（利用率層，五期最高）</t>
    </r>
  </si>
  <si>
    <t xml:space="preserve">≤50%</t>
  </si>
  <si>
    <r>
      <rPr>
        <sz val="9"/>
        <color rgb="FF595959"/>
        <rFont val="Noto Sans CJK SC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四層瀑布皆標「上限，不得作預測」：本模型只作檢查，不作收入輸入（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</si>
  <si>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參考付費營收（生產折減層，五期最高）</t>
    </r>
  </si>
  <si>
    <r>
      <rPr>
        <sz val="9"/>
        <color rgb="FF595959"/>
        <rFont val="Arial"/>
        <family val="0"/>
        <charset val="1"/>
      </rPr>
      <t xml:space="preserve">≤100%</t>
    </r>
    <r>
      <rPr>
        <sz val="9"/>
        <color rgb="FF595959"/>
        <rFont val="Noto Sans CJK SC"/>
        <family val="2"/>
      </rPr>
      <t xml:space="preserve">（硬上限）</t>
    </r>
  </si>
  <si>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Noto Sans CJK SC"/>
        <family val="2"/>
      </rPr>
      <t xml:space="preserve">（利用率層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生產折減）；超過即標紅並寫入報告（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</si>
  <si>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世代在役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 −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</si>
  <si>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新增占比合計須為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、期初占比合計須為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</si>
  <si>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雲端（殘差）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模型期營收</t>
    </r>
  </si>
  <si>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0 ≤ </t>
    </r>
    <r>
      <rPr>
        <sz val="9"/>
        <color rgb="FF595959"/>
        <rFont val="Noto Sans CJK SC"/>
        <family val="2"/>
      </rPr>
      <t xml:space="preserve">年增率 ≤ 雲端分部年增率</t>
    </r>
  </si>
  <si>
    <r>
      <rPr>
        <sz val="9"/>
        <color rgb="FF595959"/>
        <rFont val="Noto Sans CJK SC"/>
        <family val="2"/>
      </rPr>
      <t xml:space="preserve">殘差為負或推估年增率不合理時示警；不回頭改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（敏感度見報告）</t>
    </r>
  </si>
  <si>
    <r>
      <rPr>
        <sz val="10"/>
        <rFont val="Noto Sans CJK SC"/>
        <family val="2"/>
      </rPr>
      <t xml:space="preserve">公司 </t>
    </r>
    <r>
      <rPr>
        <sz val="10"/>
        <rFont val="Arial"/>
        <family val="0"/>
        <charset val="1"/>
      </rPr>
      <t xml:space="preserve">AI run-rate </t>
    </r>
    <r>
      <rPr>
        <sz val="10"/>
        <rFont val="Noto Sans CJK SC"/>
        <family val="2"/>
      </rPr>
      <t xml:space="preserve">驗證（模型評價日年化）</t>
    </r>
  </si>
  <si>
    <r>
      <rPr>
        <sz val="9"/>
        <color rgb="FF595959"/>
        <rFont val="Arial"/>
        <family val="0"/>
        <charset val="1"/>
      </rPr>
      <t xml:space="preserve">≥25</t>
    </r>
    <r>
      <rPr>
        <sz val="9"/>
        <color rgb="FF595959"/>
        <rFont val="Noto Sans CJK SC"/>
        <family val="2"/>
      </rPr>
      <t xml:space="preserve">（公司說法）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</si>
  <si>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對帳：指引隱含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建置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</si>
  <si>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±20%</t>
    </r>
  </si>
  <si>
    <r>
      <rPr>
        <sz val="10"/>
        <rFont val="Arial"/>
        <family val="0"/>
        <charset val="1"/>
      </rPr>
      <t xml:space="preserve">2029 </t>
    </r>
    <r>
      <rPr>
        <sz val="10"/>
        <rFont val="Noto Sans CJK SC"/>
        <family val="2"/>
      </rPr>
      <t xml:space="preserve">一致性：對外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稅前 </t>
    </r>
    <r>
      <rPr>
        <sz val="10"/>
        <rFont val="Arial"/>
        <family val="0"/>
        <charset val="1"/>
      </rPr>
      <t xml:space="preserve">ROIC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成本、穩態、無稅）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</si>
  <si>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10% ±5pt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</si>
  <si>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模型期初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</si>
  <si>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±10% ×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年化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</si>
  <si>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</si>
  <si>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</si>
  <si>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</si>
  <si>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</si>
  <si>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</si>
  <si>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</si>
  <si>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</si>
  <si>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≥2.1</t>
  </si>
  <si>
    <r>
      <rPr>
        <sz val="10"/>
        <rFont val="Arial"/>
        <family val="0"/>
        <charset val="1"/>
      </rPr>
      <t xml:space="preserve">2028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</si>
  <si>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</si>
  <si>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2028–2030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</si>
  <si>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</si>
  <si>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</si>
  <si>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</si>
  <si>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</si>
  <si>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</si>
  <si>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</si>
  <si>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</si>
  <si>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</si>
  <si>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</si>
  <si>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</si>
  <si>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</si>
  <si>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≥50.0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</si>
  <si>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</si>
  <si>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</si>
  <si>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132.995 − </t>
    </r>
    <r>
      <rPr>
        <sz val="10"/>
        <rFont val="Noto Sans CJK SC"/>
        <family val="2"/>
      </rPr>
      <t xml:space="preserve">以股換債 ＋ 期後新發</t>
    </r>
  </si>
  <si>
    <t xml:space="preserve">132.995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</si>
  <si>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</si>
  <si>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</si>
  <si>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</si>
  <si>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</si>
  <si>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</si>
  <si>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</si>
  <si>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</si>
  <si>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</si>
  <si>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</si>
  <si>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</si>
  <si>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Noto Sans CJK SC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</si>
  <si>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</si>
  <si>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496 × 46.875%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排程高於模型產能營收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</si>
  <si>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年初至今實際＋模型期 − 全年（四線合計）</t>
    </r>
  </si>
  <si>
    <r>
      <rPr>
        <sz val="9"/>
        <color rgb="FF595959"/>
        <rFont val="Noto Sans CJK SC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</si>
  <si>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</si>
  <si>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</si>
  <si>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Noto Sans CJK SC"/>
        <family val="2"/>
      </rPr>
      <t xml:space="preserve">關聯方並排（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／年；只讀，不回饋計算）：合約年化與兩家模型快照；對手方集中度＝合約年化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雲端收入（年化）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</si>
  <si>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NVIDIA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$38B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</si>
  <si>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公告；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年底前部署（事實總帳 </t>
    </r>
    <r>
      <rPr>
        <sz val="9"/>
        <color rgb="FF595959"/>
        <rFont val="Arial"/>
        <family val="0"/>
        <charset val="1"/>
      </rPr>
      <t xml:space="preserve">contract.openai.nv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；年化＝總額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</si>
  <si>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（擴大，</t>
    </r>
    <r>
      <rPr>
        <sz val="10"/>
        <rFont val="Arial"/>
        <family val="0"/>
        <charset val="1"/>
      </rPr>
      <t xml:space="preserve">$100B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年，含約 </t>
    </r>
    <r>
      <rPr>
        <sz val="10"/>
        <rFont val="Arial"/>
        <family val="0"/>
        <charset val="1"/>
      </rPr>
      <t xml:space="preserve">2 GW Trainium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</si>
  <si>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事實總帳 </t>
    </r>
    <r>
      <rPr>
        <sz val="9"/>
        <color rgb="FF595959"/>
        <rFont val="Arial"/>
        <family val="0"/>
        <charset val="1"/>
      </rPr>
      <t xml:space="preserve">contract.openai.trn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</si>
  <si>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&gt;$100B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年，至多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</si>
  <si>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（下限）；事實總帳 </t>
    </r>
    <r>
      <rPr>
        <sz val="9"/>
        <color rgb="FF595959"/>
        <rFont val="Arial"/>
        <family val="0"/>
        <charset val="1"/>
      </rPr>
      <t xml:space="preserve">contract.anthropic [Interested-party]</t>
    </r>
  </si>
  <si>
    <t xml:space="preserve">關聯方｜合約年化合計</t>
  </si>
  <si>
    <r>
      <rPr>
        <sz val="10"/>
        <rFont val="Noto Sans CJK SC"/>
        <family val="2"/>
      </rPr>
      <t xml:space="preserve">關聯方｜對外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雲端收入（年化）</t>
    </r>
  </si>
  <si>
    <r>
      <rPr>
        <b val="true"/>
        <sz val="10"/>
        <rFont val="Noto Sans CJK SC"/>
        <family val="2"/>
      </rPr>
      <t xml:space="preserve">關聯方｜對手方集中度（合約年化 </t>
    </r>
    <r>
      <rPr>
        <b val="true"/>
        <sz val="10"/>
        <rFont val="Arial"/>
        <family val="0"/>
        <charset val="1"/>
      </rPr>
      <t xml:space="preserve">÷ AI </t>
    </r>
    <r>
      <rPr>
        <b val="true"/>
        <sz val="10"/>
        <rFont val="Noto Sans CJK SC"/>
        <family val="2"/>
      </rPr>
      <t xml:space="preserve">雲端收入）</t>
    </r>
  </si>
  <si>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雲端承諾 ≥</t>
    </r>
    <r>
      <rPr>
        <sz val="9"/>
        <color rgb="FF595959"/>
        <rFont val="Arial"/>
        <family val="0"/>
        <charset val="1"/>
      </rPr>
      <t xml:space="preserve">238B ÷ RPO 496B</t>
    </r>
    <r>
      <rPr>
        <sz val="9"/>
        <color rgb="FF595959"/>
        <rFont val="Noto Sans CJK SC"/>
        <family val="2"/>
      </rPr>
      <t xml:space="preserve">，上限約 </t>
    </r>
    <r>
      <rPr>
        <sz val="9"/>
        <color rgb="FF595959"/>
        <rFont val="Arial"/>
        <family val="0"/>
        <charset val="1"/>
      </rPr>
      <t xml:space="preserve">48%</t>
    </r>
    <r>
      <rPr>
        <sz val="9"/>
        <color rgb="FF595959"/>
        <rFont val="Noto Sans CJK SC"/>
        <family val="2"/>
      </rPr>
      <t xml:space="preserve">（一手比例不存在；事實總帳 </t>
    </r>
    <r>
      <rPr>
        <sz val="9"/>
        <color rgb="FF595959"/>
        <rFont val="Arial"/>
        <family val="0"/>
        <charset val="1"/>
      </rPr>
      <t xml:space="preserve">rel.rpoShare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</si>
  <si>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AWS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</si>
  <si>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）成品快照；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占既有雲端約 </t>
    </r>
    <r>
      <rPr>
        <sz val="9"/>
        <color rgb="FF595959"/>
        <rFont val="Arial"/>
        <family val="0"/>
        <charset val="1"/>
      </rPr>
      <t xml:space="preserve">48%</t>
    </r>
    <r>
      <rPr>
        <sz val="9"/>
        <color rgb="FF595959"/>
        <rFont val="Noto Sans CJK SC"/>
        <family val="2"/>
      </rPr>
      <t xml:space="preserve">（只讀，不連動）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</si>
  <si>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openai/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AWS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NVIDIA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Trainium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</si>
  <si>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openai/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）成品快照（只讀，不連動）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</si>
  <si>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</si>
  <si>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</si>
  <si>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</si>
  <si>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</si>
  <si>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</si>
  <si>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</si>
  <si>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</si>
  <si>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</si>
  <si>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</si>
  <si>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</si>
  <si>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</si>
  <si>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</si>
  <si>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</si>
  <si>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</si>
  <si>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</si>
  <si>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</si>
  <si>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</si>
  <si>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</si>
  <si>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v0.2</t>
  </si>
  <si>
    <t xml:space="preserve">10-11</t>
  </si>
  <si>
    <r>
      <rPr>
        <sz val="10"/>
        <rFont val="Noto Sans CJK SC"/>
        <family val="2"/>
      </rPr>
      <t xml:space="preserve">接 </t>
    </r>
    <r>
      <rPr>
        <sz val="10"/>
        <rFont val="Arial"/>
        <family val="0"/>
        <charset val="1"/>
      </rPr>
      <t xml:space="preserve">Tokenomics v5.31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f16f161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機架價格 −</t>
    </r>
    <r>
      <rPr>
        <sz val="10"/>
        <rFont val="Arial"/>
        <family val="0"/>
        <charset val="1"/>
      </rPr>
      <t xml:space="preserve">14%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維護改兩段機齡 → </t>
    </r>
    <r>
      <rPr>
        <sz val="10"/>
        <rFont val="Arial"/>
        <family val="0"/>
        <charset val="1"/>
      </rPr>
      <t xml:space="preserve">IF_HoldEcon GB300 −14%</t>
    </r>
    <r>
      <rPr>
        <sz val="10"/>
        <rFont val="Noto Sans CJK SC"/>
        <family val="2"/>
      </rPr>
      <t xml:space="preserve">、其他世代 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～−</t>
    </r>
    <r>
      <rPr>
        <sz val="10"/>
        <rFont val="Arial"/>
        <family val="0"/>
        <charset val="1"/>
      </rPr>
      <t xml:space="preserve">4%</t>
    </r>
    <r>
      <rPr>
        <sz val="10"/>
        <rFont val="Noto Sans CJK SC"/>
        <family val="2"/>
      </rPr>
      <t xml:space="preserve">）；快照補四層瀑布 </t>
    </r>
    <r>
      <rPr>
        <sz val="10"/>
        <rFont val="Arial"/>
        <family val="0"/>
        <charset val="1"/>
      </rPr>
      <t xml:space="preserve">IFW_RevGWFleet_*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；上限檢查改四層瀑布（利用率層 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示警、生產折減層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硬上限）；</t>
    </r>
    <r>
      <rPr>
        <sz val="10"/>
        <rFont val="Arial"/>
        <family val="0"/>
        <charset val="1"/>
      </rPr>
      <t xml:space="preserve">C10 </t>
    </r>
    <r>
      <rPr>
        <sz val="10"/>
        <rFont val="Noto Sans CJK SC"/>
        <family val="2"/>
      </rPr>
      <t xml:space="preserve">重解基準速度 </t>
    </r>
    <r>
      <rPr>
        <sz val="10"/>
        <rFont val="Arial"/>
        <family val="0"/>
        <charset val="1"/>
      </rPr>
      <t xml:space="preserve">3,173.5 → 3,628.8 MW</t>
    </r>
    <r>
      <rPr>
        <sz val="10"/>
        <rFont val="Noto Sans CJK SC"/>
        <family val="2"/>
      </rPr>
      <t xml:space="preserve">／年</t>
    </r>
  </si>
  <si>
    <t xml:space="preserve">$199.3</t>
  </si>
  <si>
    <r>
      <rPr>
        <sz val="10"/>
        <rFont val="Arial"/>
        <family val="0"/>
        <charset val="1"/>
      </rPr>
      <t xml:space="preserve">+$0.99</t>
    </r>
    <r>
      <rPr>
        <sz val="10"/>
        <rFont val="Noto Sans CJK SC"/>
        <family val="2"/>
      </rPr>
      <t xml:space="preserve">（基準讀法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收入錨 −</t>
    </r>
    <r>
      <rPr>
        <sz val="10"/>
        <rFont val="Arial"/>
        <family val="0"/>
        <charset val="1"/>
      </rPr>
      <t xml:space="preserve">5.57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成本 </t>
    </r>
    <r>
      <rPr>
        <sz val="10"/>
        <rFont val="Arial"/>
        <family val="0"/>
        <charset val="1"/>
      </rPr>
      <t xml:space="preserve">+8.47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(c) C10 </t>
    </r>
    <r>
      <rPr>
        <sz val="10"/>
        <rFont val="Noto Sans CJK SC"/>
        <family val="2"/>
      </rPr>
      <t xml:space="preserve">速度重解 −</t>
    </r>
    <r>
      <rPr>
        <sz val="10"/>
        <rFont val="Arial"/>
        <family val="0"/>
        <charset val="1"/>
      </rPr>
      <t xml:space="preserve">1.91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其他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；讀法 </t>
    </r>
    <r>
      <rPr>
        <sz val="10"/>
        <rFont val="Arial"/>
        <family val="0"/>
        <charset val="1"/>
      </rPr>
      <t xml:space="preserve">2 +1.79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$217.6</t>
    </r>
    <r>
      <rPr>
        <sz val="10"/>
        <rFont val="Noto Sans CJK SC"/>
        <family val="2"/>
      </rPr>
      <t xml:space="preserve">）；保守 </t>
    </r>
    <r>
      <rPr>
        <sz val="10"/>
        <rFont val="Arial"/>
        <family val="0"/>
        <charset val="1"/>
      </rPr>
      <t xml:space="preserve">$212.7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$198.6</t>
    </r>
    <r>
      <rPr>
        <sz val="10"/>
        <rFont val="Noto Sans CJK SC"/>
        <family val="2"/>
      </rPr>
      <t xml:space="preserve">（皆賣出）</t>
    </r>
  </si>
  <si>
    <t xml:space="preserve">v0.1</t>
  </si>
  <si>
    <t xml:space="preserve">10-09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</si>
  <si>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Oracle v0.2 </t>
    </r>
    <r>
      <rPr>
        <sz val="10"/>
        <rFont val="Noto Sans CJK SC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Nebius v0.1–v0.2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Oracle v0.1–v0.2 </t>
    </r>
    <r>
      <rPr>
        <sz val="10"/>
        <rFont val="Noto Sans CJK SC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MAG </t>
    </r>
    <r>
      <rPr>
        <sz val="10"/>
        <rFont val="Noto Sans CJK SC"/>
        <family val="2"/>
      </rPr>
      <t xml:space="preserve">共用引擎：對外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MW × Tokenomics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雲端殘差、非雲端分部、回購彈性瀑布、持股、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增量報酬（含 </t>
    </r>
    <r>
      <rPr>
        <sz val="10"/>
        <rFont val="Arial"/>
        <family val="0"/>
        <charset val="1"/>
      </rPr>
      <t xml:space="preserve">C15 </t>
    </r>
    <r>
      <rPr>
        <sz val="10"/>
        <rFont val="Noto Sans CJK SC"/>
        <family val="2"/>
      </rPr>
      <t xml:space="preserve">一致性檢查與讀法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並列）</t>
    </r>
  </si>
  <si>
    <t xml:space="preserve">$198.3</t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</si>
  <si>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$211.2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$194.1</t>
    </r>
    <r>
      <rPr>
        <sz val="10"/>
        <rFont val="Noto Sans CJK SC"/>
        <family val="2"/>
      </rPr>
      <t xml:space="preserve">（三情境皆賣出）；讀法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（自用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價值中性）基準 </t>
    </r>
    <r>
      <rPr>
        <sz val="10"/>
        <rFont val="Arial"/>
        <family val="0"/>
        <charset val="1"/>
      </rPr>
      <t xml:space="preserve">$215.8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v0.1 </t>
    </r>
    <r>
      <rPr>
        <sz val="10"/>
        <rFont val="Noto Sans CJK SC"/>
        <family val="2"/>
      </rPr>
      <t xml:space="preserve">交付前修訂（</t>
    </r>
    <r>
      <rPr>
        <sz val="10"/>
        <rFont val="Arial"/>
        <family val="0"/>
        <charset val="1"/>
      </rPr>
      <t xml:space="preserve">10-09</t>
    </r>
    <r>
      <rPr>
        <sz val="10"/>
        <rFont val="Noto Sans CJK SC"/>
        <family val="2"/>
      </rPr>
      <t xml:space="preserve">，查核後）：一頁摘要加評價口徑敏感度（</t>
    </r>
    <r>
      <rPr>
        <sz val="10"/>
        <rFont val="Arial"/>
        <family val="0"/>
        <charset val="1"/>
      </rPr>
      <t xml:space="preserve">WACC 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ERP 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6%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自身倍數、</t>
    </r>
    <r>
      <rPr>
        <sz val="10"/>
        <rFont val="Arial"/>
        <family val="0"/>
        <charset val="1"/>
      </rPr>
      <t xml:space="preserve">AI 15×</t>
    </r>
    <r>
      <rPr>
        <sz val="10"/>
        <rFont val="Noto Sans CJK SC"/>
        <family val="2"/>
      </rPr>
      <t xml:space="preserve">、組合；評等翻轉點）與終值占比規則句、自研晶片係數雙邊敏感度、廣告／訂閱起始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率改標 </t>
    </r>
    <r>
      <rPr>
        <sz val="10"/>
        <rFont val="Arial"/>
        <family val="0"/>
        <charset val="1"/>
      </rPr>
      <t xml:space="preserve">[Assumed]</t>
    </r>
    <r>
      <rPr>
        <sz val="10"/>
        <rFont val="Noto Sans CJK SC"/>
        <family val="2"/>
      </rPr>
      <t xml:space="preserve">（數字不變）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</si>
  <si>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</si>
  <si>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</si>
  <si>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</si>
  <si>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2026Q2 10-Q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，核閱、未查核）：上半年營收 </t>
    </r>
    <r>
      <rPr>
        <sz val="10"/>
        <rFont val="Arial"/>
        <family val="0"/>
        <charset val="1"/>
      </rPr>
      <t xml:space="preserve">382.1</t>
    </r>
    <r>
      <rPr>
        <sz val="10"/>
        <rFont val="Noto Sans CJK SC"/>
        <family val="2"/>
      </rPr>
      <t xml:space="preserve">（北美 </t>
    </r>
    <r>
      <rPr>
        <sz val="10"/>
        <rFont val="Arial"/>
        <family val="0"/>
        <charset val="1"/>
      </rPr>
      <t xml:space="preserve">220.3</t>
    </r>
    <r>
      <rPr>
        <sz val="10"/>
        <rFont val="Noto Sans CJK SC"/>
        <family val="2"/>
      </rPr>
      <t xml:space="preserve">、國際 </t>
    </r>
    <r>
      <rPr>
        <sz val="10"/>
        <rFont val="Arial"/>
        <family val="0"/>
        <charset val="1"/>
      </rPr>
      <t xml:space="preserve">82.0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AWS 79.8</t>
    </r>
    <r>
      <rPr>
        <sz val="10"/>
        <rFont val="Noto Sans CJK SC"/>
        <family val="2"/>
      </rPr>
      <t xml:space="preserve">）；營業利益 </t>
    </r>
    <r>
      <rPr>
        <sz val="10"/>
        <rFont val="Arial"/>
        <family val="0"/>
        <charset val="1"/>
      </rPr>
      <t xml:space="preserve">51.3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D&amp;A 38.9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10.1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2.1</t>
    </r>
    <r>
      <rPr>
        <sz val="10"/>
        <rFont val="Noto Sans CJK SC"/>
        <family val="2"/>
      </rPr>
      <t xml:space="preserve">；淨利 </t>
    </r>
    <r>
      <rPr>
        <sz val="10"/>
        <rFont val="Arial"/>
        <family val="0"/>
        <charset val="1"/>
      </rPr>
      <t xml:space="preserve">92.9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上調）。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</si>
  <si>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78.2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44.8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2.7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446.0</t>
    </r>
    <r>
      <rPr>
        <sz val="10"/>
        <rFont val="Noto Sans CJK SC"/>
        <family val="2"/>
      </rPr>
      <t xml:space="preserve">；長期債面額 </t>
    </r>
    <r>
      <rPr>
        <sz val="10"/>
        <rFont val="Arial"/>
        <family val="0"/>
        <charset val="1"/>
      </rPr>
      <t xml:space="preserve">133.0</t>
    </r>
    <r>
      <rPr>
        <sz val="10"/>
        <rFont val="Noto Sans CJK SC"/>
        <family val="2"/>
      </rPr>
      <t xml:space="preserve">；營業租賃負債 </t>
    </r>
    <r>
      <rPr>
        <sz val="10"/>
        <rFont val="Arial"/>
        <family val="0"/>
        <charset val="1"/>
      </rPr>
      <t xml:space="preserve">96.3</t>
    </r>
    <r>
      <rPr>
        <sz val="10"/>
        <rFont val="Noto Sans CJK SC"/>
        <family val="2"/>
      </rPr>
      <t xml:space="preserve">、融資租賃 </t>
    </r>
    <r>
      <rPr>
        <sz val="10"/>
        <rFont val="Arial"/>
        <family val="0"/>
        <charset val="1"/>
      </rPr>
      <t xml:space="preserve">13.5</t>
    </r>
    <r>
      <rPr>
        <sz val="10"/>
        <rFont val="Noto Sans CJK SC"/>
        <family val="2"/>
      </rPr>
      <t xml:space="preserve">；尚未起租租賃 </t>
    </r>
    <r>
      <rPr>
        <sz val="10"/>
        <rFont val="Arial"/>
        <family val="0"/>
        <charset val="1"/>
      </rPr>
      <t xml:space="preserve">137.2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551.6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</si>
  <si>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現金流（上半年）：</t>
    </r>
    <r>
      <rPr>
        <sz val="10"/>
        <rFont val="Arial"/>
        <family val="0"/>
        <charset val="1"/>
      </rPr>
      <t xml:space="preserve">CFO 71.4</t>
    </r>
    <r>
      <rPr>
        <sz val="10"/>
        <rFont val="Noto Sans CJK SC"/>
        <family val="2"/>
      </rPr>
      <t xml:space="preserve">；資本支出淨額 </t>
    </r>
    <r>
      <rPr>
        <sz val="10"/>
        <rFont val="Arial"/>
        <family val="0"/>
        <charset val="1"/>
      </rPr>
      <t xml:space="preserve">96.3</t>
    </r>
    <r>
      <rPr>
        <sz val="10"/>
        <rFont val="Noto Sans CJK SC"/>
        <family val="2"/>
      </rPr>
      <t xml:space="preserve">；收購與投資 </t>
    </r>
    <r>
      <rPr>
        <sz val="10"/>
        <rFont val="Arial"/>
        <family val="0"/>
        <charset val="1"/>
      </rPr>
      <t xml:space="preserve">39.8</t>
    </r>
    <r>
      <rPr>
        <sz val="10"/>
        <rFont val="Noto Sans CJK SC"/>
        <family val="2"/>
      </rPr>
      <t xml:space="preserve">；長期債發行 </t>
    </r>
    <r>
      <rPr>
        <sz val="10"/>
        <rFont val="Arial"/>
        <family val="0"/>
        <charset val="1"/>
      </rPr>
      <t xml:space="preserve">67.0</t>
    </r>
    <r>
      <rPr>
        <sz val="10"/>
        <rFont val="Noto Sans CJK SC"/>
        <family val="2"/>
      </rPr>
      <t xml:space="preserve">、償還 </t>
    </r>
    <r>
      <rPr>
        <sz val="10"/>
        <rFont val="Arial"/>
        <family val="0"/>
        <charset val="1"/>
      </rPr>
      <t xml:space="preserve">2.8</t>
    </r>
    <r>
      <rPr>
        <sz val="10"/>
        <rFont val="Noto Sans CJK SC"/>
        <family val="2"/>
      </rPr>
      <t xml:space="preserve">；無股利、無買回。</t>
    </r>
  </si>
  <si>
    <r>
      <rPr>
        <sz val="10"/>
        <rFont val="Arial"/>
        <family val="0"/>
        <charset val="1"/>
      </rPr>
      <t xml:space="preserve">RPO 496B</t>
    </r>
    <r>
      <rPr>
        <sz val="10"/>
        <rFont val="Noto Sans CJK SC"/>
        <family val="2"/>
      </rPr>
      <t xml:space="preserve">（加權剩餘 </t>
    </r>
    <r>
      <rPr>
        <sz val="10"/>
        <rFont val="Arial"/>
        <family val="0"/>
        <charset val="1"/>
      </rPr>
      <t xml:space="preserve">6.4 </t>
    </r>
    <r>
      <rPr>
        <sz val="10"/>
        <rFont val="Noto Sans CJK SC"/>
        <family val="2"/>
      </rPr>
      <t xml:space="preserve">年）。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指引：現金資本支出約 </t>
    </r>
    <r>
      <rPr>
        <sz val="10"/>
        <rFont val="Arial"/>
        <family val="0"/>
        <charset val="1"/>
      </rPr>
      <t xml:space="preserve">220</t>
    </r>
    <r>
      <rPr>
        <sz val="10"/>
        <rFont val="Noto Sans CJK SC"/>
        <family val="2"/>
      </rPr>
      <t xml:space="preserve">（法說）；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197–202</t>
    </r>
    <r>
      <rPr>
        <sz val="10"/>
        <rFont val="Noto Sans CJK SC"/>
        <family val="2"/>
      </rPr>
      <t xml:space="preserve">、營業利益 </t>
    </r>
    <r>
      <rPr>
        <sz val="10"/>
        <rFont val="Arial"/>
        <family val="0"/>
        <charset val="1"/>
      </rPr>
      <t xml:space="preserve">22.5–26.5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</si>
  <si>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2025 10-K</t>
    </r>
    <r>
      <rPr>
        <sz val="10"/>
        <rFont val="Noto Sans CJK SC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716.9</t>
    </r>
    <r>
      <rPr>
        <sz val="10"/>
        <rFont val="Noto Sans CJK SC"/>
        <family val="2"/>
      </rPr>
      <t xml:space="preserve">、營業利益 </t>
    </r>
    <r>
      <rPr>
        <sz val="10"/>
        <rFont val="Arial"/>
        <family val="0"/>
        <charset val="1"/>
      </rPr>
      <t xml:space="preserve">80.0</t>
    </r>
    <r>
      <rPr>
        <sz val="10"/>
        <rFont val="Noto Sans CJK SC"/>
        <family val="2"/>
      </rPr>
      <t xml:space="preserve">、淨利 </t>
    </r>
    <r>
      <rPr>
        <sz val="10"/>
        <rFont val="Arial"/>
        <family val="0"/>
        <charset val="1"/>
      </rPr>
      <t xml:space="preserve">77.7</t>
    </r>
    <r>
      <rPr>
        <sz val="10"/>
        <rFont val="Noto Sans CJK SC"/>
        <family val="2"/>
      </rPr>
      <t xml:space="preserve">；分部 </t>
    </r>
    <r>
      <rPr>
        <sz val="10"/>
        <rFont val="Arial"/>
        <family val="0"/>
        <charset val="1"/>
      </rPr>
      <t xml:space="preserve">D&amp;A 41.9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AWS 21.5</t>
    </r>
    <r>
      <rPr>
        <sz val="10"/>
        <rFont val="Noto Sans CJK SC"/>
        <family val="2"/>
      </rPr>
      <t xml:space="preserve">）；合併 </t>
    </r>
    <r>
      <rPr>
        <sz val="10"/>
        <rFont val="Arial"/>
        <family val="0"/>
        <charset val="1"/>
      </rPr>
      <t xml:space="preserve">D&amp;A 65.8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</si>
  <si>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AMZN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$259.92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2,803.58bn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10,786.31m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49.11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68.49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</si>
  <si>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2026-10-08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$331.53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$330.00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$230.00–$405.00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59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Strong 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$322.86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59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</si>
  <si>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</si>
  <si>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</si>
  <si>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</si>
  <si>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20261008_Tokenomics_v5.31.xlsx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f16f161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2026-10-11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Noto Sans CJK SC"/>
        <family val="2"/>
      </rPr>
      <t xml:space="preserve">（四層瀑布）、</t>
    </r>
    <r>
      <rPr>
        <sz val="9"/>
        <color rgb="FF595959"/>
        <rFont val="Arial"/>
        <family val="0"/>
        <charset val="1"/>
      </rPr>
      <t xml:space="preserve">IFC_</t>
    </r>
    <r>
      <rPr>
        <sz val="9"/>
        <color rgb="FF595959"/>
        <rFont val="Noto Sans CJK SC"/>
        <family val="2"/>
      </rPr>
      <t xml:space="preserve">（用途欄）與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名稱；標「上限，不得作預測」者只作上限檢查、不作收入輸入；模型主值取「基準」，低／高只作敏感度；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</si>
  <si>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值為快照的藍字輸入格（勿手改；更新方式見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取數」）；「輸入與假設」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年收入、營運成本）與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資本支出）以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名稱引用。</t>
    </r>
  </si>
  <si>
    <t xml:space="preserve">具名範圍（基準）</t>
  </si>
  <si>
    <t xml:space="preserve">名稱</t>
  </si>
  <si>
    <t xml:space="preserve">中文標籤</t>
  </si>
  <si>
    <t xml:space="preserve">世代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</si>
  <si>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</si>
  <si>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</si>
  <si>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</si>
  <si>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</si>
  <si>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</si>
  <si>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</si>
  <si>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</si>
  <si>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</si>
  <si>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Hopper H100</t>
  </si>
  <si>
    <t xml:space="preserve">Interface!C13:E13</t>
  </si>
  <si>
    <t xml:space="preserve">v5.31 · f16f161</t>
  </si>
  <si>
    <t xml:space="preserve">TK_HoldEcon_GB200</t>
  </si>
  <si>
    <t xml:space="preserve">GB200 NVL72</t>
  </si>
  <si>
    <t xml:space="preserve">Interface!F13:H13</t>
  </si>
  <si>
    <t xml:space="preserve">TK_HoldEcon_GB300</t>
  </si>
  <si>
    <t xml:space="preserve">GB300 NVL72</t>
  </si>
  <si>
    <t xml:space="preserve">Interface!I13:K13</t>
  </si>
  <si>
    <t xml:space="preserve">TK_HoldEcon_VR200</t>
  </si>
  <si>
    <t xml:space="preserve">VR200 NVL72</t>
  </si>
  <si>
    <t xml:space="preserve">Interface!L13:N13</t>
  </si>
  <si>
    <t xml:space="preserve">TK_HoldEcon_RU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</si>
  <si>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</si>
  <si>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Interface!O13:Q13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</si>
  <si>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</si>
  <si>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</si>
  <si>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</si>
  <si>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</si>
  <si>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</si>
  <si>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</si>
  <si>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</si>
  <si>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</si>
  <si>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</si>
  <si>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</si>
  <si>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</si>
  <si>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</si>
  <si>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</si>
  <si>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</si>
  <si>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</si>
  <si>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</si>
  <si>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</si>
  <si>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</si>
  <si>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</si>
  <si>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</si>
  <si>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</si>
  <si>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</si>
  <si>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</si>
  <si>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</si>
  <si>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</si>
  <si>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</si>
  <si>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</si>
  <si>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</si>
  <si>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</si>
  <si>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</si>
  <si>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</si>
  <si>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</si>
  <si>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</si>
  <si>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</si>
  <si>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</si>
  <si>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</si>
  <si>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</si>
  <si>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</si>
  <si>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</si>
  <si>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</si>
  <si>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</si>
  <si>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</si>
  <si>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</si>
  <si>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</si>
  <si>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</si>
  <si>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</si>
  <si>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</si>
  <si>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</si>
  <si>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</si>
  <si>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</si>
  <si>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</si>
  <si>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</si>
  <si>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</si>
  <si>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</si>
  <si>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</si>
  <si>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</si>
  <si>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</si>
  <si>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</si>
  <si>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</si>
  <si>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</si>
  <si>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</si>
  <si>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</si>
  <si>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</si>
  <si>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</si>
  <si>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</si>
  <si>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</si>
  <si>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</si>
  <si>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</si>
  <si>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</si>
  <si>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</si>
  <si>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</si>
  <si>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</si>
  <si>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</si>
  <si>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</si>
  <si>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</si>
  <si>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</si>
  <si>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</si>
  <si>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</si>
  <si>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</si>
  <si>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</si>
  <si>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</si>
  <si>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</si>
  <si>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</si>
  <si>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</si>
  <si>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</si>
  <si>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</si>
  <si>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</si>
  <si>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</si>
  <si>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</si>
  <si>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</si>
  <si>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</si>
  <si>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</si>
  <si>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</si>
  <si>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</si>
  <si>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</si>
  <si>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</si>
  <si>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</si>
  <si>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</si>
  <si>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</si>
  <si>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</si>
  <si>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</si>
  <si>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</si>
  <si>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</si>
  <si>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</si>
  <si>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</si>
  <si>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</si>
  <si>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</si>
  <si>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</si>
  <si>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</si>
  <si>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</si>
  <si>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</si>
  <si>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</si>
  <si>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</si>
  <si>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</si>
  <si>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</si>
  <si>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</si>
  <si>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</si>
  <si>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</si>
  <si>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</si>
  <si>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</si>
  <si>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</si>
  <si>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</si>
  <si>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</si>
  <si>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</si>
  <si>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</si>
  <si>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</si>
  <si>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</si>
  <si>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</si>
  <si>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</si>
  <si>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</si>
  <si>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</si>
  <si>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</si>
  <si>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</si>
  <si>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</si>
  <si>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</si>
  <si>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</si>
  <si>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</si>
  <si>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</si>
  <si>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</si>
  <si>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</si>
  <si>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</si>
  <si>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</si>
  <si>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</si>
  <si>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</si>
  <si>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</si>
  <si>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</si>
  <si>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</si>
  <si>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</si>
  <si>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</si>
  <si>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</si>
  <si>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</si>
  <si>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</si>
  <si>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</si>
  <si>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</si>
  <si>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</si>
  <si>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</si>
  <si>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</si>
  <si>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</si>
  <si>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</si>
  <si>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</si>
  <si>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</si>
  <si>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</si>
  <si>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</si>
  <si>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</si>
  <si>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</si>
  <si>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</si>
  <si>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</si>
  <si>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</si>
  <si>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</si>
  <si>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</si>
  <si>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</si>
  <si>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</si>
  <si>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</si>
  <si>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</si>
  <si>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</si>
  <si>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</si>
  <si>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</si>
  <si>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</si>
  <si>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</si>
  <si>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</si>
  <si>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</si>
  <si>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</si>
  <si>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</si>
  <si>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</si>
  <si>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</si>
  <si>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</si>
  <si>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</si>
  <si>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</si>
  <si>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</si>
  <si>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</si>
  <si>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</si>
  <si>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</si>
  <si>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</si>
  <si>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</si>
  <si>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</si>
  <si>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</si>
  <si>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</si>
  <si>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</si>
  <si>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</si>
  <si>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</si>
  <si>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</si>
  <si>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</si>
  <si>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</si>
  <si>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</si>
  <si>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</si>
  <si>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</si>
  <si>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</si>
  <si>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</si>
  <si>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</si>
  <si>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</si>
  <si>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</si>
  <si>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</si>
  <si>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</si>
  <si>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</si>
  <si>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</si>
  <si>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</si>
  <si>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</si>
  <si>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</si>
  <si>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</si>
  <si>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</si>
  <si>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</si>
  <si>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</si>
  <si>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</si>
  <si>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</si>
  <si>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</si>
  <si>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</si>
  <si>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</si>
  <si>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</si>
  <si>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</si>
  <si>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Interface!C6:E6</t>
  </si>
  <si>
    <t xml:space="preserve">TK_RacksPerGW_GB200</t>
  </si>
  <si>
    <t xml:space="preserve">Interface!F6:H6</t>
  </si>
  <si>
    <t xml:space="preserve">TK_RacksPerGW_GB300</t>
  </si>
  <si>
    <t xml:space="preserve">Interface!I6:K6</t>
  </si>
  <si>
    <t xml:space="preserve">TK_RacksPerGW_VR200</t>
  </si>
  <si>
    <t xml:space="preserve">Interface!L6:N6</t>
  </si>
  <si>
    <t xml:space="preserve">TK_RacksPerGW_RU</t>
  </si>
  <si>
    <t xml:space="preserve">Interface!O6:Q6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</si>
  <si>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</si>
  <si>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</si>
  <si>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</si>
  <si>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</si>
  <si>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TK_RevGWFleet_H100</t>
  </si>
  <si>
    <t xml:space="preserve">IF_RevGWFleet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</si>
  <si>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</si>
  <si>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</si>
  <si>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</si>
  <si>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</si>
  <si>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</si>
  <si>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</si>
  <si>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</si>
  <si>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</si>
  <si>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</si>
  <si>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</si>
  <si>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TK_GPUhr_Hopper</t>
  </si>
  <si>
    <t xml:space="preserve">L1_GPUhr_Hopper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</si>
  <si>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</si>
  <si>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L1!D15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F15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</si>
  <si>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</t>
  </si>
  <si>
    <t xml:space="preserve">L1_GPUhr_GB200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</si>
  <si>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</si>
  <si>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L1!D16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F16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</si>
  <si>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</t>
  </si>
  <si>
    <t xml:space="preserve">L1_GPUhr_GB300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</si>
  <si>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</si>
  <si>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L1!D17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F17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</si>
  <si>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TK_GPUhr_VR200</t>
  </si>
  <si>
    <t xml:space="preserve">L1_GPUhr_VR200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</si>
  <si>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</si>
  <si>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L1!D18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F18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</si>
  <si>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TK_HoldEconGW_Hopper</t>
  </si>
  <si>
    <t xml:space="preserve">L1_HoldEconGW_Hopper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</si>
  <si>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</si>
  <si>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</si>
  <si>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L1!D11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</si>
  <si>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TK_HoldEconGW_GB200</t>
  </si>
  <si>
    <t xml:space="preserve">L1_HoldEconGW_GB200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</si>
  <si>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</si>
  <si>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</si>
  <si>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TK_HoldEconGW_GB300</t>
  </si>
  <si>
    <t xml:space="preserve">L1_HoldEconGW_GB300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</si>
  <si>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</si>
  <si>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L1!D13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F13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</si>
  <si>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TK_HoldEconGW_VR200</t>
  </si>
  <si>
    <t xml:space="preserve">L1_HoldEconGW_VR200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</si>
  <si>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</si>
  <si>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L1!D14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F14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</si>
  <si>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TK_NvContentGW_VR200</t>
  </si>
  <si>
    <t xml:space="preserve">L1_NvContentGW_VR200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</si>
  <si>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NVIDIA </t>
    </r>
    <r>
      <rPr>
        <sz val="10"/>
        <rFont val="Noto Sans CJK SC"/>
        <family val="2"/>
      </rPr>
      <t xml:space="preserve">內容（機架，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</si>
  <si>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</si>
  <si>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L1!D9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F9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</si>
  <si>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TK_IFW_RevGWFleet_100_H100</t>
  </si>
  <si>
    <t xml:space="preserve">IFW_RevGWFleet_100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</si>
  <si>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Noto Sans CJK SC"/>
        <family val="2"/>
      </rPr>
      <t xml:space="preserve">）</t>
    </r>
  </si>
  <si>
    <t xml:space="preserve">Interface!C248:E248</t>
  </si>
  <si>
    <t xml:space="preserve">TK_IFW_RevGWFleet_100_GB200</t>
  </si>
  <si>
    <t xml:space="preserve">Interface!F248:H248</t>
  </si>
  <si>
    <t xml:space="preserve">TK_IFW_RevGWFleet_100_GB300</t>
  </si>
  <si>
    <t xml:space="preserve">Interface!I248:K248</t>
  </si>
  <si>
    <t xml:space="preserve">TK_IFW_RevGWFleet_100_VR200</t>
  </si>
  <si>
    <t xml:space="preserve">Interface!L248:N248</t>
  </si>
  <si>
    <t xml:space="preserve">TK_IFW_RevGWFleet_100_RU</t>
  </si>
  <si>
    <t xml:space="preserve">Interface!O248:Q248</t>
  </si>
  <si>
    <t xml:space="preserve">TK_IFW_RevGWFleet_Util_H100</t>
  </si>
  <si>
    <t xml:space="preserve">IFW_RevGWFleet_Util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</si>
  <si>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</si>
  <si>
    <t xml:space="preserve">Interface!C249:E249</t>
  </si>
  <si>
    <t xml:space="preserve">TK_IFW_RevGWFleet_Util_GB200</t>
  </si>
  <si>
    <t xml:space="preserve">Interface!F249:H249</t>
  </si>
  <si>
    <t xml:space="preserve">TK_IFW_RevGWFleet_Util_GB300</t>
  </si>
  <si>
    <t xml:space="preserve">Interface!I249:K249</t>
  </si>
  <si>
    <t xml:space="preserve">TK_IFW_RevGWFleet_Util_VR200</t>
  </si>
  <si>
    <t xml:space="preserve">Interface!L249:N249</t>
  </si>
  <si>
    <t xml:space="preserve">TK_IFW_RevGWFleet_Util_RU</t>
  </si>
  <si>
    <t xml:space="preserve">Interface!O249:Q249</t>
  </si>
  <si>
    <t xml:space="preserve">TK_IFW_RevGWFleet_Prod_H100</t>
  </si>
  <si>
    <t xml:space="preserve">IFW_RevGWFleet_Prod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</si>
  <si>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Noto Sans CJK SC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後的值）</t>
    </r>
  </si>
  <si>
    <t xml:space="preserve">Interface!C250:E250</t>
  </si>
  <si>
    <t xml:space="preserve">TK_IFW_RevGWFleet_Prod_GB200</t>
  </si>
  <si>
    <t xml:space="preserve">Interface!F250:H250</t>
  </si>
  <si>
    <t xml:space="preserve">TK_IFW_RevGWFleet_Prod_GB300</t>
  </si>
  <si>
    <t xml:space="preserve">Interface!I250:K250</t>
  </si>
  <si>
    <t xml:space="preserve">TK_IFW_RevGWFleet_Prod_VR200</t>
  </si>
  <si>
    <t xml:space="preserve">Interface!L250:N250</t>
  </si>
  <si>
    <t xml:space="preserve">TK_IFW_RevGWFleet_Prod_RU</t>
  </si>
  <si>
    <t xml:space="preserve">Interface!O250:Q250</t>
  </si>
  <si>
    <t xml:space="preserve">TK_IFW_RevGWFleet_Life_H100</t>
  </si>
  <si>
    <t xml:space="preserve">IFW_RevGWFleet_Life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</si>
  <si>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Noto Sans CJK SC"/>
        <family val="2"/>
      </rPr>
      <t xml:space="preserve">不含折減，並列保留）</t>
    </r>
  </si>
  <si>
    <t xml:space="preserve">Interface!C251:E251</t>
  </si>
  <si>
    <t xml:space="preserve">TK_IFW_RevGWFleet_Life_GB200</t>
  </si>
  <si>
    <t xml:space="preserve">Interface!F251:H251</t>
  </si>
  <si>
    <t xml:space="preserve">TK_IFW_RevGWFleet_Life_GB300</t>
  </si>
  <si>
    <t xml:space="preserve">Interface!I251:K251</t>
  </si>
  <si>
    <t xml:space="preserve">TK_IFW_RevGWFleet_Life_VR200</t>
  </si>
  <si>
    <t xml:space="preserve">Interface!L251:N251</t>
  </si>
  <si>
    <t xml:space="preserve">TK_IFW_RevGWFleet_Life_RU</t>
  </si>
  <si>
    <t xml:space="preserve">Interface!O251:Q251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</si>
  <si>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IF_HoldEcon</t>
    </r>
  </si>
  <si>
    <r>
      <rPr>
        <sz val="10"/>
        <rFont val="Arial"/>
        <family val="0"/>
        <charset val="1"/>
      </rPr>
      <t xml:space="preserve">Decision Use</t>
    </r>
    <r>
      <rPr>
        <sz val="10"/>
        <rFont val="Noto Sans CJK SC"/>
        <family val="2"/>
      </rPr>
      <t xml:space="preserve">（公式）（用途限制）</t>
    </r>
  </si>
  <si>
    <t xml:space="preserve">情境、相對比較、反轉門檻</t>
  </si>
  <si>
    <t xml:space="preserve">Interface!S6:S315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</si>
  <si>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IF_HoldAcct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</si>
  <si>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IF_GPUhrEcon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</si>
  <si>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</si>
  <si>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IF_CapexFacility</t>
    </r>
  </si>
  <si>
    <t xml:space="preserve">基準輸入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</si>
  <si>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IF_CapexTotal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</si>
  <si>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IF_DeprLifeIT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</si>
  <si>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</si>
  <si>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</si>
  <si>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IF_OpexGW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</si>
  <si>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IF_PowerPrice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</si>
  <si>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IF_PowerCost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</si>
  <si>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IF_MaintIT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</si>
  <si>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IF_MaintFac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</si>
  <si>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IF_StaffSW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</si>
  <si>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IF_TaxIns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</si>
  <si>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IF_AvgDraw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</si>
  <si>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IF_FacilityGW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</si>
  <si>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IF_GPUsPerGW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</si>
  <si>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IF_RacksPerGW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</si>
  <si>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</si>
  <si>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IF_RevGWFleet</t>
    </r>
  </si>
  <si>
    <t xml:space="preserve">情境、相對比較、反轉門檻；上限，不得作預測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</si>
  <si>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IFW_RevGWFleet_100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</si>
  <si>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</si>
  <si>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IFW_RevGWFleet_Prod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</si>
  <si>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IFW_RevGWFleet_Life</t>
    </r>
  </si>
  <si>
    <t xml:space="preserve">TK_NonNVRatio</t>
  </si>
  <si>
    <t xml:space="preserve">IF_NonNVRatio</t>
  </si>
  <si>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尚無此名稱）</t>
    </r>
  </si>
  <si>
    <r>
      <rPr>
        <sz val="9"/>
        <color rgb="FF595959"/>
        <rFont val="Arial"/>
        <family val="0"/>
        <charset val="1"/>
      </rPr>
      <t xml:space="preserve">v5.31 </t>
    </r>
    <r>
      <rPr>
        <sz val="9"/>
        <color rgb="FF595959"/>
        <rFont val="Noto Sans CJK SC"/>
        <family val="2"/>
      </rPr>
      <t xml:space="preserve">無此名稱（列為 </t>
    </r>
    <r>
      <rPr>
        <sz val="9"/>
        <color rgb="FF595959"/>
        <rFont val="Arial"/>
        <family val="0"/>
        <charset val="1"/>
      </rPr>
      <t xml:space="preserve">optional</t>
    </r>
    <r>
      <rPr>
        <sz val="9"/>
        <color rgb="FF595959"/>
        <rFont val="Noto Sans CJK SC"/>
        <family val="2"/>
      </rPr>
      <t xml:space="preserve">，資料缺口已回報）；未建具名範圍</t>
    </r>
  </si>
  <si>
    <t xml:space="preserve">TK_NonNVCostRatio</t>
  </si>
  <si>
    <t xml:space="preserve">IF_NonNVCostRatio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</si>
</sst>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@"/>
    <numFmt numFmtId="172" formatCode="0.0000"/>
    <numFmt numFmtId="173" formatCode="0.00%"/>
    <numFmt numFmtId="174" formatCode="0.000"/>
    <numFmt numFmtId="175" formatCode="0.00"/>
    <numFmt numFmtId="176" formatCode="#,##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  <numFmt numFmtId="183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3F1E8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8D7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第三方可辨識站點","基準 依資本支出指引","積極 依公司容量目標") &amp; "（預設＝基準）；共識＝data/consensus_amzn_20261008.json（2026-10-08）"</f>
        <v>模型端＝目前情境：基準 依資本支出指引（預設＝基準）；共識＝data/consensus_amzn_20261008.json（2026-10-08）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評價_DCF與目標價!C99</f>
        <v>-1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199.271244158932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輸入與假設!$C$320</f>
        <v>259.92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-0.233336241309125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評價_DCF與目標價!C104</f>
        <v>198.565856513395</v>
      </c>
      <c r="D10" s="12" t="n">
        <f aca="false">評價_DCF與目標價!D104</f>
        <v>212.713645293901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評價_DCF與目標價!C106</f>
        <v>195.251587146622</v>
      </c>
      <c r="D11" s="12" t="n">
        <f aca="false">評價_DCF與目標價!D106</f>
        <v>199.271244158932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評價_DCF與目標價!$C$100</f>
        <v>220.932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-21.6607558410678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$199.3，較現價 $259.92 低 23%；情境區間 $198.6–$212.7，方法區間 $195.3–$199.3；點位低於賣出門檻 $220.9 達 $21.7。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評價_DCF與目標價!C129</f>
        <v>情境區間上緣 $212.7 低於現價 $259.92：賣出在三個擴張情境下都成立。保守情境 $212.7，距賣出門檻 $220.9 僅 $8.2。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$288="ebitda",輸入與假設!$C$288="leaseAdj"),"需失去投資級才能融資的金額："&amp;IF(SUM(各期收支!C93:G93)&gt;0.05,"$"&amp;TEXT(SUM(各期收支!C93:G93),"0.0")&amp;"bn（五期高息債溢出）","$0")&amp;"；投資級上限＝"&amp;IF(輸入與假設!$C$288="leaseAdj","(總債務＋租賃負債) ≤ "&amp;IF(輸入與假設!$C$289=INT(輸入與假設!$C$289),TEXT(輸入與假設!$C$289,"0"),TEXT(輸入與假設!$C$289,"0.0"))&amp;"×(EBITDA＋租金)","總債務 ≤ "&amp;IF(輸入與假設!$C$289=INT(輸入與假設!$C$289),TEXT(輸入與假設!$C$289,"0"),TEXT(輸入與假設!$C$289,"0.0"))&amp;"× 當期 EBITDA")&amp;"，股權每年 ≤ 現市值 "&amp;IF(ROUND(ABS(輸入與假設!$C$299)*100,4)=INT(ROUND(ABS(輸入與假設!$C$299)*100,4)),TEXT(ROUND(ABS(輸入與假設!$C$299)*100,4),"0"),TEXT(ROUND(ABS(輸入與假設!$C$299)*100,4),"0.0"))&amp;"%"&amp;"。","")</f>
        <v>需失去投資級才能融資的金額：$0；投資級上限＝(總債務＋租賃負債) ≤ 3×(EBITDA＋租金)，股權每年 ≤ 現市值 5%。</v>
      </c>
    </row>
    <row r="17" customFormat="false" ht="15" hidden="false" customHeight="false" outlineLevel="1" collapsed="false">
      <c r="A17" s="2" t="s">
        <v>50</v>
      </c>
      <c r="C17" s="10" t="str">
        <f aca="false">"調整後槓桿（(債務＋租賃負債) ÷ (EBITDA＋租金)）路徑 "&amp;TEXT(資產負債_新債與新股!C37,"0.0")&amp;"／"&amp;TEXT(資產負債_新債與新股!D37,"0.0")&amp;"／"&amp;TEXT(資產負債_新債與新股!E37,"0.0")&amp;"／"&amp;TEXT(資產負債_新債與新股!F37,"0.0")&amp;"／"&amp;TEXT(資產負債_新債與新股!G37,"0.0")&amp;"×；上限 "&amp;IF(輸入與假設!$C$289=INT(輸入與假設!$C$289),TEXT(輸入與假設!$C$289,"0"),TEXT(輸入與假設!$C$289,"0.0"))&amp;"×，"&amp;IF(MAX(資產負債_新債與新股!$C$37:$G$37)&gt;輸入與假設!$C$289+0.000000001,CHOOSE(MATCH(MAX(資產負債_新債與新股!$C$37:$G$37),資產負債_新債與新股!$C$37:$G$37,0),"2026","2027","2028","2029","2030")&amp;" 超過 "&amp;TEXT(MAX(資產負債_新債與新股!$C$37:$G$37)-輸入與假設!$C$289,"0.0")&amp;"×：需股權或失去投資級。","最小空間 "&amp;TEXT(輸入與假設!$C$289-MAX(資產負債_新債與新股!$C$37:$G$37),"0.0")&amp;"×（"&amp;CHOOSE(MATCH(MAX(資產負債_新債與新股!$C$37:$G$37),資產負債_新債與新股!$C$37:$G$37,0),"2026","2027","2028","2029","2030")&amp;"）。")</f>
        <v>調整後槓桿（(債務＋租賃負債) ÷ (EBITDA＋租金)）路徑 1.4／1.6／1.3／1.1／1.1×；上限 3×，最小空間 1.4×（2027）。</v>
      </c>
    </row>
    <row r="18" customFormat="false" ht="15" hidden="false" customHeight="false" outlineLevel="1" collapsed="false">
      <c r="A18" s="2" t="s">
        <v>51</v>
      </c>
      <c r="C18" s="10" t="str">
        <f aca="false">"評價口徑敏感度："&amp;"WACC 9% $"&amp;TEXT(評價_DCF與目標價!C114,"0.00")&amp;"（"&amp;CHOOSE(評價_DCF與目標價!D114+2,"賣出","中立","買進")&amp;"）"&amp;"、"&amp;"WACC 10% $"&amp;TEXT(評價_DCF與目標價!C115,"0.00")&amp;"（"&amp;CHOOSE(評價_DCF與目標價!D115+2,"賣出","中立","買進")&amp;"）"&amp;"、"&amp;"WACC 11% $"&amp;TEXT(評價_DCF與目標價!C116,"0.00")&amp;"（"&amp;CHOOSE(評價_DCF與目標價!D116+2,"賣出","中立","買進")&amp;"）"&amp;"；"&amp;"非 AI 分部改用公司自身 NTM EV/EBITDA 11.26× $"&amp;TEXT(評價_DCF與目標價!C119,"0.00")&amp;"（"&amp;CHOOSE(評價_DCF與目標價!D119+2,"賣出","中立","買進")&amp;"）"&amp;"、"&amp;"AI 雲端 15× $"&amp;TEXT(評價_DCF與目標價!C120,"0.00")&amp;"（"&amp;CHOOSE(評價_DCF與目標價!D120+2,"賣出","中立","買進")&amp;"）"&amp;"、"&amp;"組合：WACC 9%＋非 AI 自身倍數＋AI 15× $"&amp;TEXT(評價_DCF與目標價!C121,"0.00")&amp;"（"&amp;CHOOSE(評價_DCF與目標價!D121+2,"賣出","中立","買進")&amp;"）"&amp;"；評等翻轉點："&amp;"WACC 約 "&amp;TEXT(評價_DCF與目標價!C122*100,"0.0")&amp;"%（ERP "&amp;TEXT(評價_DCF與目標價!D122*100,"0.00")&amp;"%）以下由「賣出」轉為「中立」"&amp;"。"</f>
        <v>評價口徑敏感度：WACC 9% $258.36（中立）、WACC 10% $236.28（中立）、WACC 11% $219.13（賣出）；非 AI 分部改用公司自身 NTM EV/EBITDA 11.26× $183.67（賣出）、AI 雲端 15× $235.45（中立）、組合：WACC 9%＋非 AI 自身倍數＋AI 15× $280.63（中立）；評等翻轉點：WACC 約 10.9%（ERP 3.88%）以下由「賣出」轉為「中立」。</v>
      </c>
    </row>
    <row r="19" customFormat="false" ht="15" hidden="false" customHeight="false" outlineLevel="1" collapsed="false">
      <c r="A19" s="2" t="s">
        <v>52</v>
      </c>
      <c r="C19" s="10" t="str">
        <f aca="false">"評等規則：買進須空間 ≥ +"&amp;IF(ROUND(ABS(輸入與假設!$C$405)*100,4)=INT(ROUND(ABS(輸入與假設!$C$405)*100,4)),TEXT(ROUND(ABS(輸入與假設!$C$405)*100,4),"0"),TEXT(ROUND(ABS(輸入與假設!$C$405)*100,4),"0.0"))&amp;"%"&amp;" 且終值占 EV &lt; "&amp;IF(ROUND(ABS(輸入與假設!$C$406)*100,4)=INT(ROUND(ABS(輸入與假設!$C$406)*100,4)),TEXT(ROUND(ABS(輸入與假設!$C$406)*100,4),"0"),TEXT(ROUND(ABS(輸入與假設!$C$406)*100,4),"0.0"))&amp;"%"&amp;"；目前終值占 EV "&amp;TEXT(評價_DCF與目標價!C97*100,"0")&amp;"%"&amp;IF(評價_DCF與目標價!C97&gt;=輸入與假設!$C$406,"，此規則下只可能「賣出」或「中立」","")&amp;"（規則是否修改待 Andy 決定）。"</f>
        <v>評等規則：買進須空間 ≥ +25% 且終值占 EV &lt; 90%；目前終值占 EV 119%，此規則下只可能「賣出」或「中立」（規則是否修改待 Andy 決定）。</v>
      </c>
    </row>
    <row r="20" customFormat="false" ht="15" hidden="false" customHeight="false" outlineLevel="1" collapsed="false">
      <c r="A20" s="2" t="s">
        <v>53</v>
      </c>
      <c r="C20" s="10" t="str">
        <f aca="false">"兩種讀法（自用 AI）：讀法 1（影子收入不進評價）$"&amp;TEXT(評價_DCF與目標價!C51,"0.00")&amp;"；讀法 2（自用 AI 價值中性：自用 MW 以 k＝1 計影子收入並進評價）$"&amp;TEXT(評價_DCF與目標價!C73,"0.00")&amp;"；差額 "&amp;IF(評價_DCF與目標價!C73-評價_DCF與目標價!C51&lt;0,"−","+")&amp;"$"&amp;TEXT(ABS(評價_DCF與目標價!C73-評價_DCF與目標價!C51),"0.00")&amp;"。主值取哪一個是 Andy 的判斷（待決）。"</f>
        <v>兩種讀法（自用 AI）：讀法 1（影子收入不進評價）$199.27；讀法 2（自用 AI 價值中性：自用 MW 以 k＝1 計影子收入並進評價）$217.62；差額 +$18.35。主值取哪一個是 Andy 的判斷（待決）。</v>
      </c>
    </row>
    <row r="21" customFormat="false" ht="15" hidden="false" customHeight="false" outlineLevel="1" collapsed="false">
      <c r="A21" s="2" t="s">
        <v>54</v>
      </c>
      <c r="C21" s="10" t="str">
        <f aca="false">"對外比例無揭露（目前 "&amp;TEXT(輸入與假設!$C$217*100,"0")&amp;"%，[Assumed]），是最大不確定："&amp;TEXT(評價_DCF與目標價!C112*100,"0")&amp;"% → $"&amp;TEXT(評價_DCF與目標價!D112,"0.00")&amp;"、"&amp;TEXT(評價_DCF與目標價!C113*100,"0")&amp;"% → $"&amp;TEXT(評價_DCF與目標價!D113,"0.00")&amp;"（基準 $"&amp;TEXT(評價_DCF與目標價!C51,"0.00")&amp;"）。"</f>
        <v>對外比例無揭露（目前 80%，[Assumed]），是最大不確定：60% → $168.24、100% → $215.62（基準 $199.27）。</v>
      </c>
    </row>
    <row r="22" customFormat="false" ht="15" hidden="false" customHeight="false" outlineLevel="1" collapsed="false">
      <c r="A22" s="2" t="s">
        <v>55</v>
      </c>
      <c r="C22" s="10" t="str">
        <f aca="false">"主命題（AI 資本支出有沒有賺到資金成本）：2029 對外 AI ROIC "&amp;TEXT(AI增量報酬!F23*100,"0.0")&amp;"% vs WACC "&amp;TEXT(輸入與假設!$C$342*100,"0.0")&amp;"%（"&amp;IF(AI增量報酬!F25&lt;0,"−","+")&amp;TEXT(ABS(AI增量報酬!F25)*100,"0.0")&amp;"pt）；打平 k "&amp;TEXT(AI增量報酬!C29,"0.00")&amp;"（目前 "&amp;TEXT(輸入與假設!$C$56,"0.00")&amp;"）；全 AI（含影子收入）"&amp;TEXT(AI增量報酬!F27*100,"0.0")&amp;"%。"</f>
        <v>主命題（AI 資本支出有沒有賺到資金成本）：2029 對外 AI ROIC 6.2% vs WACC 12.5%（−6.3pt）；打平 k 1.16（目前 0.95）；全 AI（含影子收入）6.2%。</v>
      </c>
    </row>
    <row r="23" customFormat="false" ht="15" hidden="false" customHeight="false" outlineLevel="1" collapsed="false">
      <c r="A23" s="2" t="s">
        <v>56</v>
      </c>
      <c r="C23" s="10" t="str">
        <f aca="false">"股東回饋與 FCF：FCF "&amp;IF(各期收支!C44&lt;0,"首次為負 2026（−$"&amp;TEXT(-各期收支!C44,"0.0")&amp;"bn）",IF(各期收支!D44&lt;0,"首次為負 2027（−$"&amp;TEXT(-各期收支!D44,"0.0")&amp;"bn）",IF(各期收支!E44&lt;0,"首次為負 2028（−$"&amp;TEXT(-各期收支!E44,"0.0")&amp;"bn）",IF(各期收支!F44&lt;0,"首次為負 2029（−$"&amp;TEXT(-各期收支!F44,"0.0")&amp;"bn）",IF(各期收支!G44&lt;0,"首次為負 2030（−$"&amp;TEXT(-各期收支!G44,"0.0")&amp;"bn）","五期皆為正")))))&amp;"；"&amp;IF(SUM(各期收支!C75:G75)&lt;=0.05,"無回購計畫（減少回購步驟不適用）",IF(SUM(各期收支!C77:G77)&gt;0,"回購被迫減少："&amp;MID(IF(各期收支!C77&gt;0.05,"、2026 $"&amp;TEXT(各期收支!C77,"0.0"),"")&amp;IF(各期收支!D77&gt;0.05,"、2027 $"&amp;TEXT(各期收支!D77,"0.0"),"")&amp;IF(各期收支!E77&gt;0.05,"、2028 $"&amp;TEXT(各期收支!E77,"0.0"),"")&amp;IF(各期收支!F77&gt;0.05,"、2029 $"&amp;TEXT(各期收支!F77,"0.0"),"")&amp;IF(各期收支!G77&gt;0.05,"、2030 $"&amp;TEXT(各期收支!G77,"0.0"),""),2,999)&amp;"bn","回購未被迫減少"))&amp;"；五期新債 $"&amp;TEXT(SUM(各期收支!C86:G86)+SUM(各期收支!C93:G93),"0.0")&amp;"bn、股權 $"&amp;TEXT(SUM(各期收支!C92:G92),"0.0")&amp;"bn。"</f>
        <v>股東回饋與 FCF：FCF 首次為負 2026（−$60.1bn）；無回購計畫（減少回購步驟不適用）；五期新債 $206.7bn、股權 $0.0bn。</v>
      </c>
    </row>
    <row r="24" customFormat="false" ht="15" hidden="false" customHeight="false" outlineLevel="1" collapsed="false">
      <c r="A24" s="3" t="s">
        <v>57</v>
      </c>
      <c r="C24" s="10" t="str">
        <f aca="false">IF(運營_產能與收入!$C$50&gt;0,"建設延誤 "&amp;IF(運營_產能與收入!$C$50=INT(運營_產能與收入!$C$50),TEXT(運營_產能與收入!$C$50,"0"),TEXT(運營_產能與收入!$C$50,"0.0"))&amp;" 個月（GPU 資本支出照原時程）：閒置資本（已支出、尚未產生收入）峰值 $"&amp;TEXT(MAX(運營_產能與收入!$C$55:$G$55),"0.0")&amp;"bn（"&amp;CHOOSE(MATCH(MAX(運營_產能與收入!$C$55:$G$55),運營_產能與收入!$C$55:$G$55,0),"2026","2027","2028","2029","2030")&amp;" 末）。","建設延誤：本情境 0 個月（無閒置資本）。")</f>
        <v>建設延誤：本情境 0 個月（無閒置資本）。</v>
      </c>
    </row>
    <row r="26" customFormat="false" ht="15" hidden="false" customHeight="false" outlineLevel="0" collapsed="false">
      <c r="A26" s="7" t="s">
        <v>58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14" t="s">
        <v>59</v>
      </c>
      <c r="B27" s="14" t="s">
        <v>60</v>
      </c>
      <c r="C27" s="15" t="s">
        <v>61</v>
      </c>
      <c r="D27" s="15" t="s">
        <v>62</v>
      </c>
      <c r="E27" s="15" t="s">
        <v>63</v>
      </c>
    </row>
    <row r="28" customFormat="false" ht="15" hidden="false" customHeight="false" outlineLevel="1" collapsed="false">
      <c r="A28" s="3" t="s">
        <v>64</v>
      </c>
      <c r="B28" s="11" t="s">
        <v>65</v>
      </c>
      <c r="C28" s="10" t="n">
        <f aca="false">損益!C29</f>
        <v>834.2190886313</v>
      </c>
      <c r="D28" s="10" t="n">
        <f aca="false">損益!D29</f>
        <v>973.543898210676</v>
      </c>
      <c r="E28" s="10" t="n">
        <f aca="false">損益!E29</f>
        <v>1113.47261432298</v>
      </c>
    </row>
    <row r="29" customFormat="false" ht="15" hidden="false" customHeight="false" outlineLevel="1" collapsed="false">
      <c r="A29" s="3" t="s">
        <v>66</v>
      </c>
      <c r="B29" s="11" t="s">
        <v>65</v>
      </c>
      <c r="C29" s="10" t="n">
        <f aca="false">輸入與假設!$C$464</f>
        <v>828.285</v>
      </c>
      <c r="D29" s="10" t="n">
        <f aca="false">輸入與假設!$D$464</f>
        <v>947.853</v>
      </c>
      <c r="E29" s="10" t="n">
        <f aca="false">輸入與假設!$E$464</f>
        <v>1097.389</v>
      </c>
    </row>
    <row r="30" customFormat="false" ht="15" hidden="false" customHeight="false" outlineLevel="1" collapsed="false">
      <c r="A30" s="3" t="s">
        <v>67</v>
      </c>
      <c r="B30" s="11" t="s">
        <v>42</v>
      </c>
      <c r="C30" s="13" t="n">
        <f aca="false">C28/C29-1</f>
        <v>0.00716430773381149</v>
      </c>
      <c r="D30" s="13" t="n">
        <f aca="false">D28/D29-1</f>
        <v>0.0271043064807264</v>
      </c>
      <c r="E30" s="13" t="n">
        <f aca="false">E28/E29-1</f>
        <v>0.0146562561889889</v>
      </c>
    </row>
    <row r="31" customFormat="false" ht="15" hidden="false" customHeight="false" outlineLevel="1" collapsed="false">
      <c r="A31" s="3" t="s">
        <v>68</v>
      </c>
      <c r="B31" s="11" t="s">
        <v>65</v>
      </c>
      <c r="C31" s="10" t="n">
        <f aca="false">輸入與假設!$C$434+損益!C22</f>
        <v>191.643818715202</v>
      </c>
      <c r="D31" s="10" t="n">
        <f aca="false">損益!D34</f>
        <v>243.241207731697</v>
      </c>
      <c r="E31" s="10" t="n">
        <f aca="false">損益!E34</f>
        <v>300.323635050681</v>
      </c>
    </row>
    <row r="32" customFormat="false" ht="15" hidden="false" customHeight="false" outlineLevel="1" collapsed="false">
      <c r="A32" s="3" t="s">
        <v>69</v>
      </c>
      <c r="B32" s="11" t="s">
        <v>65</v>
      </c>
      <c r="C32" s="10" t="n">
        <f aca="false">輸入與假設!$C$465</f>
        <v>216.957</v>
      </c>
      <c r="D32" s="10" t="n">
        <f aca="false">輸入與假設!$D$465</f>
        <v>273.452</v>
      </c>
      <c r="E32" s="10" t="n">
        <f aca="false">輸入與假設!$E$465</f>
        <v>355.29</v>
      </c>
    </row>
    <row r="33" customFormat="false" ht="15" hidden="false" customHeight="false" outlineLevel="1" collapsed="false">
      <c r="A33" s="3" t="s">
        <v>70</v>
      </c>
      <c r="B33" s="11" t="s">
        <v>42</v>
      </c>
      <c r="C33" s="13" t="n">
        <f aca="false">C31/C32-1</f>
        <v>-0.116673724677232</v>
      </c>
      <c r="D33" s="13" t="n">
        <f aca="false">D31/D32-1</f>
        <v>-0.110479324591897</v>
      </c>
      <c r="E33" s="13" t="n">
        <f aca="false">E31/E32-1</f>
        <v>-0.154708449293025</v>
      </c>
      <c r="I33" s="11" t="s">
        <v>71</v>
      </c>
    </row>
    <row r="34" customFormat="false" ht="15" hidden="false" customHeight="false" outlineLevel="1" collapsed="false">
      <c r="A34" s="3" t="s">
        <v>72</v>
      </c>
      <c r="B34" s="11" t="s">
        <v>65</v>
      </c>
      <c r="C34" s="10" t="n">
        <f aca="false">C31-C32</f>
        <v>-25.3131812847981</v>
      </c>
      <c r="D34" s="10" t="n">
        <f aca="false">D31-D32</f>
        <v>-30.2107922683034</v>
      </c>
      <c r="E34" s="10" t="n">
        <f aca="false">E31-E32</f>
        <v>-54.9663649493189</v>
      </c>
      <c r="I34" s="6" t="s">
        <v>73</v>
      </c>
    </row>
    <row r="35" customFormat="false" ht="15" hidden="false" customHeight="false" outlineLevel="1" collapsed="false">
      <c r="A35" s="3" t="s">
        <v>74</v>
      </c>
      <c r="B35" s="11" t="s">
        <v>42</v>
      </c>
      <c r="C35" s="13" t="n">
        <f aca="false">C31/C28</f>
        <v>0.229728402678523</v>
      </c>
      <c r="D35" s="13" t="n">
        <f aca="false">D31/D28</f>
        <v>0.249851299133775</v>
      </c>
      <c r="E35" s="13" t="n">
        <f aca="false">E31/E28</f>
        <v>0.26971802556032</v>
      </c>
    </row>
    <row r="36" customFormat="false" ht="15" hidden="false" customHeight="false" outlineLevel="1" collapsed="false">
      <c r="A36" s="3" t="s">
        <v>75</v>
      </c>
      <c r="B36" s="11" t="s">
        <v>42</v>
      </c>
      <c r="C36" s="13" t="n">
        <f aca="false">輸入與假設!$C$466</f>
        <v>0.261935203462576</v>
      </c>
      <c r="D36" s="13" t="n">
        <f aca="false">輸入與假設!$D$466</f>
        <v>0.288496211965358</v>
      </c>
      <c r="E36" s="13" t="n">
        <f aca="false">輸入與假設!$E$466</f>
        <v>0.323759396166719</v>
      </c>
    </row>
    <row r="37" customFormat="false" ht="15" hidden="false" customHeight="false" outlineLevel="1" collapsed="false">
      <c r="A37" s="3" t="s">
        <v>76</v>
      </c>
      <c r="B37" s="11" t="s">
        <v>77</v>
      </c>
      <c r="C37" s="13" t="n">
        <f aca="false">C35-C36</f>
        <v>-0.0322068007840532</v>
      </c>
      <c r="D37" s="13" t="n">
        <f aca="false">D35-D36</f>
        <v>-0.0386449128315828</v>
      </c>
      <c r="E37" s="13" t="n">
        <f aca="false">E35-E36</f>
        <v>-0.0540413706063996</v>
      </c>
      <c r="I37" s="11" t="s">
        <v>78</v>
      </c>
    </row>
    <row r="38" customFormat="false" ht="15" hidden="false" customHeight="false" outlineLevel="1" collapsed="false">
      <c r="A38" s="3" t="s">
        <v>79</v>
      </c>
      <c r="B38" s="11" t="s">
        <v>65</v>
      </c>
      <c r="C38" s="10" t="n">
        <f aca="false">輸入與假設!$C$417+輸入與假設!C$277</f>
        <v>220</v>
      </c>
      <c r="D38" s="10" t="n">
        <f aca="false">輸入與假設!D$277</f>
        <v>276.225824532882</v>
      </c>
      <c r="E38" s="10" t="n">
        <f aca="false">輸入與假設!E$277</f>
        <v>291.663552291615</v>
      </c>
    </row>
    <row r="39" customFormat="false" ht="15" hidden="false" customHeight="false" outlineLevel="1" collapsed="false">
      <c r="A39" s="3" t="s">
        <v>80</v>
      </c>
      <c r="B39" s="11" t="s">
        <v>65</v>
      </c>
      <c r="C39" s="10" t="n">
        <f aca="false">輸入與假設!$C$470</f>
        <v>220.5</v>
      </c>
      <c r="D39" s="10" t="n">
        <f aca="false">輸入與假設!$D$470</f>
        <v>275.063</v>
      </c>
      <c r="E39" s="10" t="n">
        <f aca="false">輸入與假設!$E$470</f>
        <v>292.927</v>
      </c>
    </row>
    <row r="40" customFormat="false" ht="15" hidden="false" customHeight="false" outlineLevel="1" collapsed="false">
      <c r="A40" s="3" t="s">
        <v>81</v>
      </c>
      <c r="B40" s="11" t="s">
        <v>42</v>
      </c>
      <c r="C40" s="13" t="n">
        <f aca="false">C38/C39-1</f>
        <v>-0.00226757369614516</v>
      </c>
      <c r="D40" s="13" t="n">
        <f aca="false">D38/D39-1</f>
        <v>0.00422748436860498</v>
      </c>
      <c r="E40" s="13" t="n">
        <f aca="false">E38/E39-1</f>
        <v>-0.00431318283526305</v>
      </c>
      <c r="I40" s="6" t="s">
        <v>82</v>
      </c>
    </row>
    <row r="41" customFormat="false" ht="15" hidden="false" customHeight="false" outlineLevel="1" collapsed="false">
      <c r="A41" s="3" t="s">
        <v>83</v>
      </c>
      <c r="B41" s="11" t="s">
        <v>65</v>
      </c>
      <c r="C41" s="10" t="n">
        <f aca="false">資產負債_新債與新股!C25</f>
        <v>68.3044227677356</v>
      </c>
      <c r="D41" s="10" t="n">
        <f aca="false">資產負債_新債與新股!D25</f>
        <v>141.337603240018</v>
      </c>
      <c r="E41" s="10" t="n">
        <f aca="false">資產負債_新債與新股!E25</f>
        <v>178.203370235367</v>
      </c>
    </row>
    <row r="42" customFormat="false" ht="15" hidden="false" customHeight="false" outlineLevel="1" collapsed="false">
      <c r="A42" s="3" t="s">
        <v>84</v>
      </c>
      <c r="B42" s="11" t="s">
        <v>65</v>
      </c>
      <c r="C42" s="10" t="n">
        <f aca="false">輸入與假設!$C$472</f>
        <v>22.278</v>
      </c>
      <c r="D42" s="10" t="n">
        <f aca="false">輸入與假設!$D$472</f>
        <v>74.022</v>
      </c>
      <c r="E42" s="10" t="n">
        <f aca="false">輸入與假設!$E$472</f>
        <v>104.013</v>
      </c>
    </row>
    <row r="43" customFormat="false" ht="15" hidden="false" customHeight="false" outlineLevel="1" collapsed="false">
      <c r="A43" s="3" t="s">
        <v>85</v>
      </c>
      <c r="B43" s="11" t="s">
        <v>42</v>
      </c>
      <c r="C43" s="13" t="n">
        <f aca="false">C41/C42-1</f>
        <v>2.06600335612423</v>
      </c>
      <c r="D43" s="13" t="n">
        <f aca="false">D41/D42-1</f>
        <v>0.909399951906427</v>
      </c>
      <c r="E43" s="13" t="n">
        <f aca="false">E41/E42-1</f>
        <v>0.713279784597762</v>
      </c>
      <c r="I43" s="6" t="s">
        <v>86</v>
      </c>
    </row>
    <row r="44" customFormat="false" ht="15" hidden="false" customHeight="false" outlineLevel="1" collapsed="false">
      <c r="A44" s="3" t="s">
        <v>87</v>
      </c>
      <c r="B44" s="11" t="s">
        <v>65</v>
      </c>
      <c r="C44" s="10" t="n">
        <f aca="false">C41-C42</f>
        <v>46.0264227677356</v>
      </c>
      <c r="D44" s="10" t="n">
        <f aca="false">D41-D42</f>
        <v>67.3156032400175</v>
      </c>
      <c r="E44" s="10" t="n">
        <f aca="false">E41-E42</f>
        <v>74.190370235367</v>
      </c>
      <c r="I44" s="6" t="s">
        <v>73</v>
      </c>
    </row>
    <row r="45" customFormat="false" ht="15" hidden="false" customHeight="false" outlineLevel="1" collapsed="false">
      <c r="A45" s="3" t="s">
        <v>88</v>
      </c>
      <c r="C45" s="10" t="str">
        <f aca="false">MID(IF(ABS(C30)&gt;輸入與假設!$C$493,"、營收 "&amp;IF(C30&lt;0,"−","+")&amp;TEXT(ABS(C30)*100,"0.0")&amp;"%","")&amp;IF(ABS(C33)&gt;輸入與假設!$C$493,"、EBITDA "&amp;IF(C34&lt;0,"−","+")&amp;"$"&amp;TEXT(ABS(C34),"#,##0.00")&amp;"bn"&amp;"／"&amp;IF(C37&lt;0,"−","+")&amp;TEXT(ABS(C37)*100,"0.0")&amp;"pt","")&amp;IF(ABS(C40)&gt;輸入與假設!$C$493,"、CapEx "&amp;IF(C40&lt;0,"−","+")&amp;TEXT(ABS(C40)*100,"0.0")&amp;"%",""),2,999)</f>
        <v>EBITDA −$25.31bn／−3.2pt</v>
      </c>
      <c r="D45" s="10" t="str">
        <f aca="false">MID(IF(ABS(D30)&gt;輸入與假設!$C$493,"、營收 "&amp;IF(D30&lt;0,"−","+")&amp;TEXT(ABS(D30)*100,"0.0")&amp;"%","")&amp;IF(ABS(D33)&gt;輸入與假設!$C$493,"、EBITDA "&amp;IF(D34&lt;0,"−","+")&amp;"$"&amp;TEXT(ABS(D34),"#,##0.00")&amp;"bn"&amp;"／"&amp;IF(D37&lt;0,"−","+")&amp;TEXT(ABS(D37)*100,"0.0")&amp;"pt","")&amp;IF(ABS(D40)&gt;輸入與假設!$C$493,"、CapEx "&amp;IF(D40&lt;0,"−","+")&amp;TEXT(ABS(D40)*100,"0.0")&amp;"%",""),2,999)</f>
        <v>EBITDA −$30.21bn／−3.9pt</v>
      </c>
      <c r="E45" s="10" t="str">
        <f aca="false">MID(IF(ABS(E30)&gt;輸入與假設!$C$493,"、營收 "&amp;IF(E30&lt;0,"−","+")&amp;TEXT(ABS(E30)*100,"0.0")&amp;"%","")&amp;IF(ABS(E33)&gt;輸入與假設!$C$493,"、EBITDA "&amp;IF(E34&lt;0,"−","+")&amp;"$"&amp;TEXT(ABS(E34),"#,##0.00")&amp;"bn"&amp;"／"&amp;IF(E37&lt;0,"−","+")&amp;TEXT(ABS(E37)*100,"0.0")&amp;"pt","")&amp;IF(ABS(E40)&gt;輸入與假設!$C$493,"、CapEx "&amp;IF(E40&lt;0,"−","+")&amp;TEXT(ABS(E40)*100,"0.0")&amp;"%",""),2,999)</f>
        <v>EBITDA −$54.97bn／−5.4pt</v>
      </c>
      <c r="I45" s="6" t="s">
        <v>89</v>
      </c>
    </row>
    <row r="46" customFormat="false" ht="15" hidden="false" customHeight="false" outlineLevel="1" collapsed="false">
      <c r="A46" s="3" t="s">
        <v>90</v>
      </c>
      <c r="C46" s="9" t="n">
        <f aca="false">IF(C45&lt;&gt;"",1,IF(D45&lt;&gt;"",2,IF(E45&lt;&gt;"",3,0)))</f>
        <v>1</v>
      </c>
    </row>
    <row r="47" customFormat="false" ht="15" hidden="false" customHeight="false" outlineLevel="1" collapsed="false">
      <c r="A47" s="2" t="s">
        <v>91</v>
      </c>
      <c r="C47" s="10" t="str">
        <f aca="false">CHOOSE(C46+1,"2026–2028 營收、EBITDA、CapEx 與共識差距皆在 "&amp;IF(ROUND(ABS(輸入與假設!$C$493)*100,4)=INT(ROUND(ABS(輸入與假設!$C$493)*100,4)),TEXT(ROUND(ABS(輸入與假設!$C$493)*100,4),"0"),TEXT(ROUND(ABS(輸入與假設!$C$493)*100,4),"0.0"))&amp;"%"&amp;" 以內。","分歧始於 2026（"&amp;C45&amp;"）"&amp;"；2027 "&amp;IF(D45="","回到 "&amp;IF(ROUND(ABS(輸入與假設!$C$493)*100,4)=INT(ROUND(ABS(輸入與假設!$C$493)*100,4)),TEXT(ROUND(ABS(輸入與假設!$C$493)*100,4),"0"),TEXT(ROUND(ABS(輸入與假設!$C$493)*100,4),"0.0"))&amp;"%"&amp;" 以內",D45)&amp;"；2028 "&amp;IF(E45="","回到 "&amp;IF(ROUND(ABS(輸入與假設!$C$493)*100,4)=INT(ROUND(ABS(輸入與假設!$C$493)*100,4)),TEXT(ROUND(ABS(輸入與假設!$C$493)*100,4),"0"),TEXT(ROUND(ABS(輸入與假設!$C$493)*100,4),"0.0"))&amp;"%"&amp;" 以內",E45)&amp;"。","2026 營收、EBITDA、CapEx 與共識差距在 "&amp;IF(ROUND(ABS(輸入與假設!$C$493)*100,4)=INT(ROUND(ABS(輸入與假設!$C$493)*100,4)),TEXT(ROUND(ABS(輸入與假設!$C$493)*100,4),"0"),TEXT(ROUND(ABS(輸入與假設!$C$493)*100,4),"0.0"))&amp;"%"&amp;" 以內；分歧始於 2027（"&amp;D45&amp;"）"&amp;"；2028 "&amp;IF(E45="","回到 "&amp;IF(ROUND(ABS(輸入與假設!$C$493)*100,4)=INT(ROUND(ABS(輸入與假設!$C$493)*100,4)),TEXT(ROUND(ABS(輸入與假設!$C$493)*100,4),"0"),TEXT(ROUND(ABS(輸入與假設!$C$493)*100,4),"0.0"))&amp;"%"&amp;" 以內",E45)&amp;"。","2026–2027 營收、EBITDA、CapEx 與共識差距在 "&amp;IF(ROUND(ABS(輸入與假設!$C$493)*100,4)=INT(ROUND(ABS(輸入與假設!$C$493)*100,4)),TEXT(ROUND(ABS(輸入與假設!$C$493)*100,4),"0"),TEXT(ROUND(ABS(輸入與假設!$C$493)*100,4),"0.0"))&amp;"%"&amp;" 以內；分歧始於 2028（"&amp;E45&amp;"）。")</f>
        <v>分歧始於 2026（EBITDA −$25.31bn／−3.2pt）；2027 EBITDA −$30.21bn／−3.9pt；2028 EBITDA −$54.97bn／−5.4pt。</v>
      </c>
    </row>
    <row r="48" customFormat="false" ht="15" hidden="false" customHeight="false" outlineLevel="1" collapsed="false">
      <c r="A48" s="3" t="s">
        <v>92</v>
      </c>
      <c r="C48" s="10" t="str">
        <f aca="false">IF(ABS(C30)&gt;輸入與假設!$C$493,"觀點","")</f>
        <v/>
      </c>
      <c r="D48" s="10" t="str">
        <f aca="false">IF(ABS(C30)&gt;輸入與假設!$C$493,"營收＝對外 AI 雲端（年底 "&amp;IF((輸入與假設!C$36)&lt;0,"−","")&amp;TEXT(ABS((輸入與假設!C$36)),"#,##0")&amp;" MW-IT × 每 MW 年收入，Tokenomics × k）＋零售／廣告／訂閱／AWS 非 AI（近四季年增率收斂到長期值）；共識未揭露 MW 與單價假設","")</f>
        <v/>
      </c>
      <c r="I48" s="11" t="s">
        <v>93</v>
      </c>
    </row>
    <row r="49" customFormat="false" ht="15" hidden="false" customHeight="false" outlineLevel="1" collapsed="false">
      <c r="A49" s="3" t="s">
        <v>94</v>
      </c>
      <c r="C49" s="10" t="str">
        <f aca="false">IF(ABS(C37)&gt;輸入與假設!$C$494,"觀點","")</f>
        <v>觀點</v>
      </c>
      <c r="D49" s="10" t="str">
        <f aca="false">IF(ABS(C37)&gt;輸入與假設!$C$494,"營收差距 "&amp;IF((C30)&lt;0,"−","+")&amp;TEXT(ABS((C30))*100,"#,##0.0")&amp;"%"&amp;"；EBITDA 率 "&amp;IF((C35)&lt;0,"−","")&amp;TEXT(ABS((C35))*100,"#,##0.0")&amp;"%"&amp;" 對共識 "&amp;IF((C36)&lt;0,"−","")&amp;TEXT(ABS((C36))*100,"#,##0.0")&amp;"%"&amp;"（分部 EBITDA 率依 C5 放大分攤 D&amp;A，近四季收斂到近三年平均；AI 雲端以 Tokenomics 營運成本推得；共識 EBITDA 口徑未揭露是否扣 SBC）","")</f>
        <v>營收差距 +0.7%；EBITDA 率 23.0% 對共識 26.2%（分部 EBITDA 率依 C5 放大分攤 D&amp;A，近四季收斂到近三年平均；AI 雲端以 Tokenomics 營運成本推得；共識 EBITDA 口徑未揭露是否扣 SBC）</v>
      </c>
    </row>
    <row r="50" customFormat="false" ht="15" hidden="false" customHeight="false" outlineLevel="1" collapsed="false">
      <c r="A50" s="3" t="s">
        <v>95</v>
      </c>
      <c r="C50" s="10" t="str">
        <f aca="false">IF(ABS(C40)&gt;輸入與假設!$C$493,"觀點","")</f>
        <v/>
      </c>
      <c r="D50" s="10" t="str">
        <f aca="false">IF(ABS(C40)&gt;輸入與假設!$C$493,"CapEx：首期取公司指引約 220；公司未給 2027 以後指引 → 依新增 AI MW（"&amp;IF((輸入與假設!C$244)&lt;0,"−","")&amp;TEXT(ABS((輸入與假設!C$244)),"#,##0")&amp;" MW-IT 對外）÷ 對外比例 × 每 MW $"&amp;IF((輸入與假設!C$225)&lt;0,"−","")&amp;TEXT(ABS((輸入與假設!C$225)),"#,##0")&amp;"m＋非 AI 強度推導；對帳列顯示 2026 指引隱含的 AI 建置量約為 MW 路徑的 2 倍（共識口徑未揭露）","")</f>
        <v/>
      </c>
    </row>
    <row r="51" customFormat="false" ht="15" hidden="false" customHeight="false" outlineLevel="1" collapsed="false">
      <c r="A51" s="3" t="s">
        <v>96</v>
      </c>
      <c r="C51" s="10" t="str">
        <f aca="false">IF(ABS(C43)&gt;輸入與假設!$C$493,"觀點","")</f>
        <v>觀點</v>
      </c>
      <c r="D51" s="10" t="str">
        <f aca="false">IF(ABS(C43)&gt;輸入與假設!$C$493,"淨負債隨 CapEx、投資與融資瀑布而定（模型 CapEx 差距 "&amp;IF((C40)&lt;0,"−","+")&amp;TEXT(ABS((C40))*100,"#,##0.0")&amp;"%"&amp;"）；共識淨負債不含租賃","")</f>
        <v>淨負債隨 CapEx、投資與融資瀑布而定（模型 CapEx 差距 −0.2%）；共識淨負債不含租賃</v>
      </c>
    </row>
    <row r="52" customFormat="false" ht="15" hidden="false" customHeight="false" outlineLevel="1" collapsed="false">
      <c r="A52" s="3" t="s">
        <v>97</v>
      </c>
      <c r="C52" s="10" t="str">
        <f aca="false">IF(ABS(D30)&gt;輸入與假設!$C$493,"觀點","")</f>
        <v/>
      </c>
      <c r="D52" s="10" t="str">
        <f aca="false">IF(ABS(D30)&gt;輸入與假設!$C$493,"營收＝對外 AI 雲端（年底 "&amp;IF((輸入與假設!D$36)&lt;0,"−","")&amp;TEXT(ABS((輸入與假設!D$36)),"#,##0")&amp;" MW-IT × 每 MW 年收入，Tokenomics × k）＋零售／廣告／訂閱／AWS 非 AI（近四季年增率收斂到長期值）；共識未揭露 MW 與單價假設","")</f>
        <v/>
      </c>
    </row>
    <row r="53" customFormat="false" ht="15" hidden="false" customHeight="false" outlineLevel="1" collapsed="false">
      <c r="A53" s="3" t="s">
        <v>98</v>
      </c>
      <c r="C53" s="10" t="str">
        <f aca="false">IF(ABS(D37)&gt;輸入與假設!$C$494,"觀點","")</f>
        <v>觀點</v>
      </c>
      <c r="D53" s="10" t="str">
        <f aca="false">IF(ABS(D37)&gt;輸入與假設!$C$494,"營收差距 "&amp;IF((D30)&lt;0,"−","+")&amp;TEXT(ABS((D30))*100,"#,##0.0")&amp;"%"&amp;"；EBITDA 率 "&amp;IF((D35)&lt;0,"−","")&amp;TEXT(ABS((D35))*100,"#,##0.0")&amp;"%"&amp;" 對共識 "&amp;IF((D36)&lt;0,"−","")&amp;TEXT(ABS((D36))*100,"#,##0.0")&amp;"%"&amp;"（分部 EBITDA 率依 C5 放大分攤 D&amp;A，近四季收斂到近三年平均；AI 雲端以 Tokenomics 營運成本推得；共識 EBITDA 口徑未揭露是否扣 SBC）","")</f>
        <v>營收差距 +2.7%；EBITDA 率 25.0% 對共識 28.8%（分部 EBITDA 率依 C5 放大分攤 D&amp;A，近四季收斂到近三年平均；AI 雲端以 Tokenomics 營運成本推得；共識 EBITDA 口徑未揭露是否扣 SBC）</v>
      </c>
    </row>
    <row r="54" customFormat="false" ht="15" hidden="false" customHeight="false" outlineLevel="1" collapsed="false">
      <c r="A54" s="3" t="s">
        <v>99</v>
      </c>
      <c r="C54" s="10" t="str">
        <f aca="false">IF(ABS(D40)&gt;輸入與假設!$C$493,"觀點","")</f>
        <v/>
      </c>
      <c r="D54" s="10" t="str">
        <f aca="false">IF(ABS(D40)&gt;輸入與假設!$C$493,"CapEx：首期取公司指引約 220；公司未給 2027 以後指引 → 依新增 AI MW（"&amp;IF((輸入與假設!D$244)&lt;0,"−","")&amp;TEXT(ABS((輸入與假設!D$244)),"#,##0")&amp;" MW-IT 對外）÷ 對外比例 × 每 MW $"&amp;IF((輸入與假設!D$225)&lt;0,"−","")&amp;TEXT(ABS((輸入與假設!D$225)),"#,##0")&amp;"m＋非 AI 強度推導；對帳列顯示 2026 指引隱含的 AI 建置量約為 MW 路徑的 2 倍（共識口徑未揭露）","")</f>
        <v/>
      </c>
    </row>
    <row r="55" customFormat="false" ht="15" hidden="false" customHeight="false" outlineLevel="1" collapsed="false">
      <c r="A55" s="3" t="s">
        <v>100</v>
      </c>
      <c r="C55" s="10" t="str">
        <f aca="false">IF(ABS(D43)&gt;輸入與假設!$C$493,"觀點","")</f>
        <v>觀點</v>
      </c>
      <c r="D55" s="10" t="str">
        <f aca="false">IF(ABS(D43)&gt;輸入與假設!$C$493,"淨負債隨 CapEx、投資與融資瀑布而定（模型 CapEx 差距 "&amp;IF((D40)&lt;0,"−","+")&amp;TEXT(ABS((D40))*100,"#,##0.0")&amp;"%"&amp;"）；共識淨負債不含租賃","")</f>
        <v>淨負債隨 CapEx、投資與融資瀑布而定（模型 CapEx 差距 +0.4%）；共識淨負債不含租賃</v>
      </c>
    </row>
    <row r="56" customFormat="false" ht="15" hidden="false" customHeight="false" outlineLevel="1" collapsed="false">
      <c r="A56" s="3" t="s">
        <v>101</v>
      </c>
      <c r="C56" s="10" t="str">
        <f aca="false">IF(ABS(E30)&gt;輸入與假設!$C$493,"觀點","")</f>
        <v/>
      </c>
      <c r="D56" s="10" t="str">
        <f aca="false">IF(ABS(E30)&gt;輸入與假設!$C$493,"營收＝對外 AI 雲端（年底 "&amp;IF((輸入與假設!E$36)&lt;0,"−","")&amp;TEXT(ABS((輸入與假設!E$36)),"#,##0")&amp;" MW-IT × 每 MW 年收入，Tokenomics × k）＋零售／廣告／訂閱／AWS 非 AI（近四季年增率收斂到長期值）；共識未揭露 MW 與單價假設","")</f>
        <v/>
      </c>
    </row>
    <row r="57" customFormat="false" ht="15" hidden="false" customHeight="false" outlineLevel="1" collapsed="false">
      <c r="A57" s="3" t="s">
        <v>102</v>
      </c>
      <c r="C57" s="10" t="str">
        <f aca="false">IF(ABS(E37)&gt;輸入與假設!$C$494,"觀點","")</f>
        <v>觀點</v>
      </c>
      <c r="D57" s="10" t="str">
        <f aca="false">IF(ABS(E37)&gt;輸入與假設!$C$494,"營收差距 "&amp;IF((E30)&lt;0,"−","+")&amp;TEXT(ABS((E30))*100,"#,##0.0")&amp;"%"&amp;"；EBITDA 率 "&amp;IF((E35)&lt;0,"−","")&amp;TEXT(ABS((E35))*100,"#,##0.0")&amp;"%"&amp;" 對共識 "&amp;IF((E36)&lt;0,"−","")&amp;TEXT(ABS((E36))*100,"#,##0.0")&amp;"%"&amp;"（分部 EBITDA 率依 C5 放大分攤 D&amp;A，近四季收斂到近三年平均；AI 雲端以 Tokenomics 營運成本推得；共識 EBITDA 口徑未揭露是否扣 SBC）","")</f>
        <v>營收差距 +1.5%；EBITDA 率 27.0% 對共識 32.4%（分部 EBITDA 率依 C5 放大分攤 D&amp;A，近四季收斂到近三年平均；AI 雲端以 Tokenomics 營運成本推得；共識 EBITDA 口徑未揭露是否扣 SBC）</v>
      </c>
    </row>
    <row r="58" customFormat="false" ht="15" hidden="false" customHeight="false" outlineLevel="1" collapsed="false">
      <c r="A58" s="3" t="s">
        <v>103</v>
      </c>
      <c r="C58" s="10" t="str">
        <f aca="false">IF(ABS(E40)&gt;輸入與假設!$C$493,"觀點","")</f>
        <v/>
      </c>
      <c r="D58" s="10" t="str">
        <f aca="false">IF(ABS(E40)&gt;輸入與假設!$C$493,"CapEx：首期取公司指引約 220；公司未給 2027 以後指引 → 依新增 AI MW（"&amp;IF((輸入與假設!E$244)&lt;0,"−","")&amp;TEXT(ABS((輸入與假設!E$244)),"#,##0")&amp;" MW-IT 對外）÷ 對外比例 × 每 MW $"&amp;IF((輸入與假設!E$225)&lt;0,"−","")&amp;TEXT(ABS((輸入與假設!E$225)),"#,##0")&amp;"m＋非 AI 強度推導；對帳列顯示 2026 指引隱含的 AI 建置量約為 MW 路徑的 2 倍（共識口徑未揭露）","")</f>
        <v/>
      </c>
    </row>
    <row r="59" customFormat="false" ht="15" hidden="false" customHeight="false" outlineLevel="1" collapsed="false">
      <c r="A59" s="3" t="s">
        <v>104</v>
      </c>
      <c r="C59" s="10" t="str">
        <f aca="false">IF(ABS(E43)&gt;輸入與假設!$C$493,"觀點","")</f>
        <v>觀點</v>
      </c>
      <c r="D59" s="10" t="str">
        <f aca="false">IF(ABS(E43)&gt;輸入與假設!$C$493,"淨負債隨 CapEx、投資與融資瀑布而定（模型 CapEx 差距 "&amp;IF((E40)&lt;0,"−","+")&amp;TEXT(ABS((E40))*100,"#,##0.0")&amp;"%"&amp;"）；共識淨負債不含租賃","")</f>
        <v>淨負債隨 CapEx、投資與融資瀑布而定（模型 CapEx 差距 −0.4%）；共識淨負債不含租賃</v>
      </c>
    </row>
    <row r="60" customFormat="false" ht="15" hidden="false" customHeight="false" outlineLevel="1" collapsed="false">
      <c r="A60" s="3" t="s">
        <v>105</v>
      </c>
      <c r="C60" s="9" t="n">
        <f aca="false">SUMPRODUCT(--(ABS(C30:E30)&gt;輸入與假設!$C$493))+SUMPRODUCT(--(ABS(C37:E37)&gt;輸入與假設!$C$494))+SUMPRODUCT(--(ABS(C40:E40)&gt;輸入與假設!$C$493))+SUMPRODUCT(--(ABS(C43:E43)&gt;輸入與假設!$C$493))</f>
        <v>6</v>
      </c>
      <c r="I60" s="6" t="s">
        <v>106</v>
      </c>
    </row>
    <row r="61" customFormat="false" ht="15" hidden="false" customHeight="false" outlineLevel="1" collapsed="false">
      <c r="A61" s="3" t="s">
        <v>107</v>
      </c>
      <c r="C61" s="10" t="str">
        <f aca="false">IF(C60=0,"","需附原因的 "&amp;C60&amp;" 項差距："&amp;MID(IF((COUNTIF(C48,"觀點")+COUNTIF(C49,"觀點")+COUNTIF(C50,"觀點")+COUNTIF(C51,"觀點")+COUNTIF(C52,"觀點")+COUNTIF(C53,"觀點")+COUNTIF(C54,"觀點")+COUNTIF(C55,"觀點")+COUNTIF(C56,"觀點")+COUNTIF(C57,"觀點")+COUNTIF(C58,"觀點")+COUNTIF(C59,"觀點"))&gt;0,"、觀點 "&amp;(COUNTIF(C48,"觀點")+COUNTIF(C49,"觀點")+COUNTIF(C50,"觀點")+COUNTIF(C51,"觀點")+COUNTIF(C52,"觀點")+COUNTIF(C53,"觀點")+COUNTIF(C54,"觀點")+COUNTIF(C55,"觀點")+COUNTIF(C56,"觀點")+COUNTIF(C57,"觀點")+COUNTIF(C58,"觀點")+COUNTIF(C59,"觀點"))&amp;" 項","")&amp;IF((COUNTIF(C48,"拆法")+COUNTIF(C49,"拆法")+COUNTIF(C50,"拆法")+COUNTIF(C51,"拆法")+COUNTIF(C52,"拆法")+COUNTIF(C53,"拆法")+COUNTIF(C54,"拆法")+COUNTIF(C55,"拆法")+COUNTIF(C56,"拆法")+COUNTIF(C57,"拆法")+COUNTIF(C58,"拆法")+COUNTIF(C59,"拆法"))&gt;0,"、拆法 "&amp;(COUNTIF(C48,"拆法")+COUNTIF(C49,"拆法")+COUNTIF(C50,"拆法")+COUNTIF(C51,"拆法")+COUNTIF(C52,"拆法")+COUNTIF(C53,"拆法")+COUNTIF(C54,"拆法")+COUNTIF(C55,"拆法")+COUNTIF(C56,"拆法")+COUNTIF(C57,"拆法")+COUNTIF(C58,"拆法")+COUNTIF(C59,"拆法"))&amp;" 項","")&amp;IF(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gt;0,"、已知限制 "&amp;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amp;" 項","")&amp;IF(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gt;0,"、未歸類 "&amp;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amp;" 項",""),2,999)&amp;"；原因見「損益與評價 → 市場共識」。")</f>
        <v>需附原因的 6 項差距：觀點 6 項；原因見「損益與評價 → 市場共識」。</v>
      </c>
      <c r="I61" s="6" t="s">
        <v>108</v>
      </c>
    </row>
    <row r="63" customFormat="false" ht="15" hidden="false" customHeight="false" outlineLevel="0" collapsed="false">
      <c r="A63" s="7" t="s">
        <v>109</v>
      </c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1" collapsed="false">
      <c r="A64" s="3" t="s">
        <v>110</v>
      </c>
      <c r="B64" s="11" t="s">
        <v>111</v>
      </c>
      <c r="C64" s="16" t="n">
        <f aca="false">(輸入與假設!$C$446*輸入與假設!$C$321+輸入與假設!$E$472)/輸入與假設!$E$465</f>
        <v>10.585417547412</v>
      </c>
      <c r="I64" s="6" t="s">
        <v>112</v>
      </c>
    </row>
    <row r="65" customFormat="false" ht="15" hidden="false" customHeight="false" outlineLevel="1" collapsed="false">
      <c r="A65" s="3" t="s">
        <v>113</v>
      </c>
      <c r="B65" s="11" t="s">
        <v>111</v>
      </c>
      <c r="C65" s="16" t="n">
        <f aca="false">(輸入與假設!$C$320*輸入與假設!$C$321+輸入與假設!$E$472)/輸入與假設!$E$465</f>
        <v>8.36221738545977</v>
      </c>
      <c r="I65" s="6" t="s">
        <v>114</v>
      </c>
    </row>
    <row r="66" customFormat="false" ht="15" hidden="false" customHeight="false" outlineLevel="1" collapsed="false">
      <c r="A66" s="3" t="s">
        <v>115</v>
      </c>
      <c r="B66" s="11" t="s">
        <v>111</v>
      </c>
      <c r="C66" s="16" t="n">
        <f aca="false">MAX(輸入與假設!$C$382,輸入與假設!$C$383)</f>
        <v>6</v>
      </c>
      <c r="I66" s="6" t="s">
        <v>116</v>
      </c>
    </row>
    <row r="67" customFormat="false" ht="15" hidden="false" customHeight="false" outlineLevel="1" collapsed="false">
      <c r="A67" s="3" t="s">
        <v>117</v>
      </c>
      <c r="B67" s="11" t="s">
        <v>65</v>
      </c>
      <c r="C67" s="10" t="n">
        <f aca="false">輸入與假設!E$195</f>
        <v>221.132864568806</v>
      </c>
      <c r="I67" s="11" t="s">
        <v>118</v>
      </c>
    </row>
    <row r="68" customFormat="false" ht="15" hidden="false" customHeight="false" outlineLevel="1" collapsed="false">
      <c r="A68" s="3" t="s">
        <v>119</v>
      </c>
      <c r="B68" s="11" t="s">
        <v>111</v>
      </c>
      <c r="C68" s="16" t="n">
        <f aca="false">IF(ABS((輸入與假設!$C$446*輸入與假設!$C$321+輸入與假設!$E$472-輸入與假設!E$195*輸入與假設!$C$378)/MAX(輸入與假設!$E$465-輸入與假設!E$195,0.01))&lt;0.05,0,(輸入與假設!$C$446*輸入與假設!$C$321+輸入與假設!$E$472-輸入與假設!E$195*輸入與假設!$C$378)/MAX(輸入與假設!$E$465-輸入與假設!E$195,0.01))</f>
        <v>6.54015033817981</v>
      </c>
      <c r="I68" s="6" t="s">
        <v>120</v>
      </c>
    </row>
    <row r="69" customFormat="false" ht="15" hidden="false" customHeight="false" outlineLevel="1" collapsed="false">
      <c r="A69" s="3" t="s">
        <v>121</v>
      </c>
      <c r="B69" s="11" t="s">
        <v>111</v>
      </c>
      <c r="C69" s="16" t="n">
        <f aca="false">IF(ABS((輸入與假設!$C$320*輸入與假設!$C$321+輸入與假設!$E$472-輸入與假設!E$195*輸入與假設!$C$378)/MAX(輸入與假設!$E$465-輸入與假設!E$195,0.01))&lt;0.05,0,(輸入與假設!$C$320*輸入與假設!$C$321+輸入與假設!$E$472-輸入與假設!E$195*輸入與假設!$C$378)/MAX(輸入與假設!$E$465-輸入與假設!E$195,0.01))</f>
        <v>0.652421869610112</v>
      </c>
      <c r="I69" s="6" t="s">
        <v>122</v>
      </c>
    </row>
    <row r="70" customFormat="false" ht="15" hidden="false" customHeight="false" outlineLevel="1" collapsed="false">
      <c r="A70" s="2" t="s">
        <v>123</v>
      </c>
      <c r="C70" s="10" t="str">
        <f aca="false">"共識平均目標價 $"&amp;TEXT(輸入與假設!$C$446,"0.00")&amp;" 隱含 2028 EV/EBITDA "&amp;TEXT(C64,"0.0")&amp;"x（扣除非 AI 事業 "&amp;TEXT(輸入與假設!$C$378,"0.0")&amp;"x × 模型 EBITDA $"&amp;TEXT(C67,"0.0")&amp;"bn 後，AI 雲端 "&amp;TEXT(C68,"0.0")&amp;"x），AI 雲端 倍數"&amp;IF(ROUND(C68,1)&gt;C66,"高於",IF(ROUND(C68,1)&lt;C66,"低於","等於"))&amp;"模型方法區間上緣 "&amp;IF(C66=INT(C66),TEXT(C66,"0"),TEXT(C66,"0.0"))&amp;"x；現價 $"&amp;TEXT(輸入與假設!$C$320,"0.00")&amp;" 隱含 "&amp;TEXT(C65,"0.0")&amp;"x（AI 雲端 "&amp;TEXT(C69,"0.0")&amp;"x）。"</f>
        <v>共識平均目標價 $331.53 隱含 2028 EV/EBITDA 10.6x（扣除非 AI 事業 13.0x × 模型 EBITDA $221.1bn 後，AI 雲端 6.5x），AI 雲端 倍數高於模型方法區間上緣 6x；現價 $259.92 隱含 8.4x（AI 雲端 0.7x）。</v>
      </c>
    </row>
    <row r="71" customFormat="false" ht="15" hidden="false" customHeight="false" outlineLevel="1" collapsed="false">
      <c r="A71" s="3" t="s">
        <v>124</v>
      </c>
      <c r="C71" s="17" t="n">
        <f aca="false">評價_反向DCF!B18</f>
        <v>10.6813</v>
      </c>
      <c r="D71" s="17" t="n">
        <f aca="false">評價_反向DCF!C18</f>
        <v>27.8436</v>
      </c>
      <c r="E71" s="13" t="n">
        <f aca="false">評價_反向DCF!D18</f>
        <v>1.6068</v>
      </c>
      <c r="I71" s="6" t="s">
        <v>125</v>
      </c>
    </row>
    <row r="72" customFormat="false" ht="15" hidden="false" customHeight="false" outlineLevel="1" collapsed="false">
      <c r="A72" s="3" t="s">
        <v>126</v>
      </c>
      <c r="C72" s="17" t="n">
        <f aca="false">評價_反向DCF!B19</f>
        <v>45.0478</v>
      </c>
      <c r="D72" s="17" t="str">
        <f aca="false">評價_反向DCF!C19</f>
        <v>無解</v>
      </c>
      <c r="E72" s="13" t="str">
        <f aca="false">評價_反向DCF!D19</f>
        <v>無解</v>
      </c>
    </row>
    <row r="73" customFormat="false" ht="15" hidden="false" customHeight="false" outlineLevel="1" collapsed="false">
      <c r="A73" s="3" t="s">
        <v>127</v>
      </c>
      <c r="C73" s="13" t="n">
        <f aca="false">評價_反向DCF!B20</f>
        <v>0.765</v>
      </c>
      <c r="D73" s="13" t="str">
        <f aca="false">評價_反向DCF!C20</f>
        <v>無解</v>
      </c>
      <c r="E73" s="13" t="str">
        <f aca="false">評價_反向DCF!D20</f>
        <v>無解</v>
      </c>
    </row>
    <row r="74" customFormat="false" ht="15" hidden="false" customHeight="false" outlineLevel="1" collapsed="false">
      <c r="A74" s="3" t="s">
        <v>128</v>
      </c>
      <c r="C74" s="17" t="n">
        <f aca="false">評價_反向DCF!B21</f>
        <v>10.6813</v>
      </c>
      <c r="D74" s="17" t="n">
        <f aca="false">評價_反向DCF!C21</f>
        <v>21.3141</v>
      </c>
      <c r="E74" s="13" t="n">
        <f aca="false">評價_反向DCF!D21</f>
        <v>0.9955</v>
      </c>
    </row>
    <row r="76" customFormat="false" ht="15" hidden="false" customHeight="false" outlineLevel="0" collapsed="false">
      <c r="A76" s="7" t="s">
        <v>129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130</v>
      </c>
      <c r="C77" s="10" t="str">
        <f aca="false">季度追蹤!C12</f>
        <v>Q3 2026</v>
      </c>
      <c r="I77" s="6" t="s">
        <v>131</v>
      </c>
    </row>
    <row r="78" customFormat="false" ht="15" hidden="false" customHeight="false" outlineLevel="1" collapsed="false">
      <c r="A78" s="3" t="s">
        <v>132</v>
      </c>
      <c r="B78" s="11" t="s">
        <v>65</v>
      </c>
      <c r="C78" s="10" t="n">
        <f aca="false">季度追蹤!C6</f>
        <v>217.566696210433</v>
      </c>
      <c r="D78" s="10" t="str">
        <f aca="false">季度追蹤!D6</f>
        <v>不適用</v>
      </c>
      <c r="E78" s="10" t="n">
        <f aca="false">季度追蹤!F6</f>
        <v>197</v>
      </c>
      <c r="F78" s="10" t="n">
        <f aca="false">季度追蹤!G6</f>
        <v>202</v>
      </c>
      <c r="G78" s="10" t="str">
        <f aca="false">季度追蹤!I6</f>
        <v>待公布</v>
      </c>
      <c r="I78" s="6" t="s">
        <v>133</v>
      </c>
    </row>
    <row r="79" customFormat="false" ht="15" hidden="false" customHeight="false" outlineLevel="1" collapsed="false">
      <c r="A79" s="2" t="s">
        <v>134</v>
      </c>
      <c r="C79" s="10" t="str">
        <f aca="false">INDEX(季度追蹤!$C$129:$H$129,輸入與假設!$C$499)</f>
        <v>營收：模型 $217.57bn｜指引 $197.00–202.00bn（中點 +9.1%，高於上緣）〔觀點〕</v>
      </c>
    </row>
    <row r="80" customFormat="false" ht="15" hidden="false" customHeight="false" outlineLevel="1" collapsed="false">
      <c r="A80" s="3" t="s">
        <v>135</v>
      </c>
      <c r="B80" s="11" t="s">
        <v>65</v>
      </c>
      <c r="C80" s="10" t="n">
        <f aca="false">季度追蹤!C9</f>
        <v>27.3866609112392</v>
      </c>
      <c r="D80" s="10" t="str">
        <f aca="false">季度追蹤!D9</f>
        <v>不適用</v>
      </c>
      <c r="E80" s="10" t="n">
        <f aca="false">季度追蹤!F9</f>
        <v>22.5</v>
      </c>
      <c r="F80" s="10" t="n">
        <f aca="false">季度追蹤!G9</f>
        <v>26.5</v>
      </c>
      <c r="G80" s="10" t="str">
        <f aca="false">季度追蹤!I9</f>
        <v>待公布</v>
      </c>
      <c r="I80" s="6" t="s">
        <v>133</v>
      </c>
    </row>
    <row r="81" customFormat="false" ht="15" hidden="false" customHeight="false" outlineLevel="1" collapsed="false">
      <c r="A81" s="2" t="s">
        <v>136</v>
      </c>
      <c r="C81" s="10" t="str">
        <f aca="false">INDEX(季度追蹤!$C$132:$H$132,輸入與假設!$C$499)</f>
        <v>調整後營業利益：模型 $27.39bn｜指引 $22.50–26.50bn（中點 +$2.89bn／+0.3pt，高於上緣）〔觀點〕</v>
      </c>
    </row>
    <row r="82" customFormat="false" ht="15" hidden="false" customHeight="false" outlineLevel="1" collapsed="false">
      <c r="A82" s="3" t="s">
        <v>137</v>
      </c>
      <c r="B82" s="11" t="s">
        <v>65</v>
      </c>
      <c r="C82" s="10" t="n">
        <f aca="false">季度追蹤!C10</f>
        <v>61.845</v>
      </c>
      <c r="D82" s="10" t="str">
        <f aca="false">季度追蹤!D10</f>
        <v>不適用</v>
      </c>
      <c r="E82" s="10" t="str">
        <f aca="false">季度追蹤!F10</f>
        <v>不適用</v>
      </c>
      <c r="F82" s="10" t="str">
        <f aca="false">季度追蹤!G10</f>
        <v>不適用</v>
      </c>
      <c r="G82" s="10" t="str">
        <f aca="false">季度追蹤!I10</f>
        <v>待公布</v>
      </c>
      <c r="I82" s="6" t="s">
        <v>133</v>
      </c>
    </row>
    <row r="83" customFormat="false" ht="15" hidden="false" customHeight="false" outlineLevel="1" collapsed="false">
      <c r="A83" s="2" t="s">
        <v>138</v>
      </c>
      <c r="C83" s="10" t="str">
        <f aca="false">INDEX(季度追蹤!$C$133:$H$133,輸入與假設!$C$499)</f>
        <v>CapEx（毛額）：模型 $61.85bn</v>
      </c>
    </row>
    <row r="84" customFormat="false" ht="15" hidden="false" customHeight="false" outlineLevel="1" collapsed="false">
      <c r="A84" s="3" t="s">
        <v>139</v>
      </c>
      <c r="B84" s="6" t="s">
        <v>140</v>
      </c>
      <c r="C84" s="9" t="n">
        <f aca="false">輸入與假設!$C$457</f>
        <v>42</v>
      </c>
      <c r="D84" s="9" t="n">
        <f aca="false">輸入與假設!$C$458</f>
        <v>15</v>
      </c>
      <c r="E84" s="9" t="n">
        <f aca="false">輸入與假設!$C$459</f>
        <v>2</v>
      </c>
      <c r="F84" s="9" t="n">
        <f aca="false">輸入與假設!$C$460</f>
        <v>0</v>
      </c>
      <c r="G84" s="9" t="n">
        <f aca="false">輸入與假設!$C$461</f>
        <v>0</v>
      </c>
      <c r="I84" s="11" t="s">
        <v>141</v>
      </c>
    </row>
    <row r="85" customFormat="false" ht="15" hidden="false" customHeight="false" outlineLevel="1" collapsed="false">
      <c r="A85" s="3" t="s">
        <v>142</v>
      </c>
      <c r="B85" s="11" t="s">
        <v>39</v>
      </c>
      <c r="C85" s="12" t="n">
        <f aca="false">輸入與假設!$C$446</f>
        <v>331.53</v>
      </c>
      <c r="D85" s="12" t="n">
        <f aca="false">輸入與假設!$C$447</f>
        <v>330</v>
      </c>
      <c r="E85" s="12" t="n">
        <f aca="false">輸入與假設!$C$448</f>
        <v>230</v>
      </c>
      <c r="F85" s="12" t="n">
        <f aca="false">輸入與假設!$C$449</f>
        <v>405</v>
      </c>
      <c r="I85" s="11" t="s">
        <v>143</v>
      </c>
    </row>
    <row r="86" customFormat="false" ht="15" hidden="false" customHeight="false" outlineLevel="1" collapsed="false"/>
    <row r="87" customFormat="false" ht="15" hidden="false" customHeight="false" outlineLevel="1" collapsed="false">
      <c r="A87" s="6" t="s">
        <v>144</v>
      </c>
    </row>
    <row r="88" customFormat="false" ht="15" hidden="false" customHeight="false" outlineLevel="1" collapsed="false">
      <c r="A88" s="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5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146</v>
      </c>
    </row>
    <row r="2" customFormat="false" ht="15" hidden="false" customHeight="false" outlineLevel="0" collapsed="false">
      <c r="A2" s="11" t="s">
        <v>147</v>
      </c>
    </row>
    <row r="4" customFormat="false" ht="15" hidden="false" customHeight="false" outlineLevel="0" collapsed="false">
      <c r="A4" s="7" t="s">
        <v>148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149</v>
      </c>
      <c r="C5" s="18" t="n">
        <v>2</v>
      </c>
      <c r="D5" s="2" t="str">
        <f aca="false">CHOOSE(C5,"保守 第三方可辨識站點","基準 依資本支出指引","積極 依公司容量目標")</f>
        <v>基準 依資本支出指引</v>
      </c>
      <c r="I5" s="6" t="s">
        <v>150</v>
      </c>
    </row>
    <row r="6" customFormat="false" ht="15" hidden="false" customHeight="false" outlineLevel="1" collapsed="false">
      <c r="A6" s="19" t="s">
        <v>151</v>
      </c>
      <c r="B6" s="20"/>
      <c r="C6" s="20"/>
      <c r="D6" s="20"/>
      <c r="E6" s="20"/>
      <c r="F6" s="20"/>
      <c r="G6" s="20"/>
      <c r="H6" s="20"/>
    </row>
    <row r="7" customFormat="false" ht="17.15" hidden="false" customHeight="false" outlineLevel="2" collapsed="false">
      <c r="A7" s="14" t="s">
        <v>152</v>
      </c>
      <c r="B7" s="14" t="s">
        <v>60</v>
      </c>
      <c r="C7" s="15" t="s">
        <v>61</v>
      </c>
      <c r="D7" s="15" t="s">
        <v>62</v>
      </c>
      <c r="E7" s="15" t="s">
        <v>63</v>
      </c>
      <c r="F7" s="15" t="s">
        <v>153</v>
      </c>
      <c r="G7" s="15" t="s">
        <v>154</v>
      </c>
      <c r="I7" s="15" t="s">
        <v>155</v>
      </c>
    </row>
    <row r="8" customFormat="false" ht="15" hidden="false" customHeight="false" outlineLevel="2" collapsed="false">
      <c r="A8" s="3" t="s">
        <v>156</v>
      </c>
      <c r="B8" s="11" t="s">
        <v>157</v>
      </c>
      <c r="C8" s="21" t="n">
        <v>2080</v>
      </c>
      <c r="I8" s="11" t="s">
        <v>158</v>
      </c>
    </row>
    <row r="9" customFormat="false" ht="15" hidden="false" customHeight="false" outlineLevel="2" collapsed="false">
      <c r="A9" s="3" t="s">
        <v>159</v>
      </c>
      <c r="B9" s="11" t="s">
        <v>157</v>
      </c>
      <c r="C9" s="21" t="n">
        <v>3700</v>
      </c>
      <c r="D9" s="21" t="n">
        <v>3700</v>
      </c>
      <c r="E9" s="21" t="n">
        <v>3700</v>
      </c>
      <c r="F9" s="21" t="n">
        <v>3700</v>
      </c>
      <c r="G9" s="21" t="n">
        <v>3700</v>
      </c>
      <c r="I9" s="11" t="s">
        <v>160</v>
      </c>
    </row>
    <row r="10" customFormat="false" ht="15" hidden="false" customHeight="false" outlineLevel="2" collapsed="false">
      <c r="A10" s="3" t="s">
        <v>161</v>
      </c>
      <c r="B10" s="11" t="s">
        <v>162</v>
      </c>
      <c r="C10" s="21" t="n">
        <v>720</v>
      </c>
      <c r="I10" s="11" t="s">
        <v>163</v>
      </c>
    </row>
    <row r="11" customFormat="false" ht="15" hidden="false" customHeight="false" outlineLevel="2" collapsed="false">
      <c r="A11" s="3" t="s">
        <v>164</v>
      </c>
      <c r="B11" s="11" t="s">
        <v>157</v>
      </c>
      <c r="C11" s="22" t="n">
        <f aca="false">MIN(C9,輸入與假設!$C$8+輸入與假設!$C$10*C$34)</f>
        <v>2440</v>
      </c>
      <c r="D11" s="22" t="n">
        <f aca="false">MIN(D9,C11+輸入與假設!$C$10*D$34)</f>
        <v>3160</v>
      </c>
      <c r="E11" s="22" t="n">
        <f aca="false">MIN(E9,D11+輸入與假設!$C$10*E$34)</f>
        <v>3700</v>
      </c>
      <c r="F11" s="22" t="n">
        <f aca="false">MIN(F9,E11+輸入與假設!$C$10*F$34)</f>
        <v>3700</v>
      </c>
      <c r="G11" s="22" t="n">
        <f aca="false">MIN(G9,F11+輸入與假設!$C$10*G$34)</f>
        <v>3700</v>
      </c>
      <c r="I11" s="21" t="n">
        <v>0</v>
      </c>
      <c r="J11" s="6" t="s">
        <v>165</v>
      </c>
    </row>
    <row r="12" customFormat="false" ht="15" hidden="false" customHeight="false" outlineLevel="2" collapsed="false">
      <c r="A12" s="3" t="s">
        <v>166</v>
      </c>
      <c r="B12" s="11" t="s">
        <v>157</v>
      </c>
      <c r="C12" s="21" t="n">
        <v>99999</v>
      </c>
      <c r="D12" s="21" t="n">
        <v>99999</v>
      </c>
      <c r="E12" s="21" t="n">
        <v>99999</v>
      </c>
      <c r="F12" s="21" t="n">
        <v>99999</v>
      </c>
      <c r="G12" s="21" t="n">
        <v>99999</v>
      </c>
      <c r="I12" s="11" t="s">
        <v>160</v>
      </c>
    </row>
    <row r="13" customFormat="false" ht="15" hidden="false" customHeight="false" outlineLevel="2" collapsed="false">
      <c r="A13" s="3" t="s">
        <v>167</v>
      </c>
      <c r="B13" s="11" t="s">
        <v>162</v>
      </c>
      <c r="C13" s="21" t="n">
        <v>3628.8</v>
      </c>
      <c r="I13" s="11" t="s">
        <v>163</v>
      </c>
    </row>
    <row r="14" customFormat="false" ht="15" hidden="false" customHeight="false" outlineLevel="2" collapsed="false">
      <c r="A14" s="3" t="s">
        <v>168</v>
      </c>
      <c r="B14" s="11" t="s">
        <v>157</v>
      </c>
      <c r="C14" s="22" t="n">
        <f aca="false">MIN(C12,輸入與假設!$C$8+輸入與假設!$C$13*C$34)</f>
        <v>3894.4</v>
      </c>
      <c r="D14" s="22" t="n">
        <f aca="false">MIN(D12,C14+輸入與假設!$C$13*D$34)</f>
        <v>7523.2</v>
      </c>
      <c r="E14" s="22" t="n">
        <f aca="false">MIN(E12,D14+輸入與假設!$C$13*E$34)</f>
        <v>11152</v>
      </c>
      <c r="F14" s="22" t="n">
        <f aca="false">MIN(F12,E14+輸入與假設!$C$13*F$34)</f>
        <v>14780.8</v>
      </c>
      <c r="G14" s="22" t="n">
        <f aca="false">MIN(G12,F14+輸入與假設!$C$13*G$34)</f>
        <v>18409.6</v>
      </c>
      <c r="I14" s="21" t="n">
        <v>3628.8</v>
      </c>
      <c r="J14" s="6" t="s">
        <v>169</v>
      </c>
    </row>
    <row r="15" customFormat="false" ht="15" hidden="false" customHeight="false" outlineLevel="2" collapsed="false">
      <c r="A15" s="3" t="s">
        <v>170</v>
      </c>
      <c r="B15" s="11" t="s">
        <v>157</v>
      </c>
      <c r="C15" s="21" t="n">
        <v>99999</v>
      </c>
      <c r="D15" s="21" t="n">
        <v>99999</v>
      </c>
      <c r="E15" s="21" t="n">
        <v>99999</v>
      </c>
      <c r="F15" s="21" t="n">
        <v>99999</v>
      </c>
      <c r="G15" s="21" t="n">
        <v>99999</v>
      </c>
      <c r="I15" s="11" t="s">
        <v>160</v>
      </c>
    </row>
    <row r="16" customFormat="false" ht="15" hidden="false" customHeight="false" outlineLevel="2" collapsed="false">
      <c r="A16" s="3" t="s">
        <v>171</v>
      </c>
      <c r="B16" s="11" t="s">
        <v>162</v>
      </c>
      <c r="C16" s="21" t="n">
        <v>3733</v>
      </c>
      <c r="I16" s="11" t="s">
        <v>163</v>
      </c>
    </row>
    <row r="17" customFormat="false" ht="15" hidden="false" customHeight="false" outlineLevel="2" collapsed="false">
      <c r="A17" s="3" t="s">
        <v>172</v>
      </c>
      <c r="B17" s="11" t="s">
        <v>157</v>
      </c>
      <c r="C17" s="22" t="n">
        <f aca="false">MIN(C15,輸入與假設!$C$8+輸入與假設!$C$16*C$34)</f>
        <v>3946.5</v>
      </c>
      <c r="D17" s="22" t="n">
        <f aca="false">MIN(D15,C17+輸入與假設!$C$16*D$34)</f>
        <v>7679.5</v>
      </c>
      <c r="E17" s="22" t="n">
        <f aca="false">MIN(E15,D17+輸入與假設!$C$16*E$34)</f>
        <v>11412.5</v>
      </c>
      <c r="F17" s="22" t="n">
        <f aca="false">MIN(F15,E17+輸入與假設!$C$16*F$34)</f>
        <v>15145.5</v>
      </c>
      <c r="G17" s="22" t="n">
        <f aca="false">MIN(G15,F17+輸入與假設!$C$16*G$34)</f>
        <v>18878.5</v>
      </c>
      <c r="I17" s="21" t="n">
        <v>3733</v>
      </c>
      <c r="J17" s="6" t="s">
        <v>173</v>
      </c>
    </row>
    <row r="18" customFormat="false" ht="15" hidden="false" customHeight="false" outlineLevel="2" collapsed="false">
      <c r="A18" s="3" t="s">
        <v>174</v>
      </c>
      <c r="B18" s="11" t="s">
        <v>42</v>
      </c>
      <c r="C18" s="23" t="n">
        <v>1</v>
      </c>
      <c r="D18" s="23" t="n">
        <v>1</v>
      </c>
      <c r="E18" s="23" t="n">
        <v>1</v>
      </c>
      <c r="F18" s="23" t="n">
        <v>1</v>
      </c>
      <c r="G18" s="23" t="n">
        <v>1</v>
      </c>
      <c r="I18" s="6" t="s">
        <v>175</v>
      </c>
    </row>
    <row r="19" customFormat="false" ht="15" hidden="false" customHeight="false" outlineLevel="2" collapsed="false">
      <c r="A19" s="3" t="s">
        <v>176</v>
      </c>
      <c r="B19" s="11" t="s">
        <v>65</v>
      </c>
      <c r="C19" s="24" t="n">
        <v>137.214</v>
      </c>
      <c r="I19" s="6" t="s">
        <v>177</v>
      </c>
    </row>
    <row r="20" customFormat="false" ht="15" hidden="false" customHeight="false" outlineLevel="2" collapsed="false">
      <c r="A20" s="3" t="s">
        <v>178</v>
      </c>
      <c r="B20" s="6" t="s">
        <v>179</v>
      </c>
      <c r="C20" s="21" t="n">
        <v>0</v>
      </c>
      <c r="I20" s="11" t="s">
        <v>180</v>
      </c>
    </row>
    <row r="21" customFormat="false" ht="15" hidden="false" customHeight="false" outlineLevel="2" collapsed="false">
      <c r="A21" s="3" t="s">
        <v>181</v>
      </c>
      <c r="B21" s="6" t="s">
        <v>179</v>
      </c>
      <c r="C21" s="21" t="n">
        <v>4</v>
      </c>
      <c r="I21" s="11" t="s">
        <v>182</v>
      </c>
    </row>
    <row r="22" customFormat="false" ht="15" hidden="false" customHeight="false" outlineLevel="2" collapsed="false">
      <c r="A22" s="3" t="s">
        <v>183</v>
      </c>
      <c r="B22" s="6" t="s">
        <v>184</v>
      </c>
      <c r="C22" s="25" t="n">
        <v>14.75</v>
      </c>
      <c r="I22" s="6" t="s">
        <v>185</v>
      </c>
    </row>
    <row r="23" customFormat="false" ht="15" hidden="false" customHeight="false" outlineLevel="0" collapsed="false">
      <c r="A23" s="7" t="s">
        <v>186</v>
      </c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1" collapsed="false">
      <c r="A24" s="4" t="s">
        <v>187</v>
      </c>
      <c r="B24" s="11" t="s">
        <v>65</v>
      </c>
      <c r="C24" s="24" t="n">
        <v>0</v>
      </c>
      <c r="I24" s="6" t="s">
        <v>188</v>
      </c>
    </row>
    <row r="25" customFormat="false" ht="15" hidden="false" customHeight="false" outlineLevel="1" collapsed="false">
      <c r="A25" s="3" t="s">
        <v>189</v>
      </c>
      <c r="B25" s="11" t="s">
        <v>65</v>
      </c>
      <c r="C25" s="24" t="n">
        <v>0</v>
      </c>
      <c r="I25" s="6" t="s">
        <v>190</v>
      </c>
    </row>
    <row r="26" customFormat="false" ht="15" hidden="false" customHeight="false" outlineLevel="1" collapsed="false">
      <c r="A26" s="3" t="s">
        <v>191</v>
      </c>
      <c r="B26" s="11" t="s">
        <v>42</v>
      </c>
      <c r="C26" s="23" t="n">
        <v>0</v>
      </c>
      <c r="I26" s="6" t="s">
        <v>192</v>
      </c>
    </row>
    <row r="27" customFormat="false" ht="15" hidden="false" customHeight="false" outlineLevel="1" collapsed="false">
      <c r="A27" s="4" t="s">
        <v>193</v>
      </c>
      <c r="B27" s="11" t="s">
        <v>42</v>
      </c>
      <c r="C27" s="23" t="n">
        <v>0.703125</v>
      </c>
      <c r="I27" s="6" t="s">
        <v>194</v>
      </c>
    </row>
    <row r="28" customFormat="false" ht="15" hidden="false" customHeight="false" outlineLevel="1" collapsed="false">
      <c r="A28" s="4" t="s">
        <v>195</v>
      </c>
      <c r="B28" s="11" t="s">
        <v>157</v>
      </c>
      <c r="C28" s="21" t="n">
        <v>1440</v>
      </c>
      <c r="I28" s="11" t="s">
        <v>196</v>
      </c>
    </row>
    <row r="29" customFormat="false" ht="15" hidden="false" customHeight="false" outlineLevel="1" collapsed="false">
      <c r="A29" s="4" t="s">
        <v>197</v>
      </c>
      <c r="B29" s="11" t="s">
        <v>157</v>
      </c>
      <c r="C29" s="26" t="n">
        <f aca="false">輸入與假設!$C$8</f>
        <v>2080</v>
      </c>
      <c r="I29" s="6" t="s">
        <v>198</v>
      </c>
    </row>
    <row r="30" customFormat="false" ht="15" hidden="false" customHeight="false" outlineLevel="1" collapsed="false">
      <c r="A30" s="3" t="s">
        <v>199</v>
      </c>
      <c r="B30" s="6"/>
      <c r="C30" s="21" t="n">
        <v>1</v>
      </c>
      <c r="I30" s="11" t="s">
        <v>200</v>
      </c>
    </row>
    <row r="31" customFormat="false" ht="15" hidden="false" customHeight="false" outlineLevel="1" collapsed="false">
      <c r="A31" s="3" t="s">
        <v>201</v>
      </c>
      <c r="B31" s="6"/>
      <c r="C31" s="27" t="s">
        <v>202</v>
      </c>
      <c r="I31" s="11" t="s">
        <v>203</v>
      </c>
    </row>
    <row r="32" customFormat="false" ht="15" hidden="false" customHeight="false" outlineLevel="1" collapsed="false">
      <c r="A32" s="3" t="s">
        <v>204</v>
      </c>
      <c r="B32" s="11" t="s">
        <v>42</v>
      </c>
      <c r="C32" s="23" t="n">
        <v>1</v>
      </c>
      <c r="I32" s="6" t="s">
        <v>205</v>
      </c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206</v>
      </c>
    </row>
    <row r="34" customFormat="false" ht="15" hidden="false" customHeight="false" outlineLevel="1" collapsed="false">
      <c r="A34" s="3" t="s">
        <v>207</v>
      </c>
      <c r="B34" s="6"/>
      <c r="C34" s="24" t="n">
        <v>0.5</v>
      </c>
      <c r="D34" s="24" t="n">
        <v>1</v>
      </c>
      <c r="E34" s="24" t="n">
        <v>1</v>
      </c>
      <c r="F34" s="24" t="n">
        <v>1</v>
      </c>
      <c r="G34" s="24" t="n">
        <v>1</v>
      </c>
      <c r="I34" s="6" t="s">
        <v>208</v>
      </c>
    </row>
    <row r="35" customFormat="false" ht="15" hidden="false" customHeight="false" outlineLevel="1" collapsed="false">
      <c r="A35" s="4" t="s">
        <v>209</v>
      </c>
      <c r="B35" s="11" t="s">
        <v>42</v>
      </c>
      <c r="C35" s="23" t="n">
        <v>0.078125</v>
      </c>
      <c r="D35" s="23" t="n">
        <v>0.15625</v>
      </c>
      <c r="E35" s="23" t="n">
        <v>0.15625</v>
      </c>
      <c r="F35" s="23" t="n">
        <v>0.15625</v>
      </c>
      <c r="G35" s="23" t="n">
        <v>0.15625</v>
      </c>
      <c r="H35" s="29" t="n">
        <f aca="false">SUM(C35:G35)</f>
        <v>0.703125</v>
      </c>
      <c r="I35" s="6" t="s">
        <v>210</v>
      </c>
    </row>
    <row r="36" customFormat="false" ht="15" hidden="false" customHeight="false" outlineLevel="1" collapsed="false">
      <c r="A36" s="4" t="s">
        <v>211</v>
      </c>
      <c r="B36" s="11" t="s">
        <v>157</v>
      </c>
      <c r="C36" s="22" t="n">
        <f aca="false">CHOOSE(輸入與假設!$C$5,C11,C14,C17)</f>
        <v>3894.4</v>
      </c>
      <c r="D36" s="22" t="n">
        <f aca="false">CHOOSE(輸入與假設!$C$5,D11,D14,D17)</f>
        <v>7523.2</v>
      </c>
      <c r="E36" s="22" t="n">
        <f aca="false">CHOOSE(輸入與假設!$C$5,E11,E14,E17)</f>
        <v>11152</v>
      </c>
      <c r="F36" s="22" t="n">
        <f aca="false">CHOOSE(輸入與假設!$C$5,F11,F14,F17)</f>
        <v>14780.8</v>
      </c>
      <c r="G36" s="22" t="n">
        <f aca="false">CHOOSE(輸入與假設!$C$5,G11,G14,G17)</f>
        <v>18409.6</v>
      </c>
      <c r="I36" s="6" t="s">
        <v>212</v>
      </c>
    </row>
    <row r="37" customFormat="false" ht="15" hidden="false" customHeight="false" outlineLevel="1" collapsed="false">
      <c r="A37" s="4" t="s">
        <v>213</v>
      </c>
      <c r="B37" s="11" t="s">
        <v>157</v>
      </c>
      <c r="C37" s="22" t="n">
        <f aca="false">ROUND(C36*C18,0)</f>
        <v>3894</v>
      </c>
      <c r="D37" s="22" t="n">
        <f aca="false">ROUND(D36*D18,0)</f>
        <v>7523</v>
      </c>
      <c r="E37" s="22" t="n">
        <f aca="false">ROUND(E36*E18,0)</f>
        <v>11152</v>
      </c>
      <c r="F37" s="22" t="n">
        <f aca="false">ROUND(F36*F18,0)</f>
        <v>14781</v>
      </c>
      <c r="G37" s="22" t="n">
        <f aca="false">ROUND(G36*G18,0)</f>
        <v>18410</v>
      </c>
      <c r="I37" s="6" t="s">
        <v>214</v>
      </c>
    </row>
    <row r="38" customFormat="false" ht="15" hidden="false" customHeight="false" outlineLevel="1" collapsed="false">
      <c r="A38" s="3" t="s">
        <v>215</v>
      </c>
      <c r="B38" s="11" t="s">
        <v>42</v>
      </c>
      <c r="C38" s="23" t="n">
        <v>1</v>
      </c>
      <c r="D38" s="23" t="n">
        <v>1</v>
      </c>
      <c r="E38" s="23" t="n">
        <v>1</v>
      </c>
      <c r="F38" s="23" t="n">
        <v>1</v>
      </c>
      <c r="G38" s="23" t="n">
        <v>1</v>
      </c>
      <c r="I38" s="11" t="s">
        <v>216</v>
      </c>
    </row>
    <row r="39" customFormat="false" ht="15" hidden="false" customHeight="false" outlineLevel="1" collapsed="false">
      <c r="A39" s="3" t="s">
        <v>217</v>
      </c>
      <c r="B39" s="11" t="s">
        <v>218</v>
      </c>
      <c r="C39" s="30" t="n">
        <f aca="false">C104*輸入與假設!$C$56/1000</f>
        <v>0.00978570810375136</v>
      </c>
      <c r="D39" s="30" t="n">
        <f aca="false">D104*輸入與假設!$C$56/1000</f>
        <v>0.0102183025509056</v>
      </c>
      <c r="E39" s="30" t="n">
        <f aca="false">E104*輸入與假設!$C$56/1000</f>
        <v>0.0104730712809987</v>
      </c>
      <c r="F39" s="30" t="n">
        <f aca="false">F104*輸入與假設!$C$56/1000</f>
        <v>0.0106027446484914</v>
      </c>
      <c r="G39" s="30" t="n">
        <f aca="false">G104*輸入與假設!$C$56/1000</f>
        <v>0.0106812970013008</v>
      </c>
      <c r="I39" s="6" t="s">
        <v>219</v>
      </c>
    </row>
    <row r="40" customFormat="false" ht="15" hidden="false" customHeight="false" outlineLevel="1" collapsed="false">
      <c r="A40" s="3" t="s">
        <v>220</v>
      </c>
      <c r="B40" s="11" t="s">
        <v>42</v>
      </c>
      <c r="C40" s="23" t="n">
        <v>1</v>
      </c>
      <c r="D40" s="23" t="n">
        <v>1</v>
      </c>
      <c r="E40" s="23" t="n">
        <v>1</v>
      </c>
      <c r="F40" s="23" t="n">
        <v>1</v>
      </c>
      <c r="G40" s="23" t="n">
        <v>1</v>
      </c>
      <c r="I40" s="11" t="s">
        <v>221</v>
      </c>
    </row>
    <row r="41" customFormat="false" ht="15" hidden="false" customHeight="false" outlineLevel="1" collapsed="false">
      <c r="A41" s="3" t="s">
        <v>222</v>
      </c>
      <c r="B41" s="11" t="s">
        <v>42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I41" s="6" t="s">
        <v>223</v>
      </c>
    </row>
    <row r="42" customFormat="false" ht="15" hidden="false" customHeight="false" outlineLevel="1" collapsed="false">
      <c r="A42" s="3" t="s">
        <v>224</v>
      </c>
      <c r="B42" s="11" t="s">
        <v>42</v>
      </c>
      <c r="C42" s="23" t="n">
        <v>0.5</v>
      </c>
      <c r="D42" s="23" t="n">
        <v>0.5</v>
      </c>
      <c r="E42" s="23" t="n">
        <v>0.5</v>
      </c>
      <c r="F42" s="23" t="n">
        <v>0.5</v>
      </c>
      <c r="G42" s="23" t="n">
        <v>0.5</v>
      </c>
      <c r="I42" s="11" t="s">
        <v>225</v>
      </c>
    </row>
    <row r="43" customFormat="false" ht="15" hidden="false" customHeight="false" outlineLevel="1" collapsed="false">
      <c r="A43" s="3" t="s">
        <v>226</v>
      </c>
      <c r="B43" s="11" t="s">
        <v>65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I43" s="6" t="s">
        <v>227</v>
      </c>
    </row>
    <row r="44" customFormat="false" ht="15" hidden="false" customHeight="false" outlineLevel="1" collapsed="false">
      <c r="A44" s="3" t="s">
        <v>228</v>
      </c>
      <c r="B44" s="11" t="s">
        <v>65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I44" s="6" t="s">
        <v>229</v>
      </c>
    </row>
    <row r="45" customFormat="false" ht="15" hidden="false" customHeight="false" outlineLevel="1" collapsed="false">
      <c r="A45" s="3" t="s">
        <v>230</v>
      </c>
      <c r="B45" s="11" t="s">
        <v>65</v>
      </c>
      <c r="C45" s="31" t="n">
        <f aca="false">0</f>
        <v>0</v>
      </c>
      <c r="D45" s="31" t="n">
        <f aca="false">0</f>
        <v>0</v>
      </c>
      <c r="E45" s="31" t="n">
        <f aca="false">0</f>
        <v>0</v>
      </c>
      <c r="F45" s="31" t="n">
        <f aca="false">0</f>
        <v>0</v>
      </c>
      <c r="G45" s="31" t="n">
        <f aca="false">0</f>
        <v>0</v>
      </c>
      <c r="I45" s="6" t="s">
        <v>231</v>
      </c>
    </row>
    <row r="46" customFormat="false" ht="15" hidden="false" customHeight="false" outlineLevel="1" collapsed="false">
      <c r="A46" s="3" t="s">
        <v>232</v>
      </c>
      <c r="B46" s="11" t="s">
        <v>65</v>
      </c>
      <c r="C46" s="31" t="n">
        <f aca="false">C44-C45</f>
        <v>0</v>
      </c>
      <c r="D46" s="31" t="n">
        <f aca="false">D44-D45</f>
        <v>0</v>
      </c>
      <c r="E46" s="31" t="n">
        <f aca="false">E44-E45</f>
        <v>0</v>
      </c>
      <c r="F46" s="31" t="n">
        <f aca="false">F44-F45</f>
        <v>0</v>
      </c>
      <c r="G46" s="31" t="n">
        <f aca="false">G44-G45</f>
        <v>0</v>
      </c>
      <c r="I46" s="6" t="s">
        <v>233</v>
      </c>
    </row>
    <row r="47" customFormat="false" ht="15" hidden="false" customHeight="false" outlineLevel="1" collapsed="false">
      <c r="A47" s="3" t="s">
        <v>234</v>
      </c>
      <c r="B47" s="11" t="s">
        <v>42</v>
      </c>
      <c r="C47" s="32" t="n">
        <v>0.024899</v>
      </c>
      <c r="I47" s="6" t="s">
        <v>235</v>
      </c>
    </row>
    <row r="48" customFormat="false" ht="15" hidden="false" customHeight="false" outlineLevel="1" collapsed="false">
      <c r="A48" s="4" t="s">
        <v>236</v>
      </c>
      <c r="B48" s="11" t="s">
        <v>65</v>
      </c>
      <c r="C48" s="24" t="n">
        <v>1.947</v>
      </c>
      <c r="I48" s="6" t="s">
        <v>237</v>
      </c>
    </row>
    <row r="49" customFormat="false" ht="15" hidden="false" customHeight="false" outlineLevel="1" collapsed="false">
      <c r="A49" s="33" t="s">
        <v>238</v>
      </c>
      <c r="B49" s="20"/>
      <c r="C49" s="20"/>
      <c r="D49" s="20"/>
      <c r="E49" s="20"/>
      <c r="F49" s="20"/>
      <c r="G49" s="20"/>
      <c r="H49" s="20"/>
    </row>
    <row r="50" customFormat="false" ht="15" hidden="false" customHeight="false" outlineLevel="2" collapsed="false">
      <c r="A50" s="2" t="s">
        <v>239</v>
      </c>
      <c r="C50" s="18" t="n">
        <v>2</v>
      </c>
      <c r="D50" s="2" t="str">
        <f aca="false">CHOOSE(C50,"低 長約下緣","基準 C1 混合","高 現貨改用 AWS 牌價")</f>
        <v>基準 C1 混合</v>
      </c>
      <c r="I50" s="6" t="s">
        <v>240</v>
      </c>
    </row>
    <row r="51" customFormat="false" ht="17.15" hidden="false" customHeight="false" outlineLevel="2" collapsed="false">
      <c r="A51" s="15" t="s">
        <v>241</v>
      </c>
      <c r="B51" s="14" t="s">
        <v>60</v>
      </c>
      <c r="C51" s="14" t="s">
        <v>242</v>
      </c>
      <c r="D51" s="14" t="s">
        <v>243</v>
      </c>
      <c r="E51" s="14" t="s">
        <v>244</v>
      </c>
    </row>
    <row r="52" customFormat="false" ht="15" hidden="false" customHeight="false" outlineLevel="2" collapsed="false">
      <c r="A52" s="4" t="s">
        <v>245</v>
      </c>
      <c r="B52" s="6" t="s">
        <v>246</v>
      </c>
      <c r="C52" s="34" t="n">
        <v>0.55</v>
      </c>
      <c r="D52" s="34" t="n">
        <v>0.75</v>
      </c>
      <c r="E52" s="34" t="n">
        <v>0.75</v>
      </c>
      <c r="I52" s="6" t="s">
        <v>247</v>
      </c>
    </row>
    <row r="53" customFormat="false" ht="15" hidden="false" customHeight="false" outlineLevel="2" collapsed="false">
      <c r="A53" s="4" t="s">
        <v>248</v>
      </c>
      <c r="B53" s="6" t="s">
        <v>246</v>
      </c>
      <c r="C53" s="34" t="n">
        <v>1.76</v>
      </c>
      <c r="D53" s="34" t="n">
        <v>1.76</v>
      </c>
      <c r="E53" s="34" t="n">
        <v>4.29</v>
      </c>
      <c r="I53" s="6" t="s">
        <v>249</v>
      </c>
    </row>
    <row r="54" customFormat="false" ht="15" hidden="false" customHeight="false" outlineLevel="2" collapsed="false">
      <c r="A54" s="3" t="s">
        <v>250</v>
      </c>
      <c r="B54" s="11" t="s">
        <v>42</v>
      </c>
      <c r="C54" s="23" t="n">
        <v>0.8</v>
      </c>
      <c r="D54" s="23" t="n">
        <v>0.8</v>
      </c>
      <c r="E54" s="23" t="n">
        <v>0.8</v>
      </c>
      <c r="I54" s="6" t="s">
        <v>251</v>
      </c>
    </row>
    <row r="55" customFormat="false" ht="15" hidden="false" customHeight="false" outlineLevel="2" collapsed="false">
      <c r="A55" s="3" t="s">
        <v>252</v>
      </c>
      <c r="B55" s="6" t="s">
        <v>246</v>
      </c>
      <c r="C55" s="35" t="n">
        <f aca="false">C54*C52+(1-C54)*C53</f>
        <v>0.792</v>
      </c>
      <c r="D55" s="35" t="n">
        <f aca="false">D54*D52+(1-D54)*D53</f>
        <v>0.952</v>
      </c>
      <c r="E55" s="35" t="n">
        <f aca="false">E54*E52+(1-E54)*E53</f>
        <v>1.458</v>
      </c>
      <c r="I55" s="6" t="s">
        <v>253</v>
      </c>
    </row>
    <row r="56" customFormat="false" ht="15" hidden="false" customHeight="false" outlineLevel="2" collapsed="false">
      <c r="A56" s="3" t="s">
        <v>254</v>
      </c>
      <c r="B56" s="6" t="s">
        <v>246</v>
      </c>
      <c r="C56" s="36" t="n">
        <f aca="false">CHOOSE(輸入與假設!$C$50,C55,D55,E55)</f>
        <v>0.952</v>
      </c>
      <c r="I56" s="6" t="s">
        <v>255</v>
      </c>
    </row>
    <row r="57" customFormat="false" ht="15" hidden="false" customHeight="false" outlineLevel="2" collapsed="false">
      <c r="A57" s="3" t="s">
        <v>256</v>
      </c>
      <c r="B57" s="6" t="s">
        <v>246</v>
      </c>
      <c r="C57" s="37" t="n">
        <v>1</v>
      </c>
      <c r="I57" s="6" t="s">
        <v>257</v>
      </c>
    </row>
    <row r="58" customFormat="false" ht="15" hidden="false" customHeight="false" outlineLevel="2" collapsed="false">
      <c r="A58" s="3" t="s">
        <v>258</v>
      </c>
      <c r="B58" s="6" t="s">
        <v>246</v>
      </c>
      <c r="C58" s="37" t="n">
        <v>1</v>
      </c>
      <c r="I58" s="6" t="s">
        <v>259</v>
      </c>
    </row>
    <row r="59" customFormat="false" ht="15" hidden="false" customHeight="false" outlineLevel="2" collapsed="false">
      <c r="A59" s="3" t="s">
        <v>260</v>
      </c>
      <c r="B59" s="11" t="s">
        <v>42</v>
      </c>
      <c r="C59" s="23" t="n">
        <v>0.5</v>
      </c>
      <c r="I59" s="6" t="s">
        <v>261</v>
      </c>
    </row>
    <row r="60" customFormat="false" ht="15" hidden="false" customHeight="false" outlineLevel="2" collapsed="false">
      <c r="A60" s="14" t="s">
        <v>59</v>
      </c>
      <c r="B60" s="14" t="s">
        <v>60</v>
      </c>
      <c r="C60" s="28" t="s">
        <v>61</v>
      </c>
      <c r="D60" s="28" t="s">
        <v>62</v>
      </c>
      <c r="E60" s="28" t="s">
        <v>63</v>
      </c>
      <c r="F60" s="28" t="s">
        <v>153</v>
      </c>
      <c r="G60" s="28" t="s">
        <v>154</v>
      </c>
      <c r="I60" s="14" t="s">
        <v>206</v>
      </c>
    </row>
    <row r="61" customFormat="false" ht="15" hidden="false" customHeight="false" outlineLevel="2" collapsed="false">
      <c r="A61" s="3" t="s">
        <v>262</v>
      </c>
      <c r="B61" s="11" t="s">
        <v>263</v>
      </c>
      <c r="C61" s="35" t="n">
        <f aca="false">TK_HoldEcon_H100*輸入與假設!$C$57</f>
        <v>9.70308728611469</v>
      </c>
      <c r="I61" s="11" t="s">
        <v>264</v>
      </c>
    </row>
    <row r="62" customFormat="false" ht="15" hidden="false" customHeight="false" outlineLevel="2" collapsed="false">
      <c r="A62" s="3" t="s">
        <v>265</v>
      </c>
      <c r="B62" s="11" t="s">
        <v>263</v>
      </c>
      <c r="C62" s="35" t="n">
        <f aca="false">TK_OpexGW_H100</f>
        <v>1.88466748019734</v>
      </c>
      <c r="I62" s="11" t="s">
        <v>266</v>
      </c>
    </row>
    <row r="63" customFormat="false" ht="15" hidden="false" customHeight="false" outlineLevel="2" collapsed="false">
      <c r="A63" s="3" t="s">
        <v>267</v>
      </c>
      <c r="B63" s="11" t="s">
        <v>263</v>
      </c>
      <c r="C63" s="35" t="n">
        <f aca="false">TK_IFW_RevGWFleet_Util_H100</f>
        <v>4.00488774987164</v>
      </c>
      <c r="I63" s="11" t="s">
        <v>268</v>
      </c>
    </row>
    <row r="64" customFormat="false" ht="15" hidden="false" customHeight="false" outlineLevel="2" collapsed="false">
      <c r="A64" s="3" t="s">
        <v>269</v>
      </c>
      <c r="B64" s="11" t="s">
        <v>263</v>
      </c>
      <c r="C64" s="35" t="n">
        <f aca="false">TK_IFW_RevGWFleet_Prod_H100</f>
        <v>2.24296199760285</v>
      </c>
      <c r="I64" s="11" t="s">
        <v>270</v>
      </c>
    </row>
    <row r="65" customFormat="false" ht="15" hidden="false" customHeight="false" outlineLevel="2" collapsed="false">
      <c r="A65" s="3" t="s">
        <v>271</v>
      </c>
      <c r="B65" s="11" t="s">
        <v>42</v>
      </c>
      <c r="C65" s="23" t="n">
        <v>0.55</v>
      </c>
      <c r="I65" s="6" t="s">
        <v>272</v>
      </c>
    </row>
    <row r="66" customFormat="false" ht="15" hidden="false" customHeight="false" outlineLevel="2" collapsed="false">
      <c r="A66" s="3" t="s">
        <v>273</v>
      </c>
      <c r="B66" s="11" t="s">
        <v>42</v>
      </c>
      <c r="C66" s="23" t="n">
        <v>0</v>
      </c>
      <c r="D66" s="23" t="n">
        <v>0</v>
      </c>
      <c r="E66" s="23" t="n">
        <v>0</v>
      </c>
      <c r="F66" s="23" t="n">
        <v>0</v>
      </c>
      <c r="G66" s="23" t="n">
        <v>0</v>
      </c>
      <c r="I66" s="6" t="s">
        <v>274</v>
      </c>
    </row>
    <row r="67" customFormat="false" ht="15" hidden="false" customHeight="false" outlineLevel="2" collapsed="false">
      <c r="A67" s="3" t="s">
        <v>275</v>
      </c>
      <c r="B67" s="11" t="s">
        <v>157</v>
      </c>
      <c r="C67" s="22" t="n">
        <f aca="false">輸入與假設!$C$65*輸入與假設!$C$29+MAX(0,C36-輸入與假設!$C$29)*C66</f>
        <v>1144</v>
      </c>
      <c r="D67" s="22" t="n">
        <f aca="false">C67+MAX(0,D36-C36)*D66</f>
        <v>1144</v>
      </c>
      <c r="E67" s="22" t="n">
        <f aca="false">D67+MAX(0,E36-D36)*E66</f>
        <v>1144</v>
      </c>
      <c r="F67" s="22" t="n">
        <f aca="false">E67+MAX(0,F36-E36)*F66</f>
        <v>1144</v>
      </c>
      <c r="G67" s="22" t="n">
        <f aca="false">F67+MAX(0,G36-F36)*G66</f>
        <v>1144</v>
      </c>
      <c r="I67" s="6" t="s">
        <v>276</v>
      </c>
    </row>
    <row r="68" customFormat="false" ht="15" hidden="false" customHeight="false" outlineLevel="2" collapsed="false">
      <c r="A68" s="3" t="s">
        <v>277</v>
      </c>
      <c r="B68" s="11" t="s">
        <v>263</v>
      </c>
      <c r="C68" s="35" t="n">
        <f aca="false">TK_HoldEcon_H100</f>
        <v>9.70308728611469</v>
      </c>
      <c r="I68" s="11" t="s">
        <v>278</v>
      </c>
    </row>
    <row r="69" customFormat="false" ht="15" hidden="false" customHeight="false" outlineLevel="2" collapsed="false">
      <c r="A69" s="3" t="s">
        <v>279</v>
      </c>
      <c r="B69" s="11" t="s">
        <v>263</v>
      </c>
      <c r="C69" s="35" t="n">
        <f aca="false">TK_OpexGW_H100</f>
        <v>1.88466748019734</v>
      </c>
      <c r="I69" s="11" t="s">
        <v>266</v>
      </c>
    </row>
    <row r="70" customFormat="false" ht="15" hidden="false" customHeight="false" outlineLevel="2" collapsed="false">
      <c r="A70" s="3" t="s">
        <v>280</v>
      </c>
      <c r="B70" s="11" t="s">
        <v>263</v>
      </c>
      <c r="C70" s="35" t="n">
        <f aca="false">TK_IFW_RevGWFleet_Util_H100</f>
        <v>4.00488774987164</v>
      </c>
      <c r="I70" s="11" t="s">
        <v>268</v>
      </c>
    </row>
    <row r="71" customFormat="false" ht="15" hidden="false" customHeight="false" outlineLevel="2" collapsed="false">
      <c r="A71" s="3" t="s">
        <v>281</v>
      </c>
      <c r="B71" s="11" t="s">
        <v>263</v>
      </c>
      <c r="C71" s="35" t="n">
        <f aca="false">TK_IFW_RevGWFleet_Prod_H100</f>
        <v>2.24296199760285</v>
      </c>
      <c r="I71" s="11" t="s">
        <v>270</v>
      </c>
    </row>
    <row r="72" customFormat="false" ht="15" hidden="false" customHeight="false" outlineLevel="2" collapsed="false">
      <c r="A72" s="3" t="s">
        <v>282</v>
      </c>
      <c r="B72" s="11" t="s">
        <v>42</v>
      </c>
      <c r="C72" s="23" t="n">
        <v>0.15</v>
      </c>
      <c r="I72" s="6" t="s">
        <v>283</v>
      </c>
    </row>
    <row r="73" customFormat="false" ht="15" hidden="false" customHeight="false" outlineLevel="2" collapsed="false">
      <c r="A73" s="3" t="s">
        <v>284</v>
      </c>
      <c r="B73" s="11" t="s">
        <v>42</v>
      </c>
      <c r="C73" s="23" t="n">
        <v>0</v>
      </c>
      <c r="D73" s="23" t="n">
        <v>0</v>
      </c>
      <c r="E73" s="23" t="n">
        <v>0</v>
      </c>
      <c r="F73" s="23" t="n">
        <v>0</v>
      </c>
      <c r="G73" s="23" t="n">
        <v>0</v>
      </c>
      <c r="I73" s="6" t="s">
        <v>274</v>
      </c>
    </row>
    <row r="74" customFormat="false" ht="15" hidden="false" customHeight="false" outlineLevel="2" collapsed="false">
      <c r="A74" s="3" t="s">
        <v>285</v>
      </c>
      <c r="B74" s="11" t="s">
        <v>157</v>
      </c>
      <c r="C74" s="22" t="n">
        <f aca="false">輸入與假設!$C$72*輸入與假設!$C$29+MAX(0,C36-輸入與假設!$C$29)*C73</f>
        <v>312</v>
      </c>
      <c r="D74" s="22" t="n">
        <f aca="false">C74+MAX(0,D36-C36)*D73</f>
        <v>312</v>
      </c>
      <c r="E74" s="22" t="n">
        <f aca="false">D74+MAX(0,E36-D36)*E73</f>
        <v>312</v>
      </c>
      <c r="F74" s="22" t="n">
        <f aca="false">E74+MAX(0,F36-E36)*F73</f>
        <v>312</v>
      </c>
      <c r="G74" s="22" t="n">
        <f aca="false">F74+MAX(0,G36-F36)*G73</f>
        <v>312</v>
      </c>
      <c r="I74" s="6" t="s">
        <v>276</v>
      </c>
    </row>
    <row r="75" customFormat="false" ht="15" hidden="false" customHeight="false" outlineLevel="2" collapsed="false">
      <c r="A75" s="3" t="s">
        <v>286</v>
      </c>
      <c r="B75" s="11" t="s">
        <v>263</v>
      </c>
      <c r="C75" s="35" t="n">
        <f aca="false">TK_HoldEcon_GB200</f>
        <v>8.82816556596761</v>
      </c>
      <c r="I75" s="11" t="s">
        <v>287</v>
      </c>
    </row>
    <row r="76" customFormat="false" ht="15" hidden="false" customHeight="false" outlineLevel="2" collapsed="false">
      <c r="A76" s="3" t="s">
        <v>288</v>
      </c>
      <c r="B76" s="11" t="s">
        <v>263</v>
      </c>
      <c r="C76" s="35" t="n">
        <f aca="false">TK_OpexGW_GB200</f>
        <v>1.812232738713</v>
      </c>
      <c r="I76" s="11" t="s">
        <v>289</v>
      </c>
    </row>
    <row r="77" customFormat="false" ht="15" hidden="false" customHeight="false" outlineLevel="2" collapsed="false">
      <c r="A77" s="3" t="s">
        <v>290</v>
      </c>
      <c r="B77" s="11" t="s">
        <v>263</v>
      </c>
      <c r="C77" s="35" t="n">
        <f aca="false">TK_IFW_RevGWFleet_Util_GB200</f>
        <v>20.1746158611128</v>
      </c>
      <c r="I77" s="11" t="s">
        <v>291</v>
      </c>
    </row>
    <row r="78" customFormat="false" ht="15" hidden="false" customHeight="false" outlineLevel="2" collapsed="false">
      <c r="A78" s="3" t="s">
        <v>292</v>
      </c>
      <c r="B78" s="11" t="s">
        <v>263</v>
      </c>
      <c r="C78" s="35" t="n">
        <f aca="false">TK_IFW_RevGWFleet_Prod_GB200</f>
        <v>15.2851605558118</v>
      </c>
      <c r="I78" s="11" t="s">
        <v>293</v>
      </c>
    </row>
    <row r="79" customFormat="false" ht="15" hidden="false" customHeight="false" outlineLevel="2" collapsed="false">
      <c r="A79" s="3" t="s">
        <v>294</v>
      </c>
      <c r="B79" s="11" t="s">
        <v>42</v>
      </c>
      <c r="C79" s="23" t="n">
        <v>0.15</v>
      </c>
      <c r="I79" s="6" t="s">
        <v>283</v>
      </c>
    </row>
    <row r="80" customFormat="false" ht="15" hidden="false" customHeight="false" outlineLevel="2" collapsed="false">
      <c r="A80" s="3" t="s">
        <v>295</v>
      </c>
      <c r="B80" s="11" t="s">
        <v>42</v>
      </c>
      <c r="C80" s="23" t="n">
        <v>0</v>
      </c>
      <c r="D80" s="23" t="n">
        <v>0</v>
      </c>
      <c r="E80" s="23" t="n">
        <v>0</v>
      </c>
      <c r="F80" s="23" t="n">
        <v>0</v>
      </c>
      <c r="G80" s="23" t="n">
        <v>0</v>
      </c>
      <c r="I80" s="6" t="s">
        <v>274</v>
      </c>
    </row>
    <row r="81" customFormat="false" ht="15" hidden="false" customHeight="false" outlineLevel="2" collapsed="false">
      <c r="A81" s="3" t="s">
        <v>296</v>
      </c>
      <c r="B81" s="11" t="s">
        <v>157</v>
      </c>
      <c r="C81" s="22" t="n">
        <f aca="false">輸入與假設!$C$79*輸入與假設!$C$29+MAX(0,C36-輸入與假設!$C$29)*C80</f>
        <v>312</v>
      </c>
      <c r="D81" s="22" t="n">
        <f aca="false">C81+MAX(0,D36-C36)*D80</f>
        <v>312</v>
      </c>
      <c r="E81" s="22" t="n">
        <f aca="false">D81+MAX(0,E36-D36)*E80</f>
        <v>312</v>
      </c>
      <c r="F81" s="22" t="n">
        <f aca="false">E81+MAX(0,F36-E36)*F80</f>
        <v>312</v>
      </c>
      <c r="G81" s="22" t="n">
        <f aca="false">F81+MAX(0,G36-F36)*G80</f>
        <v>312</v>
      </c>
      <c r="I81" s="6" t="s">
        <v>276</v>
      </c>
    </row>
    <row r="82" customFormat="false" ht="15" hidden="false" customHeight="false" outlineLevel="2" collapsed="false">
      <c r="A82" s="3" t="s">
        <v>297</v>
      </c>
      <c r="B82" s="11" t="s">
        <v>263</v>
      </c>
      <c r="C82" s="35" t="n">
        <f aca="false">TK_HoldEcon_GB300</f>
        <v>10.8864110021101</v>
      </c>
      <c r="I82" s="11" t="s">
        <v>298</v>
      </c>
    </row>
    <row r="83" customFormat="false" ht="15" hidden="false" customHeight="false" outlineLevel="2" collapsed="false">
      <c r="A83" s="3" t="s">
        <v>299</v>
      </c>
      <c r="B83" s="11" t="s">
        <v>263</v>
      </c>
      <c r="C83" s="35" t="n">
        <f aca="false">TK_OpexGW_GB300</f>
        <v>1.98263481314457</v>
      </c>
      <c r="I83" s="11" t="s">
        <v>300</v>
      </c>
    </row>
    <row r="84" customFormat="false" ht="15" hidden="false" customHeight="false" outlineLevel="2" collapsed="false">
      <c r="A84" s="3" t="s">
        <v>301</v>
      </c>
      <c r="B84" s="11" t="s">
        <v>263</v>
      </c>
      <c r="C84" s="35" t="n">
        <f aca="false">TK_IFW_RevGWFleet_Util_GB300</f>
        <v>26.2652356996766</v>
      </c>
      <c r="I84" s="11" t="s">
        <v>302</v>
      </c>
    </row>
    <row r="85" customFormat="false" ht="15" hidden="false" customHeight="false" outlineLevel="2" collapsed="false">
      <c r="A85" s="3" t="s">
        <v>303</v>
      </c>
      <c r="B85" s="11" t="s">
        <v>263</v>
      </c>
      <c r="C85" s="35" t="n">
        <f aca="false">TK_IFW_RevGWFleet_Prod_GB300</f>
        <v>19.2324652424837</v>
      </c>
      <c r="I85" s="11" t="s">
        <v>304</v>
      </c>
    </row>
    <row r="86" customFormat="false" ht="15" hidden="false" customHeight="false" outlineLevel="2" collapsed="false">
      <c r="A86" s="3" t="s">
        <v>305</v>
      </c>
      <c r="B86" s="11" t="s">
        <v>42</v>
      </c>
      <c r="C86" s="23" t="n">
        <v>0.15</v>
      </c>
      <c r="I86" s="6" t="s">
        <v>283</v>
      </c>
    </row>
    <row r="87" customFormat="false" ht="15" hidden="false" customHeight="false" outlineLevel="2" collapsed="false">
      <c r="A87" s="3" t="s">
        <v>306</v>
      </c>
      <c r="B87" s="11" t="s">
        <v>42</v>
      </c>
      <c r="C87" s="23" t="n">
        <v>0.5</v>
      </c>
      <c r="D87" s="23" t="n">
        <v>0.25</v>
      </c>
      <c r="E87" s="23" t="n">
        <v>0</v>
      </c>
      <c r="F87" s="23" t="n">
        <v>0</v>
      </c>
      <c r="G87" s="23" t="n">
        <v>0</v>
      </c>
      <c r="I87" s="6" t="s">
        <v>274</v>
      </c>
    </row>
    <row r="88" customFormat="false" ht="15" hidden="false" customHeight="false" outlineLevel="2" collapsed="false">
      <c r="A88" s="3" t="s">
        <v>307</v>
      </c>
      <c r="B88" s="11" t="s">
        <v>157</v>
      </c>
      <c r="C88" s="22" t="n">
        <f aca="false">輸入與假設!$C$86*輸入與假設!$C$29+MAX(0,C36-輸入與假設!$C$29)*C87</f>
        <v>1219.2</v>
      </c>
      <c r="D88" s="22" t="n">
        <f aca="false">C88+MAX(0,D36-C36)*D87</f>
        <v>2126.4</v>
      </c>
      <c r="E88" s="22" t="n">
        <f aca="false">D88+MAX(0,E36-D36)*E87</f>
        <v>2126.4</v>
      </c>
      <c r="F88" s="22" t="n">
        <f aca="false">E88+MAX(0,F36-E36)*F87</f>
        <v>2126.4</v>
      </c>
      <c r="G88" s="22" t="n">
        <f aca="false">F88+MAX(0,G36-F36)*G87</f>
        <v>2126.4</v>
      </c>
      <c r="I88" s="6" t="s">
        <v>276</v>
      </c>
    </row>
    <row r="89" customFormat="false" ht="15" hidden="false" customHeight="false" outlineLevel="2" collapsed="false">
      <c r="A89" s="3" t="s">
        <v>308</v>
      </c>
      <c r="B89" s="11" t="s">
        <v>263</v>
      </c>
      <c r="C89" s="35" t="n">
        <f aca="false">TK_HoldEcon_GB300*輸入與假設!$C$57</f>
        <v>10.8864110021101</v>
      </c>
      <c r="I89" s="11" t="s">
        <v>309</v>
      </c>
    </row>
    <row r="90" customFormat="false" ht="15" hidden="false" customHeight="false" outlineLevel="2" collapsed="false">
      <c r="A90" s="3" t="s">
        <v>310</v>
      </c>
      <c r="B90" s="11" t="s">
        <v>263</v>
      </c>
      <c r="C90" s="35" t="n">
        <f aca="false">TK_OpexGW_GB300</f>
        <v>1.98263481314457</v>
      </c>
      <c r="I90" s="11" t="s">
        <v>300</v>
      </c>
    </row>
    <row r="91" customFormat="false" ht="15" hidden="false" customHeight="false" outlineLevel="2" collapsed="false">
      <c r="A91" s="3" t="s">
        <v>311</v>
      </c>
      <c r="B91" s="11" t="s">
        <v>263</v>
      </c>
      <c r="C91" s="35" t="n">
        <f aca="false">TK_IFW_RevGWFleet_Util_GB300</f>
        <v>26.2652356996766</v>
      </c>
      <c r="I91" s="11" t="s">
        <v>302</v>
      </c>
    </row>
    <row r="92" customFormat="false" ht="15" hidden="false" customHeight="false" outlineLevel="2" collapsed="false">
      <c r="A92" s="3" t="s">
        <v>312</v>
      </c>
      <c r="B92" s="11" t="s">
        <v>263</v>
      </c>
      <c r="C92" s="35" t="n">
        <f aca="false">TK_IFW_RevGWFleet_Prod_GB300</f>
        <v>19.2324652424837</v>
      </c>
      <c r="I92" s="11" t="s">
        <v>304</v>
      </c>
    </row>
    <row r="93" customFormat="false" ht="15" hidden="false" customHeight="false" outlineLevel="2" collapsed="false">
      <c r="A93" s="3" t="s">
        <v>313</v>
      </c>
      <c r="B93" s="11" t="s">
        <v>42</v>
      </c>
      <c r="C93" s="23" t="n">
        <v>0</v>
      </c>
      <c r="I93" s="6" t="s">
        <v>283</v>
      </c>
    </row>
    <row r="94" customFormat="false" ht="15" hidden="false" customHeight="false" outlineLevel="2" collapsed="false">
      <c r="A94" s="3" t="s">
        <v>314</v>
      </c>
      <c r="B94" s="11" t="s">
        <v>42</v>
      </c>
      <c r="C94" s="23" t="n">
        <v>0.5</v>
      </c>
      <c r="D94" s="23" t="n">
        <v>0.5</v>
      </c>
      <c r="E94" s="23" t="n">
        <v>0.5</v>
      </c>
      <c r="F94" s="23" t="n">
        <v>0.5</v>
      </c>
      <c r="G94" s="23" t="n">
        <v>0.5</v>
      </c>
      <c r="I94" s="6" t="s">
        <v>274</v>
      </c>
    </row>
    <row r="95" customFormat="false" ht="15" hidden="false" customHeight="false" outlineLevel="2" collapsed="false">
      <c r="A95" s="3" t="s">
        <v>315</v>
      </c>
      <c r="B95" s="11" t="s">
        <v>157</v>
      </c>
      <c r="C95" s="22" t="n">
        <f aca="false">輸入與假設!$C$93*輸入與假設!$C$29+MAX(0,C36-輸入與假設!$C$29)*C94</f>
        <v>907.2</v>
      </c>
      <c r="D95" s="22" t="n">
        <f aca="false">C95+MAX(0,D36-C36)*D94</f>
        <v>2721.6</v>
      </c>
      <c r="E95" s="22" t="n">
        <f aca="false">D95+MAX(0,E36-D36)*E94</f>
        <v>4536</v>
      </c>
      <c r="F95" s="22" t="n">
        <f aca="false">E95+MAX(0,F36-E36)*F94</f>
        <v>6350.4</v>
      </c>
      <c r="G95" s="22" t="n">
        <f aca="false">F95+MAX(0,G36-F36)*G94</f>
        <v>8164.8</v>
      </c>
      <c r="I95" s="6" t="s">
        <v>276</v>
      </c>
    </row>
    <row r="96" customFormat="false" ht="15" hidden="false" customHeight="false" outlineLevel="2" collapsed="false">
      <c r="A96" s="3" t="s">
        <v>316</v>
      </c>
      <c r="B96" s="11" t="s">
        <v>263</v>
      </c>
      <c r="C96" s="35" t="n">
        <f aca="false">TK_HoldEcon_VR200</f>
        <v>12.2254710045841</v>
      </c>
      <c r="I96" s="11" t="s">
        <v>317</v>
      </c>
    </row>
    <row r="97" customFormat="false" ht="15" hidden="false" customHeight="false" outlineLevel="2" collapsed="false">
      <c r="A97" s="3" t="s">
        <v>318</v>
      </c>
      <c r="B97" s="11" t="s">
        <v>263</v>
      </c>
      <c r="C97" s="35" t="n">
        <f aca="false">TK_OpexGW_VR200</f>
        <v>2.09349554831403</v>
      </c>
      <c r="I97" s="11" t="s">
        <v>319</v>
      </c>
    </row>
    <row r="98" customFormat="false" ht="15" hidden="false" customHeight="false" outlineLevel="2" collapsed="false">
      <c r="A98" s="3" t="s">
        <v>320</v>
      </c>
      <c r="B98" s="11" t="s">
        <v>263</v>
      </c>
      <c r="C98" s="35" t="n">
        <f aca="false">TK_IFW_RevGWFleet_Util_VR200</f>
        <v>48.7237019639935</v>
      </c>
      <c r="I98" s="11" t="s">
        <v>321</v>
      </c>
    </row>
    <row r="99" customFormat="false" ht="15" hidden="false" customHeight="false" outlineLevel="2" collapsed="false">
      <c r="A99" s="3" t="s">
        <v>322</v>
      </c>
      <c r="B99" s="11" t="s">
        <v>263</v>
      </c>
      <c r="C99" s="35" t="n">
        <f aca="false">TK_IFW_RevGWFleet_Prod_VR200</f>
        <v>38.1145472754025</v>
      </c>
      <c r="I99" s="11" t="s">
        <v>323</v>
      </c>
    </row>
    <row r="100" customFormat="false" ht="15" hidden="false" customHeight="false" outlineLevel="2" collapsed="false">
      <c r="A100" s="3" t="s">
        <v>324</v>
      </c>
      <c r="B100" s="11" t="s">
        <v>42</v>
      </c>
      <c r="C100" s="23" t="n">
        <v>0</v>
      </c>
      <c r="I100" s="6" t="s">
        <v>283</v>
      </c>
    </row>
    <row r="101" customFormat="false" ht="15" hidden="false" customHeight="false" outlineLevel="2" collapsed="false">
      <c r="A101" s="3" t="s">
        <v>325</v>
      </c>
      <c r="B101" s="11" t="s">
        <v>42</v>
      </c>
      <c r="C101" s="23" t="n">
        <v>0</v>
      </c>
      <c r="D101" s="23" t="n">
        <v>0.25</v>
      </c>
      <c r="E101" s="23" t="n">
        <v>0.5</v>
      </c>
      <c r="F101" s="23" t="n">
        <v>0.5</v>
      </c>
      <c r="G101" s="23" t="n">
        <v>0.5</v>
      </c>
      <c r="I101" s="6" t="s">
        <v>274</v>
      </c>
    </row>
    <row r="102" customFormat="false" ht="15" hidden="false" customHeight="false" outlineLevel="2" collapsed="false">
      <c r="A102" s="3" t="s">
        <v>326</v>
      </c>
      <c r="B102" s="11" t="s">
        <v>157</v>
      </c>
      <c r="C102" s="22" t="n">
        <f aca="false">輸入與假設!$C$100*輸入與假設!$C$29+MAX(0,C36-輸入與假設!$C$29)*C101</f>
        <v>0</v>
      </c>
      <c r="D102" s="22" t="n">
        <f aca="false">C102+MAX(0,D36-C36)*D101</f>
        <v>907.2</v>
      </c>
      <c r="E102" s="22" t="n">
        <f aca="false">D102+MAX(0,E36-D36)*E101</f>
        <v>2721.6</v>
      </c>
      <c r="F102" s="22" t="n">
        <f aca="false">E102+MAX(0,F36-E36)*F101</f>
        <v>4536</v>
      </c>
      <c r="G102" s="22" t="n">
        <f aca="false">F102+MAX(0,G36-F36)*G101</f>
        <v>6350.4</v>
      </c>
      <c r="I102" s="6" t="s">
        <v>276</v>
      </c>
    </row>
    <row r="103" customFormat="false" ht="15" hidden="false" customHeight="false" outlineLevel="2" collapsed="false">
      <c r="A103" s="3" t="s">
        <v>327</v>
      </c>
      <c r="B103" s="11" t="s">
        <v>157</v>
      </c>
      <c r="C103" s="22" t="n">
        <f aca="false">C67+C74+C81+C88+C95+C102</f>
        <v>3894.4</v>
      </c>
      <c r="D103" s="22" t="n">
        <f aca="false">D67+D74+D81+D88+D95+D102</f>
        <v>7523.2</v>
      </c>
      <c r="E103" s="22" t="n">
        <f aca="false">E67+E74+E81+E88+E95+E102</f>
        <v>11152</v>
      </c>
      <c r="F103" s="22" t="n">
        <f aca="false">F67+F74+F81+F88+F95+F102</f>
        <v>14780.8</v>
      </c>
      <c r="G103" s="22" t="n">
        <f aca="false">G67+G74+G81+G88+G95+G102</f>
        <v>18409.6</v>
      </c>
      <c r="I103" s="6" t="s">
        <v>328</v>
      </c>
    </row>
    <row r="104" customFormat="false" ht="15" hidden="false" customHeight="false" outlineLevel="2" collapsed="false">
      <c r="A104" s="3" t="s">
        <v>329</v>
      </c>
      <c r="B104" s="11" t="s">
        <v>263</v>
      </c>
      <c r="C104" s="35" t="n">
        <f aca="false">(C67*輸入與假設!$C$61+C74*輸入與假設!$C$68+C81*輸入與假設!$C$75+C88*輸入與假設!$C$82+C95*輸入與假設!$C$89+C102*輸入與假設!$C$96)/MAX(0.000000001,C103)</f>
        <v>10.2791051509993</v>
      </c>
      <c r="D104" s="35" t="n">
        <f aca="false">(D67*輸入與假設!$C$61+D74*輸入與假設!$C$68+D81*輸入與假設!$C$75+D88*輸入與假設!$C$82+D95*輸入與假設!$C$89+D102*輸入與假設!$C$96)/MAX(0.000000001,D103)</f>
        <v>10.7335110828841</v>
      </c>
      <c r="E104" s="35" t="n">
        <f aca="false">(E67*輸入與假設!$C$61+E74*輸入與假設!$C$68+E81*輸入與假設!$C$75+E88*輸入與假設!$C$82+E95*輸入與假設!$C$89+E102*輸入與假設!$C$96)/MAX(0.000000001,E103)</f>
        <v>11.0011252951667</v>
      </c>
      <c r="F104" s="35" t="n">
        <f aca="false">(F67*輸入與假設!$C$61+F74*輸入與假設!$C$68+F81*輸入與假設!$C$75+F88*輸入與假設!$C$82+F95*輸入與假設!$C$89+F102*輸入與假設!$C$96)/MAX(0.000000001,F103)</f>
        <v>11.1373368156423</v>
      </c>
      <c r="G104" s="35" t="n">
        <f aca="false">(G67*輸入與假設!$C$61+G74*輸入與假設!$C$68+G81*輸入與假設!$C$75+G88*輸入與假設!$C$82+G95*輸入與假設!$C$89+G102*輸入與假設!$C$96)/MAX(0.000000001,G103)</f>
        <v>11.2198497912823</v>
      </c>
      <c r="I104" s="6" t="s">
        <v>330</v>
      </c>
    </row>
    <row r="105" customFormat="false" ht="15" hidden="false" customHeight="false" outlineLevel="2" collapsed="false">
      <c r="A105" s="3" t="s">
        <v>331</v>
      </c>
      <c r="B105" s="11" t="s">
        <v>263</v>
      </c>
      <c r="C105" s="35" t="n">
        <f aca="false">(C67*輸入與假設!$C$62+C74*輸入與假設!$C$69+C81*輸入與假設!$C$76+C88*輸入與假設!$C$83+C95*輸入與假設!$C$90+C102*輸入與假設!$C$97)/MAX(0.000000001,C103)</f>
        <v>1.93235598097689</v>
      </c>
      <c r="D105" s="35" t="n">
        <f aca="false">(D67*輸入與假設!$C$62+D74*輸入與假設!$C$69+D81*輸入與假設!$C$76+D88*輸入與假設!$C$83+D95*輸入與假設!$C$90+D102*輸入與假設!$C$97)/MAX(0.000000001,D103)</f>
        <v>1.96997623367731</v>
      </c>
      <c r="E105" s="35" t="n">
        <f aca="false">(E67*輸入與假設!$C$62+E74*輸入與假設!$C$69+E81*輸入與假設!$C$76+E88*輸入與假設!$C$83+E95*輸入與假設!$C$90+E102*輸入與假設!$C$97)/MAX(0.000000001,E103)</f>
        <v>1.99213200583139</v>
      </c>
      <c r="F105" s="35" t="n">
        <f aca="false">(F67*輸入與假設!$C$62+F74*輸入與假設!$C$69+F81*輸入與假設!$C$76+F88*輸入與假設!$C$83+F95*輸入與假設!$C$90+F102*輸入與假設!$C$97)/MAX(0.000000001,F103)</f>
        <v>2.00340895329496</v>
      </c>
      <c r="G105" s="35" t="n">
        <f aca="false">(G67*輸入與假設!$C$62+G74*輸入與假設!$C$69+G81*輸入與假設!$C$76+G88*輸入與假設!$C$83+G95*輸入與假設!$C$90+G102*輸入與假設!$C$97)/MAX(0.000000001,G103)</f>
        <v>2.01024019993333</v>
      </c>
      <c r="I105" s="6" t="s">
        <v>332</v>
      </c>
    </row>
    <row r="106" customFormat="false" ht="15" hidden="false" customHeight="false" outlineLevel="2" collapsed="false">
      <c r="A106" s="3" t="s">
        <v>333</v>
      </c>
      <c r="B106" s="11" t="s">
        <v>263</v>
      </c>
      <c r="C106" s="35" t="n">
        <f aca="false">(C67*輸入與假設!$C$63+C74*輸入與假設!$C$70+C81*輸入與假設!$C$77+C88*輸入與假設!$C$84+C95*輸入與假設!$C$91+C102*輸入與假設!$C$98)/MAX(0.000000001,C103)</f>
        <v>17.454805336964</v>
      </c>
      <c r="D106" s="35" t="n">
        <f aca="false">(D67*輸入與假設!$C$63+D74*輸入與假設!$C$70+D81*輸入與假設!$C$77+D88*輸入與假設!$C$84+D95*輸入與假設!$C$91+D102*輸入與假設!$C$98)/MAX(0.000000001,D103)</f>
        <v>24.4126969648883</v>
      </c>
      <c r="E106" s="35" t="n">
        <f aca="false">(E67*輸入與假設!$C$63+E74*輸入與假設!$C$70+E81*輸入與假設!$C$77+E88*輸入與假設!$C$84+E95*輸入與假設!$C$91+E102*輸入與假設!$C$98)/MAX(0.000000001,E103)</f>
        <v>28.6694342093983</v>
      </c>
      <c r="F106" s="35" t="n">
        <f aca="false">(F67*輸入與假設!$C$63+F74*輸入與假設!$C$70+F81*輸入與假設!$C$77+F88*輸入與假設!$C$84+F95*輸入與假設!$C$91+F102*輸入與假設!$C$98)/MAX(0.000000001,F103)</f>
        <v>30.8360480353008</v>
      </c>
      <c r="G106" s="35" t="n">
        <f aca="false">(G67*輸入與假設!$C$63+G74*輸入與假設!$C$70+G81*輸入與假設!$C$77+G88*輸入與假設!$C$84+G95*輸入與假設!$C$91+G102*輸入與假設!$C$98)/MAX(0.000000001,G103)</f>
        <v>32.1485196472024</v>
      </c>
      <c r="I106" s="6" t="s">
        <v>334</v>
      </c>
    </row>
    <row r="107" customFormat="false" ht="15" hidden="false" customHeight="false" outlineLevel="2" collapsed="false">
      <c r="A107" s="3" t="s">
        <v>335</v>
      </c>
      <c r="B107" s="11" t="s">
        <v>42</v>
      </c>
      <c r="C107" s="38" t="n">
        <f aca="false">C104*輸入與假設!$C$56/MAX(0.000000001,C106)</f>
        <v>0.560631179485467</v>
      </c>
      <c r="D107" s="38" t="n">
        <f aca="false">D104*輸入與假設!$C$56/MAX(0.000000001,D106)</f>
        <v>0.418565083800539</v>
      </c>
      <c r="E107" s="38" t="n">
        <f aca="false">E104*輸入與假設!$C$56/MAX(0.000000001,E106)</f>
        <v>0.365304428559858</v>
      </c>
      <c r="F107" s="38" t="n">
        <f aca="false">F104*輸入與假設!$C$56/MAX(0.000000001,F106)</f>
        <v>0.343842526005717</v>
      </c>
      <c r="G107" s="38" t="n">
        <f aca="false">G104*輸入與假設!$C$56/MAX(0.000000001,G106)</f>
        <v>0.332248486664931</v>
      </c>
      <c r="I107" s="6" t="s">
        <v>336</v>
      </c>
    </row>
    <row r="108" customFormat="false" ht="15" hidden="false" customHeight="false" outlineLevel="2" collapsed="false">
      <c r="A108" s="3" t="s">
        <v>337</v>
      </c>
      <c r="B108" s="11" t="s">
        <v>263</v>
      </c>
      <c r="C108" s="35" t="n">
        <f aca="false">(C67*輸入與假設!$C$64+C74*輸入與假設!$C$71+C81*輸入與假設!$C$78+C88*輸入與假設!$C$85+C95*輸入與假設!$C$92+C102*輸入與假設!$C$99)/MAX(0.000000001,C103)</f>
        <v>12.5643582717595</v>
      </c>
      <c r="D108" s="35" t="n">
        <f aca="false">(D67*輸入與假設!$C$64+D74*輸入與假設!$C$71+D81*輸入與假設!$C$78+D88*輸入與假設!$C$85+D95*輸入與假設!$C$92+D102*輸入與假設!$C$99)/MAX(0.000000001,D103)</f>
        <v>18.0576392420418</v>
      </c>
      <c r="E108" s="35" t="n">
        <f aca="false">(E67*輸入與假設!$C$64+E74*輸入與假設!$C$71+E81*輸入與假設!$C$78+E88*輸入與假設!$C$85+E95*輸入與假設!$C$92+E102*輸入與假設!$C$99)/MAX(0.000000001,E103)</f>
        <v>21.5119844923047</v>
      </c>
      <c r="F108" s="35" t="n">
        <f aca="false">(F67*輸入與假設!$C$64+F74*輸入與假設!$C$71+F81*輸入與假設!$C$78+F88*輸入與假設!$C$85+F95*輸入與假設!$C$92+F102*輸入與假設!$C$99)/MAX(0.000000001,F103)</f>
        <v>23.2701931269373</v>
      </c>
      <c r="G108" s="35" t="n">
        <f aca="false">(G67*輸入與假設!$C$64+G74*輸入與假設!$C$71+G81*輸入與假設!$C$78+G88*輸入與假設!$C$85+G95*輸入與假設!$C$92+G102*輸入與假設!$C$99)/MAX(0.000000001,G103)</f>
        <v>24.3352647576855</v>
      </c>
      <c r="I108" s="6" t="s">
        <v>338</v>
      </c>
    </row>
    <row r="109" customFormat="false" ht="15" hidden="false" customHeight="false" outlineLevel="2" collapsed="false">
      <c r="A109" s="3" t="s">
        <v>339</v>
      </c>
      <c r="B109" s="11" t="s">
        <v>42</v>
      </c>
      <c r="C109" s="38" t="n">
        <f aca="false">C104*輸入與假設!$C$56/MAX(0.000000001,C108)</f>
        <v>0.778846630451978</v>
      </c>
      <c r="D109" s="38" t="n">
        <f aca="false">D104*輸入與假設!$C$56/MAX(0.000000001,D108)</f>
        <v>0.565871452737595</v>
      </c>
      <c r="E109" s="38" t="n">
        <f aca="false">E104*輸入與假設!$C$56/MAX(0.000000001,E108)</f>
        <v>0.486848216385856</v>
      </c>
      <c r="F109" s="38" t="n">
        <f aca="false">F104*輸入與假設!$C$56/MAX(0.000000001,F108)</f>
        <v>0.455636297930757</v>
      </c>
      <c r="G109" s="38" t="n">
        <f aca="false">G104*輸入與假設!$C$56/MAX(0.000000001,G108)</f>
        <v>0.438922572146146</v>
      </c>
      <c r="I109" s="6" t="s">
        <v>340</v>
      </c>
    </row>
    <row r="110" customFormat="false" ht="15" hidden="false" customHeight="false" outlineLevel="1" collapsed="false">
      <c r="A110" s="33" t="s">
        <v>341</v>
      </c>
      <c r="B110" s="20"/>
      <c r="C110" s="20"/>
      <c r="D110" s="20"/>
      <c r="E110" s="20"/>
      <c r="F110" s="20"/>
      <c r="G110" s="20"/>
      <c r="H110" s="20"/>
    </row>
    <row r="111" customFormat="false" ht="15" hidden="false" customHeight="false" outlineLevel="2" collapsed="false">
      <c r="A111" s="3" t="s">
        <v>342</v>
      </c>
      <c r="B111" s="11" t="s">
        <v>65</v>
      </c>
      <c r="C111" s="39" t="n">
        <f aca="false">運營_產能與收入!C26</f>
        <v>14.6149550529527</v>
      </c>
      <c r="D111" s="39" t="n">
        <f aca="false">運營_產能與收入!D26</f>
        <v>58.3311801118447</v>
      </c>
      <c r="E111" s="39" t="n">
        <f aca="false">運營_產能與收入!E26</f>
        <v>97.7923030863256</v>
      </c>
      <c r="F111" s="39" t="n">
        <f aca="false">運營_產能與收入!F26</f>
        <v>137.479428210199</v>
      </c>
      <c r="G111" s="39" t="n">
        <f aca="false">運營_產能與收入!G26</f>
        <v>177.258259995987</v>
      </c>
      <c r="I111" s="6" t="s">
        <v>343</v>
      </c>
    </row>
    <row r="112" customFormat="false" ht="15" hidden="false" customHeight="false" outlineLevel="2" collapsed="false">
      <c r="A112" s="4" t="s">
        <v>344</v>
      </c>
      <c r="B112" s="11" t="s">
        <v>218</v>
      </c>
      <c r="C112" s="30" t="n">
        <f aca="false">C39*輸入與假設!$C$32*C38</f>
        <v>0.00978570810375136</v>
      </c>
      <c r="I112" s="6" t="s">
        <v>345</v>
      </c>
    </row>
    <row r="113" customFormat="false" ht="15" hidden="false" customHeight="false" outlineLevel="2" collapsed="false">
      <c r="A113" s="4" t="s">
        <v>346</v>
      </c>
      <c r="B113" s="11" t="s">
        <v>42</v>
      </c>
      <c r="C113" s="38" t="n">
        <f aca="false">1-C105/1000/MAX(0.000000001,C39*輸入與假設!$C$32)</f>
        <v>0.80253284070101</v>
      </c>
      <c r="I113" s="6" t="s">
        <v>347</v>
      </c>
    </row>
    <row r="114" customFormat="false" ht="15" hidden="false" customHeight="false" outlineLevel="2" collapsed="false">
      <c r="A114" s="3" t="s">
        <v>348</v>
      </c>
      <c r="B114" s="11" t="s">
        <v>65</v>
      </c>
      <c r="C114" s="24" t="n">
        <v>340.59885</v>
      </c>
      <c r="I114" s="6" t="s">
        <v>349</v>
      </c>
    </row>
    <row r="115" customFormat="false" ht="15" hidden="false" customHeight="false" outlineLevel="2" collapsed="false">
      <c r="A115" s="3" t="s">
        <v>350</v>
      </c>
      <c r="B115" s="11" t="s">
        <v>65</v>
      </c>
      <c r="C115" s="24" t="n">
        <v>173.524611</v>
      </c>
      <c r="I115" s="6" t="s">
        <v>351</v>
      </c>
    </row>
    <row r="116" customFormat="false" ht="15" hidden="false" customHeight="false" outlineLevel="2" collapsed="false">
      <c r="A116" s="3" t="s">
        <v>352</v>
      </c>
      <c r="B116" s="11" t="s">
        <v>42</v>
      </c>
      <c r="C116" s="23" t="n">
        <v>0.107989</v>
      </c>
      <c r="I116" s="6" t="s">
        <v>353</v>
      </c>
    </row>
    <row r="117" customFormat="false" ht="15" hidden="false" customHeight="false" outlineLevel="2" collapsed="false">
      <c r="A117" s="3" t="s">
        <v>354</v>
      </c>
      <c r="B117" s="11" t="s">
        <v>42</v>
      </c>
      <c r="C117" s="23" t="n">
        <v>0.077788</v>
      </c>
      <c r="I117" s="6" t="s">
        <v>355</v>
      </c>
    </row>
    <row r="118" customFormat="false" ht="15" hidden="false" customHeight="false" outlineLevel="2" collapsed="false">
      <c r="A118" s="3" t="s">
        <v>356</v>
      </c>
      <c r="B118" s="11" t="s">
        <v>42</v>
      </c>
      <c r="C118" s="23" t="n">
        <v>0.06</v>
      </c>
      <c r="I118" s="6" t="s">
        <v>357</v>
      </c>
    </row>
    <row r="119" customFormat="false" ht="15" hidden="false" customHeight="false" outlineLevel="2" collapsed="false">
      <c r="A119" s="3" t="s">
        <v>358</v>
      </c>
      <c r="B119" s="11" t="s">
        <v>42</v>
      </c>
      <c r="C119" s="23" t="n">
        <v>0.062567</v>
      </c>
      <c r="I119" s="11" t="s">
        <v>359</v>
      </c>
    </row>
    <row r="120" customFormat="false" ht="15" hidden="false" customHeight="false" outlineLevel="2" collapsed="false">
      <c r="A120" s="3" t="s">
        <v>360</v>
      </c>
      <c r="B120" s="11" t="s">
        <v>42</v>
      </c>
      <c r="C120" s="23" t="n">
        <v>0.019192</v>
      </c>
      <c r="I120" s="6" t="s">
        <v>361</v>
      </c>
    </row>
    <row r="121" customFormat="false" ht="15" hidden="false" customHeight="false" outlineLevel="2" collapsed="false">
      <c r="A121" s="3" t="s">
        <v>362</v>
      </c>
      <c r="B121" s="11" t="s">
        <v>42</v>
      </c>
      <c r="C121" s="23" t="n">
        <v>0.0591</v>
      </c>
      <c r="I121" s="6" t="s">
        <v>363</v>
      </c>
    </row>
    <row r="122" customFormat="false" ht="15" hidden="false" customHeight="false" outlineLevel="2" collapsed="false">
      <c r="A122" s="3" t="s">
        <v>364</v>
      </c>
      <c r="B122" s="11" t="s">
        <v>42</v>
      </c>
      <c r="C122" s="38" t="n">
        <f aca="false">輸入與假設!$C$116+(輸入與假設!$C$118-輸入與假設!$C$116)*0/4</f>
        <v>0.107989</v>
      </c>
      <c r="D122" s="38" t="n">
        <f aca="false">輸入與假設!$C$116+(輸入與假設!$C$118-輸入與假設!$C$116)*1/4</f>
        <v>0.09599175</v>
      </c>
      <c r="E122" s="38" t="n">
        <f aca="false">輸入與假設!$C$116+(輸入與假設!$C$118-輸入與假設!$C$116)*2/4</f>
        <v>0.0839945</v>
      </c>
      <c r="F122" s="38" t="n">
        <f aca="false">輸入與假設!$C$116+(輸入與假設!$C$118-輸入與假設!$C$116)*3/4</f>
        <v>0.07199725</v>
      </c>
      <c r="G122" s="38" t="n">
        <f aca="false">輸入與假設!$C$116+(輸入與假設!$C$118-輸入與假設!$C$116)*4/4</f>
        <v>0.06</v>
      </c>
      <c r="I122" s="6" t="s">
        <v>365</v>
      </c>
    </row>
    <row r="123" customFormat="false" ht="15" hidden="false" customHeight="false" outlineLevel="2" collapsed="false">
      <c r="A123" s="3" t="s">
        <v>366</v>
      </c>
      <c r="B123" s="11" t="s">
        <v>65</v>
      </c>
      <c r="C123" s="31" t="n">
        <f aca="false">輸入與假設!$C$114*(1+C122)</f>
        <v>377.37977921265</v>
      </c>
      <c r="D123" s="31" t="n">
        <f aca="false">C123*(1+D122)</f>
        <v>413.605124633886</v>
      </c>
      <c r="E123" s="31" t="n">
        <f aca="false">D123*(1+E122)</f>
        <v>448.345680274947</v>
      </c>
      <c r="F123" s="31" t="n">
        <f aca="false">E123*(1+F122)</f>
        <v>480.625336304122</v>
      </c>
      <c r="G123" s="31" t="n">
        <f aca="false">F123*(1+G122)</f>
        <v>509.46285648237</v>
      </c>
      <c r="I123" s="6" t="s">
        <v>367</v>
      </c>
    </row>
    <row r="124" customFormat="false" ht="15" hidden="false" customHeight="false" outlineLevel="2" collapsed="false">
      <c r="A124" s="3" t="s">
        <v>368</v>
      </c>
      <c r="B124" s="11" t="s">
        <v>65</v>
      </c>
      <c r="C124" s="31" t="n">
        <f aca="false">C123-輸入與假設!$C$115</f>
        <v>203.85516821265</v>
      </c>
      <c r="D124" s="31" t="n">
        <f aca="false">D123</f>
        <v>413.605124633886</v>
      </c>
      <c r="E124" s="31" t="n">
        <f aca="false">E123</f>
        <v>448.345680274947</v>
      </c>
      <c r="F124" s="31" t="n">
        <f aca="false">F123</f>
        <v>480.625336304122</v>
      </c>
      <c r="G124" s="31" t="n">
        <f aca="false">G123</f>
        <v>509.46285648237</v>
      </c>
      <c r="I124" s="11" t="s">
        <v>369</v>
      </c>
    </row>
    <row r="125" customFormat="false" ht="15" hidden="false" customHeight="false" outlineLevel="2" collapsed="false">
      <c r="A125" s="3" t="s">
        <v>370</v>
      </c>
      <c r="B125" s="11" t="s">
        <v>42</v>
      </c>
      <c r="C125" s="38" t="n">
        <f aca="false">輸入與假設!$C$117+(輸入與假設!$C$119-輸入與假設!$C$117)*0/4</f>
        <v>0.077788</v>
      </c>
      <c r="D125" s="38" t="n">
        <f aca="false">輸入與假設!$C$117+(輸入與假設!$C$119-輸入與假設!$C$117)*1/4</f>
        <v>0.07398275</v>
      </c>
      <c r="E125" s="38" t="n">
        <f aca="false">輸入與假設!$C$117+(輸入與假設!$C$119-輸入與假設!$C$117)*2/4</f>
        <v>0.0701775</v>
      </c>
      <c r="F125" s="38" t="n">
        <f aca="false">輸入與假設!$C$117+(輸入與假設!$C$119-輸入與假設!$C$117)*3/4</f>
        <v>0.06637225</v>
      </c>
      <c r="G125" s="38" t="n">
        <f aca="false">輸入與假設!$C$117+(輸入與假設!$C$119-輸入與假設!$C$117)*4/4</f>
        <v>0.062567</v>
      </c>
      <c r="I125" s="6" t="s">
        <v>365</v>
      </c>
    </row>
    <row r="126" customFormat="false" ht="15" hidden="false" customHeight="false" outlineLevel="2" collapsed="false">
      <c r="A126" s="3" t="s">
        <v>371</v>
      </c>
      <c r="B126" s="11" t="s">
        <v>65</v>
      </c>
      <c r="C126" s="31" t="n">
        <f aca="false">C124*C125</f>
        <v>15.8574858249256</v>
      </c>
      <c r="D126" s="31" t="n">
        <f aca="false">D124*D125</f>
        <v>30.5996445345076</v>
      </c>
      <c r="E126" s="31" t="n">
        <f aca="false">E124*E125</f>
        <v>31.4637789774951</v>
      </c>
      <c r="F126" s="31" t="n">
        <f aca="false">F124*F125</f>
        <v>31.9001849775113</v>
      </c>
      <c r="G126" s="31" t="n">
        <f aca="false">G124*G125</f>
        <v>31.8755625415324</v>
      </c>
      <c r="I126" s="6" t="s">
        <v>372</v>
      </c>
    </row>
    <row r="127" customFormat="false" ht="15" hidden="false" customHeight="false" outlineLevel="2" collapsed="false">
      <c r="A127" s="3" t="s">
        <v>373</v>
      </c>
      <c r="B127" s="11" t="s">
        <v>65</v>
      </c>
      <c r="C127" s="31" t="n">
        <f aca="false">C124*輸入與假設!$C$120</f>
        <v>3.91238838833718</v>
      </c>
      <c r="D127" s="31" t="n">
        <f aca="false">D124*輸入與假設!$C$120</f>
        <v>7.93790955197354</v>
      </c>
      <c r="E127" s="31" t="n">
        <f aca="false">E124*輸入與假設!$C$120</f>
        <v>8.60465029583678</v>
      </c>
      <c r="F127" s="31" t="n">
        <f aca="false">F124*輸入與假設!$C$120</f>
        <v>9.22416145434871</v>
      </c>
      <c r="G127" s="31" t="n">
        <f aca="false">G124*輸入與假設!$C$120</f>
        <v>9.77761114160964</v>
      </c>
      <c r="I127" s="6" t="s">
        <v>374</v>
      </c>
    </row>
    <row r="128" customFormat="false" ht="15" hidden="false" customHeight="false" outlineLevel="2" collapsed="false">
      <c r="A128" s="3" t="s">
        <v>375</v>
      </c>
      <c r="B128" s="11" t="s">
        <v>65</v>
      </c>
      <c r="C128" s="24" t="n">
        <v>129.34615</v>
      </c>
      <c r="I128" s="6" t="s">
        <v>349</v>
      </c>
    </row>
    <row r="129" customFormat="false" ht="15" hidden="false" customHeight="false" outlineLevel="2" collapsed="false">
      <c r="A129" s="3" t="s">
        <v>376</v>
      </c>
      <c r="B129" s="11" t="s">
        <v>65</v>
      </c>
      <c r="C129" s="24" t="n">
        <v>64.572389</v>
      </c>
      <c r="I129" s="6" t="s">
        <v>351</v>
      </c>
    </row>
    <row r="130" customFormat="false" ht="15" hidden="false" customHeight="false" outlineLevel="2" collapsed="false">
      <c r="A130" s="3" t="s">
        <v>377</v>
      </c>
      <c r="B130" s="11" t="s">
        <v>42</v>
      </c>
      <c r="C130" s="23" t="n">
        <v>0.145371</v>
      </c>
      <c r="I130" s="6" t="s">
        <v>353</v>
      </c>
    </row>
    <row r="131" customFormat="false" ht="15" hidden="false" customHeight="false" outlineLevel="2" collapsed="false">
      <c r="A131" s="3" t="s">
        <v>378</v>
      </c>
      <c r="B131" s="11" t="s">
        <v>42</v>
      </c>
      <c r="C131" s="23" t="n">
        <v>0.008649</v>
      </c>
      <c r="I131" s="6" t="s">
        <v>355</v>
      </c>
    </row>
    <row r="132" customFormat="false" ht="15" hidden="false" customHeight="false" outlineLevel="2" collapsed="false">
      <c r="A132" s="3" t="s">
        <v>379</v>
      </c>
      <c r="B132" s="11" t="s">
        <v>42</v>
      </c>
      <c r="C132" s="23" t="n">
        <v>0.06</v>
      </c>
      <c r="I132" s="6" t="s">
        <v>357</v>
      </c>
    </row>
    <row r="133" customFormat="false" ht="15" hidden="false" customHeight="false" outlineLevel="2" collapsed="false">
      <c r="A133" s="3" t="s">
        <v>380</v>
      </c>
      <c r="B133" s="11" t="s">
        <v>42</v>
      </c>
      <c r="C133" s="23" t="n">
        <v>-0.009757</v>
      </c>
      <c r="I133" s="11" t="s">
        <v>359</v>
      </c>
    </row>
    <row r="134" customFormat="false" ht="15" hidden="false" customHeight="false" outlineLevel="2" collapsed="false">
      <c r="A134" s="3" t="s">
        <v>381</v>
      </c>
      <c r="B134" s="11" t="s">
        <v>42</v>
      </c>
      <c r="C134" s="23" t="n">
        <v>0.015216</v>
      </c>
      <c r="I134" s="6" t="s">
        <v>361</v>
      </c>
    </row>
    <row r="135" customFormat="false" ht="15" hidden="false" customHeight="false" outlineLevel="2" collapsed="false">
      <c r="A135" s="3" t="s">
        <v>382</v>
      </c>
      <c r="B135" s="11" t="s">
        <v>42</v>
      </c>
      <c r="C135" s="23" t="n">
        <v>0.0591</v>
      </c>
      <c r="I135" s="6" t="s">
        <v>363</v>
      </c>
    </row>
    <row r="136" customFormat="false" ht="15" hidden="false" customHeight="false" outlineLevel="2" collapsed="false">
      <c r="A136" s="3" t="s">
        <v>383</v>
      </c>
      <c r="B136" s="11" t="s">
        <v>42</v>
      </c>
      <c r="C136" s="38" t="n">
        <f aca="false">輸入與假設!$C$130+(輸入與假設!$C$132-輸入與假設!$C$130)*0/4</f>
        <v>0.145371</v>
      </c>
      <c r="D136" s="38" t="n">
        <f aca="false">輸入與假設!$C$130+(輸入與假設!$C$132-輸入與假設!$C$130)*1/4</f>
        <v>0.12402825</v>
      </c>
      <c r="E136" s="38" t="n">
        <f aca="false">輸入與假設!$C$130+(輸入與假設!$C$132-輸入與假設!$C$130)*2/4</f>
        <v>0.1026855</v>
      </c>
      <c r="F136" s="38" t="n">
        <f aca="false">輸入與假設!$C$130+(輸入與假設!$C$132-輸入與假設!$C$130)*3/4</f>
        <v>0.08134275</v>
      </c>
      <c r="G136" s="38" t="n">
        <f aca="false">輸入與假設!$C$130+(輸入與假設!$C$132-輸入與假設!$C$130)*4/4</f>
        <v>0.06</v>
      </c>
      <c r="I136" s="6" t="s">
        <v>365</v>
      </c>
    </row>
    <row r="137" customFormat="false" ht="15" hidden="false" customHeight="false" outlineLevel="2" collapsed="false">
      <c r="A137" s="3" t="s">
        <v>384</v>
      </c>
      <c r="B137" s="11" t="s">
        <v>65</v>
      </c>
      <c r="C137" s="31" t="n">
        <f aca="false">輸入與假設!$C$128*(1+C136)</f>
        <v>148.14932917165</v>
      </c>
      <c r="D137" s="31" t="n">
        <f aca="false">C137*(1+D136)</f>
        <v>166.524031207484</v>
      </c>
      <c r="E137" s="31" t="n">
        <f aca="false">D137*(1+E136)</f>
        <v>183.62363461404</v>
      </c>
      <c r="F137" s="31" t="n">
        <f aca="false">E137*(1+F136)</f>
        <v>198.560086018541</v>
      </c>
      <c r="G137" s="31" t="n">
        <f aca="false">F137*(1+G136)</f>
        <v>210.473691179653</v>
      </c>
      <c r="I137" s="6" t="s">
        <v>367</v>
      </c>
    </row>
    <row r="138" customFormat="false" ht="15" hidden="false" customHeight="false" outlineLevel="2" collapsed="false">
      <c r="A138" s="3" t="s">
        <v>385</v>
      </c>
      <c r="B138" s="11" t="s">
        <v>65</v>
      </c>
      <c r="C138" s="31" t="n">
        <f aca="false">C137-輸入與假設!$C$129</f>
        <v>83.57694017165</v>
      </c>
      <c r="D138" s="31" t="n">
        <f aca="false">D137</f>
        <v>166.524031207484</v>
      </c>
      <c r="E138" s="31" t="n">
        <f aca="false">E137</f>
        <v>183.62363461404</v>
      </c>
      <c r="F138" s="31" t="n">
        <f aca="false">F137</f>
        <v>198.560086018541</v>
      </c>
      <c r="G138" s="31" t="n">
        <f aca="false">G137</f>
        <v>210.473691179653</v>
      </c>
      <c r="I138" s="11" t="s">
        <v>369</v>
      </c>
    </row>
    <row r="139" customFormat="false" ht="15" hidden="false" customHeight="false" outlineLevel="2" collapsed="false">
      <c r="A139" s="3" t="s">
        <v>386</v>
      </c>
      <c r="B139" s="11" t="s">
        <v>42</v>
      </c>
      <c r="C139" s="38" t="n">
        <f aca="false">輸入與假設!$C$131+(輸入與假設!$C$133-輸入與假設!$C$131)*0/4</f>
        <v>0.008649</v>
      </c>
      <c r="D139" s="38" t="n">
        <f aca="false">輸入與假設!$C$131+(輸入與假設!$C$133-輸入與假設!$C$131)*1/4</f>
        <v>0.0040475</v>
      </c>
      <c r="E139" s="38" t="n">
        <f aca="false">輸入與假設!$C$131+(輸入與假設!$C$133-輸入與假設!$C$131)*2/4</f>
        <v>-0.000553999999999999</v>
      </c>
      <c r="F139" s="38" t="n">
        <f aca="false">輸入與假設!$C$131+(輸入與假設!$C$133-輸入與假設!$C$131)*3/4</f>
        <v>-0.0051555</v>
      </c>
      <c r="G139" s="38" t="n">
        <f aca="false">輸入與假設!$C$131+(輸入與假設!$C$133-輸入與假設!$C$131)*4/4</f>
        <v>-0.009757</v>
      </c>
      <c r="I139" s="6" t="s">
        <v>365</v>
      </c>
    </row>
    <row r="140" customFormat="false" ht="15" hidden="false" customHeight="false" outlineLevel="2" collapsed="false">
      <c r="A140" s="3" t="s">
        <v>387</v>
      </c>
      <c r="B140" s="11" t="s">
        <v>65</v>
      </c>
      <c r="C140" s="31" t="n">
        <f aca="false">C138*C139</f>
        <v>0.722856955544601</v>
      </c>
      <c r="D140" s="31" t="n">
        <f aca="false">D138*D139</f>
        <v>0.67400601631229</v>
      </c>
      <c r="E140" s="31" t="n">
        <f aca="false">E138*E139</f>
        <v>-0.101727493576178</v>
      </c>
      <c r="F140" s="31" t="n">
        <f aca="false">F138*F139</f>
        <v>-1.02367652346859</v>
      </c>
      <c r="G140" s="31" t="n">
        <f aca="false">G138*G139</f>
        <v>-2.05359180483988</v>
      </c>
      <c r="I140" s="6" t="s">
        <v>372</v>
      </c>
    </row>
    <row r="141" customFormat="false" ht="15" hidden="false" customHeight="false" outlineLevel="2" collapsed="false">
      <c r="A141" s="3" t="s">
        <v>388</v>
      </c>
      <c r="B141" s="11" t="s">
        <v>65</v>
      </c>
      <c r="C141" s="31" t="n">
        <f aca="false">C138*輸入與假設!$C$134</f>
        <v>1.27170672165183</v>
      </c>
      <c r="D141" s="31" t="n">
        <f aca="false">D138*輸入與假設!$C$134</f>
        <v>2.53382965885307</v>
      </c>
      <c r="E141" s="31" t="n">
        <f aca="false">E138*輸入與假設!$C$134</f>
        <v>2.79401722428723</v>
      </c>
      <c r="F141" s="31" t="n">
        <f aca="false">F138*輸入與假設!$C$134</f>
        <v>3.02129026885812</v>
      </c>
      <c r="G141" s="31" t="n">
        <f aca="false">G138*輸入與假設!$C$134</f>
        <v>3.20256768498961</v>
      </c>
      <c r="I141" s="6" t="s">
        <v>374</v>
      </c>
    </row>
    <row r="142" customFormat="false" ht="15" hidden="false" customHeight="false" outlineLevel="2" collapsed="false">
      <c r="A142" s="3" t="s">
        <v>389</v>
      </c>
      <c r="B142" s="11" t="s">
        <v>65</v>
      </c>
      <c r="C142" s="24" t="n">
        <v>68.635</v>
      </c>
      <c r="I142" s="6" t="s">
        <v>349</v>
      </c>
    </row>
    <row r="143" customFormat="false" ht="15" hidden="false" customHeight="false" outlineLevel="2" collapsed="false">
      <c r="A143" s="3" t="s">
        <v>390</v>
      </c>
      <c r="B143" s="11" t="s">
        <v>65</v>
      </c>
      <c r="C143" s="24" t="n">
        <v>37.052</v>
      </c>
      <c r="I143" s="6" t="s">
        <v>351</v>
      </c>
    </row>
    <row r="144" customFormat="false" ht="15" hidden="false" customHeight="false" outlineLevel="2" collapsed="false">
      <c r="A144" s="3" t="s">
        <v>391</v>
      </c>
      <c r="B144" s="11" t="s">
        <v>42</v>
      </c>
      <c r="C144" s="23" t="n">
        <v>0.242316</v>
      </c>
      <c r="I144" s="6" t="s">
        <v>353</v>
      </c>
    </row>
    <row r="145" customFormat="false" ht="15" hidden="false" customHeight="false" outlineLevel="2" collapsed="false">
      <c r="A145" s="3" t="s">
        <v>392</v>
      </c>
      <c r="B145" s="11" t="s">
        <v>42</v>
      </c>
      <c r="C145" s="23" t="n">
        <v>0.5</v>
      </c>
      <c r="I145" s="6" t="s">
        <v>393</v>
      </c>
    </row>
    <row r="146" customFormat="false" ht="15" hidden="false" customHeight="false" outlineLevel="2" collapsed="false">
      <c r="A146" s="3" t="s">
        <v>394</v>
      </c>
      <c r="B146" s="11" t="s">
        <v>42</v>
      </c>
      <c r="C146" s="23" t="n">
        <v>0.1</v>
      </c>
      <c r="I146" s="6" t="s">
        <v>357</v>
      </c>
    </row>
    <row r="147" customFormat="false" ht="15" hidden="false" customHeight="false" outlineLevel="2" collapsed="false">
      <c r="A147" s="3" t="s">
        <v>395</v>
      </c>
      <c r="B147" s="11" t="s">
        <v>42</v>
      </c>
      <c r="C147" s="38" t="n">
        <f aca="false">輸入與假設!$C$145</f>
        <v>0.5</v>
      </c>
      <c r="I147" s="6" t="s">
        <v>396</v>
      </c>
    </row>
    <row r="148" customFormat="false" ht="15" hidden="false" customHeight="false" outlineLevel="2" collapsed="false">
      <c r="A148" s="3" t="s">
        <v>397</v>
      </c>
      <c r="B148" s="11" t="s">
        <v>42</v>
      </c>
      <c r="C148" s="23" t="n">
        <v>0.018092</v>
      </c>
      <c r="I148" s="6" t="s">
        <v>361</v>
      </c>
    </row>
    <row r="149" customFormat="false" ht="15" hidden="false" customHeight="false" outlineLevel="2" collapsed="false">
      <c r="A149" s="3" t="s">
        <v>398</v>
      </c>
      <c r="B149" s="11" t="s">
        <v>42</v>
      </c>
      <c r="C149" s="23" t="n">
        <v>0.0591</v>
      </c>
      <c r="I149" s="6" t="s">
        <v>363</v>
      </c>
    </row>
    <row r="150" customFormat="false" ht="15" hidden="false" customHeight="false" outlineLevel="2" collapsed="false">
      <c r="A150" s="3" t="s">
        <v>399</v>
      </c>
      <c r="B150" s="11" t="s">
        <v>42</v>
      </c>
      <c r="C150" s="38" t="n">
        <f aca="false">輸入與假設!$C$144+(輸入與假設!$C$146-輸入與假設!$C$144)*0/4</f>
        <v>0.242316</v>
      </c>
      <c r="D150" s="38" t="n">
        <f aca="false">輸入與假設!$C$144+(輸入與假設!$C$146-輸入與假設!$C$144)*1/4</f>
        <v>0.206737</v>
      </c>
      <c r="E150" s="38" t="n">
        <f aca="false">輸入與假設!$C$144+(輸入與假設!$C$146-輸入與假設!$C$144)*2/4</f>
        <v>0.171158</v>
      </c>
      <c r="F150" s="38" t="n">
        <f aca="false">輸入與假設!$C$144+(輸入與假設!$C$146-輸入與假設!$C$144)*3/4</f>
        <v>0.135579</v>
      </c>
      <c r="G150" s="38" t="n">
        <f aca="false">輸入與假設!$C$144+(輸入與假設!$C$146-輸入與假設!$C$144)*4/4</f>
        <v>0.1</v>
      </c>
      <c r="I150" s="6" t="s">
        <v>365</v>
      </c>
    </row>
    <row r="151" customFormat="false" ht="15" hidden="false" customHeight="false" outlineLevel="2" collapsed="false">
      <c r="A151" s="3" t="s">
        <v>400</v>
      </c>
      <c r="B151" s="11" t="s">
        <v>65</v>
      </c>
      <c r="C151" s="31" t="n">
        <f aca="false">輸入與假設!$C$142*(1+C150)</f>
        <v>85.26635866</v>
      </c>
      <c r="D151" s="31" t="n">
        <f aca="false">C151*(1+D150)</f>
        <v>102.894069850292</v>
      </c>
      <c r="E151" s="31" t="n">
        <f aca="false">D151*(1+E150)</f>
        <v>120.505213057729</v>
      </c>
      <c r="F151" s="31" t="n">
        <f aca="false">E151*(1+F150)</f>
        <v>136.843189338883</v>
      </c>
      <c r="G151" s="31" t="n">
        <f aca="false">F151*(1+G150)</f>
        <v>150.527508272771</v>
      </c>
      <c r="I151" s="6" t="s">
        <v>367</v>
      </c>
    </row>
    <row r="152" customFormat="false" ht="15" hidden="false" customHeight="false" outlineLevel="2" collapsed="false">
      <c r="A152" s="3" t="s">
        <v>401</v>
      </c>
      <c r="B152" s="11" t="s">
        <v>65</v>
      </c>
      <c r="C152" s="31" t="n">
        <f aca="false">C151-輸入與假設!$C$143</f>
        <v>48.21435866</v>
      </c>
      <c r="D152" s="31" t="n">
        <f aca="false">D151</f>
        <v>102.894069850292</v>
      </c>
      <c r="E152" s="31" t="n">
        <f aca="false">E151</f>
        <v>120.505213057729</v>
      </c>
      <c r="F152" s="31" t="n">
        <f aca="false">F151</f>
        <v>136.843189338883</v>
      </c>
      <c r="G152" s="31" t="n">
        <f aca="false">G151</f>
        <v>150.527508272771</v>
      </c>
      <c r="I152" s="11" t="s">
        <v>369</v>
      </c>
    </row>
    <row r="153" customFormat="false" ht="15" hidden="false" customHeight="false" outlineLevel="2" collapsed="false">
      <c r="A153" s="3" t="s">
        <v>402</v>
      </c>
      <c r="B153" s="11" t="s">
        <v>42</v>
      </c>
      <c r="C153" s="38" t="n">
        <f aca="false">輸入與假設!$C$145+(輸入與假設!$C$147-輸入與假設!$C$145)*0/4</f>
        <v>0.5</v>
      </c>
      <c r="D153" s="38" t="n">
        <f aca="false">輸入與假設!$C$145+(輸入與假設!$C$147-輸入與假設!$C$145)*1/4</f>
        <v>0.5</v>
      </c>
      <c r="E153" s="38" t="n">
        <f aca="false">輸入與假設!$C$145+(輸入與假設!$C$147-輸入與假設!$C$145)*2/4</f>
        <v>0.5</v>
      </c>
      <c r="F153" s="38" t="n">
        <f aca="false">輸入與假設!$C$145+(輸入與假設!$C$147-輸入與假設!$C$145)*3/4</f>
        <v>0.5</v>
      </c>
      <c r="G153" s="38" t="n">
        <f aca="false">輸入與假設!$C$145+(輸入與假設!$C$147-輸入與假設!$C$145)*4/4</f>
        <v>0.5</v>
      </c>
      <c r="I153" s="6" t="s">
        <v>365</v>
      </c>
    </row>
    <row r="154" customFormat="false" ht="15" hidden="false" customHeight="false" outlineLevel="2" collapsed="false">
      <c r="A154" s="3" t="s">
        <v>403</v>
      </c>
      <c r="B154" s="11" t="s">
        <v>65</v>
      </c>
      <c r="C154" s="31" t="n">
        <f aca="false">C152*C153</f>
        <v>24.10717933</v>
      </c>
      <c r="D154" s="31" t="n">
        <f aca="false">D152*D153</f>
        <v>51.4470349251462</v>
      </c>
      <c r="E154" s="31" t="n">
        <f aca="false">E152*E153</f>
        <v>60.2526065288644</v>
      </c>
      <c r="F154" s="31" t="n">
        <f aca="false">F152*F153</f>
        <v>68.4215946694413</v>
      </c>
      <c r="G154" s="31" t="n">
        <f aca="false">G152*G153</f>
        <v>75.2637541363854</v>
      </c>
      <c r="I154" s="6" t="s">
        <v>372</v>
      </c>
    </row>
    <row r="155" customFormat="false" ht="15" hidden="false" customHeight="false" outlineLevel="2" collapsed="false">
      <c r="A155" s="3" t="s">
        <v>404</v>
      </c>
      <c r="B155" s="11" t="s">
        <v>65</v>
      </c>
      <c r="C155" s="31" t="n">
        <f aca="false">C152*輸入與假設!$C$148</f>
        <v>0.87229417687672</v>
      </c>
      <c r="D155" s="31" t="n">
        <f aca="false">D152*輸入與假設!$C$148</f>
        <v>1.86155951173149</v>
      </c>
      <c r="E155" s="31" t="n">
        <f aca="false">E152*輸入與假設!$C$148</f>
        <v>2.18018031464043</v>
      </c>
      <c r="F155" s="31" t="n">
        <f aca="false">F152*輸入與假設!$C$148</f>
        <v>2.47576698151906</v>
      </c>
      <c r="G155" s="31" t="n">
        <f aca="false">G152*輸入與假設!$C$148</f>
        <v>2.72334367967097</v>
      </c>
      <c r="I155" s="6" t="s">
        <v>374</v>
      </c>
    </row>
    <row r="156" customFormat="false" ht="15" hidden="false" customHeight="false" outlineLevel="2" collapsed="false">
      <c r="A156" s="3" t="s">
        <v>405</v>
      </c>
      <c r="B156" s="11" t="s">
        <v>65</v>
      </c>
      <c r="C156" s="24" t="n">
        <v>49.619</v>
      </c>
      <c r="I156" s="6" t="s">
        <v>349</v>
      </c>
    </row>
    <row r="157" customFormat="false" ht="15" hidden="false" customHeight="false" outlineLevel="2" collapsed="false">
      <c r="A157" s="3" t="s">
        <v>406</v>
      </c>
      <c r="B157" s="11" t="s">
        <v>65</v>
      </c>
      <c r="C157" s="24" t="n">
        <v>27.157</v>
      </c>
      <c r="I157" s="6" t="s">
        <v>351</v>
      </c>
    </row>
    <row r="158" customFormat="false" ht="15" hidden="false" customHeight="false" outlineLevel="2" collapsed="false">
      <c r="A158" s="3" t="s">
        <v>407</v>
      </c>
      <c r="B158" s="11" t="s">
        <v>42</v>
      </c>
      <c r="C158" s="23" t="n">
        <v>0.131538</v>
      </c>
      <c r="I158" s="6" t="s">
        <v>353</v>
      </c>
    </row>
    <row r="159" customFormat="false" ht="15" hidden="false" customHeight="false" outlineLevel="2" collapsed="false">
      <c r="A159" s="3" t="s">
        <v>408</v>
      </c>
      <c r="B159" s="11" t="s">
        <v>42</v>
      </c>
      <c r="C159" s="23" t="n">
        <v>0.1</v>
      </c>
      <c r="I159" s="6" t="s">
        <v>409</v>
      </c>
    </row>
    <row r="160" customFormat="false" ht="15" hidden="false" customHeight="false" outlineLevel="2" collapsed="false">
      <c r="A160" s="3" t="s">
        <v>410</v>
      </c>
      <c r="B160" s="11" t="s">
        <v>42</v>
      </c>
      <c r="C160" s="23" t="n">
        <v>0.08</v>
      </c>
      <c r="I160" s="6" t="s">
        <v>357</v>
      </c>
    </row>
    <row r="161" customFormat="false" ht="15" hidden="false" customHeight="false" outlineLevel="2" collapsed="false">
      <c r="A161" s="3" t="s">
        <v>411</v>
      </c>
      <c r="B161" s="11" t="s">
        <v>42</v>
      </c>
      <c r="C161" s="38" t="n">
        <f aca="false">輸入與假設!$C$159</f>
        <v>0.1</v>
      </c>
      <c r="I161" s="6" t="s">
        <v>396</v>
      </c>
    </row>
    <row r="162" customFormat="false" ht="15" hidden="false" customHeight="false" outlineLevel="2" collapsed="false">
      <c r="A162" s="3" t="s">
        <v>412</v>
      </c>
      <c r="B162" s="11" t="s">
        <v>42</v>
      </c>
      <c r="C162" s="23" t="n">
        <v>0.018092</v>
      </c>
      <c r="I162" s="6" t="s">
        <v>361</v>
      </c>
    </row>
    <row r="163" customFormat="false" ht="15" hidden="false" customHeight="false" outlineLevel="2" collapsed="false">
      <c r="A163" s="3" t="s">
        <v>413</v>
      </c>
      <c r="B163" s="11" t="s">
        <v>42</v>
      </c>
      <c r="C163" s="23" t="n">
        <v>0.0591</v>
      </c>
      <c r="I163" s="6" t="s">
        <v>363</v>
      </c>
    </row>
    <row r="164" customFormat="false" ht="15" hidden="false" customHeight="false" outlineLevel="2" collapsed="false">
      <c r="A164" s="3" t="s">
        <v>414</v>
      </c>
      <c r="B164" s="11" t="s">
        <v>42</v>
      </c>
      <c r="C164" s="38" t="n">
        <f aca="false">輸入與假設!$C$158+(輸入與假設!$C$160-輸入與假設!$C$158)*0/4</f>
        <v>0.131538</v>
      </c>
      <c r="D164" s="38" t="n">
        <f aca="false">輸入與假設!$C$158+(輸入與假設!$C$160-輸入與假設!$C$158)*1/4</f>
        <v>0.1186535</v>
      </c>
      <c r="E164" s="38" t="n">
        <f aca="false">輸入與假設!$C$158+(輸入與假設!$C$160-輸入與假設!$C$158)*2/4</f>
        <v>0.105769</v>
      </c>
      <c r="F164" s="38" t="n">
        <f aca="false">輸入與假設!$C$158+(輸入與假設!$C$160-輸入與假設!$C$158)*3/4</f>
        <v>0.0928845</v>
      </c>
      <c r="G164" s="38" t="n">
        <f aca="false">輸入與假設!$C$158+(輸入與假設!$C$160-輸入與假設!$C$158)*4/4</f>
        <v>0.08</v>
      </c>
      <c r="I164" s="6" t="s">
        <v>365</v>
      </c>
    </row>
    <row r="165" customFormat="false" ht="15" hidden="false" customHeight="false" outlineLevel="2" collapsed="false">
      <c r="A165" s="3" t="s">
        <v>415</v>
      </c>
      <c r="B165" s="11" t="s">
        <v>65</v>
      </c>
      <c r="C165" s="31" t="n">
        <f aca="false">輸入與假設!$C$156*(1+C164)</f>
        <v>56.145784022</v>
      </c>
      <c r="D165" s="31" t="n">
        <f aca="false">C165*(1+D164)</f>
        <v>62.8076778064544</v>
      </c>
      <c r="E165" s="31" t="n">
        <f aca="false">D165*(1+E164)</f>
        <v>69.4507830803652</v>
      </c>
      <c r="F165" s="31" t="n">
        <f aca="false">E165*(1+F164)</f>
        <v>75.9016843413934</v>
      </c>
      <c r="G165" s="31" t="n">
        <f aca="false">F165*(1+G164)</f>
        <v>81.9738190887049</v>
      </c>
      <c r="I165" s="6" t="s">
        <v>367</v>
      </c>
    </row>
    <row r="166" customFormat="false" ht="15" hidden="false" customHeight="false" outlineLevel="2" collapsed="false">
      <c r="A166" s="3" t="s">
        <v>416</v>
      </c>
      <c r="B166" s="11" t="s">
        <v>65</v>
      </c>
      <c r="C166" s="31" t="n">
        <f aca="false">C165-輸入與假設!$C$157</f>
        <v>28.988784022</v>
      </c>
      <c r="D166" s="31" t="n">
        <f aca="false">D165</f>
        <v>62.8076778064544</v>
      </c>
      <c r="E166" s="31" t="n">
        <f aca="false">E165</f>
        <v>69.4507830803652</v>
      </c>
      <c r="F166" s="31" t="n">
        <f aca="false">F165</f>
        <v>75.9016843413934</v>
      </c>
      <c r="G166" s="31" t="n">
        <f aca="false">G165</f>
        <v>81.9738190887049</v>
      </c>
      <c r="I166" s="11" t="s">
        <v>369</v>
      </c>
    </row>
    <row r="167" customFormat="false" ht="15" hidden="false" customHeight="false" outlineLevel="2" collapsed="false">
      <c r="A167" s="3" t="s">
        <v>417</v>
      </c>
      <c r="B167" s="11" t="s">
        <v>42</v>
      </c>
      <c r="C167" s="38" t="n">
        <f aca="false">輸入與假設!$C$159+(輸入與假設!$C$161-輸入與假設!$C$159)*0/4</f>
        <v>0.1</v>
      </c>
      <c r="D167" s="38" t="n">
        <f aca="false">輸入與假設!$C$159+(輸入與假設!$C$161-輸入與假設!$C$159)*1/4</f>
        <v>0.1</v>
      </c>
      <c r="E167" s="38" t="n">
        <f aca="false">輸入與假設!$C$159+(輸入與假設!$C$161-輸入與假設!$C$159)*2/4</f>
        <v>0.1</v>
      </c>
      <c r="F167" s="38" t="n">
        <f aca="false">輸入與假設!$C$159+(輸入與假設!$C$161-輸入與假設!$C$159)*3/4</f>
        <v>0.1</v>
      </c>
      <c r="G167" s="38" t="n">
        <f aca="false">輸入與假設!$C$159+(輸入與假設!$C$161-輸入與假設!$C$159)*4/4</f>
        <v>0.1</v>
      </c>
      <c r="I167" s="6" t="s">
        <v>365</v>
      </c>
    </row>
    <row r="168" customFormat="false" ht="15" hidden="false" customHeight="false" outlineLevel="2" collapsed="false">
      <c r="A168" s="3" t="s">
        <v>418</v>
      </c>
      <c r="B168" s="11" t="s">
        <v>65</v>
      </c>
      <c r="C168" s="31" t="n">
        <f aca="false">C166*C167</f>
        <v>2.8988784022</v>
      </c>
      <c r="D168" s="31" t="n">
        <f aca="false">D166*D167</f>
        <v>6.28076778064544</v>
      </c>
      <c r="E168" s="31" t="n">
        <f aca="false">E166*E167</f>
        <v>6.94507830803653</v>
      </c>
      <c r="F168" s="31" t="n">
        <f aca="false">F166*F167</f>
        <v>7.59016843413934</v>
      </c>
      <c r="G168" s="31" t="n">
        <f aca="false">G166*G167</f>
        <v>8.19738190887049</v>
      </c>
      <c r="I168" s="6" t="s">
        <v>372</v>
      </c>
    </row>
    <row r="169" customFormat="false" ht="15" hidden="false" customHeight="false" outlineLevel="2" collapsed="false">
      <c r="A169" s="3" t="s">
        <v>419</v>
      </c>
      <c r="B169" s="11" t="s">
        <v>65</v>
      </c>
      <c r="C169" s="31" t="n">
        <f aca="false">C166*輸入與假設!$C$162</f>
        <v>0.524465080526024</v>
      </c>
      <c r="D169" s="31" t="n">
        <f aca="false">D166*輸入與假設!$C$162</f>
        <v>1.13631650687437</v>
      </c>
      <c r="E169" s="31" t="n">
        <f aca="false">E166*輸入與假設!$C$162</f>
        <v>1.25650356748997</v>
      </c>
      <c r="F169" s="31" t="n">
        <f aca="false">F166*輸入與假設!$C$162</f>
        <v>1.37321327310449</v>
      </c>
      <c r="G169" s="31" t="n">
        <f aca="false">G166*輸入與假設!$C$162</f>
        <v>1.48307033495285</v>
      </c>
      <c r="I169" s="6" t="s">
        <v>374</v>
      </c>
    </row>
    <row r="170" customFormat="false" ht="15" hidden="false" customHeight="false" outlineLevel="2" collapsed="false">
      <c r="A170" s="3" t="s">
        <v>420</v>
      </c>
      <c r="B170" s="11" t="s">
        <v>65</v>
      </c>
      <c r="C170" s="24" t="n">
        <v>79.819</v>
      </c>
      <c r="I170" s="6" t="s">
        <v>421</v>
      </c>
    </row>
    <row r="171" customFormat="false" ht="15" hidden="false" customHeight="false" outlineLevel="2" collapsed="false">
      <c r="A171" s="3" t="s">
        <v>422</v>
      </c>
      <c r="B171" s="11" t="s">
        <v>65</v>
      </c>
      <c r="C171" s="24" t="n">
        <v>68.585</v>
      </c>
      <c r="I171" s="6" t="s">
        <v>423</v>
      </c>
    </row>
    <row r="172" customFormat="false" ht="15" hidden="false" customHeight="false" outlineLevel="2" collapsed="false">
      <c r="A172" s="3" t="s">
        <v>424</v>
      </c>
      <c r="B172" s="11" t="s">
        <v>42</v>
      </c>
      <c r="C172" s="23" t="n">
        <v>0.275189</v>
      </c>
      <c r="I172" s="6" t="s">
        <v>425</v>
      </c>
    </row>
    <row r="173" customFormat="false" ht="15" hidden="false" customHeight="false" outlineLevel="2" collapsed="false">
      <c r="A173" s="3" t="s">
        <v>426</v>
      </c>
      <c r="B173" s="11" t="s">
        <v>65</v>
      </c>
      <c r="C173" s="24" t="n">
        <v>148.404</v>
      </c>
      <c r="I173" s="11" t="s">
        <v>427</v>
      </c>
    </row>
    <row r="174" customFormat="false" ht="15" hidden="false" customHeight="false" outlineLevel="2" collapsed="false">
      <c r="A174" s="3" t="s">
        <v>428</v>
      </c>
      <c r="B174" s="11" t="s">
        <v>65</v>
      </c>
      <c r="C174" s="24" t="n">
        <v>116.378</v>
      </c>
      <c r="I174" s="11" t="s">
        <v>427</v>
      </c>
    </row>
    <row r="175" customFormat="false" ht="15" hidden="false" customHeight="false" outlineLevel="2" collapsed="false">
      <c r="A175" s="3" t="s">
        <v>429</v>
      </c>
      <c r="B175" s="11" t="s">
        <v>65</v>
      </c>
      <c r="C175" s="24" t="n">
        <v>96.360677</v>
      </c>
      <c r="I175" s="6" t="s">
        <v>430</v>
      </c>
    </row>
    <row r="176" customFormat="false" ht="15" hidden="false" customHeight="false" outlineLevel="2" collapsed="false">
      <c r="A176" s="3" t="s">
        <v>431</v>
      </c>
      <c r="B176" s="11" t="s">
        <v>157</v>
      </c>
      <c r="C176" s="21" t="n">
        <v>1490</v>
      </c>
      <c r="I176" s="6" t="s">
        <v>432</v>
      </c>
    </row>
    <row r="177" customFormat="false" ht="15" hidden="false" customHeight="false" outlineLevel="2" collapsed="false">
      <c r="A177" s="3" t="s">
        <v>433</v>
      </c>
      <c r="B177" s="11" t="s">
        <v>157</v>
      </c>
      <c r="C177" s="21" t="n">
        <v>570</v>
      </c>
      <c r="I177" s="6" t="s">
        <v>434</v>
      </c>
    </row>
    <row r="178" customFormat="false" ht="15" hidden="false" customHeight="false" outlineLevel="2" collapsed="false">
      <c r="A178" s="3" t="s">
        <v>435</v>
      </c>
      <c r="B178" s="11" t="s">
        <v>65</v>
      </c>
      <c r="C178" s="31" t="n">
        <f aca="false">輸入與假設!$C$112*(輸入與假設!$C$28+輸入與假設!$C$29)/2*0.5</f>
        <v>8.6114231313012</v>
      </c>
      <c r="I178" s="6" t="s">
        <v>436</v>
      </c>
    </row>
    <row r="179" customFormat="false" ht="15" hidden="false" customHeight="false" outlineLevel="2" collapsed="false">
      <c r="A179" s="3" t="s">
        <v>437</v>
      </c>
      <c r="B179" s="11" t="s">
        <v>65</v>
      </c>
      <c r="C179" s="31" t="n">
        <f aca="false">輸入與假設!$C$112*輸入與假設!$C$176</f>
        <v>14.5807050745895</v>
      </c>
      <c r="I179" s="6" t="s">
        <v>438</v>
      </c>
    </row>
    <row r="180" customFormat="false" ht="15" hidden="false" customHeight="false" outlineLevel="2" collapsed="false">
      <c r="A180" s="3" t="s">
        <v>439</v>
      </c>
      <c r="B180" s="11" t="s">
        <v>65</v>
      </c>
      <c r="C180" s="31" t="n">
        <f aca="false">輸入與假設!$C$112*輸入與假設!$C$177</f>
        <v>5.57785361913828</v>
      </c>
      <c r="I180" s="6" t="s">
        <v>440</v>
      </c>
    </row>
    <row r="181" customFormat="false" ht="15" hidden="false" customHeight="false" outlineLevel="2" collapsed="false">
      <c r="A181" s="3" t="s">
        <v>441</v>
      </c>
      <c r="B181" s="11" t="s">
        <v>42</v>
      </c>
      <c r="C181" s="38" t="n">
        <f aca="false">(輸入與假設!$C$173-輸入與假設!$C$179)/(輸入與假設!$C$174-輸入與假設!$C$180)-1</f>
        <v>0.207789874802237</v>
      </c>
      <c r="I181" s="6" t="s">
        <v>442</v>
      </c>
    </row>
    <row r="182" customFormat="false" ht="15" hidden="false" customHeight="false" outlineLevel="2" collapsed="false">
      <c r="A182" s="3" t="s">
        <v>443</v>
      </c>
      <c r="B182" s="11" t="s">
        <v>65</v>
      </c>
      <c r="C182" s="31" t="n">
        <f aca="false">輸入與假設!$C$170-輸入與假設!$C$178</f>
        <v>71.2075768686988</v>
      </c>
      <c r="I182" s="6" t="s">
        <v>444</v>
      </c>
    </row>
    <row r="183" customFormat="false" ht="15" hidden="false" customHeight="false" outlineLevel="2" collapsed="false">
      <c r="A183" s="3" t="s">
        <v>445</v>
      </c>
      <c r="B183" s="11" t="s">
        <v>42</v>
      </c>
      <c r="C183" s="38" t="n">
        <f aca="false">(輸入與假設!$C$175-輸入與假設!$C$179*輸入與假設!$C$113)/(輸入與假設!$C$173-輸入與假設!$C$179)</f>
        <v>0.632619174294377</v>
      </c>
      <c r="I183" s="6" t="s">
        <v>446</v>
      </c>
    </row>
    <row r="184" customFormat="false" ht="15" hidden="false" customHeight="false" outlineLevel="2" collapsed="false">
      <c r="A184" s="3" t="s">
        <v>447</v>
      </c>
      <c r="B184" s="11" t="s">
        <v>42</v>
      </c>
      <c r="C184" s="23" t="n">
        <v>0.08</v>
      </c>
      <c r="I184" s="6" t="s">
        <v>357</v>
      </c>
    </row>
    <row r="185" customFormat="false" ht="15" hidden="false" customHeight="false" outlineLevel="2" collapsed="false">
      <c r="A185" s="3" t="s">
        <v>448</v>
      </c>
      <c r="B185" s="11" t="s">
        <v>42</v>
      </c>
      <c r="C185" s="38" t="n">
        <f aca="false">輸入與假設!$C$183</f>
        <v>0.632619174294377</v>
      </c>
      <c r="I185" s="6" t="s">
        <v>396</v>
      </c>
    </row>
    <row r="186" customFormat="false" ht="15" hidden="false" customHeight="false" outlineLevel="2" collapsed="false">
      <c r="A186" s="3" t="s">
        <v>449</v>
      </c>
      <c r="B186" s="11" t="s">
        <v>42</v>
      </c>
      <c r="C186" s="23" t="n">
        <v>0.095083</v>
      </c>
      <c r="I186" s="6" t="s">
        <v>361</v>
      </c>
    </row>
    <row r="187" customFormat="false" ht="15" hidden="false" customHeight="false" outlineLevel="2" collapsed="false">
      <c r="A187" s="3" t="s">
        <v>450</v>
      </c>
      <c r="B187" s="11" t="s">
        <v>42</v>
      </c>
      <c r="C187" s="23" t="n">
        <v>0.2</v>
      </c>
      <c r="I187" s="6" t="s">
        <v>363</v>
      </c>
    </row>
    <row r="188" customFormat="false" ht="15" hidden="false" customHeight="false" outlineLevel="2" collapsed="false">
      <c r="A188" s="3" t="s">
        <v>451</v>
      </c>
      <c r="B188" s="11" t="s">
        <v>42</v>
      </c>
      <c r="C188" s="38" t="n">
        <f aca="false">輸入與假設!$C$181+(輸入與假設!$C$184-輸入與假設!$C$181)*0/4</f>
        <v>0.207789874802237</v>
      </c>
      <c r="D188" s="38" t="n">
        <f aca="false">輸入與假設!$C$181+(輸入與假設!$C$184-輸入與假設!$C$181)*1/4</f>
        <v>0.175842406101678</v>
      </c>
      <c r="E188" s="38" t="n">
        <f aca="false">輸入與假設!$C$181+(輸入與假設!$C$184-輸入與假設!$C$181)*2/4</f>
        <v>0.143894937401118</v>
      </c>
      <c r="F188" s="38" t="n">
        <f aca="false">輸入與假設!$C$181+(輸入與假設!$C$184-輸入與假設!$C$181)*3/4</f>
        <v>0.111947468700559</v>
      </c>
      <c r="G188" s="38" t="n">
        <f aca="false">輸入與假設!$C$181+(輸入與假設!$C$184-輸入與假設!$C$181)*4/4</f>
        <v>0.08</v>
      </c>
      <c r="I188" s="6" t="s">
        <v>365</v>
      </c>
    </row>
    <row r="189" customFormat="false" ht="15" hidden="false" customHeight="false" outlineLevel="2" collapsed="false">
      <c r="A189" s="3" t="s">
        <v>452</v>
      </c>
      <c r="B189" s="11" t="s">
        <v>65</v>
      </c>
      <c r="C189" s="31" t="n">
        <f aca="false">輸入與假設!$C$170+輸入與假設!$C$171*(1+輸入與假設!$C$172)-輸入與假設!$C$178-C111</f>
        <v>144.051459380746</v>
      </c>
      <c r="D189" s="31" t="n">
        <f aca="false">C189*(1+D188)</f>
        <v>169.381814600715</v>
      </c>
      <c r="E189" s="31" t="n">
        <f aca="false">D189*(1+E188)</f>
        <v>193.755000209572</v>
      </c>
      <c r="F189" s="31" t="n">
        <f aca="false">E189*(1+F188)</f>
        <v>215.44538203111</v>
      </c>
      <c r="G189" s="31" t="n">
        <f aca="false">F189*(1+G188)</f>
        <v>232.681012593599</v>
      </c>
      <c r="I189" s="11" t="s">
        <v>453</v>
      </c>
    </row>
    <row r="190" customFormat="false" ht="15" hidden="false" customHeight="false" outlineLevel="2" collapsed="false">
      <c r="A190" s="3" t="s">
        <v>454</v>
      </c>
      <c r="B190" s="11" t="s">
        <v>65</v>
      </c>
      <c r="C190" s="31" t="n">
        <f aca="false">C189-輸入與假設!$C$182</f>
        <v>72.8438825120473</v>
      </c>
      <c r="D190" s="31" t="n">
        <f aca="false">D189</f>
        <v>169.381814600715</v>
      </c>
      <c r="E190" s="31" t="n">
        <f aca="false">E189</f>
        <v>193.755000209572</v>
      </c>
      <c r="F190" s="31" t="n">
        <f aca="false">F189</f>
        <v>215.44538203111</v>
      </c>
      <c r="G190" s="31" t="n">
        <f aca="false">G189</f>
        <v>232.681012593599</v>
      </c>
      <c r="I190" s="11" t="s">
        <v>369</v>
      </c>
    </row>
    <row r="191" customFormat="false" ht="15" hidden="false" customHeight="false" outlineLevel="2" collapsed="false">
      <c r="A191" s="3" t="s">
        <v>455</v>
      </c>
      <c r="B191" s="11" t="s">
        <v>42</v>
      </c>
      <c r="C191" s="38" t="n">
        <f aca="false">輸入與假設!$C$183+(輸入與假設!$C$185-輸入與假設!$C$183)*0/4</f>
        <v>0.632619174294377</v>
      </c>
      <c r="D191" s="38" t="n">
        <f aca="false">輸入與假設!$C$183+(輸入與假設!$C$185-輸入與假設!$C$183)*1/4</f>
        <v>0.632619174294377</v>
      </c>
      <c r="E191" s="38" t="n">
        <f aca="false">輸入與假設!$C$183+(輸入與假設!$C$185-輸入與假設!$C$183)*2/4</f>
        <v>0.632619174294377</v>
      </c>
      <c r="F191" s="38" t="n">
        <f aca="false">輸入與假設!$C$183+(輸入與假設!$C$185-輸入與假設!$C$183)*3/4</f>
        <v>0.632619174294377</v>
      </c>
      <c r="G191" s="38" t="n">
        <f aca="false">輸入與假設!$C$183+(輸入與假設!$C$185-輸入與假設!$C$183)*4/4</f>
        <v>0.632619174294377</v>
      </c>
      <c r="I191" s="6" t="s">
        <v>365</v>
      </c>
    </row>
    <row r="192" customFormat="false" ht="15" hidden="false" customHeight="false" outlineLevel="2" collapsed="false">
      <c r="A192" s="3" t="s">
        <v>456</v>
      </c>
      <c r="B192" s="11" t="s">
        <v>65</v>
      </c>
      <c r="C192" s="31" t="n">
        <f aca="false">C190*C191</f>
        <v>46.082436807168</v>
      </c>
      <c r="D192" s="31" t="n">
        <f aca="false">D190*D191</f>
        <v>107.154183693187</v>
      </c>
      <c r="E192" s="31" t="n">
        <f aca="false">E190*E191</f>
        <v>122.573128247986</v>
      </c>
      <c r="F192" s="31" t="n">
        <f aca="false">F190*F191</f>
        <v>136.294879686058</v>
      </c>
      <c r="G192" s="31" t="n">
        <f aca="false">G190*G191</f>
        <v>147.198470060942</v>
      </c>
      <c r="I192" s="6" t="s">
        <v>372</v>
      </c>
    </row>
    <row r="193" customFormat="false" ht="15" hidden="false" customHeight="false" outlineLevel="2" collapsed="false">
      <c r="A193" s="3" t="s">
        <v>457</v>
      </c>
      <c r="B193" s="11" t="s">
        <v>65</v>
      </c>
      <c r="C193" s="31" t="n">
        <f aca="false">C190*輸入與假設!$C$186</f>
        <v>6.926214880893</v>
      </c>
      <c r="D193" s="31" t="n">
        <f aca="false">D190*輸入與假設!$C$186</f>
        <v>16.1053310776797</v>
      </c>
      <c r="E193" s="31" t="n">
        <f aca="false">E190*輸入與假設!$C$186</f>
        <v>18.4228066849268</v>
      </c>
      <c r="F193" s="31" t="n">
        <f aca="false">F190*輸入與假設!$C$186</f>
        <v>20.4851932596641</v>
      </c>
      <c r="G193" s="31" t="n">
        <f aca="false">G190*輸入與假設!$C$186</f>
        <v>22.1240087204372</v>
      </c>
      <c r="I193" s="6" t="s">
        <v>374</v>
      </c>
    </row>
    <row r="194" customFormat="false" ht="15" hidden="false" customHeight="false" outlineLevel="2" collapsed="false">
      <c r="A194" s="3" t="s">
        <v>458</v>
      </c>
      <c r="B194" s="11" t="s">
        <v>65</v>
      </c>
      <c r="C194" s="31" t="n">
        <f aca="false">C124+C138+C152+C166+C190</f>
        <v>437.479133578347</v>
      </c>
      <c r="D194" s="31" t="n">
        <f aca="false">D124+D138+D152+D166+D190</f>
        <v>915.212718098831</v>
      </c>
      <c r="E194" s="31" t="n">
        <f aca="false">E124+E138+E152+E166+E190</f>
        <v>1015.68031123665</v>
      </c>
      <c r="F194" s="31" t="n">
        <f aca="false">F124+F138+F152+F166+F190</f>
        <v>1107.37567803405</v>
      </c>
      <c r="G194" s="31" t="n">
        <f aca="false">G124+G138+G152+G166+G190</f>
        <v>1185.1188876171</v>
      </c>
      <c r="I194" s="6" t="s">
        <v>459</v>
      </c>
    </row>
    <row r="195" customFormat="false" ht="15" hidden="false" customHeight="false" outlineLevel="2" collapsed="false">
      <c r="A195" s="3" t="s">
        <v>460</v>
      </c>
      <c r="B195" s="11" t="s">
        <v>65</v>
      </c>
      <c r="C195" s="31" t="n">
        <f aca="false">C126+C140+C154+C168+C192</f>
        <v>89.6688373198382</v>
      </c>
      <c r="D195" s="31" t="n">
        <f aca="false">D126+D140+D154+D168+D192</f>
        <v>196.155636949799</v>
      </c>
      <c r="E195" s="31" t="n">
        <f aca="false">E126+E140+E154+E168+E192</f>
        <v>221.132864568806</v>
      </c>
      <c r="F195" s="31" t="n">
        <f aca="false">F126+F140+F154+F168+F192</f>
        <v>243.183151243681</v>
      </c>
      <c r="G195" s="31" t="n">
        <f aca="false">G126+G140+G154+G168+G192</f>
        <v>260.481576842891</v>
      </c>
      <c r="I195" s="6" t="s">
        <v>461</v>
      </c>
    </row>
    <row r="196" customFormat="false" ht="15" hidden="false" customHeight="false" outlineLevel="2" collapsed="false">
      <c r="A196" s="3" t="s">
        <v>462</v>
      </c>
      <c r="B196" s="11" t="s">
        <v>65</v>
      </c>
      <c r="C196" s="31" t="n">
        <f aca="false">C127+C141+C155+C169+C193</f>
        <v>13.5070692482847</v>
      </c>
      <c r="D196" s="31" t="n">
        <f aca="false">D127+D141+D155+D169+D193</f>
        <v>29.5749463071122</v>
      </c>
      <c r="E196" s="31" t="n">
        <f aca="false">E127+E141+E155+E169+E193</f>
        <v>33.2581580871812</v>
      </c>
      <c r="F196" s="31" t="n">
        <f aca="false">F127+F141+F155+F169+F193</f>
        <v>36.5796252374944</v>
      </c>
      <c r="G196" s="31" t="n">
        <f aca="false">G127+G141+G155+G169+G193</f>
        <v>39.3106015616602</v>
      </c>
      <c r="I196" s="6" t="s">
        <v>463</v>
      </c>
    </row>
    <row r="197" customFormat="false" ht="15" hidden="false" customHeight="false" outlineLevel="2" collapsed="false">
      <c r="A197" s="3" t="s">
        <v>464</v>
      </c>
      <c r="B197" s="11" t="s">
        <v>42</v>
      </c>
      <c r="C197" s="38" t="n">
        <f aca="false">C195/MAX(0.000000001,C194)</f>
        <v>0.204967118286065</v>
      </c>
      <c r="D197" s="38" t="n">
        <f aca="false">D195/MAX(0.000000001,D194)</f>
        <v>0.214327918603745</v>
      </c>
      <c r="E197" s="38" t="n">
        <f aca="false">E195/MAX(0.000000001,E194)</f>
        <v>0.217718963459638</v>
      </c>
      <c r="F197" s="38" t="n">
        <f aca="false">F195/MAX(0.000000001,F194)</f>
        <v>0.21960311759367</v>
      </c>
      <c r="G197" s="38" t="n">
        <f aca="false">G195/MAX(0.000000001,G194)</f>
        <v>0.219793625402965</v>
      </c>
      <c r="I197" s="6" t="s">
        <v>465</v>
      </c>
    </row>
    <row r="198" customFormat="false" ht="15" hidden="false" customHeight="false" outlineLevel="2" collapsed="false">
      <c r="A198" s="3" t="s">
        <v>466</v>
      </c>
      <c r="B198" s="11" t="s">
        <v>65</v>
      </c>
      <c r="C198" s="31" t="n">
        <f aca="false">輸入與假設!$C$115+C124-C123+輸入與假設!$C$129+C138-C137+輸入與假設!$C$143+C152-C151+輸入與假設!$C$157+C166-C165+輸入與假設!$C$182+C190-C189</f>
        <v>0</v>
      </c>
      <c r="I198" s="6" t="s">
        <v>467</v>
      </c>
    </row>
    <row r="200" customFormat="false" ht="15" hidden="false" customHeight="false" outlineLevel="0" collapsed="false">
      <c r="A200" s="7" t="s">
        <v>468</v>
      </c>
      <c r="B200" s="8"/>
      <c r="C200" s="8"/>
      <c r="D200" s="8"/>
      <c r="E200" s="8"/>
      <c r="F200" s="8"/>
      <c r="G200" s="8"/>
      <c r="H200" s="8"/>
    </row>
    <row r="201" customFormat="false" ht="15" hidden="false" customHeight="false" outlineLevel="1" collapsed="false">
      <c r="A201" s="3" t="s">
        <v>469</v>
      </c>
      <c r="B201" s="11" t="s">
        <v>42</v>
      </c>
      <c r="C201" s="40" t="n">
        <v>0.765</v>
      </c>
      <c r="I201" s="11" t="s">
        <v>470</v>
      </c>
    </row>
    <row r="202" customFormat="false" ht="15" hidden="false" customHeight="false" outlineLevel="1" collapsed="false">
      <c r="A202" s="3" t="s">
        <v>471</v>
      </c>
      <c r="B202" s="11" t="s">
        <v>42</v>
      </c>
      <c r="C202" s="40" t="n">
        <v>0.765</v>
      </c>
      <c r="I202" s="6" t="s">
        <v>472</v>
      </c>
    </row>
    <row r="203" customFormat="false" ht="15" hidden="false" customHeight="false" outlineLevel="1" collapsed="false">
      <c r="A203" s="14" t="s">
        <v>59</v>
      </c>
      <c r="B203" s="14" t="s">
        <v>60</v>
      </c>
      <c r="C203" s="28" t="s">
        <v>61</v>
      </c>
      <c r="D203" s="28" t="s">
        <v>62</v>
      </c>
      <c r="E203" s="28" t="s">
        <v>63</v>
      </c>
      <c r="F203" s="28" t="s">
        <v>153</v>
      </c>
      <c r="G203" s="28" t="s">
        <v>154</v>
      </c>
      <c r="I203" s="14" t="s">
        <v>206</v>
      </c>
    </row>
    <row r="204" customFormat="false" ht="15" hidden="false" customHeight="false" outlineLevel="1" collapsed="false">
      <c r="A204" s="4" t="s">
        <v>473</v>
      </c>
      <c r="B204" s="11" t="s">
        <v>42</v>
      </c>
      <c r="C204" s="38" t="n">
        <f aca="false">1-C105/1000/MAX(0.000000001,C39*輸入與假設!$C$32)</f>
        <v>0.80253284070101</v>
      </c>
      <c r="D204" s="38" t="n">
        <f aca="false">1-D105/1000/MAX(0.000000001,D39*輸入與假設!$C$32)</f>
        <v>0.807211009474101</v>
      </c>
      <c r="E204" s="38" t="n">
        <f aca="false">1-E105/1000/MAX(0.000000001,E39*輸入與假設!$C$32)</f>
        <v>0.809785310117605</v>
      </c>
      <c r="F204" s="38" t="n">
        <f aca="false">1-F105/1000/MAX(0.000000001,F39*輸入與假設!$C$32)</f>
        <v>0.811048080500552</v>
      </c>
      <c r="G204" s="38" t="n">
        <f aca="false">1-G105/1000/MAX(0.000000001,G39*輸入與假設!$C$32)</f>
        <v>0.811798117804559</v>
      </c>
      <c r="I204" s="6" t="s">
        <v>474</v>
      </c>
    </row>
    <row r="205" customFormat="false" ht="15" hidden="false" customHeight="false" outlineLevel="1" collapsed="false">
      <c r="A205" s="3" t="s">
        <v>475</v>
      </c>
      <c r="B205" s="11" t="s">
        <v>65</v>
      </c>
      <c r="C205" s="31" t="n">
        <f aca="false">輸入與假設!C$43*運營_產能與收入!C39</f>
        <v>0</v>
      </c>
      <c r="D205" s="31" t="n">
        <f aca="false">輸入與假設!D$43*運營_產能與收入!D39</f>
        <v>0</v>
      </c>
      <c r="E205" s="31" t="n">
        <f aca="false">輸入與假設!E$43*運營_產能與收入!E39</f>
        <v>0</v>
      </c>
      <c r="F205" s="31" t="n">
        <f aca="false">輸入與假設!F$43*運營_產能與收入!F39</f>
        <v>0</v>
      </c>
      <c r="G205" s="31" t="n">
        <f aca="false">輸入與假設!G$43*運營_產能與收入!G39</f>
        <v>0</v>
      </c>
      <c r="I205" s="6" t="s">
        <v>476</v>
      </c>
    </row>
    <row r="206" customFormat="false" ht="15" hidden="false" customHeight="false" outlineLevel="1" collapsed="true">
      <c r="A206" s="19" t="s">
        <v>477</v>
      </c>
      <c r="B206" s="20"/>
      <c r="C206" s="20"/>
      <c r="D206" s="20"/>
      <c r="E206" s="20"/>
      <c r="F206" s="20"/>
      <c r="G206" s="20"/>
      <c r="H206" s="20"/>
    </row>
    <row r="207" customFormat="false" ht="15" hidden="true" customHeight="false" outlineLevel="2" collapsed="false">
      <c r="A207" s="3" t="s">
        <v>478</v>
      </c>
      <c r="B207" s="6"/>
      <c r="C207" s="21" t="n">
        <v>0</v>
      </c>
      <c r="I207" s="11" t="s">
        <v>479</v>
      </c>
    </row>
    <row r="208" customFormat="false" ht="15" hidden="true" customHeight="false" outlineLevel="2" collapsed="false">
      <c r="A208" s="3" t="s">
        <v>480</v>
      </c>
      <c r="B208" s="11" t="s">
        <v>481</v>
      </c>
      <c r="C208" s="21" t="n">
        <v>60</v>
      </c>
      <c r="D208" s="21" t="n">
        <v>62</v>
      </c>
      <c r="E208" s="21" t="n">
        <v>64</v>
      </c>
      <c r="F208" s="21" t="n">
        <v>66</v>
      </c>
      <c r="G208" s="21" t="n">
        <v>68</v>
      </c>
      <c r="I208" s="11" t="s">
        <v>482</v>
      </c>
    </row>
    <row r="209" customFormat="false" ht="15" hidden="true" customHeight="false" outlineLevel="2" collapsed="false">
      <c r="A209" s="4" t="s">
        <v>483</v>
      </c>
      <c r="B209" s="6"/>
      <c r="C209" s="37" t="n">
        <v>1.2</v>
      </c>
      <c r="D209" s="37" t="n">
        <v>1.2</v>
      </c>
      <c r="E209" s="37" t="n">
        <v>1.2</v>
      </c>
      <c r="F209" s="37" t="n">
        <v>1.2</v>
      </c>
      <c r="G209" s="37" t="n">
        <v>1.2</v>
      </c>
      <c r="I209" s="11" t="s">
        <v>482</v>
      </c>
    </row>
    <row r="210" customFormat="false" ht="15" hidden="true" customHeight="false" outlineLevel="2" collapsed="false">
      <c r="A210" s="3" t="s">
        <v>484</v>
      </c>
      <c r="B210" s="11" t="s">
        <v>263</v>
      </c>
      <c r="C210" s="37" t="n">
        <v>0.15</v>
      </c>
      <c r="D210" s="37" t="n">
        <v>0.15</v>
      </c>
      <c r="E210" s="37" t="n">
        <v>0.16</v>
      </c>
      <c r="F210" s="37" t="n">
        <v>0.16</v>
      </c>
      <c r="G210" s="37" t="n">
        <v>0.17</v>
      </c>
      <c r="I210" s="11" t="s">
        <v>482</v>
      </c>
    </row>
    <row r="212" customFormat="false" ht="15" hidden="false" customHeight="false" outlineLevel="0" collapsed="false">
      <c r="A212" s="7" t="s">
        <v>485</v>
      </c>
      <c r="B212" s="8"/>
      <c r="C212" s="8"/>
      <c r="D212" s="8"/>
      <c r="E212" s="8"/>
      <c r="F212" s="8"/>
      <c r="G212" s="8"/>
      <c r="H212" s="8"/>
    </row>
    <row r="213" customFormat="false" ht="15" hidden="false" customHeight="false" outlineLevel="1" collapsed="false">
      <c r="A213" s="3" t="s">
        <v>486</v>
      </c>
      <c r="B213" s="11" t="s">
        <v>42</v>
      </c>
      <c r="C213" s="23" t="n">
        <v>0.35</v>
      </c>
      <c r="I213" s="6" t="s">
        <v>487</v>
      </c>
    </row>
    <row r="214" customFormat="false" ht="15" hidden="false" customHeight="false" outlineLevel="1" collapsed="false">
      <c r="A214" s="4" t="s">
        <v>488</v>
      </c>
      <c r="B214" s="11" t="s">
        <v>157</v>
      </c>
      <c r="C214" s="22" t="n">
        <f aca="false">CHOOSE(輸入與假設!$C$5,I11,I14,I17)</f>
        <v>3628.8</v>
      </c>
      <c r="I214" s="6" t="s">
        <v>489</v>
      </c>
    </row>
    <row r="215" customFormat="false" ht="15" hidden="false" customHeight="false" outlineLevel="1" collapsed="false">
      <c r="A215" s="4" t="s">
        <v>490</v>
      </c>
      <c r="B215" s="11" t="s">
        <v>65</v>
      </c>
      <c r="C215" s="24" t="n">
        <v>220</v>
      </c>
      <c r="I215" s="6" t="s">
        <v>491</v>
      </c>
    </row>
    <row r="216" customFormat="false" ht="15" hidden="false" customHeight="false" outlineLevel="1" collapsed="false">
      <c r="A216" s="4" t="s">
        <v>492</v>
      </c>
      <c r="B216" s="6" t="s">
        <v>184</v>
      </c>
      <c r="C216" s="21" t="n">
        <v>6</v>
      </c>
      <c r="I216" s="11" t="s">
        <v>493</v>
      </c>
    </row>
    <row r="217" customFormat="false" ht="15" hidden="false" customHeight="false" outlineLevel="1" collapsed="false">
      <c r="A217" s="3" t="s">
        <v>494</v>
      </c>
      <c r="B217" s="11" t="s">
        <v>42</v>
      </c>
      <c r="C217" s="23" t="n">
        <v>0.8</v>
      </c>
      <c r="I217" s="6" t="s">
        <v>495</v>
      </c>
    </row>
    <row r="218" customFormat="false" ht="15" hidden="false" customHeight="false" outlineLevel="1" collapsed="false">
      <c r="A218" s="3" t="s">
        <v>496</v>
      </c>
      <c r="B218" s="11" t="s">
        <v>42</v>
      </c>
      <c r="C218" s="23" t="n">
        <v>0.8</v>
      </c>
      <c r="I218" s="6" t="s">
        <v>497</v>
      </c>
    </row>
    <row r="219" customFormat="false" ht="15" hidden="false" customHeight="false" outlineLevel="1" collapsed="false">
      <c r="A219" s="3" t="s">
        <v>498</v>
      </c>
      <c r="B219" s="11" t="s">
        <v>65</v>
      </c>
      <c r="C219" s="24" t="n">
        <v>55.476</v>
      </c>
      <c r="I219" s="6" t="s">
        <v>499</v>
      </c>
    </row>
    <row r="220" customFormat="false" ht="15" hidden="false" customHeight="false" outlineLevel="1" collapsed="false">
      <c r="A220" s="4" t="s">
        <v>500</v>
      </c>
      <c r="B220" s="11" t="s">
        <v>157</v>
      </c>
      <c r="C220" s="21" t="n">
        <v>120</v>
      </c>
      <c r="I220" s="11" t="s">
        <v>501</v>
      </c>
    </row>
    <row r="221" customFormat="false" ht="15" hidden="false" customHeight="false" outlineLevel="1" collapsed="false">
      <c r="A221" s="4" t="s">
        <v>502</v>
      </c>
      <c r="B221" s="11" t="s">
        <v>157</v>
      </c>
      <c r="C221" s="21" t="n">
        <v>360</v>
      </c>
      <c r="I221" s="11" t="s">
        <v>503</v>
      </c>
    </row>
    <row r="222" customFormat="false" ht="15" hidden="false" customHeight="false" outlineLevel="1" collapsed="false">
      <c r="A222" s="4" t="s">
        <v>504</v>
      </c>
      <c r="B222" s="11" t="s">
        <v>65</v>
      </c>
      <c r="C222" s="24" t="n">
        <v>446.046</v>
      </c>
      <c r="I222" s="6" t="s">
        <v>505</v>
      </c>
    </row>
    <row r="223" customFormat="false" ht="15" hidden="false" customHeight="false" outlineLevel="1" collapsed="false">
      <c r="A223" s="3" t="s">
        <v>506</v>
      </c>
      <c r="B223" s="11" t="s">
        <v>42</v>
      </c>
      <c r="C223" s="23" t="n">
        <v>1</v>
      </c>
      <c r="I223" s="6" t="s">
        <v>507</v>
      </c>
    </row>
    <row r="224" customFormat="false" ht="15" hidden="false" customHeight="false" outlineLevel="1" collapsed="false">
      <c r="A224" s="14" t="s">
        <v>59</v>
      </c>
      <c r="B224" s="14" t="s">
        <v>60</v>
      </c>
      <c r="C224" s="28" t="s">
        <v>61</v>
      </c>
      <c r="D224" s="28" t="s">
        <v>62</v>
      </c>
      <c r="E224" s="28" t="s">
        <v>63</v>
      </c>
      <c r="F224" s="28" t="s">
        <v>153</v>
      </c>
      <c r="G224" s="28" t="s">
        <v>154</v>
      </c>
      <c r="I224" s="14" t="s">
        <v>206</v>
      </c>
    </row>
    <row r="225" customFormat="false" ht="15" hidden="false" customHeight="false" outlineLevel="1" collapsed="false">
      <c r="A225" s="3" t="s">
        <v>508</v>
      </c>
      <c r="B225" s="11" t="s">
        <v>263</v>
      </c>
      <c r="C225" s="41" t="n">
        <f aca="false">C66*(TK_CapexIT_H100*輸入與假設!$C$58+輸入與假設!$C$218*TK_CapexFacility_H100)+C73*(TK_CapexIT_H100+輸入與假設!$C$218*TK_CapexFacility_H100)+C80*(TK_CapexIT_GB200+輸入與假設!$C$218*TK_CapexFacility_GB200)+C87*(TK_CapexIT_GB300+輸入與假設!$C$218*TK_CapexFacility_GB300)+C94*(TK_CapexIT_GB300*輸入與假設!$C$58+輸入與假設!$C$218*TK_CapexFacility_GB300)+C101*(TK_CapexIT_VR200+輸入與假設!$C$218*TK_CapexFacility_VR200)</f>
        <v>42.373224</v>
      </c>
      <c r="D225" s="41" t="n">
        <f aca="false">D66*(TK_CapexIT_H100*輸入與假設!$C$58+輸入與假設!$C$218*TK_CapexFacility_H100)+D73*(TK_CapexIT_H100+輸入與假設!$C$218*TK_CapexFacility_H100)+D80*(TK_CapexIT_GB200+輸入與假設!$C$218*TK_CapexFacility_GB200)+D87*(TK_CapexIT_GB300+輸入與假設!$C$218*TK_CapexFacility_GB300)+D94*(TK_CapexIT_GB300*輸入與假設!$C$58+輸入與假設!$C$218*TK_CapexFacility_GB300)+D101*(TK_CapexIT_VR200+輸入與假設!$C$218*TK_CapexFacility_VR200)</f>
        <v>43.710506</v>
      </c>
      <c r="E225" s="41" t="n">
        <f aca="false">E66*(TK_CapexIT_H100*輸入與假設!$C$58+輸入與假設!$C$218*TK_CapexFacility_H100)+E73*(TK_CapexIT_H100+輸入與假設!$C$218*TK_CapexFacility_H100)+E80*(TK_CapexIT_GB200+輸入與假設!$C$218*TK_CapexFacility_GB200)+E87*(TK_CapexIT_GB300+輸入與假設!$C$218*TK_CapexFacility_GB300)+E94*(TK_CapexIT_GB300*輸入與假設!$C$58+輸入與假設!$C$218*TK_CapexFacility_GB300)+E101*(TK_CapexIT_VR200+輸入與假設!$C$218*TK_CapexFacility_VR200)</f>
        <v>45.047788</v>
      </c>
      <c r="F225" s="41" t="n">
        <f aca="false">F66*(TK_CapexIT_H100*輸入與假設!$C$58+輸入與假設!$C$218*TK_CapexFacility_H100)+F73*(TK_CapexIT_H100+輸入與假設!$C$218*TK_CapexFacility_H100)+F80*(TK_CapexIT_GB200+輸入與假設!$C$218*TK_CapexFacility_GB200)+F87*(TK_CapexIT_GB300+輸入與假設!$C$218*TK_CapexFacility_GB300)+F94*(TK_CapexIT_GB300*輸入與假設!$C$58+輸入與假設!$C$218*TK_CapexFacility_GB300)+F101*(TK_CapexIT_VR200+輸入與假設!$C$218*TK_CapexFacility_VR200)</f>
        <v>45.047788</v>
      </c>
      <c r="G225" s="41" t="n">
        <f aca="false">G66*(TK_CapexIT_H100*輸入與假設!$C$58+輸入與假設!$C$218*TK_CapexFacility_H100)+G73*(TK_CapexIT_H100+輸入與假設!$C$218*TK_CapexFacility_H100)+G80*(TK_CapexIT_GB200+輸入與假設!$C$218*TK_CapexFacility_GB200)+G87*(TK_CapexIT_GB300+輸入與假設!$C$218*TK_CapexFacility_GB300)+G94*(TK_CapexIT_GB300*輸入與假設!$C$58+輸入與假設!$C$218*TK_CapexFacility_GB300)+G101*(TK_CapexIT_VR200+輸入與假設!$C$218*TK_CapexFacility_VR200)</f>
        <v>45.047788</v>
      </c>
      <c r="I225" s="6" t="s">
        <v>509</v>
      </c>
    </row>
    <row r="226" customFormat="false" ht="15" hidden="false" customHeight="false" outlineLevel="1" collapsed="false">
      <c r="A226" s="3" t="s">
        <v>510</v>
      </c>
      <c r="B226" s="11" t="s">
        <v>263</v>
      </c>
      <c r="C226" s="41" t="n">
        <f aca="false">C66*TK_CapexIT_H100*輸入與假設!$C$58+C73*TK_CapexIT_H100+C80*TK_CapexIT_GB200+C87*TK_CapexIT_GB300+C94*TK_CapexIT_GB300*輸入與假設!$C$58+C101*TK_CapexIT_VR200</f>
        <v>32.237224</v>
      </c>
      <c r="D226" s="41" t="n">
        <f aca="false">D66*TK_CapexIT_H100*輸入與假設!$C$58+D73*TK_CapexIT_H100+D80*TK_CapexIT_GB200+D87*TK_CapexIT_GB300+D94*TK_CapexIT_GB300*輸入與假設!$C$58+D101*TK_CapexIT_VR200</f>
        <v>33.574506</v>
      </c>
      <c r="E226" s="41" t="n">
        <f aca="false">E66*TK_CapexIT_H100*輸入與假設!$C$58+E73*TK_CapexIT_H100+E80*TK_CapexIT_GB200+E87*TK_CapexIT_GB300+E94*TK_CapexIT_GB300*輸入與假設!$C$58+E101*TK_CapexIT_VR200</f>
        <v>34.911788</v>
      </c>
      <c r="F226" s="41" t="n">
        <f aca="false">F66*TK_CapexIT_H100*輸入與假設!$C$58+F73*TK_CapexIT_H100+F80*TK_CapexIT_GB200+F87*TK_CapexIT_GB300+F94*TK_CapexIT_GB300*輸入與假設!$C$58+F101*TK_CapexIT_VR200</f>
        <v>34.911788</v>
      </c>
      <c r="G226" s="41" t="n">
        <f aca="false">G66*TK_CapexIT_H100*輸入與假設!$C$58+G73*TK_CapexIT_H100+G80*TK_CapexIT_GB200+G87*TK_CapexIT_GB300+G94*TK_CapexIT_GB300*輸入與假設!$C$58+G101*TK_CapexIT_VR200</f>
        <v>34.911788</v>
      </c>
      <c r="I226" s="6" t="s">
        <v>511</v>
      </c>
    </row>
    <row r="227" customFormat="false" ht="15" hidden="false" customHeight="false" outlineLevel="1" collapsed="false">
      <c r="A227" s="3" t="s">
        <v>512</v>
      </c>
      <c r="B227" s="11" t="s">
        <v>42</v>
      </c>
      <c r="C227" s="23" t="n">
        <v>0</v>
      </c>
      <c r="I227" s="6" t="s">
        <v>513</v>
      </c>
    </row>
    <row r="228" customFormat="false" ht="15" hidden="false" customHeight="false" outlineLevel="1" collapsed="false">
      <c r="A228" s="3" t="s">
        <v>514</v>
      </c>
      <c r="B228" s="11" t="s">
        <v>42</v>
      </c>
      <c r="C228" s="23" t="n">
        <v>0</v>
      </c>
      <c r="I228" s="6" t="s">
        <v>515</v>
      </c>
    </row>
    <row r="229" customFormat="false" ht="15" hidden="false" customHeight="false" outlineLevel="1" collapsed="false">
      <c r="A229" s="3" t="s">
        <v>516</v>
      </c>
      <c r="B229" s="6" t="s">
        <v>184</v>
      </c>
      <c r="C229" s="25" t="n">
        <v>5</v>
      </c>
      <c r="I229" s="6" t="s">
        <v>517</v>
      </c>
    </row>
    <row r="230" customFormat="false" ht="15" hidden="false" customHeight="false" outlineLevel="1" collapsed="false">
      <c r="A230" s="4" t="s">
        <v>518</v>
      </c>
      <c r="B230" s="11" t="s">
        <v>65</v>
      </c>
      <c r="C230" s="24" t="n">
        <v>0</v>
      </c>
      <c r="I230" s="6" t="s">
        <v>515</v>
      </c>
    </row>
    <row r="231" customFormat="false" ht="15" hidden="false" customHeight="false" outlineLevel="1" collapsed="false">
      <c r="A231" s="3" t="s">
        <v>519</v>
      </c>
      <c r="B231" s="11" t="s">
        <v>42</v>
      </c>
      <c r="C231" s="23" t="n">
        <v>0</v>
      </c>
      <c r="I231" s="6" t="s">
        <v>520</v>
      </c>
    </row>
    <row r="232" customFormat="false" ht="15" hidden="false" customHeight="false" outlineLevel="1" collapsed="false">
      <c r="A232" s="14" t="s">
        <v>59</v>
      </c>
      <c r="B232" s="14" t="s">
        <v>60</v>
      </c>
      <c r="C232" s="28" t="s">
        <v>61</v>
      </c>
      <c r="D232" s="28" t="s">
        <v>62</v>
      </c>
      <c r="E232" s="28" t="s">
        <v>63</v>
      </c>
      <c r="F232" s="28" t="s">
        <v>153</v>
      </c>
      <c r="G232" s="28" t="s">
        <v>154</v>
      </c>
      <c r="I232" s="14" t="s">
        <v>206</v>
      </c>
    </row>
    <row r="233" customFormat="false" ht="15" hidden="false" customHeight="false" outlineLevel="1" collapsed="false">
      <c r="A233" s="3" t="s">
        <v>521</v>
      </c>
      <c r="B233" s="11" t="s">
        <v>42</v>
      </c>
      <c r="C233" s="38" t="n">
        <f aca="false">輸入與假設!$C$227*輸入與假設!$C$228</f>
        <v>0</v>
      </c>
      <c r="D233" s="38" t="n">
        <f aca="false">輸入與假設!$C$227*輸入與假設!$C$228</f>
        <v>0</v>
      </c>
      <c r="E233" s="38" t="n">
        <f aca="false">輸入與假設!$C$227*輸入與假設!$C$228</f>
        <v>0</v>
      </c>
      <c r="F233" s="38" t="n">
        <f aca="false">輸入與假設!$C$227*輸入與假設!$C$228</f>
        <v>0</v>
      </c>
      <c r="G233" s="38" t="n">
        <f aca="false">輸入與假設!$C$227*輸入與假設!$C$228</f>
        <v>0</v>
      </c>
      <c r="I233" s="6" t="s">
        <v>522</v>
      </c>
    </row>
    <row r="234" customFormat="false" ht="15" hidden="false" customHeight="false" outlineLevel="1" collapsed="false">
      <c r="A234" s="3" t="s">
        <v>523</v>
      </c>
      <c r="B234" s="11" t="s">
        <v>65</v>
      </c>
      <c r="C234" s="24" t="n">
        <v>10.776</v>
      </c>
      <c r="D234" s="24" t="n">
        <v>17.222</v>
      </c>
      <c r="E234" s="24" t="n">
        <v>16.503</v>
      </c>
      <c r="F234" s="24" t="n">
        <v>14.787</v>
      </c>
      <c r="G234" s="24" t="n">
        <v>13.258</v>
      </c>
      <c r="I234" s="6" t="s">
        <v>524</v>
      </c>
    </row>
    <row r="235" customFormat="false" ht="15" hidden="false" customHeight="false" outlineLevel="1" collapsed="false">
      <c r="A235" s="3" t="s">
        <v>525</v>
      </c>
      <c r="B235" s="6" t="s">
        <v>179</v>
      </c>
      <c r="C235" s="22" t="n">
        <f aca="false">ROUND(4*SUM($C$34:C$34),0)</f>
        <v>2</v>
      </c>
      <c r="D235" s="22" t="n">
        <f aca="false">ROUND(4*SUM($C$34:D$34),0)</f>
        <v>6</v>
      </c>
      <c r="E235" s="22" t="n">
        <f aca="false">ROUND(4*SUM($C$34:E$34),0)</f>
        <v>10</v>
      </c>
      <c r="F235" s="22" t="n">
        <f aca="false">ROUND(4*SUM($C$34:F$34),0)</f>
        <v>14</v>
      </c>
      <c r="G235" s="22" t="n">
        <f aca="false">ROUND(4*SUM($C$34:G$34),0)</f>
        <v>18</v>
      </c>
      <c r="I235" s="6" t="s">
        <v>526</v>
      </c>
    </row>
    <row r="236" customFormat="false" ht="15" hidden="false" customHeight="false" outlineLevel="1" collapsed="false">
      <c r="A236" s="3" t="s">
        <v>527</v>
      </c>
      <c r="B236" s="11" t="s">
        <v>65</v>
      </c>
      <c r="C236" s="31" t="n">
        <f aca="false">輸入與假設!$C$19/輸入與假設!$C$21/輸入與假設!$C$22/4*((MIN(MAX(0,C235-輸入與假設!$C$20),輸入與假設!$C$21)*(MIN(MAX(0,C235-輸入與假設!$C$20),輸入與假設!$C$21)+1)/2+輸入與假設!$C$21*MAX(0,MAX(0,C235-輸入與假設!$C$20)-輸入與假設!$C$21))-(MIN(MAX(0,0-輸入與假設!$C$20),輸入與假設!$C$21)*(MIN(MAX(0,0-輸入與假設!$C$20),輸入與假設!$C$21)+1)/2+輸入與假設!$C$21*MAX(0,MAX(0,0-輸入與假設!$C$20)-輸入與假設!$C$21)))</f>
        <v>1.74424576271186</v>
      </c>
      <c r="D236" s="31" t="n">
        <f aca="false">輸入與假設!$C$19/輸入與假設!$C$21/輸入與假設!$C$22/4*((MIN(MAX(0,D235-輸入與假設!$C$20),輸入與假設!$C$21)*(MIN(MAX(0,D235-輸入與假設!$C$20),輸入與假設!$C$21)+1)/2+輸入與假設!$C$21*MAX(0,MAX(0,D235-輸入與假設!$C$20)-輸入與假設!$C$21))-(MIN(MAX(0,C235-輸入與假設!$C$20),輸入與假設!$C$21)*(MIN(MAX(0,C235-輸入與假設!$C$20),輸入與假設!$C$21)+1)/2+輸入與假設!$C$21*MAX(0,MAX(0,C235-輸入與假設!$C$20)-輸入與假設!$C$21)))</f>
        <v>8.72122881355932</v>
      </c>
      <c r="E236" s="31" t="n">
        <f aca="false">輸入與假設!$C$19/輸入與假設!$C$21/輸入與假設!$C$22/4*((MIN(MAX(0,E235-輸入與假設!$C$20),輸入與假設!$C$21)*(MIN(MAX(0,E235-輸入與假設!$C$20),輸入與假設!$C$21)+1)/2+輸入與假設!$C$21*MAX(0,MAX(0,E235-輸入與假設!$C$20)-輸入與假設!$C$21))-(MIN(MAX(0,D235-輸入與假設!$C$20),輸入與假設!$C$21)*(MIN(MAX(0,D235-輸入與假設!$C$20),輸入與假設!$C$21)+1)/2+輸入與假設!$C$21*MAX(0,MAX(0,D235-輸入與假設!$C$20)-輸入與假設!$C$21)))</f>
        <v>9.30264406779661</v>
      </c>
      <c r="F236" s="31" t="n">
        <f aca="false">輸入與假設!$C$19/輸入與假設!$C$21/輸入與假設!$C$22/4*((MIN(MAX(0,F235-輸入與假設!$C$20),輸入與假設!$C$21)*(MIN(MAX(0,F235-輸入與假設!$C$20),輸入與假設!$C$21)+1)/2+輸入與假設!$C$21*MAX(0,MAX(0,F235-輸入與假設!$C$20)-輸入與假設!$C$21))-(MIN(MAX(0,E235-輸入與假設!$C$20),輸入與假設!$C$21)*(MIN(MAX(0,E235-輸入與假設!$C$20),輸入與假設!$C$21)+1)/2+輸入與假設!$C$21*MAX(0,MAX(0,E235-輸入與假設!$C$20)-輸入與假設!$C$21)))</f>
        <v>9.30264406779661</v>
      </c>
      <c r="G236" s="31" t="n">
        <f aca="false">輸入與假設!$C$19/輸入與假設!$C$21/輸入與假設!$C$22/4*((MIN(MAX(0,G235-輸入與假設!$C$20),輸入與假設!$C$21)*(MIN(MAX(0,G235-輸入與假設!$C$20),輸入與假設!$C$21)+1)/2+輸入與假設!$C$21*MAX(0,MAX(0,G235-輸入與假設!$C$20)-輸入與假設!$C$21))-(MIN(MAX(0,F235-輸入與假設!$C$20),輸入與假設!$C$21)*(MIN(MAX(0,F235-輸入與假設!$C$20),輸入與假設!$C$21)+1)/2+輸入與假設!$C$21*MAX(0,MAX(0,F235-輸入與假設!$C$20)-輸入與假設!$C$21)))</f>
        <v>9.30264406779661</v>
      </c>
      <c r="I236" s="6" t="s">
        <v>528</v>
      </c>
    </row>
    <row r="237" customFormat="false" ht="15" hidden="false" customHeight="false" outlineLevel="1" collapsed="false">
      <c r="A237" s="3" t="s">
        <v>529</v>
      </c>
      <c r="B237" s="11" t="s">
        <v>65</v>
      </c>
      <c r="C237" s="24" t="n">
        <v>1.44</v>
      </c>
      <c r="D237" s="24" t="n">
        <v>2.457</v>
      </c>
      <c r="E237" s="24" t="n">
        <v>2.579</v>
      </c>
      <c r="F237" s="24" t="n">
        <v>2.188</v>
      </c>
      <c r="G237" s="24" t="n">
        <v>1.989</v>
      </c>
      <c r="H237" s="24" t="n">
        <v>17.077</v>
      </c>
      <c r="I237" s="6" t="s">
        <v>530</v>
      </c>
    </row>
    <row r="238" customFormat="false" ht="15" hidden="false" customHeight="false" outlineLevel="1" collapsed="false">
      <c r="A238" s="3" t="s">
        <v>531</v>
      </c>
      <c r="B238" s="11" t="s">
        <v>42</v>
      </c>
      <c r="C238" s="23" t="n">
        <v>0.1912</v>
      </c>
      <c r="I238" s="6" t="s">
        <v>532</v>
      </c>
    </row>
    <row r="239" customFormat="false" ht="15" hidden="false" customHeight="false" outlineLevel="1" collapsed="false">
      <c r="A239" s="4" t="s">
        <v>533</v>
      </c>
      <c r="B239" s="11" t="s">
        <v>65</v>
      </c>
      <c r="C239" s="24" t="n">
        <v>21.3</v>
      </c>
      <c r="D239" s="24" t="n">
        <v>0</v>
      </c>
      <c r="E239" s="24" t="n">
        <v>0</v>
      </c>
      <c r="F239" s="24" t="n">
        <v>0</v>
      </c>
      <c r="G239" s="24" t="n">
        <v>0</v>
      </c>
      <c r="I239" s="6" t="s">
        <v>534</v>
      </c>
    </row>
    <row r="240" customFormat="false" ht="15" hidden="false" customHeight="false" outlineLevel="1" collapsed="false">
      <c r="A240" s="4" t="s">
        <v>535</v>
      </c>
      <c r="B240" s="11" t="s">
        <v>65</v>
      </c>
      <c r="C240" s="24" t="n">
        <v>0</v>
      </c>
      <c r="D240" s="24" t="n">
        <v>0</v>
      </c>
      <c r="E240" s="24" t="n">
        <v>0</v>
      </c>
      <c r="F240" s="24" t="n">
        <v>0</v>
      </c>
      <c r="G240" s="24" t="n">
        <v>0</v>
      </c>
      <c r="I240" s="6" t="s">
        <v>536</v>
      </c>
    </row>
    <row r="241" customFormat="false" ht="15" hidden="false" customHeight="false" outlineLevel="1" collapsed="false">
      <c r="A241" s="4" t="s">
        <v>537</v>
      </c>
      <c r="B241" s="11" t="s">
        <v>65</v>
      </c>
      <c r="C241" s="31" t="n">
        <f aca="false">C239+C240</f>
        <v>21.3</v>
      </c>
      <c r="D241" s="31" t="n">
        <f aca="false">D239+D240</f>
        <v>0</v>
      </c>
      <c r="E241" s="31" t="n">
        <f aca="false">E239+E240</f>
        <v>0</v>
      </c>
      <c r="F241" s="31" t="n">
        <f aca="false">F239+F240</f>
        <v>0</v>
      </c>
      <c r="G241" s="31" t="n">
        <f aca="false">G239+G240</f>
        <v>0</v>
      </c>
      <c r="I241" s="6" t="s">
        <v>538</v>
      </c>
    </row>
    <row r="242" customFormat="false" ht="15" hidden="false" customHeight="false" outlineLevel="1" collapsed="true">
      <c r="A242" s="33" t="s">
        <v>539</v>
      </c>
      <c r="B242" s="20"/>
      <c r="C242" s="20"/>
      <c r="D242" s="20"/>
      <c r="E242" s="20"/>
      <c r="F242" s="20"/>
      <c r="G242" s="20"/>
      <c r="H242" s="20"/>
    </row>
    <row r="243" customFormat="false" ht="15" hidden="true" customHeight="false" outlineLevel="2" collapsed="false">
      <c r="A243" s="3" t="s">
        <v>540</v>
      </c>
      <c r="B243" s="11" t="s">
        <v>157</v>
      </c>
      <c r="C243" s="22" t="n">
        <f aca="false">輸入與假設!$C$28</f>
        <v>1440</v>
      </c>
      <c r="D243" s="22" t="n">
        <f aca="false">C36</f>
        <v>3894.4</v>
      </c>
      <c r="E243" s="22" t="n">
        <f aca="false">D36</f>
        <v>7523.2</v>
      </c>
      <c r="F243" s="22" t="n">
        <f aca="false">E36</f>
        <v>11152</v>
      </c>
      <c r="G243" s="22" t="n">
        <f aca="false">F36</f>
        <v>14780.8</v>
      </c>
      <c r="I243" s="11" t="s">
        <v>541</v>
      </c>
    </row>
    <row r="244" customFormat="false" ht="15" hidden="true" customHeight="false" outlineLevel="2" collapsed="false">
      <c r="A244" s="3" t="s">
        <v>542</v>
      </c>
      <c r="B244" s="11" t="s">
        <v>157</v>
      </c>
      <c r="C244" s="22" t="n">
        <f aca="false">C36-C243</f>
        <v>2454.4</v>
      </c>
      <c r="D244" s="22" t="n">
        <f aca="false">D36-D243</f>
        <v>3628.8</v>
      </c>
      <c r="E244" s="22" t="n">
        <f aca="false">E36-E243</f>
        <v>3628.8</v>
      </c>
      <c r="F244" s="22" t="n">
        <f aca="false">F36-F243</f>
        <v>3628.8</v>
      </c>
      <c r="G244" s="22" t="n">
        <f aca="false">G36-G243</f>
        <v>3628.8</v>
      </c>
    </row>
    <row r="245" customFormat="false" ht="15" hidden="true" customHeight="false" outlineLevel="2" collapsed="false">
      <c r="A245" s="3" t="s">
        <v>543</v>
      </c>
      <c r="B245" s="11" t="s">
        <v>157</v>
      </c>
      <c r="C245" s="22" t="n">
        <f aca="false">D36-C36</f>
        <v>3628.8</v>
      </c>
      <c r="D245" s="22" t="n">
        <f aca="false">E36-D36</f>
        <v>3628.8</v>
      </c>
      <c r="E245" s="22" t="n">
        <f aca="false">F36-E36</f>
        <v>3628.8</v>
      </c>
      <c r="F245" s="22" t="n">
        <f aca="false">G36-F36</f>
        <v>3628.8</v>
      </c>
      <c r="G245" s="22" t="n">
        <f aca="false">輸入與假設!$C$214</f>
        <v>3628.8</v>
      </c>
    </row>
    <row r="246" customFormat="false" ht="15" hidden="true" customHeight="false" outlineLevel="2" collapsed="false">
      <c r="A246" s="3" t="s">
        <v>544</v>
      </c>
      <c r="B246" s="11" t="s">
        <v>157</v>
      </c>
      <c r="C246" s="21" t="n">
        <v>0</v>
      </c>
      <c r="I246" s="11" t="s">
        <v>545</v>
      </c>
    </row>
    <row r="247" customFormat="false" ht="15" hidden="true" customHeight="false" outlineLevel="2" collapsed="false">
      <c r="A247" s="3" t="s">
        <v>546</v>
      </c>
      <c r="B247" s="11" t="s">
        <v>157</v>
      </c>
      <c r="C247" s="21" t="n">
        <v>0</v>
      </c>
      <c r="D247" s="21" t="n">
        <v>0</v>
      </c>
      <c r="E247" s="21" t="n">
        <v>0</v>
      </c>
      <c r="F247" s="21" t="n">
        <v>0</v>
      </c>
      <c r="G247" s="21" t="n">
        <v>0</v>
      </c>
      <c r="I247" s="11" t="s">
        <v>547</v>
      </c>
    </row>
    <row r="248" customFormat="false" ht="15" hidden="true" customHeight="false" outlineLevel="2" collapsed="false">
      <c r="A248" s="3" t="s">
        <v>548</v>
      </c>
      <c r="B248" s="11" t="s">
        <v>157</v>
      </c>
      <c r="C248" s="22" t="n">
        <f aca="false">C247-輸入與假設!$C$246</f>
        <v>0</v>
      </c>
      <c r="D248" s="22" t="n">
        <f aca="false">D247-C247</f>
        <v>0</v>
      </c>
      <c r="E248" s="22" t="n">
        <f aca="false">E247-D247</f>
        <v>0</v>
      </c>
      <c r="F248" s="22" t="n">
        <f aca="false">F247-E247</f>
        <v>0</v>
      </c>
      <c r="G248" s="22" t="n">
        <f aca="false">G247-F247</f>
        <v>0</v>
      </c>
      <c r="I248" s="6" t="s">
        <v>549</v>
      </c>
    </row>
    <row r="249" customFormat="false" ht="15" hidden="true" customHeight="false" outlineLevel="2" collapsed="false">
      <c r="A249" s="3" t="s">
        <v>550</v>
      </c>
      <c r="B249" s="11" t="s">
        <v>157</v>
      </c>
      <c r="C249" s="22" t="n">
        <f aca="false">D248</f>
        <v>0</v>
      </c>
      <c r="D249" s="22" t="n">
        <f aca="false">E248</f>
        <v>0</v>
      </c>
      <c r="E249" s="22" t="n">
        <f aca="false">F248</f>
        <v>0</v>
      </c>
      <c r="F249" s="22" t="n">
        <f aca="false">G248</f>
        <v>0</v>
      </c>
      <c r="G249" s="22" t="n">
        <f aca="false">0</f>
        <v>0</v>
      </c>
    </row>
    <row r="250" customFormat="false" ht="15" hidden="true" customHeight="false" outlineLevel="2" collapsed="false">
      <c r="A250" s="3" t="s">
        <v>551</v>
      </c>
      <c r="B250" s="11" t="s">
        <v>65</v>
      </c>
      <c r="C250" s="31" t="n">
        <f aca="false">MAX(0,(C244*(1-輸入與假設!$C$213)+C245*輸入與假設!$C$213)/輸入與假設!$C$217-(C248*(1-輸入與假設!$C$213)+C249*輸入與假設!$C$213))*C225*輸入與假設!$C$223/1000</f>
        <v>151.7724137232</v>
      </c>
      <c r="D250" s="31" t="n">
        <f aca="false">MAX(0,(D244*(1-輸入與假設!$C$213)+D245*輸入與假設!$C$213)/輸入與假設!$C$217-(D248*(1-輸入與假設!$C$213)+D249*輸入與假設!$C$213))*D225*輸入與假設!$C$223/1000</f>
        <v>198.270855216</v>
      </c>
      <c r="E250" s="31" t="n">
        <f aca="false">MAX(0,(E244*(1-輸入與假設!$C$213)+E245*輸入與假設!$C$213)/輸入與假設!$C$217-(E248*(1-輸入與假設!$C$213)+E249*輸入與假設!$C$213))*E225*輸入與假設!$C$223/1000</f>
        <v>204.336766368</v>
      </c>
      <c r="F250" s="31" t="n">
        <f aca="false">MAX(0,(F244*(1-輸入與假設!$C$213)+F245*輸入與假設!$C$213)/輸入與假設!$C$217-(F248*(1-輸入與假設!$C$213)+F249*輸入與假設!$C$213))*F225*輸入與假設!$C$223/1000</f>
        <v>204.336766368</v>
      </c>
      <c r="G250" s="31" t="n">
        <f aca="false">MAX(0,(G244*(1-輸入與假設!$C$213)+G245*輸入與假設!$C$213)/輸入與假設!$C$217-(G248*(1-輸入與假設!$C$213)+G249*輸入與假設!$C$213))*G225*輸入與假設!$C$223/1000</f>
        <v>204.336766368</v>
      </c>
      <c r="I250" s="6" t="s">
        <v>552</v>
      </c>
    </row>
    <row r="251" customFormat="false" ht="15" hidden="true" customHeight="false" outlineLevel="2" collapsed="false">
      <c r="A251" s="3" t="s">
        <v>553</v>
      </c>
      <c r="B251" s="11" t="s">
        <v>65</v>
      </c>
      <c r="C251" s="31" t="n">
        <f aca="false">C123*輸入與假設!$C$121+C137*輸入與假設!$C$135+C151*輸入與假設!$C$149+C165*輸入與假設!$C$163+C189*輸入與假設!$C$187</f>
        <v>68.2265198141676</v>
      </c>
      <c r="D251" s="31" t="n">
        <f aca="false">D123*輸入與假設!$C$121+D137*輸入與假設!$C$135+D151*輸入與假設!$C$149+D165*輸入與假設!$C$163+D189*輸入與假設!$C$187</f>
        <v>77.9549693168816</v>
      </c>
      <c r="E251" s="31" t="n">
        <f aca="false">E123*輸入與假設!$C$121+E137*輸入與假設!$C$135+E151*輸入與假設!$C$149+E165*輸入與假設!$C$163+E189*輸入與假設!$C$187</f>
        <v>87.3267859236149</v>
      </c>
      <c r="F251" s="31" t="n">
        <f aca="false">F123*輸入與假設!$C$121+F137*輸入與假設!$C$135+F151*輸入與假設!$C$149+F165*輸入與假設!$C$163+F189*輸入與假設!$C$187</f>
        <v>95.8021568999957</v>
      </c>
      <c r="G251" s="31" t="n">
        <f aca="false">G123*輸入與假設!$C$121+G137*輸入與假設!$C$135+G151*輸入與假設!$C$149+G165*輸入與假設!$C$163+G189*輸入與假設!$C$187</f>
        <v>102.825280932609</v>
      </c>
      <c r="I251" s="6" t="s">
        <v>554</v>
      </c>
    </row>
    <row r="252" customFormat="false" ht="15" hidden="true" customHeight="false" outlineLevel="2" collapsed="false">
      <c r="A252" s="3" t="s">
        <v>555</v>
      </c>
      <c r="B252" s="11" t="s">
        <v>65</v>
      </c>
      <c r="C252" s="31" t="n">
        <f aca="false">C251*0.5</f>
        <v>34.1132599070838</v>
      </c>
      <c r="D252" s="31" t="n">
        <f aca="false">D251</f>
        <v>77.9549693168816</v>
      </c>
      <c r="E252" s="31" t="n">
        <f aca="false">E251</f>
        <v>87.3267859236149</v>
      </c>
      <c r="F252" s="31" t="n">
        <f aca="false">F251</f>
        <v>95.8021568999957</v>
      </c>
      <c r="G252" s="31" t="n">
        <f aca="false">G251</f>
        <v>102.825280932609</v>
      </c>
      <c r="I252" s="11" t="s">
        <v>556</v>
      </c>
    </row>
    <row r="253" customFormat="false" ht="15" hidden="true" customHeight="false" outlineLevel="2" collapsed="false">
      <c r="A253" s="3" t="s">
        <v>557</v>
      </c>
      <c r="B253" s="11" t="s">
        <v>65</v>
      </c>
      <c r="C253" s="31" t="n">
        <f aca="false">MAX(C250+C251,輸入與假設!$C$215)-輸入與假設!$C$417</f>
        <v>123.69</v>
      </c>
      <c r="D253" s="31" t="n">
        <f aca="false">D250+D252</f>
        <v>276.225824532882</v>
      </c>
      <c r="E253" s="31" t="n">
        <f aca="false">E250+E252</f>
        <v>291.663552291615</v>
      </c>
      <c r="F253" s="31" t="n">
        <f aca="false">F250+F252</f>
        <v>300.138923267996</v>
      </c>
      <c r="G253" s="31" t="n">
        <f aca="false">G250+G252</f>
        <v>307.162047300609</v>
      </c>
      <c r="I253" s="11" t="s">
        <v>558</v>
      </c>
    </row>
    <row r="254" customFormat="false" ht="15" hidden="true" customHeight="false" outlineLevel="2" collapsed="false">
      <c r="A254" s="4" t="s">
        <v>559</v>
      </c>
      <c r="B254" s="11" t="s">
        <v>65</v>
      </c>
      <c r="C254" s="31" t="n">
        <f aca="false">C253-C252</f>
        <v>89.5767400929162</v>
      </c>
      <c r="D254" s="31" t="n">
        <f aca="false">D253-D252</f>
        <v>198.270855216</v>
      </c>
      <c r="E254" s="31" t="n">
        <f aca="false">E253-E252</f>
        <v>204.336766368</v>
      </c>
      <c r="F254" s="31" t="n">
        <f aca="false">F253-F252</f>
        <v>204.336766368</v>
      </c>
      <c r="G254" s="31" t="n">
        <f aca="false">G253-G252</f>
        <v>204.336766368</v>
      </c>
      <c r="I254" s="6" t="s">
        <v>560</v>
      </c>
    </row>
    <row r="255" customFormat="false" ht="15" hidden="true" customHeight="false" outlineLevel="2" collapsed="false">
      <c r="A255" s="3" t="s">
        <v>561</v>
      </c>
      <c r="B255" s="11" t="s">
        <v>65</v>
      </c>
      <c r="C255" s="31" t="n">
        <f aca="false">IF(2026-輸入與假設!$C$216=2023,輸入與假設!$C$220,IF(2026-輸入與假設!$C$216=2024,輸入與假設!$C$221-輸入與假設!$C$220,IF(2026-輸入與假設!$C$216=2025,輸入與假設!$C$28-輸入與假設!$C$221,0)))/輸入與假設!$C$217*C226*輸入與假設!$C$223/1000</f>
        <v>0</v>
      </c>
      <c r="D255" s="31" t="n">
        <f aca="false">IF(2027-輸入與假設!$C$216=2023,輸入與假設!$C$220,IF(2027-輸入與假設!$C$216=2024,輸入與假設!$C$221-輸入與假設!$C$220,IF(2027-輸入與假設!$C$216=2025,輸入與假設!$C$28-輸入與假設!$C$221,0)))/輸入與假設!$C$217*D226*輸入與假設!$C$223/1000</f>
        <v>0</v>
      </c>
      <c r="E255" s="31" t="n">
        <f aca="false">IF(2028-輸入與假設!$C$216=2023,輸入與假設!$C$220,IF(2028-輸入與假設!$C$216=2024,輸入與假設!$C$221-輸入與假設!$C$220,IF(2028-輸入與假設!$C$216=2025,輸入與假設!$C$28-輸入與假設!$C$221,0)))/輸入與假設!$C$217*E226*輸入與假設!$C$223/1000</f>
        <v>0</v>
      </c>
      <c r="F255" s="31" t="n">
        <f aca="false">IF(2029-輸入與假設!$C$216=2023,輸入與假設!$C$220,IF(2029-輸入與假設!$C$216=2024,輸入與假設!$C$221-輸入與假設!$C$220,IF(2029-輸入與假設!$C$216=2025,輸入與假設!$C$28-輸入與假設!$C$221,0)))/輸入與假設!$C$217*F226*輸入與假設!$C$223/1000</f>
        <v>5.2367682</v>
      </c>
      <c r="G255" s="31" t="n">
        <f aca="false">IF(2030-輸入與假設!$C$216=2023,輸入與假設!$C$220,IF(2030-輸入與假設!$C$216=2024,輸入與假設!$C$221-輸入與假設!$C$220,IF(2030-輸入與假設!$C$216=2025,輸入與假設!$C$28-輸入與假設!$C$221,0)))/輸入與假設!$C$217*G226*輸入與假設!$C$223/1000</f>
        <v>10.4735364</v>
      </c>
      <c r="I255" s="6" t="s">
        <v>562</v>
      </c>
    </row>
    <row r="256" customFormat="false" ht="15" hidden="true" customHeight="false" outlineLevel="2" collapsed="false">
      <c r="A256" s="3" t="s">
        <v>563</v>
      </c>
      <c r="B256" s="11" t="s">
        <v>65</v>
      </c>
      <c r="C256" s="31" t="n">
        <f aca="false">(C243+C36)/2/輸入與假設!$C$217*C226*輸入與假設!$C$223/1000/輸入與假設!$C$216*C34</f>
        <v>8.95657540133333</v>
      </c>
      <c r="D256" s="31" t="n">
        <f aca="false">(D243+D36)/2/輸入與假設!$C$217*D226*輸入與假設!$C$223/1000/輸入與假設!$C$216*D34</f>
        <v>39.931279136</v>
      </c>
      <c r="E256" s="31" t="n">
        <f aca="false">(E243+E36)/2/輸入與假設!$C$217*E226*輸入與假設!$C$223/1000/輸入與假設!$C$216*E34</f>
        <v>67.9150649226667</v>
      </c>
      <c r="F256" s="31" t="n">
        <f aca="false">(F243+F36)/2/輸入與假設!$C$217*F226*輸入與假設!$C$223/1000/輸入與假設!$C$216*F34</f>
        <v>26.9111699166667</v>
      </c>
      <c r="G256" s="31" t="n">
        <f aca="false">(G243+G36)/2/輸入與假設!$C$217*G226*輸入與假設!$C$223/1000/輸入與假設!$C$216*G34</f>
        <v>120.701688378667</v>
      </c>
      <c r="I256" s="6" t="s">
        <v>564</v>
      </c>
    </row>
    <row r="257" customFormat="false" ht="15" hidden="true" customHeight="false" outlineLevel="2" collapsed="false">
      <c r="A257" s="3" t="s">
        <v>565</v>
      </c>
      <c r="B257" s="6"/>
      <c r="C257" s="22" t="n">
        <f aca="false">IF(C244&lt;=0,1,0)</f>
        <v>0</v>
      </c>
      <c r="D257" s="22" t="n">
        <f aca="false">IF(D244&lt;=0,1,0)</f>
        <v>0</v>
      </c>
      <c r="E257" s="22" t="n">
        <f aca="false">IF(E244&lt;=0,1,0)</f>
        <v>0</v>
      </c>
      <c r="F257" s="22" t="n">
        <f aca="false">IF(F244&lt;=0,1,0)</f>
        <v>0</v>
      </c>
      <c r="G257" s="22" t="n">
        <f aca="false">1</f>
        <v>1</v>
      </c>
      <c r="I257" s="6" t="s">
        <v>566</v>
      </c>
    </row>
    <row r="258" customFormat="false" ht="15" hidden="true" customHeight="false" outlineLevel="2" collapsed="false">
      <c r="A258" s="4" t="s">
        <v>567</v>
      </c>
      <c r="B258" s="11" t="s">
        <v>65</v>
      </c>
      <c r="C258" s="31" t="n">
        <f aca="false">IF(C257=1,C256,C255)</f>
        <v>0</v>
      </c>
      <c r="D258" s="31" t="n">
        <f aca="false">IF(D257=1,D256,D255)</f>
        <v>0</v>
      </c>
      <c r="E258" s="31" t="n">
        <f aca="false">IF(E257=1,E256,E255)</f>
        <v>0</v>
      </c>
      <c r="F258" s="31" t="n">
        <f aca="false">IF(F257=1,F256,F255)</f>
        <v>5.2367682</v>
      </c>
      <c r="G258" s="31" t="n">
        <f aca="false">IF(G257=1,G256,G255)</f>
        <v>120.701688378667</v>
      </c>
      <c r="I258" s="6" t="s">
        <v>568</v>
      </c>
    </row>
    <row r="259" customFormat="false" ht="15" hidden="true" customHeight="false" outlineLevel="2" collapsed="false">
      <c r="A259" s="3" t="s">
        <v>569</v>
      </c>
      <c r="B259" s="11" t="s">
        <v>65</v>
      </c>
      <c r="C259" s="31" t="n">
        <f aca="false">輸入與假設!$C$222</f>
        <v>446.046</v>
      </c>
      <c r="D259" s="31" t="n">
        <f aca="false">C259+運營_產能與收入!C$54</f>
        <v>569.736</v>
      </c>
      <c r="E259" s="31" t="n">
        <f aca="false">D259+運營_產能與收入!D$54</f>
        <v>845.961824532882</v>
      </c>
      <c r="F259" s="31" t="n">
        <f aca="false">E259+運營_產能與收入!E$54</f>
        <v>1137.6253768245</v>
      </c>
      <c r="G259" s="31" t="n">
        <f aca="false">F259+運營_產能與收入!F$54</f>
        <v>1437.76430009249</v>
      </c>
      <c r="I259" s="6" t="s">
        <v>570</v>
      </c>
    </row>
    <row r="260" customFormat="false" ht="15" hidden="false" customHeight="false" outlineLevel="1" collapsed="false">
      <c r="A260" s="33" t="s">
        <v>571</v>
      </c>
      <c r="B260" s="20"/>
      <c r="C260" s="20"/>
      <c r="D260" s="20"/>
      <c r="E260" s="20"/>
      <c r="F260" s="20"/>
      <c r="G260" s="20"/>
      <c r="H260" s="20"/>
    </row>
    <row r="261" customFormat="false" ht="15" hidden="false" customHeight="false" outlineLevel="2" collapsed="false">
      <c r="A261" s="3" t="s">
        <v>572</v>
      </c>
      <c r="B261" s="11" t="s">
        <v>157</v>
      </c>
      <c r="C261" s="22" t="n">
        <f aca="false">MAX(0,輸入與假設!$C$29/輸入與假設!$C$217-輸入與假設!$C$246)</f>
        <v>2600</v>
      </c>
      <c r="I261" s="6" t="s">
        <v>573</v>
      </c>
    </row>
    <row r="262" customFormat="false" ht="15" hidden="false" customHeight="false" outlineLevel="2" collapsed="false">
      <c r="A262" s="4" t="s">
        <v>574</v>
      </c>
      <c r="B262" s="11" t="s">
        <v>65</v>
      </c>
      <c r="C262" s="31" t="n">
        <f aca="false">輸入與假設!$C$261*(0.55*TK_CapexIT_H100*輸入與假設!$C$58+0.15*TK_CapexIT_H100+0.15*TK_CapexIT_GB200+0.15*TK_CapexIT_GB300+0*TK_CapexIT_GB300*輸入與假設!$C$58+0*TK_CapexIT_VR200)/1000</f>
        <v>72.0070247</v>
      </c>
      <c r="I262" s="6" t="s">
        <v>575</v>
      </c>
    </row>
    <row r="263" customFormat="false" ht="15" hidden="false" customHeight="false" outlineLevel="2" collapsed="false">
      <c r="A263" s="4" t="s">
        <v>576</v>
      </c>
      <c r="B263" s="11" t="s">
        <v>65</v>
      </c>
      <c r="C263" s="31" t="n">
        <f aca="false">輸入與假設!$C$261*輸入與假設!$C$218*(0.55*TK_CapexFacility_H100+0.15*TK_CapexFacility_H100+0.15*TK_CapexFacility_GB200+0.15*TK_CapexFacility_GB300+0*TK_CapexFacility_GB300+0*TK_CapexFacility_VR200)/1000</f>
        <v>26.3536</v>
      </c>
      <c r="I263" s="6" t="s">
        <v>577</v>
      </c>
    </row>
    <row r="264" customFormat="false" ht="15" hidden="false" customHeight="false" outlineLevel="2" collapsed="false">
      <c r="A264" s="3" t="s">
        <v>578</v>
      </c>
      <c r="B264" s="6" t="s">
        <v>184</v>
      </c>
      <c r="C264" s="41" t="n">
        <f aca="false">(0.55*TK_CapexFacility_H100+0.15*TK_CapexFacility_H100+0.15*TK_CapexFacility_GB200+0.15*TK_CapexFacility_GB300+0*TK_CapexFacility_GB300+0*TK_CapexFacility_VR200)/(0.55*TK_DeprFac_H100+0.15*TK_DeprFac_H100+0.15*TK_DeprFac_GB200+0.15*TK_DeprFac_GB300+0*TK_DeprFac_GB300+0*TK_DeprFac_VR200)</f>
        <v>19.9711020622619</v>
      </c>
      <c r="I264" s="6" t="s">
        <v>579</v>
      </c>
    </row>
    <row r="265" customFormat="false" ht="15" hidden="false" customHeight="false" outlineLevel="2" collapsed="false">
      <c r="A265" s="4" t="s">
        <v>580</v>
      </c>
      <c r="B265" s="11" t="s">
        <v>65</v>
      </c>
      <c r="C265" s="31" t="n">
        <f aca="false">輸入與假設!$C$262/輸入與假設!$C$216+輸入與假設!$C$263/輸入與假設!$C$264</f>
        <v>13.32075745</v>
      </c>
      <c r="I265" s="6" t="s">
        <v>581</v>
      </c>
    </row>
    <row r="266" customFormat="false" ht="15" hidden="false" customHeight="false" outlineLevel="2" collapsed="false">
      <c r="A266" s="3" t="s">
        <v>582</v>
      </c>
      <c r="B266" s="11" t="s">
        <v>65</v>
      </c>
      <c r="C266" s="31" t="n">
        <f aca="false">輸入與假設!$C$222-輸入與假設!$C$262-輸入與假設!$C$263</f>
        <v>347.6853753</v>
      </c>
      <c r="I266" s="6" t="s">
        <v>583</v>
      </c>
    </row>
    <row r="267" customFormat="false" ht="15" hidden="false" customHeight="false" outlineLevel="2" collapsed="false">
      <c r="A267" s="3" t="s">
        <v>584</v>
      </c>
      <c r="B267" s="11" t="s">
        <v>42</v>
      </c>
      <c r="C267" s="23" t="n">
        <v>0.75</v>
      </c>
      <c r="I267" s="6" t="s">
        <v>585</v>
      </c>
    </row>
    <row r="268" customFormat="false" ht="15" hidden="false" customHeight="false" outlineLevel="2" collapsed="false">
      <c r="A268" s="3" t="s">
        <v>586</v>
      </c>
      <c r="B268" s="6" t="s">
        <v>184</v>
      </c>
      <c r="C268" s="25" t="n">
        <v>10</v>
      </c>
      <c r="I268" s="6" t="s">
        <v>587</v>
      </c>
    </row>
    <row r="269" customFormat="false" ht="15" hidden="false" customHeight="false" outlineLevel="2" collapsed="false">
      <c r="A269" s="4" t="s">
        <v>588</v>
      </c>
      <c r="B269" s="11" t="s">
        <v>65</v>
      </c>
      <c r="C269" s="31" t="n">
        <f aca="false">輸入與假設!$C$219-輸入與假設!$C$265-輸入與假設!$C$266/輸入與假設!$C$268</f>
        <v>7.38670501999999</v>
      </c>
      <c r="I269" s="6" t="s">
        <v>589</v>
      </c>
    </row>
    <row r="270" customFormat="false" ht="15" hidden="false" customHeight="false" outlineLevel="2" collapsed="false">
      <c r="A270" s="14" t="s">
        <v>59</v>
      </c>
      <c r="B270" s="14" t="s">
        <v>60</v>
      </c>
      <c r="C270" s="28" t="s">
        <v>61</v>
      </c>
      <c r="D270" s="28" t="s">
        <v>62</v>
      </c>
      <c r="E270" s="28" t="s">
        <v>63</v>
      </c>
      <c r="F270" s="28" t="s">
        <v>153</v>
      </c>
      <c r="G270" s="28" t="s">
        <v>154</v>
      </c>
      <c r="I270" s="14" t="s">
        <v>206</v>
      </c>
    </row>
    <row r="271" customFormat="false" ht="15" hidden="false" customHeight="false" outlineLevel="2" collapsed="false">
      <c r="A271" s="4" t="s">
        <v>590</v>
      </c>
      <c r="B271" s="11" t="s">
        <v>65</v>
      </c>
      <c r="C271" s="31" t="n">
        <f aca="false">輸入與假設!$C$262</f>
        <v>72.0070247</v>
      </c>
      <c r="D271" s="31" t="n">
        <f aca="false">C271+(運營_產能與收入!C$54-C252)*C226/C225</f>
        <v>140.15632189686</v>
      </c>
      <c r="E271" s="31" t="n">
        <f aca="false">D271+(運營_產能與收入!D$54-D252)*D226/D225</f>
        <v>292.45028111286</v>
      </c>
      <c r="F271" s="31" t="n">
        <f aca="false">E271+(運營_產能與收入!E$54-E252)*E226/E225</f>
        <v>450.81015148086</v>
      </c>
      <c r="G271" s="31" t="n">
        <f aca="false">F271+(運營_產能與收入!F$54-F252)*F226/F225</f>
        <v>609.17002184886</v>
      </c>
      <c r="I271" s="6" t="s">
        <v>591</v>
      </c>
    </row>
    <row r="272" customFormat="false" ht="15" hidden="false" customHeight="false" outlineLevel="2" collapsed="false">
      <c r="A272" s="4" t="s">
        <v>592</v>
      </c>
      <c r="B272" s="11" t="s">
        <v>65</v>
      </c>
      <c r="C272" s="31" t="n">
        <f aca="false">輸入與假設!$C$263</f>
        <v>26.3536</v>
      </c>
      <c r="D272" s="31" t="n">
        <f aca="false">C272+(運營_產能與收入!C$54-C252)*(1-C226/C225)</f>
        <v>47.7810428960562</v>
      </c>
      <c r="E272" s="31" t="n">
        <f aca="false">D272+(運營_產能與收入!D$54-D252)*(1-D226/D225)</f>
        <v>93.7579388960562</v>
      </c>
      <c r="F272" s="31" t="n">
        <f aca="false">E272+(運營_產能與收入!E$54-E252)*(1-E226/E225)</f>
        <v>139.734834896056</v>
      </c>
      <c r="G272" s="31" t="n">
        <f aca="false">F272+(運營_產能與收入!F$54-F252)*(1-F226/F225)</f>
        <v>185.711730896056</v>
      </c>
      <c r="I272" s="6" t="s">
        <v>593</v>
      </c>
    </row>
    <row r="273" customFormat="false" ht="15" hidden="false" customHeight="false" outlineLevel="2" collapsed="false">
      <c r="A273" s="4" t="s">
        <v>594</v>
      </c>
      <c r="B273" s="11" t="s">
        <v>65</v>
      </c>
      <c r="C273" s="31" t="n">
        <f aca="false">((C271+0.5*(運營_產能與收入!C$54-C252)*C226/C225)/輸入與假設!$C$216+(C272+0.5*(運營_產能與收入!C$54-C252)*(1-C226/C225))/輸入與假設!$C$264)*C34</f>
        <v>9.76816337663133</v>
      </c>
      <c r="D273" s="31" t="n">
        <f aca="false">((D271+0.5*(運營_產能與收入!D$54-D252)*D226/D225)/輸入與假設!$C$216+(D272+0.5*(運營_產能與收入!D$54-D252)*(1-D226/D225))/輸入與假設!$C$264)*D34</f>
        <v>39.5941449245253</v>
      </c>
      <c r="E273" s="31" t="n">
        <f aca="false">((E271+0.5*(運營_產能與收入!E$54-E252)*E226/E225)/輸入與假設!$C$216+(E272+0.5*(運營_產能與收入!E$54-E252)*(1-E226/E225))/輸入與假設!$C$264)*E34</f>
        <v>67.7841352565253</v>
      </c>
      <c r="F273" s="31" t="n">
        <f aca="false">((F271+0.5*(運營_產能與收入!F$54-F252)*F226/F225)/輸入與假設!$C$216+(F272+0.5*(運營_產能與收入!F$54-F252)*(1-F226/F225))/輸入與假設!$C$264)*F34</f>
        <v>96.4796181845253</v>
      </c>
      <c r="G273" s="31" t="n">
        <f aca="false">((G271+0.5*(運營_產能與收入!G$54-G252)*G226/G225)/輸入與假設!$C$216+(G272+0.5*(運營_產能與收入!G$54-G252)*(1-G226/G225))/輸入與假設!$C$264)*G34</f>
        <v>125.175101112525</v>
      </c>
      <c r="I273" s="6" t="s">
        <v>595</v>
      </c>
    </row>
    <row r="274" customFormat="false" ht="15" hidden="false" customHeight="false" outlineLevel="2" collapsed="false">
      <c r="A274" s="3" t="s">
        <v>596</v>
      </c>
      <c r="B274" s="11" t="s">
        <v>65</v>
      </c>
      <c r="C274" s="31" t="n">
        <f aca="false">輸入與假設!$C$266</f>
        <v>347.6853753</v>
      </c>
      <c r="D274" s="31" t="n">
        <f aca="false">C274+C252</f>
        <v>381.798635207084</v>
      </c>
      <c r="E274" s="31" t="n">
        <f aca="false">D274+D252</f>
        <v>459.753604523965</v>
      </c>
      <c r="F274" s="31" t="n">
        <f aca="false">E274+E252</f>
        <v>547.08039044758</v>
      </c>
      <c r="G274" s="31" t="n">
        <f aca="false">F274+F252</f>
        <v>642.882547347576</v>
      </c>
      <c r="I274" s="6" t="s">
        <v>597</v>
      </c>
    </row>
    <row r="275" customFormat="false" ht="15" hidden="false" customHeight="false" outlineLevel="2" collapsed="false">
      <c r="A275" s="3" t="s">
        <v>598</v>
      </c>
      <c r="B275" s="11" t="s">
        <v>65</v>
      </c>
      <c r="C275" s="31" t="n">
        <f aca="false">(C274+0.5*C252)/輸入與假設!$C$268*C34</f>
        <v>18.2371002626771</v>
      </c>
      <c r="D275" s="31" t="n">
        <f aca="false">(D274+0.5*D252)/輸入與假設!$C$268*D34</f>
        <v>42.0776119865525</v>
      </c>
      <c r="E275" s="31" t="n">
        <f aca="false">(E274+0.5*E252)/輸入與假設!$C$268*E34</f>
        <v>50.3416997485773</v>
      </c>
      <c r="F275" s="31" t="n">
        <f aca="false">(F274+0.5*F252)/輸入與假設!$C$268*F34</f>
        <v>59.4981468897578</v>
      </c>
      <c r="G275" s="31" t="n">
        <f aca="false">(G274+0.5*G252)/輸入與假設!$C$268*G34</f>
        <v>69.429518781388</v>
      </c>
      <c r="I275" s="6" t="s">
        <v>599</v>
      </c>
    </row>
    <row r="276" customFormat="false" ht="15" hidden="false" customHeight="false" outlineLevel="1" collapsed="false">
      <c r="A276" s="33" t="s">
        <v>600</v>
      </c>
      <c r="B276" s="20"/>
      <c r="C276" s="20"/>
      <c r="D276" s="20"/>
      <c r="E276" s="20"/>
      <c r="F276" s="20"/>
      <c r="G276" s="20"/>
      <c r="H276" s="20"/>
    </row>
    <row r="277" customFormat="false" ht="15" hidden="false" customHeight="false" outlineLevel="2" collapsed="false">
      <c r="A277" s="3" t="s">
        <v>601</v>
      </c>
      <c r="B277" s="11" t="s">
        <v>65</v>
      </c>
      <c r="C277" s="42" t="n">
        <f aca="false">C253+C258</f>
        <v>123.69</v>
      </c>
      <c r="D277" s="42" t="n">
        <f aca="false">D253+D258</f>
        <v>276.225824532882</v>
      </c>
      <c r="E277" s="42" t="n">
        <f aca="false">E253+E258</f>
        <v>291.663552291615</v>
      </c>
      <c r="F277" s="42" t="n">
        <f aca="false">F253+F258</f>
        <v>305.375691467996</v>
      </c>
      <c r="G277" s="42" t="n">
        <f aca="false">G253+G258</f>
        <v>427.863735679275</v>
      </c>
      <c r="I277" s="6" t="s">
        <v>602</v>
      </c>
    </row>
    <row r="278" customFormat="false" ht="15" hidden="false" customHeight="false" outlineLevel="2" collapsed="false">
      <c r="A278" s="4" t="s">
        <v>603</v>
      </c>
      <c r="B278" s="11" t="s">
        <v>65</v>
      </c>
      <c r="C278" s="42" t="n">
        <f aca="false">C273+C275</f>
        <v>28.0052636393084</v>
      </c>
      <c r="D278" s="42" t="n">
        <f aca="false">D273+D275</f>
        <v>81.6717569110778</v>
      </c>
      <c r="E278" s="42" t="n">
        <f aca="false">E273+E275</f>
        <v>118.125835005103</v>
      </c>
      <c r="F278" s="42" t="n">
        <f aca="false">F273+F275</f>
        <v>155.977765074283</v>
      </c>
      <c r="G278" s="42" t="n">
        <f aca="false">G273+G275</f>
        <v>194.604619893913</v>
      </c>
      <c r="I278" s="6" t="s">
        <v>604</v>
      </c>
    </row>
    <row r="280" customFormat="false" ht="15" hidden="false" customHeight="false" outlineLevel="0" collapsed="false">
      <c r="A280" s="7" t="s">
        <v>605</v>
      </c>
      <c r="B280" s="8"/>
      <c r="C280" s="8"/>
      <c r="D280" s="8"/>
      <c r="E280" s="8"/>
      <c r="F280" s="8"/>
      <c r="G280" s="8"/>
      <c r="H280" s="8"/>
    </row>
    <row r="281" customFormat="false" ht="15" hidden="false" customHeight="false" outlineLevel="1" collapsed="false">
      <c r="A281" s="3" t="s">
        <v>606</v>
      </c>
      <c r="B281" s="11" t="s">
        <v>65</v>
      </c>
      <c r="C281" s="24" t="n">
        <v>122.988</v>
      </c>
      <c r="I281" s="6" t="s">
        <v>607</v>
      </c>
    </row>
    <row r="282" customFormat="false" ht="15" hidden="false" customHeight="false" outlineLevel="1" collapsed="false">
      <c r="A282" s="3" t="s">
        <v>608</v>
      </c>
      <c r="B282" s="11" t="s">
        <v>65</v>
      </c>
      <c r="C282" s="24" t="n">
        <v>0</v>
      </c>
      <c r="I282" s="6" t="s">
        <v>609</v>
      </c>
    </row>
    <row r="283" customFormat="false" ht="15" hidden="false" customHeight="false" outlineLevel="1" collapsed="false">
      <c r="A283" s="3" t="s">
        <v>610</v>
      </c>
      <c r="B283" s="6"/>
      <c r="C283" s="21" t="n">
        <v>1</v>
      </c>
      <c r="I283" s="6" t="s">
        <v>611</v>
      </c>
    </row>
    <row r="284" customFormat="false" ht="15" hidden="false" customHeight="false" outlineLevel="1" collapsed="false">
      <c r="A284" s="3" t="s">
        <v>612</v>
      </c>
      <c r="B284" s="11" t="s">
        <v>65</v>
      </c>
      <c r="C284" s="24" t="n">
        <v>20</v>
      </c>
      <c r="I284" s="6" t="s">
        <v>613</v>
      </c>
    </row>
    <row r="285" customFormat="false" ht="15" hidden="false" customHeight="false" outlineLevel="1" collapsed="false">
      <c r="A285" s="3" t="s">
        <v>614</v>
      </c>
      <c r="B285" s="6"/>
      <c r="C285" s="21" t="n">
        <v>0</v>
      </c>
      <c r="I285" s="6" t="s">
        <v>615</v>
      </c>
    </row>
    <row r="286" customFormat="false" ht="15" hidden="false" customHeight="false" outlineLevel="1" collapsed="false">
      <c r="A286" s="3" t="s">
        <v>616</v>
      </c>
      <c r="B286" s="6"/>
      <c r="C286" s="21" t="n">
        <v>1</v>
      </c>
      <c r="I286" s="6" t="s">
        <v>617</v>
      </c>
    </row>
    <row r="287" customFormat="false" ht="15" hidden="false" customHeight="false" outlineLevel="1" collapsed="false">
      <c r="A287" s="3" t="s">
        <v>618</v>
      </c>
      <c r="B287" s="11" t="s">
        <v>111</v>
      </c>
      <c r="C287" s="43" t="n">
        <v>0.5</v>
      </c>
      <c r="I287" s="6" t="s">
        <v>619</v>
      </c>
    </row>
    <row r="288" customFormat="false" ht="15" hidden="false" customHeight="false" outlineLevel="1" collapsed="false">
      <c r="A288" s="3" t="s">
        <v>620</v>
      </c>
      <c r="B288" s="6"/>
      <c r="C288" s="27" t="s">
        <v>621</v>
      </c>
      <c r="I288" s="11" t="s">
        <v>622</v>
      </c>
    </row>
    <row r="289" customFormat="false" ht="15" hidden="false" customHeight="false" outlineLevel="1" collapsed="false">
      <c r="A289" s="3" t="s">
        <v>623</v>
      </c>
      <c r="B289" s="11" t="s">
        <v>111</v>
      </c>
      <c r="C289" s="43" t="n">
        <v>3</v>
      </c>
      <c r="I289" s="11" t="s">
        <v>624</v>
      </c>
    </row>
    <row r="290" customFormat="false" ht="15" hidden="false" customHeight="false" outlineLevel="1" collapsed="false">
      <c r="A290" s="3" t="s">
        <v>625</v>
      </c>
      <c r="B290" s="6" t="s">
        <v>184</v>
      </c>
      <c r="C290" s="21" t="n">
        <v>3</v>
      </c>
      <c r="I290" s="11" t="s">
        <v>626</v>
      </c>
    </row>
    <row r="291" customFormat="false" ht="15" hidden="false" customHeight="false" outlineLevel="1" collapsed="false">
      <c r="A291" s="3" t="s">
        <v>627</v>
      </c>
      <c r="B291" s="11" t="s">
        <v>39</v>
      </c>
      <c r="C291" s="44" t="n">
        <v>0</v>
      </c>
      <c r="I291" s="6" t="s">
        <v>628</v>
      </c>
    </row>
    <row r="292" customFormat="false" ht="15" hidden="false" customHeight="false" outlineLevel="1" collapsed="false">
      <c r="A292" s="3" t="s">
        <v>629</v>
      </c>
      <c r="B292" s="11" t="s">
        <v>42</v>
      </c>
      <c r="C292" s="23" t="n">
        <v>0</v>
      </c>
      <c r="I292" s="6" t="s">
        <v>630</v>
      </c>
    </row>
    <row r="293" customFormat="false" ht="15" hidden="false" customHeight="false" outlineLevel="1" collapsed="false">
      <c r="A293" s="3" t="s">
        <v>631</v>
      </c>
      <c r="B293" s="11" t="s">
        <v>632</v>
      </c>
      <c r="C293" s="45" t="n">
        <v>10.786314</v>
      </c>
      <c r="I293" s="6" t="s">
        <v>633</v>
      </c>
    </row>
    <row r="294" customFormat="false" ht="15" hidden="false" customHeight="false" outlineLevel="1" collapsed="false">
      <c r="A294" s="3" t="s">
        <v>634</v>
      </c>
      <c r="B294" s="11" t="s">
        <v>65</v>
      </c>
      <c r="C294" s="24" t="n">
        <v>50</v>
      </c>
      <c r="I294" s="6" t="s">
        <v>635</v>
      </c>
    </row>
    <row r="295" customFormat="false" ht="15" hidden="false" customHeight="false" outlineLevel="1" collapsed="false">
      <c r="A295" s="3" t="s">
        <v>636</v>
      </c>
      <c r="B295" s="11" t="s">
        <v>65</v>
      </c>
      <c r="C295" s="24" t="n">
        <v>0</v>
      </c>
      <c r="I295" s="6" t="s">
        <v>637</v>
      </c>
    </row>
    <row r="296" customFormat="false" ht="15" hidden="false" customHeight="false" outlineLevel="1" collapsed="false">
      <c r="A296" s="3" t="s">
        <v>638</v>
      </c>
      <c r="B296" s="11" t="s">
        <v>42</v>
      </c>
      <c r="C296" s="23" t="n">
        <v>0</v>
      </c>
      <c r="I296" s="11" t="s">
        <v>639</v>
      </c>
    </row>
    <row r="297" customFormat="false" ht="15" hidden="false" customHeight="false" outlineLevel="1" collapsed="false">
      <c r="A297" s="3" t="s">
        <v>640</v>
      </c>
      <c r="B297" s="11" t="s">
        <v>39</v>
      </c>
      <c r="C297" s="44" t="n">
        <v>259.92</v>
      </c>
      <c r="I297" s="6" t="s">
        <v>641</v>
      </c>
    </row>
    <row r="298" customFormat="false" ht="15" hidden="false" customHeight="false" outlineLevel="1" collapsed="false">
      <c r="A298" s="3" t="s">
        <v>642</v>
      </c>
      <c r="B298" s="11" t="s">
        <v>42</v>
      </c>
      <c r="C298" s="23" t="n">
        <v>0.1</v>
      </c>
      <c r="I298" s="6" t="s">
        <v>643</v>
      </c>
    </row>
    <row r="299" customFormat="false" ht="15" hidden="false" customHeight="false" outlineLevel="1" collapsed="false">
      <c r="A299" s="3" t="s">
        <v>644</v>
      </c>
      <c r="B299" s="11" t="s">
        <v>42</v>
      </c>
      <c r="C299" s="23" t="n">
        <v>0.05</v>
      </c>
      <c r="I299" s="6" t="s">
        <v>645</v>
      </c>
    </row>
    <row r="300" customFormat="false" ht="15" hidden="false" customHeight="false" outlineLevel="1" collapsed="false">
      <c r="A300" s="3" t="s">
        <v>646</v>
      </c>
      <c r="B300" s="11" t="s">
        <v>632</v>
      </c>
      <c r="C300" s="45" t="n">
        <v>10.786314</v>
      </c>
      <c r="I300" s="6" t="s">
        <v>647</v>
      </c>
    </row>
    <row r="301" customFormat="false" ht="15" hidden="false" customHeight="false" outlineLevel="1" collapsed="false">
      <c r="A301" s="3" t="s">
        <v>648</v>
      </c>
      <c r="B301" s="11" t="s">
        <v>649</v>
      </c>
      <c r="C301" s="24" t="n">
        <v>0</v>
      </c>
      <c r="I301" s="6" t="s">
        <v>650</v>
      </c>
    </row>
    <row r="302" customFormat="false" ht="15" hidden="false" customHeight="false" outlineLevel="1" collapsed="false">
      <c r="A302" s="3" t="s">
        <v>651</v>
      </c>
      <c r="B302" s="11" t="s">
        <v>649</v>
      </c>
      <c r="C302" s="24" t="n">
        <v>0</v>
      </c>
      <c r="I302" s="6" t="s">
        <v>650</v>
      </c>
    </row>
    <row r="303" customFormat="false" ht="15" hidden="false" customHeight="false" outlineLevel="1" collapsed="false">
      <c r="A303" s="3" t="s">
        <v>652</v>
      </c>
      <c r="B303" s="11" t="s">
        <v>649</v>
      </c>
      <c r="C303" s="24" t="n">
        <v>0</v>
      </c>
      <c r="I303" s="6" t="s">
        <v>650</v>
      </c>
    </row>
    <row r="304" customFormat="false" ht="15" hidden="false" customHeight="false" outlineLevel="1" collapsed="false">
      <c r="A304" s="3" t="s">
        <v>653</v>
      </c>
      <c r="B304" s="11" t="s">
        <v>649</v>
      </c>
      <c r="C304" s="31" t="n">
        <f aca="false">CHOOSE(輸入與假設!$C$5,輸入與假設!$C$301,輸入與假設!$C$302,輸入與假設!$C$303)</f>
        <v>0</v>
      </c>
      <c r="I304" s="6" t="s">
        <v>654</v>
      </c>
    </row>
    <row r="305" customFormat="false" ht="15" hidden="false" customHeight="false" outlineLevel="1" collapsed="false">
      <c r="A305" s="3" t="s">
        <v>655</v>
      </c>
      <c r="B305" s="11" t="s">
        <v>42</v>
      </c>
      <c r="C305" s="23" t="n">
        <v>0</v>
      </c>
      <c r="I305" s="11" t="s">
        <v>656</v>
      </c>
    </row>
    <row r="306" customFormat="false" ht="15" hidden="false" customHeight="false" outlineLevel="1" collapsed="false">
      <c r="A306" s="3" t="s">
        <v>657</v>
      </c>
      <c r="B306" s="11" t="s">
        <v>42</v>
      </c>
      <c r="C306" s="23" t="n">
        <v>0</v>
      </c>
      <c r="I306" s="11" t="s">
        <v>658</v>
      </c>
    </row>
    <row r="307" customFormat="false" ht="15" hidden="false" customHeight="false" outlineLevel="1" collapsed="false">
      <c r="A307" s="3" t="s">
        <v>659</v>
      </c>
      <c r="B307" s="11" t="s">
        <v>42</v>
      </c>
      <c r="C307" s="23" t="n">
        <v>0.12</v>
      </c>
      <c r="I307" s="6" t="s">
        <v>660</v>
      </c>
    </row>
    <row r="308" customFormat="false" ht="15" hidden="false" customHeight="false" outlineLevel="1" collapsed="false">
      <c r="A308" s="3" t="s">
        <v>661</v>
      </c>
      <c r="B308" s="11" t="s">
        <v>42</v>
      </c>
      <c r="C308" s="23" t="n">
        <v>0.1736</v>
      </c>
      <c r="I308" s="6" t="s">
        <v>662</v>
      </c>
    </row>
    <row r="309" customFormat="false" ht="15" hidden="false" customHeight="false" outlineLevel="1" collapsed="false">
      <c r="A309" s="4" t="s">
        <v>663</v>
      </c>
      <c r="B309" s="11" t="s">
        <v>664</v>
      </c>
      <c r="C309" s="21"/>
      <c r="I309" s="6" t="s">
        <v>665</v>
      </c>
    </row>
    <row r="310" customFormat="false" ht="15" hidden="false" customHeight="false" outlineLevel="1" collapsed="false">
      <c r="A310" s="4" t="s">
        <v>666</v>
      </c>
      <c r="B310" s="6"/>
      <c r="C310" s="21" t="n">
        <v>0</v>
      </c>
      <c r="I310" s="6" t="s">
        <v>667</v>
      </c>
    </row>
    <row r="311" customFormat="false" ht="15" hidden="false" customHeight="false" outlineLevel="1" collapsed="false">
      <c r="A311" s="4" t="s">
        <v>668</v>
      </c>
      <c r="B311" s="11" t="s">
        <v>664</v>
      </c>
      <c r="C311" s="21" t="n">
        <v>450</v>
      </c>
      <c r="I311" s="11" t="s">
        <v>669</v>
      </c>
    </row>
    <row r="312" customFormat="false" ht="15" hidden="false" customHeight="false" outlineLevel="1" collapsed="false">
      <c r="A312" s="4" t="s">
        <v>670</v>
      </c>
      <c r="B312" s="11" t="s">
        <v>42</v>
      </c>
      <c r="C312" s="23" t="n">
        <v>0.4</v>
      </c>
      <c r="I312" s="6" t="s">
        <v>671</v>
      </c>
    </row>
    <row r="313" customFormat="false" ht="15" hidden="false" customHeight="false" outlineLevel="1" collapsed="false">
      <c r="A313" s="14" t="s">
        <v>59</v>
      </c>
      <c r="B313" s="14" t="s">
        <v>60</v>
      </c>
      <c r="C313" s="28" t="s">
        <v>61</v>
      </c>
      <c r="D313" s="28" t="s">
        <v>62</v>
      </c>
      <c r="E313" s="28" t="s">
        <v>63</v>
      </c>
      <c r="F313" s="28" t="s">
        <v>153</v>
      </c>
      <c r="G313" s="28" t="s">
        <v>154</v>
      </c>
      <c r="I313" s="14" t="s">
        <v>206</v>
      </c>
    </row>
    <row r="314" customFormat="false" ht="15" hidden="false" customHeight="false" outlineLevel="1" collapsed="false">
      <c r="A314" s="3" t="s">
        <v>672</v>
      </c>
      <c r="B314" s="11" t="s">
        <v>65</v>
      </c>
      <c r="C314" s="24" t="n">
        <v>0</v>
      </c>
      <c r="D314" s="24" t="n">
        <v>0</v>
      </c>
      <c r="E314" s="24" t="n">
        <v>0</v>
      </c>
      <c r="F314" s="24" t="n">
        <v>0</v>
      </c>
      <c r="G314" s="24" t="n">
        <v>0</v>
      </c>
      <c r="I314" s="6" t="s">
        <v>673</v>
      </c>
    </row>
    <row r="315" customFormat="false" ht="15" hidden="false" customHeight="false" outlineLevel="1" collapsed="false">
      <c r="A315" s="3" t="s">
        <v>674</v>
      </c>
      <c r="B315" s="11" t="s">
        <v>65</v>
      </c>
      <c r="C315" s="24" t="n">
        <v>0</v>
      </c>
      <c r="D315" s="24" t="n">
        <v>8.837</v>
      </c>
      <c r="E315" s="24" t="n">
        <v>12.294</v>
      </c>
      <c r="F315" s="24" t="n">
        <v>9.17</v>
      </c>
      <c r="G315" s="24" t="n">
        <v>7.085</v>
      </c>
      <c r="I315" s="6" t="s">
        <v>675</v>
      </c>
    </row>
    <row r="316" customFormat="false" ht="15" hidden="false" customHeight="false" outlineLevel="1" collapsed="false">
      <c r="A316" s="3" t="s">
        <v>676</v>
      </c>
      <c r="B316" s="11" t="s">
        <v>42</v>
      </c>
      <c r="C316" s="23" t="n">
        <v>0.05</v>
      </c>
      <c r="D316" s="23" t="n">
        <v>0.05</v>
      </c>
      <c r="E316" s="23" t="n">
        <v>0.05</v>
      </c>
      <c r="F316" s="23" t="n">
        <v>0.05</v>
      </c>
      <c r="G316" s="23" t="n">
        <v>0.05</v>
      </c>
      <c r="I316" s="6" t="s">
        <v>677</v>
      </c>
    </row>
    <row r="317" customFormat="false" ht="15" hidden="false" customHeight="false" outlineLevel="1" collapsed="false">
      <c r="A317" s="3" t="s">
        <v>678</v>
      </c>
      <c r="B317" s="11" t="s">
        <v>65</v>
      </c>
      <c r="C317" s="39" t="n">
        <f aca="false">資產負債_既有債務!C43</f>
        <v>2.701165075</v>
      </c>
      <c r="D317" s="39" t="n">
        <f aca="false">資產負債_既有債務!D43</f>
        <v>5.22284824641133</v>
      </c>
      <c r="E317" s="39" t="n">
        <f aca="false">資產負債_既有債務!E43</f>
        <v>4.79367181722358</v>
      </c>
      <c r="F317" s="39" t="n">
        <f aca="false">資產負債_既有債務!F43</f>
        <v>4.35773206633219</v>
      </c>
      <c r="G317" s="39" t="n">
        <f aca="false">資產負債_既有債務!G43</f>
        <v>4.027588539928</v>
      </c>
      <c r="I317" s="6" t="s">
        <v>679</v>
      </c>
    </row>
    <row r="319" customFormat="false" ht="15" hidden="false" customHeight="false" outlineLevel="0" collapsed="false">
      <c r="A319" s="7" t="s">
        <v>680</v>
      </c>
      <c r="B319" s="8"/>
      <c r="C319" s="8"/>
      <c r="D319" s="8"/>
      <c r="E319" s="8"/>
      <c r="F319" s="8"/>
      <c r="G319" s="8"/>
      <c r="H319" s="8"/>
    </row>
    <row r="320" customFormat="false" ht="15" hidden="false" customHeight="false" outlineLevel="1" collapsed="false">
      <c r="A320" s="3" t="s">
        <v>681</v>
      </c>
      <c r="B320" s="11" t="s">
        <v>39</v>
      </c>
      <c r="C320" s="44" t="n">
        <v>259.92</v>
      </c>
      <c r="I320" s="11" t="s">
        <v>682</v>
      </c>
    </row>
    <row r="321" customFormat="false" ht="15" hidden="false" customHeight="false" outlineLevel="1" collapsed="false">
      <c r="A321" s="3" t="s">
        <v>683</v>
      </c>
      <c r="B321" s="11" t="s">
        <v>632</v>
      </c>
      <c r="C321" s="45" t="n">
        <v>11.030314</v>
      </c>
      <c r="I321" s="6" t="s">
        <v>684</v>
      </c>
    </row>
    <row r="322" customFormat="false" ht="15" hidden="false" customHeight="false" outlineLevel="1" collapsed="false">
      <c r="A322" s="3" t="s">
        <v>685</v>
      </c>
      <c r="B322" s="11" t="s">
        <v>65</v>
      </c>
      <c r="C322" s="24" t="n">
        <v>10.007</v>
      </c>
      <c r="I322" s="6" t="s">
        <v>686</v>
      </c>
    </row>
    <row r="323" customFormat="false" ht="15" hidden="false" customHeight="false" outlineLevel="1" collapsed="false">
      <c r="A323" s="3" t="s">
        <v>687</v>
      </c>
      <c r="B323" s="11" t="s">
        <v>42</v>
      </c>
      <c r="C323" s="23" t="n">
        <v>0.2</v>
      </c>
      <c r="I323" s="6" t="s">
        <v>688</v>
      </c>
    </row>
    <row r="324" customFormat="false" ht="15" hidden="false" customHeight="false" outlineLevel="1" collapsed="false">
      <c r="A324" s="4" t="s">
        <v>689</v>
      </c>
      <c r="B324" s="11" t="s">
        <v>65</v>
      </c>
      <c r="C324" s="24" t="n">
        <v>965</v>
      </c>
      <c r="I324" s="6" t="s">
        <v>690</v>
      </c>
    </row>
    <row r="325" customFormat="false" ht="15" hidden="false" customHeight="false" outlineLevel="1" collapsed="false">
      <c r="A325" s="4" t="s">
        <v>691</v>
      </c>
      <c r="B325" s="11" t="s">
        <v>42</v>
      </c>
      <c r="C325" s="23" t="n">
        <v>0.18</v>
      </c>
      <c r="I325" s="6"/>
    </row>
    <row r="326" customFormat="false" ht="15" hidden="false" customHeight="false" outlineLevel="1" collapsed="false">
      <c r="A326" s="4" t="s">
        <v>692</v>
      </c>
      <c r="B326" s="6"/>
      <c r="C326" s="21" t="n">
        <v>0</v>
      </c>
      <c r="I326" s="11" t="s">
        <v>693</v>
      </c>
    </row>
    <row r="327" customFormat="false" ht="15" hidden="false" customHeight="false" outlineLevel="1" collapsed="false">
      <c r="A327" s="4" t="s">
        <v>694</v>
      </c>
      <c r="B327" s="11" t="s">
        <v>65</v>
      </c>
      <c r="C327" s="24" t="n">
        <v>840</v>
      </c>
      <c r="I327" s="6" t="s">
        <v>695</v>
      </c>
    </row>
    <row r="328" customFormat="false" ht="15" hidden="false" customHeight="false" outlineLevel="1" collapsed="false">
      <c r="A328" s="4" t="s">
        <v>696</v>
      </c>
      <c r="B328" s="11" t="s">
        <v>42</v>
      </c>
      <c r="C328" s="23" t="n">
        <v>0.0595</v>
      </c>
      <c r="I328" s="6"/>
    </row>
    <row r="329" customFormat="false" ht="15" hidden="false" customHeight="false" outlineLevel="1" collapsed="false">
      <c r="A329" s="4" t="s">
        <v>697</v>
      </c>
      <c r="B329" s="6"/>
      <c r="C329" s="21" t="n">
        <v>0</v>
      </c>
      <c r="I329" s="11" t="s">
        <v>693</v>
      </c>
    </row>
    <row r="330" customFormat="false" ht="15" hidden="false" customHeight="false" outlineLevel="1" collapsed="false">
      <c r="A330" s="3" t="s">
        <v>698</v>
      </c>
      <c r="B330" s="11" t="s">
        <v>65</v>
      </c>
      <c r="C330" s="31" t="n">
        <f aca="false">輸入與假設!$C$324*輸入與假設!$C$325*(1-IF(輸入與假設!$C$326=1,0,輸入與假設!$C$323))+輸入與假設!$C$327*輸入與假設!$C$328*(1-IF(輸入與假設!$C$329=1,0,輸入與假設!$C$323))</f>
        <v>178.944</v>
      </c>
      <c r="I330" s="6" t="s">
        <v>699</v>
      </c>
    </row>
    <row r="331" customFormat="false" ht="15" hidden="false" customHeight="false" outlineLevel="1" collapsed="false">
      <c r="A331" s="3" t="s">
        <v>700</v>
      </c>
      <c r="B331" s="11" t="s">
        <v>65</v>
      </c>
      <c r="C331" s="31" t="n">
        <f aca="false">0-輸入與假設!$C$330</f>
        <v>-178.944</v>
      </c>
      <c r="I331" s="6" t="s">
        <v>701</v>
      </c>
    </row>
    <row r="332" customFormat="false" ht="15" hidden="false" customHeight="false" outlineLevel="1" collapsed="false">
      <c r="A332" s="3" t="s">
        <v>702</v>
      </c>
      <c r="B332" s="11" t="s">
        <v>42</v>
      </c>
      <c r="C332" s="23" t="n">
        <v>0.1736</v>
      </c>
      <c r="I332" s="11" t="s">
        <v>703</v>
      </c>
    </row>
    <row r="333" customFormat="false" ht="15" hidden="false" customHeight="false" outlineLevel="1" collapsed="false">
      <c r="A333" s="3" t="s">
        <v>704</v>
      </c>
      <c r="B333" s="11" t="s">
        <v>42</v>
      </c>
      <c r="C333" s="23" t="n">
        <v>0.0528</v>
      </c>
      <c r="I333" s="11" t="s">
        <v>705</v>
      </c>
    </row>
    <row r="334" customFormat="false" ht="15" hidden="false" customHeight="false" outlineLevel="1" collapsed="false">
      <c r="A334" s="4" t="s">
        <v>706</v>
      </c>
      <c r="B334" s="11" t="s">
        <v>111</v>
      </c>
      <c r="C334" s="37" t="n">
        <v>1.5135</v>
      </c>
      <c r="I334" s="11" t="s">
        <v>707</v>
      </c>
    </row>
    <row r="335" customFormat="false" ht="15" hidden="false" customHeight="false" outlineLevel="1" collapsed="false">
      <c r="A335" s="4" t="s">
        <v>708</v>
      </c>
      <c r="B335" s="11" t="s">
        <v>42</v>
      </c>
      <c r="C335" s="23" t="n">
        <v>0.05</v>
      </c>
      <c r="I335" s="11" t="s">
        <v>709</v>
      </c>
    </row>
    <row r="336" customFormat="false" ht="15" hidden="false" customHeight="false" outlineLevel="1" collapsed="false">
      <c r="A336" s="3" t="s">
        <v>710</v>
      </c>
      <c r="B336" s="11" t="s">
        <v>42</v>
      </c>
      <c r="C336" s="38" t="n">
        <f aca="false">輸入與假設!$C$333+輸入與假設!$C$334*輸入與假設!$C$335</f>
        <v>0.128475</v>
      </c>
      <c r="I336" s="11" t="s">
        <v>711</v>
      </c>
    </row>
    <row r="337" customFormat="false" ht="15" hidden="false" customHeight="false" outlineLevel="1" collapsed="false">
      <c r="A337" s="3" t="s">
        <v>712</v>
      </c>
      <c r="B337" s="11" t="s">
        <v>42</v>
      </c>
      <c r="C337" s="23" t="n">
        <v>0.0633</v>
      </c>
      <c r="I337" s="11" t="s">
        <v>713</v>
      </c>
    </row>
    <row r="338" customFormat="false" ht="15" hidden="false" customHeight="false" outlineLevel="1" collapsed="false">
      <c r="A338" s="3" t="s">
        <v>714</v>
      </c>
      <c r="B338" s="11" t="s">
        <v>65</v>
      </c>
      <c r="C338" s="31" t="n">
        <f aca="false">輸入與假設!$C$320*10.786314</f>
        <v>2803.57873488</v>
      </c>
      <c r="I338" s="6" t="s">
        <v>715</v>
      </c>
    </row>
    <row r="339" customFormat="false" ht="15" hidden="false" customHeight="false" outlineLevel="1" collapsed="false">
      <c r="A339" s="3" t="s">
        <v>716</v>
      </c>
      <c r="B339" s="11" t="s">
        <v>65</v>
      </c>
      <c r="C339" s="24" t="n">
        <v>132.995</v>
      </c>
      <c r="I339" s="6" t="s">
        <v>717</v>
      </c>
    </row>
    <row r="340" customFormat="false" ht="15" hidden="false" customHeight="false" outlineLevel="1" collapsed="false">
      <c r="A340" s="4" t="s">
        <v>718</v>
      </c>
      <c r="B340" s="11" t="s">
        <v>42</v>
      </c>
      <c r="C340" s="38" t="n">
        <f aca="false">輸入與假設!$C$338/(輸入與假設!$C$339+輸入與假設!$C$338)*輸入與假設!$C$336+輸入與假設!$C$339/(輸入與假設!$C$339+輸入與假設!$C$338)*輸入與假設!$C$337*(1-輸入與假設!$C$332)</f>
        <v>0.125025600756152</v>
      </c>
      <c r="I340" s="11" t="s">
        <v>719</v>
      </c>
    </row>
    <row r="341" customFormat="false" ht="15" hidden="false" customHeight="false" outlineLevel="1" collapsed="false">
      <c r="A341" s="4" t="s">
        <v>720</v>
      </c>
      <c r="B341" s="11" t="s">
        <v>42</v>
      </c>
      <c r="C341" s="23"/>
      <c r="I341" s="11" t="s">
        <v>721</v>
      </c>
    </row>
    <row r="342" customFormat="false" ht="15" hidden="false" customHeight="false" outlineLevel="1" collapsed="false">
      <c r="A342" s="4" t="s">
        <v>722</v>
      </c>
      <c r="B342" s="11" t="s">
        <v>42</v>
      </c>
      <c r="C342" s="38" t="n">
        <f aca="false">IF(ISBLANK(輸入與假設!$C$341),輸入與假設!$C$340,輸入與假設!$C$341)</f>
        <v>0.125025600756152</v>
      </c>
      <c r="I342" s="6" t="s">
        <v>723</v>
      </c>
    </row>
    <row r="343" customFormat="false" ht="15" hidden="false" customHeight="false" outlineLevel="1" collapsed="false">
      <c r="A343" s="3" t="s">
        <v>724</v>
      </c>
      <c r="B343" s="11" t="s">
        <v>42</v>
      </c>
      <c r="C343" s="23" t="n">
        <v>0.03</v>
      </c>
      <c r="I343" s="11" t="s">
        <v>225</v>
      </c>
    </row>
    <row r="344" customFormat="false" ht="15" hidden="false" customHeight="false" outlineLevel="1" collapsed="false">
      <c r="A344" s="3" t="s">
        <v>725</v>
      </c>
      <c r="B344" s="11" t="s">
        <v>42</v>
      </c>
      <c r="C344" s="23" t="n">
        <v>0.8</v>
      </c>
      <c r="I344" s="11" t="s">
        <v>726</v>
      </c>
    </row>
    <row r="345" customFormat="false" ht="15" hidden="false" customHeight="false" outlineLevel="1" collapsed="false">
      <c r="A345" s="3" t="s">
        <v>727</v>
      </c>
      <c r="B345" s="11" t="s">
        <v>65</v>
      </c>
      <c r="C345" s="24" t="n">
        <v>0</v>
      </c>
      <c r="I345" s="11" t="s">
        <v>728</v>
      </c>
    </row>
    <row r="346" customFormat="false" ht="15" hidden="false" customHeight="false" outlineLevel="1" collapsed="false">
      <c r="A346" s="4" t="s">
        <v>729</v>
      </c>
      <c r="B346" s="11" t="s">
        <v>42</v>
      </c>
      <c r="C346" s="23" t="n">
        <v>0.8</v>
      </c>
      <c r="I346" s="6" t="s">
        <v>730</v>
      </c>
    </row>
    <row r="347" customFormat="false" ht="15" hidden="false" customHeight="false" outlineLevel="1" collapsed="false">
      <c r="A347" s="3" t="s">
        <v>731</v>
      </c>
      <c r="B347" s="11" t="s">
        <v>42</v>
      </c>
      <c r="C347" s="23" t="n">
        <v>0</v>
      </c>
      <c r="I347" s="6" t="s">
        <v>732</v>
      </c>
    </row>
    <row r="348" customFormat="false" ht="15" hidden="false" customHeight="false" outlineLevel="1" collapsed="false">
      <c r="A348" s="4" t="s">
        <v>733</v>
      </c>
      <c r="B348" s="11" t="s">
        <v>111</v>
      </c>
      <c r="C348" s="46" t="n">
        <v>6</v>
      </c>
      <c r="I348" s="11" t="s">
        <v>734</v>
      </c>
    </row>
    <row r="349" customFormat="false" ht="15" hidden="false" customHeight="false" outlineLevel="1" collapsed="false">
      <c r="A349" s="3" t="s">
        <v>735</v>
      </c>
      <c r="B349" s="11" t="s">
        <v>111</v>
      </c>
      <c r="C349" s="46" t="n">
        <v>17.72</v>
      </c>
      <c r="I349" s="11" t="s">
        <v>736</v>
      </c>
    </row>
    <row r="350" customFormat="false" ht="15" hidden="false" customHeight="false" outlineLevel="1" collapsed="false">
      <c r="A350" s="3" t="s">
        <v>737</v>
      </c>
      <c r="B350" s="11" t="s">
        <v>111</v>
      </c>
      <c r="C350" s="46" t="n">
        <v>25.33</v>
      </c>
      <c r="I350" s="11" t="s">
        <v>738</v>
      </c>
    </row>
    <row r="351" customFormat="false" ht="15" hidden="false" customHeight="false" outlineLevel="1" collapsed="false">
      <c r="A351" s="3" t="s">
        <v>739</v>
      </c>
      <c r="B351" s="11" t="s">
        <v>111</v>
      </c>
      <c r="C351" s="46" t="n">
        <v>8.77</v>
      </c>
      <c r="I351" s="11" t="s">
        <v>740</v>
      </c>
    </row>
    <row r="352" customFormat="false" ht="15" hidden="false" customHeight="false" outlineLevel="1" collapsed="false">
      <c r="A352" s="3" t="s">
        <v>741</v>
      </c>
      <c r="B352" s="11" t="s">
        <v>111</v>
      </c>
      <c r="C352" s="46" t="n">
        <v>17.72</v>
      </c>
      <c r="I352" s="11" t="s">
        <v>736</v>
      </c>
    </row>
    <row r="353" customFormat="false" ht="15" hidden="false" customHeight="false" outlineLevel="1" collapsed="false">
      <c r="A353" s="3" t="s">
        <v>742</v>
      </c>
      <c r="B353" s="11" t="s">
        <v>111</v>
      </c>
      <c r="C353" s="46" t="n">
        <v>25.33</v>
      </c>
      <c r="I353" s="11" t="s">
        <v>738</v>
      </c>
    </row>
    <row r="354" customFormat="false" ht="15" hidden="false" customHeight="false" outlineLevel="1" collapsed="false">
      <c r="A354" s="3" t="s">
        <v>743</v>
      </c>
      <c r="B354" s="11" t="s">
        <v>111</v>
      </c>
      <c r="C354" s="46" t="n">
        <v>8.77</v>
      </c>
      <c r="I354" s="11" t="s">
        <v>740</v>
      </c>
    </row>
    <row r="355" customFormat="false" ht="15" hidden="false" customHeight="false" outlineLevel="1" collapsed="false">
      <c r="A355" s="3" t="s">
        <v>744</v>
      </c>
      <c r="B355" s="11" t="s">
        <v>111</v>
      </c>
      <c r="C355" s="47" t="n">
        <f aca="false">MEDIAN(輸入與假設!$C$352,輸入與假設!$C$353,輸入與假設!$C$354)</f>
        <v>17.72</v>
      </c>
      <c r="I355" s="6" t="s">
        <v>745</v>
      </c>
    </row>
    <row r="356" customFormat="false" ht="15" hidden="false" customHeight="false" outlineLevel="1" collapsed="false">
      <c r="A356" s="3" t="s">
        <v>746</v>
      </c>
      <c r="B356" s="11" t="s">
        <v>111</v>
      </c>
      <c r="C356" s="46" t="n">
        <v>10.79</v>
      </c>
      <c r="I356" s="11" t="s">
        <v>747</v>
      </c>
    </row>
    <row r="357" customFormat="false" ht="15" hidden="false" customHeight="false" outlineLevel="1" collapsed="false">
      <c r="A357" s="3" t="s">
        <v>748</v>
      </c>
      <c r="B357" s="11" t="s">
        <v>111</v>
      </c>
      <c r="C357" s="46" t="n">
        <v>6.91</v>
      </c>
      <c r="I357" s="11" t="s">
        <v>749</v>
      </c>
    </row>
    <row r="358" customFormat="false" ht="15" hidden="false" customHeight="false" outlineLevel="1" collapsed="false">
      <c r="A358" s="3" t="s">
        <v>750</v>
      </c>
      <c r="B358" s="11" t="s">
        <v>111</v>
      </c>
      <c r="C358" s="46" t="n">
        <v>6.53</v>
      </c>
      <c r="I358" s="11" t="s">
        <v>751</v>
      </c>
    </row>
    <row r="359" customFormat="false" ht="15" hidden="false" customHeight="false" outlineLevel="1" collapsed="false">
      <c r="A359" s="3" t="s">
        <v>752</v>
      </c>
      <c r="B359" s="11" t="s">
        <v>111</v>
      </c>
      <c r="C359" s="46" t="n">
        <v>11.38</v>
      </c>
      <c r="I359" s="11" t="s">
        <v>753</v>
      </c>
    </row>
    <row r="360" customFormat="false" ht="15" hidden="false" customHeight="false" outlineLevel="1" collapsed="false">
      <c r="A360" s="3" t="s">
        <v>754</v>
      </c>
      <c r="B360" s="11" t="s">
        <v>111</v>
      </c>
      <c r="C360" s="46" t="n">
        <v>13.63</v>
      </c>
      <c r="I360" s="11" t="s">
        <v>755</v>
      </c>
    </row>
    <row r="361" customFormat="false" ht="15" hidden="false" customHeight="false" outlineLevel="1" collapsed="false">
      <c r="A361" s="3" t="s">
        <v>756</v>
      </c>
      <c r="B361" s="11" t="s">
        <v>111</v>
      </c>
      <c r="C361" s="46" t="n">
        <v>7.43</v>
      </c>
      <c r="I361" s="11" t="s">
        <v>757</v>
      </c>
    </row>
    <row r="362" customFormat="false" ht="15" hidden="false" customHeight="false" outlineLevel="1" collapsed="false">
      <c r="A362" s="3" t="s">
        <v>758</v>
      </c>
      <c r="B362" s="11" t="s">
        <v>111</v>
      </c>
      <c r="C362" s="47" t="n">
        <f aca="false">MEDIAN(輸入與假設!$C$356,輸入與假設!$C$357,輸入與假設!$C$358,輸入與假設!$C$359,輸入與假設!$C$360,輸入與假設!$C$361)</f>
        <v>9.11</v>
      </c>
      <c r="I362" s="6" t="s">
        <v>745</v>
      </c>
    </row>
    <row r="363" customFormat="false" ht="15" hidden="false" customHeight="false" outlineLevel="1" collapsed="false">
      <c r="A363" s="3" t="s">
        <v>759</v>
      </c>
      <c r="B363" s="11" t="s">
        <v>111</v>
      </c>
      <c r="C363" s="46" t="n">
        <v>15.41</v>
      </c>
      <c r="I363" s="11" t="s">
        <v>760</v>
      </c>
    </row>
    <row r="364" customFormat="false" ht="15" hidden="false" customHeight="false" outlineLevel="1" collapsed="false">
      <c r="A364" s="3" t="s">
        <v>761</v>
      </c>
      <c r="B364" s="11" t="s">
        <v>111</v>
      </c>
      <c r="C364" s="46" t="n">
        <v>31.97</v>
      </c>
      <c r="I364" s="11" t="s">
        <v>762</v>
      </c>
    </row>
    <row r="365" customFormat="false" ht="15" hidden="false" customHeight="false" outlineLevel="1" collapsed="false">
      <c r="A365" s="3" t="s">
        <v>763</v>
      </c>
      <c r="B365" s="11" t="s">
        <v>111</v>
      </c>
      <c r="C365" s="46" t="n">
        <v>10.58</v>
      </c>
      <c r="I365" s="11" t="s">
        <v>764</v>
      </c>
    </row>
    <row r="366" customFormat="false" ht="15" hidden="false" customHeight="false" outlineLevel="1" collapsed="false">
      <c r="A366" s="3" t="s">
        <v>765</v>
      </c>
      <c r="B366" s="11" t="s">
        <v>111</v>
      </c>
      <c r="C366" s="47" t="n">
        <f aca="false">MEDIAN(輸入與假設!$C$363,輸入與假設!$C$364,輸入與假設!$C$365)</f>
        <v>15.41</v>
      </c>
      <c r="I366" s="6" t="s">
        <v>745</v>
      </c>
    </row>
    <row r="367" customFormat="false" ht="15" hidden="false" customHeight="false" outlineLevel="1" collapsed="false">
      <c r="A367" s="3" t="s">
        <v>766</v>
      </c>
      <c r="B367" s="11" t="s">
        <v>111</v>
      </c>
      <c r="C367" s="46" t="n">
        <v>9.49</v>
      </c>
      <c r="I367" s="11" t="s">
        <v>767</v>
      </c>
    </row>
    <row r="368" customFormat="false" ht="15" hidden="false" customHeight="false" outlineLevel="1" collapsed="false">
      <c r="A368" s="3" t="s">
        <v>768</v>
      </c>
      <c r="B368" s="11" t="s">
        <v>111</v>
      </c>
      <c r="C368" s="46" t="n">
        <v>12.51</v>
      </c>
      <c r="I368" s="11" t="s">
        <v>769</v>
      </c>
    </row>
    <row r="369" customFormat="false" ht="15" hidden="false" customHeight="false" outlineLevel="1" collapsed="false">
      <c r="A369" s="3" t="s">
        <v>770</v>
      </c>
      <c r="B369" s="11" t="s">
        <v>111</v>
      </c>
      <c r="C369" s="46" t="n">
        <v>15.13</v>
      </c>
      <c r="I369" s="11" t="s">
        <v>771</v>
      </c>
    </row>
    <row r="370" customFormat="false" ht="15" hidden="false" customHeight="false" outlineLevel="1" collapsed="false">
      <c r="A370" s="3" t="s">
        <v>772</v>
      </c>
      <c r="B370" s="11" t="s">
        <v>111</v>
      </c>
      <c r="C370" s="46" t="n">
        <v>10.81</v>
      </c>
      <c r="I370" s="11" t="s">
        <v>773</v>
      </c>
    </row>
    <row r="371" customFormat="false" ht="15" hidden="false" customHeight="false" outlineLevel="1" collapsed="false">
      <c r="A371" s="3" t="s">
        <v>774</v>
      </c>
      <c r="B371" s="11" t="s">
        <v>111</v>
      </c>
      <c r="C371" s="46" t="n">
        <v>20.63</v>
      </c>
      <c r="I371" s="11" t="s">
        <v>775</v>
      </c>
    </row>
    <row r="372" customFormat="false" ht="15" hidden="false" customHeight="false" outlineLevel="1" collapsed="false">
      <c r="A372" s="3" t="s">
        <v>776</v>
      </c>
      <c r="B372" s="11" t="s">
        <v>111</v>
      </c>
      <c r="C372" s="46" t="n">
        <v>9.7</v>
      </c>
      <c r="I372" s="11" t="s">
        <v>777</v>
      </c>
    </row>
    <row r="373" customFormat="false" ht="15" hidden="false" customHeight="false" outlineLevel="1" collapsed="false">
      <c r="A373" s="3" t="s">
        <v>778</v>
      </c>
      <c r="B373" s="11" t="s">
        <v>111</v>
      </c>
      <c r="C373" s="46" t="n">
        <v>21.2</v>
      </c>
      <c r="I373" s="11" t="s">
        <v>779</v>
      </c>
    </row>
    <row r="374" customFormat="false" ht="15" hidden="false" customHeight="false" outlineLevel="1" collapsed="false">
      <c r="A374" s="3" t="s">
        <v>780</v>
      </c>
      <c r="B374" s="11" t="s">
        <v>111</v>
      </c>
      <c r="C374" s="46" t="n">
        <v>24.49</v>
      </c>
      <c r="I374" s="11" t="s">
        <v>781</v>
      </c>
    </row>
    <row r="375" customFormat="false" ht="15" hidden="false" customHeight="false" outlineLevel="1" collapsed="false">
      <c r="A375" s="3" t="s">
        <v>782</v>
      </c>
      <c r="B375" s="11" t="s">
        <v>111</v>
      </c>
      <c r="C375" s="47" t="n">
        <f aca="false">MEDIAN(輸入與假設!$C$367,輸入與假設!$C$368,輸入與假設!$C$369,輸入與假設!$C$370,輸入與假設!$C$371,輸入與假設!$C$372,輸入與假設!$C$373,輸入與假設!$C$374)</f>
        <v>13.82</v>
      </c>
      <c r="I375" s="6" t="s">
        <v>745</v>
      </c>
    </row>
    <row r="376" customFormat="false" ht="15" hidden="false" customHeight="false" outlineLevel="1" collapsed="false">
      <c r="A376" s="3" t="s">
        <v>783</v>
      </c>
      <c r="B376" s="11" t="s">
        <v>111</v>
      </c>
      <c r="C376" s="47" t="n">
        <f aca="false">(INDEX(輸入與假設!$D$126:$G$126,1,輸入與假設!$C$379)*輸入與假設!$C$355+INDEX(輸入與假設!$D$140:$G$140,1,輸入與假設!$C$379)*輸入與假設!$C$355+INDEX(輸入與假設!$D$154:$G$154,1,輸入與假設!$C$379)*輸入與假設!$C$362+INDEX(輸入與假設!$D$168:$G$168,1,輸入與假設!$C$379)*輸入與假設!$C$366+INDEX(輸入與假設!$D$192:$G$192,1,輸入與假設!$C$379)*輸入與假設!$C$375)/MAX(0.000000001,INDEX(輸入與假設!$D$126:$G$126,1,輸入與假設!$C$379)+INDEX(輸入與假設!$D$140:$G$140,1,輸入與假設!$C$379)+INDEX(輸入與假設!$D$154:$G$154,1,輸入與假設!$C$379)+INDEX(輸入與假設!$D$168:$G$168,1,輸入與假設!$C$379)+INDEX(輸入與假設!$D$192:$G$192,1,輸入與假設!$C$379))</f>
        <v>13.0396048157882</v>
      </c>
      <c r="I376" s="6" t="s">
        <v>784</v>
      </c>
    </row>
    <row r="377" customFormat="false" ht="15" hidden="false" customHeight="false" outlineLevel="1" collapsed="false">
      <c r="A377" s="3" t="s">
        <v>785</v>
      </c>
      <c r="B377" s="11" t="s">
        <v>111</v>
      </c>
      <c r="C377" s="46"/>
      <c r="I377" s="11" t="s">
        <v>786</v>
      </c>
    </row>
    <row r="378" customFormat="false" ht="15" hidden="false" customHeight="false" outlineLevel="1" collapsed="false">
      <c r="A378" s="3" t="s">
        <v>787</v>
      </c>
      <c r="B378" s="11" t="s">
        <v>111</v>
      </c>
      <c r="C378" s="47" t="n">
        <f aca="false">IF(ISBLANK(輸入與假設!$C$377),輸入與假設!$C$376,輸入與假設!$C$377)</f>
        <v>13.0396048157882</v>
      </c>
      <c r="I378" s="6" t="s">
        <v>788</v>
      </c>
    </row>
    <row r="379" customFormat="false" ht="15" hidden="false" customHeight="false" outlineLevel="1" collapsed="false">
      <c r="A379" s="4" t="s">
        <v>789</v>
      </c>
      <c r="B379" s="6"/>
      <c r="C379" s="18" t="n">
        <v>3</v>
      </c>
      <c r="I379" s="6" t="s">
        <v>790</v>
      </c>
    </row>
    <row r="380" customFormat="false" ht="15" hidden="false" customHeight="false" outlineLevel="1" collapsed="false">
      <c r="A380" s="3" t="s">
        <v>791</v>
      </c>
      <c r="B380" s="11" t="s">
        <v>42</v>
      </c>
      <c r="C380" s="23" t="n">
        <v>0.45</v>
      </c>
      <c r="I380" s="6"/>
    </row>
    <row r="381" customFormat="false" ht="15" hidden="false" customHeight="false" outlineLevel="1" collapsed="false">
      <c r="A381" s="3" t="s">
        <v>792</v>
      </c>
      <c r="B381" s="11" t="s">
        <v>42</v>
      </c>
      <c r="C381" s="23" t="n">
        <v>0.55</v>
      </c>
      <c r="I381" s="6"/>
    </row>
    <row r="382" customFormat="false" ht="15" hidden="false" customHeight="false" outlineLevel="1" collapsed="false">
      <c r="A382" s="3" t="s">
        <v>793</v>
      </c>
      <c r="B382" s="11" t="s">
        <v>111</v>
      </c>
      <c r="C382" s="46" t="n">
        <v>5</v>
      </c>
      <c r="I382" s="11" t="s">
        <v>794</v>
      </c>
    </row>
    <row r="383" customFormat="false" ht="15" hidden="false" customHeight="false" outlineLevel="1" collapsed="false">
      <c r="A383" s="3" t="s">
        <v>795</v>
      </c>
      <c r="B383" s="11" t="s">
        <v>111</v>
      </c>
      <c r="C383" s="46" t="n">
        <v>6</v>
      </c>
      <c r="I383" s="6"/>
    </row>
    <row r="384" customFormat="false" ht="15" hidden="false" customHeight="false" outlineLevel="1" collapsed="false">
      <c r="A384" s="3" t="s">
        <v>796</v>
      </c>
      <c r="B384" s="11" t="s">
        <v>42</v>
      </c>
      <c r="C384" s="23" t="n">
        <v>0.01</v>
      </c>
      <c r="I384" s="6" t="s">
        <v>797</v>
      </c>
    </row>
    <row r="385" customFormat="false" ht="15" hidden="false" customHeight="false" outlineLevel="1" collapsed="false">
      <c r="A385" s="3" t="s">
        <v>798</v>
      </c>
      <c r="B385" s="11" t="s">
        <v>65</v>
      </c>
      <c r="C385" s="24" t="n">
        <v>19.314</v>
      </c>
      <c r="I385" s="11" t="s">
        <v>799</v>
      </c>
    </row>
    <row r="386" customFormat="false" ht="15" hidden="false" customHeight="false" outlineLevel="1" collapsed="false">
      <c r="A386" s="33" t="s">
        <v>800</v>
      </c>
      <c r="B386" s="20"/>
      <c r="C386" s="20"/>
      <c r="D386" s="20"/>
      <c r="E386" s="20"/>
      <c r="F386" s="20"/>
      <c r="G386" s="20"/>
      <c r="H386" s="20"/>
    </row>
    <row r="387" customFormat="false" ht="15" hidden="false" customHeight="false" outlineLevel="2" collapsed="false">
      <c r="A387" s="4" t="s">
        <v>801</v>
      </c>
      <c r="B387" s="6"/>
      <c r="C387" s="18" t="n">
        <v>1</v>
      </c>
      <c r="I387" s="11" t="s">
        <v>802</v>
      </c>
    </row>
    <row r="388" customFormat="false" ht="15" hidden="false" customHeight="false" outlineLevel="2" collapsed="false">
      <c r="A388" s="3" t="s">
        <v>803</v>
      </c>
      <c r="B388" s="11" t="s">
        <v>42</v>
      </c>
      <c r="C388" s="23" t="n">
        <v>0.5</v>
      </c>
      <c r="I388" s="6" t="s">
        <v>804</v>
      </c>
    </row>
    <row r="389" customFormat="false" ht="15" hidden="false" customHeight="false" outlineLevel="2" collapsed="false">
      <c r="A389" s="3" t="s">
        <v>805</v>
      </c>
      <c r="B389" s="6" t="s">
        <v>184</v>
      </c>
      <c r="C389" s="25" t="n">
        <v>4.5</v>
      </c>
      <c r="I389" s="6" t="s">
        <v>806</v>
      </c>
    </row>
    <row r="390" customFormat="false" ht="15" hidden="false" customHeight="false" outlineLevel="1" collapsed="false">
      <c r="A390" s="19" t="s">
        <v>807</v>
      </c>
      <c r="B390" s="20"/>
      <c r="C390" s="20"/>
      <c r="D390" s="20"/>
      <c r="E390" s="20"/>
      <c r="F390" s="20"/>
      <c r="G390" s="20"/>
      <c r="H390" s="20"/>
    </row>
    <row r="391" customFormat="false" ht="15" hidden="false" customHeight="false" outlineLevel="2" collapsed="false">
      <c r="A391" s="3" t="s">
        <v>808</v>
      </c>
      <c r="B391" s="6" t="s">
        <v>809</v>
      </c>
      <c r="C391" s="22" t="n">
        <v>12</v>
      </c>
      <c r="I391" s="11" t="s">
        <v>810</v>
      </c>
    </row>
    <row r="392" customFormat="false" ht="15" hidden="false" customHeight="false" outlineLevel="2" collapsed="false">
      <c r="A392" s="3" t="s">
        <v>811</v>
      </c>
      <c r="B392" s="6"/>
      <c r="C392" s="48" t="s">
        <v>812</v>
      </c>
      <c r="I392" s="11" t="s">
        <v>813</v>
      </c>
    </row>
    <row r="393" customFormat="false" ht="15" hidden="false" customHeight="false" outlineLevel="2" collapsed="false">
      <c r="A393" s="3" t="s">
        <v>814</v>
      </c>
      <c r="B393" s="6"/>
      <c r="C393" s="48" t="s">
        <v>815</v>
      </c>
      <c r="I393" s="11" t="s">
        <v>816</v>
      </c>
    </row>
    <row r="394" customFormat="false" ht="15" hidden="false" customHeight="false" outlineLevel="2" collapsed="false">
      <c r="A394" s="3" t="s">
        <v>817</v>
      </c>
      <c r="B394" s="6"/>
      <c r="C394" s="48" t="s">
        <v>818</v>
      </c>
      <c r="I394" s="6" t="s">
        <v>819</v>
      </c>
    </row>
    <row r="395" customFormat="false" ht="15" hidden="false" customHeight="false" outlineLevel="2" collapsed="false">
      <c r="A395" s="3" t="s">
        <v>820</v>
      </c>
      <c r="B395" s="6" t="s">
        <v>184</v>
      </c>
      <c r="C395" s="31" t="n">
        <v>1</v>
      </c>
      <c r="I395" s="6"/>
    </row>
    <row r="396" customFormat="false" ht="15" hidden="false" customHeight="false" outlineLevel="2" collapsed="false">
      <c r="A396" s="3" t="s">
        <v>821</v>
      </c>
      <c r="B396" s="6"/>
      <c r="C396" s="48" t="s">
        <v>822</v>
      </c>
      <c r="I396" s="6" t="s">
        <v>823</v>
      </c>
    </row>
    <row r="397" customFormat="false" ht="15" hidden="false" customHeight="false" outlineLevel="2" collapsed="false">
      <c r="A397" s="3" t="s">
        <v>824</v>
      </c>
      <c r="B397" s="6"/>
      <c r="C397" s="48" t="s">
        <v>825</v>
      </c>
      <c r="I397" s="11" t="s">
        <v>826</v>
      </c>
    </row>
    <row r="398" customFormat="false" ht="15" hidden="false" customHeight="false" outlineLevel="2" collapsed="false">
      <c r="A398" s="3" t="s">
        <v>827</v>
      </c>
      <c r="B398" s="6"/>
      <c r="C398" s="48" t="s">
        <v>828</v>
      </c>
      <c r="I398" s="11" t="s">
        <v>829</v>
      </c>
    </row>
    <row r="399" customFormat="false" ht="15" hidden="false" customHeight="false" outlineLevel="2" collapsed="false">
      <c r="A399" s="3" t="s">
        <v>830</v>
      </c>
      <c r="B399" s="6" t="s">
        <v>184</v>
      </c>
      <c r="C399" s="31" t="n">
        <v>0.5</v>
      </c>
      <c r="I399" s="11" t="s">
        <v>831</v>
      </c>
    </row>
    <row r="400" customFormat="false" ht="15" hidden="false" customHeight="false" outlineLevel="2" collapsed="false">
      <c r="A400" s="14" t="s">
        <v>832</v>
      </c>
      <c r="B400" s="14" t="s">
        <v>60</v>
      </c>
      <c r="C400" s="28" t="s">
        <v>61</v>
      </c>
      <c r="D400" s="28" t="s">
        <v>62</v>
      </c>
      <c r="E400" s="28" t="s">
        <v>63</v>
      </c>
      <c r="F400" s="28" t="s">
        <v>153</v>
      </c>
      <c r="G400" s="28" t="s">
        <v>154</v>
      </c>
      <c r="I400" s="14" t="s">
        <v>206</v>
      </c>
    </row>
    <row r="401" customFormat="false" ht="15" hidden="false" customHeight="false" outlineLevel="2" collapsed="false">
      <c r="A401" s="3" t="s">
        <v>833</v>
      </c>
      <c r="B401" s="6"/>
      <c r="C401" s="48" t="s">
        <v>834</v>
      </c>
      <c r="D401" s="48" t="s">
        <v>835</v>
      </c>
      <c r="E401" s="48" t="s">
        <v>836</v>
      </c>
      <c r="F401" s="48" t="s">
        <v>837</v>
      </c>
      <c r="G401" s="48" t="s">
        <v>838</v>
      </c>
      <c r="I401" s="6" t="s">
        <v>839</v>
      </c>
    </row>
    <row r="402" customFormat="false" ht="15" hidden="false" customHeight="false" outlineLevel="2" collapsed="false">
      <c r="A402" s="3" t="s">
        <v>840</v>
      </c>
      <c r="B402" s="6" t="s">
        <v>184</v>
      </c>
      <c r="C402" s="31" t="n">
        <v>0.5</v>
      </c>
      <c r="D402" s="31" t="n">
        <v>1.5</v>
      </c>
      <c r="E402" s="31" t="n">
        <v>2.5</v>
      </c>
      <c r="F402" s="31" t="n">
        <v>3.5</v>
      </c>
      <c r="G402" s="31" t="n">
        <v>4.5</v>
      </c>
      <c r="I402" s="6" t="s">
        <v>839</v>
      </c>
    </row>
    <row r="403" customFormat="false" ht="15" hidden="false" customHeight="false" outlineLevel="2" collapsed="false">
      <c r="A403" s="3" t="s">
        <v>841</v>
      </c>
      <c r="B403" s="6" t="s">
        <v>184</v>
      </c>
      <c r="C403" s="31" t="n">
        <v>0</v>
      </c>
      <c r="D403" s="31" t="n">
        <v>0.5</v>
      </c>
      <c r="E403" s="31" t="n">
        <v>1.5</v>
      </c>
      <c r="F403" s="31" t="n">
        <v>2.5</v>
      </c>
      <c r="G403" s="31" t="n">
        <v>3.5</v>
      </c>
      <c r="I403" s="6" t="s">
        <v>839</v>
      </c>
    </row>
    <row r="404" customFormat="false" ht="15" hidden="false" customHeight="false" outlineLevel="1" collapsed="false">
      <c r="A404" s="19" t="s">
        <v>842</v>
      </c>
      <c r="B404" s="20"/>
      <c r="C404" s="20"/>
      <c r="D404" s="20"/>
      <c r="E404" s="20"/>
      <c r="F404" s="20"/>
      <c r="G404" s="20"/>
      <c r="H404" s="20"/>
    </row>
    <row r="405" customFormat="false" ht="15" hidden="false" customHeight="false" outlineLevel="2" collapsed="false">
      <c r="A405" s="3" t="s">
        <v>843</v>
      </c>
      <c r="B405" s="11" t="s">
        <v>42</v>
      </c>
      <c r="C405" s="23" t="n">
        <v>0.25</v>
      </c>
      <c r="I405" s="6" t="s">
        <v>844</v>
      </c>
    </row>
    <row r="406" customFormat="false" ht="15" hidden="false" customHeight="false" outlineLevel="2" collapsed="false">
      <c r="A406" s="3" t="s">
        <v>845</v>
      </c>
      <c r="B406" s="11" t="s">
        <v>42</v>
      </c>
      <c r="C406" s="23" t="n">
        <v>0.9</v>
      </c>
      <c r="I406" s="6" t="s">
        <v>846</v>
      </c>
    </row>
    <row r="407" customFormat="false" ht="15" hidden="false" customHeight="false" outlineLevel="2" collapsed="false">
      <c r="A407" s="3" t="s">
        <v>847</v>
      </c>
      <c r="B407" s="11" t="s">
        <v>42</v>
      </c>
      <c r="C407" s="23" t="n">
        <v>-0.15</v>
      </c>
      <c r="I407" s="6" t="s">
        <v>848</v>
      </c>
    </row>
    <row r="408" customFormat="false" ht="15" hidden="false" customHeight="false" outlineLevel="2" collapsed="false">
      <c r="A408" s="3" t="s">
        <v>849</v>
      </c>
      <c r="B408" s="11" t="s">
        <v>111</v>
      </c>
      <c r="C408" s="46" t="n">
        <v>1.5</v>
      </c>
      <c r="I408" s="6" t="s">
        <v>850</v>
      </c>
    </row>
    <row r="409" customFormat="false" ht="15" hidden="false" customHeight="false" outlineLevel="2" collapsed="false">
      <c r="A409" s="3" t="s">
        <v>851</v>
      </c>
      <c r="B409" s="11" t="s">
        <v>42</v>
      </c>
      <c r="C409" s="23" t="n">
        <v>-0.08</v>
      </c>
      <c r="I409" s="6" t="s">
        <v>852</v>
      </c>
    </row>
    <row r="410" customFormat="false" ht="15" hidden="false" customHeight="false" outlineLevel="2" collapsed="false">
      <c r="A410" s="3" t="s">
        <v>853</v>
      </c>
      <c r="B410" s="11" t="s">
        <v>42</v>
      </c>
      <c r="C410" s="23" t="n">
        <v>0.05</v>
      </c>
      <c r="I410" s="6" t="s">
        <v>854</v>
      </c>
    </row>
    <row r="411" customFormat="false" ht="15" hidden="false" customHeight="false" outlineLevel="2" collapsed="false">
      <c r="A411" s="3" t="s">
        <v>855</v>
      </c>
      <c r="B411" s="11" t="s">
        <v>42</v>
      </c>
      <c r="C411" s="23" t="n">
        <v>0.85</v>
      </c>
      <c r="I411" s="6" t="s">
        <v>856</v>
      </c>
    </row>
    <row r="413" customFormat="false" ht="15" hidden="false" customHeight="false" outlineLevel="0" collapsed="true">
      <c r="A413" s="7" t="s">
        <v>857</v>
      </c>
      <c r="B413" s="8"/>
      <c r="C413" s="8"/>
      <c r="D413" s="8"/>
      <c r="E413" s="8"/>
      <c r="F413" s="8"/>
      <c r="G413" s="8"/>
      <c r="H413" s="8"/>
    </row>
    <row r="414" customFormat="false" ht="15" hidden="true" customHeight="false" outlineLevel="1" collapsed="false">
      <c r="A414" s="4" t="s">
        <v>858</v>
      </c>
      <c r="B414" s="11" t="s">
        <v>65</v>
      </c>
      <c r="C414" s="24" t="n">
        <v>123.029</v>
      </c>
      <c r="I414" s="11" t="s">
        <v>859</v>
      </c>
    </row>
    <row r="415" customFormat="false" ht="15" hidden="true" customHeight="false" outlineLevel="1" collapsed="false">
      <c r="A415" s="3" t="s">
        <v>860</v>
      </c>
      <c r="B415" s="11" t="s">
        <v>65</v>
      </c>
      <c r="C415" s="24" t="n">
        <v>71.419</v>
      </c>
      <c r="I415" s="11" t="s">
        <v>861</v>
      </c>
    </row>
    <row r="416" customFormat="false" ht="15" hidden="true" customHeight="false" outlineLevel="1" collapsed="false">
      <c r="A416" s="3" t="s">
        <v>862</v>
      </c>
      <c r="B416" s="11" t="s">
        <v>65</v>
      </c>
      <c r="C416" s="24" t="n">
        <v>96.31</v>
      </c>
      <c r="I416" s="6" t="s">
        <v>863</v>
      </c>
    </row>
    <row r="417" customFormat="false" ht="15" hidden="true" customHeight="false" outlineLevel="1" collapsed="false">
      <c r="A417" s="4" t="s">
        <v>864</v>
      </c>
      <c r="B417" s="11" t="s">
        <v>65</v>
      </c>
      <c r="C417" s="24" t="n">
        <v>96.31</v>
      </c>
      <c r="I417" s="6" t="s">
        <v>865</v>
      </c>
    </row>
    <row r="418" customFormat="false" ht="15" hidden="true" customHeight="false" outlineLevel="1" collapsed="false">
      <c r="A418" s="4" t="s">
        <v>866</v>
      </c>
      <c r="B418" s="11" t="s">
        <v>65</v>
      </c>
      <c r="C418" s="24" t="n">
        <v>39.767</v>
      </c>
      <c r="I418" s="6" t="s">
        <v>867</v>
      </c>
    </row>
    <row r="419" customFormat="false" ht="15" hidden="true" customHeight="false" outlineLevel="1" collapsed="false">
      <c r="A419" s="3" t="s">
        <v>868</v>
      </c>
      <c r="B419" s="11" t="s">
        <v>65</v>
      </c>
      <c r="C419" s="24" t="n">
        <v>66.998</v>
      </c>
      <c r="I419" s="6" t="s">
        <v>869</v>
      </c>
    </row>
    <row r="420" customFormat="false" ht="15" hidden="true" customHeight="false" outlineLevel="1" collapsed="false">
      <c r="A420" s="3" t="s">
        <v>870</v>
      </c>
      <c r="B420" s="11" t="s">
        <v>65</v>
      </c>
      <c r="C420" s="24" t="n">
        <v>3.048</v>
      </c>
      <c r="I420" s="6" t="s">
        <v>871</v>
      </c>
    </row>
    <row r="421" customFormat="false" ht="15" hidden="true" customHeight="false" outlineLevel="1" collapsed="false">
      <c r="A421" s="4" t="s">
        <v>872</v>
      </c>
      <c r="B421" s="11" t="s">
        <v>65</v>
      </c>
      <c r="C421" s="24" t="n">
        <v>0</v>
      </c>
      <c r="I421" s="6" t="s">
        <v>873</v>
      </c>
    </row>
    <row r="422" customFormat="false" ht="15" hidden="true" customHeight="false" outlineLevel="1" collapsed="false">
      <c r="A422" s="3" t="s">
        <v>874</v>
      </c>
      <c r="B422" s="11" t="s">
        <v>65</v>
      </c>
      <c r="C422" s="24" t="n">
        <v>0</v>
      </c>
      <c r="I422" s="6" t="s">
        <v>875</v>
      </c>
    </row>
    <row r="423" customFormat="false" ht="15" hidden="true" customHeight="false" outlineLevel="1" collapsed="false">
      <c r="A423" s="3" t="s">
        <v>876</v>
      </c>
      <c r="B423" s="11" t="s">
        <v>65</v>
      </c>
      <c r="C423" s="24" t="n">
        <v>2.114</v>
      </c>
      <c r="I423" s="11" t="s">
        <v>877</v>
      </c>
    </row>
    <row r="424" customFormat="false" ht="15" hidden="true" customHeight="false" outlineLevel="1" collapsed="false">
      <c r="A424" s="3" t="s">
        <v>878</v>
      </c>
      <c r="B424" s="11" t="s">
        <v>65</v>
      </c>
      <c r="C424" s="24" t="n">
        <v>9.154</v>
      </c>
      <c r="I424" s="6" t="s">
        <v>879</v>
      </c>
    </row>
    <row r="425" customFormat="false" ht="15" hidden="true" customHeight="false" outlineLevel="1" collapsed="false">
      <c r="A425" s="3" t="s">
        <v>880</v>
      </c>
      <c r="B425" s="11" t="s">
        <v>65</v>
      </c>
      <c r="C425" s="24" t="n">
        <v>382.125</v>
      </c>
      <c r="I425" s="6" t="s">
        <v>881</v>
      </c>
    </row>
    <row r="426" customFormat="false" ht="15" hidden="true" customHeight="false" outlineLevel="1" collapsed="false">
      <c r="A426" s="4" t="s">
        <v>882</v>
      </c>
      <c r="B426" s="11" t="s">
        <v>65</v>
      </c>
      <c r="C426" s="24" t="n">
        <v>51.313</v>
      </c>
      <c r="I426" s="11" t="s">
        <v>883</v>
      </c>
    </row>
    <row r="427" customFormat="false" ht="15" hidden="true" customHeight="false" outlineLevel="1" collapsed="false">
      <c r="A427" s="3" t="s">
        <v>884</v>
      </c>
      <c r="B427" s="11" t="s">
        <v>65</v>
      </c>
      <c r="C427" s="24" t="n">
        <v>92.902</v>
      </c>
      <c r="I427" s="6" t="s">
        <v>885</v>
      </c>
    </row>
    <row r="428" customFormat="false" ht="15" hidden="true" customHeight="false" outlineLevel="1" collapsed="false">
      <c r="A428" s="3" t="s">
        <v>886</v>
      </c>
      <c r="B428" s="11" t="s">
        <v>65</v>
      </c>
      <c r="C428" s="24" t="n">
        <v>0</v>
      </c>
      <c r="I428" s="6" t="s">
        <v>887</v>
      </c>
    </row>
    <row r="429" customFormat="false" ht="15" hidden="true" customHeight="false" outlineLevel="1" collapsed="false">
      <c r="A429" s="4" t="s">
        <v>888</v>
      </c>
      <c r="B429" s="11" t="s">
        <v>65</v>
      </c>
      <c r="C429" s="24" t="n">
        <v>38.933</v>
      </c>
      <c r="I429" s="6" t="s">
        <v>889</v>
      </c>
    </row>
    <row r="430" customFormat="false" ht="15" hidden="true" customHeight="false" outlineLevel="1" collapsed="false">
      <c r="A430" s="4" t="s">
        <v>890</v>
      </c>
      <c r="B430" s="11" t="s">
        <v>65</v>
      </c>
      <c r="C430" s="24" t="n">
        <v>10.07</v>
      </c>
      <c r="I430" s="6" t="s">
        <v>891</v>
      </c>
    </row>
    <row r="431" customFormat="false" ht="15" hidden="true" customHeight="false" outlineLevel="1" collapsed="false">
      <c r="A431" s="4" t="s">
        <v>892</v>
      </c>
      <c r="B431" s="11" t="s">
        <v>39</v>
      </c>
      <c r="C431" s="24" t="n">
        <v>8.53</v>
      </c>
      <c r="I431" s="11" t="s">
        <v>893</v>
      </c>
    </row>
    <row r="432" customFormat="false" ht="15" hidden="true" customHeight="false" outlineLevel="1" collapsed="false">
      <c r="A432" s="4" t="s">
        <v>894</v>
      </c>
      <c r="B432" s="11" t="s">
        <v>39</v>
      </c>
      <c r="C432" s="24" t="n">
        <v>9.46</v>
      </c>
      <c r="I432" s="11" t="s">
        <v>895</v>
      </c>
    </row>
    <row r="433" customFormat="false" ht="15" hidden="true" customHeight="false" outlineLevel="1" collapsed="false">
      <c r="A433" s="3" t="s">
        <v>896</v>
      </c>
      <c r="B433" s="11" t="s">
        <v>65</v>
      </c>
      <c r="C433" s="24" t="n">
        <v>0</v>
      </c>
      <c r="I433" s="6" t="s">
        <v>897</v>
      </c>
    </row>
    <row r="434" customFormat="false" ht="15" hidden="true" customHeight="false" outlineLevel="1" collapsed="false">
      <c r="A434" s="3" t="s">
        <v>898</v>
      </c>
      <c r="B434" s="11" t="s">
        <v>65</v>
      </c>
      <c r="C434" s="24" t="n">
        <v>90.246</v>
      </c>
      <c r="I434" s="11" t="s">
        <v>899</v>
      </c>
    </row>
    <row r="435" customFormat="false" ht="15" hidden="true" customHeight="false" outlineLevel="1" collapsed="false">
      <c r="A435" s="3" t="s">
        <v>900</v>
      </c>
      <c r="B435" s="11" t="s">
        <v>65</v>
      </c>
      <c r="C435" s="24" t="n">
        <v>0</v>
      </c>
      <c r="I435" s="6" t="s">
        <v>901</v>
      </c>
    </row>
    <row r="437" customFormat="false" ht="15" hidden="false" customHeight="false" outlineLevel="0" collapsed="false">
      <c r="A437" s="7" t="s">
        <v>902</v>
      </c>
      <c r="B437" s="8"/>
      <c r="C437" s="8"/>
      <c r="D437" s="8"/>
      <c r="E437" s="8"/>
      <c r="F437" s="8"/>
      <c r="G437" s="8"/>
      <c r="H437" s="8"/>
      <c r="I437" s="6" t="s">
        <v>903</v>
      </c>
    </row>
    <row r="438" customFormat="false" ht="15" hidden="false" customHeight="false" outlineLevel="1" collapsed="false">
      <c r="A438" s="3" t="s">
        <v>904</v>
      </c>
      <c r="D438" s="12" t="n">
        <f aca="false">評價_DCF與目標價!C51</f>
        <v>199.271244158932</v>
      </c>
      <c r="E438" s="9" t="n">
        <f aca="false">評價_DCF與目標價!C99</f>
        <v>-1</v>
      </c>
    </row>
    <row r="439" customFormat="false" ht="15" hidden="false" customHeight="false" outlineLevel="1" collapsed="false">
      <c r="A439" s="3" t="s">
        <v>905</v>
      </c>
      <c r="C439" s="9" t="n">
        <v>1</v>
      </c>
      <c r="D439" s="49" t="n">
        <f t="dataTable" ref="D439:E441" dt2D="0" dtr="0" r1="C5"/>
        <v>212.713645293901</v>
      </c>
      <c r="E439" s="50" t="n">
        <v>-1</v>
      </c>
    </row>
    <row r="440" customFormat="false" ht="15" hidden="false" customHeight="false" outlineLevel="1" collapsed="false">
      <c r="A440" s="3" t="s">
        <v>906</v>
      </c>
      <c r="C440" s="9" t="n">
        <v>2</v>
      </c>
      <c r="D440" s="49" t="n">
        <v>199.271244158932</v>
      </c>
      <c r="E440" s="50" t="n">
        <v>-1</v>
      </c>
    </row>
    <row r="441" customFormat="false" ht="15" hidden="false" customHeight="false" outlineLevel="1" collapsed="false">
      <c r="A441" s="3" t="s">
        <v>907</v>
      </c>
      <c r="C441" s="9" t="n">
        <v>3</v>
      </c>
      <c r="D441" s="49" t="n">
        <v>198.565856513395</v>
      </c>
      <c r="E441" s="50" t="n">
        <v>-1</v>
      </c>
    </row>
    <row r="443" customFormat="false" ht="15" hidden="false" customHeight="false" outlineLevel="0" collapsed="false">
      <c r="A443" s="7" t="s">
        <v>908</v>
      </c>
      <c r="B443" s="8"/>
      <c r="C443" s="8"/>
      <c r="D443" s="8"/>
      <c r="E443" s="8"/>
      <c r="F443" s="8"/>
      <c r="G443" s="8"/>
      <c r="H443" s="8"/>
      <c r="I443" s="6" t="s">
        <v>909</v>
      </c>
    </row>
    <row r="444" customFormat="false" ht="15" hidden="false" customHeight="false" outlineLevel="1" collapsed="false">
      <c r="A444" s="14" t="s">
        <v>910</v>
      </c>
      <c r="B444" s="14" t="s">
        <v>60</v>
      </c>
      <c r="C444" s="14" t="s">
        <v>911</v>
      </c>
      <c r="D444" s="14"/>
      <c r="E444" s="14"/>
      <c r="F444" s="14" t="s">
        <v>912</v>
      </c>
      <c r="G444" s="14" t="s">
        <v>913</v>
      </c>
      <c r="H444" s="14"/>
      <c r="I444" s="14" t="s">
        <v>914</v>
      </c>
      <c r="J444" s="14" t="s">
        <v>915</v>
      </c>
    </row>
    <row r="445" customFormat="false" ht="15" hidden="false" customHeight="false" outlineLevel="1" collapsed="false">
      <c r="A445" s="3" t="s">
        <v>916</v>
      </c>
      <c r="B445" s="11" t="s">
        <v>39</v>
      </c>
      <c r="C445" s="44" t="n">
        <v>259.92</v>
      </c>
      <c r="F445" s="11" t="s">
        <v>828</v>
      </c>
      <c r="G445" s="11" t="s">
        <v>917</v>
      </c>
      <c r="I445" s="11" t="s">
        <v>918</v>
      </c>
      <c r="J445" s="6" t="s">
        <v>919</v>
      </c>
    </row>
    <row r="446" customFormat="false" ht="15" hidden="false" customHeight="false" outlineLevel="1" collapsed="false">
      <c r="A446" s="3" t="s">
        <v>920</v>
      </c>
      <c r="B446" s="11" t="s">
        <v>39</v>
      </c>
      <c r="C446" s="44" t="n">
        <v>331.53</v>
      </c>
      <c r="F446" s="11" t="s">
        <v>825</v>
      </c>
      <c r="G446" s="11" t="s">
        <v>921</v>
      </c>
      <c r="I446" s="11" t="s">
        <v>922</v>
      </c>
      <c r="J446" s="6"/>
    </row>
    <row r="447" customFormat="false" ht="15" hidden="false" customHeight="false" outlineLevel="1" collapsed="false">
      <c r="A447" s="3" t="s">
        <v>923</v>
      </c>
      <c r="B447" s="11" t="s">
        <v>39</v>
      </c>
      <c r="C447" s="44" t="n">
        <v>330</v>
      </c>
      <c r="F447" s="11" t="s">
        <v>825</v>
      </c>
      <c r="G447" s="11" t="s">
        <v>921</v>
      </c>
      <c r="I447" s="11" t="s">
        <v>922</v>
      </c>
      <c r="J447" s="6"/>
    </row>
    <row r="448" customFormat="false" ht="15" hidden="false" customHeight="false" outlineLevel="1" collapsed="false">
      <c r="A448" s="3" t="s">
        <v>924</v>
      </c>
      <c r="B448" s="11" t="s">
        <v>39</v>
      </c>
      <c r="C448" s="44" t="n">
        <v>230</v>
      </c>
      <c r="F448" s="11" t="s">
        <v>825</v>
      </c>
      <c r="G448" s="11" t="s">
        <v>921</v>
      </c>
      <c r="I448" s="11" t="s">
        <v>922</v>
      </c>
      <c r="J448" s="6"/>
    </row>
    <row r="449" customFormat="false" ht="15" hidden="false" customHeight="false" outlineLevel="1" collapsed="false">
      <c r="A449" s="3" t="s">
        <v>925</v>
      </c>
      <c r="B449" s="11" t="s">
        <v>39</v>
      </c>
      <c r="C449" s="44" t="n">
        <v>405</v>
      </c>
      <c r="F449" s="11" t="s">
        <v>825</v>
      </c>
      <c r="G449" s="11" t="s">
        <v>921</v>
      </c>
      <c r="I449" s="11" t="s">
        <v>922</v>
      </c>
      <c r="J449" s="6"/>
    </row>
    <row r="450" customFormat="false" ht="15" hidden="false" customHeight="false" outlineLevel="1" collapsed="false">
      <c r="A450" s="3" t="s">
        <v>926</v>
      </c>
      <c r="B450" s="6" t="s">
        <v>140</v>
      </c>
      <c r="C450" s="21" t="n">
        <v>59</v>
      </c>
      <c r="F450" s="11" t="s">
        <v>825</v>
      </c>
      <c r="G450" s="11" t="s">
        <v>921</v>
      </c>
      <c r="I450" s="11" t="s">
        <v>922</v>
      </c>
      <c r="J450" s="6"/>
    </row>
    <row r="451" customFormat="false" ht="15" hidden="false" customHeight="false" outlineLevel="1" collapsed="false">
      <c r="A451" s="3" t="s">
        <v>927</v>
      </c>
      <c r="B451" s="6"/>
      <c r="C451" s="4" t="s">
        <v>928</v>
      </c>
      <c r="F451" s="11" t="s">
        <v>825</v>
      </c>
      <c r="G451" s="11" t="s">
        <v>921</v>
      </c>
      <c r="I451" s="11" t="s">
        <v>922</v>
      </c>
      <c r="J451" s="6"/>
    </row>
    <row r="452" customFormat="false" ht="15" hidden="false" customHeight="false" outlineLevel="1" collapsed="false">
      <c r="A452" s="3" t="s">
        <v>929</v>
      </c>
      <c r="B452" s="11" t="s">
        <v>39</v>
      </c>
      <c r="C452" s="44" t="n">
        <v>322.86</v>
      </c>
      <c r="F452" s="11" t="s">
        <v>825</v>
      </c>
      <c r="G452" s="11" t="s">
        <v>921</v>
      </c>
      <c r="I452" s="11" t="s">
        <v>930</v>
      </c>
      <c r="J452" s="6"/>
    </row>
    <row r="453" customFormat="false" ht="15" hidden="false" customHeight="false" outlineLevel="1" collapsed="false">
      <c r="A453" s="3" t="s">
        <v>931</v>
      </c>
      <c r="B453" s="6" t="s">
        <v>140</v>
      </c>
      <c r="C453" s="21" t="n">
        <v>59</v>
      </c>
      <c r="F453" s="11" t="s">
        <v>825</v>
      </c>
      <c r="G453" s="11" t="s">
        <v>921</v>
      </c>
      <c r="I453" s="11" t="s">
        <v>930</v>
      </c>
      <c r="J453" s="6"/>
    </row>
    <row r="454" customFormat="false" ht="15" hidden="false" customHeight="false" outlineLevel="1" collapsed="false">
      <c r="A454" s="3" t="s">
        <v>932</v>
      </c>
      <c r="B454" s="6"/>
      <c r="C454" s="4" t="s">
        <v>933</v>
      </c>
      <c r="F454" s="11" t="s">
        <v>825</v>
      </c>
      <c r="G454" s="11" t="s">
        <v>921</v>
      </c>
      <c r="I454" s="11" t="s">
        <v>930</v>
      </c>
      <c r="J454" s="6"/>
    </row>
    <row r="455" customFormat="false" ht="15" hidden="false" customHeight="false" outlineLevel="1" collapsed="false">
      <c r="A455" s="3" t="s">
        <v>934</v>
      </c>
      <c r="B455" s="11" t="s">
        <v>39</v>
      </c>
      <c r="C455" s="44" t="n">
        <v>331.53</v>
      </c>
      <c r="F455" s="11" t="s">
        <v>825</v>
      </c>
      <c r="G455" s="11" t="s">
        <v>921</v>
      </c>
      <c r="I455" s="11" t="s">
        <v>935</v>
      </c>
      <c r="J455" s="6"/>
    </row>
    <row r="456" customFormat="false" ht="17.15" hidden="false" customHeight="false" outlineLevel="1" collapsed="false">
      <c r="A456" s="14" t="s">
        <v>936</v>
      </c>
      <c r="B456" s="14" t="s">
        <v>60</v>
      </c>
      <c r="C456" s="14" t="s">
        <v>911</v>
      </c>
      <c r="D456" s="14"/>
      <c r="E456" s="14"/>
      <c r="F456" s="14" t="s">
        <v>912</v>
      </c>
      <c r="G456" s="14" t="s">
        <v>913</v>
      </c>
      <c r="H456" s="14"/>
      <c r="I456" s="14" t="s">
        <v>914</v>
      </c>
      <c r="J456" s="14" t="s">
        <v>915</v>
      </c>
    </row>
    <row r="457" customFormat="false" ht="15" hidden="false" customHeight="false" outlineLevel="1" collapsed="false">
      <c r="A457" s="3" t="s">
        <v>937</v>
      </c>
      <c r="B457" s="6" t="s">
        <v>140</v>
      </c>
      <c r="C457" s="21" t="n">
        <v>42</v>
      </c>
      <c r="F457" s="11" t="s">
        <v>825</v>
      </c>
      <c r="G457" s="11" t="s">
        <v>921</v>
      </c>
      <c r="I457" s="11" t="s">
        <v>922</v>
      </c>
      <c r="J457" s="6"/>
    </row>
    <row r="458" customFormat="false" ht="15" hidden="false" customHeight="false" outlineLevel="1" collapsed="false">
      <c r="A458" s="3" t="s">
        <v>938</v>
      </c>
      <c r="B458" s="6" t="s">
        <v>140</v>
      </c>
      <c r="C458" s="21" t="n">
        <v>15</v>
      </c>
      <c r="F458" s="11" t="s">
        <v>825</v>
      </c>
      <c r="G458" s="11" t="s">
        <v>921</v>
      </c>
      <c r="I458" s="11" t="s">
        <v>922</v>
      </c>
      <c r="J458" s="6"/>
    </row>
    <row r="459" customFormat="false" ht="15" hidden="false" customHeight="false" outlineLevel="1" collapsed="false">
      <c r="A459" s="3" t="s">
        <v>939</v>
      </c>
      <c r="B459" s="6" t="s">
        <v>140</v>
      </c>
      <c r="C459" s="21" t="n">
        <v>2</v>
      </c>
      <c r="F459" s="11" t="s">
        <v>825</v>
      </c>
      <c r="G459" s="11" t="s">
        <v>921</v>
      </c>
      <c r="I459" s="11" t="s">
        <v>922</v>
      </c>
      <c r="J459" s="6"/>
    </row>
    <row r="460" customFormat="false" ht="15" hidden="false" customHeight="false" outlineLevel="1" collapsed="false">
      <c r="A460" s="3" t="s">
        <v>940</v>
      </c>
      <c r="B460" s="6" t="s">
        <v>140</v>
      </c>
      <c r="C460" s="21" t="n">
        <v>0</v>
      </c>
      <c r="F460" s="11" t="s">
        <v>825</v>
      </c>
      <c r="G460" s="11" t="s">
        <v>921</v>
      </c>
      <c r="I460" s="11" t="s">
        <v>922</v>
      </c>
      <c r="J460" s="6"/>
    </row>
    <row r="461" customFormat="false" ht="15" hidden="false" customHeight="false" outlineLevel="1" collapsed="false">
      <c r="A461" s="3" t="s">
        <v>941</v>
      </c>
      <c r="B461" s="6" t="s">
        <v>140</v>
      </c>
      <c r="C461" s="21" t="n">
        <v>0</v>
      </c>
      <c r="F461" s="11" t="s">
        <v>825</v>
      </c>
      <c r="G461" s="11" t="s">
        <v>921</v>
      </c>
      <c r="I461" s="11" t="s">
        <v>922</v>
      </c>
      <c r="J461" s="6"/>
    </row>
    <row r="462" customFormat="false" ht="15" hidden="false" customHeight="false" outlineLevel="1" collapsed="false">
      <c r="A462" s="3" t="s">
        <v>942</v>
      </c>
      <c r="B462" s="6" t="s">
        <v>140</v>
      </c>
      <c r="C462" s="21" t="n">
        <v>59</v>
      </c>
      <c r="F462" s="11" t="s">
        <v>825</v>
      </c>
      <c r="G462" s="11" t="s">
        <v>921</v>
      </c>
      <c r="I462" s="11" t="s">
        <v>922</v>
      </c>
      <c r="J462" s="6"/>
    </row>
    <row r="463" customFormat="false" ht="17.15" hidden="false" customHeight="false" outlineLevel="1" collapsed="false">
      <c r="A463" s="14" t="s">
        <v>943</v>
      </c>
      <c r="B463" s="14" t="s">
        <v>60</v>
      </c>
      <c r="C463" s="14" t="s">
        <v>911</v>
      </c>
      <c r="D463" s="14"/>
      <c r="E463" s="14"/>
      <c r="F463" s="14" t="s">
        <v>912</v>
      </c>
      <c r="G463" s="14" t="s">
        <v>913</v>
      </c>
      <c r="H463" s="14"/>
      <c r="I463" s="14" t="s">
        <v>914</v>
      </c>
      <c r="J463" s="14" t="s">
        <v>915</v>
      </c>
    </row>
    <row r="464" customFormat="false" ht="15" hidden="false" customHeight="false" outlineLevel="1" collapsed="false">
      <c r="A464" s="3" t="s">
        <v>944</v>
      </c>
      <c r="B464" s="11" t="s">
        <v>65</v>
      </c>
      <c r="C464" s="51" t="n">
        <v>828.285</v>
      </c>
      <c r="D464" s="51" t="n">
        <v>947.853</v>
      </c>
      <c r="E464" s="51" t="n">
        <v>1097.389</v>
      </c>
      <c r="F464" s="11" t="s">
        <v>825</v>
      </c>
      <c r="G464" s="11" t="s">
        <v>921</v>
      </c>
      <c r="I464" s="11" t="s">
        <v>945</v>
      </c>
      <c r="J464" s="6"/>
    </row>
    <row r="465" customFormat="false" ht="15" hidden="false" customHeight="false" outlineLevel="1" collapsed="false">
      <c r="A465" s="3" t="s">
        <v>946</v>
      </c>
      <c r="B465" s="11" t="s">
        <v>65</v>
      </c>
      <c r="C465" s="51" t="n">
        <v>216.957</v>
      </c>
      <c r="D465" s="51" t="n">
        <v>273.452</v>
      </c>
      <c r="E465" s="51" t="n">
        <v>355.29</v>
      </c>
      <c r="F465" s="11" t="s">
        <v>825</v>
      </c>
      <c r="G465" s="11" t="s">
        <v>921</v>
      </c>
      <c r="I465" s="11" t="s">
        <v>945</v>
      </c>
      <c r="J465" s="6"/>
    </row>
    <row r="466" customFormat="false" ht="15" hidden="false" customHeight="false" outlineLevel="1" collapsed="false">
      <c r="A466" s="3" t="s">
        <v>947</v>
      </c>
      <c r="B466" s="11" t="s">
        <v>42</v>
      </c>
      <c r="C466" s="23" t="n">
        <v>0.261935203462576</v>
      </c>
      <c r="D466" s="23" t="n">
        <v>0.288496211965358</v>
      </c>
      <c r="E466" s="23" t="n">
        <v>0.323759396166719</v>
      </c>
      <c r="F466" s="11" t="s">
        <v>825</v>
      </c>
      <c r="G466" s="11" t="s">
        <v>921</v>
      </c>
      <c r="I466" s="11" t="s">
        <v>945</v>
      </c>
      <c r="J466" s="6"/>
    </row>
    <row r="467" customFormat="false" ht="15" hidden="false" customHeight="false" outlineLevel="1" collapsed="false">
      <c r="A467" s="3" t="s">
        <v>948</v>
      </c>
      <c r="B467" s="11" t="s">
        <v>65</v>
      </c>
      <c r="C467" s="51" t="n">
        <v>109.867</v>
      </c>
      <c r="D467" s="51" t="n">
        <v>140.372</v>
      </c>
      <c r="E467" s="51" t="n">
        <v>182.749</v>
      </c>
      <c r="F467" s="11" t="s">
        <v>825</v>
      </c>
      <c r="G467" s="11" t="s">
        <v>921</v>
      </c>
      <c r="I467" s="11" t="s">
        <v>945</v>
      </c>
      <c r="J467" s="6"/>
    </row>
    <row r="468" customFormat="false" ht="15" hidden="false" customHeight="false" outlineLevel="1" collapsed="false">
      <c r="A468" s="3" t="s">
        <v>949</v>
      </c>
      <c r="B468" s="11" t="s">
        <v>65</v>
      </c>
      <c r="C468" s="51" t="n">
        <v>140.133</v>
      </c>
      <c r="D468" s="51" t="n">
        <v>115.541</v>
      </c>
      <c r="E468" s="51" t="n">
        <v>147.701</v>
      </c>
      <c r="F468" s="11" t="s">
        <v>825</v>
      </c>
      <c r="G468" s="11" t="s">
        <v>921</v>
      </c>
      <c r="I468" s="11" t="s">
        <v>945</v>
      </c>
      <c r="J468" s="6"/>
    </row>
    <row r="469" customFormat="false" ht="15" hidden="false" customHeight="false" outlineLevel="1" collapsed="false">
      <c r="A469" s="3" t="s">
        <v>950</v>
      </c>
      <c r="B469" s="11" t="s">
        <v>39</v>
      </c>
      <c r="C469" s="44" t="n">
        <v>12.88</v>
      </c>
      <c r="D469" s="44" t="n">
        <v>10.51</v>
      </c>
      <c r="E469" s="44" t="n">
        <v>13.81</v>
      </c>
      <c r="F469" s="11" t="s">
        <v>825</v>
      </c>
      <c r="G469" s="11" t="s">
        <v>921</v>
      </c>
      <c r="I469" s="11" t="s">
        <v>945</v>
      </c>
      <c r="J469" s="6"/>
    </row>
    <row r="470" customFormat="false" ht="15" hidden="false" customHeight="false" outlineLevel="1" collapsed="false">
      <c r="A470" s="3" t="s">
        <v>951</v>
      </c>
      <c r="B470" s="11" t="s">
        <v>65</v>
      </c>
      <c r="C470" s="51" t="n">
        <v>220.5</v>
      </c>
      <c r="D470" s="51" t="n">
        <v>275.063</v>
      </c>
      <c r="E470" s="51" t="n">
        <v>292.927</v>
      </c>
      <c r="F470" s="11" t="s">
        <v>825</v>
      </c>
      <c r="G470" s="11" t="s">
        <v>921</v>
      </c>
      <c r="I470" s="11" t="s">
        <v>945</v>
      </c>
      <c r="J470" s="6"/>
    </row>
    <row r="471" customFormat="false" ht="15" hidden="false" customHeight="false" outlineLevel="1" collapsed="false">
      <c r="A471" s="3" t="s">
        <v>952</v>
      </c>
      <c r="B471" s="11" t="s">
        <v>65</v>
      </c>
      <c r="C471" s="51" t="n">
        <v>-34.027</v>
      </c>
      <c r="D471" s="51" t="n">
        <v>-5.631</v>
      </c>
      <c r="E471" s="51" t="n">
        <v>41.402</v>
      </c>
      <c r="F471" s="11" t="s">
        <v>825</v>
      </c>
      <c r="G471" s="11" t="s">
        <v>921</v>
      </c>
      <c r="I471" s="11" t="s">
        <v>945</v>
      </c>
      <c r="J471" s="6"/>
    </row>
    <row r="472" customFormat="false" ht="15" hidden="false" customHeight="false" outlineLevel="1" collapsed="false">
      <c r="A472" s="3" t="s">
        <v>953</v>
      </c>
      <c r="B472" s="11" t="s">
        <v>65</v>
      </c>
      <c r="C472" s="51" t="n">
        <v>22.278</v>
      </c>
      <c r="D472" s="51" t="n">
        <v>74.022</v>
      </c>
      <c r="E472" s="51" t="n">
        <v>104.013</v>
      </c>
      <c r="F472" s="11" t="s">
        <v>825</v>
      </c>
      <c r="G472" s="11" t="s">
        <v>921</v>
      </c>
      <c r="I472" s="11" t="s">
        <v>945</v>
      </c>
      <c r="J472" s="6"/>
    </row>
    <row r="473" customFormat="false" ht="15" hidden="false" customHeight="false" outlineLevel="1" collapsed="false">
      <c r="A473" s="3" t="s">
        <v>954</v>
      </c>
      <c r="B473" s="11" t="s">
        <v>39</v>
      </c>
      <c r="C473" s="44" t="n">
        <v>0</v>
      </c>
      <c r="D473" s="44" t="n">
        <v>0</v>
      </c>
      <c r="E473" s="44" t="n">
        <v>0</v>
      </c>
      <c r="F473" s="11" t="s">
        <v>825</v>
      </c>
      <c r="G473" s="11" t="s">
        <v>921</v>
      </c>
      <c r="I473" s="11" t="s">
        <v>945</v>
      </c>
      <c r="J473" s="6"/>
    </row>
    <row r="474" customFormat="false" ht="15" hidden="false" customHeight="false" outlineLevel="1" collapsed="false">
      <c r="A474" s="3" t="s">
        <v>955</v>
      </c>
      <c r="B474" s="6"/>
      <c r="C474" s="4" t="s">
        <v>956</v>
      </c>
      <c r="F474" s="11" t="s">
        <v>825</v>
      </c>
      <c r="G474" s="11" t="s">
        <v>921</v>
      </c>
      <c r="I474" s="11" t="s">
        <v>945</v>
      </c>
      <c r="J474" s="6"/>
    </row>
    <row r="475" customFormat="false" ht="17.15" hidden="false" customHeight="false" outlineLevel="1" collapsed="false">
      <c r="A475" s="15" t="s">
        <v>957</v>
      </c>
      <c r="B475" s="14" t="s">
        <v>60</v>
      </c>
      <c r="C475" s="14" t="s">
        <v>911</v>
      </c>
      <c r="D475" s="14"/>
      <c r="E475" s="14"/>
      <c r="F475" s="14" t="s">
        <v>912</v>
      </c>
      <c r="G475" s="14" t="s">
        <v>913</v>
      </c>
      <c r="H475" s="14"/>
      <c r="I475" s="14" t="s">
        <v>914</v>
      </c>
      <c r="J475" s="14" t="s">
        <v>915</v>
      </c>
    </row>
    <row r="476" customFormat="false" ht="15" hidden="false" customHeight="false" outlineLevel="1" collapsed="false">
      <c r="A476" s="3" t="s">
        <v>958</v>
      </c>
      <c r="B476" s="11" t="s">
        <v>65</v>
      </c>
      <c r="C476" s="51" t="n">
        <v>828.44</v>
      </c>
      <c r="D476" s="51" t="n">
        <v>948.44</v>
      </c>
      <c r="F476" s="11" t="s">
        <v>825</v>
      </c>
      <c r="G476" s="11" t="s">
        <v>921</v>
      </c>
      <c r="I476" s="11" t="s">
        <v>922</v>
      </c>
      <c r="J476" s="6"/>
    </row>
    <row r="477" customFormat="false" ht="15" hidden="false" customHeight="false" outlineLevel="1" collapsed="false">
      <c r="A477" s="3" t="s">
        <v>959</v>
      </c>
      <c r="B477" s="11" t="s">
        <v>65</v>
      </c>
      <c r="C477" s="51" t="n">
        <v>815.9</v>
      </c>
      <c r="D477" s="51" t="n">
        <v>842</v>
      </c>
      <c r="F477" s="11" t="s">
        <v>825</v>
      </c>
      <c r="G477" s="11" t="s">
        <v>921</v>
      </c>
      <c r="I477" s="11" t="s">
        <v>922</v>
      </c>
      <c r="J477" s="6"/>
    </row>
    <row r="478" customFormat="false" ht="15" hidden="false" customHeight="false" outlineLevel="1" collapsed="false">
      <c r="A478" s="3" t="s">
        <v>960</v>
      </c>
      <c r="B478" s="11" t="s">
        <v>39</v>
      </c>
      <c r="C478" s="44" t="n">
        <v>8.31</v>
      </c>
      <c r="D478" s="44" t="n">
        <v>10.47</v>
      </c>
      <c r="F478" s="11" t="s">
        <v>825</v>
      </c>
      <c r="G478" s="11" t="s">
        <v>921</v>
      </c>
      <c r="I478" s="11" t="s">
        <v>922</v>
      </c>
      <c r="J478" s="6"/>
    </row>
    <row r="479" customFormat="false" ht="15" hidden="false" customHeight="false" outlineLevel="1" collapsed="false">
      <c r="A479" s="3" t="s">
        <v>961</v>
      </c>
      <c r="B479" s="6" t="s">
        <v>140</v>
      </c>
      <c r="C479" s="21" t="n">
        <v>56</v>
      </c>
      <c r="F479" s="11" t="s">
        <v>825</v>
      </c>
      <c r="G479" s="11" t="s">
        <v>921</v>
      </c>
      <c r="I479" s="11" t="s">
        <v>922</v>
      </c>
      <c r="J479" s="11" t="s">
        <v>962</v>
      </c>
    </row>
    <row r="480" customFormat="false" ht="15" hidden="false" customHeight="false" outlineLevel="1" collapsed="false">
      <c r="A480" s="14" t="s">
        <v>963</v>
      </c>
      <c r="B480" s="14" t="s">
        <v>60</v>
      </c>
      <c r="C480" s="14" t="s">
        <v>911</v>
      </c>
      <c r="D480" s="14"/>
      <c r="E480" s="14"/>
      <c r="F480" s="14" t="s">
        <v>912</v>
      </c>
      <c r="G480" s="14" t="s">
        <v>913</v>
      </c>
      <c r="H480" s="14"/>
      <c r="I480" s="14" t="s">
        <v>914</v>
      </c>
      <c r="J480" s="14" t="s">
        <v>915</v>
      </c>
    </row>
    <row r="481" customFormat="false" ht="15" hidden="false" customHeight="false" outlineLevel="1" collapsed="false">
      <c r="A481" s="3" t="s">
        <v>964</v>
      </c>
      <c r="B481" s="11" t="s">
        <v>65</v>
      </c>
      <c r="C481" s="51" t="n">
        <v>197</v>
      </c>
      <c r="D481" s="51" t="n">
        <v>202</v>
      </c>
      <c r="F481" s="6" t="s">
        <v>965</v>
      </c>
      <c r="G481" s="11" t="s">
        <v>921</v>
      </c>
      <c r="I481" s="11" t="s">
        <v>966</v>
      </c>
      <c r="J481" s="6" t="s">
        <v>967</v>
      </c>
    </row>
    <row r="482" customFormat="false" ht="17.15" hidden="false" customHeight="false" outlineLevel="1" collapsed="false">
      <c r="A482" s="14" t="s">
        <v>968</v>
      </c>
      <c r="B482" s="14" t="s">
        <v>60</v>
      </c>
      <c r="C482" s="14" t="s">
        <v>911</v>
      </c>
      <c r="D482" s="14"/>
      <c r="E482" s="14"/>
      <c r="F482" s="14" t="s">
        <v>912</v>
      </c>
      <c r="G482" s="14" t="s">
        <v>913</v>
      </c>
      <c r="H482" s="14"/>
      <c r="I482" s="14" t="s">
        <v>914</v>
      </c>
      <c r="J482" s="14" t="s">
        <v>915</v>
      </c>
    </row>
    <row r="483" customFormat="false" ht="15" hidden="false" customHeight="false" outlineLevel="1" collapsed="false">
      <c r="A483" s="3" t="s">
        <v>969</v>
      </c>
      <c r="B483" s="6"/>
      <c r="C483" s="24" t="n">
        <v>322.86</v>
      </c>
      <c r="F483" s="11" t="s">
        <v>828</v>
      </c>
      <c r="G483" s="11" t="s">
        <v>921</v>
      </c>
      <c r="I483" s="11" t="s">
        <v>970</v>
      </c>
      <c r="J483" s="6" t="s">
        <v>971</v>
      </c>
    </row>
    <row r="484" customFormat="false" ht="15" hidden="false" customHeight="false" outlineLevel="1" collapsed="false">
      <c r="A484" s="14" t="s">
        <v>972</v>
      </c>
      <c r="B484" s="14" t="s">
        <v>60</v>
      </c>
      <c r="C484" s="14" t="s">
        <v>911</v>
      </c>
      <c r="D484" s="14"/>
      <c r="E484" s="14"/>
      <c r="F484" s="14" t="s">
        <v>912</v>
      </c>
      <c r="G484" s="14" t="s">
        <v>913</v>
      </c>
      <c r="H484" s="14"/>
      <c r="I484" s="14" t="s">
        <v>914</v>
      </c>
      <c r="J484" s="14" t="s">
        <v>915</v>
      </c>
    </row>
    <row r="485" customFormat="false" ht="15" hidden="false" customHeight="false" outlineLevel="1" collapsed="false">
      <c r="A485" s="3" t="s">
        <v>973</v>
      </c>
      <c r="B485" s="11" t="s">
        <v>39</v>
      </c>
      <c r="C485" s="44" t="n">
        <v>335</v>
      </c>
      <c r="F485" s="6" t="s">
        <v>965</v>
      </c>
      <c r="G485" s="11" t="s">
        <v>921</v>
      </c>
      <c r="I485" s="6"/>
      <c r="J485" s="11" t="s">
        <v>974</v>
      </c>
    </row>
    <row r="486" customFormat="false" ht="15" hidden="false" customHeight="false" outlineLevel="1" collapsed="false">
      <c r="A486" s="14" t="s">
        <v>975</v>
      </c>
      <c r="B486" s="14" t="s">
        <v>60</v>
      </c>
      <c r="C486" s="14" t="s">
        <v>911</v>
      </c>
      <c r="D486" s="14"/>
      <c r="E486" s="14"/>
      <c r="F486" s="14" t="s">
        <v>912</v>
      </c>
      <c r="G486" s="14" t="s">
        <v>913</v>
      </c>
      <c r="H486" s="14"/>
      <c r="I486" s="14" t="s">
        <v>914</v>
      </c>
      <c r="J486" s="14" t="s">
        <v>915</v>
      </c>
    </row>
    <row r="487" customFormat="false" ht="15" hidden="false" customHeight="false" outlineLevel="1" collapsed="false">
      <c r="A487" s="3" t="s">
        <v>976</v>
      </c>
      <c r="B487" s="6"/>
      <c r="C487" s="4" t="s">
        <v>977</v>
      </c>
      <c r="F487" s="11" t="s">
        <v>825</v>
      </c>
      <c r="G487" s="6"/>
      <c r="I487" s="6" t="s">
        <v>978</v>
      </c>
      <c r="J487" s="6"/>
    </row>
    <row r="488" customFormat="false" ht="15" hidden="false" customHeight="false" outlineLevel="1" collapsed="false">
      <c r="A488" s="3" t="s">
        <v>979</v>
      </c>
      <c r="B488" s="6"/>
      <c r="C488" s="4" t="s">
        <v>980</v>
      </c>
      <c r="F488" s="11" t="s">
        <v>825</v>
      </c>
      <c r="G488" s="6"/>
      <c r="I488" s="6" t="s">
        <v>978</v>
      </c>
      <c r="J488" s="6"/>
    </row>
    <row r="489" customFormat="false" ht="15" hidden="false" customHeight="false" outlineLevel="1" collapsed="false">
      <c r="A489" s="3" t="s">
        <v>981</v>
      </c>
      <c r="B489" s="6"/>
      <c r="C489" s="4" t="s">
        <v>982</v>
      </c>
      <c r="F489" s="11" t="s">
        <v>825</v>
      </c>
      <c r="G489" s="6"/>
      <c r="I489" s="6" t="s">
        <v>978</v>
      </c>
      <c r="J489" s="6"/>
    </row>
    <row r="490" customFormat="false" ht="15" hidden="false" customHeight="false" outlineLevel="1" collapsed="false">
      <c r="A490" s="3" t="s">
        <v>983</v>
      </c>
      <c r="B490" s="6"/>
      <c r="C490" s="4" t="s">
        <v>984</v>
      </c>
      <c r="F490" s="11" t="s">
        <v>825</v>
      </c>
      <c r="G490" s="6"/>
      <c r="I490" s="6" t="s">
        <v>978</v>
      </c>
      <c r="J490" s="6"/>
    </row>
    <row r="491" customFormat="false" ht="15" hidden="false" customHeight="false" outlineLevel="1" collapsed="false">
      <c r="A491" s="3" t="s">
        <v>985</v>
      </c>
      <c r="B491" s="6"/>
      <c r="C491" s="4" t="s">
        <v>986</v>
      </c>
      <c r="F491" s="11" t="s">
        <v>825</v>
      </c>
      <c r="G491" s="6"/>
      <c r="I491" s="6" t="s">
        <v>978</v>
      </c>
      <c r="J491" s="6"/>
    </row>
    <row r="492" customFormat="false" ht="15" hidden="false" customHeight="false" outlineLevel="1" collapsed="false">
      <c r="A492" s="3" t="s">
        <v>987</v>
      </c>
      <c r="B492" s="6"/>
      <c r="C492" s="3" t="s">
        <v>988</v>
      </c>
      <c r="F492" s="11" t="s">
        <v>825</v>
      </c>
      <c r="G492" s="6"/>
      <c r="I492" s="6" t="s">
        <v>978</v>
      </c>
      <c r="J492" s="6"/>
    </row>
    <row r="493" customFormat="false" ht="15" hidden="false" customHeight="false" outlineLevel="1" collapsed="false">
      <c r="A493" s="3" t="s">
        <v>989</v>
      </c>
      <c r="B493" s="11" t="s">
        <v>42</v>
      </c>
      <c r="C493" s="23" t="n">
        <v>0.05</v>
      </c>
      <c r="I493" s="6" t="s">
        <v>990</v>
      </c>
    </row>
    <row r="494" customFormat="false" ht="15" hidden="false" customHeight="false" outlineLevel="1" collapsed="false">
      <c r="A494" s="3" t="s">
        <v>991</v>
      </c>
      <c r="B494" s="11" t="s">
        <v>77</v>
      </c>
      <c r="C494" s="23" t="n">
        <v>0.02</v>
      </c>
      <c r="I494" s="6" t="s">
        <v>992</v>
      </c>
    </row>
    <row r="496" customFormat="false" ht="15" hidden="false" customHeight="false" outlineLevel="0" collapsed="false">
      <c r="A496" s="7" t="s">
        <v>993</v>
      </c>
      <c r="B496" s="8"/>
      <c r="C496" s="8"/>
      <c r="D496" s="8"/>
      <c r="E496" s="8"/>
      <c r="F496" s="8"/>
      <c r="G496" s="8"/>
      <c r="H496" s="8"/>
    </row>
    <row r="497" customFormat="false" ht="15" hidden="false" customHeight="false" outlineLevel="1" collapsed="false">
      <c r="A497" s="14" t="s">
        <v>994</v>
      </c>
      <c r="B497" s="14" t="s">
        <v>60</v>
      </c>
      <c r="C497" s="15" t="s">
        <v>995</v>
      </c>
      <c r="D497" s="15" t="s">
        <v>996</v>
      </c>
      <c r="E497" s="15" t="s">
        <v>997</v>
      </c>
      <c r="F497" s="15" t="s">
        <v>998</v>
      </c>
      <c r="G497" s="15" t="s">
        <v>999</v>
      </c>
      <c r="H497" s="15" t="s">
        <v>1000</v>
      </c>
      <c r="J497" s="14" t="s">
        <v>1001</v>
      </c>
    </row>
    <row r="498" customFormat="false" ht="15" hidden="false" customHeight="false" outlineLevel="1" collapsed="false">
      <c r="A498" s="3" t="s">
        <v>1002</v>
      </c>
      <c r="C498" s="22" t="n">
        <v>1</v>
      </c>
      <c r="D498" s="22" t="n">
        <v>1</v>
      </c>
      <c r="E498" s="22" t="n">
        <v>2</v>
      </c>
      <c r="F498" s="22" t="n">
        <v>2</v>
      </c>
      <c r="G498" s="22" t="n">
        <v>2</v>
      </c>
      <c r="H498" s="22" t="n">
        <v>2</v>
      </c>
      <c r="J498" s="6" t="s">
        <v>1003</v>
      </c>
    </row>
    <row r="499" customFormat="false" ht="15" hidden="false" customHeight="false" outlineLevel="1" collapsed="false">
      <c r="A499" s="3" t="s">
        <v>1004</v>
      </c>
      <c r="C499" s="18" t="n">
        <v>1</v>
      </c>
      <c r="J499" s="6" t="s">
        <v>1005</v>
      </c>
    </row>
    <row r="500" customFormat="false" ht="15" hidden="false" customHeight="false" outlineLevel="1" collapsed="false">
      <c r="A500" s="3" t="s">
        <v>1006</v>
      </c>
      <c r="B500" s="11" t="s">
        <v>65</v>
      </c>
      <c r="C500" s="51" t="n">
        <v>200.606</v>
      </c>
      <c r="J500" s="6" t="s">
        <v>1007</v>
      </c>
    </row>
    <row r="501" customFormat="false" ht="15" hidden="false" customHeight="false" outlineLevel="1" collapsed="false">
      <c r="A501" s="3" t="s">
        <v>1008</v>
      </c>
      <c r="B501" s="11" t="s">
        <v>157</v>
      </c>
      <c r="C501" s="21" t="n">
        <v>2080</v>
      </c>
      <c r="J501" s="6" t="s">
        <v>1009</v>
      </c>
    </row>
    <row r="502" customFormat="false" ht="15" hidden="false" customHeight="false" outlineLevel="1" collapsed="false">
      <c r="A502" s="3" t="s">
        <v>1010</v>
      </c>
      <c r="B502" s="11" t="s">
        <v>65</v>
      </c>
      <c r="C502" s="51"/>
      <c r="D502" s="51"/>
      <c r="E502" s="51"/>
      <c r="F502" s="51"/>
      <c r="G502" s="51"/>
      <c r="H502" s="51"/>
      <c r="J502" s="6" t="s">
        <v>1011</v>
      </c>
    </row>
    <row r="503" customFormat="false" ht="15" hidden="false" customHeight="false" outlineLevel="1" collapsed="false">
      <c r="A503" s="3" t="s">
        <v>1012</v>
      </c>
      <c r="B503" s="11" t="s">
        <v>65</v>
      </c>
      <c r="C503" s="51"/>
      <c r="D503" s="51"/>
      <c r="E503" s="51"/>
      <c r="F503" s="51"/>
      <c r="G503" s="51"/>
      <c r="H503" s="51"/>
    </row>
    <row r="504" customFormat="false" ht="15" hidden="false" customHeight="false" outlineLevel="1" collapsed="false">
      <c r="A504" s="3" t="s">
        <v>1013</v>
      </c>
      <c r="B504" s="11" t="s">
        <v>65</v>
      </c>
      <c r="C504" s="51"/>
      <c r="D504" s="51"/>
      <c r="E504" s="51"/>
      <c r="F504" s="51"/>
      <c r="G504" s="51"/>
      <c r="H504" s="51"/>
    </row>
    <row r="505" customFormat="false" ht="15" hidden="false" customHeight="false" outlineLevel="1" collapsed="false">
      <c r="A505" s="3" t="s">
        <v>1014</v>
      </c>
      <c r="B505" s="11" t="s">
        <v>65</v>
      </c>
      <c r="C505" s="51"/>
      <c r="D505" s="51"/>
      <c r="E505" s="51"/>
      <c r="F505" s="51"/>
      <c r="G505" s="51"/>
      <c r="H505" s="51"/>
    </row>
    <row r="506" customFormat="false" ht="15" hidden="false" customHeight="false" outlineLevel="1" collapsed="false">
      <c r="A506" s="3" t="s">
        <v>1015</v>
      </c>
      <c r="B506" s="11" t="s">
        <v>157</v>
      </c>
      <c r="C506" s="21"/>
      <c r="D506" s="21"/>
      <c r="E506" s="21"/>
      <c r="F506" s="21"/>
      <c r="G506" s="21"/>
      <c r="H506" s="21"/>
    </row>
    <row r="507" customFormat="false" ht="15" hidden="false" customHeight="false" outlineLevel="1" collapsed="false">
      <c r="A507" s="3" t="s">
        <v>1016</v>
      </c>
      <c r="C507" s="27"/>
      <c r="D507" s="27"/>
      <c r="E507" s="27"/>
      <c r="F507" s="27"/>
      <c r="G507" s="27"/>
      <c r="H507" s="27"/>
    </row>
    <row r="508" customFormat="false" ht="15" hidden="false" customHeight="false" outlineLevel="1" collapsed="false">
      <c r="A508" s="3" t="s">
        <v>1017</v>
      </c>
      <c r="C508" s="27"/>
      <c r="D508" s="27"/>
      <c r="E508" s="27"/>
      <c r="F508" s="27"/>
      <c r="G508" s="27"/>
      <c r="H508" s="27"/>
    </row>
    <row r="509" customFormat="false" ht="15" hidden="false" customHeight="false" outlineLevel="1" collapsed="false">
      <c r="A509" s="3" t="s">
        <v>1018</v>
      </c>
      <c r="C509" s="27"/>
      <c r="D509" s="27"/>
      <c r="E509" s="27"/>
      <c r="F509" s="27"/>
      <c r="G509" s="27"/>
      <c r="H509" s="27"/>
    </row>
    <row r="510" customFormat="false" ht="15" hidden="false" customHeight="false" outlineLevel="1" collapsed="false">
      <c r="A510" s="3" t="s">
        <v>1019</v>
      </c>
      <c r="B510" s="11" t="s">
        <v>65</v>
      </c>
      <c r="C510" s="51" t="n">
        <v>197</v>
      </c>
      <c r="D510" s="51"/>
      <c r="E510" s="51"/>
      <c r="F510" s="51"/>
      <c r="G510" s="51"/>
      <c r="H510" s="51"/>
      <c r="J510" s="11" t="s">
        <v>1020</v>
      </c>
    </row>
    <row r="511" customFormat="false" ht="15" hidden="false" customHeight="false" outlineLevel="1" collapsed="false">
      <c r="A511" s="3" t="s">
        <v>1021</v>
      </c>
      <c r="B511" s="11" t="s">
        <v>65</v>
      </c>
      <c r="C511" s="51" t="n">
        <v>202</v>
      </c>
      <c r="D511" s="51"/>
      <c r="E511" s="51"/>
      <c r="F511" s="51"/>
      <c r="G511" s="51"/>
      <c r="H511" s="51"/>
    </row>
    <row r="512" customFormat="false" ht="15" hidden="false" customHeight="false" outlineLevel="1" collapsed="false">
      <c r="A512" s="3" t="s">
        <v>1022</v>
      </c>
      <c r="B512" s="11" t="s">
        <v>65</v>
      </c>
      <c r="C512" s="51" t="n">
        <v>22.5</v>
      </c>
      <c r="D512" s="51"/>
      <c r="E512" s="51"/>
      <c r="F512" s="51"/>
      <c r="G512" s="51"/>
      <c r="H512" s="51"/>
      <c r="J512" s="11" t="s">
        <v>1020</v>
      </c>
    </row>
    <row r="513" customFormat="false" ht="15" hidden="false" customHeight="false" outlineLevel="1" collapsed="false">
      <c r="A513" s="3" t="s">
        <v>1023</v>
      </c>
      <c r="B513" s="11" t="s">
        <v>65</v>
      </c>
      <c r="C513" s="51" t="n">
        <v>26.5</v>
      </c>
      <c r="D513" s="51"/>
      <c r="E513" s="51"/>
      <c r="F513" s="51"/>
      <c r="G513" s="51"/>
      <c r="H513" s="51"/>
    </row>
    <row r="514" customFormat="false" ht="15" hidden="false" customHeight="false" outlineLevel="1" collapsed="false">
      <c r="A514" s="3" t="s">
        <v>1024</v>
      </c>
      <c r="B514" s="11" t="s">
        <v>65</v>
      </c>
      <c r="C514" s="51" t="n">
        <v>220</v>
      </c>
      <c r="D514" s="51" t="n">
        <v>220</v>
      </c>
      <c r="E514" s="51" t="n">
        <v>96.31</v>
      </c>
      <c r="J514" s="11" t="s">
        <v>1025</v>
      </c>
    </row>
  </sheetData>
  <dataValidations count="1">
    <dataValidation allowBlank="false" error="請輸入 1–4" errorStyle="stop" errorTitle="錨定年度" operator="between" showDropDown="false" showErrorMessage="true" showInputMessage="false" sqref="C379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1026</v>
      </c>
    </row>
    <row r="2" customFormat="false" ht="15" hidden="false" customHeight="false" outlineLevel="0" collapsed="false">
      <c r="A2" s="11" t="s">
        <v>1027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1028</v>
      </c>
    </row>
    <row r="5" customFormat="false" ht="15" hidden="false" customHeight="false" outlineLevel="0" collapsed="false">
      <c r="A5" s="52" t="s">
        <v>1029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1030</v>
      </c>
      <c r="B6" s="11" t="s">
        <v>65</v>
      </c>
      <c r="C6" s="31" t="n">
        <f aca="false">輸入與假設!$C$417+輸入與假設!C$277</f>
        <v>220</v>
      </c>
      <c r="D6" s="31" t="n">
        <f aca="false">輸入與假設!D$277</f>
        <v>276.225824532882</v>
      </c>
      <c r="E6" s="31" t="n">
        <f aca="false">輸入與假設!E$277</f>
        <v>291.663552291615</v>
      </c>
      <c r="F6" s="31" t="n">
        <f aca="false">輸入與假設!F$277</f>
        <v>305.375691467996</v>
      </c>
      <c r="G6" s="31" t="n">
        <f aca="false">輸入與假設!G$277</f>
        <v>427.863735679275</v>
      </c>
      <c r="I6" s="11" t="s">
        <v>1031</v>
      </c>
    </row>
    <row r="7" customFormat="false" ht="15" hidden="false" customHeight="false" outlineLevel="1" collapsed="false">
      <c r="A7" s="3" t="s">
        <v>1032</v>
      </c>
      <c r="B7" s="11" t="s">
        <v>42</v>
      </c>
      <c r="C7" s="53" t="n">
        <f aca="false">輸入與假設!C$233</f>
        <v>0</v>
      </c>
      <c r="D7" s="53" t="n">
        <f aca="false">輸入與假設!D$233</f>
        <v>0</v>
      </c>
      <c r="E7" s="53" t="n">
        <f aca="false">輸入與假設!E$233</f>
        <v>0</v>
      </c>
      <c r="F7" s="53" t="n">
        <f aca="false">輸入與假設!F$233</f>
        <v>0</v>
      </c>
      <c r="G7" s="53" t="n">
        <f aca="false">輸入與假設!G$233</f>
        <v>0</v>
      </c>
    </row>
    <row r="8" customFormat="false" ht="15" hidden="false" customHeight="false" outlineLevel="1" collapsed="false">
      <c r="A8" s="3" t="s">
        <v>1033</v>
      </c>
      <c r="B8" s="11" t="s">
        <v>65</v>
      </c>
      <c r="C8" s="31" t="n">
        <f aca="false">輸入與假設!C$253*C7</f>
        <v>0</v>
      </c>
      <c r="D8" s="31" t="n">
        <f aca="false">輸入與假設!D$253*D7</f>
        <v>0</v>
      </c>
      <c r="E8" s="31" t="n">
        <f aca="false">輸入與假設!E$253*E7</f>
        <v>0</v>
      </c>
      <c r="F8" s="31" t="n">
        <f aca="false">輸入與假設!F$253*F7</f>
        <v>0</v>
      </c>
      <c r="G8" s="31" t="n">
        <f aca="false">輸入與假設!G$253*G7</f>
        <v>0</v>
      </c>
      <c r="I8" s="6" t="s">
        <v>1034</v>
      </c>
    </row>
    <row r="9" customFormat="false" ht="15" hidden="false" customHeight="false" outlineLevel="1" collapsed="false">
      <c r="A9" s="3" t="s">
        <v>1035</v>
      </c>
      <c r="B9" s="11" t="s">
        <v>65</v>
      </c>
      <c r="C9" s="31" t="n">
        <f aca="false">輸入與假設!$C$230</f>
        <v>0</v>
      </c>
      <c r="D9" s="31" t="n">
        <f aca="false">C12</f>
        <v>0</v>
      </c>
      <c r="E9" s="31" t="n">
        <f aca="false">D12</f>
        <v>0</v>
      </c>
      <c r="F9" s="31" t="n">
        <f aca="false">E12</f>
        <v>0</v>
      </c>
      <c r="G9" s="31" t="n">
        <f aca="false">F12</f>
        <v>0</v>
      </c>
      <c r="I9" s="11" t="s">
        <v>1036</v>
      </c>
    </row>
    <row r="10" customFormat="false" ht="15" hidden="false" customHeight="false" outlineLevel="1" collapsed="false">
      <c r="A10" s="3" t="s">
        <v>1037</v>
      </c>
      <c r="B10" s="11" t="s">
        <v>65</v>
      </c>
      <c r="C10" s="31" t="n">
        <f aca="false">輸入與假設!$C$231*(C9+0.5*C8)*運營_產能與收入!C7</f>
        <v>0</v>
      </c>
      <c r="D10" s="31" t="n">
        <f aca="false">輸入與假設!$C$231*(D9+0.5*D8)*運營_產能與收入!D7</f>
        <v>0</v>
      </c>
      <c r="E10" s="31" t="n">
        <f aca="false">輸入與假設!$C$231*(E9+0.5*E8)*運營_產能與收入!E7</f>
        <v>0</v>
      </c>
      <c r="F10" s="31" t="n">
        <f aca="false">輸入與假設!$C$231*(F9+0.5*F8)*運營_產能與收入!F7</f>
        <v>0</v>
      </c>
      <c r="G10" s="31" t="n">
        <f aca="false">輸入與假設!$C$231*(G9+0.5*G8)*運營_產能與收入!G7</f>
        <v>0</v>
      </c>
      <c r="I10" s="6" t="s">
        <v>1038</v>
      </c>
    </row>
    <row r="11" customFormat="false" ht="15" hidden="false" customHeight="false" outlineLevel="1" collapsed="false">
      <c r="A11" s="3" t="s">
        <v>1039</v>
      </c>
      <c r="B11" s="11" t="s">
        <v>65</v>
      </c>
      <c r="C11" s="31" t="n">
        <f aca="false">MIN(C9+C10,(C9+C10)/輸入與假設!$C$229*運營_產能與收入!C7)</f>
        <v>0</v>
      </c>
      <c r="D11" s="31" t="n">
        <f aca="false">MIN(D9+D10,(D9+D10)/輸入與假設!$C$229*運營_產能與收入!D7)</f>
        <v>0</v>
      </c>
      <c r="E11" s="31" t="n">
        <f aca="false">MIN(E9+E10,(E9+E10)/輸入與假設!$C$229*運營_產能與收入!E7)</f>
        <v>0</v>
      </c>
      <c r="F11" s="31" t="n">
        <f aca="false">MIN(F9+F10,(F9+F10)/輸入與假設!$C$229*運營_產能與收入!F7)</f>
        <v>0</v>
      </c>
      <c r="G11" s="31" t="n">
        <f aca="false">MIN(G9+G10,(G9+G10)/輸入與假設!$C$229*運營_產能與收入!G7)</f>
        <v>0</v>
      </c>
      <c r="I11" s="6" t="s">
        <v>1040</v>
      </c>
    </row>
    <row r="12" customFormat="false" ht="15" hidden="false" customHeight="false" outlineLevel="1" collapsed="false">
      <c r="A12" s="3" t="s">
        <v>1041</v>
      </c>
      <c r="B12" s="11" t="s">
        <v>65</v>
      </c>
      <c r="C12" s="31" t="n">
        <f aca="false">C9+C8+C10-C11</f>
        <v>0</v>
      </c>
      <c r="D12" s="31" t="n">
        <f aca="false">D9+D8+D10-D11</f>
        <v>0</v>
      </c>
      <c r="E12" s="31" t="n">
        <f aca="false">E9+E8+E10-E11</f>
        <v>0</v>
      </c>
      <c r="F12" s="31" t="n">
        <f aca="false">F9+F8+F10-F11</f>
        <v>0</v>
      </c>
      <c r="G12" s="31" t="n">
        <f aca="false">G9+G8+G10-G11</f>
        <v>0</v>
      </c>
      <c r="I12" s="6" t="s">
        <v>1042</v>
      </c>
    </row>
    <row r="13" customFormat="false" ht="15" hidden="false" customHeight="false" outlineLevel="1" collapsed="false">
      <c r="A13" s="4" t="s">
        <v>1043</v>
      </c>
      <c r="B13" s="11" t="s">
        <v>65</v>
      </c>
      <c r="C13" s="31" t="n">
        <f aca="false">輸入與假設!$C$416+輸入與假設!C$277</f>
        <v>220</v>
      </c>
      <c r="D13" s="31" t="n">
        <f aca="false">輸入與假設!D$277</f>
        <v>276.225824532882</v>
      </c>
      <c r="E13" s="31" t="n">
        <f aca="false">輸入與假設!E$277</f>
        <v>291.663552291615</v>
      </c>
      <c r="F13" s="31" t="n">
        <f aca="false">輸入與假設!F$277</f>
        <v>305.375691467996</v>
      </c>
      <c r="G13" s="31" t="n">
        <f aca="false">輸入與假設!G$277</f>
        <v>427.863735679275</v>
      </c>
      <c r="I13" s="11" t="s">
        <v>1044</v>
      </c>
    </row>
    <row r="14" customFormat="false" ht="15" hidden="false" customHeight="false" outlineLevel="1" collapsed="false">
      <c r="A14" s="3" t="s">
        <v>1045</v>
      </c>
      <c r="B14" s="11" t="s">
        <v>65</v>
      </c>
      <c r="C14" s="39" t="n">
        <f aca="false">輸入與假設!C$234</f>
        <v>10.776</v>
      </c>
      <c r="D14" s="39" t="n">
        <f aca="false">輸入與假設!D$234</f>
        <v>17.222</v>
      </c>
      <c r="E14" s="39" t="n">
        <f aca="false">輸入與假設!E$234</f>
        <v>16.503</v>
      </c>
      <c r="F14" s="39" t="n">
        <f aca="false">輸入與假設!F$234</f>
        <v>14.787</v>
      </c>
      <c r="G14" s="39" t="n">
        <f aca="false">輸入與假設!G$234</f>
        <v>13.258</v>
      </c>
      <c r="I14" s="6" t="s">
        <v>1046</v>
      </c>
    </row>
    <row r="15" customFormat="false" ht="15" hidden="false" customHeight="false" outlineLevel="1" collapsed="false">
      <c r="A15" s="3" t="s">
        <v>1047</v>
      </c>
      <c r="B15" s="11" t="s">
        <v>65</v>
      </c>
      <c r="C15" s="39" t="n">
        <f aca="false">運營_產能與收入!C59</f>
        <v>1.74424576271186</v>
      </c>
      <c r="D15" s="39" t="n">
        <f aca="false">運營_產能與收入!D59</f>
        <v>8.72122881355932</v>
      </c>
      <c r="E15" s="39" t="n">
        <f aca="false">運營_產能與收入!E59</f>
        <v>9.30264406779661</v>
      </c>
      <c r="F15" s="39" t="n">
        <f aca="false">運營_產能與收入!F59</f>
        <v>9.30264406779661</v>
      </c>
      <c r="G15" s="39" t="n">
        <f aca="false">運營_產能與收入!G59</f>
        <v>9.30264406779661</v>
      </c>
      <c r="I15" s="6" t="s">
        <v>1048</v>
      </c>
    </row>
    <row r="16" customFormat="false" ht="15" hidden="false" customHeight="false" outlineLevel="1" collapsed="false">
      <c r="A16" s="3" t="s">
        <v>1049</v>
      </c>
      <c r="B16" s="11" t="s">
        <v>65</v>
      </c>
      <c r="C16" s="31" t="n">
        <f aca="false">輸入與假設!C$237+C15*輸入與假設!$C$238</f>
        <v>1.77349978983051</v>
      </c>
      <c r="D16" s="31" t="n">
        <f aca="false">輸入與假設!D$237+D15*輸入與假設!$C$238</f>
        <v>4.12449894915254</v>
      </c>
      <c r="E16" s="31" t="n">
        <f aca="false">輸入與假設!E$237+E15*輸入與假設!$C$238</f>
        <v>4.35766554576271</v>
      </c>
      <c r="F16" s="31" t="n">
        <f aca="false">輸入與假設!F$237+F15*輸入與假設!$C$238</f>
        <v>3.96666554576271</v>
      </c>
      <c r="G16" s="31" t="n">
        <f aca="false">輸入與假設!G$237+G15*輸入與假設!$C$238</f>
        <v>3.76766554576271</v>
      </c>
      <c r="I16" s="6" t="s">
        <v>1050</v>
      </c>
    </row>
    <row r="17" customFormat="false" ht="15" hidden="false" customHeight="false" outlineLevel="1" collapsed="false">
      <c r="A17" s="3" t="s">
        <v>1051</v>
      </c>
      <c r="B17" s="11" t="s">
        <v>65</v>
      </c>
      <c r="C17" s="39" t="n">
        <f aca="false">輸入與假設!C$317</f>
        <v>2.701165075</v>
      </c>
      <c r="D17" s="39" t="n">
        <f aca="false">輸入與假設!D$317</f>
        <v>5.22284824641133</v>
      </c>
      <c r="E17" s="39" t="n">
        <f aca="false">輸入與假設!E$317</f>
        <v>4.79367181722358</v>
      </c>
      <c r="F17" s="39" t="n">
        <f aca="false">輸入與假設!F$317</f>
        <v>4.35773206633219</v>
      </c>
      <c r="G17" s="39" t="n">
        <f aca="false">輸入與假設!G$317</f>
        <v>4.027588539928</v>
      </c>
      <c r="I17" s="6" t="str">
        <f aca="false">"6/30 債務餘額的利息。2026 全年利息＝1H 實際 2.114＋2H "&amp;TEXT(C17,"0.0")&amp;"＝"&amp;TEXT(2.114+C17,"0.00")&amp;"（見下方備忘）"</f>
        <v>6/30 債務餘額的利息。2026 全年利息＝1H 實際 2.114＋2H 2.7＝4.82（見下方備忘）</v>
      </c>
    </row>
    <row r="18" customFormat="false" ht="15" hidden="false" customHeight="false" outlineLevel="1" collapsed="false">
      <c r="A18" s="3" t="s">
        <v>1052</v>
      </c>
      <c r="B18" s="11" t="s">
        <v>65</v>
      </c>
      <c r="C18" s="31" t="n">
        <f aca="false">輸入與假設!$C$414</f>
        <v>123.029</v>
      </c>
      <c r="D18" s="31" t="n">
        <f aca="false">C56</f>
        <v>64.6905772322645</v>
      </c>
      <c r="E18" s="31" t="n">
        <f aca="false">D56</f>
        <v>50</v>
      </c>
      <c r="F18" s="31" t="n">
        <f aca="false">E56</f>
        <v>50</v>
      </c>
      <c r="G18" s="31" t="n">
        <f aca="false">F56</f>
        <v>50</v>
      </c>
      <c r="I18" s="11" t="s">
        <v>1053</v>
      </c>
    </row>
    <row r="19" customFormat="false" ht="15" hidden="false" customHeight="false" outlineLevel="1" collapsed="false">
      <c r="A19" s="3" t="s">
        <v>1054</v>
      </c>
      <c r="B19" s="11" t="s">
        <v>42</v>
      </c>
      <c r="C19" s="38" t="n">
        <f aca="false">IF(輸入與假設!$C$310=1,輸入與假設!C$316+MAX(0,輸入與假設!$C$309-450)/100*0.004,輸入與假設!C$316)</f>
        <v>0.05</v>
      </c>
      <c r="D19" s="38" t="n">
        <f aca="false">IF(輸入與假設!$C$310=1,輸入與假設!D$316+MAX(0,輸入與假設!$C$309-450)/100*0.004,輸入與假設!D$316)</f>
        <v>0.05</v>
      </c>
      <c r="E19" s="38" t="n">
        <f aca="false">IF(輸入與假設!$C$310=1,輸入與假設!E$316+MAX(0,輸入與假設!$C$309-450)/100*0.004,輸入與假設!E$316)</f>
        <v>0.05</v>
      </c>
      <c r="F19" s="38" t="n">
        <f aca="false">IF(輸入與假設!$C$310=1,輸入與假設!F$316+MAX(0,輸入與假設!$C$309-450)/100*0.004,輸入與假設!F$316)</f>
        <v>0.05</v>
      </c>
      <c r="G19" s="38" t="n">
        <f aca="false">IF(輸入與假設!$C$310=1,輸入與假設!G$316+MAX(0,輸入與假設!$C$309-450)/100*0.004,輸入與假設!G$316)</f>
        <v>0.05</v>
      </c>
      <c r="I19" s="11" t="s">
        <v>1055</v>
      </c>
    </row>
    <row r="20" customFormat="false" ht="15" hidden="false" customHeight="false" outlineLevel="1" collapsed="false">
      <c r="A20" s="3" t="s">
        <v>1056</v>
      </c>
      <c r="B20" s="11" t="s">
        <v>65</v>
      </c>
      <c r="C20" s="31" t="n">
        <f aca="false">C94</f>
        <v>0</v>
      </c>
      <c r="D20" s="31" t="n">
        <f aca="false">D94</f>
        <v>3.35898016200088</v>
      </c>
      <c r="E20" s="31" t="n">
        <f aca="false">E94</f>
        <v>5.81696851176835</v>
      </c>
      <c r="F20" s="31" t="n">
        <f aca="false">F94</f>
        <v>6.18404266776558</v>
      </c>
      <c r="G20" s="31" t="n">
        <f aca="false">G94</f>
        <v>10.3330277139463</v>
      </c>
      <c r="I20" s="6" t="s">
        <v>1057</v>
      </c>
    </row>
    <row r="21" customFormat="false" ht="15" hidden="false" customHeight="false" outlineLevel="1" collapsed="false">
      <c r="A21" s="3" t="s">
        <v>1058</v>
      </c>
      <c r="B21" s="11" t="s">
        <v>65</v>
      </c>
      <c r="C21" s="31" t="n">
        <f aca="false">C17+C20</f>
        <v>2.701165075</v>
      </c>
      <c r="D21" s="31" t="n">
        <f aca="false">D17+D20</f>
        <v>8.58182840841221</v>
      </c>
      <c r="E21" s="31" t="n">
        <f aca="false">E17+E20</f>
        <v>10.6106403289919</v>
      </c>
      <c r="F21" s="31" t="n">
        <f aca="false">F17+F20</f>
        <v>10.5417747340978</v>
      </c>
      <c r="G21" s="31" t="n">
        <f aca="false">G17+G20</f>
        <v>14.3606162538743</v>
      </c>
    </row>
    <row r="22" customFormat="false" ht="15" hidden="false" customHeight="false" outlineLevel="1" collapsed="false">
      <c r="A22" s="4" t="s">
        <v>1059</v>
      </c>
      <c r="B22" s="11" t="s">
        <v>65</v>
      </c>
      <c r="C22" s="31" t="n">
        <f aca="false">輸入與假設!$C$418+輸入與假設!C$241</f>
        <v>61.067</v>
      </c>
      <c r="D22" s="31" t="n">
        <f aca="false">輸入與假設!D$241</f>
        <v>0</v>
      </c>
      <c r="E22" s="31" t="n">
        <f aca="false">輸入與假設!E$241</f>
        <v>0</v>
      </c>
      <c r="F22" s="31" t="n">
        <f aca="false">輸入與假設!F$241</f>
        <v>0</v>
      </c>
      <c r="G22" s="31" t="n">
        <f aca="false">輸入與假設!G$241</f>
        <v>0</v>
      </c>
      <c r="I22" s="11" t="s">
        <v>1060</v>
      </c>
    </row>
    <row r="23" customFormat="false" ht="15" hidden="false" customHeight="false" outlineLevel="1" collapsed="false">
      <c r="A23" s="3" t="s">
        <v>1061</v>
      </c>
      <c r="B23" s="11" t="s">
        <v>65</v>
      </c>
      <c r="C23" s="31" t="n">
        <f aca="false">輸入與假設!$C$433+4*輸入與假設!$C$291*(1+輸入與假設!$C$292)^0*運營_產能與收入!C7*(輸入與假設!$C$293+0+SUMPRODUCT(資產負債_既有債務!$D$28:$D$28*資產負債_既有債務!$H$24:$H$24*(資產負債_既有債務!$G$24:$G$24&lt;0)))+輸入與假設!C$314</f>
        <v>0</v>
      </c>
      <c r="D23" s="31" t="n">
        <f aca="false">4*輸入與假設!$C$291*(1+輸入與假設!$C$292)^1*運營_產能與收入!D7*(輸入與假設!$C$293+C97+SUMPRODUCT(資產負債_既有債務!$D$28:$D$28*資產負債_既有債務!$H$24:$H$24*(資產負債_既有債務!$G$24:$G$24&lt;1)))+輸入與假設!D$314</f>
        <v>0</v>
      </c>
      <c r="E23" s="31" t="n">
        <f aca="false">4*輸入與假設!$C$291*(1+輸入與假設!$C$292)^2*運營_產能與收入!E7*(輸入與假設!$C$293+D97+SUMPRODUCT(資產負債_既有債務!$D$28:$D$28*資產負債_既有債務!$H$24:$H$24*(資產負債_既有債務!$G$24:$G$24&lt;2)))+輸入與假設!E$314</f>
        <v>0</v>
      </c>
      <c r="F23" s="31" t="n">
        <f aca="false">4*輸入與假設!$C$291*(1+輸入與假設!$C$292)^3*運營_產能與收入!F7*(輸入與假設!$C$293+E97+SUMPRODUCT(資產負債_既有債務!$D$28:$D$28*資產負債_既有債務!$H$24:$H$24*(資產負債_既有債務!$G$24:$G$24&lt;3)))+輸入與假設!F$314</f>
        <v>0</v>
      </c>
      <c r="G23" s="31" t="n">
        <f aca="false">4*輸入與假設!$C$291*(1+輸入與假設!$C$292)^4*運營_產能與收入!G7*(輸入與假設!$C$293+F97+SUMPRODUCT(資產負債_既有債務!$D$28:$D$28*資產負債_既有債務!$H$24:$H$24*(資產負債_既有債務!$G$24:$G$24&lt;4)))+輸入與假設!G$314</f>
        <v>0</v>
      </c>
      <c r="I23" s="6" t="s">
        <v>1062</v>
      </c>
    </row>
    <row r="24" customFormat="false" ht="15" hidden="false" customHeight="false" outlineLevel="1" collapsed="false">
      <c r="A24" s="3" t="s">
        <v>1063</v>
      </c>
      <c r="B24" s="11" t="s">
        <v>65</v>
      </c>
      <c r="C24" s="31" t="n">
        <f aca="false">輸入與假設!$C$435+C76</f>
        <v>0</v>
      </c>
      <c r="D24" s="31" t="n">
        <f aca="false">D76</f>
        <v>0</v>
      </c>
      <c r="E24" s="31" t="n">
        <f aca="false">E76</f>
        <v>0</v>
      </c>
      <c r="F24" s="31" t="n">
        <f aca="false">F76</f>
        <v>0</v>
      </c>
      <c r="G24" s="31" t="n">
        <f aca="false">G76</f>
        <v>0</v>
      </c>
      <c r="I24" s="11" t="s">
        <v>1064</v>
      </c>
    </row>
    <row r="25" customFormat="false" ht="15" hidden="false" customHeight="false" outlineLevel="1" collapsed="false">
      <c r="A25" s="3" t="s">
        <v>1065</v>
      </c>
      <c r="B25" s="11" t="s">
        <v>65</v>
      </c>
      <c r="C25" s="31" t="n">
        <f aca="false">IF(輸入與假設!$C$207=1,運營_產能與收入!C9*8760*輸入與假設!C$209*輸入與假設!C$208/1000000000*運營_產能與收入!C7,0)</f>
        <v>0</v>
      </c>
      <c r="D25" s="31" t="n">
        <f aca="false">IF(輸入與假設!$C$207=1,運營_產能與收入!D9*8760*輸入與假設!D$209*輸入與假設!D$208/1000000000*運營_產能與收入!D7,0)</f>
        <v>0</v>
      </c>
      <c r="E25" s="31" t="n">
        <f aca="false">IF(輸入與假設!$C$207=1,運營_產能與收入!E9*8760*輸入與假設!E$209*輸入與假設!E$208/1000000000*運營_產能與收入!E7,0)</f>
        <v>0</v>
      </c>
      <c r="F25" s="31" t="n">
        <f aca="false">IF(輸入與假設!$C$207=1,運營_產能與收入!F9*8760*輸入與假設!F$209*輸入與假設!F$208/1000000000*運營_產能與收入!F7,0)</f>
        <v>0</v>
      </c>
      <c r="G25" s="31" t="n">
        <f aca="false">IF(輸入與假設!$C$207=1,運營_產能與收入!G9*8760*輸入與假設!G$209*輸入與假設!G$208/1000000000*運營_產能與收入!G7,0)</f>
        <v>0</v>
      </c>
      <c r="I25" s="6" t="s">
        <v>1066</v>
      </c>
    </row>
    <row r="26" customFormat="false" ht="15" hidden="false" customHeight="false" outlineLevel="1" collapsed="false">
      <c r="A26" s="3" t="s">
        <v>1067</v>
      </c>
      <c r="B26" s="11" t="s">
        <v>65</v>
      </c>
      <c r="C26" s="31" t="n">
        <f aca="false">IF(輸入與假設!$C$207=1,運營_產能與收入!C9*輸入與假設!C$210/1000*運營_產能與收入!C7,0)</f>
        <v>0</v>
      </c>
      <c r="D26" s="31" t="n">
        <f aca="false">IF(輸入與假設!$C$207=1,運營_產能與收入!D9*輸入與假設!D$210/1000*運營_產能與收入!D7,0)</f>
        <v>0</v>
      </c>
      <c r="E26" s="31" t="n">
        <f aca="false">IF(輸入與假設!$C$207=1,運營_產能與收入!E9*輸入與假設!E$210/1000*運營_產能與收入!E7,0)</f>
        <v>0</v>
      </c>
      <c r="F26" s="31" t="n">
        <f aca="false">IF(輸入與假設!$C$207=1,運營_產能與收入!F9*輸入與假設!F$210/1000*運營_產能與收入!F7,0)</f>
        <v>0</v>
      </c>
      <c r="G26" s="31" t="n">
        <f aca="false">IF(輸入與假設!$C$207=1,運營_產能與收入!G9*輸入與假設!G$210/1000*運營_產能與收入!G7,0)</f>
        <v>0</v>
      </c>
    </row>
    <row r="27" customFormat="false" ht="15" hidden="false" customHeight="false" outlineLevel="1" collapsed="false">
      <c r="A27" s="3" t="s">
        <v>1068</v>
      </c>
      <c r="B27" s="11" t="s">
        <v>65</v>
      </c>
      <c r="C27" s="31" t="n">
        <f aca="false">輸入與假設!$C$420+IF(輸入與假設!$C$286=1,輸入與假設!C$315,0)+資產負債_既有債務!C39</f>
        <v>3.048</v>
      </c>
      <c r="D27" s="31" t="n">
        <f aca="false">IF(輸入與假設!$C$286=1,輸入與假設!D$315,0)+資產負債_既有債務!D39</f>
        <v>8.837</v>
      </c>
      <c r="E27" s="31" t="n">
        <f aca="false">IF(輸入與假設!$C$286=1,輸入與假設!E$315,0)+資產負債_既有債務!E39</f>
        <v>12.294</v>
      </c>
      <c r="F27" s="31" t="n">
        <f aca="false">IF(輸入與假設!$C$286=1,輸入與假設!F$315,0)+資產負債_既有債務!F39</f>
        <v>9.17</v>
      </c>
      <c r="G27" s="31" t="n">
        <f aca="false">IF(輸入與假設!$C$286=1,輸入與假設!G$315,0)+資產負債_既有債務!G39</f>
        <v>7.085</v>
      </c>
      <c r="I27" s="11" t="s">
        <v>1069</v>
      </c>
    </row>
    <row r="28" customFormat="false" ht="15" hidden="false" customHeight="false" outlineLevel="1" collapsed="false">
      <c r="A28" s="4" t="s">
        <v>1070</v>
      </c>
      <c r="B28" s="11" t="s">
        <v>65</v>
      </c>
      <c r="C28" s="31" t="n">
        <f aca="false">輸入與假設!$C$421</f>
        <v>0</v>
      </c>
      <c r="D28" s="31" t="n">
        <f aca="false">0</f>
        <v>0</v>
      </c>
      <c r="E28" s="31" t="n">
        <f aca="false">0</f>
        <v>0</v>
      </c>
      <c r="F28" s="31" t="n">
        <f aca="false">0</f>
        <v>0</v>
      </c>
      <c r="G28" s="31" t="n">
        <f aca="false">0</f>
        <v>0</v>
      </c>
      <c r="I28" s="6" t="s">
        <v>1071</v>
      </c>
    </row>
    <row r="29" customFormat="false" ht="15" hidden="false" customHeight="false" outlineLevel="1" collapsed="false">
      <c r="A29" s="3" t="s">
        <v>1072</v>
      </c>
      <c r="B29" s="11" t="s">
        <v>65</v>
      </c>
      <c r="C29" s="31" t="n">
        <f aca="false">輸入與假設!$C$308*MAX(0,運營_產能與收入!C38*輸入與假設!C$204+輸入與假設!C$46+輸入與假設!C$195-輸入與假設!C$196-運營_產能與收入!C62-輸入與假設!C$278-輸入與假設!C$317)</f>
        <v>9.92719808265287</v>
      </c>
      <c r="D29" s="31" t="n">
        <f aca="false">輸入與假設!$C$308*MAX(0,運營_產能與收入!D38*輸入與假設!D$204+輸入與假設!D$46+輸入與假設!D$195-輸入與假設!D$196-運營_產能與收入!D62-輸入與假設!D$278-輸入與假設!D$317)</f>
        <v>22.0075595279678</v>
      </c>
      <c r="E29" s="31" t="n">
        <f aca="false">輸入與假設!$C$308*MAX(0,運營_產能與收入!E38*輸入與假設!E$204+輸入與假設!E$46+輸入與假設!E$195-輸入與假設!E$196-運營_產能與收入!E62-輸入與假設!E$278-輸入與假設!E$317)</f>
        <v>25.0237404165078</v>
      </c>
      <c r="F29" s="31" t="n">
        <f aca="false">輸入與假設!$C$308*MAX(0,運營_產能與收入!F38*輸入與假設!F$204+輸入與假設!F$46+輸入與假設!F$195-輸入與假設!F$196-運營_產能與收入!F62-輸入與假設!F$278-輸入與假設!F$317)</f>
        <v>27.3889510268459</v>
      </c>
      <c r="G29" s="31" t="n">
        <f aca="false">輸入與假設!$C$308*MAX(0,運營_產能與收入!G38*輸入與假設!G$204+輸入與假設!G$46+輸入與假設!G$195-輸入與假設!G$196-運營_產能與收入!G62-輸入與假設!G$278-輸入與假設!G$317)</f>
        <v>28.8934091544039</v>
      </c>
      <c r="I29" s="6" t="s">
        <v>1073</v>
      </c>
    </row>
    <row r="30" customFormat="false" ht="15" hidden="false" customHeight="false" outlineLevel="1" collapsed="false">
      <c r="A30" s="2" t="s">
        <v>1074</v>
      </c>
      <c r="B30" s="11" t="s">
        <v>65</v>
      </c>
      <c r="C30" s="42" t="n">
        <f aca="false">C13+C16+C21+C22+C25+C26+C27+C28+C29+C23+C24</f>
        <v>298.516862947483</v>
      </c>
      <c r="D30" s="42" t="n">
        <f aca="false">D13+D16+D21+D22+D25+D26+D27+D28+D29+D23+D24</f>
        <v>319.776711418414</v>
      </c>
      <c r="E30" s="42" t="n">
        <f aca="false">E13+E16+E21+E22+E25+E26+E27+E28+E29+E23+E24</f>
        <v>343.949598582877</v>
      </c>
      <c r="F30" s="42" t="n">
        <f aca="false">F13+F16+F21+F22+F25+F26+F27+F28+F29+F23+F24</f>
        <v>356.443082774702</v>
      </c>
      <c r="G30" s="42" t="n">
        <f aca="false">G13+G16+G21+G22+G25+G26+G27+G28+G29+G23+G24</f>
        <v>481.970426633316</v>
      </c>
      <c r="I30" s="11" t="s">
        <v>1075</v>
      </c>
    </row>
    <row r="31" customFormat="false" ht="15" hidden="false" customHeight="false" outlineLevel="0" collapsed="false">
      <c r="A31" s="52" t="s">
        <v>1076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4" t="s">
        <v>1077</v>
      </c>
      <c r="B32" s="11" t="s">
        <v>65</v>
      </c>
      <c r="C32" s="39" t="n">
        <f aca="false">輸入與假設!$C$415</f>
        <v>71.419</v>
      </c>
      <c r="D32" s="39" t="n">
        <f aca="false">0</f>
        <v>0</v>
      </c>
      <c r="E32" s="39" t="n">
        <f aca="false">0</f>
        <v>0</v>
      </c>
      <c r="F32" s="39" t="n">
        <f aca="false">0</f>
        <v>0</v>
      </c>
      <c r="G32" s="39" t="n">
        <f aca="false">0</f>
        <v>0</v>
      </c>
      <c r="I32" s="6" t="s">
        <v>1078</v>
      </c>
    </row>
    <row r="33" customFormat="false" ht="15" hidden="false" customHeight="false" outlineLevel="1" collapsed="false">
      <c r="A33" s="4" t="s">
        <v>1079</v>
      </c>
      <c r="B33" s="11" t="s">
        <v>65</v>
      </c>
      <c r="C33" s="39" t="n">
        <f aca="false">運營_產能與收入!C40</f>
        <v>0</v>
      </c>
      <c r="D33" s="39" t="n">
        <f aca="false">運營_產能與收入!D40</f>
        <v>0</v>
      </c>
      <c r="E33" s="39" t="n">
        <f aca="false">運營_產能與收入!E40</f>
        <v>0</v>
      </c>
      <c r="F33" s="39" t="n">
        <f aca="false">運營_產能與收入!F40</f>
        <v>0</v>
      </c>
      <c r="G33" s="39" t="n">
        <f aca="false">運營_產能與收入!G40</f>
        <v>0</v>
      </c>
    </row>
    <row r="34" customFormat="false" ht="15" hidden="false" customHeight="false" outlineLevel="1" collapsed="false">
      <c r="A34" s="3" t="s">
        <v>1080</v>
      </c>
      <c r="B34" s="11" t="s">
        <v>65</v>
      </c>
      <c r="C34" s="39" t="n">
        <f aca="false">運營_產能與收入!C41</f>
        <v>11.7289813953637</v>
      </c>
      <c r="D34" s="39" t="n">
        <f aca="false">運營_產能與收入!D41</f>
        <v>47.0855707818978</v>
      </c>
      <c r="E34" s="39" t="n">
        <f aca="false">運營_產能與收入!E41</f>
        <v>79.190770481875</v>
      </c>
      <c r="F34" s="39" t="n">
        <f aca="false">運營_產能與收入!F41</f>
        <v>111.502426358196</v>
      </c>
      <c r="G34" s="39" t="n">
        <f aca="false">運營_產能與收入!G41</f>
        <v>143.897921830053</v>
      </c>
    </row>
    <row r="35" customFormat="false" ht="15" hidden="false" customHeight="false" outlineLevel="1" collapsed="false">
      <c r="A35" s="3" t="s">
        <v>1081</v>
      </c>
      <c r="B35" s="11" t="s">
        <v>65</v>
      </c>
      <c r="C35" s="39" t="n">
        <f aca="false">輸入與假設!C$205</f>
        <v>0</v>
      </c>
      <c r="D35" s="39" t="n">
        <f aca="false">輸入與假設!D$205</f>
        <v>0</v>
      </c>
      <c r="E35" s="39" t="n">
        <f aca="false">輸入與假設!E$205</f>
        <v>0</v>
      </c>
      <c r="F35" s="39" t="n">
        <f aca="false">輸入與假設!F$205</f>
        <v>0</v>
      </c>
      <c r="G35" s="39" t="n">
        <f aca="false">輸入與假設!G$205</f>
        <v>0</v>
      </c>
    </row>
    <row r="36" customFormat="false" ht="15" hidden="false" customHeight="false" outlineLevel="1" collapsed="false">
      <c r="A36" s="4" t="s">
        <v>1082</v>
      </c>
      <c r="B36" s="11" t="s">
        <v>65</v>
      </c>
      <c r="C36" s="39" t="n">
        <f aca="false">輸入與假設!C$46</f>
        <v>0</v>
      </c>
      <c r="D36" s="39" t="n">
        <f aca="false">輸入與假設!D$46</f>
        <v>0</v>
      </c>
      <c r="E36" s="39" t="n">
        <f aca="false">輸入與假設!E$46</f>
        <v>0</v>
      </c>
      <c r="F36" s="39" t="n">
        <f aca="false">輸入與假設!F$46</f>
        <v>0</v>
      </c>
      <c r="G36" s="39" t="n">
        <f aca="false">輸入與假設!G$46</f>
        <v>0</v>
      </c>
      <c r="I36" s="6" t="s">
        <v>1083</v>
      </c>
    </row>
    <row r="37" customFormat="false" ht="15" hidden="false" customHeight="false" outlineLevel="1" collapsed="false">
      <c r="A37" s="4" t="s">
        <v>1084</v>
      </c>
      <c r="B37" s="11" t="s">
        <v>65</v>
      </c>
      <c r="C37" s="39" t="n">
        <f aca="false">輸入與假設!C$195-輸入與假設!C$196</f>
        <v>76.1617680715534</v>
      </c>
      <c r="D37" s="39" t="n">
        <f aca="false">輸入與假設!D$195-輸入與假設!D$196</f>
        <v>166.580690642687</v>
      </c>
      <c r="E37" s="39" t="n">
        <f aca="false">輸入與假設!E$195-輸入與假設!E$196</f>
        <v>187.874706481625</v>
      </c>
      <c r="F37" s="39" t="n">
        <f aca="false">輸入與假設!F$195-輸入與假設!F$196</f>
        <v>206.603526006186</v>
      </c>
      <c r="G37" s="39" t="n">
        <f aca="false">輸入與假設!G$195-輸入與假設!G$196</f>
        <v>221.17097528123</v>
      </c>
      <c r="I37" s="6" t="s">
        <v>1085</v>
      </c>
    </row>
    <row r="38" customFormat="false" ht="15" hidden="false" customHeight="false" outlineLevel="1" collapsed="false">
      <c r="A38" s="4" t="s">
        <v>1086</v>
      </c>
      <c r="B38" s="11" t="s">
        <v>65</v>
      </c>
      <c r="C38" s="31" t="n">
        <f aca="false">-運營_產能與收入!C62</f>
        <v>-0</v>
      </c>
      <c r="D38" s="31" t="n">
        <f aca="false">-運營_產能與收入!D62</f>
        <v>-0</v>
      </c>
      <c r="E38" s="31" t="n">
        <f aca="false">-運營_產能與收入!E62</f>
        <v>-0</v>
      </c>
      <c r="F38" s="31" t="n">
        <f aca="false">-運營_產能與收入!F62</f>
        <v>-0</v>
      </c>
      <c r="G38" s="31" t="n">
        <f aca="false">-運營_產能與收入!G62</f>
        <v>-0</v>
      </c>
      <c r="I38" s="6" t="s">
        <v>1087</v>
      </c>
    </row>
    <row r="39" customFormat="false" ht="15" hidden="false" customHeight="false" outlineLevel="1" collapsed="false">
      <c r="A39" s="4" t="s">
        <v>1088</v>
      </c>
      <c r="B39" s="11" t="s">
        <v>65</v>
      </c>
      <c r="C39" s="31" t="n">
        <f aca="false">輸入與假設!$C$47*(運營_產能與收入!C38+輸入與假設!C$194)</f>
        <v>11.2566907128307</v>
      </c>
      <c r="D39" s="31" t="n">
        <f aca="false">輸入與假設!$C$47*(運營_產能與收入!D38+輸入與假設!D$194)</f>
        <v>24.2402695215476</v>
      </c>
      <c r="E39" s="31" t="n">
        <f aca="false">輸入與假設!$C$47*(運營_產能與收入!E38+輸入與假設!E$194)</f>
        <v>27.7243546240278</v>
      </c>
      <c r="F39" s="31" t="n">
        <f aca="false">輸入與假設!$C$47*(運營_產能與收入!F38+輸入與假設!F$194)</f>
        <v>30.9956472903755</v>
      </c>
      <c r="G39" s="31" t="n">
        <f aca="false">輸入與假設!$C$47*(運營_產能與收入!G38+輸入與假設!G$194)</f>
        <v>33.9218285984182</v>
      </c>
      <c r="I39" s="6" t="s">
        <v>1089</v>
      </c>
    </row>
    <row r="40" customFormat="false" ht="15" hidden="false" customHeight="false" outlineLevel="1" collapsed="false">
      <c r="A40" s="4" t="s">
        <v>1090</v>
      </c>
      <c r="B40" s="11" t="s">
        <v>65</v>
      </c>
      <c r="C40" s="31" t="n">
        <f aca="false">IF(ISBLANK(輸入與假設!$C$48),0,輸入與假設!$C$48)</f>
        <v>1.947</v>
      </c>
      <c r="D40" s="31" t="n">
        <f aca="false">0</f>
        <v>0</v>
      </c>
      <c r="E40" s="31" t="n">
        <f aca="false">0</f>
        <v>0</v>
      </c>
      <c r="F40" s="31" t="n">
        <f aca="false">0</f>
        <v>0</v>
      </c>
      <c r="G40" s="31" t="n">
        <f aca="false">0</f>
        <v>0</v>
      </c>
      <c r="I40" s="11" t="s">
        <v>1091</v>
      </c>
    </row>
    <row r="41" customFormat="false" ht="15" hidden="false" customHeight="false" outlineLevel="1" collapsed="false">
      <c r="A41" s="3" t="s">
        <v>1092</v>
      </c>
      <c r="B41" s="11" t="s">
        <v>65</v>
      </c>
      <c r="C41" s="31" t="n">
        <f aca="false">C8</f>
        <v>0</v>
      </c>
      <c r="D41" s="31" t="n">
        <f aca="false">D8</f>
        <v>0</v>
      </c>
      <c r="E41" s="31" t="n">
        <f aca="false">E8</f>
        <v>0</v>
      </c>
      <c r="F41" s="31" t="n">
        <f aca="false">F8</f>
        <v>0</v>
      </c>
      <c r="G41" s="31" t="n">
        <f aca="false">G8</f>
        <v>0</v>
      </c>
    </row>
    <row r="42" customFormat="false" ht="15" hidden="false" customHeight="false" outlineLevel="1" collapsed="false">
      <c r="A42" s="4" t="s">
        <v>1093</v>
      </c>
      <c r="B42" s="11" t="s">
        <v>65</v>
      </c>
      <c r="C42" s="31" t="n">
        <f aca="false">-C11</f>
        <v>-0</v>
      </c>
      <c r="D42" s="31" t="n">
        <f aca="false">-D11</f>
        <v>-0</v>
      </c>
      <c r="E42" s="31" t="n">
        <f aca="false">-E11</f>
        <v>-0</v>
      </c>
      <c r="F42" s="31" t="n">
        <f aca="false">-F11</f>
        <v>-0</v>
      </c>
      <c r="G42" s="31" t="n">
        <f aca="false">-G11</f>
        <v>-0</v>
      </c>
      <c r="I42" s="6" t="s">
        <v>1094</v>
      </c>
    </row>
    <row r="43" customFormat="false" ht="15" hidden="false" customHeight="false" outlineLevel="1" collapsed="false">
      <c r="A43" s="2" t="s">
        <v>1095</v>
      </c>
      <c r="B43" s="11" t="s">
        <v>65</v>
      </c>
      <c r="C43" s="42" t="n">
        <f aca="false">C32+C33+C34+C35+C36+C37+C38+C39+C40+C41+C42</f>
        <v>172.513440179748</v>
      </c>
      <c r="D43" s="42" t="n">
        <f aca="false">D32+D33+D34+D35+D36+D37+D38+D39+D40+D41+D42</f>
        <v>237.906530946132</v>
      </c>
      <c r="E43" s="42" t="n">
        <f aca="false">E32+E33+E34+E35+E36+E37+E38+E39+E40+E41+E42</f>
        <v>294.789831587528</v>
      </c>
      <c r="F43" s="42" t="n">
        <f aca="false">F32+F33+F34+F35+F36+F37+F38+F39+F40+F41+F42</f>
        <v>349.101599654758</v>
      </c>
      <c r="G43" s="42" t="n">
        <f aca="false">G32+G33+G34+G35+G36+G37+G38+G39+G40+G41+G42</f>
        <v>398.990725709702</v>
      </c>
    </row>
    <row r="44" customFormat="false" ht="15" hidden="false" customHeight="false" outlineLevel="1" collapsed="false">
      <c r="A44" s="2" t="s">
        <v>1096</v>
      </c>
      <c r="B44" s="11" t="s">
        <v>65</v>
      </c>
      <c r="C44" s="42" t="n">
        <f aca="false">C43-C29-C21-C13</f>
        <v>-60.114922977905</v>
      </c>
      <c r="D44" s="42" t="n">
        <f aca="false">D43-D29-D21-D13</f>
        <v>-68.9086815231295</v>
      </c>
      <c r="E44" s="42" t="n">
        <f aca="false">E43-E29-E21-E13</f>
        <v>-32.5081014495867</v>
      </c>
      <c r="F44" s="42" t="n">
        <f aca="false">F43-F29-F21-F13</f>
        <v>5.79518242581821</v>
      </c>
      <c r="G44" s="42" t="n">
        <f aca="false">G43-G29-G21-G13</f>
        <v>-72.1270353778518</v>
      </c>
      <c r="I44" s="6" t="s">
        <v>1097</v>
      </c>
    </row>
    <row r="45" customFormat="false" ht="15" hidden="false" customHeight="false" outlineLevel="1" collapsed="false">
      <c r="A45" s="3" t="s">
        <v>1098</v>
      </c>
      <c r="B45" s="11" t="s">
        <v>65</v>
      </c>
      <c r="C45" s="31" t="n">
        <f aca="false">輸入與假設!$C$422+IF(輸入與假設!$C$283=1,輸入與假設!$C$282,0)</f>
        <v>0</v>
      </c>
      <c r="D45" s="31" t="n">
        <f aca="false">0</f>
        <v>0</v>
      </c>
      <c r="E45" s="31" t="n">
        <f aca="false">0</f>
        <v>0</v>
      </c>
      <c r="F45" s="31" t="n">
        <f aca="false">0</f>
        <v>0</v>
      </c>
      <c r="G45" s="31" t="n">
        <f aca="false">0</f>
        <v>0</v>
      </c>
      <c r="I45" s="11" t="s">
        <v>1099</v>
      </c>
    </row>
    <row r="46" customFormat="false" ht="15" hidden="false" customHeight="false" outlineLevel="1" collapsed="false">
      <c r="A46" s="4" t="s">
        <v>1100</v>
      </c>
      <c r="B46" s="11" t="s">
        <v>65</v>
      </c>
      <c r="C46" s="39" t="n">
        <f aca="false">輸入與假設!$C$419</f>
        <v>66.998</v>
      </c>
      <c r="D46" s="39" t="n">
        <f aca="false">0</f>
        <v>0</v>
      </c>
      <c r="E46" s="39" t="n">
        <f aca="false">0</f>
        <v>0</v>
      </c>
      <c r="F46" s="39" t="n">
        <f aca="false">0</f>
        <v>0</v>
      </c>
      <c r="G46" s="39" t="n">
        <f aca="false">0</f>
        <v>0</v>
      </c>
      <c r="I46" s="6" t="s">
        <v>1101</v>
      </c>
    </row>
    <row r="47" customFormat="false" ht="15" hidden="false" customHeight="false" outlineLevel="1" collapsed="false">
      <c r="A47" s="3" t="s">
        <v>1102</v>
      </c>
      <c r="B47" s="11" t="s">
        <v>65</v>
      </c>
      <c r="C47" s="31" t="n">
        <f aca="false">C86</f>
        <v>0</v>
      </c>
      <c r="D47" s="31" t="n">
        <f aca="false">D86</f>
        <v>67.1796032400176</v>
      </c>
      <c r="E47" s="31" t="n">
        <f aca="false">E86</f>
        <v>49.1597669953494</v>
      </c>
      <c r="F47" s="31" t="n">
        <f aca="false">F86</f>
        <v>7.34148311994452</v>
      </c>
      <c r="G47" s="31" t="n">
        <f aca="false">G86</f>
        <v>82.9797009236145</v>
      </c>
      <c r="I47" s="6" t="s">
        <v>1103</v>
      </c>
    </row>
    <row r="48" customFormat="false" ht="15" hidden="false" customHeight="false" outlineLevel="1" collapsed="false">
      <c r="A48" s="4" t="s">
        <v>1104</v>
      </c>
      <c r="B48" s="11" t="s">
        <v>65</v>
      </c>
      <c r="C48" s="31" t="n">
        <f aca="false">C89</f>
        <v>0</v>
      </c>
      <c r="D48" s="31" t="n">
        <f aca="false">D89</f>
        <v>0</v>
      </c>
      <c r="E48" s="31" t="n">
        <f aca="false">E89</f>
        <v>0</v>
      </c>
      <c r="F48" s="31" t="n">
        <f aca="false">F89</f>
        <v>0</v>
      </c>
      <c r="G48" s="31" t="n">
        <f aca="false">G89</f>
        <v>0</v>
      </c>
      <c r="I48" s="6" t="s">
        <v>1105</v>
      </c>
    </row>
    <row r="49" customFormat="false" ht="15" hidden="false" customHeight="false" outlineLevel="1" collapsed="false">
      <c r="A49" s="3" t="s">
        <v>1106</v>
      </c>
      <c r="B49" s="11" t="s">
        <v>65</v>
      </c>
      <c r="C49" s="31" t="n">
        <f aca="false">C92</f>
        <v>0</v>
      </c>
      <c r="D49" s="31" t="n">
        <f aca="false">D92</f>
        <v>0</v>
      </c>
      <c r="E49" s="31" t="n">
        <f aca="false">E92</f>
        <v>0</v>
      </c>
      <c r="F49" s="31" t="n">
        <f aca="false">F92</f>
        <v>0</v>
      </c>
      <c r="G49" s="31" t="n">
        <f aca="false">G92</f>
        <v>0</v>
      </c>
      <c r="I49" s="6" t="s">
        <v>1107</v>
      </c>
    </row>
    <row r="50" customFormat="false" ht="15" hidden="false" customHeight="false" outlineLevel="1" collapsed="false">
      <c r="A50" s="3" t="s">
        <v>1108</v>
      </c>
      <c r="B50" s="11" t="s">
        <v>65</v>
      </c>
      <c r="C50" s="31" t="n">
        <f aca="false">C93</f>
        <v>0</v>
      </c>
      <c r="D50" s="31" t="n">
        <f aca="false">D93</f>
        <v>0</v>
      </c>
      <c r="E50" s="31" t="n">
        <f aca="false">E93</f>
        <v>0</v>
      </c>
      <c r="F50" s="31" t="n">
        <f aca="false">F93</f>
        <v>0</v>
      </c>
      <c r="G50" s="31" t="n">
        <f aca="false">G93</f>
        <v>0</v>
      </c>
      <c r="I50" s="6" t="s">
        <v>1109</v>
      </c>
    </row>
    <row r="51" customFormat="false" ht="15" hidden="false" customHeight="false" outlineLevel="1" collapsed="false">
      <c r="A51" s="2" t="s">
        <v>1110</v>
      </c>
      <c r="B51" s="11" t="s">
        <v>65</v>
      </c>
      <c r="C51" s="42" t="n">
        <f aca="false">C43+C45+C46+C47+C48+C49+C50</f>
        <v>239.511440179748</v>
      </c>
      <c r="D51" s="42" t="n">
        <f aca="false">D43+D45+D46+D47+D48+D49+D50</f>
        <v>305.08613418615</v>
      </c>
      <c r="E51" s="42" t="n">
        <f aca="false">E43+E45+E46+E47+E48+E49+E50</f>
        <v>343.949598582877</v>
      </c>
      <c r="F51" s="42" t="n">
        <f aca="false">F43+F45+F46+F47+F48+F49+F50</f>
        <v>356.443082774702</v>
      </c>
      <c r="G51" s="42" t="n">
        <f aca="false">G43+G45+G46+G47+G48+G49+G50</f>
        <v>481.970426633316</v>
      </c>
    </row>
    <row r="52" customFormat="false" ht="15" hidden="false" customHeight="false" outlineLevel="0" collapsed="false">
      <c r="A52" s="52" t="s">
        <v>1111</v>
      </c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1" collapsed="false">
      <c r="A53" s="3" t="s">
        <v>1112</v>
      </c>
      <c r="B53" s="11" t="s">
        <v>65</v>
      </c>
      <c r="C53" s="31" t="n">
        <f aca="false">輸入與假設!$C$281-(輸入與假設!$C$414+輸入與假設!$C$415+輸入與假設!$C$419+輸入與假設!$C$422-輸入與假設!$C$416-輸入與假設!$C$418-輸入與假設!$C$420-輸入與假設!$C$421-輸入與假設!$C$433-輸入與假設!$C$435)</f>
        <v>0.66700000000003</v>
      </c>
      <c r="D53" s="31" t="n">
        <f aca="false">0</f>
        <v>0</v>
      </c>
      <c r="E53" s="31" t="n">
        <f aca="false">0</f>
        <v>0</v>
      </c>
      <c r="F53" s="31" t="n">
        <f aca="false">0</f>
        <v>0</v>
      </c>
      <c r="G53" s="31" t="n">
        <f aca="false">0</f>
        <v>0</v>
      </c>
      <c r="I53" s="6" t="s">
        <v>1113</v>
      </c>
    </row>
    <row r="54" customFormat="false" ht="15" hidden="false" customHeight="false" outlineLevel="1" collapsed="false">
      <c r="A54" s="2" t="s">
        <v>1114</v>
      </c>
      <c r="B54" s="11" t="s">
        <v>65</v>
      </c>
      <c r="C54" s="42" t="n">
        <f aca="false">C43-(C30-C27-C28)</f>
        <v>-122.955422767736</v>
      </c>
      <c r="D54" s="42" t="n">
        <f aca="false">D43-(D30-D27-D28)</f>
        <v>-73.0331804722821</v>
      </c>
      <c r="E54" s="42" t="n">
        <f aca="false">E43-(E30-E27-E28)</f>
        <v>-36.8657669953494</v>
      </c>
      <c r="F54" s="42" t="n">
        <f aca="false">F43-(F30-F27-F28)</f>
        <v>1.82851688005547</v>
      </c>
      <c r="G54" s="42" t="n">
        <f aca="false">G43-(G30-G27-G28)</f>
        <v>-75.8947009236146</v>
      </c>
      <c r="I54" s="6" t="s">
        <v>1115</v>
      </c>
    </row>
    <row r="55" customFormat="false" ht="15" hidden="false" customHeight="false" outlineLevel="1" collapsed="false">
      <c r="A55" s="3" t="s">
        <v>1116</v>
      </c>
      <c r="B55" s="11" t="s">
        <v>65</v>
      </c>
      <c r="C55" s="31" t="n">
        <f aca="false">C51-C30+C53</f>
        <v>-58.3384227677355</v>
      </c>
      <c r="D55" s="31" t="n">
        <f aca="false">D51-D30+D53</f>
        <v>-14.6905772322645</v>
      </c>
      <c r="E55" s="31" t="n">
        <f aca="false">E51-E30+E53</f>
        <v>0</v>
      </c>
      <c r="F55" s="31" t="n">
        <f aca="false">F51-F30+F53</f>
        <v>0</v>
      </c>
      <c r="G55" s="31" t="n">
        <f aca="false">G51-G30+G53</f>
        <v>0</v>
      </c>
    </row>
    <row r="56" customFormat="false" ht="15" hidden="false" customHeight="false" outlineLevel="1" collapsed="false">
      <c r="A56" s="2" t="s">
        <v>1117</v>
      </c>
      <c r="B56" s="11" t="s">
        <v>65</v>
      </c>
      <c r="C56" s="42" t="n">
        <f aca="false">C18+C55</f>
        <v>64.6905772322645</v>
      </c>
      <c r="D56" s="42" t="n">
        <f aca="false">D18+D55</f>
        <v>50</v>
      </c>
      <c r="E56" s="42" t="n">
        <f aca="false">E18+E55</f>
        <v>50</v>
      </c>
      <c r="F56" s="42" t="n">
        <f aca="false">F18+F55</f>
        <v>50</v>
      </c>
      <c r="G56" s="42" t="n">
        <f aca="false">G18+G55</f>
        <v>50</v>
      </c>
      <c r="I56" s="6" t="s">
        <v>1118</v>
      </c>
    </row>
    <row r="58" customFormat="false" ht="15" hidden="false" customHeight="false" outlineLevel="0" collapsed="false">
      <c r="A58" s="52" t="s">
        <v>1119</v>
      </c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1" collapsed="false">
      <c r="A59" s="3" t="s">
        <v>1120</v>
      </c>
      <c r="B59" s="11" t="s">
        <v>42</v>
      </c>
      <c r="C59" s="23" t="n">
        <v>0.039</v>
      </c>
      <c r="I59" s="11" t="s">
        <v>1121</v>
      </c>
    </row>
    <row r="60" customFormat="false" ht="15" hidden="false" customHeight="false" outlineLevel="1" collapsed="false">
      <c r="A60" s="3" t="s">
        <v>1122</v>
      </c>
      <c r="B60" s="6" t="s">
        <v>184</v>
      </c>
      <c r="C60" s="25" t="n">
        <v>10</v>
      </c>
      <c r="I60" s="6" t="s">
        <v>1123</v>
      </c>
    </row>
    <row r="61" customFormat="false" ht="15" hidden="false" customHeight="false" outlineLevel="1" collapsed="false">
      <c r="A61" s="3" t="s">
        <v>1124</v>
      </c>
      <c r="B61" s="11" t="s">
        <v>65</v>
      </c>
      <c r="C61" s="31" t="n">
        <f aca="false">輸入與假設!D$234*(1+各期收支!$C$59)^(-(運營_產能與收入!$D$51-運營_產能與收入!$D$7/2-運營_產能與收入!$C$51))+輸入與假設!E$234*(1+各期收支!$C$59)^(-(運營_產能與收入!$E$51-運營_產能與收入!$E$7/2-運營_產能與收入!$C$51))+輸入與假設!F$234*(1+各期收支!$C$59)^(-(運營_產能與收入!$F$51-運營_產能與收入!$F$7/2-運營_產能與收入!$C$51))+輸入與假設!G$234*(1+各期收支!$C$59)^(-(運營_產能與收入!$G$51-運營_產能與收入!$G$7/2-運營_產能與收入!$C$51))+71.534/各期收支!$C$60*(1+各期收支!$C$59)^0.5*(1-(1+各期收支!$C$59)^(-各期收支!$C$60))/各期收支!$C$59*(1+各期收支!$C$59)^(-(運營_產能與收入!$G$51-運營_產能與收入!$C$51))</f>
        <v>108.515400466875</v>
      </c>
      <c r="D61" s="31" t="n">
        <f aca="false">輸入與假設!E$234*(1+各期收支!$C$59)^(-(運營_產能與收入!$E$51-運營_產能與收入!$E$7/2-運營_產能與收入!$D$51))+輸入與假設!F$234*(1+各期收支!$C$59)^(-(運營_產能與收入!$F$51-運營_產能與收入!$F$7/2-運營_產能與收入!$D$51))+輸入與假設!G$234*(1+各期收支!$C$59)^(-(運營_產能與收入!$G$51-運營_產能與收入!$G$7/2-運營_產能與收入!$D$51))+71.534/各期收支!$C$60*(1+各期收支!$C$59)^0.5*(1-(1+各期收支!$C$59)^(-各期收支!$C$60))/各期收支!$C$59*(1+各期收支!$C$59)^(-(運營_產能與收入!$G$51-運營_產能與收入!$D$51))</f>
        <v>95.1928840833937</v>
      </c>
      <c r="E61" s="31" t="n">
        <f aca="false">輸入與假設!F$234*(1+各期收支!$C$59)^(-(運營_產能與收入!$F$51-運營_產能與收入!$F$7/2-運營_產能與收入!$E$51))+輸入與假設!G$234*(1+各期收支!$C$59)^(-(運營_產能與收入!$G$51-運營_產能與收入!$G$7/2-運營_產能與收入!$E$51))+71.534/各期收支!$C$60*(1+各期收支!$C$59)^0.5*(1-(1+各期收支!$C$59)^(-各期收支!$C$60))/各期收支!$C$59*(1+各期收支!$C$59)^(-(運營_產能與收入!$G$51-運營_產能與收入!$E$51))</f>
        <v>82.0836759634776</v>
      </c>
      <c r="F61" s="31" t="n">
        <f aca="false">輸入與假設!G$234*(1+各期收支!$C$59)^(-(運營_產能與收入!$G$51-運營_產能與收入!$G$7/2-運營_產能與收入!$F$51))+71.534/各期收支!$C$60*(1+各期收支!$C$59)^0.5*(1-(1+各期收支!$C$59)^(-各期收支!$C$60))/各期收支!$C$59*(1+各期收支!$C$59)^(-(運營_產能與收入!$G$51-運營_產能與收入!$F$51))</f>
        <v>70.212350683388</v>
      </c>
      <c r="G61" s="31" t="n">
        <f aca="false">71.534/各期收支!$C$60*(1+各期收支!$C$59)^0.5*(1-(1+各期收支!$C$59)^(-各期收支!$C$60))/各期收支!$C$59*(1+各期收支!$C$59)^(-(運營_產能與收入!$G$51-運營_產能與收入!$G$51))</f>
        <v>59.4365740504131</v>
      </c>
      <c r="I61" s="6" t="s">
        <v>1125</v>
      </c>
    </row>
    <row r="62" customFormat="false" ht="15" hidden="false" customHeight="false" outlineLevel="1" collapsed="false">
      <c r="A62" s="3" t="s">
        <v>1126</v>
      </c>
      <c r="B62" s="11" t="s">
        <v>65</v>
      </c>
      <c r="C62" s="31" t="n">
        <f aca="false">IF(OR(運營_產能與收入!$C$50&lt;=0,運營_產能與收入!$C$56&lt;=0),1*輸入與假設!$C$19/輸入與假設!$C$21/輸入與假設!$C$22/4/((1+各期收支!$C$59)^0.25-1)*(MIN(MAX(0,輸入與假設!C$235-(輸入與假設!$C$20)),輸入與假設!$C$21)-(1+各期收支!$C$59)^(-(4*輸入與假設!$C$22-MAX(0,輸入與假設!C$235-(輸入與假設!$C$20)))/4)*(1-(1+各期收支!$C$59)^(-MIN(MAX(0,輸入與假設!C$235-(輸入與假設!$C$20)),輸入與假設!$C$21)/4))/(1-(1+各期收支!$C$59)^(-0.25))),(1-運營_產能與收入!$C$56)*輸入與假設!$C$19/輸入與假設!$C$21/輸入與假設!$C$22/4/((1+各期收支!$C$59)^0.25-1)*(MIN(MAX(0,輸入與假設!C$235-(輸入與假設!$C$20)),輸入與假設!$C$21)-(1+各期收支!$C$59)^(-(4*輸入與假設!$C$22-MAX(0,輸入與假設!C$235-(輸入與假設!$C$20)))/4)*(1-(1+各期收支!$C$59)^(-MIN(MAX(0,輸入與假設!C$235-(輸入與假設!$C$20)),輸入與假設!$C$21)/4))/(1-(1+各期收支!$C$59)^(-0.25)))+運營_產能與收入!$C$56*輸入與假設!$C$19/輸入與假設!$C$21/輸入與假設!$C$22/4/((1+各期收支!$C$59)^0.25-1)*(MIN(MAX(0,輸入與假設!C$235-(輸入與假設!$C$20+運營_產能與收入!$C$50/3)),輸入與假設!$C$21)-(1+各期收支!$C$59)^(-(4*輸入與假設!$C$22-MAX(0,輸入與假設!C$235-(輸入與假設!$C$20+運營_產能與收入!$C$50/3)))/4)*(1-(1+各期收支!$C$59)^(-MIN(MAX(0,輸入與假設!C$235-(輸入與假設!$C$20+運營_產能與收入!$C$50/3)),輸入與假設!$C$21)/4))/(1-(1+各期收支!$C$59)^(-0.25))))</f>
        <v>51.1839990404504</v>
      </c>
      <c r="D62" s="31" t="n">
        <f aca="false">IF(OR(運營_產能與收入!$C$50&lt;=0,運營_產能與收入!$C$56&lt;=0),1*輸入與假設!$C$19/輸入與假設!$C$21/輸入與假設!$C$22/4/((1+各期收支!$C$59)^0.25-1)*(MIN(MAX(0,輸入與假設!D$235-(輸入與假設!$C$20)),輸入與假設!$C$21)-(1+各期收支!$C$59)^(-(4*輸入與假設!$C$22-MAX(0,輸入與假設!D$235-(輸入與假設!$C$20)))/4)*(1-(1+各期收支!$C$59)^(-MIN(MAX(0,輸入與假設!D$235-(輸入與假設!$C$20)),輸入與假設!$C$21)/4))/(1-(1+各期收支!$C$59)^(-0.25))),(1-運營_產能與收入!$C$56)*輸入與假設!$C$19/輸入與假設!$C$21/輸入與假設!$C$22/4/((1+各期收支!$C$59)^0.25-1)*(MIN(MAX(0,輸入與假設!D$235-(輸入與假設!$C$20)),輸入與假設!$C$21)-(1+各期收支!$C$59)^(-(4*輸入與假設!$C$22-MAX(0,輸入與假設!D$235-(輸入與假設!$C$20)))/4)*(1-(1+各期收支!$C$59)^(-MIN(MAX(0,輸入與假設!D$235-(輸入與假設!$C$20)),輸入與假設!$C$21)/4))/(1-(1+各期收支!$C$59)^(-0.25)))+運營_產能與收入!$C$56*輸入與假設!$C$19/輸入與假設!$C$21/輸入與假設!$C$22/4/((1+各期收支!$C$59)^0.25-1)*(MIN(MAX(0,輸入與假設!D$235-(輸入與假設!$C$20+運營_產能與收入!$C$50/3)),輸入與假設!$C$21)-(1+各期收支!$C$59)^(-(4*輸入與假設!$C$22-MAX(0,輸入與假設!D$235-(輸入與假設!$C$20+運營_產能與收入!$C$50/3)))/4)*(1-(1+各期收支!$C$59)^(-MIN(MAX(0,輸入與假設!D$235-(輸入與假設!$C$20+運營_產能與收入!$C$50/3)),輸入與假設!$C$21)/4))/(1-(1+各期收支!$C$59)^(-0.25))))</f>
        <v>98.2970740193279</v>
      </c>
      <c r="E62" s="31" t="n">
        <f aca="false">IF(OR(運營_產能與收入!$C$50&lt;=0,運營_產能與收入!$C$56&lt;=0),1*輸入與假設!$C$19/輸入與假設!$C$21/輸入與假設!$C$22/4/((1+各期收支!$C$59)^0.25-1)*(MIN(MAX(0,輸入與假設!E$235-(輸入與假設!$C$20)),輸入與假設!$C$21)-(1+各期收支!$C$59)^(-(4*輸入與假設!$C$22-MAX(0,輸入與假設!E$235-(輸入與假設!$C$20)))/4)*(1-(1+各期收支!$C$59)^(-MIN(MAX(0,輸入與假設!E$235-(輸入與假設!$C$20)),輸入與假設!$C$21)/4))/(1-(1+各期收支!$C$59)^(-0.25))),(1-運營_產能與收入!$C$56)*輸入與假設!$C$19/輸入與假設!$C$21/輸入與假設!$C$22/4/((1+各期收支!$C$59)^0.25-1)*(MIN(MAX(0,輸入與假設!E$235-(輸入與假設!$C$20)),輸入與假設!$C$21)-(1+各期收支!$C$59)^(-(4*輸入與假設!$C$22-MAX(0,輸入與假設!E$235-(輸入與假設!$C$20)))/4)*(1-(1+各期收支!$C$59)^(-MIN(MAX(0,輸入與假設!E$235-(輸入與假設!$C$20)),輸入與假設!$C$21)/4))/(1-(1+各期收支!$C$59)^(-0.25)))+運營_產能與收入!$C$56*輸入與假設!$C$19/輸入與假設!$C$21/輸入與假設!$C$22/4/((1+各期收支!$C$59)^0.25-1)*(MIN(MAX(0,輸入與假設!E$235-(輸入與假設!$C$20+運營_產能與收入!$C$50/3)),輸入與假設!$C$21)-(1+各期收支!$C$59)^(-(4*輸入與假設!$C$22-MAX(0,輸入與假設!E$235-(輸入與假設!$C$20+運營_產能與收入!$C$50/3)))/4)*(1-(1+各期收支!$C$59)^(-MIN(MAX(0,輸入與假設!E$235-(輸入與假設!$C$20+運營_產能與收入!$C$50/3)),輸入與假設!$C$21)/4))/(1-(1+各期收支!$C$59)^(-0.25))))</f>
        <v>92.6930490453795</v>
      </c>
      <c r="F62" s="31" t="n">
        <f aca="false">IF(OR(運營_產能與收入!$C$50&lt;=0,運營_產能與收入!$C$56&lt;=0),1*輸入與假設!$C$19/輸入與假設!$C$21/輸入與假設!$C$22/4/((1+各期收支!$C$59)^0.25-1)*(MIN(MAX(0,輸入與假設!F$235-(輸入與假設!$C$20)),輸入與假設!$C$21)-(1+各期收支!$C$59)^(-(4*輸入與假設!$C$22-MAX(0,輸入與假設!F$235-(輸入與假設!$C$20)))/4)*(1-(1+各期收支!$C$59)^(-MIN(MAX(0,輸入與假設!F$235-(輸入與假設!$C$20)),輸入與假設!$C$21)/4))/(1-(1+各期收支!$C$59)^(-0.25))),(1-運營_產能與收入!$C$56)*輸入與假設!$C$19/輸入與假設!$C$21/輸入與假設!$C$22/4/((1+各期收支!$C$59)^0.25-1)*(MIN(MAX(0,輸入與假設!F$235-(輸入與假設!$C$20)),輸入與假設!$C$21)-(1+各期收支!$C$59)^(-(4*輸入與假設!$C$22-MAX(0,輸入與假設!F$235-(輸入與假設!$C$20)))/4)*(1-(1+各期收支!$C$59)^(-MIN(MAX(0,輸入與假設!F$235-(輸入與假設!$C$20)),輸入與假設!$C$21)/4))/(1-(1+各期收支!$C$59)^(-0.25)))+運營_產能與收入!$C$56*輸入與假設!$C$19/輸入與假設!$C$21/輸入與假設!$C$22/4/((1+各期收支!$C$59)^0.25-1)*(MIN(MAX(0,輸入與假設!F$235-(輸入與假設!$C$20+運營_產能與收入!$C$50/3)),輸入與假設!$C$21)-(1+各期收支!$C$59)^(-(4*輸入與假設!$C$22-MAX(0,輸入與假設!F$235-(輸入與假設!$C$20+運營_產能與收入!$C$50/3)))/4)*(1-(1+各期收支!$C$59)^(-MIN(MAX(0,輸入與假設!F$235-(輸入與假設!$C$20+運營_產能與收入!$C$50/3)),輸入與假設!$C$21)/4))/(1-(1+各期收支!$C$59)^(-0.25))))</f>
        <v>86.8704670974472</v>
      </c>
      <c r="G62" s="31" t="n">
        <f aca="false">IF(OR(運營_產能與收入!$C$50&lt;=0,運營_產能與收入!$C$56&lt;=0),1*輸入與假設!$C$19/輸入與假設!$C$21/輸入與假設!$C$22/4/((1+各期收支!$C$59)^0.25-1)*(MIN(MAX(0,輸入與假設!G$235-(輸入與假設!$C$20)),輸入與假設!$C$21)-(1+各期收支!$C$59)^(-(4*輸入與假設!$C$22-MAX(0,輸入與假設!G$235-(輸入與假設!$C$20)))/4)*(1-(1+各期收支!$C$59)^(-MIN(MAX(0,輸入與假設!G$235-(輸入與假設!$C$20)),輸入與假設!$C$21)/4))/(1-(1+各期收支!$C$59)^(-0.25))),(1-運營_產能與收入!$C$56)*輸入與假設!$C$19/輸入與假設!$C$21/輸入與假設!$C$22/4/((1+各期收支!$C$59)^0.25-1)*(MIN(MAX(0,輸入與假設!G$235-(輸入與假設!$C$20)),輸入與假設!$C$21)-(1+各期收支!$C$59)^(-(4*輸入與假設!$C$22-MAX(0,輸入與假設!G$235-(輸入與假設!$C$20)))/4)*(1-(1+各期收支!$C$59)^(-MIN(MAX(0,輸入與假設!G$235-(輸入與假設!$C$20)),輸入與假設!$C$21)/4))/(1-(1+各期收支!$C$59)^(-0.25)))+運營_產能與收入!$C$56*輸入與假設!$C$19/輸入與假設!$C$21/輸入與假設!$C$22/4/((1+各期收支!$C$59)^0.25-1)*(MIN(MAX(0,輸入與假設!G$235-(輸入與假設!$C$20+運營_產能與收入!$C$50/3)),輸入與假設!$C$21)-(1+各期收支!$C$59)^(-(4*輸入與假設!$C$22-MAX(0,輸入與假設!G$235-(輸入與假設!$C$20+運營_產能與收入!$C$50/3)))/4)*(1-(1+各期收支!$C$59)^(-MIN(MAX(0,輸入與假設!G$235-(輸入與假設!$C$20+運營_產能與收入!$C$50/3)),輸入與假設!$C$21)/4))/(1-(1+各期收支!$C$59)^(-0.25))))</f>
        <v>80.8208044535455</v>
      </c>
      <c r="I62" s="6" t="s">
        <v>1127</v>
      </c>
    </row>
    <row r="63" customFormat="false" ht="15" hidden="false" customHeight="false" outlineLevel="1" collapsed="false">
      <c r="A63" s="2" t="s">
        <v>1128</v>
      </c>
      <c r="B63" s="11" t="s">
        <v>65</v>
      </c>
      <c r="C63" s="42" t="n">
        <f aca="false">C61+C62</f>
        <v>159.699399507325</v>
      </c>
      <c r="D63" s="42" t="n">
        <f aca="false">D61+D62</f>
        <v>193.489958102722</v>
      </c>
      <c r="E63" s="42" t="n">
        <f aca="false">E61+E62</f>
        <v>174.776725008857</v>
      </c>
      <c r="F63" s="42" t="n">
        <f aca="false">F61+F62</f>
        <v>157.082817780835</v>
      </c>
      <c r="G63" s="42" t="n">
        <f aca="false">G61+G62</f>
        <v>140.257378503959</v>
      </c>
    </row>
    <row r="65" customFormat="false" ht="15" hidden="false" customHeight="false" outlineLevel="0" collapsed="false">
      <c r="A65" s="52" t="s">
        <v>1129</v>
      </c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1" collapsed="false">
      <c r="A66" s="3" t="s">
        <v>1130</v>
      </c>
      <c r="B66" s="11" t="s">
        <v>65</v>
      </c>
      <c r="C66" s="31" t="n">
        <f aca="false">C13+C16+C17+C22+C25+C26+C27+C28+C29+C23</f>
        <v>298.516862947483</v>
      </c>
      <c r="D66" s="31" t="n">
        <f aca="false">D13+D16+D17+D22+D25+D26+D27+D28+D29+D23</f>
        <v>316.417731256413</v>
      </c>
      <c r="E66" s="31" t="n">
        <f aca="false">E13+E16+E17+E22+E25+E26+E27+E28+E29+E23</f>
        <v>338.132630071109</v>
      </c>
      <c r="F66" s="31" t="n">
        <f aca="false">F13+F16+F17+F22+F25+F26+F27+F28+F29+F23</f>
        <v>350.259040106937</v>
      </c>
      <c r="G66" s="31" t="n">
        <f aca="false">G13+G16+G17+G22+G25+G26+G27+G28+G29+G23</f>
        <v>471.63739891937</v>
      </c>
      <c r="I66" s="6" t="s">
        <v>1131</v>
      </c>
    </row>
    <row r="67" customFormat="false" ht="15" hidden="false" customHeight="false" outlineLevel="1" collapsed="false">
      <c r="A67" s="3" t="s">
        <v>1132</v>
      </c>
      <c r="B67" s="11" t="s">
        <v>65</v>
      </c>
      <c r="C67" s="31" t="n">
        <f aca="false">0</f>
        <v>0</v>
      </c>
      <c r="D67" s="31" t="n">
        <f aca="false">C98</f>
        <v>0</v>
      </c>
      <c r="E67" s="31" t="n">
        <f aca="false">D98</f>
        <v>67.1796032400176</v>
      </c>
      <c r="F67" s="31" t="n">
        <f aca="false">E98</f>
        <v>116.339370235367</v>
      </c>
      <c r="G67" s="31" t="n">
        <f aca="false">F98</f>
        <v>123.680853355312</v>
      </c>
    </row>
    <row r="68" customFormat="false" ht="15" hidden="false" customHeight="false" outlineLevel="1" collapsed="false">
      <c r="A68" s="3" t="s">
        <v>1133</v>
      </c>
      <c r="B68" s="11" t="s">
        <v>42</v>
      </c>
      <c r="C68" s="54" t="n">
        <f aca="false">C19*運營_產能與收入!C7</f>
        <v>0.025</v>
      </c>
      <c r="D68" s="54" t="n">
        <f aca="false">D19*運營_產能與收入!D7</f>
        <v>0.05</v>
      </c>
      <c r="E68" s="54" t="n">
        <f aca="false">E19*運營_產能與收入!E7</f>
        <v>0.05</v>
      </c>
      <c r="F68" s="54" t="n">
        <f aca="false">F19*運營_產能與收入!F7</f>
        <v>0.05</v>
      </c>
      <c r="G68" s="54" t="n">
        <f aca="false">G19*運營_產能與收入!G7</f>
        <v>0.05</v>
      </c>
    </row>
    <row r="69" customFormat="false" ht="15" hidden="false" customHeight="false" outlineLevel="1" collapsed="false">
      <c r="A69" s="3" t="s">
        <v>1134</v>
      </c>
      <c r="B69" s="11" t="s">
        <v>65</v>
      </c>
      <c r="C69" s="31" t="n">
        <f aca="false">0</f>
        <v>0</v>
      </c>
      <c r="D69" s="31" t="n">
        <f aca="false">C100</f>
        <v>0</v>
      </c>
      <c r="E69" s="31" t="n">
        <f aca="false">D100</f>
        <v>0</v>
      </c>
      <c r="F69" s="31" t="n">
        <f aca="false">E100</f>
        <v>0</v>
      </c>
      <c r="G69" s="31" t="n">
        <f aca="false">F100</f>
        <v>0</v>
      </c>
    </row>
    <row r="70" customFormat="false" ht="15" hidden="false" customHeight="false" outlineLevel="1" collapsed="false">
      <c r="A70" s="3" t="s">
        <v>1135</v>
      </c>
      <c r="B70" s="11" t="s">
        <v>65</v>
      </c>
      <c r="C70" s="31" t="n">
        <f aca="false">0</f>
        <v>0</v>
      </c>
      <c r="D70" s="31" t="n">
        <f aca="false">C101</f>
        <v>0</v>
      </c>
      <c r="E70" s="31" t="n">
        <f aca="false">D101</f>
        <v>0</v>
      </c>
      <c r="F70" s="31" t="n">
        <f aca="false">E101</f>
        <v>0</v>
      </c>
      <c r="G70" s="31" t="n">
        <f aca="false">F101</f>
        <v>0</v>
      </c>
    </row>
    <row r="71" customFormat="false" ht="15" hidden="false" customHeight="false" outlineLevel="1" collapsed="false">
      <c r="A71" s="3" t="s">
        <v>1136</v>
      </c>
      <c r="B71" s="11" t="s">
        <v>42</v>
      </c>
      <c r="C71" s="54" t="n">
        <f aca="false">輸入與假設!$C$305*運營_產能與收入!C7</f>
        <v>0</v>
      </c>
      <c r="D71" s="54" t="n">
        <f aca="false">輸入與假設!$C$305*運營_產能與收入!D7</f>
        <v>0</v>
      </c>
      <c r="E71" s="54" t="n">
        <f aca="false">輸入與假設!$C$305*運營_產能與收入!E7</f>
        <v>0</v>
      </c>
      <c r="F71" s="54" t="n">
        <f aca="false">輸入與假設!$C$305*運營_產能與收入!F7</f>
        <v>0</v>
      </c>
      <c r="G71" s="54" t="n">
        <f aca="false">輸入與假設!$C$305*運營_產能與收入!G7</f>
        <v>0</v>
      </c>
    </row>
    <row r="72" customFormat="false" ht="15" hidden="false" customHeight="false" outlineLevel="1" collapsed="false">
      <c r="A72" s="3" t="s">
        <v>1137</v>
      </c>
      <c r="B72" s="11" t="s">
        <v>42</v>
      </c>
      <c r="C72" s="54" t="n">
        <f aca="false">(輸入與假設!$C$307+IF(輸入與假設!$C$310=1,MAX(0,輸入與假設!$C$309-輸入與假設!$C$311)/10000*輸入與假設!$C$312,0))*運營_產能與收入!C7</f>
        <v>0.06</v>
      </c>
      <c r="D72" s="54" t="n">
        <f aca="false">(輸入與假設!$C$307+IF(輸入與假設!$C$310=1,MAX(0,輸入與假設!$C$309-輸入與假設!$C$311)/10000*輸入與假設!$C$312,0))*運營_產能與收入!D7</f>
        <v>0.12</v>
      </c>
      <c r="E72" s="54" t="n">
        <f aca="false">(輸入與假設!$C$307+IF(輸入與假設!$C$310=1,MAX(0,輸入與假設!$C$309-輸入與假設!$C$311)/10000*輸入與假設!$C$312,0))*運營_產能與收入!E7</f>
        <v>0.12</v>
      </c>
      <c r="F72" s="54" t="n">
        <f aca="false">(輸入與假設!$C$307+IF(輸入與假設!$C$310=1,MAX(0,輸入與假設!$C$309-輸入與假設!$C$311)/10000*輸入與假設!$C$312,0))*運營_產能與收入!F7</f>
        <v>0.12</v>
      </c>
      <c r="G72" s="54" t="n">
        <f aca="false">(輸入與假設!$C$307+IF(輸入與假設!$C$310=1,MAX(0,輸入與假設!$C$309-輸入與假設!$C$311)/10000*輸入與假設!$C$312,0))*運營_產能與收入!G7</f>
        <v>0.12</v>
      </c>
    </row>
    <row r="73" customFormat="false" ht="15" hidden="false" customHeight="false" outlineLevel="1" collapsed="false">
      <c r="A73" s="3" t="s">
        <v>1138</v>
      </c>
      <c r="B73" s="11" t="s">
        <v>65</v>
      </c>
      <c r="C73" s="31" t="n">
        <f aca="false">C18+C43+C45+C46+C53-C66-C68*C67-C72*C69-C71*C70</f>
        <v>64.6905772322645</v>
      </c>
      <c r="D73" s="31" t="n">
        <f aca="false">D18+D43+D45+D46+D53-D66-D68*D67-D72*D69-D71*D70</f>
        <v>-13.8206230780167</v>
      </c>
      <c r="E73" s="31" t="n">
        <f aca="false">E18+E43+E45+E46+E53-E66-E68*E67-E72*E69-E71*E70</f>
        <v>3.29822135441804</v>
      </c>
      <c r="F73" s="31" t="n">
        <f aca="false">F18+F43+F45+F46+F53-F66-F68*F67-F72*F69-F71*F70</f>
        <v>43.0255910360527</v>
      </c>
      <c r="G73" s="31" t="n">
        <f aca="false">G18+G43+G45+G46+G53-G66-G68*G67-G72*G69-G71*G70</f>
        <v>-28.8307158774338</v>
      </c>
    </row>
    <row r="74" customFormat="false" ht="15" hidden="false" customHeight="false" outlineLevel="1" collapsed="false">
      <c r="A74" s="2" t="s">
        <v>1139</v>
      </c>
      <c r="B74" s="11" t="s">
        <v>65</v>
      </c>
      <c r="C74" s="42" t="n">
        <f aca="false">MAX(0,輸入與假設!$C$294-(C73-C76))</f>
        <v>0</v>
      </c>
      <c r="D74" s="42" t="n">
        <f aca="false">MAX(0,輸入與假設!$C$294-(D73-D76))</f>
        <v>63.8206230780167</v>
      </c>
      <c r="E74" s="42" t="n">
        <f aca="false">MAX(0,輸入與假設!$C$294-(E73-E76))</f>
        <v>46.701778645582</v>
      </c>
      <c r="F74" s="42" t="n">
        <f aca="false">MAX(0,輸入與假設!$C$294-(F73-F76))</f>
        <v>6.9744089639473</v>
      </c>
      <c r="G74" s="42" t="n">
        <f aca="false">MAX(0,輸入與假設!$C$294-(G73-G76))</f>
        <v>78.8307158774338</v>
      </c>
      <c r="I74" s="6" t="s">
        <v>1140</v>
      </c>
    </row>
    <row r="75" customFormat="false" ht="15" hidden="false" customHeight="false" outlineLevel="1" collapsed="false">
      <c r="A75" s="3" t="s">
        <v>1141</v>
      </c>
      <c r="B75" s="11" t="s">
        <v>65</v>
      </c>
      <c r="C75" s="31" t="n">
        <f aca="false">輸入與假設!$C$295*運營_產能與收入!C7</f>
        <v>0</v>
      </c>
      <c r="D75" s="31" t="n">
        <f aca="false">輸入與假設!$C$295*運營_產能與收入!D7</f>
        <v>0</v>
      </c>
      <c r="E75" s="31" t="n">
        <f aca="false">輸入與假設!$C$295*運營_產能與收入!E7</f>
        <v>0</v>
      </c>
      <c r="F75" s="31" t="n">
        <f aca="false">輸入與假設!$C$295*運營_產能與收入!F7</f>
        <v>0</v>
      </c>
      <c r="G75" s="31" t="n">
        <f aca="false">輸入與假設!$C$295*運營_產能與收入!G7</f>
        <v>0</v>
      </c>
      <c r="I75" s="11" t="s">
        <v>1142</v>
      </c>
    </row>
    <row r="76" customFormat="false" ht="15" hidden="false" customHeight="false" outlineLevel="1" collapsed="false">
      <c r="A76" s="2" t="s">
        <v>1143</v>
      </c>
      <c r="B76" s="11" t="s">
        <v>65</v>
      </c>
      <c r="C76" s="42" t="n">
        <f aca="false">MIN(C75,MAX(C75*輸入與假設!$C$296,C73-輸入與假設!$C$294))</f>
        <v>0</v>
      </c>
      <c r="D76" s="42" t="n">
        <f aca="false">MIN(D75,MAX(D75*輸入與假設!$C$296,D73-輸入與假設!$C$294))</f>
        <v>0</v>
      </c>
      <c r="E76" s="42" t="n">
        <f aca="false">MIN(E75,MAX(E75*輸入與假設!$C$296,E73-輸入與假設!$C$294))</f>
        <v>0</v>
      </c>
      <c r="F76" s="42" t="n">
        <f aca="false">MIN(F75,MAX(F75*輸入與假設!$C$296,F73-輸入與假設!$C$294))</f>
        <v>0</v>
      </c>
      <c r="G76" s="42" t="n">
        <f aca="false">MIN(G75,MAX(G75*輸入與假設!$C$296,G73-輸入與假設!$C$294))</f>
        <v>0</v>
      </c>
      <c r="I76" s="6" t="s">
        <v>1144</v>
      </c>
    </row>
    <row r="77" customFormat="false" ht="15" hidden="false" customHeight="false" outlineLevel="1" collapsed="false">
      <c r="A77" s="3" t="s">
        <v>1145</v>
      </c>
      <c r="B77" s="11" t="s">
        <v>65</v>
      </c>
      <c r="C77" s="31" t="n">
        <f aca="false">C75-C76</f>
        <v>0</v>
      </c>
      <c r="D77" s="31" t="n">
        <f aca="false">D75-D76</f>
        <v>0</v>
      </c>
      <c r="E77" s="31" t="n">
        <f aca="false">E75-E76</f>
        <v>0</v>
      </c>
      <c r="F77" s="31" t="n">
        <f aca="false">F75-F76</f>
        <v>0</v>
      </c>
      <c r="G77" s="31" t="n">
        <f aca="false">G75-G76</f>
        <v>0</v>
      </c>
      <c r="I77" s="6" t="s">
        <v>1146</v>
      </c>
    </row>
    <row r="78" customFormat="false" ht="15" hidden="false" customHeight="false" outlineLevel="1" collapsed="false">
      <c r="A78" s="3" t="s">
        <v>1147</v>
      </c>
      <c r="B78" s="11" t="s">
        <v>632</v>
      </c>
      <c r="C78" s="35" t="n">
        <f aca="false">C76/MAX(0.01,輸入與假設!$C$297)</f>
        <v>0</v>
      </c>
      <c r="D78" s="35" t="n">
        <f aca="false">D76/MAX(0.01,輸入與假設!$C$297)</f>
        <v>0</v>
      </c>
      <c r="E78" s="35" t="n">
        <f aca="false">E76/MAX(0.01,輸入與假設!$C$297)</f>
        <v>0</v>
      </c>
      <c r="F78" s="35" t="n">
        <f aca="false">F76/MAX(0.01,輸入與假設!$C$297)</f>
        <v>0</v>
      </c>
      <c r="G78" s="35" t="n">
        <f aca="false">G76/MAX(0.01,輸入與假設!$C$297)</f>
        <v>0</v>
      </c>
      <c r="I78" s="6" t="s">
        <v>1148</v>
      </c>
    </row>
    <row r="79" customFormat="false" ht="15" hidden="false" customHeight="false" outlineLevel="1" collapsed="false">
      <c r="A79" s="3" t="s">
        <v>1149</v>
      </c>
      <c r="B79" s="11" t="s">
        <v>65</v>
      </c>
      <c r="C79" s="31" t="n">
        <f aca="false">輸入與假設!$C$24+輸入與假設!$C$25</f>
        <v>0</v>
      </c>
      <c r="D79" s="31" t="n">
        <f aca="false">C81</f>
        <v>73.0747752647633</v>
      </c>
      <c r="E79" s="31" t="n">
        <f aca="false">D81</f>
        <v>102.047405170737</v>
      </c>
      <c r="F79" s="31" t="n">
        <f aca="false">E81</f>
        <v>122.638471007854</v>
      </c>
      <c r="G79" s="31" t="n">
        <f aca="false">F81</f>
        <v>104.220418169276</v>
      </c>
      <c r="I79" s="11" t="s">
        <v>1150</v>
      </c>
    </row>
    <row r="80" customFormat="false" ht="15" hidden="false" customHeight="false" outlineLevel="1" collapsed="false">
      <c r="A80" s="3" t="s">
        <v>1151</v>
      </c>
      <c r="B80" s="11" t="s">
        <v>65</v>
      </c>
      <c r="C80" s="31" t="n">
        <f aca="false">MAX(0,運營_產能與收入!C24/運營_產能與收入!C7-0)*輸入與假設!$C$290</f>
        <v>87.689730317716</v>
      </c>
      <c r="D80" s="31" t="n">
        <f aca="false">MAX(0,運營_產能與收入!D24/運營_產能與收入!D7-運營_產能與收入!C24/運營_產能與收入!C7)*輸入與假設!$C$290</f>
        <v>87.3038100178183</v>
      </c>
      <c r="E80" s="31" t="n">
        <f aca="false">MAX(0,運營_產能與收入!E24/運營_產能與收入!E7-運營_產能與收入!D24/運營_產能與收入!D7)*輸入與假設!$C$290</f>
        <v>118.383368923442</v>
      </c>
      <c r="F80" s="31" t="n">
        <f aca="false">MAX(0,運營_產能與收入!F24/運營_產能與收入!F7-運營_產能與收入!E24/運營_產能與收入!E7)*輸入與假設!$C$290</f>
        <v>119.061375371622</v>
      </c>
      <c r="G80" s="31" t="n">
        <f aca="false">MAX(0,運營_產能與收入!G24/運營_產能與收入!G7-運營_產能與收入!F24/運營_產能與收入!F7)*輸入與假設!$C$290</f>
        <v>119.336495357362</v>
      </c>
    </row>
    <row r="81" customFormat="false" ht="15" hidden="false" customHeight="false" outlineLevel="1" collapsed="false">
      <c r="A81" s="3" t="s">
        <v>1152</v>
      </c>
      <c r="B81" s="11" t="s">
        <v>65</v>
      </c>
      <c r="C81" s="31" t="n">
        <f aca="false">C79-運營_產能與收入!C18-運營_產能與收入!C24+C80</f>
        <v>73.0747752647633</v>
      </c>
      <c r="D81" s="31" t="n">
        <f aca="false">D79-運營_產能與收入!D18-運營_產能與收入!D24+D80</f>
        <v>102.047405170737</v>
      </c>
      <c r="E81" s="31" t="n">
        <f aca="false">E79-運營_產能與收入!E18-運營_產能與收入!E24+E80</f>
        <v>122.638471007854</v>
      </c>
      <c r="F81" s="31" t="n">
        <f aca="false">F79-運營_產能與收入!F18-運營_產能與收入!F24+F80</f>
        <v>104.220418169276</v>
      </c>
      <c r="G81" s="31" t="n">
        <f aca="false">G79-運營_產能與收入!G18-運營_產能與收入!G24+G80</f>
        <v>46.2986535306509</v>
      </c>
      <c r="I81" s="6" t="s">
        <v>1153</v>
      </c>
    </row>
    <row r="82" customFormat="false" ht="15" hidden="false" customHeight="false" outlineLevel="1" collapsed="false">
      <c r="A82" s="3" t="s">
        <v>1154</v>
      </c>
      <c r="B82" s="11" t="s">
        <v>65</v>
      </c>
      <c r="C82" s="31" t="n">
        <f aca="false">IF(輸入與假設!$C$286=1,資產負債_既有債務!C35,資產負債_既有債務!$E$17)+資產負債_既有債務!$E$20+資產負債_既有債務!C40</f>
        <v>132.995</v>
      </c>
      <c r="D82" s="31" t="n">
        <f aca="false">IF(輸入與假設!$C$286=1,資產負債_既有債務!D35,資產負債_既有債務!$E$17)+資產負債_既有債務!$E$20+資產負債_既有債務!D40</f>
        <v>124.158</v>
      </c>
      <c r="E82" s="31" t="n">
        <f aca="false">IF(輸入與假設!$C$286=1,資產負債_既有債務!E35,資產負債_既有債務!$E$17)+資產負債_既有債務!$E$20+資產負債_既有債務!E40</f>
        <v>111.864</v>
      </c>
      <c r="F82" s="31" t="n">
        <f aca="false">IF(輸入與假設!$C$286=1,資產負債_既有債務!F35,資產負債_既有債務!$E$17)+資產負債_既有債務!$E$20+資產負債_既有債務!F40</f>
        <v>102.694</v>
      </c>
      <c r="G82" s="31" t="n">
        <f aca="false">IF(輸入與假設!$C$286=1,資產負債_既有債務!G35,資產負債_既有債務!$E$17)+資產負債_既有債務!$E$20+資產負債_既有債務!G40</f>
        <v>95.609</v>
      </c>
      <c r="I82" s="6" t="s">
        <v>1155</v>
      </c>
    </row>
    <row r="83" customFormat="false" ht="15" hidden="false" customHeight="false" outlineLevel="1" collapsed="false">
      <c r="A83" s="3" t="s">
        <v>1156</v>
      </c>
      <c r="B83" s="11" t="s">
        <v>65</v>
      </c>
      <c r="C83" s="31" t="n">
        <f aca="false">IF(輸入與假設!$C$288="leaseAdj",輸入與假設!$C$289*(損益!C22+C16)/運營_產能與收入!C7-C63,IF(輸入與假設!$C$288="ebitda",輸入與假設!$C$289*損益!C22/運營_產能與收入!C7,輸入與假設!$C$287*C81))</f>
        <v>459.328511522869</v>
      </c>
      <c r="D83" s="31" t="n">
        <f aca="false">IF(輸入與假設!$C$288="leaseAdj",輸入與假設!$C$289*(損益!D22+D16)/運營_產能與收入!D7-D63,IF(輸入與假設!$C$288="ebitda",輸入與假設!$C$289*損益!D22/運營_產能與收入!D7,輸入與假設!$C$287*D81))</f>
        <v>548.607161939826</v>
      </c>
      <c r="E83" s="31" t="n">
        <f aca="false">IF(輸入與假設!$C$288="leaseAdj",輸入與假設!$C$289*(損益!E22+E16)/運營_產能與收入!E7-E63,IF(輸入與假設!$C$288="ebitda",輸入與假設!$C$289*損益!E22/運營_產能與收入!E7,輸入與假設!$C$287*E81))</f>
        <v>739.267176780474</v>
      </c>
      <c r="F83" s="31" t="n">
        <f aca="false">IF(輸入與假設!$C$288="leaseAdj",輸入與假設!$C$289*(損益!F22+F16)/運營_產能與收入!F7-F63,IF(輸入與假設!$C$288="ebitda",輸入與假設!$C$289*損益!F22/運營_產能與收入!F7,輸入與假設!$C$287*F81))</f>
        <v>918.873911662083</v>
      </c>
      <c r="G83" s="31" t="n">
        <f aca="false">IF(輸入與假設!$C$288="leaseAdj",輸入與假設!$C$289*(損益!G22+G16)/運營_產能與收入!G7-G63,IF(輸入與假設!$C$288="ebitda",輸入與假設!$C$289*損益!G22/運營_產能與收入!G7,輸入與假設!$C$287*G81))</f>
        <v>1084.18411415216</v>
      </c>
      <c r="I83" s="11" t="s">
        <v>1157</v>
      </c>
    </row>
    <row r="84" customFormat="false" ht="15" hidden="false" customHeight="false" outlineLevel="1" collapsed="false">
      <c r="A84" s="3" t="s">
        <v>1158</v>
      </c>
      <c r="B84" s="11" t="s">
        <v>65</v>
      </c>
      <c r="C84" s="31" t="n">
        <f aca="false">IF(輸入與假設!$C$285=1,輸入與假設!$C$284,0)</f>
        <v>0</v>
      </c>
      <c r="D84" s="31" t="n">
        <f aca="false">C99</f>
        <v>0</v>
      </c>
      <c r="E84" s="31" t="n">
        <f aca="false">D99</f>
        <v>0</v>
      </c>
      <c r="F84" s="31" t="n">
        <f aca="false">E99</f>
        <v>0</v>
      </c>
      <c r="G84" s="31" t="n">
        <f aca="false">F99</f>
        <v>0</v>
      </c>
    </row>
    <row r="85" customFormat="false" ht="15" hidden="false" customHeight="false" outlineLevel="1" collapsed="false">
      <c r="A85" s="3" t="s">
        <v>1159</v>
      </c>
      <c r="B85" s="11" t="s">
        <v>65</v>
      </c>
      <c r="C85" s="31" t="n">
        <f aca="false">MAX(0,C83-(C82+C67+C70),C84)</f>
        <v>326.333511522869</v>
      </c>
      <c r="D85" s="31" t="n">
        <f aca="false">MAX(0,D83-(D82+D67+D70),D84)</f>
        <v>424.449161939826</v>
      </c>
      <c r="E85" s="31" t="n">
        <f aca="false">MAX(0,E83-(E82+E67+E70),E84)</f>
        <v>560.223573540457</v>
      </c>
      <c r="F85" s="31" t="n">
        <f aca="false">MAX(0,F83-(F82+F67+F70),F84)</f>
        <v>699.840541426716</v>
      </c>
      <c r="G85" s="31" t="n">
        <f aca="false">MAX(0,G83-(G82+G67+G70),G84)</f>
        <v>864.894260796849</v>
      </c>
      <c r="I85" s="6" t="s">
        <v>1160</v>
      </c>
    </row>
    <row r="86" customFormat="false" ht="15" hidden="false" customHeight="false" outlineLevel="1" collapsed="false">
      <c r="A86" s="2" t="s">
        <v>1161</v>
      </c>
      <c r="B86" s="11" t="s">
        <v>65</v>
      </c>
      <c r="C86" s="42" t="n">
        <f aca="false">MIN(C85,C74/(1-C68))</f>
        <v>0</v>
      </c>
      <c r="D86" s="42" t="n">
        <f aca="false">MIN(D85,D74/(1-D68))</f>
        <v>67.1796032400176</v>
      </c>
      <c r="E86" s="42" t="n">
        <f aca="false">MIN(E85,E74/(1-E68))</f>
        <v>49.1597669953494</v>
      </c>
      <c r="F86" s="42" t="n">
        <f aca="false">MIN(F85,F74/(1-F68))</f>
        <v>7.34148311994452</v>
      </c>
      <c r="G86" s="42" t="n">
        <f aca="false">MIN(G85,G74/(1-G68))</f>
        <v>82.9797009236145</v>
      </c>
      <c r="I86" s="6" t="s">
        <v>1162</v>
      </c>
    </row>
    <row r="87" customFormat="false" ht="15" hidden="false" customHeight="false" outlineLevel="1" collapsed="false">
      <c r="A87" s="3" t="s">
        <v>1163</v>
      </c>
      <c r="B87" s="11" t="s">
        <v>65</v>
      </c>
      <c r="C87" s="31" t="n">
        <f aca="false">MAX(0,C74+C68*C86-C86)</f>
        <v>0</v>
      </c>
      <c r="D87" s="31" t="n">
        <f aca="false">MAX(0,D74+D68*D86-D86)</f>
        <v>0</v>
      </c>
      <c r="E87" s="31" t="n">
        <f aca="false">MAX(0,E74+E68*E86-E86)</f>
        <v>0</v>
      </c>
      <c r="F87" s="31" t="n">
        <f aca="false">MAX(0,F74+F68*F86-F86)</f>
        <v>0</v>
      </c>
      <c r="G87" s="31" t="n">
        <f aca="false">MAX(0,G74+G68*G86-G86)</f>
        <v>0</v>
      </c>
    </row>
    <row r="88" customFormat="false" ht="15" hidden="false" customHeight="false" outlineLevel="1" collapsed="false">
      <c r="A88" s="3" t="s">
        <v>1164</v>
      </c>
      <c r="B88" s="11" t="s">
        <v>65</v>
      </c>
      <c r="C88" s="31" t="n">
        <f aca="false">MAX(0,輸入與假設!$C$304)*運營_產能與收入!C7</f>
        <v>0</v>
      </c>
      <c r="D88" s="31" t="n">
        <f aca="false">MAX(0,輸入與假設!$C$304)*運營_產能與收入!D7</f>
        <v>0</v>
      </c>
      <c r="E88" s="31" t="n">
        <f aca="false">MAX(0,輸入與假設!$C$304)*運營_產能與收入!E7</f>
        <v>0</v>
      </c>
      <c r="F88" s="31" t="n">
        <f aca="false">MAX(0,輸入與假設!$C$304)*運營_產能與收入!F7</f>
        <v>0</v>
      </c>
      <c r="G88" s="31" t="n">
        <f aca="false">MAX(0,輸入與假設!$C$304)*運營_產能與收入!G7</f>
        <v>0</v>
      </c>
      <c r="I88" s="6" t="s">
        <v>1165</v>
      </c>
    </row>
    <row r="89" customFormat="false" ht="15" hidden="false" customHeight="false" outlineLevel="1" collapsed="false">
      <c r="A89" s="2" t="s">
        <v>1166</v>
      </c>
      <c r="B89" s="11" t="s">
        <v>65</v>
      </c>
      <c r="C89" s="42" t="n">
        <f aca="false">MIN(C88,C87/(1-C71))</f>
        <v>0</v>
      </c>
      <c r="D89" s="42" t="n">
        <f aca="false">MIN(D88,D87/(1-D71))</f>
        <v>0</v>
      </c>
      <c r="E89" s="42" t="n">
        <f aca="false">MIN(E88,E87/(1-E71))</f>
        <v>0</v>
      </c>
      <c r="F89" s="42" t="n">
        <f aca="false">MIN(F88,F87/(1-F71))</f>
        <v>0</v>
      </c>
      <c r="G89" s="42" t="n">
        <f aca="false">MIN(G88,G87/(1-G71))</f>
        <v>0</v>
      </c>
      <c r="I89" s="6" t="s">
        <v>1167</v>
      </c>
    </row>
    <row r="90" customFormat="false" ht="15" hidden="false" customHeight="false" outlineLevel="1" collapsed="false">
      <c r="A90" s="3" t="s">
        <v>1168</v>
      </c>
      <c r="B90" s="11" t="s">
        <v>65</v>
      </c>
      <c r="C90" s="31" t="n">
        <f aca="false">MAX(0,C87+C71*C89-C89)</f>
        <v>0</v>
      </c>
      <c r="D90" s="31" t="n">
        <f aca="false">MAX(0,D87+D71*D89-D89)</f>
        <v>0</v>
      </c>
      <c r="E90" s="31" t="n">
        <f aca="false">MAX(0,E87+E71*E89-E89)</f>
        <v>0</v>
      </c>
      <c r="F90" s="31" t="n">
        <f aca="false">MAX(0,F87+F71*F89-F89)</f>
        <v>0</v>
      </c>
      <c r="G90" s="31" t="n">
        <f aca="false">MAX(0,G87+G71*G89-G89)</f>
        <v>0</v>
      </c>
    </row>
    <row r="91" customFormat="false" ht="15" hidden="false" customHeight="false" outlineLevel="1" collapsed="false">
      <c r="A91" s="3" t="s">
        <v>1169</v>
      </c>
      <c r="B91" s="11" t="s">
        <v>65</v>
      </c>
      <c r="C91" s="31" t="n">
        <f aca="false">IF(輸入與假設!$C$299&gt;=9,1E+099,輸入與假設!$C$299*輸入與假設!$C$297*輸入與假設!$C$300*運營_產能與收入!C7)</f>
        <v>70.089468372</v>
      </c>
      <c r="D91" s="31" t="n">
        <f aca="false">IF(輸入與假設!$C$299&gt;=9,1E+099,輸入與假設!$C$299*輸入與假設!$C$297*輸入與假設!$C$300*運營_產能與收入!D7)</f>
        <v>140.178936744</v>
      </c>
      <c r="E91" s="31" t="n">
        <f aca="false">IF(輸入與假設!$C$299&gt;=9,1E+099,輸入與假設!$C$299*輸入與假設!$C$297*輸入與假設!$C$300*運營_產能與收入!E7)</f>
        <v>140.178936744</v>
      </c>
      <c r="F91" s="31" t="n">
        <f aca="false">IF(輸入與假設!$C$299&gt;=9,1E+099,輸入與假設!$C$299*輸入與假設!$C$297*輸入與假設!$C$300*運營_產能與收入!F7)</f>
        <v>140.178936744</v>
      </c>
      <c r="G91" s="31" t="n">
        <f aca="false">IF(輸入與假設!$C$299&gt;=9,1E+099,輸入與假設!$C$299*輸入與假設!$C$297*輸入與假設!$C$300*運營_產能與收入!G7)</f>
        <v>140.178936744</v>
      </c>
      <c r="I91" s="6" t="s">
        <v>1170</v>
      </c>
    </row>
    <row r="92" customFormat="false" ht="15" hidden="false" customHeight="false" outlineLevel="1" collapsed="false">
      <c r="A92" s="2" t="s">
        <v>1171</v>
      </c>
      <c r="B92" s="11" t="s">
        <v>65</v>
      </c>
      <c r="C92" s="42" t="n">
        <f aca="false">MIN(C90,C91)</f>
        <v>0</v>
      </c>
      <c r="D92" s="42" t="n">
        <f aca="false">MIN(D90,D91)</f>
        <v>0</v>
      </c>
      <c r="E92" s="42" t="n">
        <f aca="false">MIN(E90,E91)</f>
        <v>0</v>
      </c>
      <c r="F92" s="42" t="n">
        <f aca="false">MIN(F90,F91)</f>
        <v>0</v>
      </c>
      <c r="G92" s="42" t="n">
        <f aca="false">MIN(G90,G91)</f>
        <v>0</v>
      </c>
    </row>
    <row r="93" customFormat="false" ht="15" hidden="false" customHeight="false" outlineLevel="1" collapsed="false">
      <c r="A93" s="2" t="s">
        <v>1172</v>
      </c>
      <c r="B93" s="11" t="s">
        <v>65</v>
      </c>
      <c r="C93" s="42" t="n">
        <f aca="false">(C90-C92)/(1-C72)</f>
        <v>0</v>
      </c>
      <c r="D93" s="42" t="n">
        <f aca="false">(D90-D92)/(1-D72)</f>
        <v>0</v>
      </c>
      <c r="E93" s="42" t="n">
        <f aca="false">(E90-E92)/(1-E72)</f>
        <v>0</v>
      </c>
      <c r="F93" s="42" t="n">
        <f aca="false">(F90-F92)/(1-F72)</f>
        <v>0</v>
      </c>
      <c r="G93" s="42" t="n">
        <f aca="false">(G90-G92)/(1-G72)</f>
        <v>0</v>
      </c>
    </row>
    <row r="94" customFormat="false" ht="15" hidden="false" customHeight="false" outlineLevel="1" collapsed="false">
      <c r="A94" s="3" t="s">
        <v>1173</v>
      </c>
      <c r="B94" s="11" t="s">
        <v>65</v>
      </c>
      <c r="C94" s="31" t="n">
        <f aca="false">C68*(C67+C86)+C72*(C69+C93)+C71*(C70+C89)</f>
        <v>0</v>
      </c>
      <c r="D94" s="31" t="n">
        <f aca="false">D68*(D67+D86)+D72*(D69+D93)+D71*(D70+D89)</f>
        <v>3.35898016200088</v>
      </c>
      <c r="E94" s="31" t="n">
        <f aca="false">E68*(E67+E86)+E72*(E69+E93)+E71*(E70+E89)</f>
        <v>5.81696851176835</v>
      </c>
      <c r="F94" s="31" t="n">
        <f aca="false">F68*(F67+F86)+F72*(F69+F93)+F71*(F70+F89)</f>
        <v>6.18404266776558</v>
      </c>
      <c r="G94" s="31" t="n">
        <f aca="false">G68*(G67+G86)+G72*(G69+G93)+G71*(G70+G89)</f>
        <v>10.3330277139463</v>
      </c>
      <c r="I94" s="6" t="s">
        <v>1174</v>
      </c>
    </row>
    <row r="95" customFormat="false" ht="15" hidden="false" customHeight="false" outlineLevel="1" collapsed="false">
      <c r="A95" s="3" t="s">
        <v>1175</v>
      </c>
      <c r="B95" s="11" t="s">
        <v>39</v>
      </c>
      <c r="C95" s="55" t="n">
        <f aca="false">輸入與假設!$C$297*(1-輸入與假設!$C$298)</f>
        <v>233.928</v>
      </c>
      <c r="D95" s="55" t="n">
        <f aca="false">輸入與假設!$C$297*(1-輸入與假設!$C$298)</f>
        <v>233.928</v>
      </c>
      <c r="E95" s="55" t="n">
        <f aca="false">輸入與假設!$C$297*(1-輸入與假設!$C$298)</f>
        <v>233.928</v>
      </c>
      <c r="F95" s="55" t="n">
        <f aca="false">輸入與假設!$C$297*(1-輸入與假設!$C$298)</f>
        <v>233.928</v>
      </c>
      <c r="G95" s="55" t="n">
        <f aca="false">輸入與假設!$C$297*(1-輸入與假設!$C$298)</f>
        <v>233.928</v>
      </c>
    </row>
    <row r="96" customFormat="false" ht="15" hidden="false" customHeight="false" outlineLevel="1" collapsed="false">
      <c r="A96" s="3" t="s">
        <v>1176</v>
      </c>
      <c r="B96" s="11" t="s">
        <v>632</v>
      </c>
      <c r="C96" s="35" t="n">
        <f aca="false">C92/C95</f>
        <v>0</v>
      </c>
      <c r="D96" s="35" t="n">
        <f aca="false">D92/D95</f>
        <v>0</v>
      </c>
      <c r="E96" s="35" t="n">
        <f aca="false">E92/E95</f>
        <v>0</v>
      </c>
      <c r="F96" s="35" t="n">
        <f aca="false">F92/F95</f>
        <v>0</v>
      </c>
      <c r="G96" s="35" t="n">
        <f aca="false">G92/G95</f>
        <v>0</v>
      </c>
    </row>
    <row r="97" customFormat="false" ht="15" hidden="false" customHeight="false" outlineLevel="1" collapsed="false">
      <c r="A97" s="2" t="s">
        <v>1177</v>
      </c>
      <c r="B97" s="11" t="s">
        <v>632</v>
      </c>
      <c r="C97" s="56" t="n">
        <f aca="false">C96-C78</f>
        <v>0</v>
      </c>
      <c r="D97" s="56" t="n">
        <f aca="false">C97+D96-D78</f>
        <v>0</v>
      </c>
      <c r="E97" s="56" t="n">
        <f aca="false">D97+E96-E78</f>
        <v>0</v>
      </c>
      <c r="F97" s="56" t="n">
        <f aca="false">E97+F96-F78</f>
        <v>0</v>
      </c>
      <c r="G97" s="56" t="n">
        <f aca="false">F97+G96-G78</f>
        <v>0</v>
      </c>
    </row>
    <row r="98" customFormat="false" ht="15" hidden="false" customHeight="false" outlineLevel="1" collapsed="false">
      <c r="A98" s="3" t="s">
        <v>1178</v>
      </c>
      <c r="B98" s="11" t="s">
        <v>65</v>
      </c>
      <c r="C98" s="31" t="n">
        <f aca="false">C67+C86</f>
        <v>0</v>
      </c>
      <c r="D98" s="31" t="n">
        <f aca="false">D67+D86</f>
        <v>67.1796032400176</v>
      </c>
      <c r="E98" s="31" t="n">
        <f aca="false">E67+E86</f>
        <v>116.339370235367</v>
      </c>
      <c r="F98" s="31" t="n">
        <f aca="false">F67+F86</f>
        <v>123.680853355312</v>
      </c>
      <c r="G98" s="31" t="n">
        <f aca="false">G67+G86</f>
        <v>206.660554278926</v>
      </c>
    </row>
    <row r="99" customFormat="false" ht="15" hidden="false" customHeight="false" outlineLevel="1" collapsed="false">
      <c r="A99" s="3" t="s">
        <v>1179</v>
      </c>
      <c r="B99" s="11" t="s">
        <v>65</v>
      </c>
      <c r="C99" s="31" t="n">
        <f aca="false">C84-MIN(C84,C86)</f>
        <v>0</v>
      </c>
      <c r="D99" s="31" t="n">
        <f aca="false">D84-MIN(D84,D86)</f>
        <v>0</v>
      </c>
      <c r="E99" s="31" t="n">
        <f aca="false">E84-MIN(E84,E86)</f>
        <v>0</v>
      </c>
      <c r="F99" s="31" t="n">
        <f aca="false">F84-MIN(F84,F86)</f>
        <v>0</v>
      </c>
      <c r="G99" s="31" t="n">
        <f aca="false">G84-MIN(G84,G86)</f>
        <v>0</v>
      </c>
    </row>
    <row r="100" customFormat="false" ht="15" hidden="false" customHeight="false" outlineLevel="1" collapsed="false">
      <c r="A100" s="3" t="s">
        <v>1180</v>
      </c>
      <c r="B100" s="11" t="s">
        <v>65</v>
      </c>
      <c r="C100" s="31" t="n">
        <f aca="false">C69+C93</f>
        <v>0</v>
      </c>
      <c r="D100" s="31" t="n">
        <f aca="false">D69+D93</f>
        <v>0</v>
      </c>
      <c r="E100" s="31" t="n">
        <f aca="false">E69+E93</f>
        <v>0</v>
      </c>
      <c r="F100" s="31" t="n">
        <f aca="false">F69+F93</f>
        <v>0</v>
      </c>
      <c r="G100" s="31" t="n">
        <f aca="false">G69+G93</f>
        <v>0</v>
      </c>
    </row>
    <row r="101" customFormat="false" ht="15" hidden="false" customHeight="false" outlineLevel="1" collapsed="false">
      <c r="A101" s="3" t="s">
        <v>1181</v>
      </c>
      <c r="B101" s="11" t="s">
        <v>65</v>
      </c>
      <c r="C101" s="31" t="n">
        <f aca="false">C70+C89</f>
        <v>0</v>
      </c>
      <c r="D101" s="31" t="n">
        <f aca="false">D70+D89</f>
        <v>0</v>
      </c>
      <c r="E101" s="31" t="n">
        <f aca="false">E70+E89</f>
        <v>0</v>
      </c>
      <c r="F101" s="31" t="n">
        <f aca="false">F70+F89</f>
        <v>0</v>
      </c>
      <c r="G101" s="31" t="n">
        <f aca="false">G70+G89</f>
        <v>0</v>
      </c>
    </row>
    <row r="102" customFormat="false" ht="15" hidden="false" customHeight="false" outlineLevel="1" collapsed="false">
      <c r="A102" s="2" t="s">
        <v>1182</v>
      </c>
      <c r="B102" s="11" t="s">
        <v>65</v>
      </c>
      <c r="C102" s="42" t="n">
        <f aca="false">C82+C98+C101+C100</f>
        <v>132.995</v>
      </c>
      <c r="D102" s="42" t="n">
        <f aca="false">D82+D98+D101+D100</f>
        <v>191.337603240018</v>
      </c>
      <c r="E102" s="42" t="n">
        <f aca="false">E82+E98+E101+E100</f>
        <v>228.203370235367</v>
      </c>
      <c r="F102" s="42" t="n">
        <f aca="false">F82+F98+F101+F100</f>
        <v>226.374853355312</v>
      </c>
      <c r="G102" s="42" t="n">
        <f aca="false">G82+G98+G101+G100</f>
        <v>302.269554278926</v>
      </c>
    </row>
    <row r="103" customFormat="false" ht="15" hidden="false" customHeight="false" outlineLevel="1" collapsed="false">
      <c r="A103" s="2" t="s">
        <v>1183</v>
      </c>
      <c r="B103" s="11" t="s">
        <v>65</v>
      </c>
      <c r="C103" s="42" t="n">
        <f aca="false">C18+C43+C45+C46+C53-C66</f>
        <v>64.6905772322645</v>
      </c>
      <c r="D103" s="42" t="n">
        <f aca="false">C103+D43+D45-D66</f>
        <v>-13.8206230780167</v>
      </c>
      <c r="E103" s="42" t="n">
        <f aca="false">D103+E43+E45-E66</f>
        <v>-57.1634215615978</v>
      </c>
      <c r="F103" s="42" t="n">
        <f aca="false">E103+F43+F45-F66</f>
        <v>-58.3208620137767</v>
      </c>
      <c r="G103" s="42" t="n">
        <f aca="false">F103+G43+G45-G66</f>
        <v>-130.967535223445</v>
      </c>
      <c r="I103" s="6" t="s">
        <v>1184</v>
      </c>
    </row>
    <row r="105" customFormat="false" ht="15" hidden="false" customHeight="false" outlineLevel="0" collapsed="true">
      <c r="A105" s="52" t="s">
        <v>1185</v>
      </c>
      <c r="B105" s="8"/>
      <c r="C105" s="8"/>
      <c r="D105" s="8"/>
      <c r="E105" s="8"/>
      <c r="F105" s="8"/>
      <c r="G105" s="8"/>
      <c r="H105" s="8"/>
    </row>
    <row r="106" customFormat="false" ht="15" hidden="true" customHeight="false" outlineLevel="1" collapsed="false">
      <c r="A106" s="3" t="s">
        <v>1186</v>
      </c>
      <c r="C106" s="57" t="n">
        <f aca="false">輸入與假設!$C$414</f>
        <v>123.029</v>
      </c>
    </row>
    <row r="107" customFormat="false" ht="15" hidden="true" customHeight="false" outlineLevel="1" collapsed="false">
      <c r="A107" s="3" t="s">
        <v>1187</v>
      </c>
      <c r="C107" s="57" t="n">
        <f aca="false">SUM(C54:G54)</f>
        <v>-306.920554278926</v>
      </c>
    </row>
    <row r="108" customFormat="false" ht="15" hidden="true" customHeight="false" outlineLevel="1" collapsed="false">
      <c r="A108" s="3" t="s">
        <v>1188</v>
      </c>
      <c r="C108" s="57" t="n">
        <f aca="false">SUM(C45:G45)</f>
        <v>0</v>
      </c>
    </row>
    <row r="109" customFormat="false" ht="15" hidden="true" customHeight="false" outlineLevel="1" collapsed="false">
      <c r="A109" s="3" t="s">
        <v>1189</v>
      </c>
      <c r="C109" s="57" t="n">
        <f aca="false">SUM(C46:G46)</f>
        <v>66.998</v>
      </c>
    </row>
    <row r="110" customFormat="false" ht="15" hidden="true" customHeight="false" outlineLevel="1" collapsed="false">
      <c r="A110" s="4" t="s">
        <v>1190</v>
      </c>
      <c r="C110" s="57" t="n">
        <f aca="false">-SUM(C28:G28)</f>
        <v>-0</v>
      </c>
    </row>
    <row r="111" customFormat="false" ht="15" hidden="true" customHeight="false" outlineLevel="1" collapsed="false">
      <c r="A111" s="3" t="s">
        <v>1191</v>
      </c>
      <c r="C111" s="57" t="n">
        <f aca="false">SUM(C53:G53)</f>
        <v>0.66700000000003</v>
      </c>
    </row>
    <row r="112" customFormat="false" ht="15" hidden="true" customHeight="false" outlineLevel="1" collapsed="false">
      <c r="A112" s="3" t="s">
        <v>1192</v>
      </c>
      <c r="C112" s="57" t="n">
        <f aca="false">SUM(C47:G47)+SUM(C48:G48)+SUM(C49:G49)+SUM(C50:G50)</f>
        <v>206.660554278926</v>
      </c>
    </row>
    <row r="113" customFormat="false" ht="15" hidden="true" customHeight="false" outlineLevel="1" collapsed="false">
      <c r="A113" s="3" t="s">
        <v>1193</v>
      </c>
      <c r="C113" s="57" t="n">
        <f aca="false">-SUM(C27:G27)</f>
        <v>-40.434</v>
      </c>
    </row>
    <row r="114" customFormat="false" ht="15" hidden="true" customHeight="false" outlineLevel="1" collapsed="false">
      <c r="A114" s="2" t="s">
        <v>1194</v>
      </c>
      <c r="C114" s="58" t="n">
        <f aca="false">SUM(C106:C113)</f>
        <v>50</v>
      </c>
    </row>
    <row r="115" customFormat="false" ht="15" hidden="true" customHeight="false" outlineLevel="1" collapsed="false">
      <c r="A115" s="3" t="s">
        <v>1195</v>
      </c>
      <c r="C115" s="57" t="n">
        <f aca="false">G56</f>
        <v>50</v>
      </c>
    </row>
    <row r="116" customFormat="false" ht="15" hidden="true" customHeight="false" outlineLevel="1" collapsed="false">
      <c r="A116" s="2" t="s">
        <v>1196</v>
      </c>
      <c r="C116" s="57" t="n">
        <f aca="false">C114-C115</f>
        <v>0</v>
      </c>
      <c r="I116" s="6" t="s">
        <v>1197</v>
      </c>
    </row>
    <row r="118" customFormat="false" ht="15" hidden="false" customHeight="false" outlineLevel="0" collapsed="true">
      <c r="A118" s="7" t="s">
        <v>1198</v>
      </c>
      <c r="B118" s="8"/>
      <c r="C118" s="8"/>
      <c r="D118" s="8"/>
      <c r="E118" s="8"/>
      <c r="F118" s="8"/>
      <c r="G118" s="8"/>
      <c r="H118" s="8"/>
    </row>
    <row r="119" customFormat="false" ht="15" hidden="true" customHeight="false" outlineLevel="1" collapsed="false">
      <c r="A119" s="4" t="s">
        <v>1199</v>
      </c>
      <c r="C119" s="10" t="n">
        <f aca="false">運營_產能與收入!C31</f>
        <v>834.2190886313</v>
      </c>
      <c r="I119" s="6" t="s">
        <v>1200</v>
      </c>
    </row>
    <row r="120" customFormat="false" ht="15" hidden="true" customHeight="false" outlineLevel="1" collapsed="false">
      <c r="A120" s="4" t="s">
        <v>1201</v>
      </c>
      <c r="C120" s="10" t="n">
        <f aca="false">C6</f>
        <v>220</v>
      </c>
      <c r="I120" s="6" t="s">
        <v>1202</v>
      </c>
    </row>
    <row r="121" customFormat="false" ht="15" hidden="true" customHeight="false" outlineLevel="1" collapsed="false">
      <c r="A121" s="4" t="s">
        <v>1203</v>
      </c>
      <c r="C121" s="10" t="n">
        <f aca="false">輸入與假設!$C$423+輸入與假設!C$317+C20</f>
        <v>4.815165075</v>
      </c>
      <c r="I121" s="6" t="s">
        <v>1204</v>
      </c>
    </row>
    <row r="122" customFormat="false" ht="15" hidden="true" customHeight="false" outlineLevel="1" collapsed="false">
      <c r="A122" s="4" t="s">
        <v>1205</v>
      </c>
      <c r="C122" s="10" t="n">
        <f aca="false">輸入與假設!$C$424+C16</f>
        <v>10.9274997898305</v>
      </c>
      <c r="I122" s="11" t="s">
        <v>1206</v>
      </c>
    </row>
    <row r="123" customFormat="false" ht="15" hidden="true" customHeight="false" outlineLevel="1" collapsed="false">
      <c r="A123" s="4" t="s">
        <v>1207</v>
      </c>
      <c r="C123" s="10" t="n">
        <f aca="false">C27</f>
        <v>3.048</v>
      </c>
      <c r="I123" s="11" t="s">
        <v>1208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1209</v>
      </c>
    </row>
    <row r="2" customFormat="false" ht="15" hidden="false" customHeight="false" outlineLevel="0" collapsed="false">
      <c r="A2" s="6" t="s">
        <v>1210</v>
      </c>
    </row>
    <row r="4" customFormat="false" ht="15" hidden="false" customHeight="false" outlineLevel="0" collapsed="false">
      <c r="A4" s="7" t="s">
        <v>1211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15" hidden="false" customHeight="false" outlineLevel="1" collapsed="false">
      <c r="A5" s="14" t="s">
        <v>1212</v>
      </c>
      <c r="B5" s="14" t="s">
        <v>60</v>
      </c>
      <c r="C5" s="14" t="s">
        <v>1213</v>
      </c>
      <c r="D5" s="14" t="s">
        <v>1214</v>
      </c>
      <c r="E5" s="14" t="s">
        <v>1215</v>
      </c>
      <c r="F5" s="14" t="s">
        <v>1216</v>
      </c>
      <c r="G5" s="14" t="s">
        <v>1217</v>
      </c>
      <c r="H5" s="14" t="s">
        <v>1218</v>
      </c>
      <c r="I5" s="14" t="s">
        <v>1219</v>
      </c>
      <c r="J5" s="14" t="s">
        <v>1220</v>
      </c>
      <c r="K5" s="14" t="s">
        <v>1221</v>
      </c>
      <c r="L5" s="14" t="s">
        <v>1222</v>
      </c>
      <c r="M5" s="14" t="s">
        <v>1223</v>
      </c>
      <c r="N5" s="14" t="s">
        <v>1224</v>
      </c>
      <c r="O5" s="14" t="s">
        <v>1220</v>
      </c>
      <c r="P5" s="14" t="s">
        <v>1221</v>
      </c>
      <c r="Q5" s="14" t="s">
        <v>1225</v>
      </c>
    </row>
    <row r="6" customFormat="false" ht="15" hidden="false" customHeight="false" outlineLevel="1" collapsed="false">
      <c r="A6" s="3" t="s">
        <v>1226</v>
      </c>
      <c r="B6" s="11" t="s">
        <v>65</v>
      </c>
      <c r="C6" s="59" t="n">
        <f aca="false">INDEX($C$22:$H$22,輸入與假設!$C$499)</f>
        <v>217.566696210433</v>
      </c>
      <c r="D6" s="59" t="str">
        <f aca="false">INDEX($C$37:$H$37,輸入與假設!$C$499)</f>
        <v>不適用</v>
      </c>
      <c r="E6" s="60" t="str">
        <f aca="false">INDEX($C$47:$H$47,輸入與假設!$C$499)</f>
        <v>不適用</v>
      </c>
      <c r="F6" s="59" t="n">
        <f aca="false">IF(ISNUMBER(INDEX($C$32:$H$32,輸入與假設!$C$499)),INDEX($C$32:$H$32,輸入與假設!$C$499),"不適用")</f>
        <v>197</v>
      </c>
      <c r="G6" s="59" t="n">
        <f aca="false">INDEX($C$33:$H$33,輸入與假設!$C$499)</f>
        <v>202</v>
      </c>
      <c r="H6" s="60" t="n">
        <f aca="false">INDEX($C$48:$H$48,輸入與假設!$C$499)</f>
        <v>0.090559880754052</v>
      </c>
      <c r="I6" s="59" t="str">
        <f aca="false">IF(ISNUMBER(INDEX($C$41:$H$41,輸入與假設!$C$499)),INDEX($C$41:$H$41,輸入與假設!$C$499),"待公布")</f>
        <v>待公布</v>
      </c>
      <c r="J6" s="60" t="str">
        <f aca="false">INDEX($C$49:$H$49,輸入與假設!$C$499)</f>
        <v/>
      </c>
      <c r="K6" s="60" t="str">
        <f aca="false">INDEX($C$50:$H$50,輸入與假設!$C$499)</f>
        <v/>
      </c>
      <c r="L6" s="60" t="str">
        <f aca="false">INDEX($C$51:$H$51,輸入與假設!$C$499)</f>
        <v/>
      </c>
      <c r="M6" s="60"/>
      <c r="N6" s="60"/>
      <c r="O6" s="60"/>
      <c r="P6" s="60"/>
      <c r="Q6" s="60"/>
    </row>
    <row r="7" customFormat="false" ht="15" hidden="false" customHeight="false" outlineLevel="1" collapsed="false">
      <c r="A7" s="3" t="s">
        <v>1227</v>
      </c>
      <c r="B7" s="11" t="s">
        <v>65</v>
      </c>
      <c r="C7" s="59" t="n">
        <f aca="false">INDEX($C$28:$H$28,輸入與假設!$C$499)</f>
        <v>47.8894627303102</v>
      </c>
      <c r="D7" s="59" t="str">
        <f aca="false">INDEX($C$38:$H$38,輸入與假設!$C$499)</f>
        <v>不適用</v>
      </c>
      <c r="E7" s="59" t="str">
        <f aca="false">INDEX($C$52:$H$52,輸入與假設!$C$499)</f>
        <v>不適用</v>
      </c>
      <c r="F7" s="61" t="s">
        <v>873</v>
      </c>
      <c r="G7" s="61" t="s">
        <v>873</v>
      </c>
      <c r="H7" s="59" t="str">
        <f aca="false">INDEX($C$53:$H$53,輸入與假設!$C$499)</f>
        <v>不適用</v>
      </c>
      <c r="I7" s="59" t="str">
        <f aca="false">IF(ISNUMBER(INDEX($C$42:$H$42,輸入與假設!$C$499)),INDEX($C$42:$H$42,輸入與假設!$C$499),"待公布")</f>
        <v>待公布</v>
      </c>
      <c r="J7" s="59" t="str">
        <f aca="false">INDEX($C$54:$H$54,輸入與假設!$C$499)</f>
        <v/>
      </c>
      <c r="K7" s="59" t="str">
        <f aca="false">INDEX($C$55:$H$55,輸入與假設!$C$499)</f>
        <v/>
      </c>
      <c r="L7" s="59" t="str">
        <f aca="false">INDEX($C$56:$H$56,輸入與假設!$C$499)</f>
        <v/>
      </c>
      <c r="M7" s="60" t="str">
        <f aca="false">INDEX($C$57:$H$57,輸入與假設!$C$499)</f>
        <v>不適用</v>
      </c>
      <c r="N7" s="60" t="str">
        <f aca="false">INDEX($C$58:$H$58,輸入與假設!$C$499)</f>
        <v>不適用</v>
      </c>
      <c r="O7" s="60" t="str">
        <f aca="false">INDEX($C$59:$H$59,輸入與假設!$C$499)</f>
        <v/>
      </c>
      <c r="P7" s="60" t="str">
        <f aca="false">INDEX($C$60:$H$60,輸入與假設!$C$499)</f>
        <v/>
      </c>
      <c r="Q7" s="60" t="str">
        <f aca="false">INDEX($C$61:$H$61,輸入與假設!$C$499)</f>
        <v/>
      </c>
    </row>
    <row r="8" customFormat="false" ht="15" hidden="false" customHeight="false" outlineLevel="1" collapsed="false">
      <c r="A8" s="3" t="s">
        <v>1228</v>
      </c>
      <c r="B8" s="11" t="s">
        <v>42</v>
      </c>
      <c r="C8" s="60" t="n">
        <f aca="false">INDEX($C$27:$H$27,輸入與假設!$C$499)</f>
        <v>0.220113940067329</v>
      </c>
      <c r="D8" s="60" t="str">
        <f aca="false">INDEX($C$39:$H$39,輸入與假設!$C$499)</f>
        <v>不適用</v>
      </c>
      <c r="E8" s="60" t="str">
        <f aca="false">INDEX($C$62:$H$62,輸入與假設!$C$499)</f>
        <v>不適用</v>
      </c>
      <c r="F8" s="62" t="s">
        <v>873</v>
      </c>
      <c r="G8" s="62" t="s">
        <v>873</v>
      </c>
      <c r="H8" s="60" t="str">
        <f aca="false">INDEX($C$63:$H$63,輸入與假設!$C$499)</f>
        <v>不適用</v>
      </c>
      <c r="I8" s="60" t="str">
        <f aca="false">IF(ISNUMBER(INDEX($C$43:$H$43,輸入與假設!$C$499)),INDEX($C$43:$H$43,輸入與假設!$C$499),"待公布")</f>
        <v>待公布</v>
      </c>
      <c r="J8" s="60" t="str">
        <f aca="false">INDEX($C$64:$H$64,輸入與假設!$C$499)</f>
        <v/>
      </c>
      <c r="K8" s="60" t="str">
        <f aca="false">INDEX($C$65:$H$65,輸入與假設!$C$499)</f>
        <v/>
      </c>
      <c r="L8" s="60" t="str">
        <f aca="false">INDEX($C$66:$H$66,輸入與假設!$C$499)</f>
        <v/>
      </c>
      <c r="M8" s="60"/>
      <c r="N8" s="60"/>
      <c r="O8" s="60"/>
      <c r="P8" s="60"/>
      <c r="Q8" s="60"/>
    </row>
    <row r="9" customFormat="false" ht="15" hidden="false" customHeight="false" outlineLevel="1" collapsed="false">
      <c r="A9" s="3" t="s">
        <v>1229</v>
      </c>
      <c r="B9" s="11" t="s">
        <v>65</v>
      </c>
      <c r="C9" s="59" t="n">
        <f aca="false">INDEX($C$31:$H$31,輸入與假設!$C$499)</f>
        <v>27.3866609112392</v>
      </c>
      <c r="D9" s="61" t="s">
        <v>873</v>
      </c>
      <c r="E9" s="59" t="str">
        <f aca="false">INDEX($C$67:$H$67,輸入與假設!$C$499)</f>
        <v>不適用</v>
      </c>
      <c r="F9" s="59" t="n">
        <f aca="false">IF(ISNUMBER(INDEX($C$34:$H$34,輸入與假設!$C$499)),INDEX($C$34:$H$34,輸入與假設!$C$499),"不適用")</f>
        <v>22.5</v>
      </c>
      <c r="G9" s="59" t="n">
        <f aca="false">INDEX($C$35:$H$35,輸入與假設!$C$499)</f>
        <v>26.5</v>
      </c>
      <c r="H9" s="59" t="n">
        <f aca="false">INDEX($C$68:$H$68,輸入與假設!$C$499)</f>
        <v>2.88666091123919</v>
      </c>
      <c r="I9" s="59" t="str">
        <f aca="false">IF(ISNUMBER(INDEX($C$44:$H$44,輸入與假設!$C$499)),INDEX($C$44:$H$44,輸入與假設!$C$499),"待公布")</f>
        <v>待公布</v>
      </c>
      <c r="J9" s="59" t="str">
        <f aca="false">INDEX($C$69:$H$69,輸入與假設!$C$499)</f>
        <v/>
      </c>
      <c r="K9" s="59" t="str">
        <f aca="false">INDEX($C$70:$H$70,輸入與假設!$C$499)</f>
        <v/>
      </c>
      <c r="L9" s="59" t="str">
        <f aca="false">INDEX($C$71:$H$71,輸入與假設!$C$499)</f>
        <v/>
      </c>
      <c r="M9" s="60" t="str">
        <f aca="false">INDEX($C$72:$H$72,輸入與假設!$C$499)</f>
        <v>不適用</v>
      </c>
      <c r="N9" s="60" t="n">
        <f aca="false">INDEX($C$73:$H$73,輸入與假設!$C$499)</f>
        <v>0.00307006469463911</v>
      </c>
      <c r="O9" s="60" t="str">
        <f aca="false">INDEX($C$74:$H$74,輸入與假設!$C$499)</f>
        <v/>
      </c>
      <c r="P9" s="60" t="str">
        <f aca="false">INDEX($C$75:$H$75,輸入與假設!$C$499)</f>
        <v/>
      </c>
      <c r="Q9" s="60" t="str">
        <f aca="false">INDEX($C$76:$H$76,輸入與假設!$C$499)</f>
        <v/>
      </c>
    </row>
    <row r="10" customFormat="false" ht="15" hidden="false" customHeight="false" outlineLevel="1" collapsed="false">
      <c r="A10" s="3" t="s">
        <v>1230</v>
      </c>
      <c r="B10" s="11" t="s">
        <v>65</v>
      </c>
      <c r="C10" s="59" t="n">
        <f aca="false">INDEX($C$36:$H$36,輸入與假設!$C$499)</f>
        <v>61.845</v>
      </c>
      <c r="D10" s="61" t="s">
        <v>873</v>
      </c>
      <c r="E10" s="60" t="str">
        <f aca="false">INDEX($C$77:$H$77,輸入與假設!$C$499)</f>
        <v>不適用</v>
      </c>
      <c r="F10" s="61" t="s">
        <v>873</v>
      </c>
      <c r="G10" s="61" t="s">
        <v>873</v>
      </c>
      <c r="H10" s="60" t="str">
        <f aca="false">INDEX($C$78:$H$78,輸入與假設!$C$499)</f>
        <v>不適用</v>
      </c>
      <c r="I10" s="59" t="str">
        <f aca="false">IF(ISNUMBER(INDEX($C$45:$H$45,輸入與假設!$C$499)),INDEX($C$45:$H$45,輸入與假設!$C$499),"待公布")</f>
        <v>待公布</v>
      </c>
      <c r="J10" s="60" t="str">
        <f aca="false">INDEX($C$79:$H$79,輸入與假設!$C$499)</f>
        <v/>
      </c>
      <c r="K10" s="60" t="str">
        <f aca="false">INDEX($C$80:$H$80,輸入與假設!$C$499)</f>
        <v/>
      </c>
      <c r="L10" s="60" t="str">
        <f aca="false">INDEX($C$81:$H$81,輸入與假設!$C$499)</f>
        <v/>
      </c>
      <c r="M10" s="60"/>
      <c r="N10" s="60"/>
      <c r="O10" s="60"/>
      <c r="P10" s="60"/>
      <c r="Q10" s="60"/>
    </row>
    <row r="11" customFormat="false" ht="15" hidden="false" customHeight="false" outlineLevel="1" collapsed="false">
      <c r="A11" s="3" t="s">
        <v>1231</v>
      </c>
      <c r="B11" s="11" t="s">
        <v>157</v>
      </c>
      <c r="C11" s="63" t="n">
        <f aca="false">INDEX($C$19:$H$19,輸入與假設!$C$499)</f>
        <v>2987.2</v>
      </c>
      <c r="D11" s="64" t="s">
        <v>873</v>
      </c>
      <c r="E11" s="63" t="str">
        <f aca="false">INDEX($C$82:$H$82,輸入與假設!$C$499)</f>
        <v>不適用</v>
      </c>
      <c r="F11" s="64" t="s">
        <v>873</v>
      </c>
      <c r="G11" s="64" t="s">
        <v>873</v>
      </c>
      <c r="H11" s="63" t="str">
        <f aca="false">INDEX($C$83:$H$83,輸入與假設!$C$499)</f>
        <v>不適用</v>
      </c>
      <c r="I11" s="63" t="str">
        <f aca="false">IF(ISNUMBER(INDEX($C$46:$H$46,輸入與假設!$C$499)),INDEX($C$46:$H$46,輸入與假設!$C$499),"待公布")</f>
        <v>待公布</v>
      </c>
      <c r="J11" s="63" t="str">
        <f aca="false">INDEX($C$84:$H$84,輸入與假設!$C$499)</f>
        <v/>
      </c>
      <c r="K11" s="63" t="str">
        <f aca="false">INDEX($C$85:$H$85,輸入與假設!$C$499)</f>
        <v/>
      </c>
      <c r="L11" s="63" t="str">
        <f aca="false">INDEX($C$86:$H$86,輸入與假設!$C$499)</f>
        <v/>
      </c>
      <c r="M11" s="60"/>
      <c r="N11" s="60"/>
      <c r="O11" s="60"/>
      <c r="P11" s="60"/>
      <c r="Q11" s="60"/>
    </row>
    <row r="12" customFormat="false" ht="15" hidden="false" customHeight="false" outlineLevel="1" collapsed="false">
      <c r="A12" s="2" t="s">
        <v>1232</v>
      </c>
      <c r="C12" s="2" t="str">
        <f aca="false">INDEX($C$16:$H$16,輸入與假設!$C$499)</f>
        <v>Q3 2026</v>
      </c>
    </row>
    <row r="13" customFormat="false" ht="17.15" hidden="false" customHeight="false" outlineLevel="1" collapsed="false">
      <c r="A13" s="2" t="s">
        <v>1233</v>
      </c>
      <c r="C13" s="0" t="str">
        <f aca="false">IF(INDEX($C$123:$H$123,輸入與假設!$C$499)="","無（差距皆在 "&amp;IF(ROUND(ABS(輸入與假設!$C$493)*100,4)=INT(ROUND(ABS(輸入與假設!$C$493)*100,4)),TEXT(ROUND(ABS(輸入與假設!$C$493)*100,4),"0"),TEXT(ROUND(ABS(輸入與假設!$C$493)*100,4),"0.0"))&amp;"%"&amp;" 以內）",INDEX($C$123:$H$123,輸入與假設!$C$499))</f>
        <v>營收 vs 指引中點 +9.1%：觀點（營收＝對外 AI 雲端（在役 MW × 每 MW 年收入，Tokenomics × k）＋各分部依近四季年增率收斂；年度總額線性分到各季，未建模第四季季節性）；調整後營業利益 vs 指引中點 +$2.89bn／+0.3pt：觀點（模型折舊 14.00 依期初 PP&amp;E 與資本支出推算；營業利益＝EBITDA − 折舊，年度總額線性分到各季）</v>
      </c>
    </row>
    <row r="15" customFormat="false" ht="15" hidden="false" customHeight="false" outlineLevel="0" collapsed="true">
      <c r="A15" s="7" t="s">
        <v>1234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59</v>
      </c>
      <c r="B16" s="14" t="s">
        <v>60</v>
      </c>
      <c r="C16" s="15" t="s">
        <v>995</v>
      </c>
      <c r="D16" s="15" t="s">
        <v>996</v>
      </c>
      <c r="E16" s="15" t="s">
        <v>997</v>
      </c>
      <c r="F16" s="15" t="s">
        <v>998</v>
      </c>
      <c r="G16" s="15" t="s">
        <v>999</v>
      </c>
      <c r="H16" s="15" t="s">
        <v>1000</v>
      </c>
    </row>
    <row r="17" customFormat="false" ht="15" hidden="true" customHeight="false" outlineLevel="1" collapsed="false">
      <c r="A17" s="3" t="s">
        <v>1235</v>
      </c>
      <c r="C17" s="26" t="n">
        <f aca="false">輸入與假設!C$498</f>
        <v>1</v>
      </c>
      <c r="D17" s="26" t="n">
        <f aca="false">輸入與假設!D$498</f>
        <v>1</v>
      </c>
      <c r="E17" s="26" t="n">
        <f aca="false">輸入與假設!E$498</f>
        <v>2</v>
      </c>
      <c r="F17" s="26" t="n">
        <f aca="false">輸入與假設!F$498</f>
        <v>2</v>
      </c>
      <c r="G17" s="26" t="n">
        <f aca="false">輸入與假設!G$498</f>
        <v>2</v>
      </c>
      <c r="H17" s="26" t="n">
        <f aca="false">輸入與假設!H$498</f>
        <v>2</v>
      </c>
      <c r="J17" s="11" t="s">
        <v>1236</v>
      </c>
    </row>
    <row r="18" customFormat="false" ht="15" hidden="true" customHeight="false" outlineLevel="1" collapsed="false">
      <c r="A18" s="3" t="s">
        <v>1237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1238</v>
      </c>
    </row>
    <row r="19" customFormat="false" ht="15" hidden="true" customHeight="false" outlineLevel="1" collapsed="false">
      <c r="A19" s="3" t="s">
        <v>1239</v>
      </c>
      <c r="B19" s="11" t="s">
        <v>157</v>
      </c>
      <c r="C19" s="22" t="n">
        <f aca="false">輸入與假設!$C$501+(輸入與假設!C$36-輸入與假設!$C$501)*1/2</f>
        <v>2987.2</v>
      </c>
      <c r="D19" s="22" t="n">
        <f aca="false">輸入與假設!$C$501+(輸入與假設!C$36-輸入與假設!$C$501)*2/2</f>
        <v>3894.4</v>
      </c>
      <c r="E19" s="22" t="n">
        <f aca="false">輸入與假設!C$36+(輸入與假設!D$36-輸入與假設!C$36)*1/4</f>
        <v>4801.6</v>
      </c>
      <c r="F19" s="22" t="n">
        <f aca="false">輸入與假設!C$36+(輸入與假設!D$36-輸入與假設!C$36)*2/4</f>
        <v>5708.8</v>
      </c>
      <c r="G19" s="22" t="n">
        <f aca="false">輸入與假設!C$36+(輸入與假設!D$36-輸入與假設!C$36)*3/4</f>
        <v>6616</v>
      </c>
      <c r="H19" s="22" t="n">
        <f aca="false">輸入與假設!C$36+(輸入與假設!D$36-輸入與假設!C$36)*4/4</f>
        <v>7523.2</v>
      </c>
      <c r="J19" s="6" t="s">
        <v>1240</v>
      </c>
    </row>
    <row r="20" customFormat="false" ht="15" hidden="true" customHeight="false" outlineLevel="1" collapsed="false">
      <c r="A20" s="3" t="s">
        <v>1241</v>
      </c>
      <c r="B20" s="11" t="s">
        <v>157</v>
      </c>
      <c r="C20" s="22" t="n">
        <f aca="false">輸入與假設!$C$29+(運營_產能與收入!C$11-輸入與假設!$C$29)*1/4</f>
        <v>2533.5</v>
      </c>
      <c r="D20" s="22" t="n">
        <f aca="false">輸入與假設!$C$29+(運營_產能與收入!C$11-輸入與假設!$C$29)*3/4</f>
        <v>3440.5</v>
      </c>
      <c r="E20" s="22" t="n">
        <f aca="false">運營_產能與收入!C$11+(運營_產能與收入!D$11-運營_產能與收入!C$11)*1/8</f>
        <v>4347.625</v>
      </c>
      <c r="F20" s="22" t="n">
        <f aca="false">運營_產能與收入!C$11+(運營_產能與收入!D$11-運營_產能與收入!C$11)*3/8</f>
        <v>5254.875</v>
      </c>
      <c r="G20" s="22" t="n">
        <f aca="false">運營_產能與收入!C$11+(運營_產能與收入!D$11-運營_產能與收入!C$11)*5/8</f>
        <v>6162.125</v>
      </c>
      <c r="H20" s="22" t="n">
        <f aca="false">運營_產能與收入!C$11+(運營_產能與收入!D$11-運營_產能與收入!C$11)*7/8</f>
        <v>7069.375</v>
      </c>
      <c r="J20" s="6" t="s">
        <v>1242</v>
      </c>
    </row>
    <row r="21" customFormat="false" ht="15" hidden="true" customHeight="false" outlineLevel="1" collapsed="false">
      <c r="A21" s="3" t="s">
        <v>1243</v>
      </c>
      <c r="B21" s="11" t="s">
        <v>157</v>
      </c>
      <c r="C21" s="22" t="n">
        <f aca="false">C19-輸入與假設!$C$501</f>
        <v>907.2</v>
      </c>
      <c r="D21" s="22" t="n">
        <f aca="false">D19-C19</f>
        <v>907.2</v>
      </c>
      <c r="E21" s="22" t="n">
        <f aca="false">E19-輸入與假設!C$36</f>
        <v>907.2</v>
      </c>
      <c r="F21" s="22" t="n">
        <f aca="false">F19-E19</f>
        <v>907.2</v>
      </c>
      <c r="G21" s="22" t="n">
        <f aca="false">G19-F19</f>
        <v>907.2</v>
      </c>
      <c r="H21" s="22" t="n">
        <f aca="false">H19-G19</f>
        <v>907.200000000001</v>
      </c>
      <c r="J21" s="11" t="s">
        <v>1244</v>
      </c>
    </row>
    <row r="22" customFormat="false" ht="15" hidden="true" customHeight="false" outlineLevel="1" collapsed="false">
      <c r="A22" s="3" t="s">
        <v>1245</v>
      </c>
      <c r="B22" s="11" t="s">
        <v>65</v>
      </c>
      <c r="C22" s="31" t="n">
        <f aca="false">輸入與假設!$C$500+1*(損益!C9-2*輸入與假設!$C$500)/3</f>
        <v>217.566696210433</v>
      </c>
      <c r="D22" s="31" t="n">
        <f aca="false">輸入與假設!$C$500+2*(損益!C9-2*輸入與假設!$C$500)/3</f>
        <v>234.527392420867</v>
      </c>
      <c r="E22" s="31" t="n">
        <f aca="false">損益!D9*E20/(E20+F20+G20+H20)</f>
        <v>185.364096980739</v>
      </c>
      <c r="F22" s="31" t="n">
        <f aca="false">損益!D9*F20/(E20+F20+G20+H20)</f>
        <v>224.045348695359</v>
      </c>
      <c r="G22" s="31" t="n">
        <f aca="false">損益!D9*G20/(E20+F20+G20+H20)</f>
        <v>262.726600409979</v>
      </c>
      <c r="H22" s="31" t="n">
        <f aca="false">損益!D9*H20/(E20+F20+G20+H20)</f>
        <v>301.407852124599</v>
      </c>
      <c r="J22" s="6" t="s">
        <v>1246</v>
      </c>
    </row>
    <row r="23" customFormat="false" ht="15" hidden="true" customHeight="false" outlineLevel="1" collapsed="false">
      <c r="A23" s="4" t="s">
        <v>1247</v>
      </c>
      <c r="C23" s="59" t="n">
        <f aca="false">C22+D22</f>
        <v>452.0940886313</v>
      </c>
      <c r="D23" s="59" t="n">
        <f aca="false">E22+F22+G22+H22</f>
        <v>973.543898210676</v>
      </c>
      <c r="J23" s="6" t="s">
        <v>1248</v>
      </c>
    </row>
    <row r="24" customFormat="false" ht="15" hidden="true" customHeight="false" outlineLevel="1" collapsed="false">
      <c r="A24" s="4" t="s">
        <v>1249</v>
      </c>
      <c r="C24" s="59" t="n">
        <f aca="false">C22*C18+D22*D18</f>
        <v>686.621481052167</v>
      </c>
      <c r="D24" s="59" t="n">
        <f aca="false">E22*E18+F22*F18+G22*G18+H22*H18</f>
        <v>4574.35380052114</v>
      </c>
      <c r="J24" s="6" t="s">
        <v>1248</v>
      </c>
    </row>
    <row r="25" customFormat="false" ht="15" hidden="true" customHeight="false" outlineLevel="1" collapsed="false">
      <c r="A25" s="4" t="s">
        <v>1250</v>
      </c>
      <c r="C25" s="59" t="n">
        <f aca="false">損益!C22</f>
        <v>101.397818715202</v>
      </c>
      <c r="D25" s="59" t="n">
        <f aca="false">損益!D22</f>
        <v>243.241207731697</v>
      </c>
      <c r="J25" s="6" t="s">
        <v>1248</v>
      </c>
    </row>
    <row r="26" customFormat="false" ht="15" hidden="true" customHeight="false" outlineLevel="1" collapsed="false">
      <c r="A26" s="4" t="s">
        <v>1251</v>
      </c>
      <c r="C26" s="65" t="n">
        <f aca="false">(C25*D24-C24*D25)/(C23*D24-C24*D23)</f>
        <v>0.212073908726197</v>
      </c>
      <c r="D26" s="65" t="n">
        <f aca="false">(C23*D25-D23*C25)/(C23*D24-C24*D23)</f>
        <v>0.00804003134113283</v>
      </c>
      <c r="J26" s="6" t="s">
        <v>1252</v>
      </c>
    </row>
    <row r="27" customFormat="false" ht="15" hidden="true" customHeight="false" outlineLevel="1" collapsed="false">
      <c r="A27" s="4" t="s">
        <v>1253</v>
      </c>
      <c r="B27" s="11" t="s">
        <v>42</v>
      </c>
      <c r="C27" s="38" t="n">
        <f aca="false">$C$26+$D$26*C18</f>
        <v>0.220113940067329</v>
      </c>
      <c r="D27" s="38" t="n">
        <f aca="false">$C$26+$D$26*D18</f>
        <v>0.228153971408462</v>
      </c>
      <c r="E27" s="38" t="n">
        <f aca="false">$C$26+$D$26*E18</f>
        <v>0.236194002749595</v>
      </c>
      <c r="F27" s="38" t="n">
        <f aca="false">$C$26+$D$26*F18</f>
        <v>0.244234034090728</v>
      </c>
      <c r="G27" s="38" t="n">
        <f aca="false">$C$26+$D$26*G18</f>
        <v>0.252274065431861</v>
      </c>
      <c r="H27" s="38" t="n">
        <f aca="false">$C$26+$D$26*H18</f>
        <v>0.260314096772994</v>
      </c>
      <c r="J27" s="6" t="s">
        <v>1254</v>
      </c>
    </row>
    <row r="28" customFormat="false" ht="15" hidden="true" customHeight="false" outlineLevel="1" collapsed="false">
      <c r="A28" s="3" t="s">
        <v>1255</v>
      </c>
      <c r="B28" s="11" t="s">
        <v>65</v>
      </c>
      <c r="C28" s="31" t="n">
        <f aca="false">C22*C27</f>
        <v>47.8894627303102</v>
      </c>
      <c r="D28" s="31" t="n">
        <f aca="false">D22*D27</f>
        <v>53.5083559848916</v>
      </c>
      <c r="E28" s="31" t="n">
        <f aca="false">E22*E27</f>
        <v>43.7818880319448</v>
      </c>
      <c r="F28" s="31" t="n">
        <f aca="false">F22*F27</f>
        <v>54.7194993311313</v>
      </c>
      <c r="G28" s="31" t="n">
        <f aca="false">G22*G27</f>
        <v>66.2791075825174</v>
      </c>
      <c r="H28" s="31" t="n">
        <f aca="false">H22*H27</f>
        <v>78.460712786103</v>
      </c>
    </row>
    <row r="29" customFormat="false" ht="15" hidden="true" customHeight="false" outlineLevel="1" collapsed="false">
      <c r="A29" s="3" t="s">
        <v>1256</v>
      </c>
      <c r="B29" s="11" t="s">
        <v>65</v>
      </c>
      <c r="C29" s="31" t="n">
        <f aca="false">輸入與假設!C$278/2</f>
        <v>14.0026318196542</v>
      </c>
      <c r="D29" s="31" t="n">
        <f aca="false">輸入與假設!C$278/2</f>
        <v>14.0026318196542</v>
      </c>
      <c r="E29" s="31" t="n">
        <f aca="false">輸入與假設!D$278/4</f>
        <v>20.4179392277694</v>
      </c>
      <c r="F29" s="31" t="n">
        <f aca="false">輸入與假設!D$278/4</f>
        <v>20.4179392277694</v>
      </c>
      <c r="G29" s="31" t="n">
        <f aca="false">輸入與假設!D$278/4</f>
        <v>20.4179392277694</v>
      </c>
      <c r="H29" s="31" t="n">
        <f aca="false">輸入與假設!D$278/4</f>
        <v>20.4179392277694</v>
      </c>
      <c r="J29" s="6" t="s">
        <v>1257</v>
      </c>
    </row>
    <row r="30" customFormat="false" ht="15" hidden="true" customHeight="false" outlineLevel="1" collapsed="false">
      <c r="A30" s="3" t="s">
        <v>1258</v>
      </c>
      <c r="B30" s="11" t="s">
        <v>65</v>
      </c>
      <c r="C30" s="31" t="n">
        <f aca="false">輸入與假設!C$196*C22/MAX(0.000000001,C23)</f>
        <v>6.50016999941679</v>
      </c>
      <c r="D30" s="31" t="n">
        <f aca="false">輸入與假設!C$196*D22/MAX(0.000000001,C23)</f>
        <v>7.00689924886795</v>
      </c>
      <c r="E30" s="31" t="n">
        <f aca="false">輸入與假設!D$196*E22/MAX(0.000000001,D23)</f>
        <v>5.63111044663479</v>
      </c>
      <c r="F30" s="31" t="n">
        <f aca="false">輸入與假設!D$196*F22/MAX(0.000000001,D23)</f>
        <v>6.80619453339697</v>
      </c>
      <c r="G30" s="31" t="n">
        <f aca="false">輸入與假設!D$196*G22/MAX(0.000000001,D23)</f>
        <v>7.98127862015915</v>
      </c>
      <c r="H30" s="31" t="n">
        <f aca="false">輸入與假設!D$196*H22/MAX(0.000000001,D23)</f>
        <v>9.15636270692132</v>
      </c>
      <c r="J30" s="6" t="s">
        <v>1259</v>
      </c>
    </row>
    <row r="31" customFormat="false" ht="15" hidden="true" customHeight="false" outlineLevel="1" collapsed="false">
      <c r="A31" s="3" t="s">
        <v>1260</v>
      </c>
      <c r="B31" s="11" t="s">
        <v>65</v>
      </c>
      <c r="C31" s="31" t="n">
        <f aca="false">C28-C29-C30</f>
        <v>27.3866609112392</v>
      </c>
      <c r="D31" s="31" t="n">
        <f aca="false">D28-D29-D30</f>
        <v>32.4988249163695</v>
      </c>
      <c r="E31" s="31" t="n">
        <f aca="false">E28-E29-E30</f>
        <v>17.7328383575406</v>
      </c>
      <c r="F31" s="31" t="n">
        <f aca="false">F28-F29-F30</f>
        <v>27.4953655699649</v>
      </c>
      <c r="G31" s="31" t="n">
        <f aca="false">G28-G29-G30</f>
        <v>37.8798897345888</v>
      </c>
      <c r="H31" s="31" t="n">
        <f aca="false">H28-H29-H30</f>
        <v>48.8864108514123</v>
      </c>
      <c r="J31" s="6" t="s">
        <v>1261</v>
      </c>
    </row>
    <row r="32" customFormat="false" ht="15" hidden="true" customHeight="false" outlineLevel="1" collapsed="false">
      <c r="A32" s="3" t="s">
        <v>1262</v>
      </c>
      <c r="B32" s="11" t="s">
        <v>65</v>
      </c>
      <c r="C32" s="31" t="n">
        <f aca="false">IF(ISNUMBER(輸入與假設!C$510),輸入與假設!C$510,"不適用")</f>
        <v>197</v>
      </c>
      <c r="D32" s="31" t="str">
        <f aca="false">IF(ISNUMBER(輸入與假設!D$510),輸入與假設!D$510,"不適用")</f>
        <v>不適用</v>
      </c>
      <c r="E32" s="31" t="str">
        <f aca="false">IF(ISNUMBER(輸入與假設!E$510),輸入與假設!E$510,"不適用")</f>
        <v>不適用</v>
      </c>
      <c r="F32" s="31" t="str">
        <f aca="false">IF(ISNUMBER(輸入與假設!F$510),輸入與假設!F$510,"不適用")</f>
        <v>不適用</v>
      </c>
      <c r="G32" s="31" t="str">
        <f aca="false">IF(ISNUMBER(輸入與假設!G$510),輸入與假設!G$510,"不適用")</f>
        <v>不適用</v>
      </c>
      <c r="H32" s="31" t="str">
        <f aca="false">IF(ISNUMBER(輸入與假設!H$510),輸入與假設!H$510,"不適用")</f>
        <v>不適用</v>
      </c>
    </row>
    <row r="33" customFormat="false" ht="15" hidden="true" customHeight="false" outlineLevel="1" collapsed="false">
      <c r="A33" s="3" t="s">
        <v>1263</v>
      </c>
      <c r="B33" s="11" t="s">
        <v>65</v>
      </c>
      <c r="C33" s="31" t="n">
        <f aca="false">IF(ISNUMBER(輸入與假設!C$511),輸入與假設!C$511,"不適用")</f>
        <v>202</v>
      </c>
      <c r="D33" s="31" t="str">
        <f aca="false">IF(ISNUMBER(輸入與假設!D$511),輸入與假設!D$511,"不適用")</f>
        <v>不適用</v>
      </c>
      <c r="E33" s="31" t="str">
        <f aca="false">IF(ISNUMBER(輸入與假設!E$511),輸入與假設!E$511,"不適用")</f>
        <v>不適用</v>
      </c>
      <c r="F33" s="31" t="str">
        <f aca="false">IF(ISNUMBER(輸入與假設!F$511),輸入與假設!F$511,"不適用")</f>
        <v>不適用</v>
      </c>
      <c r="G33" s="31" t="str">
        <f aca="false">IF(ISNUMBER(輸入與假設!G$511),輸入與假設!G$511,"不適用")</f>
        <v>不適用</v>
      </c>
      <c r="H33" s="31" t="str">
        <f aca="false">IF(ISNUMBER(輸入與假設!H$511),輸入與假設!H$511,"不適用")</f>
        <v>不適用</v>
      </c>
    </row>
    <row r="34" customFormat="false" ht="15" hidden="true" customHeight="false" outlineLevel="1" collapsed="false">
      <c r="A34" s="3" t="s">
        <v>1264</v>
      </c>
      <c r="B34" s="11" t="s">
        <v>65</v>
      </c>
      <c r="C34" s="31" t="n">
        <f aca="false">IF(ISNUMBER(輸入與假設!C$512),輸入與假設!C$512,"不適用")</f>
        <v>22.5</v>
      </c>
      <c r="D34" s="31" t="str">
        <f aca="false">IF(ISNUMBER(輸入與假設!D$512),輸入與假設!D$512,"不適用")</f>
        <v>不適用</v>
      </c>
      <c r="E34" s="31" t="str">
        <f aca="false">IF(ISNUMBER(輸入與假設!E$512),輸入與假設!E$512,"不適用")</f>
        <v>不適用</v>
      </c>
      <c r="F34" s="31" t="str">
        <f aca="false">IF(ISNUMBER(輸入與假設!F$512),輸入與假設!F$512,"不適用")</f>
        <v>不適用</v>
      </c>
      <c r="G34" s="31" t="str">
        <f aca="false">IF(ISNUMBER(輸入與假設!G$512),輸入與假設!G$512,"不適用")</f>
        <v>不適用</v>
      </c>
      <c r="H34" s="31" t="str">
        <f aca="false">IF(ISNUMBER(輸入與假設!H$512),輸入與假設!H$512,"不適用")</f>
        <v>不適用</v>
      </c>
    </row>
    <row r="35" customFormat="false" ht="15" hidden="true" customHeight="false" outlineLevel="1" collapsed="false">
      <c r="A35" s="3" t="s">
        <v>1265</v>
      </c>
      <c r="B35" s="11" t="s">
        <v>65</v>
      </c>
      <c r="C35" s="31" t="n">
        <f aca="false">IF(ISNUMBER(輸入與假設!C$513),輸入與假設!C$513,"不適用")</f>
        <v>26.5</v>
      </c>
      <c r="D35" s="31" t="str">
        <f aca="false">IF(ISNUMBER(輸入與假設!D$513),輸入與假設!D$513,"不適用")</f>
        <v>不適用</v>
      </c>
      <c r="E35" s="31" t="str">
        <f aca="false">IF(ISNUMBER(輸入與假設!E$513),輸入與假設!E$513,"不適用")</f>
        <v>不適用</v>
      </c>
      <c r="F35" s="31" t="str">
        <f aca="false">IF(ISNUMBER(輸入與假設!F$513),輸入與假設!F$513,"不適用")</f>
        <v>不適用</v>
      </c>
      <c r="G35" s="31" t="str">
        <f aca="false">IF(ISNUMBER(輸入與假設!G$513),輸入與假設!G$513,"不適用")</f>
        <v>不適用</v>
      </c>
      <c r="H35" s="31" t="str">
        <f aca="false">IF(ISNUMBER(輸入與假設!H$513),輸入與假設!H$513,"不適用")</f>
        <v>不適用</v>
      </c>
    </row>
    <row r="36" customFormat="false" ht="15" hidden="true" customHeight="false" outlineLevel="1" collapsed="false">
      <c r="A36" s="4" t="s">
        <v>1266</v>
      </c>
      <c r="B36" s="11" t="s">
        <v>65</v>
      </c>
      <c r="C36" s="31" t="n">
        <f aca="false">IF((C21+D21)&gt;0,輸入與假設!C$277*C21/(C21+D21),輸入與假設!C$277/2)</f>
        <v>61.845</v>
      </c>
      <c r="D36" s="31" t="n">
        <f aca="false">IF((C21+D21)&gt;0,輸入與假設!C$277*D21/(C21+D21),輸入與假設!C$277/2)</f>
        <v>61.845</v>
      </c>
      <c r="E36" s="31" t="n">
        <f aca="false">IF((E21+F21+G21+H21)&gt;0,輸入與假設!D$277*E21/(E21+F21+G21+H21),輸入與假設!D$277/4)</f>
        <v>69.0564561332204</v>
      </c>
      <c r="F36" s="31" t="n">
        <f aca="false">IF((E21+F21+G21+H21)&gt;0,輸入與假設!D$277*F21/(E21+F21+G21+H21),輸入與假設!D$277/4)</f>
        <v>69.0564561332204</v>
      </c>
      <c r="G36" s="31" t="n">
        <f aca="false">IF((E21+F21+G21+H21)&gt;0,輸入與假設!D$277*G21/(E21+F21+G21+H21),輸入與假設!D$277/4)</f>
        <v>69.0564561332204</v>
      </c>
      <c r="H36" s="31" t="n">
        <f aca="false">IF((E21+F21+G21+H21)&gt;0,輸入與假設!D$277*H21/(E21+F21+G21+H21),輸入與假設!D$277/4)</f>
        <v>69.0564561332204</v>
      </c>
      <c r="J36" s="6" t="s">
        <v>1267</v>
      </c>
    </row>
    <row r="37" customFormat="false" ht="15" hidden="true" customHeight="false" outlineLevel="1" collapsed="false">
      <c r="A37" s="3" t="s">
        <v>1268</v>
      </c>
      <c r="B37" s="11" t="s">
        <v>65</v>
      </c>
      <c r="C37" s="66" t="s">
        <v>873</v>
      </c>
      <c r="D37" s="66" t="s">
        <v>873</v>
      </c>
      <c r="E37" s="66" t="s">
        <v>873</v>
      </c>
      <c r="F37" s="66" t="s">
        <v>873</v>
      </c>
      <c r="G37" s="66" t="s">
        <v>873</v>
      </c>
      <c r="H37" s="66" t="s">
        <v>873</v>
      </c>
      <c r="J37" s="11" t="s">
        <v>1269</v>
      </c>
    </row>
    <row r="38" customFormat="false" ht="15" hidden="true" customHeight="false" outlineLevel="1" collapsed="false">
      <c r="A38" s="3" t="s">
        <v>1270</v>
      </c>
      <c r="B38" s="11" t="s">
        <v>65</v>
      </c>
      <c r="C38" s="66" t="s">
        <v>873</v>
      </c>
      <c r="D38" s="66" t="s">
        <v>873</v>
      </c>
      <c r="E38" s="66" t="s">
        <v>873</v>
      </c>
      <c r="F38" s="66" t="s">
        <v>873</v>
      </c>
      <c r="G38" s="66" t="s">
        <v>873</v>
      </c>
      <c r="H38" s="66" t="s">
        <v>873</v>
      </c>
      <c r="J38" s="11" t="s">
        <v>1269</v>
      </c>
    </row>
    <row r="39" customFormat="false" ht="15" hidden="true" customHeight="false" outlineLevel="1" collapsed="false">
      <c r="A39" s="3" t="s">
        <v>1271</v>
      </c>
      <c r="B39" s="11" t="s">
        <v>42</v>
      </c>
      <c r="C39" s="67" t="s">
        <v>873</v>
      </c>
      <c r="D39" s="67" t="s">
        <v>873</v>
      </c>
      <c r="E39" s="67" t="s">
        <v>873</v>
      </c>
      <c r="F39" s="67" t="s">
        <v>873</v>
      </c>
      <c r="G39" s="67" t="s">
        <v>873</v>
      </c>
      <c r="H39" s="67" t="s">
        <v>873</v>
      </c>
      <c r="J39" s="6" t="s">
        <v>1272</v>
      </c>
    </row>
    <row r="40" customFormat="false" ht="15" hidden="true" customHeight="false" outlineLevel="1" collapsed="false">
      <c r="A40" s="3" t="s">
        <v>1273</v>
      </c>
      <c r="B40" s="11" t="s">
        <v>65</v>
      </c>
      <c r="C40" s="66" t="s">
        <v>873</v>
      </c>
      <c r="D40" s="66" t="s">
        <v>873</v>
      </c>
      <c r="E40" s="66" t="s">
        <v>873</v>
      </c>
      <c r="F40" s="66" t="s">
        <v>873</v>
      </c>
      <c r="G40" s="66" t="s">
        <v>873</v>
      </c>
      <c r="H40" s="66" t="s">
        <v>873</v>
      </c>
      <c r="J40" s="6" t="s">
        <v>1274</v>
      </c>
    </row>
    <row r="41" customFormat="false" ht="15" hidden="true" customHeight="false" outlineLevel="1" collapsed="false">
      <c r="A41" s="3" t="s">
        <v>1275</v>
      </c>
      <c r="B41" s="11" t="s">
        <v>65</v>
      </c>
      <c r="C41" s="39" t="str">
        <f aca="false">IF(ISNUMBER(輸入與假設!C$502),輸入與假設!C$502,"")</f>
        <v/>
      </c>
      <c r="D41" s="39" t="str">
        <f aca="false">IF(ISNUMBER(輸入與假設!D$502),輸入與假設!D$502,"")</f>
        <v/>
      </c>
      <c r="E41" s="39" t="str">
        <f aca="false">IF(ISNUMBER(輸入與假設!E$502),輸入與假設!E$502,"")</f>
        <v/>
      </c>
      <c r="F41" s="39" t="str">
        <f aca="false">IF(ISNUMBER(輸入與假設!F$502),輸入與假設!F$502,"")</f>
        <v/>
      </c>
      <c r="G41" s="39" t="str">
        <f aca="false">IF(ISNUMBER(輸入與假設!G$502),輸入與假設!G$502,"")</f>
        <v/>
      </c>
      <c r="H41" s="39" t="str">
        <f aca="false">IF(ISNUMBER(輸入與假設!H$502),輸入與假設!H$502,"")</f>
        <v/>
      </c>
    </row>
    <row r="42" customFormat="false" ht="15" hidden="true" customHeight="false" outlineLevel="1" collapsed="false">
      <c r="A42" s="3" t="s">
        <v>1276</v>
      </c>
      <c r="B42" s="11" t="s">
        <v>65</v>
      </c>
      <c r="C42" s="39" t="str">
        <f aca="false">IF(ISNUMBER(輸入與假設!C$503),輸入與假設!C$503,"")</f>
        <v/>
      </c>
      <c r="D42" s="39" t="str">
        <f aca="false">IF(ISNUMBER(輸入與假設!D$503),輸入與假設!D$503,"")</f>
        <v/>
      </c>
      <c r="E42" s="39" t="str">
        <f aca="false">IF(ISNUMBER(輸入與假設!E$503),輸入與假設!E$503,"")</f>
        <v/>
      </c>
      <c r="F42" s="39" t="str">
        <f aca="false">IF(ISNUMBER(輸入與假設!F$503),輸入與假設!F$503,"")</f>
        <v/>
      </c>
      <c r="G42" s="39" t="str">
        <f aca="false">IF(ISNUMBER(輸入與假設!G$503),輸入與假設!G$503,"")</f>
        <v/>
      </c>
      <c r="H42" s="39" t="str">
        <f aca="false">IF(ISNUMBER(輸入與假設!H$503),輸入與假設!H$503,"")</f>
        <v/>
      </c>
    </row>
    <row r="43" customFormat="false" ht="15" hidden="true" customHeight="false" outlineLevel="1" collapsed="false">
      <c r="A43" s="3" t="s">
        <v>1277</v>
      </c>
      <c r="B43" s="11" t="s">
        <v>42</v>
      </c>
      <c r="C43" s="67" t="str">
        <f aca="false">IF(AND(ISNUMBER(輸入與假設!C$503),ISNUMBER(輸入與假設!C$502)),輸入與假設!C$503/輸入與假設!C$502,"")</f>
        <v/>
      </c>
      <c r="D43" s="67" t="str">
        <f aca="false">IF(AND(ISNUMBER(輸入與假設!D$503),ISNUMBER(輸入與假設!D$502)),輸入與假設!D$503/輸入與假設!D$502,"")</f>
        <v/>
      </c>
      <c r="E43" s="67" t="str">
        <f aca="false">IF(AND(ISNUMBER(輸入與假設!E$503),ISNUMBER(輸入與假設!E$502)),輸入與假設!E$503/輸入與假設!E$502,"")</f>
        <v/>
      </c>
      <c r="F43" s="67" t="str">
        <f aca="false">IF(AND(ISNUMBER(輸入與假設!F$503),ISNUMBER(輸入與假設!F$502)),輸入與假設!F$503/輸入與假設!F$502,"")</f>
        <v/>
      </c>
      <c r="G43" s="67" t="str">
        <f aca="false">IF(AND(ISNUMBER(輸入與假設!G$503),ISNUMBER(輸入與假設!G$502)),輸入與假設!G$503/輸入與假設!G$502,"")</f>
        <v/>
      </c>
      <c r="H43" s="67" t="str">
        <f aca="false">IF(AND(ISNUMBER(輸入與假設!H$503),ISNUMBER(輸入與假設!H$502)),輸入與假設!H$503/輸入與假設!H$502,"")</f>
        <v/>
      </c>
      <c r="J43" s="6" t="s">
        <v>1278</v>
      </c>
    </row>
    <row r="44" customFormat="false" ht="15" hidden="true" customHeight="false" outlineLevel="1" collapsed="false">
      <c r="A44" s="3" t="s">
        <v>1279</v>
      </c>
      <c r="B44" s="11" t="s">
        <v>65</v>
      </c>
      <c r="C44" s="39" t="str">
        <f aca="false">IF(ISNUMBER(輸入與假設!C$504),輸入與假設!C$504,"")</f>
        <v/>
      </c>
      <c r="D44" s="39" t="str">
        <f aca="false">IF(ISNUMBER(輸入與假設!D$504),輸入與假設!D$504,"")</f>
        <v/>
      </c>
      <c r="E44" s="39" t="str">
        <f aca="false">IF(ISNUMBER(輸入與假設!E$504),輸入與假設!E$504,"")</f>
        <v/>
      </c>
      <c r="F44" s="39" t="str">
        <f aca="false">IF(ISNUMBER(輸入與假設!F$504),輸入與假設!F$504,"")</f>
        <v/>
      </c>
      <c r="G44" s="39" t="str">
        <f aca="false">IF(ISNUMBER(輸入與假設!G$504),輸入與假設!G$504,"")</f>
        <v/>
      </c>
      <c r="H44" s="39" t="str">
        <f aca="false">IF(ISNUMBER(輸入與假設!H$504),輸入與假設!H$504,"")</f>
        <v/>
      </c>
    </row>
    <row r="45" customFormat="false" ht="15" hidden="true" customHeight="false" outlineLevel="1" collapsed="false">
      <c r="A45" s="3" t="s">
        <v>1280</v>
      </c>
      <c r="B45" s="11" t="s">
        <v>65</v>
      </c>
      <c r="C45" s="39" t="str">
        <f aca="false">IF(ISNUMBER(輸入與假設!C$505),輸入與假設!C$505,"")</f>
        <v/>
      </c>
      <c r="D45" s="39" t="str">
        <f aca="false">IF(ISNUMBER(輸入與假設!D$505),輸入與假設!D$505,"")</f>
        <v/>
      </c>
      <c r="E45" s="39" t="str">
        <f aca="false">IF(ISNUMBER(輸入與假設!E$505),輸入與假設!E$505,"")</f>
        <v/>
      </c>
      <c r="F45" s="39" t="str">
        <f aca="false">IF(ISNUMBER(輸入與假設!F$505),輸入與假設!F$505,"")</f>
        <v/>
      </c>
      <c r="G45" s="39" t="str">
        <f aca="false">IF(ISNUMBER(輸入與假設!G$505),輸入與假設!G$505,"")</f>
        <v/>
      </c>
      <c r="H45" s="39" t="str">
        <f aca="false">IF(ISNUMBER(輸入與假設!H$505),輸入與假設!H$505,"")</f>
        <v/>
      </c>
    </row>
    <row r="46" customFormat="false" ht="15" hidden="true" customHeight="false" outlineLevel="1" collapsed="false">
      <c r="A46" s="3" t="s">
        <v>1281</v>
      </c>
      <c r="B46" s="11" t="s">
        <v>157</v>
      </c>
      <c r="C46" s="39" t="str">
        <f aca="false">IF(ISNUMBER(輸入與假設!C$506),輸入與假設!C$506,"")</f>
        <v/>
      </c>
      <c r="D46" s="39" t="str">
        <f aca="false">IF(ISNUMBER(輸入與假設!D$506),輸入與假設!D$506,"")</f>
        <v/>
      </c>
      <c r="E46" s="39" t="str">
        <f aca="false">IF(ISNUMBER(輸入與假設!E$506),輸入與假設!E$506,"")</f>
        <v/>
      </c>
      <c r="F46" s="39" t="str">
        <f aca="false">IF(ISNUMBER(輸入與假設!F$506),輸入與假設!F$506,"")</f>
        <v/>
      </c>
      <c r="G46" s="39" t="str">
        <f aca="false">IF(ISNUMBER(輸入與假設!G$506),輸入與假設!G$506,"")</f>
        <v/>
      </c>
      <c r="H46" s="39" t="str">
        <f aca="false">IF(ISNUMBER(輸入與假設!H$506),輸入與假設!H$506,"")</f>
        <v/>
      </c>
    </row>
    <row r="47" customFormat="false" ht="15" hidden="true" customHeight="false" outlineLevel="1" collapsed="false">
      <c r="A47" s="3" t="s">
        <v>1282</v>
      </c>
      <c r="B47" s="11" t="s">
        <v>42</v>
      </c>
      <c r="C47" s="67" t="str">
        <f aca="false">IF(AND(ISNUMBER(C22),ISNUMBER(C37),C37&lt;&gt;0),C22/(C37)-1,"不適用")</f>
        <v>不適用</v>
      </c>
      <c r="D47" s="67" t="str">
        <f aca="false">IF(AND(ISNUMBER(D22),ISNUMBER(D37),D37&lt;&gt;0),D22/(D37)-1,"不適用")</f>
        <v>不適用</v>
      </c>
      <c r="E47" s="67" t="str">
        <f aca="false">IF(AND(ISNUMBER(E22),ISNUMBER(E37),E37&lt;&gt;0),E22/(E37)-1,"不適用")</f>
        <v>不適用</v>
      </c>
      <c r="F47" s="67" t="str">
        <f aca="false">IF(AND(ISNUMBER(F22),ISNUMBER(F37),F37&lt;&gt;0),F22/(F37)-1,"不適用")</f>
        <v>不適用</v>
      </c>
      <c r="G47" s="67" t="str">
        <f aca="false">IF(AND(ISNUMBER(G22),ISNUMBER(G37),G37&lt;&gt;0),G22/(G37)-1,"不適用")</f>
        <v>不適用</v>
      </c>
      <c r="H47" s="67" t="str">
        <f aca="false">IF(AND(ISNUMBER(H22),ISNUMBER(H37),H37&lt;&gt;0),H22/(H37)-1,"不適用")</f>
        <v>不適用</v>
      </c>
    </row>
    <row r="48" customFormat="false" ht="15" hidden="true" customHeight="false" outlineLevel="1" collapsed="false">
      <c r="A48" s="3" t="s">
        <v>1283</v>
      </c>
      <c r="B48" s="11" t="s">
        <v>42</v>
      </c>
      <c r="C48" s="67" t="n">
        <f aca="false">IF(AND(ISNUMBER(C22),ISNUMBER(C32),ISNUMBER(C33)),C22/(((C32+C33)/2))-1,"不適用")</f>
        <v>0.090559880754052</v>
      </c>
      <c r="D48" s="67" t="str">
        <f aca="false">IF(AND(ISNUMBER(D22),ISNUMBER(D32),ISNUMBER(D33)),D22/(((D32+D33)/2))-1,"不適用")</f>
        <v>不適用</v>
      </c>
      <c r="E48" s="67" t="str">
        <f aca="false">IF(AND(ISNUMBER(E22),ISNUMBER(E32),ISNUMBER(E33)),E22/(((E32+E33)/2))-1,"不適用")</f>
        <v>不適用</v>
      </c>
      <c r="F48" s="67" t="str">
        <f aca="false">IF(AND(ISNUMBER(F22),ISNUMBER(F32),ISNUMBER(F33)),F22/(((F32+F33)/2))-1,"不適用")</f>
        <v>不適用</v>
      </c>
      <c r="G48" s="67" t="str">
        <f aca="false">IF(AND(ISNUMBER(G22),ISNUMBER(G32),ISNUMBER(G33)),G22/(((G32+G33)/2))-1,"不適用")</f>
        <v>不適用</v>
      </c>
      <c r="H48" s="67" t="str">
        <f aca="false">IF(AND(ISNUMBER(H22),ISNUMBER(H32),ISNUMBER(H33)),H22/(((H32+H33)/2))-1,"不適用")</f>
        <v>不適用</v>
      </c>
    </row>
    <row r="49" customFormat="false" ht="15" hidden="true" customHeight="false" outlineLevel="1" collapsed="false">
      <c r="A49" s="3" t="s">
        <v>1284</v>
      </c>
      <c r="B49" s="11" t="s">
        <v>42</v>
      </c>
      <c r="C49" s="67" t="str">
        <f aca="false">IF(ISNUMBER(C41),IF(AND(ISNUMBER(C22),C22&lt;&gt;0),C41/(C22)-1,"不適用"),"")</f>
        <v/>
      </c>
      <c r="D49" s="67" t="str">
        <f aca="false">IF(ISNUMBER(D41),IF(AND(ISNUMBER(D22),D22&lt;&gt;0),D41/(D22)-1,"不適用"),"")</f>
        <v/>
      </c>
      <c r="E49" s="67" t="str">
        <f aca="false">IF(ISNUMBER(E41),IF(AND(ISNUMBER(E22),E22&lt;&gt;0),E41/(E22)-1,"不適用"),"")</f>
        <v/>
      </c>
      <c r="F49" s="67" t="str">
        <f aca="false">IF(ISNUMBER(F41),IF(AND(ISNUMBER(F22),F22&lt;&gt;0),F41/(F22)-1,"不適用"),"")</f>
        <v/>
      </c>
      <c r="G49" s="67" t="str">
        <f aca="false">IF(ISNUMBER(G41),IF(AND(ISNUMBER(G22),G22&lt;&gt;0),G41/(G22)-1,"不適用"),"")</f>
        <v/>
      </c>
      <c r="H49" s="67" t="str">
        <f aca="false">IF(ISNUMBER(H41),IF(AND(ISNUMBER(H22),H22&lt;&gt;0),H41/(H22)-1,"不適用"),"")</f>
        <v/>
      </c>
    </row>
    <row r="50" customFormat="false" ht="15" hidden="true" customHeight="false" outlineLevel="1" collapsed="false">
      <c r="A50" s="3" t="s">
        <v>1285</v>
      </c>
      <c r="B50" s="11" t="s">
        <v>42</v>
      </c>
      <c r="C50" s="67" t="str">
        <f aca="false">IF(ISNUMBER(C41),IF(AND(ISNUMBER(C37),C37&lt;&gt;0),C41/(C37)-1,"不適用"),"")</f>
        <v/>
      </c>
      <c r="D50" s="67" t="str">
        <f aca="false">IF(ISNUMBER(D41),IF(AND(ISNUMBER(D37),D37&lt;&gt;0),D41/(D37)-1,"不適用"),"")</f>
        <v/>
      </c>
      <c r="E50" s="67" t="str">
        <f aca="false">IF(ISNUMBER(E41),IF(AND(ISNUMBER(E37),E37&lt;&gt;0),E41/(E37)-1,"不適用"),"")</f>
        <v/>
      </c>
      <c r="F50" s="67" t="str">
        <f aca="false">IF(ISNUMBER(F41),IF(AND(ISNUMBER(F37),F37&lt;&gt;0),F41/(F37)-1,"不適用"),"")</f>
        <v/>
      </c>
      <c r="G50" s="67" t="str">
        <f aca="false">IF(ISNUMBER(G41),IF(AND(ISNUMBER(G37),G37&lt;&gt;0),G41/(G37)-1,"不適用"),"")</f>
        <v/>
      </c>
      <c r="H50" s="67" t="str">
        <f aca="false">IF(ISNUMBER(H41),IF(AND(ISNUMBER(H37),H37&lt;&gt;0),H41/(H37)-1,"不適用"),"")</f>
        <v/>
      </c>
    </row>
    <row r="51" customFormat="false" ht="15" hidden="true" customHeight="false" outlineLevel="1" collapsed="false">
      <c r="A51" s="3" t="s">
        <v>1286</v>
      </c>
      <c r="B51" s="11" t="s">
        <v>42</v>
      </c>
      <c r="C51" s="67" t="str">
        <f aca="false">IF(ISNUMBER(C41),IF(AND(ISNUMBER(C32),ISNUMBER(C33)),C41/(((C32+C33)/2))-1,"不適用"),"")</f>
        <v/>
      </c>
      <c r="D51" s="67" t="str">
        <f aca="false">IF(ISNUMBER(D41),IF(AND(ISNUMBER(D32),ISNUMBER(D33)),D41/(((D32+D33)/2))-1,"不適用"),"")</f>
        <v/>
      </c>
      <c r="E51" s="67" t="str">
        <f aca="false">IF(ISNUMBER(E41),IF(AND(ISNUMBER(E32),ISNUMBER(E33)),E41/(((E32+E33)/2))-1,"不適用"),"")</f>
        <v/>
      </c>
      <c r="F51" s="67" t="str">
        <f aca="false">IF(ISNUMBER(F41),IF(AND(ISNUMBER(F32),ISNUMBER(F33)),F41/(((F32+F33)/2))-1,"不適用"),"")</f>
        <v/>
      </c>
      <c r="G51" s="67" t="str">
        <f aca="false">IF(ISNUMBER(G41),IF(AND(ISNUMBER(G32),ISNUMBER(G33)),G41/(((G32+G33)/2))-1,"不適用"),"")</f>
        <v/>
      </c>
      <c r="H51" s="67" t="str">
        <f aca="false">IF(ISNUMBER(H41),IF(AND(ISNUMBER(H32),ISNUMBER(H33)),H41/(((H32+H33)/2))-1,"不適用"),"")</f>
        <v/>
      </c>
    </row>
    <row r="52" customFormat="false" ht="15" hidden="true" customHeight="false" outlineLevel="1" collapsed="false">
      <c r="A52" s="3" t="s">
        <v>1287</v>
      </c>
      <c r="B52" s="11" t="s">
        <v>65</v>
      </c>
      <c r="C52" s="66" t="str">
        <f aca="false">IF(AND(ISNUMBER(C28),ISNUMBER(C38)),C28-(C38),"不適用")</f>
        <v>不適用</v>
      </c>
      <c r="D52" s="66" t="str">
        <f aca="false">IF(AND(ISNUMBER(D28),ISNUMBER(D38)),D28-(D38),"不適用")</f>
        <v>不適用</v>
      </c>
      <c r="E52" s="66" t="str">
        <f aca="false">IF(AND(ISNUMBER(E28),ISNUMBER(E38)),E28-(E38),"不適用")</f>
        <v>不適用</v>
      </c>
      <c r="F52" s="66" t="str">
        <f aca="false">IF(AND(ISNUMBER(F28),ISNUMBER(F38)),F28-(F38),"不適用")</f>
        <v>不適用</v>
      </c>
      <c r="G52" s="66" t="str">
        <f aca="false">IF(AND(ISNUMBER(G28),ISNUMBER(G38)),G28-(G38),"不適用")</f>
        <v>不適用</v>
      </c>
      <c r="H52" s="66" t="str">
        <f aca="false">IF(AND(ISNUMBER(H28),ISNUMBER(H38)),H28-(H38),"不適用")</f>
        <v>不適用</v>
      </c>
    </row>
    <row r="53" customFormat="false" ht="15" hidden="true" customHeight="false" outlineLevel="1" collapsed="false">
      <c r="A53" s="3" t="s">
        <v>1288</v>
      </c>
      <c r="B53" s="11" t="s">
        <v>65</v>
      </c>
      <c r="C53" s="66" t="s">
        <v>873</v>
      </c>
      <c r="D53" s="66" t="s">
        <v>873</v>
      </c>
      <c r="E53" s="66" t="s">
        <v>873</v>
      </c>
      <c r="F53" s="66" t="s">
        <v>873</v>
      </c>
      <c r="G53" s="66" t="s">
        <v>873</v>
      </c>
      <c r="H53" s="66" t="s">
        <v>873</v>
      </c>
    </row>
    <row r="54" customFormat="false" ht="15" hidden="true" customHeight="false" outlineLevel="1" collapsed="false">
      <c r="A54" s="3" t="s">
        <v>1289</v>
      </c>
      <c r="B54" s="11" t="s">
        <v>65</v>
      </c>
      <c r="C54" s="66" t="str">
        <f aca="false">IF(ISNUMBER(C42),IF(AND(ISNUMBER(C28)),C42-(C28),"不適用"),"")</f>
        <v/>
      </c>
      <c r="D54" s="66" t="str">
        <f aca="false">IF(ISNUMBER(D42),IF(AND(ISNUMBER(D28)),D42-(D28),"不適用"),"")</f>
        <v/>
      </c>
      <c r="E54" s="66" t="str">
        <f aca="false">IF(ISNUMBER(E42),IF(AND(ISNUMBER(E28)),E42-(E28),"不適用"),"")</f>
        <v/>
      </c>
      <c r="F54" s="66" t="str">
        <f aca="false">IF(ISNUMBER(F42),IF(AND(ISNUMBER(F28)),F42-(F28),"不適用"),"")</f>
        <v/>
      </c>
      <c r="G54" s="66" t="str">
        <f aca="false">IF(ISNUMBER(G42),IF(AND(ISNUMBER(G28)),G42-(G28),"不適用"),"")</f>
        <v/>
      </c>
      <c r="H54" s="66" t="str">
        <f aca="false">IF(ISNUMBER(H42),IF(AND(ISNUMBER(H28)),H42-(H28),"不適用"),"")</f>
        <v/>
      </c>
    </row>
    <row r="55" customFormat="false" ht="15" hidden="true" customHeight="false" outlineLevel="1" collapsed="false">
      <c r="A55" s="3" t="s">
        <v>1290</v>
      </c>
      <c r="B55" s="11" t="s">
        <v>65</v>
      </c>
      <c r="C55" s="66" t="str">
        <f aca="false">IF(ISNUMBER(C42),IF(AND(ISNUMBER(C38)),C42-(C38),"不適用"),"")</f>
        <v/>
      </c>
      <c r="D55" s="66" t="str">
        <f aca="false">IF(ISNUMBER(D42),IF(AND(ISNUMBER(D38)),D42-(D38),"不適用"),"")</f>
        <v/>
      </c>
      <c r="E55" s="66" t="str">
        <f aca="false">IF(ISNUMBER(E42),IF(AND(ISNUMBER(E38)),E42-(E38),"不適用"),"")</f>
        <v/>
      </c>
      <c r="F55" s="66" t="str">
        <f aca="false">IF(ISNUMBER(F42),IF(AND(ISNUMBER(F38)),F42-(F38),"不適用"),"")</f>
        <v/>
      </c>
      <c r="G55" s="66" t="str">
        <f aca="false">IF(ISNUMBER(G42),IF(AND(ISNUMBER(G38)),G42-(G38),"不適用"),"")</f>
        <v/>
      </c>
      <c r="H55" s="66" t="str">
        <f aca="false">IF(ISNUMBER(H42),IF(AND(ISNUMBER(H38)),H42-(H38),"不適用"),"")</f>
        <v/>
      </c>
    </row>
    <row r="56" customFormat="false" ht="15" hidden="true" customHeight="false" outlineLevel="1" collapsed="false">
      <c r="A56" s="3" t="s">
        <v>1291</v>
      </c>
      <c r="B56" s="11" t="s">
        <v>65</v>
      </c>
      <c r="C56" s="66" t="str">
        <f aca="false">IF(ISNUMBER(C42),"不適用","")</f>
        <v/>
      </c>
      <c r="D56" s="66" t="str">
        <f aca="false">IF(ISNUMBER(D42),"不適用","")</f>
        <v/>
      </c>
      <c r="E56" s="66" t="str">
        <f aca="false">IF(ISNUMBER(E42),"不適用","")</f>
        <v/>
      </c>
      <c r="F56" s="66" t="str">
        <f aca="false">IF(ISNUMBER(F42),"不適用","")</f>
        <v/>
      </c>
      <c r="G56" s="66" t="str">
        <f aca="false">IF(ISNUMBER(G42),"不適用","")</f>
        <v/>
      </c>
      <c r="H56" s="66" t="str">
        <f aca="false">IF(ISNUMBER(H42),"不適用","")</f>
        <v/>
      </c>
    </row>
    <row r="57" customFormat="false" ht="15" hidden="true" customHeight="false" outlineLevel="1" collapsed="false">
      <c r="A57" s="3" t="s">
        <v>1292</v>
      </c>
      <c r="B57" s="11" t="s">
        <v>77</v>
      </c>
      <c r="C57" s="67" t="str">
        <f aca="false">IF(AND(ISNUMBER(C28),ISNUMBER(C22),C22&lt;&gt;0,ISNUMBER(C38),ISNUMBER(C37),C37&lt;&gt;0),C28/C22-C38/C37,"不適用")</f>
        <v>不適用</v>
      </c>
      <c r="D57" s="67" t="str">
        <f aca="false">IF(AND(ISNUMBER(D28),ISNUMBER(D22),D22&lt;&gt;0,ISNUMBER(D38),ISNUMBER(D37),D37&lt;&gt;0),D28/D22-D38/D37,"不適用")</f>
        <v>不適用</v>
      </c>
      <c r="E57" s="67" t="str">
        <f aca="false">IF(AND(ISNUMBER(E28),ISNUMBER(E22),E22&lt;&gt;0,ISNUMBER(E38),ISNUMBER(E37),E37&lt;&gt;0),E28/E22-E38/E37,"不適用")</f>
        <v>不適用</v>
      </c>
      <c r="F57" s="67" t="str">
        <f aca="false">IF(AND(ISNUMBER(F28),ISNUMBER(F22),F22&lt;&gt;0,ISNUMBER(F38),ISNUMBER(F37),F37&lt;&gt;0),F28/F22-F38/F37,"不適用")</f>
        <v>不適用</v>
      </c>
      <c r="G57" s="67" t="str">
        <f aca="false">IF(AND(ISNUMBER(G28),ISNUMBER(G22),G22&lt;&gt;0,ISNUMBER(G38),ISNUMBER(G37),G37&lt;&gt;0),G28/G22-G38/G37,"不適用")</f>
        <v>不適用</v>
      </c>
      <c r="H57" s="67" t="str">
        <f aca="false">IF(AND(ISNUMBER(H28),ISNUMBER(H22),H22&lt;&gt;0,ISNUMBER(H38),ISNUMBER(H37),H37&lt;&gt;0),H28/H22-H38/H37,"不適用")</f>
        <v>不適用</v>
      </c>
    </row>
    <row r="58" customFormat="false" ht="15" hidden="true" customHeight="false" outlineLevel="1" collapsed="false">
      <c r="A58" s="3" t="s">
        <v>1293</v>
      </c>
      <c r="B58" s="11" t="s">
        <v>77</v>
      </c>
      <c r="C58" s="67" t="s">
        <v>873</v>
      </c>
      <c r="D58" s="67" t="s">
        <v>873</v>
      </c>
      <c r="E58" s="67" t="s">
        <v>873</v>
      </c>
      <c r="F58" s="67" t="s">
        <v>873</v>
      </c>
      <c r="G58" s="67" t="s">
        <v>873</v>
      </c>
      <c r="H58" s="67" t="s">
        <v>873</v>
      </c>
    </row>
    <row r="59" customFormat="false" ht="15" hidden="true" customHeight="false" outlineLevel="1" collapsed="false">
      <c r="A59" s="3" t="s">
        <v>1294</v>
      </c>
      <c r="B59" s="11" t="s">
        <v>77</v>
      </c>
      <c r="C59" s="67" t="str">
        <f aca="false">IF(ISNUMBER(C42),IF(AND(ISNUMBER(C42),ISNUMBER(C41),C41&lt;&gt;0,ISNUMBER(C28),ISNUMBER(C22),C22&lt;&gt;0),C42/C41-C28/C22,"不適用"),"")</f>
        <v/>
      </c>
      <c r="D59" s="67" t="str">
        <f aca="false">IF(ISNUMBER(D42),IF(AND(ISNUMBER(D42),ISNUMBER(D41),D41&lt;&gt;0,ISNUMBER(D28),ISNUMBER(D22),D22&lt;&gt;0),D42/D41-D28/D22,"不適用"),"")</f>
        <v/>
      </c>
      <c r="E59" s="67" t="str">
        <f aca="false">IF(ISNUMBER(E42),IF(AND(ISNUMBER(E42),ISNUMBER(E41),E41&lt;&gt;0,ISNUMBER(E28),ISNUMBER(E22),E22&lt;&gt;0),E42/E41-E28/E22,"不適用"),"")</f>
        <v/>
      </c>
      <c r="F59" s="67" t="str">
        <f aca="false">IF(ISNUMBER(F42),IF(AND(ISNUMBER(F42),ISNUMBER(F41),F41&lt;&gt;0,ISNUMBER(F28),ISNUMBER(F22),F22&lt;&gt;0),F42/F41-F28/F22,"不適用"),"")</f>
        <v/>
      </c>
      <c r="G59" s="67" t="str">
        <f aca="false">IF(ISNUMBER(G42),IF(AND(ISNUMBER(G42),ISNUMBER(G41),G41&lt;&gt;0,ISNUMBER(G28),ISNUMBER(G22),G22&lt;&gt;0),G42/G41-G28/G22,"不適用"),"")</f>
        <v/>
      </c>
      <c r="H59" s="67" t="str">
        <f aca="false">IF(ISNUMBER(H42),IF(AND(ISNUMBER(H42),ISNUMBER(H41),H41&lt;&gt;0,ISNUMBER(H28),ISNUMBER(H22),H22&lt;&gt;0),H42/H41-H28/H22,"不適用"),"")</f>
        <v/>
      </c>
    </row>
    <row r="60" customFormat="false" ht="15" hidden="true" customHeight="false" outlineLevel="1" collapsed="false">
      <c r="A60" s="3" t="s">
        <v>1295</v>
      </c>
      <c r="B60" s="11" t="s">
        <v>77</v>
      </c>
      <c r="C60" s="67" t="str">
        <f aca="false">IF(ISNUMBER(C42),IF(AND(ISNUMBER(C42),ISNUMBER(C41),C41&lt;&gt;0,ISNUMBER(C38),ISNUMBER(C37),C37&lt;&gt;0),C42/C41-C38/C37,"不適用"),"")</f>
        <v/>
      </c>
      <c r="D60" s="67" t="str">
        <f aca="false">IF(ISNUMBER(D42),IF(AND(ISNUMBER(D42),ISNUMBER(D41),D41&lt;&gt;0,ISNUMBER(D38),ISNUMBER(D37),D37&lt;&gt;0),D42/D41-D38/D37,"不適用"),"")</f>
        <v/>
      </c>
      <c r="E60" s="67" t="str">
        <f aca="false">IF(ISNUMBER(E42),IF(AND(ISNUMBER(E42),ISNUMBER(E41),E41&lt;&gt;0,ISNUMBER(E38),ISNUMBER(E37),E37&lt;&gt;0),E42/E41-E38/E37,"不適用"),"")</f>
        <v/>
      </c>
      <c r="F60" s="67" t="str">
        <f aca="false">IF(ISNUMBER(F42),IF(AND(ISNUMBER(F42),ISNUMBER(F41),F41&lt;&gt;0,ISNUMBER(F38),ISNUMBER(F37),F37&lt;&gt;0),F42/F41-F38/F37,"不適用"),"")</f>
        <v/>
      </c>
      <c r="G60" s="67" t="str">
        <f aca="false">IF(ISNUMBER(G42),IF(AND(ISNUMBER(G42),ISNUMBER(G41),G41&lt;&gt;0,ISNUMBER(G38),ISNUMBER(G37),G37&lt;&gt;0),G42/G41-G38/G37,"不適用"),"")</f>
        <v/>
      </c>
      <c r="H60" s="67" t="str">
        <f aca="false">IF(ISNUMBER(H42),IF(AND(ISNUMBER(H42),ISNUMBER(H41),H41&lt;&gt;0,ISNUMBER(H38),ISNUMBER(H37),H37&lt;&gt;0),H42/H41-H38/H37,"不適用"),"")</f>
        <v/>
      </c>
    </row>
    <row r="61" customFormat="false" ht="15" hidden="true" customHeight="false" outlineLevel="1" collapsed="false">
      <c r="A61" s="3" t="s">
        <v>1296</v>
      </c>
      <c r="B61" s="11" t="s">
        <v>77</v>
      </c>
      <c r="C61" s="67" t="str">
        <f aca="false">IF(ISNUMBER(C42),"不適用","")</f>
        <v/>
      </c>
      <c r="D61" s="67" t="str">
        <f aca="false">IF(ISNUMBER(D42),"不適用","")</f>
        <v/>
      </c>
      <c r="E61" s="67" t="str">
        <f aca="false">IF(ISNUMBER(E42),"不適用","")</f>
        <v/>
      </c>
      <c r="F61" s="67" t="str">
        <f aca="false">IF(ISNUMBER(F42),"不適用","")</f>
        <v/>
      </c>
      <c r="G61" s="67" t="str">
        <f aca="false">IF(ISNUMBER(G42),"不適用","")</f>
        <v/>
      </c>
      <c r="H61" s="67" t="str">
        <f aca="false">IF(ISNUMBER(H42),"不適用","")</f>
        <v/>
      </c>
    </row>
    <row r="62" customFormat="false" ht="15" hidden="true" customHeight="false" outlineLevel="1" collapsed="false">
      <c r="A62" s="3" t="s">
        <v>1297</v>
      </c>
      <c r="B62" s="11" t="s">
        <v>77</v>
      </c>
      <c r="C62" s="67" t="str">
        <f aca="false">IF(AND(ISNUMBER(C27),ISNUMBER(C39)),C27-(C39),"不適用")</f>
        <v>不適用</v>
      </c>
      <c r="D62" s="67" t="str">
        <f aca="false">IF(AND(ISNUMBER(D27),ISNUMBER(D39)),D27-(D39),"不適用")</f>
        <v>不適用</v>
      </c>
      <c r="E62" s="67" t="str">
        <f aca="false">IF(AND(ISNUMBER(E27),ISNUMBER(E39)),E27-(E39),"不適用")</f>
        <v>不適用</v>
      </c>
      <c r="F62" s="67" t="str">
        <f aca="false">IF(AND(ISNUMBER(F27),ISNUMBER(F39)),F27-(F39),"不適用")</f>
        <v>不適用</v>
      </c>
      <c r="G62" s="67" t="str">
        <f aca="false">IF(AND(ISNUMBER(G27),ISNUMBER(G39)),G27-(G39),"不適用")</f>
        <v>不適用</v>
      </c>
      <c r="H62" s="67" t="str">
        <f aca="false">IF(AND(ISNUMBER(H27),ISNUMBER(H39)),H27-(H39),"不適用")</f>
        <v>不適用</v>
      </c>
    </row>
    <row r="63" customFormat="false" ht="15" hidden="true" customHeight="false" outlineLevel="1" collapsed="false">
      <c r="A63" s="3" t="s">
        <v>1298</v>
      </c>
      <c r="B63" s="11" t="s">
        <v>77</v>
      </c>
      <c r="C63" s="67" t="s">
        <v>873</v>
      </c>
      <c r="D63" s="67" t="s">
        <v>873</v>
      </c>
      <c r="E63" s="67" t="s">
        <v>873</v>
      </c>
      <c r="F63" s="67" t="s">
        <v>873</v>
      </c>
      <c r="G63" s="67" t="s">
        <v>873</v>
      </c>
      <c r="H63" s="67" t="s">
        <v>873</v>
      </c>
    </row>
    <row r="64" customFormat="false" ht="15" hidden="true" customHeight="false" outlineLevel="1" collapsed="false">
      <c r="A64" s="3" t="s">
        <v>1299</v>
      </c>
      <c r="B64" s="11" t="s">
        <v>77</v>
      </c>
      <c r="C64" s="67" t="str">
        <f aca="false">IF(ISNUMBER(C43),IF(AND(ISNUMBER(C27)),C43-(C27),"不適用"),"")</f>
        <v/>
      </c>
      <c r="D64" s="67" t="str">
        <f aca="false">IF(ISNUMBER(D43),IF(AND(ISNUMBER(D27)),D43-(D27),"不適用"),"")</f>
        <v/>
      </c>
      <c r="E64" s="67" t="str">
        <f aca="false">IF(ISNUMBER(E43),IF(AND(ISNUMBER(E27)),E43-(E27),"不適用"),"")</f>
        <v/>
      </c>
      <c r="F64" s="67" t="str">
        <f aca="false">IF(ISNUMBER(F43),IF(AND(ISNUMBER(F27)),F43-(F27),"不適用"),"")</f>
        <v/>
      </c>
      <c r="G64" s="67" t="str">
        <f aca="false">IF(ISNUMBER(G43),IF(AND(ISNUMBER(G27)),G43-(G27),"不適用"),"")</f>
        <v/>
      </c>
      <c r="H64" s="67" t="str">
        <f aca="false">IF(ISNUMBER(H43),IF(AND(ISNUMBER(H27)),H43-(H27),"不適用"),"")</f>
        <v/>
      </c>
    </row>
    <row r="65" customFormat="false" ht="15" hidden="true" customHeight="false" outlineLevel="1" collapsed="false">
      <c r="A65" s="3" t="s">
        <v>1300</v>
      </c>
      <c r="B65" s="11" t="s">
        <v>77</v>
      </c>
      <c r="C65" s="67" t="str">
        <f aca="false">IF(ISNUMBER(C43),IF(AND(ISNUMBER(C39)),C43-(C39),"不適用"),"")</f>
        <v/>
      </c>
      <c r="D65" s="67" t="str">
        <f aca="false">IF(ISNUMBER(D43),IF(AND(ISNUMBER(D39)),D43-(D39),"不適用"),"")</f>
        <v/>
      </c>
      <c r="E65" s="67" t="str">
        <f aca="false">IF(ISNUMBER(E43),IF(AND(ISNUMBER(E39)),E43-(E39),"不適用"),"")</f>
        <v/>
      </c>
      <c r="F65" s="67" t="str">
        <f aca="false">IF(ISNUMBER(F43),IF(AND(ISNUMBER(F39)),F43-(F39),"不適用"),"")</f>
        <v/>
      </c>
      <c r="G65" s="67" t="str">
        <f aca="false">IF(ISNUMBER(G43),IF(AND(ISNUMBER(G39)),G43-(G39),"不適用"),"")</f>
        <v/>
      </c>
      <c r="H65" s="67" t="str">
        <f aca="false">IF(ISNUMBER(H43),IF(AND(ISNUMBER(H39)),H43-(H39),"不適用"),"")</f>
        <v/>
      </c>
    </row>
    <row r="66" customFormat="false" ht="15" hidden="true" customHeight="false" outlineLevel="1" collapsed="false">
      <c r="A66" s="3" t="s">
        <v>1301</v>
      </c>
      <c r="B66" s="11" t="s">
        <v>77</v>
      </c>
      <c r="C66" s="67" t="str">
        <f aca="false">IF(ISNUMBER(C43),"不適用","")</f>
        <v/>
      </c>
      <c r="D66" s="67" t="str">
        <f aca="false">IF(ISNUMBER(D43),"不適用","")</f>
        <v/>
      </c>
      <c r="E66" s="67" t="str">
        <f aca="false">IF(ISNUMBER(E43),"不適用","")</f>
        <v/>
      </c>
      <c r="F66" s="67" t="str">
        <f aca="false">IF(ISNUMBER(F43),"不適用","")</f>
        <v/>
      </c>
      <c r="G66" s="67" t="str">
        <f aca="false">IF(ISNUMBER(G43),"不適用","")</f>
        <v/>
      </c>
      <c r="H66" s="67" t="str">
        <f aca="false">IF(ISNUMBER(H43),"不適用","")</f>
        <v/>
      </c>
    </row>
    <row r="67" customFormat="false" ht="15" hidden="true" customHeight="false" outlineLevel="1" collapsed="false">
      <c r="A67" s="3" t="s">
        <v>1302</v>
      </c>
      <c r="B67" s="11" t="s">
        <v>65</v>
      </c>
      <c r="C67" s="66" t="s">
        <v>873</v>
      </c>
      <c r="D67" s="66" t="s">
        <v>873</v>
      </c>
      <c r="E67" s="66" t="s">
        <v>873</v>
      </c>
      <c r="F67" s="66" t="s">
        <v>873</v>
      </c>
      <c r="G67" s="66" t="s">
        <v>873</v>
      </c>
      <c r="H67" s="66" t="s">
        <v>873</v>
      </c>
    </row>
    <row r="68" customFormat="false" ht="15" hidden="true" customHeight="false" outlineLevel="1" collapsed="false">
      <c r="A68" s="3" t="s">
        <v>1303</v>
      </c>
      <c r="B68" s="11" t="s">
        <v>65</v>
      </c>
      <c r="C68" s="66" t="n">
        <f aca="false">IF(AND(ISNUMBER(C31),ISNUMBER(C34),ISNUMBER(C35)),C31-(((C34+C35)/2)),"不適用")</f>
        <v>2.88666091123919</v>
      </c>
      <c r="D68" s="66" t="str">
        <f aca="false">IF(AND(ISNUMBER(D31),ISNUMBER(D34),ISNUMBER(D35)),D31-(((D34+D35)/2)),"不適用")</f>
        <v>不適用</v>
      </c>
      <c r="E68" s="66" t="str">
        <f aca="false">IF(AND(ISNUMBER(E31),ISNUMBER(E34),ISNUMBER(E35)),E31-(((E34+E35)/2)),"不適用")</f>
        <v>不適用</v>
      </c>
      <c r="F68" s="66" t="str">
        <f aca="false">IF(AND(ISNUMBER(F31),ISNUMBER(F34),ISNUMBER(F35)),F31-(((F34+F35)/2)),"不適用")</f>
        <v>不適用</v>
      </c>
      <c r="G68" s="66" t="str">
        <f aca="false">IF(AND(ISNUMBER(G31),ISNUMBER(G34),ISNUMBER(G35)),G31-(((G34+G35)/2)),"不適用")</f>
        <v>不適用</v>
      </c>
      <c r="H68" s="66" t="str">
        <f aca="false">IF(AND(ISNUMBER(H31),ISNUMBER(H34),ISNUMBER(H35)),H31-(((H34+H35)/2)),"不適用")</f>
        <v>不適用</v>
      </c>
    </row>
    <row r="69" customFormat="false" ht="15" hidden="true" customHeight="false" outlineLevel="1" collapsed="false">
      <c r="A69" s="3" t="s">
        <v>1304</v>
      </c>
      <c r="B69" s="11" t="s">
        <v>65</v>
      </c>
      <c r="C69" s="66" t="str">
        <f aca="false">IF(ISNUMBER(C44),IF(AND(ISNUMBER(C31)),C44-(C31),"不適用"),"")</f>
        <v/>
      </c>
      <c r="D69" s="66" t="str">
        <f aca="false">IF(ISNUMBER(D44),IF(AND(ISNUMBER(D31)),D44-(D31),"不適用"),"")</f>
        <v/>
      </c>
      <c r="E69" s="66" t="str">
        <f aca="false">IF(ISNUMBER(E44),IF(AND(ISNUMBER(E31)),E44-(E31),"不適用"),"")</f>
        <v/>
      </c>
      <c r="F69" s="66" t="str">
        <f aca="false">IF(ISNUMBER(F44),IF(AND(ISNUMBER(F31)),F44-(F31),"不適用"),"")</f>
        <v/>
      </c>
      <c r="G69" s="66" t="str">
        <f aca="false">IF(ISNUMBER(G44),IF(AND(ISNUMBER(G31)),G44-(G31),"不適用"),"")</f>
        <v/>
      </c>
      <c r="H69" s="66" t="str">
        <f aca="false">IF(ISNUMBER(H44),IF(AND(ISNUMBER(H31)),H44-(H31),"不適用"),"")</f>
        <v/>
      </c>
    </row>
    <row r="70" customFormat="false" ht="15" hidden="true" customHeight="false" outlineLevel="1" collapsed="false">
      <c r="A70" s="3" t="s">
        <v>1305</v>
      </c>
      <c r="B70" s="11" t="s">
        <v>65</v>
      </c>
      <c r="C70" s="66" t="str">
        <f aca="false">IF(ISNUMBER(C44),"不適用","")</f>
        <v/>
      </c>
      <c r="D70" s="66" t="str">
        <f aca="false">IF(ISNUMBER(D44),"不適用","")</f>
        <v/>
      </c>
      <c r="E70" s="66" t="str">
        <f aca="false">IF(ISNUMBER(E44),"不適用","")</f>
        <v/>
      </c>
      <c r="F70" s="66" t="str">
        <f aca="false">IF(ISNUMBER(F44),"不適用","")</f>
        <v/>
      </c>
      <c r="G70" s="66" t="str">
        <f aca="false">IF(ISNUMBER(G44),"不適用","")</f>
        <v/>
      </c>
      <c r="H70" s="66" t="str">
        <f aca="false">IF(ISNUMBER(H44),"不適用","")</f>
        <v/>
      </c>
    </row>
    <row r="71" customFormat="false" ht="15" hidden="true" customHeight="false" outlineLevel="1" collapsed="false">
      <c r="A71" s="3" t="s">
        <v>1306</v>
      </c>
      <c r="B71" s="11" t="s">
        <v>65</v>
      </c>
      <c r="C71" s="66" t="str">
        <f aca="false">IF(ISNUMBER(C44),IF(AND(ISNUMBER(C34),ISNUMBER(C35)),C44-(((C34+C35)/2)),"不適用"),"")</f>
        <v/>
      </c>
      <c r="D71" s="66" t="str">
        <f aca="false">IF(ISNUMBER(D44),IF(AND(ISNUMBER(D34),ISNUMBER(D35)),D44-(((D34+D35)/2)),"不適用"),"")</f>
        <v/>
      </c>
      <c r="E71" s="66" t="str">
        <f aca="false">IF(ISNUMBER(E44),IF(AND(ISNUMBER(E34),ISNUMBER(E35)),E44-(((E34+E35)/2)),"不適用"),"")</f>
        <v/>
      </c>
      <c r="F71" s="66" t="str">
        <f aca="false">IF(ISNUMBER(F44),IF(AND(ISNUMBER(F34),ISNUMBER(F35)),F44-(((F34+F35)/2)),"不適用"),"")</f>
        <v/>
      </c>
      <c r="G71" s="66" t="str">
        <f aca="false">IF(ISNUMBER(G44),IF(AND(ISNUMBER(G34),ISNUMBER(G35)),G44-(((G34+G35)/2)),"不適用"),"")</f>
        <v/>
      </c>
      <c r="H71" s="66" t="str">
        <f aca="false">IF(ISNUMBER(H44),IF(AND(ISNUMBER(H34),ISNUMBER(H35)),H44-(((H34+H35)/2)),"不適用"),"")</f>
        <v/>
      </c>
    </row>
    <row r="72" customFormat="false" ht="15" hidden="true" customHeight="false" outlineLevel="1" collapsed="false">
      <c r="A72" s="3" t="s">
        <v>1307</v>
      </c>
      <c r="B72" s="11" t="s">
        <v>77</v>
      </c>
      <c r="C72" s="67" t="s">
        <v>873</v>
      </c>
      <c r="D72" s="67" t="s">
        <v>873</v>
      </c>
      <c r="E72" s="67" t="s">
        <v>873</v>
      </c>
      <c r="F72" s="67" t="s">
        <v>873</v>
      </c>
      <c r="G72" s="67" t="s">
        <v>873</v>
      </c>
      <c r="H72" s="67" t="s">
        <v>873</v>
      </c>
    </row>
    <row r="73" customFormat="false" ht="15" hidden="true" customHeight="false" outlineLevel="1" collapsed="false">
      <c r="A73" s="3" t="s">
        <v>1308</v>
      </c>
      <c r="B73" s="11" t="s">
        <v>77</v>
      </c>
      <c r="C73" s="67" t="n">
        <f aca="false">IF(AND(ISNUMBER(C31),ISNUMBER(C22),C22&lt;&gt;0,ISNUMBER(C34),ISNUMBER(C35),ISNUMBER(C32),ISNUMBER(C33)),C31/C22-((C34+C35)/2)/((C32+C33)/2),"不適用")</f>
        <v>0.00307006469463911</v>
      </c>
      <c r="D73" s="67" t="str">
        <f aca="false">IF(AND(ISNUMBER(D31),ISNUMBER(D22),D22&lt;&gt;0,ISNUMBER(D34),ISNUMBER(D35),ISNUMBER(D32),ISNUMBER(D33)),D31/D22-((D34+D35)/2)/((D32+D33)/2),"不適用")</f>
        <v>不適用</v>
      </c>
      <c r="E73" s="67" t="str">
        <f aca="false">IF(AND(ISNUMBER(E31),ISNUMBER(E22),E22&lt;&gt;0,ISNUMBER(E34),ISNUMBER(E35),ISNUMBER(E32),ISNUMBER(E33)),E31/E22-((E34+E35)/2)/((E32+E33)/2),"不適用")</f>
        <v>不適用</v>
      </c>
      <c r="F73" s="67" t="str">
        <f aca="false">IF(AND(ISNUMBER(F31),ISNUMBER(F22),F22&lt;&gt;0,ISNUMBER(F34),ISNUMBER(F35),ISNUMBER(F32),ISNUMBER(F33)),F31/F22-((F34+F35)/2)/((F32+F33)/2),"不適用")</f>
        <v>不適用</v>
      </c>
      <c r="G73" s="67" t="str">
        <f aca="false">IF(AND(ISNUMBER(G31),ISNUMBER(G22),G22&lt;&gt;0,ISNUMBER(G34),ISNUMBER(G35),ISNUMBER(G32),ISNUMBER(G33)),G31/G22-((G34+G35)/2)/((G32+G33)/2),"不適用")</f>
        <v>不適用</v>
      </c>
      <c r="H73" s="67" t="str">
        <f aca="false">IF(AND(ISNUMBER(H31),ISNUMBER(H22),H22&lt;&gt;0,ISNUMBER(H34),ISNUMBER(H35),ISNUMBER(H32),ISNUMBER(H33)),H31/H22-((H34+H35)/2)/((H32+H33)/2),"不適用")</f>
        <v>不適用</v>
      </c>
    </row>
    <row r="74" customFormat="false" ht="15" hidden="true" customHeight="false" outlineLevel="1" collapsed="false">
      <c r="A74" s="3" t="s">
        <v>1309</v>
      </c>
      <c r="B74" s="11" t="s">
        <v>77</v>
      </c>
      <c r="C74" s="67" t="str">
        <f aca="false">IF(ISNUMBER(C44),IF(AND(ISNUMBER(C44),ISNUMBER(C41),C41&lt;&gt;0,ISNUMBER(C31),ISNUMBER(C22),C22&lt;&gt;0),C44/C41-C31/C22,"不適用"),"")</f>
        <v/>
      </c>
      <c r="D74" s="67" t="str">
        <f aca="false">IF(ISNUMBER(D44),IF(AND(ISNUMBER(D44),ISNUMBER(D41),D41&lt;&gt;0,ISNUMBER(D31),ISNUMBER(D22),D22&lt;&gt;0),D44/D41-D31/D22,"不適用"),"")</f>
        <v/>
      </c>
      <c r="E74" s="67" t="str">
        <f aca="false">IF(ISNUMBER(E44),IF(AND(ISNUMBER(E44),ISNUMBER(E41),E41&lt;&gt;0,ISNUMBER(E31),ISNUMBER(E22),E22&lt;&gt;0),E44/E41-E31/E22,"不適用"),"")</f>
        <v/>
      </c>
      <c r="F74" s="67" t="str">
        <f aca="false">IF(ISNUMBER(F44),IF(AND(ISNUMBER(F44),ISNUMBER(F41),F41&lt;&gt;0,ISNUMBER(F31),ISNUMBER(F22),F22&lt;&gt;0),F44/F41-F31/F22,"不適用"),"")</f>
        <v/>
      </c>
      <c r="G74" s="67" t="str">
        <f aca="false">IF(ISNUMBER(G44),IF(AND(ISNUMBER(G44),ISNUMBER(G41),G41&lt;&gt;0,ISNUMBER(G31),ISNUMBER(G22),G22&lt;&gt;0),G44/G41-G31/G22,"不適用"),"")</f>
        <v/>
      </c>
      <c r="H74" s="67" t="str">
        <f aca="false">IF(ISNUMBER(H44),IF(AND(ISNUMBER(H44),ISNUMBER(H41),H41&lt;&gt;0,ISNUMBER(H31),ISNUMBER(H22),H22&lt;&gt;0),H44/H41-H31/H22,"不適用"),"")</f>
        <v/>
      </c>
    </row>
    <row r="75" customFormat="false" ht="15" hidden="true" customHeight="false" outlineLevel="1" collapsed="false">
      <c r="A75" s="3" t="s">
        <v>1310</v>
      </c>
      <c r="B75" s="11" t="s">
        <v>77</v>
      </c>
      <c r="C75" s="67" t="str">
        <f aca="false">IF(ISNUMBER(C44),"不適用","")</f>
        <v/>
      </c>
      <c r="D75" s="67" t="str">
        <f aca="false">IF(ISNUMBER(D44),"不適用","")</f>
        <v/>
      </c>
      <c r="E75" s="67" t="str">
        <f aca="false">IF(ISNUMBER(E44),"不適用","")</f>
        <v/>
      </c>
      <c r="F75" s="67" t="str">
        <f aca="false">IF(ISNUMBER(F44),"不適用","")</f>
        <v/>
      </c>
      <c r="G75" s="67" t="str">
        <f aca="false">IF(ISNUMBER(G44),"不適用","")</f>
        <v/>
      </c>
      <c r="H75" s="67" t="str">
        <f aca="false">IF(ISNUMBER(H44),"不適用","")</f>
        <v/>
      </c>
    </row>
    <row r="76" customFormat="false" ht="15" hidden="true" customHeight="false" outlineLevel="1" collapsed="false">
      <c r="A76" s="3" t="s">
        <v>1311</v>
      </c>
      <c r="B76" s="11" t="s">
        <v>77</v>
      </c>
      <c r="C76" s="67" t="str">
        <f aca="false">IF(ISNUMBER(C44),IF(AND(ISNUMBER(C44),ISNUMBER(C41),C41&lt;&gt;0,ISNUMBER(C34),ISNUMBER(C35),ISNUMBER(C32),ISNUMBER(C33)),C44/C41-((C34+C35)/2)/((C32+C33)/2),"不適用"),"")</f>
        <v/>
      </c>
      <c r="D76" s="67" t="str">
        <f aca="false">IF(ISNUMBER(D44),IF(AND(ISNUMBER(D44),ISNUMBER(D41),D41&lt;&gt;0,ISNUMBER(D34),ISNUMBER(D35),ISNUMBER(D32),ISNUMBER(D33)),D44/D41-((D34+D35)/2)/((D32+D33)/2),"不適用"),"")</f>
        <v/>
      </c>
      <c r="E76" s="67" t="str">
        <f aca="false">IF(ISNUMBER(E44),IF(AND(ISNUMBER(E44),ISNUMBER(E41),E41&lt;&gt;0,ISNUMBER(E34),ISNUMBER(E35),ISNUMBER(E32),ISNUMBER(E33)),E44/E41-((E34+E35)/2)/((E32+E33)/2),"不適用"),"")</f>
        <v/>
      </c>
      <c r="F76" s="67" t="str">
        <f aca="false">IF(ISNUMBER(F44),IF(AND(ISNUMBER(F44),ISNUMBER(F41),F41&lt;&gt;0,ISNUMBER(F34),ISNUMBER(F35),ISNUMBER(F32),ISNUMBER(F33)),F44/F41-((F34+F35)/2)/((F32+F33)/2),"不適用"),"")</f>
        <v/>
      </c>
      <c r="G76" s="67" t="str">
        <f aca="false">IF(ISNUMBER(G44),IF(AND(ISNUMBER(G44),ISNUMBER(G41),G41&lt;&gt;0,ISNUMBER(G34),ISNUMBER(G35),ISNUMBER(G32),ISNUMBER(G33)),G44/G41-((G34+G35)/2)/((G32+G33)/2),"不適用"),"")</f>
        <v/>
      </c>
      <c r="H76" s="67" t="str">
        <f aca="false">IF(ISNUMBER(H44),IF(AND(ISNUMBER(H44),ISNUMBER(H41),H41&lt;&gt;0,ISNUMBER(H34),ISNUMBER(H35),ISNUMBER(H32),ISNUMBER(H33)),H44/H41-((H34+H35)/2)/((H32+H33)/2),"不適用"),"")</f>
        <v/>
      </c>
    </row>
    <row r="77" customFormat="false" ht="15" hidden="true" customHeight="false" outlineLevel="1" collapsed="false">
      <c r="A77" s="3" t="s">
        <v>1312</v>
      </c>
      <c r="B77" s="11" t="s">
        <v>42</v>
      </c>
      <c r="C77" s="67" t="s">
        <v>873</v>
      </c>
      <c r="D77" s="67" t="s">
        <v>873</v>
      </c>
      <c r="E77" s="67" t="s">
        <v>873</v>
      </c>
      <c r="F77" s="67" t="s">
        <v>873</v>
      </c>
      <c r="G77" s="67" t="s">
        <v>873</v>
      </c>
      <c r="H77" s="67" t="s">
        <v>873</v>
      </c>
    </row>
    <row r="78" customFormat="false" ht="15" hidden="true" customHeight="false" outlineLevel="1" collapsed="false">
      <c r="A78" s="3" t="s">
        <v>1313</v>
      </c>
      <c r="B78" s="11" t="s">
        <v>42</v>
      </c>
      <c r="C78" s="67" t="s">
        <v>873</v>
      </c>
      <c r="D78" s="67" t="s">
        <v>873</v>
      </c>
      <c r="E78" s="67" t="s">
        <v>873</v>
      </c>
      <c r="F78" s="67" t="s">
        <v>873</v>
      </c>
      <c r="G78" s="67" t="s">
        <v>873</v>
      </c>
      <c r="H78" s="67" t="s">
        <v>873</v>
      </c>
    </row>
    <row r="79" customFormat="false" ht="15" hidden="true" customHeight="false" outlineLevel="1" collapsed="false">
      <c r="A79" s="3" t="s">
        <v>1314</v>
      </c>
      <c r="B79" s="11" t="s">
        <v>42</v>
      </c>
      <c r="C79" s="67" t="str">
        <f aca="false">IF(ISNUMBER(C45),IF(AND(ISNUMBER(C36),C36&lt;&gt;0),C45/(C36)-1,"不適用"),"")</f>
        <v/>
      </c>
      <c r="D79" s="67" t="str">
        <f aca="false">IF(ISNUMBER(D45),IF(AND(ISNUMBER(D36),D36&lt;&gt;0),D45/(D36)-1,"不適用"),"")</f>
        <v/>
      </c>
      <c r="E79" s="67" t="str">
        <f aca="false">IF(ISNUMBER(E45),IF(AND(ISNUMBER(E36),E36&lt;&gt;0),E45/(E36)-1,"不適用"),"")</f>
        <v/>
      </c>
      <c r="F79" s="67" t="str">
        <f aca="false">IF(ISNUMBER(F45),IF(AND(ISNUMBER(F36),F36&lt;&gt;0),F45/(F36)-1,"不適用"),"")</f>
        <v/>
      </c>
      <c r="G79" s="67" t="str">
        <f aca="false">IF(ISNUMBER(G45),IF(AND(ISNUMBER(G36),G36&lt;&gt;0),G45/(G36)-1,"不適用"),"")</f>
        <v/>
      </c>
      <c r="H79" s="67" t="str">
        <f aca="false">IF(ISNUMBER(H45),IF(AND(ISNUMBER(H36),H36&lt;&gt;0),H45/(H36)-1,"不適用"),"")</f>
        <v/>
      </c>
    </row>
    <row r="80" customFormat="false" ht="15" hidden="true" customHeight="false" outlineLevel="1" collapsed="false">
      <c r="A80" s="3" t="s">
        <v>1315</v>
      </c>
      <c r="B80" s="11" t="s">
        <v>42</v>
      </c>
      <c r="C80" s="67" t="str">
        <f aca="false">IF(ISNUMBER(C45),"不適用","")</f>
        <v/>
      </c>
      <c r="D80" s="67" t="str">
        <f aca="false">IF(ISNUMBER(D45),"不適用","")</f>
        <v/>
      </c>
      <c r="E80" s="67" t="str">
        <f aca="false">IF(ISNUMBER(E45),"不適用","")</f>
        <v/>
      </c>
      <c r="F80" s="67" t="str">
        <f aca="false">IF(ISNUMBER(F45),"不適用","")</f>
        <v/>
      </c>
      <c r="G80" s="67" t="str">
        <f aca="false">IF(ISNUMBER(G45),"不適用","")</f>
        <v/>
      </c>
      <c r="H80" s="67" t="str">
        <f aca="false">IF(ISNUMBER(H45),"不適用","")</f>
        <v/>
      </c>
    </row>
    <row r="81" customFormat="false" ht="15" hidden="true" customHeight="false" outlineLevel="1" collapsed="false">
      <c r="A81" s="3" t="s">
        <v>1316</v>
      </c>
      <c r="B81" s="11" t="s">
        <v>42</v>
      </c>
      <c r="C81" s="67" t="str">
        <f aca="false">IF(ISNUMBER(C45),"不適用","")</f>
        <v/>
      </c>
      <c r="D81" s="67" t="str">
        <f aca="false">IF(ISNUMBER(D45),"不適用","")</f>
        <v/>
      </c>
      <c r="E81" s="67" t="str">
        <f aca="false">IF(ISNUMBER(E45),"不適用","")</f>
        <v/>
      </c>
      <c r="F81" s="67" t="str">
        <f aca="false">IF(ISNUMBER(F45),"不適用","")</f>
        <v/>
      </c>
      <c r="G81" s="67" t="str">
        <f aca="false">IF(ISNUMBER(G45),"不適用","")</f>
        <v/>
      </c>
      <c r="H81" s="67" t="str">
        <f aca="false">IF(ISNUMBER(H45),"不適用","")</f>
        <v/>
      </c>
    </row>
    <row r="82" customFormat="false" ht="15" hidden="true" customHeight="false" outlineLevel="1" collapsed="false">
      <c r="A82" s="3" t="s">
        <v>1317</v>
      </c>
      <c r="B82" s="11" t="s">
        <v>157</v>
      </c>
      <c r="C82" s="68" t="s">
        <v>873</v>
      </c>
      <c r="D82" s="68" t="s">
        <v>873</v>
      </c>
      <c r="E82" s="68" t="s">
        <v>873</v>
      </c>
      <c r="F82" s="68" t="s">
        <v>873</v>
      </c>
      <c r="G82" s="68" t="s">
        <v>873</v>
      </c>
      <c r="H82" s="68" t="s">
        <v>873</v>
      </c>
    </row>
    <row r="83" customFormat="false" ht="15" hidden="true" customHeight="false" outlineLevel="1" collapsed="false">
      <c r="A83" s="3" t="s">
        <v>1318</v>
      </c>
      <c r="B83" s="11" t="s">
        <v>157</v>
      </c>
      <c r="C83" s="68" t="s">
        <v>873</v>
      </c>
      <c r="D83" s="68" t="s">
        <v>873</v>
      </c>
      <c r="E83" s="68" t="s">
        <v>873</v>
      </c>
      <c r="F83" s="68" t="s">
        <v>873</v>
      </c>
      <c r="G83" s="68" t="s">
        <v>873</v>
      </c>
      <c r="H83" s="68" t="s">
        <v>873</v>
      </c>
    </row>
    <row r="84" customFormat="false" ht="15" hidden="true" customHeight="false" outlineLevel="1" collapsed="false">
      <c r="A84" s="3" t="s">
        <v>1319</v>
      </c>
      <c r="B84" s="11" t="s">
        <v>157</v>
      </c>
      <c r="C84" s="68" t="str">
        <f aca="false">IF(ISNUMBER(C46),IF(AND(ISNUMBER(C19)),C46-(C19),"不適用"),"")</f>
        <v/>
      </c>
      <c r="D84" s="68" t="str">
        <f aca="false">IF(ISNUMBER(D46),IF(AND(ISNUMBER(D19)),D46-(D19),"不適用"),"")</f>
        <v/>
      </c>
      <c r="E84" s="68" t="str">
        <f aca="false">IF(ISNUMBER(E46),IF(AND(ISNUMBER(E19)),E46-(E19),"不適用"),"")</f>
        <v/>
      </c>
      <c r="F84" s="68" t="str">
        <f aca="false">IF(ISNUMBER(F46),IF(AND(ISNUMBER(F19)),F46-(F19),"不適用"),"")</f>
        <v/>
      </c>
      <c r="G84" s="68" t="str">
        <f aca="false">IF(ISNUMBER(G46),IF(AND(ISNUMBER(G19)),G46-(G19),"不適用"),"")</f>
        <v/>
      </c>
      <c r="H84" s="68" t="str">
        <f aca="false">IF(ISNUMBER(H46),IF(AND(ISNUMBER(H19)),H46-(H19),"不適用"),"")</f>
        <v/>
      </c>
    </row>
    <row r="85" customFormat="false" ht="15" hidden="true" customHeight="false" outlineLevel="1" collapsed="false">
      <c r="A85" s="3" t="s">
        <v>1320</v>
      </c>
      <c r="B85" s="11" t="s">
        <v>157</v>
      </c>
      <c r="C85" s="68" t="str">
        <f aca="false">IF(ISNUMBER(C46),"不適用","")</f>
        <v/>
      </c>
      <c r="D85" s="68" t="str">
        <f aca="false">IF(ISNUMBER(D46),"不適用","")</f>
        <v/>
      </c>
      <c r="E85" s="68" t="str">
        <f aca="false">IF(ISNUMBER(E46),"不適用","")</f>
        <v/>
      </c>
      <c r="F85" s="68" t="str">
        <f aca="false">IF(ISNUMBER(F46),"不適用","")</f>
        <v/>
      </c>
      <c r="G85" s="68" t="str">
        <f aca="false">IF(ISNUMBER(G46),"不適用","")</f>
        <v/>
      </c>
      <c r="H85" s="68" t="str">
        <f aca="false">IF(ISNUMBER(H46),"不適用","")</f>
        <v/>
      </c>
    </row>
    <row r="86" customFormat="false" ht="15" hidden="true" customHeight="false" outlineLevel="1" collapsed="false">
      <c r="A86" s="3" t="s">
        <v>1321</v>
      </c>
      <c r="B86" s="11" t="s">
        <v>157</v>
      </c>
      <c r="C86" s="68" t="str">
        <f aca="false">IF(ISNUMBER(C46),"不適用","")</f>
        <v/>
      </c>
      <c r="D86" s="68" t="str">
        <f aca="false">IF(ISNUMBER(D46),"不適用","")</f>
        <v/>
      </c>
      <c r="E86" s="68" t="str">
        <f aca="false">IF(ISNUMBER(E46),"不適用","")</f>
        <v/>
      </c>
      <c r="F86" s="68" t="str">
        <f aca="false">IF(ISNUMBER(F46),"不適用","")</f>
        <v/>
      </c>
      <c r="G86" s="68" t="str">
        <f aca="false">IF(ISNUMBER(G46),"不適用","")</f>
        <v/>
      </c>
      <c r="H86" s="68" t="str">
        <f aca="false">IF(ISNUMBER(H46),"不適用","")</f>
        <v/>
      </c>
    </row>
    <row r="87" customFormat="false" ht="15" hidden="true" customHeight="false" outlineLevel="1" collapsed="false">
      <c r="A87" s="3" t="s">
        <v>1322</v>
      </c>
      <c r="B87" s="11" t="s">
        <v>65</v>
      </c>
      <c r="C87" s="66" t="str">
        <f aca="false">IF(COUNT(C37,D37)=2,C37+D37,"不適用")</f>
        <v>不適用</v>
      </c>
      <c r="D87" s="66" t="str">
        <f aca="false">IF(COUNT(C37,D37)=2,C37+D37,"不適用")</f>
        <v>不適用</v>
      </c>
      <c r="E87" s="66" t="str">
        <f aca="false">IF(COUNT(E37,F37,G37,H37)=4,E37+F37+G37+H37,"不適用")</f>
        <v>不適用</v>
      </c>
      <c r="F87" s="66" t="str">
        <f aca="false">IF(COUNT(E37,F37,G37,H37)=4,E37+F37+G37+H37,"不適用")</f>
        <v>不適用</v>
      </c>
      <c r="G87" s="66" t="str">
        <f aca="false">IF(COUNT(E37,F37,G37,H37)=4,E37+F37+G37+H37,"不適用")</f>
        <v>不適用</v>
      </c>
      <c r="H87" s="66" t="str">
        <f aca="false">IF(COUNT(E37,F37,G37,H37)=4,E37+F37+G37+H37,"不適用")</f>
        <v>不適用</v>
      </c>
      <c r="J87" s="6" t="s">
        <v>1323</v>
      </c>
    </row>
    <row r="88" customFormat="false" ht="15" hidden="true" customHeight="false" outlineLevel="1" collapsed="false">
      <c r="A88" s="3" t="s">
        <v>1324</v>
      </c>
      <c r="B88" s="11" t="s">
        <v>65</v>
      </c>
      <c r="C88" s="66" t="str">
        <f aca="false">IF(AND(ISNUMBER(C87),C87&lt;&gt;0,ISNUMBER(C37),ISNUMBER(C22)),(損益!C9-C87)*(C37)/C87,"不適用")</f>
        <v>不適用</v>
      </c>
      <c r="D88" s="66" t="str">
        <f aca="false">IF(AND(ISNUMBER(D87),D87&lt;&gt;0,ISNUMBER(D37),ISNUMBER(D22)),(損益!C9-D87)*(D37)/D87,"不適用")</f>
        <v>不適用</v>
      </c>
      <c r="E88" s="66" t="str">
        <f aca="false">IF(AND(ISNUMBER(E87),E87&lt;&gt;0,ISNUMBER(E37),ISNUMBER(E22)),(損益!D9-E87)*(E37)/E87,"不適用")</f>
        <v>不適用</v>
      </c>
      <c r="F88" s="66" t="str">
        <f aca="false">IF(AND(ISNUMBER(F87),F87&lt;&gt;0,ISNUMBER(F37),ISNUMBER(F22)),(損益!D9-F87)*(F37)/F87,"不適用")</f>
        <v>不適用</v>
      </c>
      <c r="G88" s="66" t="str">
        <f aca="false">IF(AND(ISNUMBER(G87),G87&lt;&gt;0,ISNUMBER(G37),ISNUMBER(G22)),(損益!D9-G87)*(G37)/G87,"不適用")</f>
        <v>不適用</v>
      </c>
      <c r="H88" s="66" t="str">
        <f aca="false">IF(AND(ISNUMBER(H87),H87&lt;&gt;0,ISNUMBER(H37),ISNUMBER(H22)),(損益!D9-H87)*(H37)/H87,"不適用")</f>
        <v>不適用</v>
      </c>
      <c r="J88" s="11" t="s">
        <v>1325</v>
      </c>
    </row>
    <row r="89" customFormat="false" ht="15" hidden="true" customHeight="false" outlineLevel="1" collapsed="false">
      <c r="A89" s="3" t="s">
        <v>1326</v>
      </c>
      <c r="B89" s="11" t="s">
        <v>65</v>
      </c>
      <c r="C89" s="66" t="str">
        <f aca="false">IF(AND(ISNUMBER(C87),C87&lt;&gt;0,ISNUMBER(C37),ISNUMBER(C22)),(C22/損益!C9-(C37)/C87)*損益!C9,"不適用")</f>
        <v>不適用</v>
      </c>
      <c r="D89" s="66" t="str">
        <f aca="false">IF(AND(ISNUMBER(D87),D87&lt;&gt;0,ISNUMBER(D37),ISNUMBER(D22)),(D22/損益!C9-(D37)/D87)*損益!C9,"不適用")</f>
        <v>不適用</v>
      </c>
      <c r="E89" s="66" t="str">
        <f aca="false">IF(AND(ISNUMBER(E87),E87&lt;&gt;0,ISNUMBER(E37),ISNUMBER(E22)),(E22/損益!D9-(E37)/E87)*損益!D9,"不適用")</f>
        <v>不適用</v>
      </c>
      <c r="F89" s="66" t="str">
        <f aca="false">IF(AND(ISNUMBER(F87),F87&lt;&gt;0,ISNUMBER(F37),ISNUMBER(F22)),(F22/損益!D9-(F37)/F87)*損益!D9,"不適用")</f>
        <v>不適用</v>
      </c>
      <c r="G89" s="66" t="str">
        <f aca="false">IF(AND(ISNUMBER(G87),G87&lt;&gt;0,ISNUMBER(G37),ISNUMBER(G22)),(G22/損益!D9-(G37)/G87)*損益!D9,"不適用")</f>
        <v>不適用</v>
      </c>
      <c r="H89" s="66" t="str">
        <f aca="false">IF(AND(ISNUMBER(H87),H87&lt;&gt;0,ISNUMBER(H37),ISNUMBER(H22)),(H22/損益!D9-(H37)/H87)*損益!D9,"不適用")</f>
        <v>不適用</v>
      </c>
      <c r="J89" s="11" t="s">
        <v>1327</v>
      </c>
    </row>
    <row r="90" customFormat="false" ht="15" hidden="true" customHeight="false" outlineLevel="1" collapsed="false">
      <c r="A90" s="3" t="s">
        <v>1328</v>
      </c>
      <c r="C90" s="48" t="str">
        <f aca="false">IF(ISNUMBER(C47),IF(ABS(C47)&gt;輸入與假設!$C$493,IF(ISNUMBER(C88),IF(ABS(C89)&gt;ABS(C88),"營收 vs 共識 "&amp;IF(C47&lt;0,"−","+")&amp;TEXT(ABS(C47)*100,"#,##0.0")&amp;"%"&amp;"：拆法（分配 "&amp;IF(C89&lt;0,"−","+")&amp;IF(ABS(C89)&lt;0,"−","")&amp;"$"&amp;TEXT(ABS(ABS(C89)),"#,##0.000")&amp;"bn"&amp;"（Q3 2026 占 2H26 "&amp;TEXT((C22/損益!C9)*100,"#,##0.0")&amp;"%"&amp;"，共識合計 "&amp;TEXT(((C37)/C87)*100,"#,##0.0")&amp;"%"&amp;"）；水準 "&amp;IF(C88&lt;0,"−","+")&amp;IF(ABS(C88)&lt;0,"−","")&amp;"$"&amp;TEXT(ABS(ABS(C88)),"#,##0.000")&amp;"bn"&amp;"）","營收 vs 共識 "&amp;IF(C47&lt;0,"−","+")&amp;TEXT(ABS(C47)*100,"#,##0.0")&amp;"%"&amp;"：觀點（水準 "&amp;IF(C88&lt;0,"−","+")&amp;IF(ABS(C88)&lt;0,"−","")&amp;"$"&amp;TEXT(ABS(ABS(C88)),"#,##0.000")&amp;"bn"&amp;"（2H26 模型 "&amp;IF(損益!C9&lt;0,"−","")&amp;"$"&amp;TEXT(ABS(損益!C9),"#,##0.000")&amp;"bn"&amp;"，共識合計 "&amp;IF(C87&lt;0,"−","")&amp;"$"&amp;TEXT(ABS(C87),"#,##0.000")&amp;"bn"&amp;"）；分配 "&amp;IF(C89&lt;0,"−","+")&amp;IF(ABS(C89)&lt;0,"−","")&amp;"$"&amp;TEXT(ABS(ABS(C89)),"#,##0.000")&amp;"bn"&amp;"；"&amp;"營收＝對外 AI 雲端（在役 MW × 每 MW 年收入，Tokenomics × k）＋各分部依近四季年增率收斂；年度總額線性分到各季，未建模第四季季節性"&amp;"）"),"營收 vs 共識 "&amp;IF(C47&lt;0,"−","+")&amp;TEXT(ABS(C47)*100,"#,##0.0")&amp;"%"&amp;"：觀點（"&amp;"營收＝對外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D90" s="48" t="str">
        <f aca="false">IF(ISNUMBER(D47),IF(ABS(D47)&gt;輸入與假設!$C$493,IF(ISNUMBER(D88),IF(ABS(D89)&gt;ABS(D88),"營收 vs 共識 "&amp;IF(D47&lt;0,"−","+")&amp;TEXT(ABS(D47)*100,"#,##0.0")&amp;"%"&amp;"：拆法（分配 "&amp;IF(D89&lt;0,"−","+")&amp;IF(ABS(D89)&lt;0,"−","")&amp;"$"&amp;TEXT(ABS(ABS(D89)),"#,##0.000")&amp;"bn"&amp;"（Q4 2026 占 2H26 "&amp;TEXT((D22/損益!C9)*100,"#,##0.0")&amp;"%"&amp;"，共識合計 "&amp;TEXT(((D37)/D87)*100,"#,##0.0")&amp;"%"&amp;"）；水準 "&amp;IF(D88&lt;0,"−","+")&amp;IF(ABS(D88)&lt;0,"−","")&amp;"$"&amp;TEXT(ABS(ABS(D88)),"#,##0.000")&amp;"bn"&amp;"）","營收 vs 共識 "&amp;IF(D47&lt;0,"−","+")&amp;TEXT(ABS(D47)*100,"#,##0.0")&amp;"%"&amp;"：觀點（水準 "&amp;IF(D88&lt;0,"−","+")&amp;IF(ABS(D88)&lt;0,"−","")&amp;"$"&amp;TEXT(ABS(ABS(D88)),"#,##0.000")&amp;"bn"&amp;"（2H26 模型 "&amp;IF(損益!C9&lt;0,"−","")&amp;"$"&amp;TEXT(ABS(損益!C9),"#,##0.000")&amp;"bn"&amp;"，共識合計 "&amp;IF(D87&lt;0,"−","")&amp;"$"&amp;TEXT(ABS(D87),"#,##0.000")&amp;"bn"&amp;"）；分配 "&amp;IF(D89&lt;0,"−","+")&amp;IF(ABS(D89)&lt;0,"−","")&amp;"$"&amp;TEXT(ABS(ABS(D89)),"#,##0.000")&amp;"bn"&amp;"；"&amp;"營收＝對外 AI 雲端（在役 MW × 每 MW 年收入，Tokenomics × k）＋各分部依近四季年增率收斂；年度總額線性分到各季，未建模第四季季節性"&amp;"）"),"營收 vs 共識 "&amp;IF(D47&lt;0,"−","+")&amp;TEXT(ABS(D47)*100,"#,##0.0")&amp;"%"&amp;"：觀點（"&amp;"營收＝對外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E90" s="48" t="str">
        <f aca="false">IF(ISNUMBER(E47),IF(ABS(E47)&gt;輸入與假設!$C$493,IF(ISNUMBER(E88),IF(ABS(E89)&gt;ABS(E88),"營收 vs 共識 "&amp;IF(E47&lt;0,"−","+")&amp;TEXT(ABS(E47)*100,"#,##0.0")&amp;"%"&amp;"：拆法（分配 "&amp;IF(E89&lt;0,"−","+")&amp;IF(ABS(E89)&lt;0,"−","")&amp;"$"&amp;TEXT(ABS(ABS(E89)),"#,##0.000")&amp;"bn"&amp;"（Q1 2027 占 2027 "&amp;TEXT((E22/損益!D9)*100,"#,##0.0")&amp;"%"&amp;"，共識合計 "&amp;TEXT(((E37)/E87)*100,"#,##0.0")&amp;"%"&amp;"）；水準 "&amp;IF(E88&lt;0,"−","+")&amp;IF(ABS(E88)&lt;0,"−","")&amp;"$"&amp;TEXT(ABS(ABS(E88)),"#,##0.000")&amp;"bn"&amp;"）","營收 vs 共識 "&amp;IF(E47&lt;0,"−","+")&amp;TEXT(ABS(E47)*100,"#,##0.0")&amp;"%"&amp;"：觀點（水準 "&amp;IF(E88&lt;0,"−","+")&amp;IF(ABS(E88)&lt;0,"−","")&amp;"$"&amp;TEXT(ABS(ABS(E88)),"#,##0.000")&amp;"bn"&amp;"（2027 模型 "&amp;IF(損益!D9&lt;0,"−","")&amp;"$"&amp;TEXT(ABS(損益!D9),"#,##0.000")&amp;"bn"&amp;"，共識合計 "&amp;IF(E87&lt;0,"−","")&amp;"$"&amp;TEXT(ABS(E87),"#,##0.000")&amp;"bn"&amp;"）；分配 "&amp;IF(E89&lt;0,"−","+")&amp;IF(ABS(E89)&lt;0,"−","")&amp;"$"&amp;TEXT(ABS(ABS(E89)),"#,##0.000")&amp;"bn"&amp;"；"&amp;"營收＝對外 AI 雲端（在役 MW × 每 MW 年收入，Tokenomics × k）＋各分部依近四季年增率收斂；年度總額線性分到各季，未建模第四季季節性"&amp;"）"),"營收 vs 共識 "&amp;IF(E47&lt;0,"−","+")&amp;TEXT(ABS(E47)*100,"#,##0.0")&amp;"%"&amp;"：觀點（"&amp;"營收＝對外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F90" s="48" t="str">
        <f aca="false">IF(ISNUMBER(F47),IF(ABS(F47)&gt;輸入與假設!$C$493,IF(ISNUMBER(F88),IF(ABS(F89)&gt;ABS(F88),"營收 vs 共識 "&amp;IF(F47&lt;0,"−","+")&amp;TEXT(ABS(F47)*100,"#,##0.0")&amp;"%"&amp;"：拆法（分配 "&amp;IF(F89&lt;0,"−","+")&amp;IF(ABS(F89)&lt;0,"−","")&amp;"$"&amp;TEXT(ABS(ABS(F89)),"#,##0.000")&amp;"bn"&amp;"（Q2 2027 占 2027 "&amp;TEXT((F22/損益!D9)*100,"#,##0.0")&amp;"%"&amp;"，共識合計 "&amp;TEXT(((F37)/F87)*100,"#,##0.0")&amp;"%"&amp;"）；水準 "&amp;IF(F88&lt;0,"−","+")&amp;IF(ABS(F88)&lt;0,"−","")&amp;"$"&amp;TEXT(ABS(ABS(F88)),"#,##0.000")&amp;"bn"&amp;"）","營收 vs 共識 "&amp;IF(F47&lt;0,"−","+")&amp;TEXT(ABS(F47)*100,"#,##0.0")&amp;"%"&amp;"：觀點（水準 "&amp;IF(F88&lt;0,"−","+")&amp;IF(ABS(F88)&lt;0,"−","")&amp;"$"&amp;TEXT(ABS(ABS(F88)),"#,##0.000")&amp;"bn"&amp;"（2027 模型 "&amp;IF(損益!D9&lt;0,"−","")&amp;"$"&amp;TEXT(ABS(損益!D9),"#,##0.000")&amp;"bn"&amp;"，共識合計 "&amp;IF(F87&lt;0,"−","")&amp;"$"&amp;TEXT(ABS(F87),"#,##0.000")&amp;"bn"&amp;"）；分配 "&amp;IF(F89&lt;0,"−","+")&amp;IF(ABS(F89)&lt;0,"−","")&amp;"$"&amp;TEXT(ABS(ABS(F89)),"#,##0.000")&amp;"bn"&amp;"；"&amp;"營收＝對外 AI 雲端（在役 MW × 每 MW 年收入，Tokenomics × k）＋各分部依近四季年增率收斂；年度總額線性分到各季，未建模第四季季節性"&amp;"）"),"營收 vs 共識 "&amp;IF(F47&lt;0,"−","+")&amp;TEXT(ABS(F47)*100,"#,##0.0")&amp;"%"&amp;"：觀點（"&amp;"營收＝對外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G90" s="48" t="str">
        <f aca="false">IF(ISNUMBER(G47),IF(ABS(G47)&gt;輸入與假設!$C$493,IF(ISNUMBER(G88),IF(ABS(G89)&gt;ABS(G88),"營收 vs 共識 "&amp;IF(G47&lt;0,"−","+")&amp;TEXT(ABS(G47)*100,"#,##0.0")&amp;"%"&amp;"：拆法（分配 "&amp;IF(G89&lt;0,"−","+")&amp;IF(ABS(G89)&lt;0,"−","")&amp;"$"&amp;TEXT(ABS(ABS(G89)),"#,##0.000")&amp;"bn"&amp;"（Q3 2027 占 2027 "&amp;TEXT((G22/損益!D9)*100,"#,##0.0")&amp;"%"&amp;"，共識合計 "&amp;TEXT(((G37)/G87)*100,"#,##0.0")&amp;"%"&amp;"）；水準 "&amp;IF(G88&lt;0,"−","+")&amp;IF(ABS(G88)&lt;0,"−","")&amp;"$"&amp;TEXT(ABS(ABS(G88)),"#,##0.000")&amp;"bn"&amp;"）","營收 vs 共識 "&amp;IF(G47&lt;0,"−","+")&amp;TEXT(ABS(G47)*100,"#,##0.0")&amp;"%"&amp;"：觀點（水準 "&amp;IF(G88&lt;0,"−","+")&amp;IF(ABS(G88)&lt;0,"−","")&amp;"$"&amp;TEXT(ABS(ABS(G88)),"#,##0.000")&amp;"bn"&amp;"（2027 模型 "&amp;IF(損益!D9&lt;0,"−","")&amp;"$"&amp;TEXT(ABS(損益!D9),"#,##0.000")&amp;"bn"&amp;"，共識合計 "&amp;IF(G87&lt;0,"−","")&amp;"$"&amp;TEXT(ABS(G87),"#,##0.000")&amp;"bn"&amp;"）；分配 "&amp;IF(G89&lt;0,"−","+")&amp;IF(ABS(G89)&lt;0,"−","")&amp;"$"&amp;TEXT(ABS(ABS(G89)),"#,##0.000")&amp;"bn"&amp;"；"&amp;"營收＝對外 AI 雲端（在役 MW × 每 MW 年收入，Tokenomics × k）＋各分部依近四季年增率收斂；年度總額線性分到各季，未建模第四季季節性"&amp;"）"),"營收 vs 共識 "&amp;IF(G47&lt;0,"−","+")&amp;TEXT(ABS(G47)*100,"#,##0.0")&amp;"%"&amp;"：觀點（"&amp;"營收＝對外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H90" s="48" t="str">
        <f aca="false">IF(ISNUMBER(H47),IF(ABS(H47)&gt;輸入與假設!$C$493,IF(ISNUMBER(H88),IF(ABS(H89)&gt;ABS(H88),"營收 vs 共識 "&amp;IF(H47&lt;0,"−","+")&amp;TEXT(ABS(H47)*100,"#,##0.0")&amp;"%"&amp;"：拆法（分配 "&amp;IF(H89&lt;0,"−","+")&amp;IF(ABS(H89)&lt;0,"−","")&amp;"$"&amp;TEXT(ABS(ABS(H89)),"#,##0.000")&amp;"bn"&amp;"（Q4 2027 占 2027 "&amp;TEXT((H22/損益!D9)*100,"#,##0.0")&amp;"%"&amp;"，共識合計 "&amp;TEXT(((H37)/H87)*100,"#,##0.0")&amp;"%"&amp;"）；水準 "&amp;IF(H88&lt;0,"−","+")&amp;IF(ABS(H88)&lt;0,"−","")&amp;"$"&amp;TEXT(ABS(ABS(H88)),"#,##0.000")&amp;"bn"&amp;"）","營收 vs 共識 "&amp;IF(H47&lt;0,"−","+")&amp;TEXT(ABS(H47)*100,"#,##0.0")&amp;"%"&amp;"：觀點（水準 "&amp;IF(H88&lt;0,"−","+")&amp;IF(ABS(H88)&lt;0,"−","")&amp;"$"&amp;TEXT(ABS(ABS(H88)),"#,##0.000")&amp;"bn"&amp;"（2027 模型 "&amp;IF(損益!D9&lt;0,"−","")&amp;"$"&amp;TEXT(ABS(損益!D9),"#,##0.000")&amp;"bn"&amp;"，共識合計 "&amp;IF(H87&lt;0,"−","")&amp;"$"&amp;TEXT(ABS(H87),"#,##0.000")&amp;"bn"&amp;"）；分配 "&amp;IF(H89&lt;0,"−","+")&amp;IF(ABS(H89)&lt;0,"−","")&amp;"$"&amp;TEXT(ABS(ABS(H89)),"#,##0.000")&amp;"bn"&amp;"；"&amp;"營收＝對外 AI 雲端（在役 MW × 每 MW 年收入，Tokenomics × k）＋各分部依近四季年增率收斂；年度總額線性分到各季，未建模第四季季節性"&amp;"）"),"營收 vs 共識 "&amp;IF(H47&lt;0,"−","+")&amp;TEXT(ABS(H47)*100,"#,##0.0")&amp;"%"&amp;"：觀點（"&amp;"營收＝對外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</row>
    <row r="91" customFormat="false" ht="15" hidden="true" customHeight="false" outlineLevel="1" collapsed="false">
      <c r="A91" s="3" t="s">
        <v>1329</v>
      </c>
      <c r="C91" s="48" t="str">
        <f aca="false">IF(ISNUMBER(C47),IF(ABS(C47)&gt;輸入與假設!$C$493,IF(ISNUMBER(C88),IF(ABS(C89)&gt;ABS(C88),"拆法","觀點"),"觀點"),""),"")</f>
        <v/>
      </c>
      <c r="D91" s="48" t="str">
        <f aca="false">IF(ISNUMBER(D47),IF(ABS(D47)&gt;輸入與假設!$C$493,IF(ISNUMBER(D88),IF(ABS(D89)&gt;ABS(D88),"拆法","觀點"),"觀點"),""),"")</f>
        <v/>
      </c>
      <c r="E91" s="48" t="str">
        <f aca="false">IF(ISNUMBER(E47),IF(ABS(E47)&gt;輸入與假設!$C$493,IF(ISNUMBER(E88),IF(ABS(E89)&gt;ABS(E88),"拆法","觀點"),"觀點"),""),"")</f>
        <v/>
      </c>
      <c r="F91" s="48" t="str">
        <f aca="false">IF(ISNUMBER(F47),IF(ABS(F47)&gt;輸入與假設!$C$493,IF(ISNUMBER(F88),IF(ABS(F89)&gt;ABS(F88),"拆法","觀點"),"觀點"),""),"")</f>
        <v/>
      </c>
      <c r="G91" s="48" t="str">
        <f aca="false">IF(ISNUMBER(G47),IF(ABS(G47)&gt;輸入與假設!$C$493,IF(ISNUMBER(G88),IF(ABS(G89)&gt;ABS(G88),"拆法","觀點"),"觀點"),""),"")</f>
        <v/>
      </c>
      <c r="H91" s="48" t="str">
        <f aca="false">IF(ISNUMBER(H47),IF(ABS(H47)&gt;輸入與假設!$C$493,IF(ISNUMBER(H88),IF(ABS(H89)&gt;ABS(H88),"拆法","觀點"),"觀點"),""),"")</f>
        <v/>
      </c>
    </row>
    <row r="92" customFormat="false" ht="15" hidden="true" customHeight="false" outlineLevel="1" collapsed="false">
      <c r="A92" s="3" t="s">
        <v>1330</v>
      </c>
      <c r="C92" s="48" t="str">
        <f aca="false">IF(ISNUMBER(C48),IF(OR(ABS(C48)&gt;輸入與假設!$C$493,C22&gt;C33,C22&lt;C32),"營收 vs 指引中點 "&amp;IF(C48&lt;0,"−","+")&amp;TEXT(ABS(C48)*100,"#,##0.0")&amp;"%"&amp;"：觀點（"&amp;"營收＝對外 AI 雲端（在役 MW × 每 MW 年收入，Tokenomics × k）＋各分部依近四季年增率收斂；年度總額線性分到各季，未建模第四季季節性"&amp;"）",""),"")</f>
        <v>營收 vs 指引中點 +9.1%：觀點（營收＝對外 AI 雲端（在役 MW × 每 MW 年收入，Tokenomics × k）＋各分部依近四季年增率收斂；年度總額線性分到各季，未建模第四季季節性）</v>
      </c>
      <c r="D92" s="48" t="str">
        <f aca="false">IF(ISNUMBER(D48),IF(OR(ABS(D48)&gt;輸入與假設!$C$493,D22&gt;D33,D22&lt;D32),"營收 vs 指引中點 "&amp;IF(D48&lt;0,"−","+")&amp;TEXT(ABS(D48)*100,"#,##0.0")&amp;"%"&amp;"：觀點（"&amp;"營收＝對外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E92" s="48" t="str">
        <f aca="false">IF(ISNUMBER(E48),IF(OR(ABS(E48)&gt;輸入與假設!$C$493,E22&gt;E33,E22&lt;E32),"營收 vs 指引中點 "&amp;IF(E48&lt;0,"−","+")&amp;TEXT(ABS(E48)*100,"#,##0.0")&amp;"%"&amp;"：觀點（"&amp;"營收＝對外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F92" s="48" t="str">
        <f aca="false">IF(ISNUMBER(F48),IF(OR(ABS(F48)&gt;輸入與假設!$C$493,F22&gt;F33,F22&lt;F32),"營收 vs 指引中點 "&amp;IF(F48&lt;0,"−","+")&amp;TEXT(ABS(F48)*100,"#,##0.0")&amp;"%"&amp;"：觀點（"&amp;"營收＝對外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G92" s="48" t="str">
        <f aca="false">IF(ISNUMBER(G48),IF(OR(ABS(G48)&gt;輸入與假設!$C$493,G22&gt;G33,G22&lt;G32),"營收 vs 指引中點 "&amp;IF(G48&lt;0,"−","+")&amp;TEXT(ABS(G48)*100,"#,##0.0")&amp;"%"&amp;"：觀點（"&amp;"營收＝對外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H92" s="48" t="str">
        <f aca="false">IF(ISNUMBER(H48),IF(OR(ABS(H48)&gt;輸入與假設!$C$493,H22&gt;H33,H22&lt;H32),"營收 vs 指引中點 "&amp;IF(H48&lt;0,"−","+")&amp;TEXT(ABS(H48)*100,"#,##0.0")&amp;"%"&amp;"：觀點（"&amp;"營收＝對外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</row>
    <row r="93" customFormat="false" ht="15" hidden="true" customHeight="false" outlineLevel="1" collapsed="false">
      <c r="A93" s="3" t="s">
        <v>1331</v>
      </c>
      <c r="C93" s="48" t="str">
        <f aca="false">IF(ISNUMBER(C48),IF(OR(ABS(C48)&gt;輸入與假設!$C$493,C22&gt;C33,C22&lt;C32),"觀點",""),"")</f>
        <v>觀點</v>
      </c>
      <c r="D93" s="48" t="str">
        <f aca="false">IF(ISNUMBER(D48),IF(OR(ABS(D48)&gt;輸入與假設!$C$493,D22&gt;D33,D22&lt;D32),"觀點",""),"")</f>
        <v/>
      </c>
      <c r="E93" s="48" t="str">
        <f aca="false">IF(ISNUMBER(E48),IF(OR(ABS(E48)&gt;輸入與假設!$C$493,E22&gt;E33,E22&lt;E32),"觀點",""),"")</f>
        <v/>
      </c>
      <c r="F93" s="48" t="str">
        <f aca="false">IF(ISNUMBER(F48),IF(OR(ABS(F48)&gt;輸入與假設!$C$493,F22&gt;F33,F22&lt;F32),"觀點",""),"")</f>
        <v/>
      </c>
      <c r="G93" s="48" t="str">
        <f aca="false">IF(ISNUMBER(G48),IF(OR(ABS(G48)&gt;輸入與假設!$C$493,G22&gt;G33,G22&lt;G32),"觀點",""),"")</f>
        <v/>
      </c>
      <c r="H93" s="48" t="str">
        <f aca="false">IF(ISNUMBER(H48),IF(OR(ABS(H48)&gt;輸入與假設!$C$493,H22&gt;H33,H22&lt;H32),"觀點",""),"")</f>
        <v/>
      </c>
    </row>
    <row r="94" customFormat="false" ht="15" hidden="true" customHeight="false" outlineLevel="1" collapsed="false">
      <c r="A94" s="3" t="s">
        <v>1332</v>
      </c>
      <c r="C94" s="48" t="str">
        <f aca="false">IF(ISNUMBER(C49),IF(ABS(C49)&gt;輸入與假設!$C$493,"營收 實際 vs 模型 "&amp;IF(C49&lt;0,"−","+")&amp;TEXT(ABS(C49)*100,"#,##0.0")&amp;"%"&amp;"：觀點（"&amp;"營收＝對外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D94" s="48" t="str">
        <f aca="false">IF(ISNUMBER(D49),IF(ABS(D49)&gt;輸入與假設!$C$493,"營收 實際 vs 模型 "&amp;IF(D49&lt;0,"−","+")&amp;TEXT(ABS(D49)*100,"#,##0.0")&amp;"%"&amp;"：觀點（"&amp;"營收＝對外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E94" s="48" t="str">
        <f aca="false">IF(ISNUMBER(E49),IF(ABS(E49)&gt;輸入與假設!$C$493,"營收 實際 vs 模型 "&amp;IF(E49&lt;0,"−","+")&amp;TEXT(ABS(E49)*100,"#,##0.0")&amp;"%"&amp;"：觀點（"&amp;"營收＝對外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F94" s="48" t="str">
        <f aca="false">IF(ISNUMBER(F49),IF(ABS(F49)&gt;輸入與假設!$C$493,"營收 實際 vs 模型 "&amp;IF(F49&lt;0,"−","+")&amp;TEXT(ABS(F49)*100,"#,##0.0")&amp;"%"&amp;"：觀點（"&amp;"營收＝對外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G94" s="48" t="str">
        <f aca="false">IF(ISNUMBER(G49),IF(ABS(G49)&gt;輸入與假設!$C$493,"營收 實際 vs 模型 "&amp;IF(G49&lt;0,"−","+")&amp;TEXT(ABS(G49)*100,"#,##0.0")&amp;"%"&amp;"：觀點（"&amp;"營收＝對外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H94" s="48" t="str">
        <f aca="false">IF(ISNUMBER(H49),IF(ABS(H49)&gt;輸入與假設!$C$493,"營收 實際 vs 模型 "&amp;IF(H49&lt;0,"−","+")&amp;TEXT(ABS(H49)*100,"#,##0.0")&amp;"%"&amp;"：觀點（"&amp;"營收＝對外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</row>
    <row r="95" customFormat="false" ht="15" hidden="true" customHeight="false" outlineLevel="1" collapsed="false">
      <c r="A95" s="3" t="s">
        <v>1333</v>
      </c>
      <c r="C95" s="48" t="str">
        <f aca="false">IF(ISNUMBER(C49),IF(ABS(C49)&gt;輸入與假設!$C$493,"觀點",""),"")</f>
        <v/>
      </c>
      <c r="D95" s="48" t="str">
        <f aca="false">IF(ISNUMBER(D49),IF(ABS(D49)&gt;輸入與假設!$C$493,"觀點",""),"")</f>
        <v/>
      </c>
      <c r="E95" s="48" t="str">
        <f aca="false">IF(ISNUMBER(E49),IF(ABS(E49)&gt;輸入與假設!$C$493,"觀點",""),"")</f>
        <v/>
      </c>
      <c r="F95" s="48" t="str">
        <f aca="false">IF(ISNUMBER(F49),IF(ABS(F49)&gt;輸入與假設!$C$493,"觀點",""),"")</f>
        <v/>
      </c>
      <c r="G95" s="48" t="str">
        <f aca="false">IF(ISNUMBER(G49),IF(ABS(G49)&gt;輸入與假設!$C$493,"觀點",""),"")</f>
        <v/>
      </c>
      <c r="H95" s="48" t="str">
        <f aca="false">IF(ISNUMBER(H49),IF(ABS(H49)&gt;輸入與假設!$C$493,"觀點",""),"")</f>
        <v/>
      </c>
    </row>
    <row r="96" customFormat="false" ht="15" hidden="true" customHeight="false" outlineLevel="1" collapsed="false">
      <c r="A96" s="3" t="s">
        <v>1334</v>
      </c>
      <c r="B96" s="11" t="s">
        <v>65</v>
      </c>
      <c r="C96" s="66" t="str">
        <f aca="false">IF(COUNT(C38,D38)=2,C38+D38,"不適用")</f>
        <v>不適用</v>
      </c>
      <c r="D96" s="66" t="str">
        <f aca="false">IF(COUNT(C38,D38)=2,C38+D38,"不適用")</f>
        <v>不適用</v>
      </c>
      <c r="E96" s="66" t="str">
        <f aca="false">IF(COUNT(E38,F38,G38,H38)=4,E38+F38+G38+H38,"不適用")</f>
        <v>不適用</v>
      </c>
      <c r="F96" s="66" t="str">
        <f aca="false">IF(COUNT(E38,F38,G38,H38)=4,E38+F38+G38+H38,"不適用")</f>
        <v>不適用</v>
      </c>
      <c r="G96" s="66" t="str">
        <f aca="false">IF(COUNT(E38,F38,G38,H38)=4,E38+F38+G38+H38,"不適用")</f>
        <v>不適用</v>
      </c>
      <c r="H96" s="66" t="str">
        <f aca="false">IF(COUNT(E38,F38,G38,H38)=4,E38+F38+G38+H38,"不適用")</f>
        <v>不適用</v>
      </c>
      <c r="J96" s="6" t="s">
        <v>1323</v>
      </c>
    </row>
    <row r="97" customFormat="false" ht="15" hidden="true" customHeight="false" outlineLevel="1" collapsed="false">
      <c r="A97" s="3" t="s">
        <v>1335</v>
      </c>
      <c r="B97" s="11" t="s">
        <v>65</v>
      </c>
      <c r="C97" s="66" t="str">
        <f aca="false">IF(AND(ISNUMBER(C96),C96&lt;&gt;0,ISNUMBER(C38),ISNUMBER(C28)),(損益!C22-C96)*(C38)/C96,"不適用")</f>
        <v>不適用</v>
      </c>
      <c r="D97" s="66" t="str">
        <f aca="false">IF(AND(ISNUMBER(D96),D96&lt;&gt;0,ISNUMBER(D38),ISNUMBER(D28)),(損益!C22-D96)*(D38)/D96,"不適用")</f>
        <v>不適用</v>
      </c>
      <c r="E97" s="66" t="str">
        <f aca="false">IF(AND(ISNUMBER(E96),E96&lt;&gt;0,ISNUMBER(E38),ISNUMBER(E28)),(損益!D22-E96)*(E38)/E96,"不適用")</f>
        <v>不適用</v>
      </c>
      <c r="F97" s="66" t="str">
        <f aca="false">IF(AND(ISNUMBER(F96),F96&lt;&gt;0,ISNUMBER(F38),ISNUMBER(F28)),(損益!D22-F96)*(F38)/F96,"不適用")</f>
        <v>不適用</v>
      </c>
      <c r="G97" s="66" t="str">
        <f aca="false">IF(AND(ISNUMBER(G96),G96&lt;&gt;0,ISNUMBER(G38),ISNUMBER(G28)),(損益!D22-G96)*(G38)/G96,"不適用")</f>
        <v>不適用</v>
      </c>
      <c r="H97" s="66" t="str">
        <f aca="false">IF(AND(ISNUMBER(H96),H96&lt;&gt;0,ISNUMBER(H38),ISNUMBER(H28)),(損益!D22-H96)*(H38)/H96,"不適用")</f>
        <v>不適用</v>
      </c>
      <c r="J97" s="11" t="s">
        <v>1325</v>
      </c>
    </row>
    <row r="98" customFormat="false" ht="15" hidden="true" customHeight="false" outlineLevel="1" collapsed="false">
      <c r="A98" s="3" t="s">
        <v>1336</v>
      </c>
      <c r="B98" s="11" t="s">
        <v>65</v>
      </c>
      <c r="C98" s="66" t="str">
        <f aca="false">IF(AND(ISNUMBER(C96),C96&lt;&gt;0,ISNUMBER(C38),ISNUMBER(C28)),(C28/損益!C22-(C38)/C96)*損益!C22,"不適用")</f>
        <v>不適用</v>
      </c>
      <c r="D98" s="66" t="str">
        <f aca="false">IF(AND(ISNUMBER(D96),D96&lt;&gt;0,ISNUMBER(D38),ISNUMBER(D28)),(D28/損益!C22-(D38)/D96)*損益!C22,"不適用")</f>
        <v>不適用</v>
      </c>
      <c r="E98" s="66" t="str">
        <f aca="false">IF(AND(ISNUMBER(E96),E96&lt;&gt;0,ISNUMBER(E38),ISNUMBER(E28)),(E28/損益!D22-(E38)/E96)*損益!D22,"不適用")</f>
        <v>不適用</v>
      </c>
      <c r="F98" s="66" t="str">
        <f aca="false">IF(AND(ISNUMBER(F96),F96&lt;&gt;0,ISNUMBER(F38),ISNUMBER(F28)),(F28/損益!D22-(F38)/F96)*損益!D22,"不適用")</f>
        <v>不適用</v>
      </c>
      <c r="G98" s="66" t="str">
        <f aca="false">IF(AND(ISNUMBER(G96),G96&lt;&gt;0,ISNUMBER(G38),ISNUMBER(G28)),(G28/損益!D22-(G38)/G96)*損益!D22,"不適用")</f>
        <v>不適用</v>
      </c>
      <c r="H98" s="66" t="str">
        <f aca="false">IF(AND(ISNUMBER(H96),H96&lt;&gt;0,ISNUMBER(H38),ISNUMBER(H28)),(H28/損益!D22-(H38)/H96)*損益!D22,"不適用")</f>
        <v>不適用</v>
      </c>
      <c r="J98" s="11" t="s">
        <v>1327</v>
      </c>
    </row>
    <row r="99" customFormat="false" ht="15" hidden="true" customHeight="false" outlineLevel="1" collapsed="false">
      <c r="A99" s="3" t="s">
        <v>1337</v>
      </c>
      <c r="C99" s="48" t="str">
        <f aca="false">IF(ISNUMBER(C52),IF(IF(ISNUMBER(C57),ABS(C57)&gt;輸入與假設!$C$494,OR(AND(C38&lt;&gt;0,ABS(C52)&gt;輸入與假設!$C$493*ABS(C38)),AND(C38=0,C52&lt;&gt;0))),IF(ISNUMBER(C97),IF(ABS(C98)&gt;ABS(C97),"調整後 EBITDA vs 共識 "&amp;IF(C52&lt;0,"−","+")&amp;IF(ABS(C52)&lt;0,"−","")&amp;"$"&amp;TEXT(ABS(ABS(C52)),"#,##0.00")&amp;"bn"&amp;IF(ISNUMBER(C57),"／"&amp;IF(C57&lt;0,"−","+")&amp;TEXT(ABS(C57)*100,"#,##0.0")&amp;"pt","")&amp;"：拆法（分配 "&amp;IF(C98&lt;0,"−","+")&amp;IF(ABS(C98)&lt;0,"−","")&amp;"$"&amp;TEXT(ABS(ABS(C98)),"#,##0.000")&amp;"bn"&amp;"（Q3 2026 占 2H26 "&amp;TEXT((C28/損益!C22)*100,"#,##0.0")&amp;"%"&amp;"，共識合計 "&amp;TEXT(((C38)/C96)*100,"#,##0.0")&amp;"%"&amp;"）；水準 "&amp;IF(C97&lt;0,"−","+")&amp;IF(ABS(C97)&lt;0,"−","")&amp;"$"&amp;TEXT(ABS(ABS(C97)),"#,##0.000")&amp;"bn"&amp;"）","調整後 EBITDA vs 共識 "&amp;IF(C52&lt;0,"−","+")&amp;IF(ABS(C52)&lt;0,"−","")&amp;"$"&amp;TEXT(ABS(ABS(C52)),"#,##0.00")&amp;"bn"&amp;IF(ISNUMBER(C57),"／"&amp;IF(C57&lt;0,"−","+")&amp;TEXT(ABS(C57)*100,"#,##0.0")&amp;"pt","")&amp;"：觀點（水準 "&amp;IF(C97&lt;0,"−","+")&amp;IF(ABS(C97)&lt;0,"−","")&amp;"$"&amp;TEXT(ABS(ABS(C97)),"#,##0.000")&amp;"bn"&amp;"（2H26 模型 "&amp;IF(損益!C22&lt;0,"−","")&amp;"$"&amp;TEXT(ABS(損益!C22),"#,##0.000")&amp;"bn"&amp;"，共識合計 "&amp;IF(C96&lt;0,"−","")&amp;"$"&amp;TEXT(ABS(C96),"#,##0.000")&amp;"bn"&amp;"）；分配 "&amp;IF(C98&lt;0,"−","+")&amp;IF(ABS(C98)&lt;0,"−","")&amp;"$"&amp;TEXT(ABS(ABS(C98)),"#,##0.000")&amp;"bn"&amp;"；"&amp;"模型 EBITDA 率 "&amp;IF((C27)&lt;0,"−","")&amp;TEXT(ABS((C27))*100,"#,##0.0")&amp;"%"&amp;"；EBITDA＝分部營業利益＋分攤 D&amp;A 與 AI 雲端 Tokenomics 由下而上營運成本"&amp;"）"),"調整後 EBITDA vs 共識 "&amp;IF(C52&lt;0,"−","+")&amp;IF(ABS(C52)&lt;0,"−","")&amp;"$"&amp;TEXT(ABS(ABS(C52)),"#,##0.00")&amp;"bn"&amp;IF(ISNUMBER(C57),"／"&amp;IF(C57&lt;0,"−","+")&amp;TEXT(ABS(C57)*100,"#,##0.0")&amp;"pt","")&amp;"：觀點（"&amp;"模型 EBITDA 率 "&amp;IF((C27)&lt;0,"−","")&amp;TEXT(ABS((C27))*100,"#,##0.0")&amp;"%"&amp;"；EBITDA＝分部營業利益＋分攤 D&amp;A 與 AI 雲端 Tokenomics 由下而上營運成本"&amp;"）"),""),"")</f>
        <v/>
      </c>
      <c r="D99" s="48" t="str">
        <f aca="false">IF(ISNUMBER(D52),IF(IF(ISNUMBER(D57),ABS(D57)&gt;輸入與假設!$C$494,OR(AND(D38&lt;&gt;0,ABS(D52)&gt;輸入與假設!$C$493*ABS(D38)),AND(D38=0,D52&lt;&gt;0))),IF(ISNUMBER(D97),IF(ABS(D98)&gt;ABS(D97),"調整後 EBITDA vs 共識 "&amp;IF(D52&lt;0,"−","+")&amp;IF(ABS(D52)&lt;0,"−","")&amp;"$"&amp;TEXT(ABS(ABS(D52)),"#,##0.00")&amp;"bn"&amp;IF(ISNUMBER(D57),"／"&amp;IF(D57&lt;0,"−","+")&amp;TEXT(ABS(D57)*100,"#,##0.0")&amp;"pt","")&amp;"：拆法（分配 "&amp;IF(D98&lt;0,"−","+")&amp;IF(ABS(D98)&lt;0,"−","")&amp;"$"&amp;TEXT(ABS(ABS(D98)),"#,##0.000")&amp;"bn"&amp;"（Q4 2026 占 2H26 "&amp;TEXT((D28/損益!C22)*100,"#,##0.0")&amp;"%"&amp;"，共識合計 "&amp;TEXT(((D38)/D96)*100,"#,##0.0")&amp;"%"&amp;"）；水準 "&amp;IF(D97&lt;0,"−","+")&amp;IF(ABS(D97)&lt;0,"−","")&amp;"$"&amp;TEXT(ABS(ABS(D97)),"#,##0.000")&amp;"bn"&amp;"）","調整後 EBITDA vs 共識 "&amp;IF(D52&lt;0,"−","+")&amp;IF(ABS(D52)&lt;0,"−","")&amp;"$"&amp;TEXT(ABS(ABS(D52)),"#,##0.00")&amp;"bn"&amp;IF(ISNUMBER(D57),"／"&amp;IF(D57&lt;0,"−","+")&amp;TEXT(ABS(D57)*100,"#,##0.0")&amp;"pt","")&amp;"：觀點（水準 "&amp;IF(D97&lt;0,"−","+")&amp;IF(ABS(D97)&lt;0,"−","")&amp;"$"&amp;TEXT(ABS(ABS(D97)),"#,##0.000")&amp;"bn"&amp;"（2H26 模型 "&amp;IF(損益!C22&lt;0,"−","")&amp;"$"&amp;TEXT(ABS(損益!C22),"#,##0.000")&amp;"bn"&amp;"，共識合計 "&amp;IF(D96&lt;0,"−","")&amp;"$"&amp;TEXT(ABS(D96),"#,##0.000")&amp;"bn"&amp;"）；分配 "&amp;IF(D98&lt;0,"−","+")&amp;IF(ABS(D98)&lt;0,"−","")&amp;"$"&amp;TEXT(ABS(ABS(D98)),"#,##0.000")&amp;"bn"&amp;"；"&amp;"模型 EBITDA 率 "&amp;IF((D27)&lt;0,"−","")&amp;TEXT(ABS((D27))*100,"#,##0.0")&amp;"%"&amp;"；EBITDA＝分部營業利益＋分攤 D&amp;A 與 AI 雲端 Tokenomics 由下而上營運成本"&amp;"）"),"調整後 EBITDA vs 共識 "&amp;IF(D52&lt;0,"−","+")&amp;IF(ABS(D52)&lt;0,"−","")&amp;"$"&amp;TEXT(ABS(ABS(D52)),"#,##0.00")&amp;"bn"&amp;IF(ISNUMBER(D57),"／"&amp;IF(D57&lt;0,"−","+")&amp;TEXT(ABS(D57)*100,"#,##0.0")&amp;"pt","")&amp;"：觀點（"&amp;"模型 EBITDA 率 "&amp;IF((D27)&lt;0,"−","")&amp;TEXT(ABS((D27))*100,"#,##0.0")&amp;"%"&amp;"；EBITDA＝分部營業利益＋分攤 D&amp;A 與 AI 雲端 Tokenomics 由下而上營運成本"&amp;"）"),""),"")</f>
        <v/>
      </c>
      <c r="E99" s="48" t="str">
        <f aca="false">IF(ISNUMBER(E52),IF(IF(ISNUMBER(E57),ABS(E57)&gt;輸入與假設!$C$494,OR(AND(E38&lt;&gt;0,ABS(E52)&gt;輸入與假設!$C$493*ABS(E38)),AND(E38=0,E52&lt;&gt;0))),IF(ISNUMBER(E97),IF(ABS(E98)&gt;ABS(E97),"調整後 EBITDA vs 共識 "&amp;IF(E52&lt;0,"−","+")&amp;IF(ABS(E52)&lt;0,"−","")&amp;"$"&amp;TEXT(ABS(ABS(E52)),"#,##0.00")&amp;"bn"&amp;IF(ISNUMBER(E57),"／"&amp;IF(E57&lt;0,"−","+")&amp;TEXT(ABS(E57)*100,"#,##0.0")&amp;"pt","")&amp;"：拆法（分配 "&amp;IF(E98&lt;0,"−","+")&amp;IF(ABS(E98)&lt;0,"−","")&amp;"$"&amp;TEXT(ABS(ABS(E98)),"#,##0.000")&amp;"bn"&amp;"（Q1 2027 占 2027 "&amp;TEXT((E28/損益!D22)*100,"#,##0.0")&amp;"%"&amp;"，共識合計 "&amp;TEXT(((E38)/E96)*100,"#,##0.0")&amp;"%"&amp;"）；水準 "&amp;IF(E97&lt;0,"−","+")&amp;IF(ABS(E97)&lt;0,"−","")&amp;"$"&amp;TEXT(ABS(ABS(E97)),"#,##0.000")&amp;"bn"&amp;"）","調整後 EBITDA vs 共識 "&amp;IF(E52&lt;0,"−","+")&amp;IF(ABS(E52)&lt;0,"−","")&amp;"$"&amp;TEXT(ABS(ABS(E52)),"#,##0.00")&amp;"bn"&amp;IF(ISNUMBER(E57),"／"&amp;IF(E57&lt;0,"−","+")&amp;TEXT(ABS(E57)*100,"#,##0.0")&amp;"pt","")&amp;"：觀點（水準 "&amp;IF(E97&lt;0,"−","+")&amp;IF(ABS(E97)&lt;0,"−","")&amp;"$"&amp;TEXT(ABS(ABS(E97)),"#,##0.000")&amp;"bn"&amp;"（2027 模型 "&amp;IF(損益!D22&lt;0,"−","")&amp;"$"&amp;TEXT(ABS(損益!D22),"#,##0.000")&amp;"bn"&amp;"，共識合計 "&amp;IF(E96&lt;0,"−","")&amp;"$"&amp;TEXT(ABS(E96),"#,##0.000")&amp;"bn"&amp;"）；分配 "&amp;IF(E98&lt;0,"−","+")&amp;IF(ABS(E98)&lt;0,"−","")&amp;"$"&amp;TEXT(ABS(ABS(E98)),"#,##0.000")&amp;"bn"&amp;"；"&amp;"模型 EBITDA 率 "&amp;IF((E27)&lt;0,"−","")&amp;TEXT(ABS((E27))*100,"#,##0.0")&amp;"%"&amp;"；EBITDA＝分部營業利益＋分攤 D&amp;A 與 AI 雲端 Tokenomics 由下而上營運成本"&amp;"）"),"調整後 EBITDA vs 共識 "&amp;IF(E52&lt;0,"−","+")&amp;IF(ABS(E52)&lt;0,"−","")&amp;"$"&amp;TEXT(ABS(ABS(E52)),"#,##0.00")&amp;"bn"&amp;IF(ISNUMBER(E57),"／"&amp;IF(E57&lt;0,"−","+")&amp;TEXT(ABS(E57)*100,"#,##0.0")&amp;"pt","")&amp;"：觀點（"&amp;"模型 EBITDA 率 "&amp;IF((E27)&lt;0,"−","")&amp;TEXT(ABS((E27))*100,"#,##0.0")&amp;"%"&amp;"；EBITDA＝分部營業利益＋分攤 D&amp;A 與 AI 雲端 Tokenomics 由下而上營運成本"&amp;"）"),""),"")</f>
        <v/>
      </c>
      <c r="F99" s="48" t="str">
        <f aca="false">IF(ISNUMBER(F52),IF(IF(ISNUMBER(F57),ABS(F57)&gt;輸入與假設!$C$494,OR(AND(F38&lt;&gt;0,ABS(F52)&gt;輸入與假設!$C$493*ABS(F38)),AND(F38=0,F52&lt;&gt;0))),IF(ISNUMBER(F97),IF(ABS(F98)&gt;ABS(F97),"調整後 EBITDA vs 共識 "&amp;IF(F52&lt;0,"−","+")&amp;IF(ABS(F52)&lt;0,"−","")&amp;"$"&amp;TEXT(ABS(ABS(F52)),"#,##0.00")&amp;"bn"&amp;IF(ISNUMBER(F57),"／"&amp;IF(F57&lt;0,"−","+")&amp;TEXT(ABS(F57)*100,"#,##0.0")&amp;"pt","")&amp;"：拆法（分配 "&amp;IF(F98&lt;0,"−","+")&amp;IF(ABS(F98)&lt;0,"−","")&amp;"$"&amp;TEXT(ABS(ABS(F98)),"#,##0.000")&amp;"bn"&amp;"（Q2 2027 占 2027 "&amp;TEXT((F28/損益!D22)*100,"#,##0.0")&amp;"%"&amp;"，共識合計 "&amp;TEXT(((F38)/F96)*100,"#,##0.0")&amp;"%"&amp;"）；水準 "&amp;IF(F97&lt;0,"−","+")&amp;IF(ABS(F97)&lt;0,"−","")&amp;"$"&amp;TEXT(ABS(ABS(F97)),"#,##0.000")&amp;"bn"&amp;"）","調整後 EBITDA vs 共識 "&amp;IF(F52&lt;0,"−","+")&amp;IF(ABS(F52)&lt;0,"−","")&amp;"$"&amp;TEXT(ABS(ABS(F52)),"#,##0.00")&amp;"bn"&amp;IF(ISNUMBER(F57),"／"&amp;IF(F57&lt;0,"−","+")&amp;TEXT(ABS(F57)*100,"#,##0.0")&amp;"pt","")&amp;"：觀點（水準 "&amp;IF(F97&lt;0,"−","+")&amp;IF(ABS(F97)&lt;0,"−","")&amp;"$"&amp;TEXT(ABS(ABS(F97)),"#,##0.000")&amp;"bn"&amp;"（2027 模型 "&amp;IF(損益!D22&lt;0,"−","")&amp;"$"&amp;TEXT(ABS(損益!D22),"#,##0.000")&amp;"bn"&amp;"，共識合計 "&amp;IF(F96&lt;0,"−","")&amp;"$"&amp;TEXT(ABS(F96),"#,##0.000")&amp;"bn"&amp;"）；分配 "&amp;IF(F98&lt;0,"−","+")&amp;IF(ABS(F98)&lt;0,"−","")&amp;"$"&amp;TEXT(ABS(ABS(F98)),"#,##0.000")&amp;"bn"&amp;"；"&amp;"模型 EBITDA 率 "&amp;IF((F27)&lt;0,"−","")&amp;TEXT(ABS((F27))*100,"#,##0.0")&amp;"%"&amp;"；EBITDA＝分部營業利益＋分攤 D&amp;A 與 AI 雲端 Tokenomics 由下而上營運成本"&amp;"）"),"調整後 EBITDA vs 共識 "&amp;IF(F52&lt;0,"−","+")&amp;IF(ABS(F52)&lt;0,"−","")&amp;"$"&amp;TEXT(ABS(ABS(F52)),"#,##0.00")&amp;"bn"&amp;IF(ISNUMBER(F57),"／"&amp;IF(F57&lt;0,"−","+")&amp;TEXT(ABS(F57)*100,"#,##0.0")&amp;"pt","")&amp;"：觀點（"&amp;"模型 EBITDA 率 "&amp;IF((F27)&lt;0,"−","")&amp;TEXT(ABS((F27))*100,"#,##0.0")&amp;"%"&amp;"；EBITDA＝分部營業利益＋分攤 D&amp;A 與 AI 雲端 Tokenomics 由下而上營運成本"&amp;"）"),""),"")</f>
        <v/>
      </c>
      <c r="G99" s="48" t="str">
        <f aca="false">IF(ISNUMBER(G52),IF(IF(ISNUMBER(G57),ABS(G57)&gt;輸入與假設!$C$494,OR(AND(G38&lt;&gt;0,ABS(G52)&gt;輸入與假設!$C$493*ABS(G38)),AND(G38=0,G52&lt;&gt;0))),IF(ISNUMBER(G97),IF(ABS(G98)&gt;ABS(G97),"調整後 EBITDA vs 共識 "&amp;IF(G52&lt;0,"−","+")&amp;IF(ABS(G52)&lt;0,"−","")&amp;"$"&amp;TEXT(ABS(ABS(G52)),"#,##0.00")&amp;"bn"&amp;IF(ISNUMBER(G57),"／"&amp;IF(G57&lt;0,"−","+")&amp;TEXT(ABS(G57)*100,"#,##0.0")&amp;"pt","")&amp;"：拆法（分配 "&amp;IF(G98&lt;0,"−","+")&amp;IF(ABS(G98)&lt;0,"−","")&amp;"$"&amp;TEXT(ABS(ABS(G98)),"#,##0.000")&amp;"bn"&amp;"（Q3 2027 占 2027 "&amp;TEXT((G28/損益!D22)*100,"#,##0.0")&amp;"%"&amp;"，共識合計 "&amp;TEXT(((G38)/G96)*100,"#,##0.0")&amp;"%"&amp;"）；水準 "&amp;IF(G97&lt;0,"−","+")&amp;IF(ABS(G97)&lt;0,"−","")&amp;"$"&amp;TEXT(ABS(ABS(G97)),"#,##0.000")&amp;"bn"&amp;"）","調整後 EBITDA vs 共識 "&amp;IF(G52&lt;0,"−","+")&amp;IF(ABS(G52)&lt;0,"−","")&amp;"$"&amp;TEXT(ABS(ABS(G52)),"#,##0.00")&amp;"bn"&amp;IF(ISNUMBER(G57),"／"&amp;IF(G57&lt;0,"−","+")&amp;TEXT(ABS(G57)*100,"#,##0.0")&amp;"pt","")&amp;"：觀點（水準 "&amp;IF(G97&lt;0,"−","+")&amp;IF(ABS(G97)&lt;0,"−","")&amp;"$"&amp;TEXT(ABS(ABS(G97)),"#,##0.000")&amp;"bn"&amp;"（2027 模型 "&amp;IF(損益!D22&lt;0,"−","")&amp;"$"&amp;TEXT(ABS(損益!D22),"#,##0.000")&amp;"bn"&amp;"，共識合計 "&amp;IF(G96&lt;0,"−","")&amp;"$"&amp;TEXT(ABS(G96),"#,##0.000")&amp;"bn"&amp;"）；分配 "&amp;IF(G98&lt;0,"−","+")&amp;IF(ABS(G98)&lt;0,"−","")&amp;"$"&amp;TEXT(ABS(ABS(G98)),"#,##0.000")&amp;"bn"&amp;"；"&amp;"模型 EBITDA 率 "&amp;IF((G27)&lt;0,"−","")&amp;TEXT(ABS((G27))*100,"#,##0.0")&amp;"%"&amp;"；EBITDA＝分部營業利益＋分攤 D&amp;A 與 AI 雲端 Tokenomics 由下而上營運成本"&amp;"）"),"調整後 EBITDA vs 共識 "&amp;IF(G52&lt;0,"−","+")&amp;IF(ABS(G52)&lt;0,"−","")&amp;"$"&amp;TEXT(ABS(ABS(G52)),"#,##0.00")&amp;"bn"&amp;IF(ISNUMBER(G57),"／"&amp;IF(G57&lt;0,"−","+")&amp;TEXT(ABS(G57)*100,"#,##0.0")&amp;"pt","")&amp;"：觀點（"&amp;"模型 EBITDA 率 "&amp;IF((G27)&lt;0,"−","")&amp;TEXT(ABS((G27))*100,"#,##0.0")&amp;"%"&amp;"；EBITDA＝分部營業利益＋分攤 D&amp;A 與 AI 雲端 Tokenomics 由下而上營運成本"&amp;"）"),""),"")</f>
        <v/>
      </c>
      <c r="H99" s="48" t="str">
        <f aca="false">IF(ISNUMBER(H52),IF(IF(ISNUMBER(H57),ABS(H57)&gt;輸入與假設!$C$494,OR(AND(H38&lt;&gt;0,ABS(H52)&gt;輸入與假設!$C$493*ABS(H38)),AND(H38=0,H52&lt;&gt;0))),IF(ISNUMBER(H97),IF(ABS(H98)&gt;ABS(H97),"調整後 EBITDA vs 共識 "&amp;IF(H52&lt;0,"−","+")&amp;IF(ABS(H52)&lt;0,"−","")&amp;"$"&amp;TEXT(ABS(ABS(H52)),"#,##0.00")&amp;"bn"&amp;IF(ISNUMBER(H57),"／"&amp;IF(H57&lt;0,"−","+")&amp;TEXT(ABS(H57)*100,"#,##0.0")&amp;"pt","")&amp;"：拆法（分配 "&amp;IF(H98&lt;0,"−","+")&amp;IF(ABS(H98)&lt;0,"−","")&amp;"$"&amp;TEXT(ABS(ABS(H98)),"#,##0.000")&amp;"bn"&amp;"（Q4 2027 占 2027 "&amp;TEXT((H28/損益!D22)*100,"#,##0.0")&amp;"%"&amp;"，共識合計 "&amp;TEXT(((H38)/H96)*100,"#,##0.0")&amp;"%"&amp;"）；水準 "&amp;IF(H97&lt;0,"−","+")&amp;IF(ABS(H97)&lt;0,"−","")&amp;"$"&amp;TEXT(ABS(ABS(H97)),"#,##0.000")&amp;"bn"&amp;"）","調整後 EBITDA vs 共識 "&amp;IF(H52&lt;0,"−","+")&amp;IF(ABS(H52)&lt;0,"−","")&amp;"$"&amp;TEXT(ABS(ABS(H52)),"#,##0.00")&amp;"bn"&amp;IF(ISNUMBER(H57),"／"&amp;IF(H57&lt;0,"−","+")&amp;TEXT(ABS(H57)*100,"#,##0.0")&amp;"pt","")&amp;"：觀點（水準 "&amp;IF(H97&lt;0,"−","+")&amp;IF(ABS(H97)&lt;0,"−","")&amp;"$"&amp;TEXT(ABS(ABS(H97)),"#,##0.000")&amp;"bn"&amp;"（2027 模型 "&amp;IF(損益!D22&lt;0,"−","")&amp;"$"&amp;TEXT(ABS(損益!D22),"#,##0.000")&amp;"bn"&amp;"，共識合計 "&amp;IF(H96&lt;0,"−","")&amp;"$"&amp;TEXT(ABS(H96),"#,##0.000")&amp;"bn"&amp;"）；分配 "&amp;IF(H98&lt;0,"−","+")&amp;IF(ABS(H98)&lt;0,"−","")&amp;"$"&amp;TEXT(ABS(ABS(H98)),"#,##0.000")&amp;"bn"&amp;"；"&amp;"模型 EBITDA 率 "&amp;IF((H27)&lt;0,"−","")&amp;TEXT(ABS((H27))*100,"#,##0.0")&amp;"%"&amp;"；EBITDA＝分部營業利益＋分攤 D&amp;A 與 AI 雲端 Tokenomics 由下而上營運成本"&amp;"）"),"調整後 EBITDA vs 共識 "&amp;IF(H52&lt;0,"−","+")&amp;IF(ABS(H52)&lt;0,"−","")&amp;"$"&amp;TEXT(ABS(ABS(H52)),"#,##0.00")&amp;"bn"&amp;IF(ISNUMBER(H57),"／"&amp;IF(H57&lt;0,"−","+")&amp;TEXT(ABS(H57)*100,"#,##0.0")&amp;"pt","")&amp;"：觀點（"&amp;"模型 EBITDA 率 "&amp;IF((H27)&lt;0,"−","")&amp;TEXT(ABS((H27))*100,"#,##0.0")&amp;"%"&amp;"；EBITDA＝分部營業利益＋分攤 D&amp;A 與 AI 雲端 Tokenomics 由下而上營運成本"&amp;"）"),""),"")</f>
        <v/>
      </c>
    </row>
    <row r="100" customFormat="false" ht="15" hidden="true" customHeight="false" outlineLevel="1" collapsed="false">
      <c r="A100" s="3" t="s">
        <v>1338</v>
      </c>
      <c r="C100" s="48" t="str">
        <f aca="false">IF(ISNUMBER(C52),IF(IF(ISNUMBER(C57),ABS(C57)&gt;輸入與假設!$C$494,OR(AND(C38&lt;&gt;0,ABS(C52)&gt;輸入與假設!$C$493*ABS(C38)),AND(C38=0,C52&lt;&gt;0))),IF(ISNUMBER(C97),IF(ABS(C98)&gt;ABS(C97),"拆法","觀點"),"觀點"),""),"")</f>
        <v/>
      </c>
      <c r="D100" s="48" t="str">
        <f aca="false">IF(ISNUMBER(D52),IF(IF(ISNUMBER(D57),ABS(D57)&gt;輸入與假設!$C$494,OR(AND(D38&lt;&gt;0,ABS(D52)&gt;輸入與假設!$C$493*ABS(D38)),AND(D38=0,D52&lt;&gt;0))),IF(ISNUMBER(D97),IF(ABS(D98)&gt;ABS(D97),"拆法","觀點"),"觀點"),""),"")</f>
        <v/>
      </c>
      <c r="E100" s="48" t="str">
        <f aca="false">IF(ISNUMBER(E52),IF(IF(ISNUMBER(E57),ABS(E57)&gt;輸入與假設!$C$494,OR(AND(E38&lt;&gt;0,ABS(E52)&gt;輸入與假設!$C$493*ABS(E38)),AND(E38=0,E52&lt;&gt;0))),IF(ISNUMBER(E97),IF(ABS(E98)&gt;ABS(E97),"拆法","觀點"),"觀點"),""),"")</f>
        <v/>
      </c>
      <c r="F100" s="48" t="str">
        <f aca="false">IF(ISNUMBER(F52),IF(IF(ISNUMBER(F57),ABS(F57)&gt;輸入與假設!$C$494,OR(AND(F38&lt;&gt;0,ABS(F52)&gt;輸入與假設!$C$493*ABS(F38)),AND(F38=0,F52&lt;&gt;0))),IF(ISNUMBER(F97),IF(ABS(F98)&gt;ABS(F97),"拆法","觀點"),"觀點"),""),"")</f>
        <v/>
      </c>
      <c r="G100" s="48" t="str">
        <f aca="false">IF(ISNUMBER(G52),IF(IF(ISNUMBER(G57),ABS(G57)&gt;輸入與假設!$C$494,OR(AND(G38&lt;&gt;0,ABS(G52)&gt;輸入與假設!$C$493*ABS(G38)),AND(G38=0,G52&lt;&gt;0))),IF(ISNUMBER(G97),IF(ABS(G98)&gt;ABS(G97),"拆法","觀點"),"觀點"),""),"")</f>
        <v/>
      </c>
      <c r="H100" s="48" t="str">
        <f aca="false">IF(ISNUMBER(H52),IF(IF(ISNUMBER(H57),ABS(H57)&gt;輸入與假設!$C$494,OR(AND(H38&lt;&gt;0,ABS(H52)&gt;輸入與假設!$C$493*ABS(H38)),AND(H38=0,H52&lt;&gt;0))),IF(ISNUMBER(H97),IF(ABS(H98)&gt;ABS(H97),"拆法","觀點"),"觀點"),""),"")</f>
        <v/>
      </c>
    </row>
    <row r="101" customFormat="false" ht="15" hidden="true" customHeight="false" outlineLevel="1" collapsed="false">
      <c r="A101" s="3" t="s">
        <v>1339</v>
      </c>
      <c r="C101" s="48"/>
      <c r="D101" s="48"/>
      <c r="E101" s="48"/>
      <c r="F101" s="48"/>
      <c r="G101" s="48"/>
      <c r="H101" s="48"/>
    </row>
    <row r="102" customFormat="false" ht="15" hidden="true" customHeight="false" outlineLevel="1" collapsed="false">
      <c r="A102" s="3" t="s">
        <v>1340</v>
      </c>
      <c r="C102" s="48"/>
      <c r="D102" s="48"/>
      <c r="E102" s="48"/>
      <c r="F102" s="48"/>
      <c r="G102" s="48"/>
      <c r="H102" s="48"/>
    </row>
    <row r="103" customFormat="false" ht="15" hidden="true" customHeight="false" outlineLevel="1" collapsed="false">
      <c r="A103" s="3" t="s">
        <v>1341</v>
      </c>
      <c r="C103" s="48" t="str">
        <f aca="false">IF(ISNUMBER(C54),IF(IF(ISNUMBER(C59),ABS(C59)&gt;輸入與假設!$C$494,OR(AND(C28&lt;&gt;0,ABS(C54)&gt;輸入與假設!$C$493*ABS(C28)),AND(C28=0,C54&lt;&gt;0))),"調整後 EBITDA 實際 vs 模型 "&amp;IF(C54&lt;0,"−","+")&amp;IF(ABS(C54)&lt;0,"−","")&amp;"$"&amp;TEXT(ABS(ABS(C54)),"#,##0.00")&amp;"bn"&amp;IF(ISNUMBER(C59),"／"&amp;IF(C59&lt;0,"−","+")&amp;TEXT(ABS(C59)*100,"#,##0.0")&amp;"pt","")&amp;"：觀點（"&amp;"模型 EBITDA 率 "&amp;IF((C27)&lt;0,"−","")&amp;TEXT(ABS((C27))*100,"#,##0.0")&amp;"%"&amp;"；EBITDA＝分部營業利益＋分攤 D&amp;A 與 AI 雲端 Tokenomics 由下而上營運成本"&amp;"）",""),"")</f>
        <v/>
      </c>
      <c r="D103" s="48" t="str">
        <f aca="false">IF(ISNUMBER(D54),IF(IF(ISNUMBER(D59),ABS(D59)&gt;輸入與假設!$C$494,OR(AND(D28&lt;&gt;0,ABS(D54)&gt;輸入與假設!$C$493*ABS(D28)),AND(D28=0,D54&lt;&gt;0))),"調整後 EBITDA 實際 vs 模型 "&amp;IF(D54&lt;0,"−","+")&amp;IF(ABS(D54)&lt;0,"−","")&amp;"$"&amp;TEXT(ABS(ABS(D54)),"#,##0.00")&amp;"bn"&amp;IF(ISNUMBER(D59),"／"&amp;IF(D59&lt;0,"−","+")&amp;TEXT(ABS(D59)*100,"#,##0.0")&amp;"pt","")&amp;"：觀點（"&amp;"模型 EBITDA 率 "&amp;IF((D27)&lt;0,"−","")&amp;TEXT(ABS((D27))*100,"#,##0.0")&amp;"%"&amp;"；EBITDA＝分部營業利益＋分攤 D&amp;A 與 AI 雲端 Tokenomics 由下而上營運成本"&amp;"）",""),"")</f>
        <v/>
      </c>
      <c r="E103" s="48" t="str">
        <f aca="false">IF(ISNUMBER(E54),IF(IF(ISNUMBER(E59),ABS(E59)&gt;輸入與假設!$C$494,OR(AND(E28&lt;&gt;0,ABS(E54)&gt;輸入與假設!$C$493*ABS(E28)),AND(E28=0,E54&lt;&gt;0))),"調整後 EBITDA 實際 vs 模型 "&amp;IF(E54&lt;0,"−","+")&amp;IF(ABS(E54)&lt;0,"−","")&amp;"$"&amp;TEXT(ABS(ABS(E54)),"#,##0.00")&amp;"bn"&amp;IF(ISNUMBER(E59),"／"&amp;IF(E59&lt;0,"−","+")&amp;TEXT(ABS(E59)*100,"#,##0.0")&amp;"pt","")&amp;"：觀點（"&amp;"模型 EBITDA 率 "&amp;IF((E27)&lt;0,"−","")&amp;TEXT(ABS((E27))*100,"#,##0.0")&amp;"%"&amp;"；EBITDA＝分部營業利益＋分攤 D&amp;A 與 AI 雲端 Tokenomics 由下而上營運成本"&amp;"）",""),"")</f>
        <v/>
      </c>
      <c r="F103" s="48" t="str">
        <f aca="false">IF(ISNUMBER(F54),IF(IF(ISNUMBER(F59),ABS(F59)&gt;輸入與假設!$C$494,OR(AND(F28&lt;&gt;0,ABS(F54)&gt;輸入與假設!$C$493*ABS(F28)),AND(F28=0,F54&lt;&gt;0))),"調整後 EBITDA 實際 vs 模型 "&amp;IF(F54&lt;0,"−","+")&amp;IF(ABS(F54)&lt;0,"−","")&amp;"$"&amp;TEXT(ABS(ABS(F54)),"#,##0.00")&amp;"bn"&amp;IF(ISNUMBER(F59),"／"&amp;IF(F59&lt;0,"−","+")&amp;TEXT(ABS(F59)*100,"#,##0.0")&amp;"pt","")&amp;"：觀點（"&amp;"模型 EBITDA 率 "&amp;IF((F27)&lt;0,"−","")&amp;TEXT(ABS((F27))*100,"#,##0.0")&amp;"%"&amp;"；EBITDA＝分部營業利益＋分攤 D&amp;A 與 AI 雲端 Tokenomics 由下而上營運成本"&amp;"）",""),"")</f>
        <v/>
      </c>
      <c r="G103" s="48" t="str">
        <f aca="false">IF(ISNUMBER(G54),IF(IF(ISNUMBER(G59),ABS(G59)&gt;輸入與假設!$C$494,OR(AND(G28&lt;&gt;0,ABS(G54)&gt;輸入與假設!$C$493*ABS(G28)),AND(G28=0,G54&lt;&gt;0))),"調整後 EBITDA 實際 vs 模型 "&amp;IF(G54&lt;0,"−","+")&amp;IF(ABS(G54)&lt;0,"−","")&amp;"$"&amp;TEXT(ABS(ABS(G54)),"#,##0.00")&amp;"bn"&amp;IF(ISNUMBER(G59),"／"&amp;IF(G59&lt;0,"−","+")&amp;TEXT(ABS(G59)*100,"#,##0.0")&amp;"pt","")&amp;"：觀點（"&amp;"模型 EBITDA 率 "&amp;IF((G27)&lt;0,"−","")&amp;TEXT(ABS((G27))*100,"#,##0.0")&amp;"%"&amp;"；EBITDA＝分部營業利益＋分攤 D&amp;A 與 AI 雲端 Tokenomics 由下而上營運成本"&amp;"）",""),"")</f>
        <v/>
      </c>
      <c r="H103" s="48" t="str">
        <f aca="false">IF(ISNUMBER(H54),IF(IF(ISNUMBER(H59),ABS(H59)&gt;輸入與假設!$C$494,OR(AND(H28&lt;&gt;0,ABS(H54)&gt;輸入與假設!$C$493*ABS(H28)),AND(H28=0,H54&lt;&gt;0))),"調整後 EBITDA 實際 vs 模型 "&amp;IF(H54&lt;0,"−","+")&amp;IF(ABS(H54)&lt;0,"−","")&amp;"$"&amp;TEXT(ABS(ABS(H54)),"#,##0.00")&amp;"bn"&amp;IF(ISNUMBER(H59),"／"&amp;IF(H59&lt;0,"−","+")&amp;TEXT(ABS(H59)*100,"#,##0.0")&amp;"pt","")&amp;"：觀點（"&amp;"模型 EBITDA 率 "&amp;IF((H27)&lt;0,"−","")&amp;TEXT(ABS((H27))*100,"#,##0.0")&amp;"%"&amp;"；EBITDA＝分部營業利益＋分攤 D&amp;A 與 AI 雲端 Tokenomics 由下而上營運成本"&amp;"）",""),"")</f>
        <v/>
      </c>
    </row>
    <row r="104" customFormat="false" ht="15" hidden="true" customHeight="false" outlineLevel="1" collapsed="false">
      <c r="A104" s="3" t="s">
        <v>1342</v>
      </c>
      <c r="C104" s="48" t="str">
        <f aca="false">IF(ISNUMBER(C54),IF(IF(ISNUMBER(C59),ABS(C59)&gt;輸入與假設!$C$494,OR(AND(C28&lt;&gt;0,ABS(C54)&gt;輸入與假設!$C$493*ABS(C28)),AND(C28=0,C54&lt;&gt;0))),"觀點",""),"")</f>
        <v/>
      </c>
      <c r="D104" s="48" t="str">
        <f aca="false">IF(ISNUMBER(D54),IF(IF(ISNUMBER(D59),ABS(D59)&gt;輸入與假設!$C$494,OR(AND(D28&lt;&gt;0,ABS(D54)&gt;輸入與假設!$C$493*ABS(D28)),AND(D28=0,D54&lt;&gt;0))),"觀點",""),"")</f>
        <v/>
      </c>
      <c r="E104" s="48" t="str">
        <f aca="false">IF(ISNUMBER(E54),IF(IF(ISNUMBER(E59),ABS(E59)&gt;輸入與假設!$C$494,OR(AND(E28&lt;&gt;0,ABS(E54)&gt;輸入與假設!$C$493*ABS(E28)),AND(E28=0,E54&lt;&gt;0))),"觀點",""),"")</f>
        <v/>
      </c>
      <c r="F104" s="48" t="str">
        <f aca="false">IF(ISNUMBER(F54),IF(IF(ISNUMBER(F59),ABS(F59)&gt;輸入與假設!$C$494,OR(AND(F28&lt;&gt;0,ABS(F54)&gt;輸入與假設!$C$493*ABS(F28)),AND(F28=0,F54&lt;&gt;0))),"觀點",""),"")</f>
        <v/>
      </c>
      <c r="G104" s="48" t="str">
        <f aca="false">IF(ISNUMBER(G54),IF(IF(ISNUMBER(G59),ABS(G59)&gt;輸入與假設!$C$494,OR(AND(G28&lt;&gt;0,ABS(G54)&gt;輸入與假設!$C$493*ABS(G28)),AND(G28=0,G54&lt;&gt;0))),"觀點",""),"")</f>
        <v/>
      </c>
      <c r="H104" s="48" t="str">
        <f aca="false">IF(ISNUMBER(H54),IF(IF(ISNUMBER(H59),ABS(H59)&gt;輸入與假設!$C$494,OR(AND(H28&lt;&gt;0,ABS(H54)&gt;輸入與假設!$C$493*ABS(H28)),AND(H28=0,H54&lt;&gt;0))),"觀點",""),"")</f>
        <v/>
      </c>
    </row>
    <row r="105" customFormat="false" ht="15" hidden="true" customHeight="false" outlineLevel="1" collapsed="false">
      <c r="A105" s="3" t="s">
        <v>1343</v>
      </c>
      <c r="C105" s="48"/>
      <c r="D105" s="48"/>
      <c r="E105" s="48"/>
      <c r="F105" s="48"/>
      <c r="G105" s="48"/>
      <c r="H105" s="48"/>
    </row>
    <row r="106" customFormat="false" ht="15" hidden="true" customHeight="false" outlineLevel="1" collapsed="false">
      <c r="A106" s="3" t="s">
        <v>1344</v>
      </c>
      <c r="C106" s="48"/>
      <c r="D106" s="48"/>
      <c r="E106" s="48"/>
      <c r="F106" s="48"/>
      <c r="G106" s="48"/>
      <c r="H106" s="48"/>
    </row>
    <row r="107" customFormat="false" ht="15" hidden="true" customHeight="false" outlineLevel="1" collapsed="false">
      <c r="A107" s="3" t="s">
        <v>1345</v>
      </c>
      <c r="C107" s="48" t="str">
        <f aca="false">IF(ISNUMBER(C68),IF(OR(IF(ISNUMBER(C73),ABS(C73)&gt;輸入與假設!$C$494,OR(AND(((C34+C35)/2)&lt;&gt;0,ABS(C68)&gt;輸入與假設!$C$493*ABS(((C34+C35)/2))),AND(((C34+C35)/2)=0,C68&lt;&gt;0))),C31&gt;C35,C31&lt;C34),"調整後營業利益 vs 指引中點 "&amp;IF(C68&lt;0,"−","+")&amp;IF(ABS(C68)&lt;0,"−","")&amp;"$"&amp;TEXT(ABS(ABS(C68)),"#,##0.00")&amp;"bn"&amp;IF(ISNUMBER(C73),"／"&amp;IF(C73&lt;0,"−","+")&amp;TEXT(ABS(C73)*100,"#,##0.0")&amp;"pt","")&amp;"：觀點（"&amp;"模型折舊 "&amp;IF((C29)&lt;0,"−","")&amp;TEXT(ABS((C29)),"#,##0.00")&amp;" 依期初 PP&amp;E 與資本支出推算；營業利益＝EBITDA − 折舊，年度總額線性分到各季"&amp;"）",""),"")</f>
        <v>調整後營業利益 vs 指引中點 +$2.89bn／+0.3pt：觀點（模型折舊 14.00 依期初 PP&amp;E 與資本支出推算；營業利益＝EBITDA − 折舊，年度總額線性分到各季）</v>
      </c>
      <c r="D107" s="48" t="str">
        <f aca="false">IF(ISNUMBER(D68),IF(OR(IF(ISNUMBER(D73),ABS(D73)&gt;輸入與假設!$C$494,OR(AND(((D34+D35)/2)&lt;&gt;0,ABS(D68)&gt;輸入與假設!$C$493*ABS(((D34+D35)/2))),AND(((D34+D35)/2)=0,D68&lt;&gt;0))),D31&gt;D35,D31&lt;D34),"調整後營業利益 vs 指引中點 "&amp;IF(D68&lt;0,"−","+")&amp;IF(ABS(D68)&lt;0,"−","")&amp;"$"&amp;TEXT(ABS(ABS(D68)),"#,##0.00")&amp;"bn"&amp;IF(ISNUMBER(D73),"／"&amp;IF(D73&lt;0,"−","+")&amp;TEXT(ABS(D73)*100,"#,##0.0")&amp;"pt","")&amp;"：觀點（"&amp;"模型折舊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7" s="48" t="str">
        <f aca="false">IF(ISNUMBER(E68),IF(OR(IF(ISNUMBER(E73),ABS(E73)&gt;輸入與假設!$C$494,OR(AND(((E34+E35)/2)&lt;&gt;0,ABS(E68)&gt;輸入與假設!$C$493*ABS(((E34+E35)/2))),AND(((E34+E35)/2)=0,E68&lt;&gt;0))),E31&gt;E35,E31&lt;E34),"調整後營業利益 vs 指引中點 "&amp;IF(E68&lt;0,"−","+")&amp;IF(ABS(E68)&lt;0,"−","")&amp;"$"&amp;TEXT(ABS(ABS(E68)),"#,##0.00")&amp;"bn"&amp;IF(ISNUMBER(E73),"／"&amp;IF(E73&lt;0,"−","+")&amp;TEXT(ABS(E73)*100,"#,##0.0")&amp;"pt","")&amp;"：觀點（"&amp;"模型折舊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7" s="48" t="str">
        <f aca="false">IF(ISNUMBER(F68),IF(OR(IF(ISNUMBER(F73),ABS(F73)&gt;輸入與假設!$C$494,OR(AND(((F34+F35)/2)&lt;&gt;0,ABS(F68)&gt;輸入與假設!$C$493*ABS(((F34+F35)/2))),AND(((F34+F35)/2)=0,F68&lt;&gt;0))),F31&gt;F35,F31&lt;F34),"調整後營業利益 vs 指引中點 "&amp;IF(F68&lt;0,"−","+")&amp;IF(ABS(F68)&lt;0,"−","")&amp;"$"&amp;TEXT(ABS(ABS(F68)),"#,##0.00")&amp;"bn"&amp;IF(ISNUMBER(F73),"／"&amp;IF(F73&lt;0,"−","+")&amp;TEXT(ABS(F73)*100,"#,##0.0")&amp;"pt","")&amp;"：觀點（"&amp;"模型折舊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7" s="48" t="str">
        <f aca="false">IF(ISNUMBER(G68),IF(OR(IF(ISNUMBER(G73),ABS(G73)&gt;輸入與假設!$C$494,OR(AND(((G34+G35)/2)&lt;&gt;0,ABS(G68)&gt;輸入與假設!$C$493*ABS(((G34+G35)/2))),AND(((G34+G35)/2)=0,G68&lt;&gt;0))),G31&gt;G35,G31&lt;G34),"調整後營業利益 vs 指引中點 "&amp;IF(G68&lt;0,"−","+")&amp;IF(ABS(G68)&lt;0,"−","")&amp;"$"&amp;TEXT(ABS(ABS(G68)),"#,##0.00")&amp;"bn"&amp;IF(ISNUMBER(G73),"／"&amp;IF(G73&lt;0,"−","+")&amp;TEXT(ABS(G73)*100,"#,##0.0")&amp;"pt","")&amp;"：觀點（"&amp;"模型折舊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7" s="48" t="str">
        <f aca="false">IF(ISNUMBER(H68),IF(OR(IF(ISNUMBER(H73),ABS(H73)&gt;輸入與假設!$C$494,OR(AND(((H34+H35)/2)&lt;&gt;0,ABS(H68)&gt;輸入與假設!$C$493*ABS(((H34+H35)/2))),AND(((H34+H35)/2)=0,H68&lt;&gt;0))),H31&gt;H35,H31&lt;H34),"調整後營業利益 vs 指引中點 "&amp;IF(H68&lt;0,"−","+")&amp;IF(ABS(H68)&lt;0,"−","")&amp;"$"&amp;TEXT(ABS(ABS(H68)),"#,##0.00")&amp;"bn"&amp;IF(ISNUMBER(H73),"／"&amp;IF(H73&lt;0,"−","+")&amp;TEXT(ABS(H73)*100,"#,##0.0")&amp;"pt","")&amp;"：觀點（"&amp;"模型折舊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08" customFormat="false" ht="15" hidden="true" customHeight="false" outlineLevel="1" collapsed="false">
      <c r="A108" s="3" t="s">
        <v>1346</v>
      </c>
      <c r="C108" s="48" t="str">
        <f aca="false">IF(ISNUMBER(C68),IF(OR(IF(ISNUMBER(C73),ABS(C73)&gt;輸入與假設!$C$494,OR(AND(((C34+C35)/2)&lt;&gt;0,ABS(C68)&gt;輸入與假設!$C$493*ABS(((C34+C35)/2))),AND(((C34+C35)/2)=0,C68&lt;&gt;0))),C31&gt;C35,C31&lt;C34),"觀點",""),"")</f>
        <v>觀點</v>
      </c>
      <c r="D108" s="48" t="str">
        <f aca="false">IF(ISNUMBER(D68),IF(OR(IF(ISNUMBER(D73),ABS(D73)&gt;輸入與假設!$C$494,OR(AND(((D34+D35)/2)&lt;&gt;0,ABS(D68)&gt;輸入與假設!$C$493*ABS(((D34+D35)/2))),AND(((D34+D35)/2)=0,D68&lt;&gt;0))),D31&gt;D35,D31&lt;D34),"觀點",""),"")</f>
        <v/>
      </c>
      <c r="E108" s="48" t="str">
        <f aca="false">IF(ISNUMBER(E68),IF(OR(IF(ISNUMBER(E73),ABS(E73)&gt;輸入與假設!$C$494,OR(AND(((E34+E35)/2)&lt;&gt;0,ABS(E68)&gt;輸入與假設!$C$493*ABS(((E34+E35)/2))),AND(((E34+E35)/2)=0,E68&lt;&gt;0))),E31&gt;E35,E31&lt;E34),"觀點",""),"")</f>
        <v/>
      </c>
      <c r="F108" s="48" t="str">
        <f aca="false">IF(ISNUMBER(F68),IF(OR(IF(ISNUMBER(F73),ABS(F73)&gt;輸入與假設!$C$494,OR(AND(((F34+F35)/2)&lt;&gt;0,ABS(F68)&gt;輸入與假設!$C$493*ABS(((F34+F35)/2))),AND(((F34+F35)/2)=0,F68&lt;&gt;0))),F31&gt;F35,F31&lt;F34),"觀點",""),"")</f>
        <v/>
      </c>
      <c r="G108" s="48" t="str">
        <f aca="false">IF(ISNUMBER(G68),IF(OR(IF(ISNUMBER(G73),ABS(G73)&gt;輸入與假設!$C$494,OR(AND(((G34+G35)/2)&lt;&gt;0,ABS(G68)&gt;輸入與假設!$C$493*ABS(((G34+G35)/2))),AND(((G34+G35)/2)=0,G68&lt;&gt;0))),G31&gt;G35,G31&lt;G34),"觀點",""),"")</f>
        <v/>
      </c>
      <c r="H108" s="48" t="str">
        <f aca="false">IF(ISNUMBER(H68),IF(OR(IF(ISNUMBER(H73),ABS(H73)&gt;輸入與假設!$C$494,OR(AND(((H34+H35)/2)&lt;&gt;0,ABS(H68)&gt;輸入與假設!$C$493*ABS(((H34+H35)/2))),AND(((H34+H35)/2)=0,H68&lt;&gt;0))),H31&gt;H35,H31&lt;H34),"觀點",""),"")</f>
        <v/>
      </c>
    </row>
    <row r="109" customFormat="false" ht="15" hidden="true" customHeight="false" outlineLevel="1" collapsed="false">
      <c r="A109" s="3" t="s">
        <v>1347</v>
      </c>
      <c r="C109" s="48" t="str">
        <f aca="false">IF(ISNUMBER(C69),IF(IF(ISNUMBER(C74),ABS(C74)&gt;輸入與假設!$C$494,OR(AND(C31&lt;&gt;0,ABS(C69)&gt;輸入與假設!$C$493*ABS(C31)),AND(C31=0,C69&lt;&gt;0))),"調整後營業利益 實際 vs 模型 "&amp;IF(C69&lt;0,"−","+")&amp;IF(ABS(C69)&lt;0,"−","")&amp;"$"&amp;TEXT(ABS(ABS(C69)),"#,##0.00")&amp;"bn"&amp;IF(ISNUMBER(C74),"／"&amp;IF(C74&lt;0,"−","+")&amp;TEXT(ABS(C74)*100,"#,##0.0")&amp;"pt","")&amp;"：觀點（"&amp;"模型折舊 "&amp;IF((C29)&lt;0,"−","")&amp;TEXT(ABS((C29)),"#,##0.00")&amp;" 依期初 PP&amp;E 與資本支出推算；營業利益＝EBITDA − 折舊，年度總額線性分到各季"&amp;"）",""),"")</f>
        <v/>
      </c>
      <c r="D109" s="48" t="str">
        <f aca="false">IF(ISNUMBER(D69),IF(IF(ISNUMBER(D74),ABS(D74)&gt;輸入與假設!$C$494,OR(AND(D31&lt;&gt;0,ABS(D69)&gt;輸入與假設!$C$493*ABS(D31)),AND(D31=0,D69&lt;&gt;0))),"調整後營業利益 實際 vs 模型 "&amp;IF(D69&lt;0,"−","+")&amp;IF(ABS(D69)&lt;0,"−","")&amp;"$"&amp;TEXT(ABS(ABS(D69)),"#,##0.00")&amp;"bn"&amp;IF(ISNUMBER(D74),"／"&amp;IF(D74&lt;0,"−","+")&amp;TEXT(ABS(D74)*100,"#,##0.0")&amp;"pt","")&amp;"：觀點（"&amp;"模型折舊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9" s="48" t="str">
        <f aca="false">IF(ISNUMBER(E69),IF(IF(ISNUMBER(E74),ABS(E74)&gt;輸入與假設!$C$494,OR(AND(E31&lt;&gt;0,ABS(E69)&gt;輸入與假設!$C$493*ABS(E31)),AND(E31=0,E69&lt;&gt;0))),"調整後營業利益 實際 vs 模型 "&amp;IF(E69&lt;0,"−","+")&amp;IF(ABS(E69)&lt;0,"−","")&amp;"$"&amp;TEXT(ABS(ABS(E69)),"#,##0.00")&amp;"bn"&amp;IF(ISNUMBER(E74),"／"&amp;IF(E74&lt;0,"−","+")&amp;TEXT(ABS(E74)*100,"#,##0.0")&amp;"pt","")&amp;"：觀點（"&amp;"模型折舊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9" s="48" t="str">
        <f aca="false">IF(ISNUMBER(F69),IF(IF(ISNUMBER(F74),ABS(F74)&gt;輸入與假設!$C$494,OR(AND(F31&lt;&gt;0,ABS(F69)&gt;輸入與假設!$C$493*ABS(F31)),AND(F31=0,F69&lt;&gt;0))),"調整後營業利益 實際 vs 模型 "&amp;IF(F69&lt;0,"−","+")&amp;IF(ABS(F69)&lt;0,"−","")&amp;"$"&amp;TEXT(ABS(ABS(F69)),"#,##0.00")&amp;"bn"&amp;IF(ISNUMBER(F74),"／"&amp;IF(F74&lt;0,"−","+")&amp;TEXT(ABS(F74)*100,"#,##0.0")&amp;"pt","")&amp;"：觀點（"&amp;"模型折舊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9" s="48" t="str">
        <f aca="false">IF(ISNUMBER(G69),IF(IF(ISNUMBER(G74),ABS(G74)&gt;輸入與假設!$C$494,OR(AND(G31&lt;&gt;0,ABS(G69)&gt;輸入與假設!$C$493*ABS(G31)),AND(G31=0,G69&lt;&gt;0))),"調整後營業利益 實際 vs 模型 "&amp;IF(G69&lt;0,"−","+")&amp;IF(ABS(G69)&lt;0,"−","")&amp;"$"&amp;TEXT(ABS(ABS(G69)),"#,##0.00")&amp;"bn"&amp;IF(ISNUMBER(G74),"／"&amp;IF(G74&lt;0,"−","+")&amp;TEXT(ABS(G74)*100,"#,##0.0")&amp;"pt","")&amp;"：觀點（"&amp;"模型折舊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9" s="48" t="str">
        <f aca="false">IF(ISNUMBER(H69),IF(IF(ISNUMBER(H74),ABS(H74)&gt;輸入與假設!$C$494,OR(AND(H31&lt;&gt;0,ABS(H69)&gt;輸入與假設!$C$493*ABS(H31)),AND(H31=0,H69&lt;&gt;0))),"調整後營業利益 實際 vs 模型 "&amp;IF(H69&lt;0,"−","+")&amp;IF(ABS(H69)&lt;0,"−","")&amp;"$"&amp;TEXT(ABS(ABS(H69)),"#,##0.00")&amp;"bn"&amp;IF(ISNUMBER(H74),"／"&amp;IF(H74&lt;0,"−","+")&amp;TEXT(ABS(H74)*100,"#,##0.0")&amp;"pt","")&amp;"：觀點（"&amp;"模型折舊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10" customFormat="false" ht="15" hidden="true" customHeight="false" outlineLevel="1" collapsed="false">
      <c r="A110" s="3" t="s">
        <v>1348</v>
      </c>
      <c r="C110" s="48" t="str">
        <f aca="false">IF(ISNUMBER(C69),IF(IF(ISNUMBER(C74),ABS(C74)&gt;輸入與假設!$C$494,OR(AND(C31&lt;&gt;0,ABS(C69)&gt;輸入與假設!$C$493*ABS(C31)),AND(C31=0,C69&lt;&gt;0))),"觀點",""),"")</f>
        <v/>
      </c>
      <c r="D110" s="48" t="str">
        <f aca="false">IF(ISNUMBER(D69),IF(IF(ISNUMBER(D74),ABS(D74)&gt;輸入與假設!$C$494,OR(AND(D31&lt;&gt;0,ABS(D69)&gt;輸入與假設!$C$493*ABS(D31)),AND(D31=0,D69&lt;&gt;0))),"觀點",""),"")</f>
        <v/>
      </c>
      <c r="E110" s="48" t="str">
        <f aca="false">IF(ISNUMBER(E69),IF(IF(ISNUMBER(E74),ABS(E74)&gt;輸入與假設!$C$494,OR(AND(E31&lt;&gt;0,ABS(E69)&gt;輸入與假設!$C$493*ABS(E31)),AND(E31=0,E69&lt;&gt;0))),"觀點",""),"")</f>
        <v/>
      </c>
      <c r="F110" s="48" t="str">
        <f aca="false">IF(ISNUMBER(F69),IF(IF(ISNUMBER(F74),ABS(F74)&gt;輸入與假設!$C$494,OR(AND(F31&lt;&gt;0,ABS(F69)&gt;輸入與假設!$C$493*ABS(F31)),AND(F31=0,F69&lt;&gt;0))),"觀點",""),"")</f>
        <v/>
      </c>
      <c r="G110" s="48" t="str">
        <f aca="false">IF(ISNUMBER(G69),IF(IF(ISNUMBER(G74),ABS(G74)&gt;輸入與假設!$C$494,OR(AND(G31&lt;&gt;0,ABS(G69)&gt;輸入與假設!$C$493*ABS(G31)),AND(G31=0,G69&lt;&gt;0))),"觀點",""),"")</f>
        <v/>
      </c>
      <c r="H110" s="48" t="str">
        <f aca="false">IF(ISNUMBER(H69),IF(IF(ISNUMBER(H74),ABS(H74)&gt;輸入與假設!$C$494,OR(AND(H31&lt;&gt;0,ABS(H69)&gt;輸入與假設!$C$493*ABS(H31)),AND(H31=0,H69&lt;&gt;0))),"觀點",""),"")</f>
        <v/>
      </c>
    </row>
    <row r="111" customFormat="false" ht="15" hidden="true" customHeight="false" outlineLevel="1" collapsed="false">
      <c r="A111" s="3" t="s">
        <v>1349</v>
      </c>
      <c r="C111" s="48"/>
      <c r="D111" s="48"/>
      <c r="E111" s="48"/>
      <c r="F111" s="48"/>
      <c r="G111" s="48"/>
      <c r="H111" s="48"/>
    </row>
    <row r="112" customFormat="false" ht="15" hidden="true" customHeight="false" outlineLevel="1" collapsed="false">
      <c r="A112" s="3" t="s">
        <v>1350</v>
      </c>
      <c r="C112" s="48"/>
      <c r="D112" s="48"/>
      <c r="E112" s="48"/>
      <c r="F112" s="48"/>
      <c r="G112" s="48"/>
      <c r="H112" s="48"/>
    </row>
    <row r="113" customFormat="false" ht="15" hidden="true" customHeight="false" outlineLevel="1" collapsed="false">
      <c r="A113" s="3" t="s">
        <v>1351</v>
      </c>
      <c r="C113" s="48"/>
      <c r="D113" s="48"/>
      <c r="E113" s="48"/>
      <c r="F113" s="48"/>
      <c r="G113" s="48"/>
      <c r="H113" s="48"/>
    </row>
    <row r="114" customFormat="false" ht="15" hidden="true" customHeight="false" outlineLevel="1" collapsed="false">
      <c r="A114" s="3" t="s">
        <v>1352</v>
      </c>
      <c r="C114" s="48"/>
      <c r="D114" s="48"/>
      <c r="E114" s="48"/>
      <c r="F114" s="48"/>
      <c r="G114" s="48"/>
      <c r="H114" s="48"/>
    </row>
    <row r="115" customFormat="false" ht="15" hidden="true" customHeight="false" outlineLevel="1" collapsed="false">
      <c r="A115" s="3" t="s">
        <v>1353</v>
      </c>
      <c r="C115" s="48" t="str">
        <f aca="false">IF(ISNUMBER(C79),IF(ABS(C79)&gt;輸入與假設!$C$493,"CapEx（毛額） 實際 vs 模型 "&amp;IF(C79&lt;0,"−","+")&amp;TEXT(ABS(C79)*100,"#,##0.0")&amp;"%"&amp;"：觀點（"&amp;"首期資本支出＝2026 指引約 220 − 上半年實際；之後由 MW 推導（Tokenomics 每 MW 成本）"&amp;"）",""),"")</f>
        <v/>
      </c>
      <c r="D115" s="48" t="str">
        <f aca="false">IF(ISNUMBER(D79),IF(ABS(D79)&gt;輸入與假設!$C$493,"CapEx（毛額） 實際 vs 模型 "&amp;IF(D79&lt;0,"−","+")&amp;TEXT(ABS(D79)*100,"#,##0.0")&amp;"%"&amp;"：觀點（"&amp;"首期資本支出＝2026 指引約 220 − 上半年實際；之後由 MW 推導（Tokenomics 每 MW 成本）"&amp;"）",""),"")</f>
        <v/>
      </c>
      <c r="E115" s="48" t="str">
        <f aca="false">IF(ISNUMBER(E79),IF(ABS(E79)&gt;輸入與假設!$C$493,"CapEx（毛額） 實際 vs 模型 "&amp;IF(E79&lt;0,"−","+")&amp;TEXT(ABS(E79)*100,"#,##0.0")&amp;"%"&amp;"：觀點（"&amp;"首期資本支出＝2026 指引約 220 − 上半年實際；之後由 MW 推導（Tokenomics 每 MW 成本）"&amp;"）",""),"")</f>
        <v/>
      </c>
      <c r="F115" s="48" t="str">
        <f aca="false">IF(ISNUMBER(F79),IF(ABS(F79)&gt;輸入與假設!$C$493,"CapEx（毛額） 實際 vs 模型 "&amp;IF(F79&lt;0,"−","+")&amp;TEXT(ABS(F79)*100,"#,##0.0")&amp;"%"&amp;"：觀點（"&amp;"首期資本支出＝2026 指引約 220 − 上半年實際；之後由 MW 推導（Tokenomics 每 MW 成本）"&amp;"）",""),"")</f>
        <v/>
      </c>
      <c r="G115" s="48" t="str">
        <f aca="false">IF(ISNUMBER(G79),IF(ABS(G79)&gt;輸入與假設!$C$493,"CapEx（毛額） 實際 vs 模型 "&amp;IF(G79&lt;0,"−","+")&amp;TEXT(ABS(G79)*100,"#,##0.0")&amp;"%"&amp;"：觀點（"&amp;"首期資本支出＝2026 指引約 220 − 上半年實際；之後由 MW 推導（Tokenomics 每 MW 成本）"&amp;"）",""),"")</f>
        <v/>
      </c>
      <c r="H115" s="48" t="str">
        <f aca="false">IF(ISNUMBER(H79),IF(ABS(H79)&gt;輸入與假設!$C$493,"CapEx（毛額） 實際 vs 模型 "&amp;IF(H79&lt;0,"−","+")&amp;TEXT(ABS(H79)*100,"#,##0.0")&amp;"%"&amp;"：觀點（"&amp;"首期資本支出＝2026 指引約 220 − 上半年實際；之後由 MW 推導（Tokenomics 每 MW 成本）"&amp;"）",""),"")</f>
        <v/>
      </c>
    </row>
    <row r="116" customFormat="false" ht="15" hidden="true" customHeight="false" outlineLevel="1" collapsed="false">
      <c r="A116" s="3" t="s">
        <v>1354</v>
      </c>
      <c r="C116" s="48" t="str">
        <f aca="false">IF(ISNUMBER(C79),IF(ABS(C79)&gt;輸入與假設!$C$493,"觀點",""),"")</f>
        <v/>
      </c>
      <c r="D116" s="48" t="str">
        <f aca="false">IF(ISNUMBER(D79),IF(ABS(D79)&gt;輸入與假設!$C$493,"觀點",""),"")</f>
        <v/>
      </c>
      <c r="E116" s="48" t="str">
        <f aca="false">IF(ISNUMBER(E79),IF(ABS(E79)&gt;輸入與假設!$C$493,"觀點",""),"")</f>
        <v/>
      </c>
      <c r="F116" s="48" t="str">
        <f aca="false">IF(ISNUMBER(F79),IF(ABS(F79)&gt;輸入與假設!$C$493,"觀點",""),"")</f>
        <v/>
      </c>
      <c r="G116" s="48" t="str">
        <f aca="false">IF(ISNUMBER(G79),IF(ABS(G79)&gt;輸入與假設!$C$493,"觀點",""),"")</f>
        <v/>
      </c>
      <c r="H116" s="48" t="str">
        <f aca="false">IF(ISNUMBER(H79),IF(ABS(H79)&gt;輸入與假設!$C$493,"觀點",""),"")</f>
        <v/>
      </c>
    </row>
    <row r="117" customFormat="false" ht="15" hidden="true" customHeight="false" outlineLevel="1" collapsed="false">
      <c r="A117" s="3" t="s">
        <v>1355</v>
      </c>
      <c r="C117" s="48"/>
      <c r="D117" s="48"/>
      <c r="E117" s="48"/>
      <c r="F117" s="48"/>
      <c r="G117" s="48"/>
      <c r="H117" s="48"/>
    </row>
    <row r="118" customFormat="false" ht="15" hidden="true" customHeight="false" outlineLevel="1" collapsed="false">
      <c r="A118" s="3" t="s">
        <v>1356</v>
      </c>
      <c r="C118" s="48"/>
      <c r="D118" s="48"/>
      <c r="E118" s="48"/>
      <c r="F118" s="48"/>
      <c r="G118" s="48"/>
      <c r="H118" s="48"/>
    </row>
    <row r="119" customFormat="false" ht="15" hidden="true" customHeight="false" outlineLevel="1" collapsed="false">
      <c r="A119" s="3" t="s">
        <v>1357</v>
      </c>
      <c r="C119" s="48"/>
      <c r="D119" s="48"/>
      <c r="E119" s="48"/>
      <c r="F119" s="48"/>
      <c r="G119" s="48"/>
      <c r="H119" s="48"/>
    </row>
    <row r="120" customFormat="false" ht="15" hidden="true" customHeight="false" outlineLevel="1" collapsed="false">
      <c r="A120" s="3" t="s">
        <v>1358</v>
      </c>
      <c r="C120" s="48"/>
      <c r="D120" s="48"/>
      <c r="E120" s="48"/>
      <c r="F120" s="48"/>
      <c r="G120" s="48"/>
      <c r="H120" s="48"/>
    </row>
    <row r="121" customFormat="false" ht="15" hidden="true" customHeight="false" outlineLevel="1" collapsed="false">
      <c r="A121" s="3" t="s">
        <v>1359</v>
      </c>
      <c r="C121" s="48"/>
      <c r="D121" s="48"/>
      <c r="E121" s="48"/>
      <c r="F121" s="48"/>
      <c r="G121" s="48"/>
      <c r="H121" s="48"/>
    </row>
    <row r="122" customFormat="false" ht="15" hidden="true" customHeight="false" outlineLevel="1" collapsed="false">
      <c r="A122" s="3" t="s">
        <v>1360</v>
      </c>
      <c r="C122" s="48"/>
      <c r="D122" s="48"/>
      <c r="E122" s="48"/>
      <c r="F122" s="48"/>
      <c r="G122" s="48"/>
      <c r="H122" s="48"/>
    </row>
    <row r="123" customFormat="false" ht="15" hidden="true" customHeight="false" outlineLevel="1" collapsed="false">
      <c r="A123" s="3" t="s">
        <v>1361</v>
      </c>
      <c r="C123" s="48" t="str">
        <f aca="false">MID(IF(C90&lt;&gt;"","；"&amp;C90,"")&amp;IF(C92&lt;&gt;"","；"&amp;C92,"")&amp;IF(C94&lt;&gt;"","；"&amp;C94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&amp;IF(C119&lt;&gt;"","；"&amp;C119,"")&amp;IF(C121&lt;&gt;"","；"&amp;C121,""),2,9999)</f>
        <v>營收 vs 指引中點 +9.1%：觀點（營收＝對外 AI 雲端（在役 MW × 每 MW 年收入，Tokenomics × k）＋各分部依近四季年增率收斂；年度總額線性分到各季，未建模第四季季節性）；調整後營業利益 vs 指引中點 +$2.89bn／+0.3pt：觀點（模型折舊 14.00 依期初 PP&amp;E 與資本支出推算；營業利益＝EBITDA − 折舊，年度總額線性分到各季）</v>
      </c>
      <c r="D123" s="48" t="str">
        <f aca="false">MID(IF(D90&lt;&gt;"","；"&amp;D90,"")&amp;IF(D92&lt;&gt;"","；"&amp;D92,"")&amp;IF(D94&lt;&gt;"","；"&amp;D94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&amp;IF(D119&lt;&gt;"","；"&amp;D119,"")&amp;IF(D121&lt;&gt;"","；"&amp;D121,""),2,9999)</f>
        <v/>
      </c>
      <c r="E123" s="48" t="str">
        <f aca="false">MID(IF(E90&lt;&gt;"","；"&amp;E90,"")&amp;IF(E92&lt;&gt;"","；"&amp;E92,"")&amp;IF(E94&lt;&gt;"","；"&amp;E94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&amp;IF(E119&lt;&gt;"","；"&amp;E119,"")&amp;IF(E121&lt;&gt;"","；"&amp;E121,""),2,9999)</f>
        <v/>
      </c>
      <c r="F123" s="48" t="str">
        <f aca="false">MID(IF(F90&lt;&gt;"","；"&amp;F90,"")&amp;IF(F92&lt;&gt;"","；"&amp;F92,"")&amp;IF(F94&lt;&gt;"","；"&amp;F94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&amp;IF(F119&lt;&gt;"","；"&amp;F119,"")&amp;IF(F121&lt;&gt;"","；"&amp;F121,""),2,9999)</f>
        <v/>
      </c>
      <c r="G123" s="48" t="str">
        <f aca="false">MID(IF(G90&lt;&gt;"","；"&amp;G90,"")&amp;IF(G92&lt;&gt;"","；"&amp;G92,"")&amp;IF(G94&lt;&gt;"","；"&amp;G94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&amp;IF(G119&lt;&gt;"","；"&amp;G119,"")&amp;IF(G121&lt;&gt;"","；"&amp;G121,""),2,9999)</f>
        <v/>
      </c>
      <c r="H123" s="48" t="str">
        <f aca="false">MID(IF(H90&lt;&gt;"","；"&amp;H90,"")&amp;IF(H92&lt;&gt;"","；"&amp;H92,"")&amp;IF(H94&lt;&gt;"","；"&amp;H94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&amp;IF(H119&lt;&gt;"","；"&amp;H119,"")&amp;IF(H121&lt;&gt;"","；"&amp;H121,""),2,9999)</f>
        <v/>
      </c>
    </row>
    <row r="124" customFormat="false" ht="15" hidden="true" customHeight="false" outlineLevel="1" collapsed="false">
      <c r="A124" s="3" t="s">
        <v>1362</v>
      </c>
      <c r="C124" s="48" t="str">
        <f aca="false">IF((C91&amp;IF(AND(C93&lt;&gt;"",C93&lt;&gt;C91),IF((C91)&lt;&gt;"","、","")&amp;C93,"")&amp;IF(AND(C95&lt;&gt;"",C95&lt;&gt;C91,C95&lt;&gt;C93),IF((C91&amp;C93)&lt;&gt;"","、","")&amp;C95,""))&lt;&gt;"","〔"&amp;(C91&amp;IF(AND(C93&lt;&gt;"",C93&lt;&gt;C91),IF((C91)&lt;&gt;"","、","")&amp;C93,"")&amp;IF(AND(C95&lt;&gt;"",C95&lt;&gt;C91,C95&lt;&gt;C93),IF((C91&amp;C93)&lt;&gt;"","、","")&amp;C95,""))&amp;"〕","")</f>
        <v>〔觀點〕</v>
      </c>
      <c r="D124" s="48" t="str">
        <f aca="false">IF((D91&amp;IF(AND(D93&lt;&gt;"",D93&lt;&gt;D91),IF((D91)&lt;&gt;"","、","")&amp;D93,"")&amp;IF(AND(D95&lt;&gt;"",D95&lt;&gt;D91,D95&lt;&gt;D93),IF((D91&amp;D93)&lt;&gt;"","、","")&amp;D95,""))&lt;&gt;"","〔"&amp;(D91&amp;IF(AND(D93&lt;&gt;"",D93&lt;&gt;D91),IF((D91)&lt;&gt;"","、","")&amp;D93,"")&amp;IF(AND(D95&lt;&gt;"",D95&lt;&gt;D91,D95&lt;&gt;D93),IF((D91&amp;D93)&lt;&gt;"","、","")&amp;D95,""))&amp;"〕","")</f>
        <v/>
      </c>
      <c r="E124" s="48" t="str">
        <f aca="false">IF((E91&amp;IF(AND(E93&lt;&gt;"",E93&lt;&gt;E91),IF((E91)&lt;&gt;"","、","")&amp;E93,"")&amp;IF(AND(E95&lt;&gt;"",E95&lt;&gt;E91,E95&lt;&gt;E93),IF((E91&amp;E93)&lt;&gt;"","、","")&amp;E95,""))&lt;&gt;"","〔"&amp;(E91&amp;IF(AND(E93&lt;&gt;"",E93&lt;&gt;E91),IF((E91)&lt;&gt;"","、","")&amp;E93,"")&amp;IF(AND(E95&lt;&gt;"",E95&lt;&gt;E91,E95&lt;&gt;E93),IF((E91&amp;E93)&lt;&gt;"","、","")&amp;E95,""))&amp;"〕","")</f>
        <v/>
      </c>
      <c r="F124" s="48" t="str">
        <f aca="false">IF((F91&amp;IF(AND(F93&lt;&gt;"",F93&lt;&gt;F91),IF((F91)&lt;&gt;"","、","")&amp;F93,"")&amp;IF(AND(F95&lt;&gt;"",F95&lt;&gt;F91,F95&lt;&gt;F93),IF((F91&amp;F93)&lt;&gt;"","、","")&amp;F95,""))&lt;&gt;"","〔"&amp;(F91&amp;IF(AND(F93&lt;&gt;"",F93&lt;&gt;F91),IF((F91)&lt;&gt;"","、","")&amp;F93,"")&amp;IF(AND(F95&lt;&gt;"",F95&lt;&gt;F91,F95&lt;&gt;F93),IF((F91&amp;F93)&lt;&gt;"","、","")&amp;F95,""))&amp;"〕","")</f>
        <v/>
      </c>
      <c r="G124" s="48" t="str">
        <f aca="false">IF((G91&amp;IF(AND(G93&lt;&gt;"",G93&lt;&gt;G91),IF((G91)&lt;&gt;"","、","")&amp;G93,"")&amp;IF(AND(G95&lt;&gt;"",G95&lt;&gt;G91,G95&lt;&gt;G93),IF((G91&amp;G93)&lt;&gt;"","、","")&amp;G95,""))&lt;&gt;"","〔"&amp;(G91&amp;IF(AND(G93&lt;&gt;"",G93&lt;&gt;G91),IF((G91)&lt;&gt;"","、","")&amp;G93,"")&amp;IF(AND(G95&lt;&gt;"",G95&lt;&gt;G91,G95&lt;&gt;G93),IF((G91&amp;G93)&lt;&gt;"","、","")&amp;G95,""))&amp;"〕","")</f>
        <v/>
      </c>
      <c r="H124" s="48" t="str">
        <f aca="false">IF((H91&amp;IF(AND(H93&lt;&gt;"",H93&lt;&gt;H91),IF((H91)&lt;&gt;"","、","")&amp;H93,"")&amp;IF(AND(H95&lt;&gt;"",H95&lt;&gt;H91,H95&lt;&gt;H93),IF((H91&amp;H93)&lt;&gt;"","、","")&amp;H95,""))&lt;&gt;"","〔"&amp;(H91&amp;IF(AND(H93&lt;&gt;"",H93&lt;&gt;H91),IF((H91)&lt;&gt;"","、","")&amp;H93,"")&amp;IF(AND(H95&lt;&gt;"",H95&lt;&gt;H91,H95&lt;&gt;H93),IF((H91&amp;H93)&lt;&gt;"","、","")&amp;H95,""))&amp;"〕","")</f>
        <v/>
      </c>
    </row>
    <row r="125" customFormat="false" ht="15" hidden="true" customHeight="false" outlineLevel="1" collapsed="false">
      <c r="A125" s="3" t="s">
        <v>1363</v>
      </c>
      <c r="C125" s="48" t="str">
        <f aca="false">IF((C100&amp;IF(AND(C102&lt;&gt;"",C102&lt;&gt;C100),IF((C100)&lt;&gt;"","、","")&amp;C102,"")&amp;IF(AND(C104&lt;&gt;"",C104&lt;&gt;C100,C104&lt;&gt;C102),IF((C100&amp;C102)&lt;&gt;"","、","")&amp;C104,""))&lt;&gt;"","〔"&amp;(C100&amp;IF(AND(C102&lt;&gt;"",C102&lt;&gt;C100),IF((C100)&lt;&gt;"","、","")&amp;C102,"")&amp;IF(AND(C104&lt;&gt;"",C104&lt;&gt;C100,C104&lt;&gt;C102),IF((C100&amp;C102)&lt;&gt;"","、","")&amp;C104,""))&amp;"〕","")</f>
        <v/>
      </c>
      <c r="D125" s="48" t="str">
        <f aca="false">IF((D100&amp;IF(AND(D102&lt;&gt;"",D102&lt;&gt;D100),IF((D100)&lt;&gt;"","、","")&amp;D102,"")&amp;IF(AND(D104&lt;&gt;"",D104&lt;&gt;D100,D104&lt;&gt;D102),IF((D100&amp;D102)&lt;&gt;"","、","")&amp;D104,""))&lt;&gt;"","〔"&amp;(D100&amp;IF(AND(D102&lt;&gt;"",D102&lt;&gt;D100),IF((D100)&lt;&gt;"","、","")&amp;D102,"")&amp;IF(AND(D104&lt;&gt;"",D104&lt;&gt;D100,D104&lt;&gt;D102),IF((D100&amp;D102)&lt;&gt;"","、","")&amp;D104,""))&amp;"〕","")</f>
        <v/>
      </c>
      <c r="E125" s="48" t="str">
        <f aca="false">IF((E100&amp;IF(AND(E102&lt;&gt;"",E102&lt;&gt;E100),IF((E100)&lt;&gt;"","、","")&amp;E102,"")&amp;IF(AND(E104&lt;&gt;"",E104&lt;&gt;E100,E104&lt;&gt;E102),IF((E100&amp;E102)&lt;&gt;"","、","")&amp;E104,""))&lt;&gt;"","〔"&amp;(E100&amp;IF(AND(E102&lt;&gt;"",E102&lt;&gt;E100),IF((E100)&lt;&gt;"","、","")&amp;E102,"")&amp;IF(AND(E104&lt;&gt;"",E104&lt;&gt;E100,E104&lt;&gt;E102),IF((E100&amp;E102)&lt;&gt;"","、","")&amp;E104,""))&amp;"〕","")</f>
        <v/>
      </c>
      <c r="F125" s="48" t="str">
        <f aca="false">IF((F100&amp;IF(AND(F102&lt;&gt;"",F102&lt;&gt;F100),IF((F100)&lt;&gt;"","、","")&amp;F102,"")&amp;IF(AND(F104&lt;&gt;"",F104&lt;&gt;F100,F104&lt;&gt;F102),IF((F100&amp;F102)&lt;&gt;"","、","")&amp;F104,""))&lt;&gt;"","〔"&amp;(F100&amp;IF(AND(F102&lt;&gt;"",F102&lt;&gt;F100),IF((F100)&lt;&gt;"","、","")&amp;F102,"")&amp;IF(AND(F104&lt;&gt;"",F104&lt;&gt;F100,F104&lt;&gt;F102),IF((F100&amp;F102)&lt;&gt;"","、","")&amp;F104,""))&amp;"〕","")</f>
        <v/>
      </c>
      <c r="G125" s="48" t="str">
        <f aca="false">IF((G100&amp;IF(AND(G102&lt;&gt;"",G102&lt;&gt;G100),IF((G100)&lt;&gt;"","、","")&amp;G102,"")&amp;IF(AND(G104&lt;&gt;"",G104&lt;&gt;G100,G104&lt;&gt;G102),IF((G100&amp;G102)&lt;&gt;"","、","")&amp;G104,""))&lt;&gt;"","〔"&amp;(G100&amp;IF(AND(G102&lt;&gt;"",G102&lt;&gt;G100),IF((G100)&lt;&gt;"","、","")&amp;G102,"")&amp;IF(AND(G104&lt;&gt;"",G104&lt;&gt;G100,G104&lt;&gt;G102),IF((G100&amp;G102)&lt;&gt;"","、","")&amp;G104,""))&amp;"〕","")</f>
        <v/>
      </c>
      <c r="H125" s="48" t="str">
        <f aca="false">IF((H100&amp;IF(AND(H102&lt;&gt;"",H102&lt;&gt;H100),IF((H100)&lt;&gt;"","、","")&amp;H102,"")&amp;IF(AND(H104&lt;&gt;"",H104&lt;&gt;H100,H104&lt;&gt;H102),IF((H100&amp;H102)&lt;&gt;"","、","")&amp;H104,""))&lt;&gt;"","〔"&amp;(H100&amp;IF(AND(H102&lt;&gt;"",H102&lt;&gt;H100),IF((H100)&lt;&gt;"","、","")&amp;H102,"")&amp;IF(AND(H104&lt;&gt;"",H104&lt;&gt;H100,H104&lt;&gt;H102),IF((H100&amp;H102)&lt;&gt;"","、","")&amp;H104,""))&amp;"〕","")</f>
        <v/>
      </c>
    </row>
    <row r="126" customFormat="false" ht="15" hidden="true" customHeight="false" outlineLevel="1" collapsed="false">
      <c r="A126" s="3" t="s">
        <v>1364</v>
      </c>
      <c r="C126" s="48" t="str">
        <f aca="false">IF((C106&amp;IF(AND(C108&lt;&gt;"",C108&lt;&gt;C106),IF((C106)&lt;&gt;"","、","")&amp;C108,"")&amp;IF(AND(C110&lt;&gt;"",C110&lt;&gt;C106,C110&lt;&gt;C108),IF((C106&amp;C108)&lt;&gt;"","、","")&amp;C110,""))&lt;&gt;"","〔"&amp;(C106&amp;IF(AND(C108&lt;&gt;"",C108&lt;&gt;C106),IF((C106)&lt;&gt;"","、","")&amp;C108,"")&amp;IF(AND(C110&lt;&gt;"",C110&lt;&gt;C106,C110&lt;&gt;C108),IF((C106&amp;C108)&lt;&gt;"","、","")&amp;C110,""))&amp;"〕","")</f>
        <v>〔觀點〕</v>
      </c>
      <c r="D126" s="48" t="str">
        <f aca="false">IF((D106&amp;IF(AND(D108&lt;&gt;"",D108&lt;&gt;D106),IF((D106)&lt;&gt;"","、","")&amp;D108,"")&amp;IF(AND(D110&lt;&gt;"",D110&lt;&gt;D106,D110&lt;&gt;D108),IF((D106&amp;D108)&lt;&gt;"","、","")&amp;D110,""))&lt;&gt;"","〔"&amp;(D106&amp;IF(AND(D108&lt;&gt;"",D108&lt;&gt;D106),IF((D106)&lt;&gt;"","、","")&amp;D108,"")&amp;IF(AND(D110&lt;&gt;"",D110&lt;&gt;D106,D110&lt;&gt;D108),IF((D106&amp;D108)&lt;&gt;"","、","")&amp;D110,""))&amp;"〕","")</f>
        <v/>
      </c>
      <c r="E126" s="48" t="str">
        <f aca="false">IF((E106&amp;IF(AND(E108&lt;&gt;"",E108&lt;&gt;E106),IF((E106)&lt;&gt;"","、","")&amp;E108,"")&amp;IF(AND(E110&lt;&gt;"",E110&lt;&gt;E106,E110&lt;&gt;E108),IF((E106&amp;E108)&lt;&gt;"","、","")&amp;E110,""))&lt;&gt;"","〔"&amp;(E106&amp;IF(AND(E108&lt;&gt;"",E108&lt;&gt;E106),IF((E106)&lt;&gt;"","、","")&amp;E108,"")&amp;IF(AND(E110&lt;&gt;"",E110&lt;&gt;E106,E110&lt;&gt;E108),IF((E106&amp;E108)&lt;&gt;"","、","")&amp;E110,""))&amp;"〕","")</f>
        <v/>
      </c>
      <c r="F126" s="48" t="str">
        <f aca="false">IF((F106&amp;IF(AND(F108&lt;&gt;"",F108&lt;&gt;F106),IF((F106)&lt;&gt;"","、","")&amp;F108,"")&amp;IF(AND(F110&lt;&gt;"",F110&lt;&gt;F106,F110&lt;&gt;F108),IF((F106&amp;F108)&lt;&gt;"","、","")&amp;F110,""))&lt;&gt;"","〔"&amp;(F106&amp;IF(AND(F108&lt;&gt;"",F108&lt;&gt;F106),IF((F106)&lt;&gt;"","、","")&amp;F108,"")&amp;IF(AND(F110&lt;&gt;"",F110&lt;&gt;F106,F110&lt;&gt;F108),IF((F106&amp;F108)&lt;&gt;"","、","")&amp;F110,""))&amp;"〕","")</f>
        <v/>
      </c>
      <c r="G126" s="48" t="str">
        <f aca="false">IF((G106&amp;IF(AND(G108&lt;&gt;"",G108&lt;&gt;G106),IF((G106)&lt;&gt;"","、","")&amp;G108,"")&amp;IF(AND(G110&lt;&gt;"",G110&lt;&gt;G106,G110&lt;&gt;G108),IF((G106&amp;G108)&lt;&gt;"","、","")&amp;G110,""))&lt;&gt;"","〔"&amp;(G106&amp;IF(AND(G108&lt;&gt;"",G108&lt;&gt;G106),IF((G106)&lt;&gt;"","、","")&amp;G108,"")&amp;IF(AND(G110&lt;&gt;"",G110&lt;&gt;G106,G110&lt;&gt;G108),IF((G106&amp;G108)&lt;&gt;"","、","")&amp;G110,""))&amp;"〕","")</f>
        <v/>
      </c>
      <c r="H126" s="48" t="str">
        <f aca="false">IF((H106&amp;IF(AND(H108&lt;&gt;"",H108&lt;&gt;H106),IF((H106)&lt;&gt;"","、","")&amp;H108,"")&amp;IF(AND(H110&lt;&gt;"",H110&lt;&gt;H106,H110&lt;&gt;H108),IF((H106&amp;H108)&lt;&gt;"","、","")&amp;H110,""))&lt;&gt;"","〔"&amp;(H106&amp;IF(AND(H108&lt;&gt;"",H108&lt;&gt;H106),IF((H106)&lt;&gt;"","、","")&amp;H108,"")&amp;IF(AND(H110&lt;&gt;"",H110&lt;&gt;H106,H110&lt;&gt;H108),IF((H106&amp;H108)&lt;&gt;"","、","")&amp;H110,""))&amp;"〕","")</f>
        <v/>
      </c>
    </row>
    <row r="127" customFormat="false" ht="15" hidden="true" customHeight="false" outlineLevel="1" collapsed="false">
      <c r="A127" s="3" t="s">
        <v>1365</v>
      </c>
      <c r="C127" s="48" t="str">
        <f aca="false">IF((C112&amp;IF(AND(C114&lt;&gt;"",C114&lt;&gt;C112),IF((C112)&lt;&gt;"","、","")&amp;C114,"")&amp;IF(AND(C116&lt;&gt;"",C116&lt;&gt;C112,C116&lt;&gt;C114),IF((C112&amp;C114)&lt;&gt;"","、","")&amp;C116,""))&lt;&gt;"","〔"&amp;(C112&amp;IF(AND(C114&lt;&gt;"",C114&lt;&gt;C112),IF((C112)&lt;&gt;"","、","")&amp;C114,"")&amp;IF(AND(C116&lt;&gt;"",C116&lt;&gt;C112,C116&lt;&gt;C114),IF((C112&amp;C114)&lt;&gt;"","、","")&amp;C116,""))&amp;"〕","")</f>
        <v/>
      </c>
      <c r="D127" s="48" t="str">
        <f aca="false">IF((D112&amp;IF(AND(D114&lt;&gt;"",D114&lt;&gt;D112),IF((D112)&lt;&gt;"","、","")&amp;D114,"")&amp;IF(AND(D116&lt;&gt;"",D116&lt;&gt;D112,D116&lt;&gt;D114),IF((D112&amp;D114)&lt;&gt;"","、","")&amp;D116,""))&lt;&gt;"","〔"&amp;(D112&amp;IF(AND(D114&lt;&gt;"",D114&lt;&gt;D112),IF((D112)&lt;&gt;"","、","")&amp;D114,"")&amp;IF(AND(D116&lt;&gt;"",D116&lt;&gt;D112,D116&lt;&gt;D114),IF((D112&amp;D114)&lt;&gt;"","、","")&amp;D116,""))&amp;"〕","")</f>
        <v/>
      </c>
      <c r="E127" s="48" t="str">
        <f aca="false">IF((E112&amp;IF(AND(E114&lt;&gt;"",E114&lt;&gt;E112),IF((E112)&lt;&gt;"","、","")&amp;E114,"")&amp;IF(AND(E116&lt;&gt;"",E116&lt;&gt;E112,E116&lt;&gt;E114),IF((E112&amp;E114)&lt;&gt;"","、","")&amp;E116,""))&lt;&gt;"","〔"&amp;(E112&amp;IF(AND(E114&lt;&gt;"",E114&lt;&gt;E112),IF((E112)&lt;&gt;"","、","")&amp;E114,"")&amp;IF(AND(E116&lt;&gt;"",E116&lt;&gt;E112,E116&lt;&gt;E114),IF((E112&amp;E114)&lt;&gt;"","、","")&amp;E116,""))&amp;"〕","")</f>
        <v/>
      </c>
      <c r="F127" s="48" t="str">
        <f aca="false">IF((F112&amp;IF(AND(F114&lt;&gt;"",F114&lt;&gt;F112),IF((F112)&lt;&gt;"","、","")&amp;F114,"")&amp;IF(AND(F116&lt;&gt;"",F116&lt;&gt;F112,F116&lt;&gt;F114),IF((F112&amp;F114)&lt;&gt;"","、","")&amp;F116,""))&lt;&gt;"","〔"&amp;(F112&amp;IF(AND(F114&lt;&gt;"",F114&lt;&gt;F112),IF((F112)&lt;&gt;"","、","")&amp;F114,"")&amp;IF(AND(F116&lt;&gt;"",F116&lt;&gt;F112,F116&lt;&gt;F114),IF((F112&amp;F114)&lt;&gt;"","、","")&amp;F116,""))&amp;"〕","")</f>
        <v/>
      </c>
      <c r="G127" s="48" t="str">
        <f aca="false">IF((G112&amp;IF(AND(G114&lt;&gt;"",G114&lt;&gt;G112),IF((G112)&lt;&gt;"","、","")&amp;G114,"")&amp;IF(AND(G116&lt;&gt;"",G116&lt;&gt;G112,G116&lt;&gt;G114),IF((G112&amp;G114)&lt;&gt;"","、","")&amp;G116,""))&lt;&gt;"","〔"&amp;(G112&amp;IF(AND(G114&lt;&gt;"",G114&lt;&gt;G112),IF((G112)&lt;&gt;"","、","")&amp;G114,"")&amp;IF(AND(G116&lt;&gt;"",G116&lt;&gt;G112,G116&lt;&gt;G114),IF((G112&amp;G114)&lt;&gt;"","、","")&amp;G116,""))&amp;"〕","")</f>
        <v/>
      </c>
      <c r="H127" s="48" t="str">
        <f aca="false">IF((H112&amp;IF(AND(H114&lt;&gt;"",H114&lt;&gt;H112),IF((H112)&lt;&gt;"","、","")&amp;H114,"")&amp;IF(AND(H116&lt;&gt;"",H116&lt;&gt;H112,H116&lt;&gt;H114),IF((H112&amp;H114)&lt;&gt;"","、","")&amp;H116,""))&lt;&gt;"","〔"&amp;(H112&amp;IF(AND(H114&lt;&gt;"",H114&lt;&gt;H112),IF((H112)&lt;&gt;"","、","")&amp;H114,"")&amp;IF(AND(H116&lt;&gt;"",H116&lt;&gt;H112,H116&lt;&gt;H114),IF((H112&amp;H114)&lt;&gt;"","、","")&amp;H116,""))&amp;"〕","")</f>
        <v/>
      </c>
    </row>
    <row r="128" customFormat="false" ht="15" hidden="true" customHeight="false" outlineLevel="1" collapsed="false">
      <c r="A128" s="3" t="s">
        <v>1366</v>
      </c>
      <c r="C128" s="48" t="str">
        <f aca="false">IF((C118&amp;IF(AND(C120&lt;&gt;"",C120&lt;&gt;C118),IF((C118)&lt;&gt;"","、","")&amp;C120,"")&amp;IF(AND(C122&lt;&gt;"",C122&lt;&gt;C118,C122&lt;&gt;C120),IF((C118&amp;C120)&lt;&gt;"","、","")&amp;C122,""))&lt;&gt;"","〔"&amp;(C118&amp;IF(AND(C120&lt;&gt;"",C120&lt;&gt;C118),IF((C118)&lt;&gt;"","、","")&amp;C120,"")&amp;IF(AND(C122&lt;&gt;"",C122&lt;&gt;C118,C122&lt;&gt;C120),IF((C118&amp;C120)&lt;&gt;"","、","")&amp;C122,""))&amp;"〕","")</f>
        <v/>
      </c>
      <c r="D128" s="48" t="str">
        <f aca="false">IF((D118&amp;IF(AND(D120&lt;&gt;"",D120&lt;&gt;D118),IF((D118)&lt;&gt;"","、","")&amp;D120,"")&amp;IF(AND(D122&lt;&gt;"",D122&lt;&gt;D118,D122&lt;&gt;D120),IF((D118&amp;D120)&lt;&gt;"","、","")&amp;D122,""))&lt;&gt;"","〔"&amp;(D118&amp;IF(AND(D120&lt;&gt;"",D120&lt;&gt;D118),IF((D118)&lt;&gt;"","、","")&amp;D120,"")&amp;IF(AND(D122&lt;&gt;"",D122&lt;&gt;D118,D122&lt;&gt;D120),IF((D118&amp;D120)&lt;&gt;"","、","")&amp;D122,""))&amp;"〕","")</f>
        <v/>
      </c>
      <c r="E128" s="48" t="str">
        <f aca="false">IF((E118&amp;IF(AND(E120&lt;&gt;"",E120&lt;&gt;E118),IF((E118)&lt;&gt;"","、","")&amp;E120,"")&amp;IF(AND(E122&lt;&gt;"",E122&lt;&gt;E118,E122&lt;&gt;E120),IF((E118&amp;E120)&lt;&gt;"","、","")&amp;E122,""))&lt;&gt;"","〔"&amp;(E118&amp;IF(AND(E120&lt;&gt;"",E120&lt;&gt;E118),IF((E118)&lt;&gt;"","、","")&amp;E120,"")&amp;IF(AND(E122&lt;&gt;"",E122&lt;&gt;E118,E122&lt;&gt;E120),IF((E118&amp;E120)&lt;&gt;"","、","")&amp;E122,""))&amp;"〕","")</f>
        <v/>
      </c>
      <c r="F128" s="48" t="str">
        <f aca="false">IF((F118&amp;IF(AND(F120&lt;&gt;"",F120&lt;&gt;F118),IF((F118)&lt;&gt;"","、","")&amp;F120,"")&amp;IF(AND(F122&lt;&gt;"",F122&lt;&gt;F118,F122&lt;&gt;F120),IF((F118&amp;F120)&lt;&gt;"","、","")&amp;F122,""))&lt;&gt;"","〔"&amp;(F118&amp;IF(AND(F120&lt;&gt;"",F120&lt;&gt;F118),IF((F118)&lt;&gt;"","、","")&amp;F120,"")&amp;IF(AND(F122&lt;&gt;"",F122&lt;&gt;F118,F122&lt;&gt;F120),IF((F118&amp;F120)&lt;&gt;"","、","")&amp;F122,""))&amp;"〕","")</f>
        <v/>
      </c>
      <c r="G128" s="48" t="str">
        <f aca="false">IF((G118&amp;IF(AND(G120&lt;&gt;"",G120&lt;&gt;G118),IF((G118)&lt;&gt;"","、","")&amp;G120,"")&amp;IF(AND(G122&lt;&gt;"",G122&lt;&gt;G118,G122&lt;&gt;G120),IF((G118&amp;G120)&lt;&gt;"","、","")&amp;G122,""))&lt;&gt;"","〔"&amp;(G118&amp;IF(AND(G120&lt;&gt;"",G120&lt;&gt;G118),IF((G118)&lt;&gt;"","、","")&amp;G120,"")&amp;IF(AND(G122&lt;&gt;"",G122&lt;&gt;G118,G122&lt;&gt;G120),IF((G118&amp;G120)&lt;&gt;"","、","")&amp;G122,""))&amp;"〕","")</f>
        <v/>
      </c>
      <c r="H128" s="48" t="str">
        <f aca="false">IF((H118&amp;IF(AND(H120&lt;&gt;"",H120&lt;&gt;H118),IF((H118)&lt;&gt;"","、","")&amp;H120,"")&amp;IF(AND(H122&lt;&gt;"",H122&lt;&gt;H118,H122&lt;&gt;H120),IF((H118&amp;H120)&lt;&gt;"","、","")&amp;H122,""))&lt;&gt;"","〔"&amp;(H118&amp;IF(AND(H120&lt;&gt;"",H120&lt;&gt;H118),IF((H118)&lt;&gt;"","、","")&amp;H120,"")&amp;IF(AND(H122&lt;&gt;"",H122&lt;&gt;H118,H122&lt;&gt;H120),IF((H118&amp;H120)&lt;&gt;"","、","")&amp;H122,""))&amp;"〕","")</f>
        <v/>
      </c>
    </row>
    <row r="129" customFormat="false" ht="15" hidden="true" customHeight="false" outlineLevel="1" collapsed="false">
      <c r="A129" s="3" t="s">
        <v>1367</v>
      </c>
      <c r="C129" s="48" t="str">
        <f aca="false">"營收：模型 "&amp;IF(ISNUMBER(C22),IF(C22&lt;0,"−","")&amp;"$"&amp;TEXT(ABS(C22),"#,##0.00")&amp;"bn","不適用")&amp;IF(ISNUMBER(C37),"｜共識 "&amp;IF(C37&lt;0,"−","")&amp;"$"&amp;TEXT(ABS(C37),"#,##0.00")&amp;"bn"&amp;"（"&amp;IF(ISNUMBER(C47),IF(C47&lt;0,"−","+")&amp;TEXT(ABS(C47)*100,"#,##0.0")&amp;"%","不適用")&amp;"）","")&amp;IF(AND(ISNUMBER(C32),ISNUMBER(C33)),"｜指引 "&amp;"$"&amp;IF(C32&lt;0,"−","")&amp;TEXT(ABS(C32),"#,##0.00")&amp;"–"&amp;IF(C33&lt;0,"−","")&amp;TEXT(ABS(C33),"#,##0.00")&amp;"bn"&amp;"（中點 "&amp;IF(ISNUMBER(C48),IF(C48&lt;0,"−","+")&amp;TEXT(ABS(C48)*100,"#,##0.0")&amp;"%","不適用")&amp;"，"&amp;IF(C22&gt;C33,"高於上緣",IF(C22&lt;C32,"低於下緣",IF(C22&gt;=(C32+C33)/2,"區間上半部","區間下半部")))&amp;"）","")&amp;IF(ISNUMBER(C41),"｜實際 "&amp;IF(C41&lt;0,"−","")&amp;"$"&amp;TEXT(ABS(C41),"#,##0.00")&amp;"bn"&amp;"（較模型 "&amp;IF(ISNUMBER(C49),IF(C49&lt;0,"−","+")&amp;TEXT(ABS(C49)*100,"#,##0.0")&amp;"%","不適用")&amp;IF(ISNUMBER(C37),"、較共識 "&amp;IF(ISNUMBER(C50),IF(C50&lt;0,"−","+")&amp;TEXT(ABS(C50)*100,"#,##0.0")&amp;"%","不適用"),"")&amp;IF(AND(ISNUMBER(C32),ISNUMBER(C33)),"、"&amp;IF(C41&gt;C33,"高於上緣",IF(C41&lt;C32,"低於下緣",IF(C41&gt;=(C32+C33)/2,"區間上半部","區間下半部"))),"")&amp;"）","")&amp;C124</f>
        <v>營收：模型 $217.57bn｜指引 $197.00–202.00bn（中點 +9.1%，高於上緣）〔觀點〕</v>
      </c>
      <c r="D129" s="48" t="str">
        <f aca="false">"營收：模型 "&amp;IF(ISNUMBER(D22),IF(D22&lt;0,"−","")&amp;"$"&amp;TEXT(ABS(D22),"#,##0.00")&amp;"bn","不適用")&amp;IF(ISNUMBER(D37),"｜共識 "&amp;IF(D37&lt;0,"−","")&amp;"$"&amp;TEXT(ABS(D37),"#,##0.00")&amp;"bn"&amp;"（"&amp;IF(ISNUMBER(D47),IF(D47&lt;0,"−","+")&amp;TEXT(ABS(D47)*100,"#,##0.0")&amp;"%","不適用")&amp;"）","")&amp;IF(AND(ISNUMBER(D32),ISNUMBER(D33)),"｜指引 "&amp;"$"&amp;IF(D32&lt;0,"−","")&amp;TEXT(ABS(D32),"#,##0.00")&amp;"–"&amp;IF(D33&lt;0,"−","")&amp;TEXT(ABS(D33),"#,##0.00")&amp;"bn"&amp;"（中點 "&amp;IF(ISNUMBER(D48),IF(D48&lt;0,"−","+")&amp;TEXT(ABS(D48)*100,"#,##0.0")&amp;"%","不適用")&amp;"，"&amp;IF(D22&gt;D33,"高於上緣",IF(D22&lt;D32,"低於下緣",IF(D22&gt;=(D32+D33)/2,"區間上半部","區間下半部")))&amp;"）","")&amp;IF(ISNUMBER(D41),"｜實際 "&amp;IF(D41&lt;0,"−","")&amp;"$"&amp;TEXT(ABS(D41),"#,##0.00")&amp;"bn"&amp;"（較模型 "&amp;IF(ISNUMBER(D49),IF(D49&lt;0,"−","+")&amp;TEXT(ABS(D49)*100,"#,##0.0")&amp;"%","不適用")&amp;IF(ISNUMBER(D37),"、較共識 "&amp;IF(ISNUMBER(D50),IF(D50&lt;0,"−","+")&amp;TEXT(ABS(D50)*100,"#,##0.0")&amp;"%","不適用"),"")&amp;IF(AND(ISNUMBER(D32),ISNUMBER(D33)),"、"&amp;IF(D41&gt;D33,"高於上緣",IF(D41&lt;D32,"低於下緣",IF(D41&gt;=(D32+D33)/2,"區間上半部","區間下半部"))),"")&amp;"）","")&amp;D124</f>
        <v>營收：模型 $234.53bn</v>
      </c>
      <c r="E129" s="48" t="str">
        <f aca="false">"營收：模型 "&amp;IF(ISNUMBER(E22),IF(E22&lt;0,"−","")&amp;"$"&amp;TEXT(ABS(E22),"#,##0.00")&amp;"bn","不適用")&amp;IF(ISNUMBER(E37),"｜共識 "&amp;IF(E37&lt;0,"−","")&amp;"$"&amp;TEXT(ABS(E37),"#,##0.00")&amp;"bn"&amp;"（"&amp;IF(ISNUMBER(E47),IF(E47&lt;0,"−","+")&amp;TEXT(ABS(E47)*100,"#,##0.0")&amp;"%","不適用")&amp;"）","")&amp;IF(AND(ISNUMBER(E32),ISNUMBER(E33)),"｜指引 "&amp;"$"&amp;IF(E32&lt;0,"−","")&amp;TEXT(ABS(E32),"#,##0.00")&amp;"–"&amp;IF(E33&lt;0,"−","")&amp;TEXT(ABS(E33),"#,##0.00")&amp;"bn"&amp;"（中點 "&amp;IF(ISNUMBER(E48),IF(E48&lt;0,"−","+")&amp;TEXT(ABS(E48)*100,"#,##0.0")&amp;"%","不適用")&amp;"，"&amp;IF(E22&gt;E33,"高於上緣",IF(E22&lt;E32,"低於下緣",IF(E22&gt;=(E32+E33)/2,"區間上半部","區間下半部")))&amp;"）","")&amp;IF(ISNUMBER(E41),"｜實際 "&amp;IF(E41&lt;0,"−","")&amp;"$"&amp;TEXT(ABS(E41),"#,##0.00")&amp;"bn"&amp;"（較模型 "&amp;IF(ISNUMBER(E49),IF(E49&lt;0,"−","+")&amp;TEXT(ABS(E49)*100,"#,##0.0")&amp;"%","不適用")&amp;IF(ISNUMBER(E37),"、較共識 "&amp;IF(ISNUMBER(E50),IF(E50&lt;0,"−","+")&amp;TEXT(ABS(E50)*100,"#,##0.0")&amp;"%","不適用"),"")&amp;IF(AND(ISNUMBER(E32),ISNUMBER(E33)),"、"&amp;IF(E41&gt;E33,"高於上緣",IF(E41&lt;E32,"低於下緣",IF(E41&gt;=(E32+E33)/2,"區間上半部","區間下半部"))),"")&amp;"）","")&amp;E124</f>
        <v>營收：模型 $185.36bn</v>
      </c>
      <c r="F129" s="48" t="str">
        <f aca="false">"營收：模型 "&amp;IF(ISNUMBER(F22),IF(F22&lt;0,"−","")&amp;"$"&amp;TEXT(ABS(F22),"#,##0.00")&amp;"bn","不適用")&amp;IF(ISNUMBER(F37),"｜共識 "&amp;IF(F37&lt;0,"−","")&amp;"$"&amp;TEXT(ABS(F37),"#,##0.00")&amp;"bn"&amp;"（"&amp;IF(ISNUMBER(F47),IF(F47&lt;0,"−","+")&amp;TEXT(ABS(F47)*100,"#,##0.0")&amp;"%","不適用")&amp;"）","")&amp;IF(AND(ISNUMBER(F32),ISNUMBER(F33)),"｜指引 "&amp;"$"&amp;IF(F32&lt;0,"−","")&amp;TEXT(ABS(F32),"#,##0.00")&amp;"–"&amp;IF(F33&lt;0,"−","")&amp;TEXT(ABS(F33),"#,##0.00")&amp;"bn"&amp;"（中點 "&amp;IF(ISNUMBER(F48),IF(F48&lt;0,"−","+")&amp;TEXT(ABS(F48)*100,"#,##0.0")&amp;"%","不適用")&amp;"，"&amp;IF(F22&gt;F33,"高於上緣",IF(F22&lt;F32,"低於下緣",IF(F22&gt;=(F32+F33)/2,"區間上半部","區間下半部")))&amp;"）","")&amp;IF(ISNUMBER(F41),"｜實際 "&amp;IF(F41&lt;0,"−","")&amp;"$"&amp;TEXT(ABS(F41),"#,##0.00")&amp;"bn"&amp;"（較模型 "&amp;IF(ISNUMBER(F49),IF(F49&lt;0,"−","+")&amp;TEXT(ABS(F49)*100,"#,##0.0")&amp;"%","不適用")&amp;IF(ISNUMBER(F37),"、較共識 "&amp;IF(ISNUMBER(F50),IF(F50&lt;0,"−","+")&amp;TEXT(ABS(F50)*100,"#,##0.0")&amp;"%","不適用"),"")&amp;IF(AND(ISNUMBER(F32),ISNUMBER(F33)),"、"&amp;IF(F41&gt;F33,"高於上緣",IF(F41&lt;F32,"低於下緣",IF(F41&gt;=(F32+F33)/2,"區間上半部","區間下半部"))),"")&amp;"）","")&amp;F124</f>
        <v>營收：模型 $224.05bn</v>
      </c>
      <c r="G129" s="48" t="str">
        <f aca="false">"營收：模型 "&amp;IF(ISNUMBER(G22),IF(G22&lt;0,"−","")&amp;"$"&amp;TEXT(ABS(G22),"#,##0.00")&amp;"bn","不適用")&amp;IF(ISNUMBER(G37),"｜共識 "&amp;IF(G37&lt;0,"−","")&amp;"$"&amp;TEXT(ABS(G37),"#,##0.00")&amp;"bn"&amp;"（"&amp;IF(ISNUMBER(G47),IF(G47&lt;0,"−","+")&amp;TEXT(ABS(G47)*100,"#,##0.0")&amp;"%","不適用")&amp;"）","")&amp;IF(AND(ISNUMBER(G32),ISNUMBER(G33)),"｜指引 "&amp;"$"&amp;IF(G32&lt;0,"−","")&amp;TEXT(ABS(G32),"#,##0.00")&amp;"–"&amp;IF(G33&lt;0,"−","")&amp;TEXT(ABS(G33),"#,##0.00")&amp;"bn"&amp;"（中點 "&amp;IF(ISNUMBER(G48),IF(G48&lt;0,"−","+")&amp;TEXT(ABS(G48)*100,"#,##0.0")&amp;"%","不適用")&amp;"，"&amp;IF(G22&gt;G33,"高於上緣",IF(G22&lt;G32,"低於下緣",IF(G22&gt;=(G32+G33)/2,"區間上半部","區間下半部")))&amp;"）","")&amp;IF(ISNUMBER(G41),"｜實際 "&amp;IF(G41&lt;0,"−","")&amp;"$"&amp;TEXT(ABS(G41),"#,##0.00")&amp;"bn"&amp;"（較模型 "&amp;IF(ISNUMBER(G49),IF(G49&lt;0,"−","+")&amp;TEXT(ABS(G49)*100,"#,##0.0")&amp;"%","不適用")&amp;IF(ISNUMBER(G37),"、較共識 "&amp;IF(ISNUMBER(G50),IF(G50&lt;0,"−","+")&amp;TEXT(ABS(G50)*100,"#,##0.0")&amp;"%","不適用"),"")&amp;IF(AND(ISNUMBER(G32),ISNUMBER(G33)),"、"&amp;IF(G41&gt;G33,"高於上緣",IF(G41&lt;G32,"低於下緣",IF(G41&gt;=(G32+G33)/2,"區間上半部","區間下半部"))),"")&amp;"）","")&amp;G124</f>
        <v>營收：模型 $262.73bn</v>
      </c>
      <c r="H129" s="48" t="str">
        <f aca="false">"營收：模型 "&amp;IF(ISNUMBER(H22),IF(H22&lt;0,"−","")&amp;"$"&amp;TEXT(ABS(H22),"#,##0.00")&amp;"bn","不適用")&amp;IF(ISNUMBER(H37),"｜共識 "&amp;IF(H37&lt;0,"−","")&amp;"$"&amp;TEXT(ABS(H37),"#,##0.00")&amp;"bn"&amp;"（"&amp;IF(ISNUMBER(H47),IF(H47&lt;0,"−","+")&amp;TEXT(ABS(H47)*100,"#,##0.0")&amp;"%","不適用")&amp;"）","")&amp;IF(AND(ISNUMBER(H32),ISNUMBER(H33)),"｜指引 "&amp;"$"&amp;IF(H32&lt;0,"−","")&amp;TEXT(ABS(H32),"#,##0.00")&amp;"–"&amp;IF(H33&lt;0,"−","")&amp;TEXT(ABS(H33),"#,##0.00")&amp;"bn"&amp;"（中點 "&amp;IF(ISNUMBER(H48),IF(H48&lt;0,"−","+")&amp;TEXT(ABS(H48)*100,"#,##0.0")&amp;"%","不適用")&amp;"，"&amp;IF(H22&gt;H33,"高於上緣",IF(H22&lt;H32,"低於下緣",IF(H22&gt;=(H32+H33)/2,"區間上半部","區間下半部")))&amp;"）","")&amp;IF(ISNUMBER(H41),"｜實際 "&amp;IF(H41&lt;0,"−","")&amp;"$"&amp;TEXT(ABS(H41),"#,##0.00")&amp;"bn"&amp;"（較模型 "&amp;IF(ISNUMBER(H49),IF(H49&lt;0,"−","+")&amp;TEXT(ABS(H49)*100,"#,##0.0")&amp;"%","不適用")&amp;IF(ISNUMBER(H37),"、較共識 "&amp;IF(ISNUMBER(H50),IF(H50&lt;0,"−","+")&amp;TEXT(ABS(H50)*100,"#,##0.0")&amp;"%","不適用"),"")&amp;IF(AND(ISNUMBER(H32),ISNUMBER(H33)),"、"&amp;IF(H41&gt;H33,"高於上緣",IF(H41&lt;H32,"低於下緣",IF(H41&gt;=(H32+H33)/2,"區間上半部","區間下半部"))),"")&amp;"）","")&amp;H124</f>
        <v>營收：模型 $301.41bn</v>
      </c>
    </row>
    <row r="130" customFormat="false" ht="15" hidden="true" customHeight="false" outlineLevel="1" collapsed="false">
      <c r="A130" s="3" t="s">
        <v>1368</v>
      </c>
      <c r="C130" s="48" t="str">
        <f aca="false">"調整後 EBITDA：模型 "&amp;IF(ISNUMBER(C28),IF(C28&lt;0,"−","")&amp;"$"&amp;TEXT(ABS(C28),"#,##0.00")&amp;"bn","不適用")&amp;IF(ISNUMBER(C38),"｜共識 "&amp;IF(C38&lt;0,"−","")&amp;"$"&amp;TEXT(ABS(C38),"#,##0.00")&amp;"bn"&amp;"（"&amp;IF(ISNUMBER(C52),IF(C52&lt;0,"−","+")&amp;IF(ABS(C52)&lt;0,"−","")&amp;"$"&amp;TEXT(ABS(ABS(C52)),"#,##0.00")&amp;"bn"&amp;IF(ISNUMBER(C57),"／"&amp;IF(C57&lt;0,"−","+")&amp;TEXT(ABS(C57)*100,"#,##0.0")&amp;"pt",""),"不適用")&amp;"）","")&amp;IF(ISNUMBER(C42),"｜實際 "&amp;IF(C42&lt;0,"−","")&amp;"$"&amp;TEXT(ABS(C42),"#,##0.00")&amp;"bn"&amp;"（較模型 "&amp;IF(ISNUMBER(C54),IF(C54&lt;0,"−","+")&amp;IF(ABS(C54)&lt;0,"−","")&amp;"$"&amp;TEXT(ABS(ABS(C54)),"#,##0.00")&amp;"bn"&amp;IF(ISNUMBER(C59),"／"&amp;IF(C59&lt;0,"−","+")&amp;TEXT(ABS(C59)*100,"#,##0.0")&amp;"pt",""),"不適用")&amp;IF(ISNUMBER(C38),"、較共識 "&amp;IF(ISNUMBER(C55),IF(C55&lt;0,"−","+")&amp;IF(ABS(C55)&lt;0,"−","")&amp;"$"&amp;TEXT(ABS(ABS(C55)),"#,##0.00")&amp;"bn"&amp;IF(ISNUMBER(C60),"／"&amp;IF(C60&lt;0,"−","+")&amp;TEXT(ABS(C60)*100,"#,##0.0")&amp;"pt",""),"不適用"),"")&amp;"）","")&amp;C125</f>
        <v>調整後 EBITDA：模型 $47.89bn</v>
      </c>
      <c r="D130" s="48" t="str">
        <f aca="false">"調整後 EBITDA：模型 "&amp;IF(ISNUMBER(D28),IF(D28&lt;0,"−","")&amp;"$"&amp;TEXT(ABS(D28),"#,##0.00")&amp;"bn","不適用")&amp;IF(ISNUMBER(D38),"｜共識 "&amp;IF(D38&lt;0,"−","")&amp;"$"&amp;TEXT(ABS(D38),"#,##0.00")&amp;"bn"&amp;"（"&amp;IF(ISNUMBER(D52),IF(D52&lt;0,"−","+")&amp;IF(ABS(D52)&lt;0,"−","")&amp;"$"&amp;TEXT(ABS(ABS(D52)),"#,##0.00")&amp;"bn"&amp;IF(ISNUMBER(D57),"／"&amp;IF(D57&lt;0,"−","+")&amp;TEXT(ABS(D57)*100,"#,##0.0")&amp;"pt",""),"不適用")&amp;"）","")&amp;IF(ISNUMBER(D42),"｜實際 "&amp;IF(D42&lt;0,"−","")&amp;"$"&amp;TEXT(ABS(D42),"#,##0.00")&amp;"bn"&amp;"（較模型 "&amp;IF(ISNUMBER(D54),IF(D54&lt;0,"−","+")&amp;IF(ABS(D54)&lt;0,"−","")&amp;"$"&amp;TEXT(ABS(ABS(D54)),"#,##0.00")&amp;"bn"&amp;IF(ISNUMBER(D59),"／"&amp;IF(D59&lt;0,"−","+")&amp;TEXT(ABS(D59)*100,"#,##0.0")&amp;"pt",""),"不適用")&amp;IF(ISNUMBER(D38),"、較共識 "&amp;IF(ISNUMBER(D55),IF(D55&lt;0,"−","+")&amp;IF(ABS(D55)&lt;0,"−","")&amp;"$"&amp;TEXT(ABS(ABS(D55)),"#,##0.00")&amp;"bn"&amp;IF(ISNUMBER(D60),"／"&amp;IF(D60&lt;0,"−","+")&amp;TEXT(ABS(D60)*100,"#,##0.0")&amp;"pt",""),"不適用"),"")&amp;"）","")&amp;D125</f>
        <v>調整後 EBITDA：模型 $53.51bn</v>
      </c>
      <c r="E130" s="48" t="str">
        <f aca="false">"調整後 EBITDA：模型 "&amp;IF(ISNUMBER(E28),IF(E28&lt;0,"−","")&amp;"$"&amp;TEXT(ABS(E28),"#,##0.00")&amp;"bn","不適用")&amp;IF(ISNUMBER(E38),"｜共識 "&amp;IF(E38&lt;0,"−","")&amp;"$"&amp;TEXT(ABS(E38),"#,##0.00")&amp;"bn"&amp;"（"&amp;IF(ISNUMBER(E52),IF(E52&lt;0,"−","+")&amp;IF(ABS(E52)&lt;0,"−","")&amp;"$"&amp;TEXT(ABS(ABS(E52)),"#,##0.00")&amp;"bn"&amp;IF(ISNUMBER(E57),"／"&amp;IF(E57&lt;0,"−","+")&amp;TEXT(ABS(E57)*100,"#,##0.0")&amp;"pt",""),"不適用")&amp;"）","")&amp;IF(ISNUMBER(E42),"｜實際 "&amp;IF(E42&lt;0,"−","")&amp;"$"&amp;TEXT(ABS(E42),"#,##0.00")&amp;"bn"&amp;"（較模型 "&amp;IF(ISNUMBER(E54),IF(E54&lt;0,"−","+")&amp;IF(ABS(E54)&lt;0,"−","")&amp;"$"&amp;TEXT(ABS(ABS(E54)),"#,##0.00")&amp;"bn"&amp;IF(ISNUMBER(E59),"／"&amp;IF(E59&lt;0,"−","+")&amp;TEXT(ABS(E59)*100,"#,##0.0")&amp;"pt",""),"不適用")&amp;IF(ISNUMBER(E38),"、較共識 "&amp;IF(ISNUMBER(E55),IF(E55&lt;0,"−","+")&amp;IF(ABS(E55)&lt;0,"−","")&amp;"$"&amp;TEXT(ABS(ABS(E55)),"#,##0.00")&amp;"bn"&amp;IF(ISNUMBER(E60),"／"&amp;IF(E60&lt;0,"−","+")&amp;TEXT(ABS(E60)*100,"#,##0.0")&amp;"pt",""),"不適用"),"")&amp;"）","")&amp;E125</f>
        <v>調整後 EBITDA：模型 $43.78bn</v>
      </c>
      <c r="F130" s="48" t="str">
        <f aca="false">"調整後 EBITDA：模型 "&amp;IF(ISNUMBER(F28),IF(F28&lt;0,"−","")&amp;"$"&amp;TEXT(ABS(F28),"#,##0.00")&amp;"bn","不適用")&amp;IF(ISNUMBER(F38),"｜共識 "&amp;IF(F38&lt;0,"−","")&amp;"$"&amp;TEXT(ABS(F38),"#,##0.00")&amp;"bn"&amp;"（"&amp;IF(ISNUMBER(F52),IF(F52&lt;0,"−","+")&amp;IF(ABS(F52)&lt;0,"−","")&amp;"$"&amp;TEXT(ABS(ABS(F52)),"#,##0.00")&amp;"bn"&amp;IF(ISNUMBER(F57),"／"&amp;IF(F57&lt;0,"−","+")&amp;TEXT(ABS(F57)*100,"#,##0.0")&amp;"pt",""),"不適用")&amp;"）","")&amp;IF(ISNUMBER(F42),"｜實際 "&amp;IF(F42&lt;0,"−","")&amp;"$"&amp;TEXT(ABS(F42),"#,##0.00")&amp;"bn"&amp;"（較模型 "&amp;IF(ISNUMBER(F54),IF(F54&lt;0,"−","+")&amp;IF(ABS(F54)&lt;0,"−","")&amp;"$"&amp;TEXT(ABS(ABS(F54)),"#,##0.00")&amp;"bn"&amp;IF(ISNUMBER(F59),"／"&amp;IF(F59&lt;0,"−","+")&amp;TEXT(ABS(F59)*100,"#,##0.0")&amp;"pt",""),"不適用")&amp;IF(ISNUMBER(F38),"、較共識 "&amp;IF(ISNUMBER(F55),IF(F55&lt;0,"−","+")&amp;IF(ABS(F55)&lt;0,"−","")&amp;"$"&amp;TEXT(ABS(ABS(F55)),"#,##0.00")&amp;"bn"&amp;IF(ISNUMBER(F60),"／"&amp;IF(F60&lt;0,"−","+")&amp;TEXT(ABS(F60)*100,"#,##0.0")&amp;"pt",""),"不適用"),"")&amp;"）","")&amp;F125</f>
        <v>調整後 EBITDA：模型 $54.72bn</v>
      </c>
      <c r="G130" s="48" t="str">
        <f aca="false">"調整後 EBITDA：模型 "&amp;IF(ISNUMBER(G28),IF(G28&lt;0,"−","")&amp;"$"&amp;TEXT(ABS(G28),"#,##0.00")&amp;"bn","不適用")&amp;IF(ISNUMBER(G38),"｜共識 "&amp;IF(G38&lt;0,"−","")&amp;"$"&amp;TEXT(ABS(G38),"#,##0.00")&amp;"bn"&amp;"（"&amp;IF(ISNUMBER(G52),IF(G52&lt;0,"−","+")&amp;IF(ABS(G52)&lt;0,"−","")&amp;"$"&amp;TEXT(ABS(ABS(G52)),"#,##0.00")&amp;"bn"&amp;IF(ISNUMBER(G57),"／"&amp;IF(G57&lt;0,"−","+")&amp;TEXT(ABS(G57)*100,"#,##0.0")&amp;"pt",""),"不適用")&amp;"）","")&amp;IF(ISNUMBER(G42),"｜實際 "&amp;IF(G42&lt;0,"−","")&amp;"$"&amp;TEXT(ABS(G42),"#,##0.00")&amp;"bn"&amp;"（較模型 "&amp;IF(ISNUMBER(G54),IF(G54&lt;0,"−","+")&amp;IF(ABS(G54)&lt;0,"−","")&amp;"$"&amp;TEXT(ABS(ABS(G54)),"#,##0.00")&amp;"bn"&amp;IF(ISNUMBER(G59),"／"&amp;IF(G59&lt;0,"−","+")&amp;TEXT(ABS(G59)*100,"#,##0.0")&amp;"pt",""),"不適用")&amp;IF(ISNUMBER(G38),"、較共識 "&amp;IF(ISNUMBER(G55),IF(G55&lt;0,"−","+")&amp;IF(ABS(G55)&lt;0,"−","")&amp;"$"&amp;TEXT(ABS(ABS(G55)),"#,##0.00")&amp;"bn"&amp;IF(ISNUMBER(G60),"／"&amp;IF(G60&lt;0,"−","+")&amp;TEXT(ABS(G60)*100,"#,##0.0")&amp;"pt",""),"不適用"),"")&amp;"）","")&amp;G125</f>
        <v>調整後 EBITDA：模型 $66.28bn</v>
      </c>
      <c r="H130" s="48" t="str">
        <f aca="false">"調整後 EBITDA：模型 "&amp;IF(ISNUMBER(H28),IF(H28&lt;0,"−","")&amp;"$"&amp;TEXT(ABS(H28),"#,##0.00")&amp;"bn","不適用")&amp;IF(ISNUMBER(H38),"｜共識 "&amp;IF(H38&lt;0,"−","")&amp;"$"&amp;TEXT(ABS(H38),"#,##0.00")&amp;"bn"&amp;"（"&amp;IF(ISNUMBER(H52),IF(H52&lt;0,"−","+")&amp;IF(ABS(H52)&lt;0,"−","")&amp;"$"&amp;TEXT(ABS(ABS(H52)),"#,##0.00")&amp;"bn"&amp;IF(ISNUMBER(H57),"／"&amp;IF(H57&lt;0,"−","+")&amp;TEXT(ABS(H57)*100,"#,##0.0")&amp;"pt",""),"不適用")&amp;"）","")&amp;IF(ISNUMBER(H42),"｜實際 "&amp;IF(H42&lt;0,"−","")&amp;"$"&amp;TEXT(ABS(H42),"#,##0.00")&amp;"bn"&amp;"（較模型 "&amp;IF(ISNUMBER(H54),IF(H54&lt;0,"−","+")&amp;IF(ABS(H54)&lt;0,"−","")&amp;"$"&amp;TEXT(ABS(ABS(H54)),"#,##0.00")&amp;"bn"&amp;IF(ISNUMBER(H59),"／"&amp;IF(H59&lt;0,"−","+")&amp;TEXT(ABS(H59)*100,"#,##0.0")&amp;"pt",""),"不適用")&amp;IF(ISNUMBER(H38),"、較共識 "&amp;IF(ISNUMBER(H55),IF(H55&lt;0,"−","+")&amp;IF(ABS(H55)&lt;0,"−","")&amp;"$"&amp;TEXT(ABS(ABS(H55)),"#,##0.00")&amp;"bn"&amp;IF(ISNUMBER(H60),"／"&amp;IF(H60&lt;0,"−","+")&amp;TEXT(ABS(H60)*100,"#,##0.0")&amp;"pt",""),"不適用"),"")&amp;"）","")&amp;H125</f>
        <v>調整後 EBITDA：模型 $78.46bn</v>
      </c>
    </row>
    <row r="131" customFormat="false" ht="15" hidden="true" customHeight="false" outlineLevel="1" collapsed="false">
      <c r="A131" s="3" t="s">
        <v>1369</v>
      </c>
      <c r="C131" s="48" t="str">
        <f aca="false">"EBITDA 率：模型 "&amp;IF(ISNUMBER(C27),IF(C27&lt;0,"−","")&amp;TEXT(ABS(C27)*100,"#,##0.0")&amp;"%","不適用")&amp;IF(ISNUMBER(C39),"｜共識 "&amp;IF(C39&lt;0,"−","")&amp;TEXT(ABS(C39)*100,"#,##0.0")&amp;"%"&amp;"（"&amp;IF(ISNUMBER(C62),IF(C62&lt;0,"−","+")&amp;TEXT(ABS(C62)*100,"#,##0.0")&amp;"pt","不適用")&amp;"）","")&amp;IF(ISNUMBER(C43),"｜實際 "&amp;IF(C43&lt;0,"−","")&amp;TEXT(ABS(C43)*100,"#,##0.0")&amp;"%"&amp;"（較模型 "&amp;IF(ISNUMBER(C64),IF(C64&lt;0,"−","+")&amp;TEXT(ABS(C64)*100,"#,##0.0")&amp;"pt","不適用")&amp;IF(ISNUMBER(C39),"、較共識 "&amp;IF(ISNUMBER(C65),IF(C65&lt;0,"−","+")&amp;TEXT(ABS(C65)*100,"#,##0.0")&amp;"pt","不適用"),"")&amp;"）","")</f>
        <v>EBITDA 率：模型 22.0%</v>
      </c>
      <c r="D131" s="48" t="str">
        <f aca="false">"EBITDA 率：模型 "&amp;IF(ISNUMBER(D27),IF(D27&lt;0,"−","")&amp;TEXT(ABS(D27)*100,"#,##0.0")&amp;"%","不適用")&amp;IF(ISNUMBER(D39),"｜共識 "&amp;IF(D39&lt;0,"−","")&amp;TEXT(ABS(D39)*100,"#,##0.0")&amp;"%"&amp;"（"&amp;IF(ISNUMBER(D62),IF(D62&lt;0,"−","+")&amp;TEXT(ABS(D62)*100,"#,##0.0")&amp;"pt","不適用")&amp;"）","")&amp;IF(ISNUMBER(D43),"｜實際 "&amp;IF(D43&lt;0,"−","")&amp;TEXT(ABS(D43)*100,"#,##0.0")&amp;"%"&amp;"（較模型 "&amp;IF(ISNUMBER(D64),IF(D64&lt;0,"−","+")&amp;TEXT(ABS(D64)*100,"#,##0.0")&amp;"pt","不適用")&amp;IF(ISNUMBER(D39),"、較共識 "&amp;IF(ISNUMBER(D65),IF(D65&lt;0,"−","+")&amp;TEXT(ABS(D65)*100,"#,##0.0")&amp;"pt","不適用"),"")&amp;"）","")</f>
        <v>EBITDA 率：模型 22.8%</v>
      </c>
      <c r="E131" s="48" t="str">
        <f aca="false">"EBITDA 率：模型 "&amp;IF(ISNUMBER(E27),IF(E27&lt;0,"−","")&amp;TEXT(ABS(E27)*100,"#,##0.0")&amp;"%","不適用")&amp;IF(ISNUMBER(E39),"｜共識 "&amp;IF(E39&lt;0,"−","")&amp;TEXT(ABS(E39)*100,"#,##0.0")&amp;"%"&amp;"（"&amp;IF(ISNUMBER(E62),IF(E62&lt;0,"−","+")&amp;TEXT(ABS(E62)*100,"#,##0.0")&amp;"pt","不適用")&amp;"）","")&amp;IF(ISNUMBER(E43),"｜實際 "&amp;IF(E43&lt;0,"−","")&amp;TEXT(ABS(E43)*100,"#,##0.0")&amp;"%"&amp;"（較模型 "&amp;IF(ISNUMBER(E64),IF(E64&lt;0,"−","+")&amp;TEXT(ABS(E64)*100,"#,##0.0")&amp;"pt","不適用")&amp;IF(ISNUMBER(E39),"、較共識 "&amp;IF(ISNUMBER(E65),IF(E65&lt;0,"−","+")&amp;TEXT(ABS(E65)*100,"#,##0.0")&amp;"pt","不適用"),"")&amp;"）","")</f>
        <v>EBITDA 率：模型 23.6%</v>
      </c>
      <c r="F131" s="48" t="str">
        <f aca="false">"EBITDA 率：模型 "&amp;IF(ISNUMBER(F27),IF(F27&lt;0,"−","")&amp;TEXT(ABS(F27)*100,"#,##0.0")&amp;"%","不適用")&amp;IF(ISNUMBER(F39),"｜共識 "&amp;IF(F39&lt;0,"−","")&amp;TEXT(ABS(F39)*100,"#,##0.0")&amp;"%"&amp;"（"&amp;IF(ISNUMBER(F62),IF(F62&lt;0,"−","+")&amp;TEXT(ABS(F62)*100,"#,##0.0")&amp;"pt","不適用")&amp;"）","")&amp;IF(ISNUMBER(F43),"｜實際 "&amp;IF(F43&lt;0,"−","")&amp;TEXT(ABS(F43)*100,"#,##0.0")&amp;"%"&amp;"（較模型 "&amp;IF(ISNUMBER(F64),IF(F64&lt;0,"−","+")&amp;TEXT(ABS(F64)*100,"#,##0.0")&amp;"pt","不適用")&amp;IF(ISNUMBER(F39),"、較共識 "&amp;IF(ISNUMBER(F65),IF(F65&lt;0,"−","+")&amp;TEXT(ABS(F65)*100,"#,##0.0")&amp;"pt","不適用"),"")&amp;"）","")</f>
        <v>EBITDA 率：模型 24.4%</v>
      </c>
      <c r="G131" s="48" t="str">
        <f aca="false">"EBITDA 率：模型 "&amp;IF(ISNUMBER(G27),IF(G27&lt;0,"−","")&amp;TEXT(ABS(G27)*100,"#,##0.0")&amp;"%","不適用")&amp;IF(ISNUMBER(G39),"｜共識 "&amp;IF(G39&lt;0,"−","")&amp;TEXT(ABS(G39)*100,"#,##0.0")&amp;"%"&amp;"（"&amp;IF(ISNUMBER(G62),IF(G62&lt;0,"−","+")&amp;TEXT(ABS(G62)*100,"#,##0.0")&amp;"pt","不適用")&amp;"）","")&amp;IF(ISNUMBER(G43),"｜實際 "&amp;IF(G43&lt;0,"−","")&amp;TEXT(ABS(G43)*100,"#,##0.0")&amp;"%"&amp;"（較模型 "&amp;IF(ISNUMBER(G64),IF(G64&lt;0,"−","+")&amp;TEXT(ABS(G64)*100,"#,##0.0")&amp;"pt","不適用")&amp;IF(ISNUMBER(G39),"、較共識 "&amp;IF(ISNUMBER(G65),IF(G65&lt;0,"−","+")&amp;TEXT(ABS(G65)*100,"#,##0.0")&amp;"pt","不適用"),"")&amp;"）","")</f>
        <v>EBITDA 率：模型 25.2%</v>
      </c>
      <c r="H131" s="48" t="str">
        <f aca="false">"EBITDA 率：模型 "&amp;IF(ISNUMBER(H27),IF(H27&lt;0,"−","")&amp;TEXT(ABS(H27)*100,"#,##0.0")&amp;"%","不適用")&amp;IF(ISNUMBER(H39),"｜共識 "&amp;IF(H39&lt;0,"−","")&amp;TEXT(ABS(H39)*100,"#,##0.0")&amp;"%"&amp;"（"&amp;IF(ISNUMBER(H62),IF(H62&lt;0,"−","+")&amp;TEXT(ABS(H62)*100,"#,##0.0")&amp;"pt","不適用")&amp;"）","")&amp;IF(ISNUMBER(H43),"｜實際 "&amp;IF(H43&lt;0,"−","")&amp;TEXT(ABS(H43)*100,"#,##0.0")&amp;"%"&amp;"（較模型 "&amp;IF(ISNUMBER(H64),IF(H64&lt;0,"−","+")&amp;TEXT(ABS(H64)*100,"#,##0.0")&amp;"pt","不適用")&amp;IF(ISNUMBER(H39),"、較共識 "&amp;IF(ISNUMBER(H65),IF(H65&lt;0,"−","+")&amp;TEXT(ABS(H65)*100,"#,##0.0")&amp;"pt","不適用"),"")&amp;"）","")</f>
        <v>EBITDA 率：模型 26.0%</v>
      </c>
    </row>
    <row r="132" customFormat="false" ht="15" hidden="true" customHeight="false" outlineLevel="1" collapsed="false">
      <c r="A132" s="3" t="s">
        <v>1370</v>
      </c>
      <c r="C132" s="48" t="str">
        <f aca="false">"調整後營業利益：模型 "&amp;IF(ISNUMBER(C31),IF(C31&lt;0,"−","")&amp;"$"&amp;TEXT(ABS(C31),"#,##0.00")&amp;"bn","不適用")&amp;IF(AND(ISNUMBER(C34),ISNUMBER(C35)),"｜指引 "&amp;"$"&amp;IF(C34&lt;0,"−","")&amp;TEXT(ABS(C34),"#,##0.00")&amp;"–"&amp;IF(C35&lt;0,"−","")&amp;TEXT(ABS(C35),"#,##0.00")&amp;"bn"&amp;"（中點 "&amp;IF(ISNUMBER(C68),IF(C68&lt;0,"−","+")&amp;IF(ABS(C68)&lt;0,"−","")&amp;"$"&amp;TEXT(ABS(ABS(C68)),"#,##0.00")&amp;"bn"&amp;IF(ISNUMBER(C73),"／"&amp;IF(C73&lt;0,"−","+")&amp;TEXT(ABS(C73)*100,"#,##0.0")&amp;"pt",""),"不適用")&amp;"，"&amp;IF(C31&gt;C35,"高於上緣",IF(C31&lt;C34,"低於下緣",IF(C31&gt;=(C34+C35)/2,"區間上半部","區間下半部")))&amp;"）","")&amp;IF(ISNUMBER(C44),"｜實際 "&amp;IF(C44&lt;0,"−","")&amp;"$"&amp;TEXT(ABS(C44),"#,##0.00")&amp;"bn"&amp;"（較模型 "&amp;IF(ISNUMBER(C69),IF(C69&lt;0,"−","+")&amp;IF(ABS(C69)&lt;0,"−","")&amp;"$"&amp;TEXT(ABS(ABS(C69)),"#,##0.00")&amp;"bn"&amp;IF(ISNUMBER(C74),"／"&amp;IF(C74&lt;0,"−","+")&amp;TEXT(ABS(C74)*100,"#,##0.0")&amp;"pt",""),"不適用")&amp;IF(AND(ISNUMBER(C34),ISNUMBER(C35)),"、"&amp;IF(C44&gt;C35,"高於上緣",IF(C44&lt;C34,"低於下緣",IF(C44&gt;=(C34+C35)/2,"區間上半部","區間下半部"))),"")&amp;"）","")&amp;C126</f>
        <v>調整後營業利益：模型 $27.39bn｜指引 $22.50–26.50bn（中點 +$2.89bn／+0.3pt，高於上緣）〔觀點〕</v>
      </c>
      <c r="D132" s="48" t="str">
        <f aca="false">"調整後營業利益：模型 "&amp;IF(ISNUMBER(D31),IF(D31&lt;0,"−","")&amp;"$"&amp;TEXT(ABS(D31),"#,##0.00")&amp;"bn","不適用")&amp;IF(AND(ISNUMBER(D34),ISNUMBER(D35)),"｜指引 "&amp;"$"&amp;IF(D34&lt;0,"−","")&amp;TEXT(ABS(D34),"#,##0.00")&amp;"–"&amp;IF(D35&lt;0,"−","")&amp;TEXT(ABS(D35),"#,##0.00")&amp;"bn"&amp;"（中點 "&amp;IF(ISNUMBER(D68),IF(D68&lt;0,"−","+")&amp;IF(ABS(D68)&lt;0,"−","")&amp;"$"&amp;TEXT(ABS(ABS(D68)),"#,##0.00")&amp;"bn"&amp;IF(ISNUMBER(D73),"／"&amp;IF(D73&lt;0,"−","+")&amp;TEXT(ABS(D73)*100,"#,##0.0")&amp;"pt",""),"不適用")&amp;"，"&amp;IF(D31&gt;D35,"高於上緣",IF(D31&lt;D34,"低於下緣",IF(D31&gt;=(D34+D35)/2,"區間上半部","區間下半部")))&amp;"）","")&amp;IF(ISNUMBER(D44),"｜實際 "&amp;IF(D44&lt;0,"−","")&amp;"$"&amp;TEXT(ABS(D44),"#,##0.00")&amp;"bn"&amp;"（較模型 "&amp;IF(ISNUMBER(D69),IF(D69&lt;0,"−","+")&amp;IF(ABS(D69)&lt;0,"−","")&amp;"$"&amp;TEXT(ABS(ABS(D69)),"#,##0.00")&amp;"bn"&amp;IF(ISNUMBER(D74),"／"&amp;IF(D74&lt;0,"−","+")&amp;TEXT(ABS(D74)*100,"#,##0.0")&amp;"pt",""),"不適用")&amp;IF(AND(ISNUMBER(D34),ISNUMBER(D35)),"、"&amp;IF(D44&gt;D35,"高於上緣",IF(D44&lt;D34,"低於下緣",IF(D44&gt;=(D34+D35)/2,"區間上半部","區間下半部"))),"")&amp;"）","")&amp;D126</f>
        <v>調整後營業利益：模型 $32.50bn</v>
      </c>
      <c r="E132" s="48" t="str">
        <f aca="false">"調整後營業利益：模型 "&amp;IF(ISNUMBER(E31),IF(E31&lt;0,"−","")&amp;"$"&amp;TEXT(ABS(E31),"#,##0.00")&amp;"bn","不適用")&amp;IF(AND(ISNUMBER(E34),ISNUMBER(E35)),"｜指引 "&amp;"$"&amp;IF(E34&lt;0,"−","")&amp;TEXT(ABS(E34),"#,##0.00")&amp;"–"&amp;IF(E35&lt;0,"−","")&amp;TEXT(ABS(E35),"#,##0.00")&amp;"bn"&amp;"（中點 "&amp;IF(ISNUMBER(E68),IF(E68&lt;0,"−","+")&amp;IF(ABS(E68)&lt;0,"−","")&amp;"$"&amp;TEXT(ABS(ABS(E68)),"#,##0.00")&amp;"bn"&amp;IF(ISNUMBER(E73),"／"&amp;IF(E73&lt;0,"−","+")&amp;TEXT(ABS(E73)*100,"#,##0.0")&amp;"pt",""),"不適用")&amp;"，"&amp;IF(E31&gt;E35,"高於上緣",IF(E31&lt;E34,"低於下緣",IF(E31&gt;=(E34+E35)/2,"區間上半部","區間下半部")))&amp;"）","")&amp;IF(ISNUMBER(E44),"｜實際 "&amp;IF(E44&lt;0,"−","")&amp;"$"&amp;TEXT(ABS(E44),"#,##0.00")&amp;"bn"&amp;"（較模型 "&amp;IF(ISNUMBER(E69),IF(E69&lt;0,"−","+")&amp;IF(ABS(E69)&lt;0,"−","")&amp;"$"&amp;TEXT(ABS(ABS(E69)),"#,##0.00")&amp;"bn"&amp;IF(ISNUMBER(E74),"／"&amp;IF(E74&lt;0,"−","+")&amp;TEXT(ABS(E74)*100,"#,##0.0")&amp;"pt",""),"不適用")&amp;IF(AND(ISNUMBER(E34),ISNUMBER(E35)),"、"&amp;IF(E44&gt;E35,"高於上緣",IF(E44&lt;E34,"低於下緣",IF(E44&gt;=(E34+E35)/2,"區間上半部","區間下半部"))),"")&amp;"）","")&amp;E126</f>
        <v>調整後營業利益：模型 $17.73bn</v>
      </c>
      <c r="F132" s="48" t="str">
        <f aca="false">"調整後營業利益：模型 "&amp;IF(ISNUMBER(F31),IF(F31&lt;0,"−","")&amp;"$"&amp;TEXT(ABS(F31),"#,##0.00")&amp;"bn","不適用")&amp;IF(AND(ISNUMBER(F34),ISNUMBER(F35)),"｜指引 "&amp;"$"&amp;IF(F34&lt;0,"−","")&amp;TEXT(ABS(F34),"#,##0.00")&amp;"–"&amp;IF(F35&lt;0,"−","")&amp;TEXT(ABS(F35),"#,##0.00")&amp;"bn"&amp;"（中點 "&amp;IF(ISNUMBER(F68),IF(F68&lt;0,"−","+")&amp;IF(ABS(F68)&lt;0,"−","")&amp;"$"&amp;TEXT(ABS(ABS(F68)),"#,##0.00")&amp;"bn"&amp;IF(ISNUMBER(F73),"／"&amp;IF(F73&lt;0,"−","+")&amp;TEXT(ABS(F73)*100,"#,##0.0")&amp;"pt",""),"不適用")&amp;"，"&amp;IF(F31&gt;F35,"高於上緣",IF(F31&lt;F34,"低於下緣",IF(F31&gt;=(F34+F35)/2,"區間上半部","區間下半部")))&amp;"）","")&amp;IF(ISNUMBER(F44),"｜實際 "&amp;IF(F44&lt;0,"−","")&amp;"$"&amp;TEXT(ABS(F44),"#,##0.00")&amp;"bn"&amp;"（較模型 "&amp;IF(ISNUMBER(F69),IF(F69&lt;0,"−","+")&amp;IF(ABS(F69)&lt;0,"−","")&amp;"$"&amp;TEXT(ABS(ABS(F69)),"#,##0.00")&amp;"bn"&amp;IF(ISNUMBER(F74),"／"&amp;IF(F74&lt;0,"−","+")&amp;TEXT(ABS(F74)*100,"#,##0.0")&amp;"pt",""),"不適用")&amp;IF(AND(ISNUMBER(F34),ISNUMBER(F35)),"、"&amp;IF(F44&gt;F35,"高於上緣",IF(F44&lt;F34,"低於下緣",IF(F44&gt;=(F34+F35)/2,"區間上半部","區間下半部"))),"")&amp;"）","")&amp;F126</f>
        <v>調整後營業利益：模型 $27.50bn</v>
      </c>
      <c r="G132" s="48" t="str">
        <f aca="false">"調整後營業利益：模型 "&amp;IF(ISNUMBER(G31),IF(G31&lt;0,"−","")&amp;"$"&amp;TEXT(ABS(G31),"#,##0.00")&amp;"bn","不適用")&amp;IF(AND(ISNUMBER(G34),ISNUMBER(G35)),"｜指引 "&amp;"$"&amp;IF(G34&lt;0,"−","")&amp;TEXT(ABS(G34),"#,##0.00")&amp;"–"&amp;IF(G35&lt;0,"−","")&amp;TEXT(ABS(G35),"#,##0.00")&amp;"bn"&amp;"（中點 "&amp;IF(ISNUMBER(G68),IF(G68&lt;0,"−","+")&amp;IF(ABS(G68)&lt;0,"−","")&amp;"$"&amp;TEXT(ABS(ABS(G68)),"#,##0.00")&amp;"bn"&amp;IF(ISNUMBER(G73),"／"&amp;IF(G73&lt;0,"−","+")&amp;TEXT(ABS(G73)*100,"#,##0.0")&amp;"pt",""),"不適用")&amp;"，"&amp;IF(G31&gt;G35,"高於上緣",IF(G31&lt;G34,"低於下緣",IF(G31&gt;=(G34+G35)/2,"區間上半部","區間下半部")))&amp;"）","")&amp;IF(ISNUMBER(G44),"｜實際 "&amp;IF(G44&lt;0,"−","")&amp;"$"&amp;TEXT(ABS(G44),"#,##0.00")&amp;"bn"&amp;"（較模型 "&amp;IF(ISNUMBER(G69),IF(G69&lt;0,"−","+")&amp;IF(ABS(G69)&lt;0,"−","")&amp;"$"&amp;TEXT(ABS(ABS(G69)),"#,##0.00")&amp;"bn"&amp;IF(ISNUMBER(G74),"／"&amp;IF(G74&lt;0,"−","+")&amp;TEXT(ABS(G74)*100,"#,##0.0")&amp;"pt",""),"不適用")&amp;IF(AND(ISNUMBER(G34),ISNUMBER(G35)),"、"&amp;IF(G44&gt;G35,"高於上緣",IF(G44&lt;G34,"低於下緣",IF(G44&gt;=(G34+G35)/2,"區間上半部","區間下半部"))),"")&amp;"）","")&amp;G126</f>
        <v>調整後營業利益：模型 $37.88bn</v>
      </c>
      <c r="H132" s="48" t="str">
        <f aca="false">"調整後營業利益：模型 "&amp;IF(ISNUMBER(H31),IF(H31&lt;0,"−","")&amp;"$"&amp;TEXT(ABS(H31),"#,##0.00")&amp;"bn","不適用")&amp;IF(AND(ISNUMBER(H34),ISNUMBER(H35)),"｜指引 "&amp;"$"&amp;IF(H34&lt;0,"−","")&amp;TEXT(ABS(H34),"#,##0.00")&amp;"–"&amp;IF(H35&lt;0,"−","")&amp;TEXT(ABS(H35),"#,##0.00")&amp;"bn"&amp;"（中點 "&amp;IF(ISNUMBER(H68),IF(H68&lt;0,"−","+")&amp;IF(ABS(H68)&lt;0,"−","")&amp;"$"&amp;TEXT(ABS(ABS(H68)),"#,##0.00")&amp;"bn"&amp;IF(ISNUMBER(H73),"／"&amp;IF(H73&lt;0,"−","+")&amp;TEXT(ABS(H73)*100,"#,##0.0")&amp;"pt",""),"不適用")&amp;"，"&amp;IF(H31&gt;H35,"高於上緣",IF(H31&lt;H34,"低於下緣",IF(H31&gt;=(H34+H35)/2,"區間上半部","區間下半部")))&amp;"）","")&amp;IF(ISNUMBER(H44),"｜實際 "&amp;IF(H44&lt;0,"−","")&amp;"$"&amp;TEXT(ABS(H44),"#,##0.00")&amp;"bn"&amp;"（較模型 "&amp;IF(ISNUMBER(H69),IF(H69&lt;0,"−","+")&amp;IF(ABS(H69)&lt;0,"−","")&amp;"$"&amp;TEXT(ABS(ABS(H69)),"#,##0.00")&amp;"bn"&amp;IF(ISNUMBER(H74),"／"&amp;IF(H74&lt;0,"−","+")&amp;TEXT(ABS(H74)*100,"#,##0.0")&amp;"pt",""),"不適用")&amp;IF(AND(ISNUMBER(H34),ISNUMBER(H35)),"、"&amp;IF(H44&gt;H35,"高於上緣",IF(H44&lt;H34,"低於下緣",IF(H44&gt;=(H34+H35)/2,"區間上半部","區間下半部"))),"")&amp;"）","")&amp;H126</f>
        <v>調整後營業利益：模型 $48.89bn</v>
      </c>
    </row>
    <row r="133" customFormat="false" ht="15" hidden="true" customHeight="false" outlineLevel="1" collapsed="false">
      <c r="A133" s="3" t="s">
        <v>1371</v>
      </c>
      <c r="C133" s="48" t="str">
        <f aca="false">"CapEx（毛額）：模型 "&amp;IF(ISNUMBER(C36),IF(C36&lt;0,"−","")&amp;"$"&amp;TEXT(ABS(C36),"#,##0.00")&amp;"bn","不適用")&amp;IF(ISNUMBER(C45),"｜實際 "&amp;IF(C45&lt;0,"−","")&amp;"$"&amp;TEXT(ABS(C45),"#,##0.00")&amp;"bn"&amp;"（較模型 "&amp;IF(ISNUMBER(C79),IF(C79&lt;0,"−","+")&amp;TEXT(ABS(C79)*100,"#,##0.0")&amp;"%","不適用")&amp;"）","")&amp;C127</f>
        <v>CapEx（毛額）：模型 $61.85bn</v>
      </c>
      <c r="D133" s="48" t="str">
        <f aca="false">"CapEx（毛額）：模型 "&amp;IF(ISNUMBER(D36),IF(D36&lt;0,"−","")&amp;"$"&amp;TEXT(ABS(D36),"#,##0.00")&amp;"bn","不適用")&amp;IF(ISNUMBER(D45),"｜實際 "&amp;IF(D45&lt;0,"−","")&amp;"$"&amp;TEXT(ABS(D45),"#,##0.00")&amp;"bn"&amp;"（較模型 "&amp;IF(ISNUMBER(D79),IF(D79&lt;0,"−","+")&amp;TEXT(ABS(D79)*100,"#,##0.0")&amp;"%","不適用")&amp;"）","")&amp;D127</f>
        <v>CapEx（毛額）：模型 $61.85bn</v>
      </c>
      <c r="E133" s="48" t="str">
        <f aca="false">"CapEx（毛額）：模型 "&amp;IF(ISNUMBER(E36),IF(E36&lt;0,"−","")&amp;"$"&amp;TEXT(ABS(E36),"#,##0.00")&amp;"bn","不適用")&amp;IF(ISNUMBER(E45),"｜實際 "&amp;IF(E45&lt;0,"−","")&amp;"$"&amp;TEXT(ABS(E45),"#,##0.00")&amp;"bn"&amp;"（較模型 "&amp;IF(ISNUMBER(E79),IF(E79&lt;0,"−","+")&amp;TEXT(ABS(E79)*100,"#,##0.0")&amp;"%","不適用")&amp;"）","")&amp;E127</f>
        <v>CapEx（毛額）：模型 $69.06bn</v>
      </c>
      <c r="F133" s="48" t="str">
        <f aca="false">"CapEx（毛額）：模型 "&amp;IF(ISNUMBER(F36),IF(F36&lt;0,"−","")&amp;"$"&amp;TEXT(ABS(F36),"#,##0.00")&amp;"bn","不適用")&amp;IF(ISNUMBER(F45),"｜實際 "&amp;IF(F45&lt;0,"−","")&amp;"$"&amp;TEXT(ABS(F45),"#,##0.00")&amp;"bn"&amp;"（較模型 "&amp;IF(ISNUMBER(F79),IF(F79&lt;0,"−","+")&amp;TEXT(ABS(F79)*100,"#,##0.0")&amp;"%","不適用")&amp;"）","")&amp;F127</f>
        <v>CapEx（毛額）：模型 $69.06bn</v>
      </c>
      <c r="G133" s="48" t="str">
        <f aca="false">"CapEx（毛額）：模型 "&amp;IF(ISNUMBER(G36),IF(G36&lt;0,"−","")&amp;"$"&amp;TEXT(ABS(G36),"#,##0.00")&amp;"bn","不適用")&amp;IF(ISNUMBER(G45),"｜實際 "&amp;IF(G45&lt;0,"−","")&amp;"$"&amp;TEXT(ABS(G45),"#,##0.00")&amp;"bn"&amp;"（較模型 "&amp;IF(ISNUMBER(G79),IF(G79&lt;0,"−","+")&amp;TEXT(ABS(G79)*100,"#,##0.0")&amp;"%","不適用")&amp;"）","")&amp;G127</f>
        <v>CapEx（毛額）：模型 $69.06bn</v>
      </c>
      <c r="H133" s="48" t="str">
        <f aca="false">"CapEx（毛額）：模型 "&amp;IF(ISNUMBER(H36),IF(H36&lt;0,"−","")&amp;"$"&amp;TEXT(ABS(H36),"#,##0.00")&amp;"bn","不適用")&amp;IF(ISNUMBER(H45),"｜實際 "&amp;IF(H45&lt;0,"−","")&amp;"$"&amp;TEXT(ABS(H45),"#,##0.00")&amp;"bn"&amp;"（較模型 "&amp;IF(ISNUMBER(H79),IF(H79&lt;0,"−","+")&amp;TEXT(ABS(H79)*100,"#,##0.0")&amp;"%","不適用")&amp;"）","")&amp;H127</f>
        <v>CapEx（毛額）：模型 $69.06bn</v>
      </c>
    </row>
    <row r="134" customFormat="false" ht="15" hidden="true" customHeight="false" outlineLevel="1" collapsed="false">
      <c r="A134" s="3" t="s">
        <v>1372</v>
      </c>
      <c r="C134" s="48" t="str">
        <f aca="false">"季末已連網 MW-IT：模型 "&amp;IF(ISNUMBER(C19),IF(C19&lt;0,"−","")&amp;TEXT(ABS(C19),"#,##0")&amp;" MW","不適用")&amp;IF(ISNUMBER(C46),"｜實際 "&amp;IF(C46&lt;0,"−","")&amp;TEXT(ABS(C46),"#,##0")&amp;" MW"&amp;"（較模型 "&amp;IF(ISNUMBER(C84),IF(C84&lt;0,"−","+")&amp;IF(ABS(C84)&lt;0,"−","")&amp;TEXT(ABS(ABS(C84)),"#,##0")&amp;" MW","不適用")&amp;"）","")&amp;C128</f>
        <v>季末已連網 MW-IT：模型 2,987 MW</v>
      </c>
      <c r="D134" s="48" t="str">
        <f aca="false">"季末已連網 MW-IT：模型 "&amp;IF(ISNUMBER(D19),IF(D19&lt;0,"−","")&amp;TEXT(ABS(D19),"#,##0")&amp;" MW","不適用")&amp;IF(ISNUMBER(D46),"｜實際 "&amp;IF(D46&lt;0,"−","")&amp;TEXT(ABS(D46),"#,##0")&amp;" MW"&amp;"（較模型 "&amp;IF(ISNUMBER(D84),IF(D84&lt;0,"−","+")&amp;IF(ABS(D84)&lt;0,"−","")&amp;TEXT(ABS(ABS(D84)),"#,##0")&amp;" MW","不適用")&amp;"）","")&amp;D128</f>
        <v>季末已連網 MW-IT：模型 3,894 MW</v>
      </c>
      <c r="E134" s="48" t="str">
        <f aca="false">"季末已連網 MW-IT：模型 "&amp;IF(ISNUMBER(E19),IF(E19&lt;0,"−","")&amp;TEXT(ABS(E19),"#,##0")&amp;" MW","不適用")&amp;IF(ISNUMBER(E46),"｜實際 "&amp;IF(E46&lt;0,"−","")&amp;TEXT(ABS(E46),"#,##0")&amp;" MW"&amp;"（較模型 "&amp;IF(ISNUMBER(E84),IF(E84&lt;0,"−","+")&amp;IF(ABS(E84)&lt;0,"−","")&amp;TEXT(ABS(ABS(E84)),"#,##0")&amp;" MW","不適用")&amp;"）","")&amp;E128</f>
        <v>季末已連網 MW-IT：模型 4,802 MW</v>
      </c>
      <c r="F134" s="48" t="str">
        <f aca="false">"季末已連網 MW-IT：模型 "&amp;IF(ISNUMBER(F19),IF(F19&lt;0,"−","")&amp;TEXT(ABS(F19),"#,##0")&amp;" MW","不適用")&amp;IF(ISNUMBER(F46),"｜實際 "&amp;IF(F46&lt;0,"−","")&amp;TEXT(ABS(F46),"#,##0")&amp;" MW"&amp;"（較模型 "&amp;IF(ISNUMBER(F84),IF(F84&lt;0,"−","+")&amp;IF(ABS(F84)&lt;0,"−","")&amp;TEXT(ABS(ABS(F84)),"#,##0")&amp;" MW","不適用")&amp;"）","")&amp;F128</f>
        <v>季末已連網 MW-IT：模型 5,709 MW</v>
      </c>
      <c r="G134" s="48" t="str">
        <f aca="false">"季末已連網 MW-IT：模型 "&amp;IF(ISNUMBER(G19),IF(G19&lt;0,"−","")&amp;TEXT(ABS(G19),"#,##0")&amp;" MW","不適用")&amp;IF(ISNUMBER(G46),"｜實際 "&amp;IF(G46&lt;0,"−","")&amp;TEXT(ABS(G46),"#,##0")&amp;" MW"&amp;"（較模型 "&amp;IF(ISNUMBER(G84),IF(G84&lt;0,"−","+")&amp;IF(ABS(G84)&lt;0,"−","")&amp;TEXT(ABS(ABS(G84)),"#,##0")&amp;" MW","不適用")&amp;"）","")&amp;G128</f>
        <v>季末已連網 MW-IT：模型 6,616 MW</v>
      </c>
      <c r="H134" s="48" t="str">
        <f aca="false">"季末已連網 MW-IT：模型 "&amp;IF(ISNUMBER(H19),IF(H19&lt;0,"−","")&amp;TEXT(ABS(H19),"#,##0")&amp;" MW","不適用")&amp;IF(ISNUMBER(H46),"｜實際 "&amp;IF(H46&lt;0,"−","")&amp;TEXT(ABS(H46),"#,##0")&amp;" MW"&amp;"（較模型 "&amp;IF(ISNUMBER(H84),IF(H84&lt;0,"−","+")&amp;IF(ABS(H84)&lt;0,"−","")&amp;TEXT(ABS(ABS(H84)),"#,##0")&amp;" MW","不適用")&amp;"）","")&amp;H128</f>
        <v>季末已連網 MW-IT：模型 7,523 MW</v>
      </c>
    </row>
    <row r="135" customFormat="false" ht="15" hidden="true" customHeight="false" outlineLevel="1" collapsed="false"/>
    <row r="136" customFormat="false" ht="15" hidden="true" customHeight="false" outlineLevel="1" collapsed="false">
      <c r="A136" s="2" t="s">
        <v>1373</v>
      </c>
    </row>
    <row r="137" customFormat="false" ht="15" hidden="true" customHeight="false" outlineLevel="1" collapsed="false">
      <c r="A137" s="3" t="s">
        <v>1374</v>
      </c>
      <c r="C137" s="69" t="n">
        <f aca="false">C22+D22-損益!C9</f>
        <v>0</v>
      </c>
      <c r="D137" s="69" t="n">
        <f aca="false">E22+F22+G22+H22-損益!D9</f>
        <v>0</v>
      </c>
    </row>
    <row r="138" customFormat="false" ht="15" hidden="true" customHeight="false" outlineLevel="1" collapsed="false">
      <c r="A138" s="3" t="s">
        <v>1375</v>
      </c>
      <c r="C138" s="69" t="n">
        <f aca="false">C28+D28-損益!C22</f>
        <v>0</v>
      </c>
      <c r="D138" s="69" t="n">
        <f aca="false">E28+F28+G28+H28-損益!D22</f>
        <v>0</v>
      </c>
    </row>
    <row r="139" customFormat="false" ht="15" hidden="true" customHeight="false" outlineLevel="1" collapsed="false">
      <c r="A139" s="3" t="s">
        <v>1376</v>
      </c>
      <c r="C139" s="69" t="n">
        <f aca="false">C31+D31-損益!C12</f>
        <v>0</v>
      </c>
      <c r="D139" s="69" t="n">
        <f aca="false">E31+F31+G31+H31-損益!D12</f>
        <v>0</v>
      </c>
    </row>
    <row r="140" customFormat="false" ht="15" hidden="true" customHeight="false" outlineLevel="1" collapsed="false">
      <c r="A140" s="3" t="s">
        <v>1377</v>
      </c>
      <c r="C140" s="69" t="n">
        <f aca="false">C36+D36-輸入與假設!C$277</f>
        <v>0</v>
      </c>
      <c r="D140" s="69" t="n">
        <f aca="false">E36+F36+G36+H36-輸入與假設!D$277</f>
        <v>0</v>
      </c>
    </row>
    <row r="141" customFormat="false" ht="15" hidden="true" customHeight="false" outlineLevel="1" collapsed="false">
      <c r="A141" s="3" t="s">
        <v>1378</v>
      </c>
      <c r="C141" s="69" t="n">
        <f aca="false">C29+D29-輸入與假設!C$278</f>
        <v>0</v>
      </c>
      <c r="D141" s="69" t="n">
        <f aca="false">E29+F29+G29+H29-輸入與假設!D$278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5" t="s">
        <v>1379</v>
      </c>
    </row>
    <row r="2" customFormat="false" ht="15" hidden="false" customHeight="false" outlineLevel="0" collapsed="false">
      <c r="A2" s="6" t="s">
        <v>1380</v>
      </c>
    </row>
    <row r="3" customFormat="false" ht="15" hidden="false" customHeight="false" outlineLevel="0" collapsed="false">
      <c r="A3" s="11" t="s">
        <v>1381</v>
      </c>
    </row>
    <row r="5" customFormat="false" ht="15" hidden="false" customHeight="false" outlineLevel="0" collapsed="false">
      <c r="A5" s="14" t="s">
        <v>59</v>
      </c>
      <c r="B5" s="14" t="s">
        <v>60</v>
      </c>
      <c r="C5" s="28" t="s">
        <v>61</v>
      </c>
      <c r="D5" s="28" t="s">
        <v>62</v>
      </c>
      <c r="E5" s="28" t="s">
        <v>63</v>
      </c>
      <c r="F5" s="28" t="s">
        <v>153</v>
      </c>
      <c r="G5" s="28" t="s">
        <v>154</v>
      </c>
      <c r="I5" s="14" t="s">
        <v>1028</v>
      </c>
    </row>
    <row r="6" customFormat="false" ht="15" hidden="false" customHeight="false" outlineLevel="0" collapsed="false">
      <c r="A6" s="3" t="s">
        <v>821</v>
      </c>
      <c r="B6" s="6"/>
      <c r="C6" s="66" t="str">
        <f aca="false">"2026-07-01~12-31"</f>
        <v>2026-07-01~12-31</v>
      </c>
      <c r="D6" s="66" t="str">
        <f aca="false">"2027 全年"</f>
        <v>2027 全年</v>
      </c>
      <c r="E6" s="66" t="str">
        <f aca="false">"2028 全年"</f>
        <v>2028 全年</v>
      </c>
      <c r="F6" s="66" t="str">
        <f aca="false">"2029 全年"</f>
        <v>2029 全年</v>
      </c>
      <c r="G6" s="66" t="str">
        <f aca="false">"2030 全年"</f>
        <v>2030 全年</v>
      </c>
      <c r="I6" s="11" t="s">
        <v>1382</v>
      </c>
    </row>
    <row r="7" customFormat="false" ht="15" hidden="false" customHeight="false" outlineLevel="0" collapsed="false">
      <c r="A7" s="3" t="s">
        <v>207</v>
      </c>
      <c r="B7" s="6"/>
      <c r="C7" s="39" t="n">
        <f aca="false">輸入與假設!C$34</f>
        <v>0.5</v>
      </c>
      <c r="D7" s="39" t="n">
        <f aca="false">輸入與假設!D$34</f>
        <v>1</v>
      </c>
      <c r="E7" s="39" t="n">
        <f aca="false">輸入與假設!E$34</f>
        <v>1</v>
      </c>
      <c r="F7" s="39" t="n">
        <f aca="false">輸入與假設!F$34</f>
        <v>1</v>
      </c>
      <c r="G7" s="39" t="n">
        <f aca="false">輸入與假設!G$34</f>
        <v>1</v>
      </c>
      <c r="I7" s="6" t="s">
        <v>1383</v>
      </c>
    </row>
    <row r="8" customFormat="false" ht="15" hidden="false" customHeight="false" outlineLevel="0" collapsed="false">
      <c r="A8" s="52" t="s">
        <v>1384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1385</v>
      </c>
      <c r="B9" s="11" t="s">
        <v>157</v>
      </c>
      <c r="C9" s="68" t="n">
        <f aca="false">MAX(0,輸入與假設!C$36)</f>
        <v>3894.4</v>
      </c>
      <c r="D9" s="68" t="n">
        <f aca="false">MAX(輸入與假設!D$36,C9)</f>
        <v>7523.2</v>
      </c>
      <c r="E9" s="68" t="n">
        <f aca="false">MAX(輸入與假設!E$36,D9)</f>
        <v>11152</v>
      </c>
      <c r="F9" s="68" t="n">
        <f aca="false">MAX(輸入與假設!F$36,E9)</f>
        <v>14780.8</v>
      </c>
      <c r="G9" s="68" t="n">
        <f aca="false">MAX(輸入與假設!G$36,F9)</f>
        <v>18409.6</v>
      </c>
      <c r="I9" s="6" t="s">
        <v>1386</v>
      </c>
    </row>
    <row r="10" customFormat="false" ht="15" hidden="false" customHeight="false" outlineLevel="1" collapsed="false">
      <c r="A10" s="4" t="s">
        <v>1387</v>
      </c>
      <c r="B10" s="11" t="s">
        <v>157</v>
      </c>
      <c r="C10" s="68" t="n">
        <f aca="false">MIN(MAX(0,輸入與假設!C$37),C9)</f>
        <v>3894</v>
      </c>
      <c r="D10" s="68" t="n">
        <f aca="false">MIN(MAX(0,輸入與假設!D$37),D9)</f>
        <v>7523</v>
      </c>
      <c r="E10" s="68" t="n">
        <f aca="false">MIN(MAX(0,輸入與假設!E$37),E9)</f>
        <v>11152</v>
      </c>
      <c r="F10" s="68" t="n">
        <f aca="false">MIN(MAX(0,輸入與假設!F$37),F9)</f>
        <v>14780.8</v>
      </c>
      <c r="G10" s="68" t="n">
        <f aca="false">MIN(MAX(0,輸入與假設!G$37),G9)</f>
        <v>18409.6</v>
      </c>
      <c r="I10" s="6" t="s">
        <v>1388</v>
      </c>
    </row>
    <row r="11" customFormat="false" ht="15" hidden="false" customHeight="false" outlineLevel="1" collapsed="false">
      <c r="A11" s="4" t="s">
        <v>1389</v>
      </c>
      <c r="B11" s="11" t="s">
        <v>157</v>
      </c>
      <c r="C11" s="68" t="n">
        <f aca="false">IF($C$50&lt;=0,$C$10,輸入與假設!$C$29+($C$10-輸入與假設!$C$29)*MAX(0,MIN(1,($C$51-$C$50/12-0)/$C$7))+($D$10-$C$10)*MAX(0,MIN(1,($C$51-$C$50/12-$C$51)/$D$7))+($E$10-$D$10)*MAX(0,MIN(1,($C$51-$C$50/12-$D$51)/$E$7))+($F$10-$E$10)*MAX(0,MIN(1,($C$51-$C$50/12-$E$51)/$F$7))+($G$10-$F$10)*MAX(0,MIN(1,($C$51-$C$50/12-$F$51)/$G$7)))</f>
        <v>3894</v>
      </c>
      <c r="D11" s="68" t="n">
        <f aca="false">IF($C$50&lt;=0,$D$10,輸入與假設!$C$29+($C$10-輸入與假設!$C$29)*MAX(0,MIN(1,($D$51-$C$50/12-0)/$C$7))+($D$10-$C$10)*MAX(0,MIN(1,($D$51-$C$50/12-$C$51)/$D$7))+($E$10-$D$10)*MAX(0,MIN(1,($D$51-$C$50/12-$D$51)/$E$7))+($F$10-$E$10)*MAX(0,MIN(1,($D$51-$C$50/12-$E$51)/$F$7))+($G$10-$F$10)*MAX(0,MIN(1,($D$51-$C$50/12-$F$51)/$G$7)))</f>
        <v>7523</v>
      </c>
      <c r="E11" s="68" t="n">
        <f aca="false">IF($C$50&lt;=0,$E$10,輸入與假設!$C$29+($C$10-輸入與假設!$C$29)*MAX(0,MIN(1,($E$51-$C$50/12-0)/$C$7))+($D$10-$C$10)*MAX(0,MIN(1,($E$51-$C$50/12-$C$51)/$D$7))+($E$10-$D$10)*MAX(0,MIN(1,($E$51-$C$50/12-$D$51)/$E$7))+($F$10-$E$10)*MAX(0,MIN(1,($E$51-$C$50/12-$E$51)/$F$7))+($G$10-$F$10)*MAX(0,MIN(1,($E$51-$C$50/12-$F$51)/$G$7)))</f>
        <v>11152</v>
      </c>
      <c r="F11" s="68" t="n">
        <f aca="false">IF($C$50&lt;=0,$F$10,輸入與假設!$C$29+($C$10-輸入與假設!$C$29)*MAX(0,MIN(1,($F$51-$C$50/12-0)/$C$7))+($D$10-$C$10)*MAX(0,MIN(1,($F$51-$C$50/12-$C$51)/$D$7))+($E$10-$D$10)*MAX(0,MIN(1,($F$51-$C$50/12-$D$51)/$E$7))+($F$10-$E$10)*MAX(0,MIN(1,($F$51-$C$50/12-$E$51)/$F$7))+($G$10-$F$10)*MAX(0,MIN(1,($F$51-$C$50/12-$F$51)/$G$7)))</f>
        <v>14780.8</v>
      </c>
      <c r="G11" s="68" t="n">
        <f aca="false">IF($C$50&lt;=0,$G$10,輸入與假設!$C$29+($C$10-輸入與假設!$C$29)*MAX(0,MIN(1,($G$51-$C$50/12-0)/$C$7))+($D$10-$C$10)*MAX(0,MIN(1,($G$51-$C$50/12-$C$51)/$D$7))+($E$10-$D$10)*MAX(0,MIN(1,($G$51-$C$50/12-$D$51)/$E$7))+($F$10-$E$10)*MAX(0,MIN(1,($G$51-$C$50/12-$E$51)/$F$7))+($G$10-$F$10)*MAX(0,MIN(1,($G$51-$C$50/12-$F$51)/$G$7)))</f>
        <v>18409.6</v>
      </c>
      <c r="I11" s="6" t="s">
        <v>1390</v>
      </c>
    </row>
    <row r="12" customFormat="false" ht="15" hidden="false" customHeight="false" outlineLevel="1" collapsed="false">
      <c r="A12" s="3" t="s">
        <v>1391</v>
      </c>
      <c r="B12" s="11" t="s">
        <v>157</v>
      </c>
      <c r="C12" s="68" t="n">
        <f aca="false">輸入與假設!$C$29</f>
        <v>2080</v>
      </c>
      <c r="D12" s="68" t="n">
        <f aca="false">C11</f>
        <v>3894</v>
      </c>
      <c r="E12" s="68" t="n">
        <f aca="false">D11</f>
        <v>7523</v>
      </c>
      <c r="F12" s="68" t="n">
        <f aca="false">E11</f>
        <v>11152</v>
      </c>
      <c r="G12" s="68" t="n">
        <f aca="false">F11</f>
        <v>14780.8</v>
      </c>
      <c r="I12" s="6" t="s">
        <v>1392</v>
      </c>
    </row>
    <row r="13" customFormat="false" ht="15" hidden="false" customHeight="false" outlineLevel="1" collapsed="false">
      <c r="A13" s="3" t="s">
        <v>1393</v>
      </c>
      <c r="B13" s="11" t="s">
        <v>157</v>
      </c>
      <c r="C13" s="68" t="n">
        <f aca="false">IF(輸入與假設!$C$30=1,(C12+C11)/2,C11)</f>
        <v>2987</v>
      </c>
      <c r="D13" s="68" t="n">
        <f aca="false">IF(輸入與假設!$C$30=1,(D12+D11)/2,D11)</f>
        <v>5708.5</v>
      </c>
      <c r="E13" s="68" t="n">
        <f aca="false">IF(輸入與假設!$C$30=1,(E12+E11)/2,E11)</f>
        <v>9337.5</v>
      </c>
      <c r="F13" s="68" t="n">
        <f aca="false">IF(輸入與假設!$C$30=1,(F12+F11)/2,F11)</f>
        <v>12966.4</v>
      </c>
      <c r="G13" s="68" t="n">
        <f aca="false">IF(輸入與假設!$C$30=1,(G12+G11)/2,G11)</f>
        <v>16595.2</v>
      </c>
      <c r="I13" s="6" t="s">
        <v>1394</v>
      </c>
    </row>
    <row r="14" customFormat="false" ht="15" hidden="false" customHeight="false" outlineLevel="1" collapsed="false">
      <c r="A14" s="3" t="s">
        <v>215</v>
      </c>
      <c r="B14" s="11" t="s">
        <v>42</v>
      </c>
      <c r="C14" s="53" t="n">
        <f aca="false">輸入與假設!C$38</f>
        <v>1</v>
      </c>
      <c r="D14" s="53" t="n">
        <f aca="false">輸入與假設!D$38</f>
        <v>1</v>
      </c>
      <c r="E14" s="53" t="n">
        <f aca="false">輸入與假設!E$38</f>
        <v>1</v>
      </c>
      <c r="F14" s="53" t="n">
        <f aca="false">輸入與假設!F$38</f>
        <v>1</v>
      </c>
      <c r="G14" s="53" t="n">
        <f aca="false">輸入與假設!G$38</f>
        <v>1</v>
      </c>
    </row>
    <row r="15" customFormat="false" ht="15" hidden="false" customHeight="false" outlineLevel="1" collapsed="false">
      <c r="A15" s="3" t="s">
        <v>217</v>
      </c>
      <c r="B15" s="11" t="s">
        <v>218</v>
      </c>
      <c r="C15" s="70" t="n">
        <f aca="false">輸入與假設!C$39</f>
        <v>0.00978570810375136</v>
      </c>
      <c r="D15" s="70" t="n">
        <f aca="false">輸入與假設!D$39</f>
        <v>0.0102183025509056</v>
      </c>
      <c r="E15" s="70" t="n">
        <f aca="false">輸入與假設!E$39</f>
        <v>0.0104730712809987</v>
      </c>
      <c r="F15" s="70" t="n">
        <f aca="false">輸入與假設!F$39</f>
        <v>0.0106027446484914</v>
      </c>
      <c r="G15" s="70" t="n">
        <f aca="false">輸入與假設!G$39</f>
        <v>0.0106812970013008</v>
      </c>
    </row>
    <row r="16" customFormat="false" ht="15" hidden="false" customHeight="false" outlineLevel="1" collapsed="false">
      <c r="A16" s="3" t="s">
        <v>1395</v>
      </c>
      <c r="B16" s="11" t="s">
        <v>65</v>
      </c>
      <c r="C16" s="42" t="n">
        <f aca="false">C13*輸入與假設!C$39*輸入與假設!$C$32*輸入與假設!C$38*C7</f>
        <v>14.6149550529527</v>
      </c>
      <c r="D16" s="42" t="n">
        <f aca="false">D13*輸入與假設!D$39*輸入與假設!$C$32*輸入與假設!D$38*D7</f>
        <v>58.3311801118447</v>
      </c>
      <c r="E16" s="42" t="n">
        <f aca="false">E13*輸入與假設!E$39*輸入與假設!$C$32*輸入與假設!E$38*E7</f>
        <v>97.7923030863256</v>
      </c>
      <c r="F16" s="42" t="n">
        <f aca="false">F13*輸入與假設!F$39*輸入與假設!$C$32*輸入與假設!F$38*F7</f>
        <v>137.479428210199</v>
      </c>
      <c r="G16" s="42" t="n">
        <f aca="false">G13*輸入與假設!G$39*輸入與假設!$C$32*輸入與假設!G$38*G7</f>
        <v>177.258259995987</v>
      </c>
      <c r="I16" s="6" t="s">
        <v>1396</v>
      </c>
    </row>
    <row r="17" customFormat="false" ht="15" hidden="false" customHeight="false" outlineLevel="0" collapsed="false">
      <c r="A17" s="52" t="s">
        <v>1397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1398</v>
      </c>
      <c r="B18" s="11" t="s">
        <v>65</v>
      </c>
      <c r="C18" s="66" t="n">
        <f aca="false">(輸入與假設!$C$24+輸入與假設!$C$25)*(輸入與假設!C$35/輸入與假設!$C$27)*輸入與假設!$C$26</f>
        <v>0</v>
      </c>
      <c r="D18" s="66" t="n">
        <f aca="false">(輸入與假設!$C$24+輸入與假設!$C$25)*(輸入與假設!D$35/輸入與假設!$C$27)*輸入與假設!$C$26</f>
        <v>0</v>
      </c>
      <c r="E18" s="66" t="n">
        <f aca="false">(輸入與假設!$C$24+輸入與假設!$C$25)*(輸入與假設!E$35/輸入與假設!$C$27)*輸入與假設!$C$26</f>
        <v>0</v>
      </c>
      <c r="F18" s="66" t="n">
        <f aca="false">(輸入與假設!$C$24+輸入與假設!$C$25)*(輸入與假設!F$35/輸入與假設!$C$27)*輸入與假設!$C$26</f>
        <v>0</v>
      </c>
      <c r="G18" s="66" t="n">
        <f aca="false">(輸入與假設!$C$24+輸入與假設!$C$25)*(輸入與假設!G$35/輸入與假設!$C$27)*輸入與假設!$C$26</f>
        <v>0</v>
      </c>
      <c r="I18" s="6" t="s">
        <v>1399</v>
      </c>
    </row>
    <row r="19" customFormat="false" ht="15" hidden="false" customHeight="false" outlineLevel="0" collapsed="false">
      <c r="A19" s="52" t="s">
        <v>1400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1401</v>
      </c>
      <c r="B20" s="11" t="s">
        <v>65</v>
      </c>
      <c r="C20" s="42" t="n">
        <f aca="false">MAX(0,C18-C16)</f>
        <v>0</v>
      </c>
      <c r="D20" s="42" t="n">
        <f aca="false">MAX(0,D18-D16)</f>
        <v>0</v>
      </c>
      <c r="E20" s="42" t="n">
        <f aca="false">MAX(0,E18-E16)</f>
        <v>0</v>
      </c>
      <c r="F20" s="42" t="n">
        <f aca="false">MAX(0,F18-F16)</f>
        <v>0</v>
      </c>
      <c r="G20" s="42" t="n">
        <f aca="false">MAX(0,G18-G16)</f>
        <v>0</v>
      </c>
      <c r="I20" s="6" t="s">
        <v>1402</v>
      </c>
    </row>
    <row r="21" customFormat="false" ht="15" hidden="false" customHeight="false" outlineLevel="1" collapsed="false">
      <c r="A21" s="3" t="s">
        <v>1403</v>
      </c>
      <c r="B21" s="11" t="s">
        <v>65</v>
      </c>
      <c r="C21" s="66" t="n">
        <f aca="false">C18-C20</f>
        <v>0</v>
      </c>
      <c r="D21" s="66" t="n">
        <f aca="false">D18-D20</f>
        <v>0</v>
      </c>
      <c r="E21" s="66" t="n">
        <f aca="false">E18-E20</f>
        <v>0</v>
      </c>
      <c r="F21" s="66" t="n">
        <f aca="false">F18-F20</f>
        <v>0</v>
      </c>
      <c r="G21" s="66" t="n">
        <f aca="false">G18-G20</f>
        <v>0</v>
      </c>
      <c r="I21" s="6" t="s">
        <v>1404</v>
      </c>
    </row>
    <row r="22" customFormat="false" ht="15" hidden="false" customHeight="false" outlineLevel="1" collapsed="false">
      <c r="A22" s="3" t="s">
        <v>1405</v>
      </c>
      <c r="B22" s="11" t="s">
        <v>65</v>
      </c>
      <c r="C22" s="66" t="n">
        <f aca="false">MAX(0,C16-C18)</f>
        <v>14.6149550529527</v>
      </c>
      <c r="D22" s="66" t="n">
        <f aca="false">MAX(0,D16-D18)</f>
        <v>58.3311801118447</v>
      </c>
      <c r="E22" s="66" t="n">
        <f aca="false">MAX(0,E16-E18)</f>
        <v>97.7923030863256</v>
      </c>
      <c r="F22" s="66" t="n">
        <f aca="false">MAX(0,F16-F18)</f>
        <v>137.479428210199</v>
      </c>
      <c r="G22" s="66" t="n">
        <f aca="false">MAX(0,G16-G18)</f>
        <v>177.258259995987</v>
      </c>
      <c r="I22" s="6" t="s">
        <v>1406</v>
      </c>
    </row>
    <row r="23" customFormat="false" ht="15" hidden="false" customHeight="false" outlineLevel="1" collapsed="false">
      <c r="A23" s="3" t="s">
        <v>220</v>
      </c>
      <c r="B23" s="11" t="s">
        <v>42</v>
      </c>
      <c r="C23" s="53" t="n">
        <f aca="false">IF(輸入與假設!$C$31="mw",1,輸入與假設!C$40)</f>
        <v>1</v>
      </c>
      <c r="D23" s="53" t="n">
        <f aca="false">IF(輸入與假設!$C$31="mw",1,輸入與假設!D$40)</f>
        <v>1</v>
      </c>
      <c r="E23" s="53" t="n">
        <f aca="false">IF(輸入與假設!$C$31="mw",1,輸入與假設!E$40)</f>
        <v>1</v>
      </c>
      <c r="F23" s="53" t="n">
        <f aca="false">IF(輸入與假設!$C$31="mw",1,輸入與假設!F$40)</f>
        <v>1</v>
      </c>
      <c r="G23" s="53" t="n">
        <f aca="false">IF(輸入與假設!$C$31="mw",1,輸入與假設!G$40)</f>
        <v>1</v>
      </c>
      <c r="I23" s="11" t="s">
        <v>1407</v>
      </c>
    </row>
    <row r="24" customFormat="false" ht="15" hidden="false" customHeight="false" outlineLevel="1" collapsed="false">
      <c r="A24" s="3" t="s">
        <v>1408</v>
      </c>
      <c r="B24" s="11" t="s">
        <v>65</v>
      </c>
      <c r="C24" s="66" t="n">
        <f aca="false">C22*C23</f>
        <v>14.6149550529527</v>
      </c>
      <c r="D24" s="66" t="n">
        <f aca="false">D22*D23</f>
        <v>58.3311801118447</v>
      </c>
      <c r="E24" s="66" t="n">
        <f aca="false">E22*E23</f>
        <v>97.7923030863256</v>
      </c>
      <c r="F24" s="66" t="n">
        <f aca="false">F22*F23</f>
        <v>137.479428210199</v>
      </c>
      <c r="G24" s="66" t="n">
        <f aca="false">G22*G23</f>
        <v>177.258259995987</v>
      </c>
      <c r="I24" s="6" t="s">
        <v>1409</v>
      </c>
    </row>
    <row r="25" customFormat="false" ht="15" hidden="false" customHeight="false" outlineLevel="1" collapsed="false">
      <c r="A25" s="3" t="s">
        <v>1410</v>
      </c>
      <c r="B25" s="11" t="s">
        <v>65</v>
      </c>
      <c r="C25" s="66" t="n">
        <f aca="false">MAX(0,C16-C21-C24)</f>
        <v>0</v>
      </c>
      <c r="D25" s="66" t="n">
        <f aca="false">MAX(0,D16-D21-D24)</f>
        <v>0</v>
      </c>
      <c r="E25" s="66" t="n">
        <f aca="false">MAX(0,E16-E21-E24)</f>
        <v>0</v>
      </c>
      <c r="F25" s="66" t="n">
        <f aca="false">MAX(0,F16-F21-F24)</f>
        <v>0</v>
      </c>
      <c r="G25" s="66" t="n">
        <f aca="false">MAX(0,G16-G21-G24)</f>
        <v>0</v>
      </c>
      <c r="I25" s="6" t="s">
        <v>1411</v>
      </c>
    </row>
    <row r="26" customFormat="false" ht="15" hidden="false" customHeight="false" outlineLevel="1" collapsed="false">
      <c r="A26" s="3" t="s">
        <v>1412</v>
      </c>
      <c r="B26" s="11" t="s">
        <v>65</v>
      </c>
      <c r="C26" s="42" t="n">
        <f aca="false">C21+C24</f>
        <v>14.6149550529527</v>
      </c>
      <c r="D26" s="42" t="n">
        <f aca="false">D21+D24</f>
        <v>58.3311801118447</v>
      </c>
      <c r="E26" s="42" t="n">
        <f aca="false">E21+E24</f>
        <v>97.7923030863256</v>
      </c>
      <c r="F26" s="42" t="n">
        <f aca="false">F21+F24</f>
        <v>137.479428210199</v>
      </c>
      <c r="G26" s="42" t="n">
        <f aca="false">G21+G24</f>
        <v>177.258259995987</v>
      </c>
      <c r="I26" s="6" t="s">
        <v>1413</v>
      </c>
    </row>
    <row r="27" customFormat="false" ht="15" hidden="false" customHeight="false" outlineLevel="1" collapsed="false">
      <c r="A27" s="3" t="s">
        <v>1414</v>
      </c>
      <c r="B27" s="11" t="s">
        <v>65</v>
      </c>
      <c r="C27" s="66" t="n">
        <f aca="false">C26-C13*輸入與假設!C$39*輸入與假設!$C$32*輸入與假設!C$38*C7</f>
        <v>0</v>
      </c>
      <c r="D27" s="66" t="n">
        <f aca="false">D26-D13*輸入與假設!D$39*輸入與假設!$C$32*輸入與假設!D$38*D7</f>
        <v>0</v>
      </c>
      <c r="E27" s="66" t="n">
        <f aca="false">E26-E13*輸入與假設!E$39*輸入與假設!$C$32*輸入與假設!E$38*E7</f>
        <v>0</v>
      </c>
      <c r="F27" s="66" t="n">
        <f aca="false">F26-F13*輸入與假設!F$39*輸入與假設!$C$32*輸入與假設!F$38*F7</f>
        <v>0</v>
      </c>
      <c r="G27" s="66" t="n">
        <f aca="false">G26-G13*輸入與假設!G$39*輸入與假設!$C$32*輸入與假設!G$38*G7</f>
        <v>0</v>
      </c>
      <c r="I27" s="11" t="s">
        <v>1415</v>
      </c>
    </row>
    <row r="28" customFormat="false" ht="15" hidden="false" customHeight="false" outlineLevel="1" collapsed="false">
      <c r="A28" s="3" t="s">
        <v>1416</v>
      </c>
      <c r="B28" s="11" t="s">
        <v>42</v>
      </c>
      <c r="C28" s="67" t="n">
        <v>1</v>
      </c>
      <c r="D28" s="67" t="n">
        <v>1</v>
      </c>
      <c r="E28" s="67" t="n">
        <v>1</v>
      </c>
      <c r="F28" s="67" t="n">
        <v>0.5</v>
      </c>
      <c r="G28" s="67" t="n">
        <v>0</v>
      </c>
      <c r="I28" s="11" t="s">
        <v>1417</v>
      </c>
    </row>
    <row r="29" customFormat="false" ht="15" hidden="false" customHeight="false" outlineLevel="1" collapsed="false">
      <c r="A29" s="3" t="s">
        <v>1418</v>
      </c>
      <c r="B29" s="11" t="s">
        <v>65</v>
      </c>
      <c r="C29" s="66" t="n">
        <f aca="false">C26*C28</f>
        <v>14.6149550529527</v>
      </c>
      <c r="D29" s="66" t="n">
        <f aca="false">D26*D28</f>
        <v>58.3311801118447</v>
      </c>
      <c r="E29" s="66" t="n">
        <f aca="false">E26*E28</f>
        <v>97.7923030863256</v>
      </c>
      <c r="F29" s="66" t="n">
        <f aca="false">F26*F28</f>
        <v>68.7397141050997</v>
      </c>
      <c r="G29" s="66" t="n">
        <f aca="false">G26*G28</f>
        <v>0</v>
      </c>
      <c r="I29" s="6" t="s">
        <v>1419</v>
      </c>
    </row>
    <row r="30" customFormat="false" ht="15" hidden="false" customHeight="false" outlineLevel="1" collapsed="false">
      <c r="A30" s="4" t="s">
        <v>1420</v>
      </c>
      <c r="B30" s="11" t="s">
        <v>65</v>
      </c>
      <c r="C30" s="39" t="n">
        <f aca="false">輸入與假設!$C$425</f>
        <v>382.125</v>
      </c>
      <c r="D30" s="39" t="n">
        <f aca="false">0</f>
        <v>0</v>
      </c>
      <c r="E30" s="39" t="n">
        <f aca="false">0</f>
        <v>0</v>
      </c>
      <c r="F30" s="39" t="n">
        <f aca="false">0</f>
        <v>0</v>
      </c>
      <c r="G30" s="39" t="n">
        <f aca="false">0</f>
        <v>0</v>
      </c>
      <c r="I30" s="11" t="s">
        <v>1421</v>
      </c>
    </row>
    <row r="31" customFormat="false" ht="15" hidden="false" customHeight="false" outlineLevel="1" collapsed="false">
      <c r="A31" s="4" t="s">
        <v>1422</v>
      </c>
      <c r="B31" s="11" t="s">
        <v>65</v>
      </c>
      <c r="C31" s="71" t="n">
        <f aca="false">C30+C26+輸入與假設!C$43+輸入與假設!C$194</f>
        <v>834.2190886313</v>
      </c>
      <c r="D31" s="42" t="n">
        <f aca="false">D30+D26+輸入與假設!D$43+輸入與假設!D$194</f>
        <v>973.543898210676</v>
      </c>
      <c r="E31" s="42" t="n">
        <f aca="false">E30+E26+輸入與假設!E$43+輸入與假設!E$194</f>
        <v>1113.47261432298</v>
      </c>
      <c r="F31" s="42" t="n">
        <f aca="false">F30+F26+輸入與假設!F$43+輸入與假設!F$194</f>
        <v>1244.85510624425</v>
      </c>
      <c r="G31" s="42" t="n">
        <f aca="false">G30+G26+輸入與假設!G$43+輸入與假設!G$194</f>
        <v>1362.37714761308</v>
      </c>
      <c r="I31" s="11" t="s">
        <v>1423</v>
      </c>
    </row>
    <row r="32" customFormat="false" ht="15" hidden="false" customHeight="false" outlineLevel="0" collapsed="false">
      <c r="A32" s="52" t="s">
        <v>1424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3" t="s">
        <v>222</v>
      </c>
      <c r="B33" s="11" t="s">
        <v>42</v>
      </c>
      <c r="C33" s="53" t="n">
        <f aca="false">輸入與假設!C$41</f>
        <v>0</v>
      </c>
      <c r="D33" s="53" t="n">
        <f aca="false">輸入與假設!D$41</f>
        <v>0</v>
      </c>
      <c r="E33" s="53" t="n">
        <f aca="false">輸入與假設!E$41</f>
        <v>0</v>
      </c>
      <c r="F33" s="53" t="n">
        <f aca="false">輸入與假設!F$41</f>
        <v>0</v>
      </c>
      <c r="G33" s="53" t="n">
        <f aca="false">輸入與假設!G$41</f>
        <v>0</v>
      </c>
    </row>
    <row r="34" customFormat="false" ht="15" hidden="false" customHeight="false" outlineLevel="1" collapsed="false">
      <c r="A34" s="3" t="s">
        <v>224</v>
      </c>
      <c r="B34" s="11" t="s">
        <v>42</v>
      </c>
      <c r="C34" s="53" t="n">
        <f aca="false">輸入與假設!C$42</f>
        <v>0.5</v>
      </c>
      <c r="D34" s="53" t="n">
        <f aca="false">輸入與假設!D$42</f>
        <v>0.5</v>
      </c>
      <c r="E34" s="53" t="n">
        <f aca="false">輸入與假設!E$42</f>
        <v>0.5</v>
      </c>
      <c r="F34" s="53" t="n">
        <f aca="false">輸入與假設!F$42</f>
        <v>0.5</v>
      </c>
      <c r="G34" s="53" t="n">
        <f aca="false">輸入與假設!G$42</f>
        <v>0.5</v>
      </c>
    </row>
    <row r="35" customFormat="false" ht="15" hidden="false" customHeight="false" outlineLevel="1" collapsed="false">
      <c r="A35" s="3" t="s">
        <v>1425</v>
      </c>
      <c r="B35" s="11" t="s">
        <v>65</v>
      </c>
      <c r="C35" s="66" t="n">
        <f aca="false">C21*輸入與假設!C$41*(1-輸入與假設!C$42)</f>
        <v>0</v>
      </c>
      <c r="D35" s="66" t="n">
        <f aca="false">D21*輸入與假設!D$41*(1-輸入與假設!D$42)</f>
        <v>0</v>
      </c>
      <c r="E35" s="66" t="n">
        <f aca="false">E21*輸入與假設!E$41*(1-輸入與假設!E$42)</f>
        <v>0</v>
      </c>
      <c r="F35" s="66" t="n">
        <f aca="false">F21*輸入與假設!F$41*(1-輸入與假設!F$42)</f>
        <v>0</v>
      </c>
      <c r="G35" s="66" t="n">
        <f aca="false">G21*輸入與假設!G$41*(1-輸入與假設!G$42)</f>
        <v>0</v>
      </c>
      <c r="I35" s="6" t="s">
        <v>1426</v>
      </c>
    </row>
    <row r="36" customFormat="false" ht="15" hidden="false" customHeight="false" outlineLevel="1" collapsed="false">
      <c r="A36" s="3" t="s">
        <v>1427</v>
      </c>
      <c r="B36" s="11" t="s">
        <v>65</v>
      </c>
      <c r="C36" s="66" t="n">
        <f aca="false">C21-C35</f>
        <v>0</v>
      </c>
      <c r="D36" s="66" t="n">
        <f aca="false">D21-D35</f>
        <v>0</v>
      </c>
      <c r="E36" s="66" t="n">
        <f aca="false">E21-E35</f>
        <v>0</v>
      </c>
      <c r="F36" s="66" t="n">
        <f aca="false">F21-F35</f>
        <v>0</v>
      </c>
      <c r="G36" s="66" t="n">
        <f aca="false">G21-G35</f>
        <v>0</v>
      </c>
    </row>
    <row r="37" customFormat="false" ht="15" hidden="false" customHeight="false" outlineLevel="1" collapsed="false">
      <c r="A37" s="4" t="s">
        <v>1428</v>
      </c>
      <c r="B37" s="11" t="s">
        <v>42</v>
      </c>
      <c r="C37" s="53" t="n">
        <f aca="false">輸入與假設!C$204</f>
        <v>0.80253284070101</v>
      </c>
      <c r="D37" s="53" t="n">
        <f aca="false">輸入與假設!D$204</f>
        <v>0.807211009474101</v>
      </c>
      <c r="E37" s="53" t="n">
        <f aca="false">輸入與假設!E$204</f>
        <v>0.809785310117605</v>
      </c>
      <c r="F37" s="53" t="n">
        <f aca="false">輸入與假設!F$204</f>
        <v>0.811048080500552</v>
      </c>
      <c r="G37" s="53" t="n">
        <f aca="false">輸入與假設!G$204</f>
        <v>0.811798117804559</v>
      </c>
      <c r="I37" s="6" t="s">
        <v>1429</v>
      </c>
    </row>
    <row r="38" customFormat="false" ht="15" hidden="false" customHeight="false" outlineLevel="1" collapsed="false">
      <c r="A38" s="3" t="s">
        <v>1430</v>
      </c>
      <c r="B38" s="11" t="s">
        <v>65</v>
      </c>
      <c r="C38" s="66" t="n">
        <f aca="false">C26+輸入與假設!C$43</f>
        <v>14.6149550529527</v>
      </c>
      <c r="D38" s="66" t="n">
        <f aca="false">D26+輸入與假設!D$43</f>
        <v>58.3311801118447</v>
      </c>
      <c r="E38" s="66" t="n">
        <f aca="false">E26+輸入與假設!E$43</f>
        <v>97.7923030863256</v>
      </c>
      <c r="F38" s="66" t="n">
        <f aca="false">F26+輸入與假設!F$43</f>
        <v>137.479428210199</v>
      </c>
      <c r="G38" s="66" t="n">
        <f aca="false">G26+輸入與假設!G$43</f>
        <v>177.258259995987</v>
      </c>
    </row>
    <row r="39" customFormat="false" ht="15" hidden="false" customHeight="false" outlineLevel="1" collapsed="false">
      <c r="A39" s="4" t="s">
        <v>1431</v>
      </c>
      <c r="B39" s="11" t="s">
        <v>42</v>
      </c>
      <c r="C39" s="72" t="n">
        <f aca="false">輸入與假設!C$204</f>
        <v>0.80253284070101</v>
      </c>
      <c r="D39" s="72" t="n">
        <f aca="false">輸入與假設!D$204</f>
        <v>0.807211009474101</v>
      </c>
      <c r="E39" s="72" t="n">
        <f aca="false">輸入與假設!E$204</f>
        <v>0.809785310117605</v>
      </c>
      <c r="F39" s="72" t="n">
        <f aca="false">輸入與假設!F$204</f>
        <v>0.811048080500552</v>
      </c>
      <c r="G39" s="72" t="n">
        <f aca="false">輸入與假設!G$204</f>
        <v>0.811798117804559</v>
      </c>
      <c r="I39" s="6" t="s">
        <v>1432</v>
      </c>
    </row>
    <row r="40" customFormat="false" ht="15" hidden="false" customHeight="false" outlineLevel="1" collapsed="false">
      <c r="A40" s="4" t="s">
        <v>1433</v>
      </c>
      <c r="B40" s="11" t="s">
        <v>65</v>
      </c>
      <c r="C40" s="42" t="n">
        <f aca="false">C36*C39</f>
        <v>0</v>
      </c>
      <c r="D40" s="42" t="n">
        <f aca="false">D36*D39</f>
        <v>0</v>
      </c>
      <c r="E40" s="42" t="n">
        <f aca="false">E36*E39</f>
        <v>0</v>
      </c>
      <c r="F40" s="42" t="n">
        <f aca="false">F36*F39</f>
        <v>0</v>
      </c>
      <c r="G40" s="42" t="n">
        <f aca="false">G36*G39</f>
        <v>0</v>
      </c>
      <c r="I40" s="11" t="s">
        <v>1434</v>
      </c>
    </row>
    <row r="41" customFormat="false" ht="15" hidden="false" customHeight="false" outlineLevel="1" collapsed="false">
      <c r="A41" s="3" t="s">
        <v>1435</v>
      </c>
      <c r="B41" s="11" t="s">
        <v>65</v>
      </c>
      <c r="C41" s="66" t="n">
        <f aca="false">C24*(1-輸入與假設!C$41*(1-輸入與假設!C$42))*C39</f>
        <v>11.7289813953637</v>
      </c>
      <c r="D41" s="66" t="n">
        <f aca="false">D24*(1-輸入與假設!D$41*(1-輸入與假設!D$42))*D39</f>
        <v>47.0855707818978</v>
      </c>
      <c r="E41" s="66" t="n">
        <f aca="false">E24*(1-輸入與假設!E$41*(1-輸入與假設!E$42))*E39</f>
        <v>79.190770481875</v>
      </c>
      <c r="F41" s="66" t="n">
        <f aca="false">F24*(1-輸入與假設!F$41*(1-輸入與假設!F$42))*F39</f>
        <v>111.502426358196</v>
      </c>
      <c r="G41" s="66" t="n">
        <f aca="false">G24*(1-輸入與假設!G$41*(1-輸入與假設!G$42))*G39</f>
        <v>143.897921830053</v>
      </c>
      <c r="I41" s="6" t="s">
        <v>1436</v>
      </c>
    </row>
    <row r="42" customFormat="false" ht="15" hidden="false" customHeight="false" outlineLevel="1" collapsed="false"/>
    <row r="43" customFormat="false" ht="15" hidden="false" customHeight="false" outlineLevel="1" collapsed="false">
      <c r="A43" s="2" t="s">
        <v>1437</v>
      </c>
    </row>
    <row r="44" customFormat="false" ht="15" hidden="false" customHeight="false" outlineLevel="1" collapsed="false">
      <c r="A44" s="6" t="s">
        <v>1438</v>
      </c>
    </row>
    <row r="46" customFormat="false" ht="15" hidden="false" customHeight="false" outlineLevel="0" collapsed="false">
      <c r="A46" s="52" t="s">
        <v>1439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1" collapsed="false">
      <c r="A47" s="3" t="s">
        <v>1440</v>
      </c>
      <c r="B47" s="6" t="s">
        <v>809</v>
      </c>
      <c r="C47" s="25" t="n">
        <v>0</v>
      </c>
      <c r="I47" s="11" t="s">
        <v>1441</v>
      </c>
    </row>
    <row r="48" customFormat="false" ht="15" hidden="false" customHeight="false" outlineLevel="1" collapsed="false">
      <c r="A48" s="3" t="s">
        <v>1442</v>
      </c>
      <c r="B48" s="6" t="s">
        <v>809</v>
      </c>
      <c r="C48" s="25" t="n">
        <v>0</v>
      </c>
      <c r="I48" s="11" t="s">
        <v>1441</v>
      </c>
    </row>
    <row r="49" customFormat="false" ht="15" hidden="false" customHeight="false" outlineLevel="1" collapsed="false">
      <c r="A49" s="3" t="s">
        <v>1443</v>
      </c>
      <c r="B49" s="6" t="s">
        <v>809</v>
      </c>
      <c r="C49" s="25" t="n">
        <v>0</v>
      </c>
      <c r="I49" s="11" t="s">
        <v>1441</v>
      </c>
    </row>
    <row r="50" customFormat="false" ht="15" hidden="false" customHeight="false" outlineLevel="1" collapsed="false">
      <c r="A50" s="3" t="s">
        <v>1444</v>
      </c>
      <c r="B50" s="6" t="s">
        <v>809</v>
      </c>
      <c r="C50" s="41" t="n">
        <f aca="false">CHOOSE(輸入與假設!$C$5,運營_產能與收入!$C$47,運營_產能與收入!$C$48,運營_產能與收入!$C$49)</f>
        <v>0</v>
      </c>
      <c r="I50" s="6" t="s">
        <v>1445</v>
      </c>
    </row>
    <row r="51" customFormat="false" ht="15" hidden="false" customHeight="false" outlineLevel="1" collapsed="false">
      <c r="A51" s="3" t="s">
        <v>1446</v>
      </c>
      <c r="B51" s="6" t="s">
        <v>184</v>
      </c>
      <c r="C51" s="66" t="n">
        <f aca="false">SUM($C$7:C7)</f>
        <v>0.5</v>
      </c>
      <c r="D51" s="66" t="n">
        <f aca="false">SUM($C$7:D7)</f>
        <v>1.5</v>
      </c>
      <c r="E51" s="66" t="n">
        <f aca="false">SUM($C$7:E7)</f>
        <v>2.5</v>
      </c>
      <c r="F51" s="66" t="n">
        <f aca="false">SUM($C$7:F7)</f>
        <v>3.5</v>
      </c>
      <c r="G51" s="66" t="n">
        <f aca="false">SUM($C$7:G7)</f>
        <v>4.5</v>
      </c>
      <c r="I51" s="6" t="s">
        <v>1447</v>
      </c>
    </row>
    <row r="52" customFormat="false" ht="15" hidden="false" customHeight="false" outlineLevel="1" collapsed="false">
      <c r="A52" s="3" t="s">
        <v>1448</v>
      </c>
      <c r="B52" s="11" t="s">
        <v>65</v>
      </c>
      <c r="C52" s="66" t="n">
        <f aca="false">SUM(輸入與假設!$C$253:C$253)</f>
        <v>123.69</v>
      </c>
      <c r="D52" s="66" t="n">
        <f aca="false">SUM(輸入與假設!$C$253:D$253)</f>
        <v>399.915824532882</v>
      </c>
      <c r="E52" s="66" t="n">
        <f aca="false">SUM(輸入與假設!$C$253:E$253)</f>
        <v>691.579376824496</v>
      </c>
      <c r="F52" s="66" t="n">
        <f aca="false">SUM(輸入與假設!$C$253:F$253)</f>
        <v>991.718300092492</v>
      </c>
      <c r="G52" s="66" t="n">
        <f aca="false">SUM(輸入與假設!$C$253:G$253)</f>
        <v>1298.8803473931</v>
      </c>
      <c r="I52" s="11" t="s">
        <v>1449</v>
      </c>
    </row>
    <row r="53" customFormat="false" ht="15" hidden="false" customHeight="false" outlineLevel="1" collapsed="false">
      <c r="A53" s="3" t="s">
        <v>1450</v>
      </c>
      <c r="B53" s="11" t="s">
        <v>65</v>
      </c>
      <c r="C53" s="66" t="n">
        <f aca="false">IF($C$50&lt;=0,$C$52,0+($C$52-0)*MAX(0,MIN(1,($C$51-$C$50/12-0)/$C$7))+($D$52-$C$52)*MAX(0,MIN(1,($C$51-$C$50/12-$C$51)/$D$7))+($E$52-$D$52)*MAX(0,MIN(1,($C$51-$C$50/12-$D$51)/$E$7))+($F$52-$E$52)*MAX(0,MIN(1,($C$51-$C$50/12-$E$51)/$F$7))+($G$52-$F$52)*MAX(0,MIN(1,($C$51-$C$50/12-$F$51)/$G$7)))</f>
        <v>123.69</v>
      </c>
      <c r="D53" s="66" t="n">
        <f aca="false">IF($C$50&lt;=0,$D$52,0+($C$52-0)*MAX(0,MIN(1,($D$51-$C$50/12-0)/$C$7))+($D$52-$C$52)*MAX(0,MIN(1,($D$51-$C$50/12-$C$51)/$D$7))+($E$52-$D$52)*MAX(0,MIN(1,($D$51-$C$50/12-$D$51)/$E$7))+($F$52-$E$52)*MAX(0,MIN(1,($D$51-$C$50/12-$E$51)/$F$7))+($G$52-$F$52)*MAX(0,MIN(1,($D$51-$C$50/12-$F$51)/$G$7)))</f>
        <v>399.915824532882</v>
      </c>
      <c r="E53" s="66" t="n">
        <f aca="false">IF($C$50&lt;=0,$E$52,0+($C$52-0)*MAX(0,MIN(1,($E$51-$C$50/12-0)/$C$7))+($D$52-$C$52)*MAX(0,MIN(1,($E$51-$C$50/12-$C$51)/$D$7))+($E$52-$D$52)*MAX(0,MIN(1,($E$51-$C$50/12-$D$51)/$E$7))+($F$52-$E$52)*MAX(0,MIN(1,($E$51-$C$50/12-$E$51)/$F$7))+($G$52-$F$52)*MAX(0,MIN(1,($E$51-$C$50/12-$F$51)/$G$7)))</f>
        <v>691.579376824496</v>
      </c>
      <c r="F53" s="66" t="n">
        <f aca="false">IF($C$50&lt;=0,$F$52,0+($C$52-0)*MAX(0,MIN(1,($F$51-$C$50/12-0)/$C$7))+($D$52-$C$52)*MAX(0,MIN(1,($F$51-$C$50/12-$C$51)/$D$7))+($E$52-$D$52)*MAX(0,MIN(1,($F$51-$C$50/12-$D$51)/$E$7))+($F$52-$E$52)*MAX(0,MIN(1,($F$51-$C$50/12-$E$51)/$F$7))+($G$52-$F$52)*MAX(0,MIN(1,($F$51-$C$50/12-$F$51)/$G$7)))</f>
        <v>991.718300092492</v>
      </c>
      <c r="G53" s="66" t="n">
        <f aca="false">IF($C$50&lt;=0,$G$52,0+($C$52-0)*MAX(0,MIN(1,($G$51-$C$50/12-0)/$C$7))+($D$52-$C$52)*MAX(0,MIN(1,($G$51-$C$50/12-$C$51)/$D$7))+($E$52-$D$52)*MAX(0,MIN(1,($G$51-$C$50/12-$D$51)/$E$7))+($F$52-$E$52)*MAX(0,MIN(1,($G$51-$C$50/12-$E$51)/$F$7))+($G$52-$F$52)*MAX(0,MIN(1,($G$51-$C$50/12-$F$51)/$G$7)))</f>
        <v>1298.8803473931</v>
      </c>
      <c r="I53" s="6" t="s">
        <v>1451</v>
      </c>
    </row>
    <row r="54" customFormat="false" ht="15" hidden="false" customHeight="false" outlineLevel="1" collapsed="false">
      <c r="A54" s="3" t="s">
        <v>1452</v>
      </c>
      <c r="B54" s="11" t="s">
        <v>65</v>
      </c>
      <c r="C54" s="66" t="n">
        <f aca="false">C53</f>
        <v>123.69</v>
      </c>
      <c r="D54" s="66" t="n">
        <f aca="false">D53-C53</f>
        <v>276.225824532882</v>
      </c>
      <c r="E54" s="66" t="n">
        <f aca="false">E53-D53</f>
        <v>291.663552291615</v>
      </c>
      <c r="F54" s="66" t="n">
        <f aca="false">F53-E53</f>
        <v>300.138923267996</v>
      </c>
      <c r="G54" s="66" t="n">
        <f aca="false">G53-F53</f>
        <v>307.162047300609</v>
      </c>
      <c r="I54" s="6" t="s">
        <v>1453</v>
      </c>
    </row>
    <row r="55" customFormat="false" ht="15" hidden="false" customHeight="false" outlineLevel="1" collapsed="false">
      <c r="A55" s="3" t="s">
        <v>1454</v>
      </c>
      <c r="B55" s="11" t="s">
        <v>65</v>
      </c>
      <c r="C55" s="42" t="n">
        <f aca="false">C52-C53</f>
        <v>0</v>
      </c>
      <c r="D55" s="42" t="n">
        <f aca="false">D52-D53</f>
        <v>0</v>
      </c>
      <c r="E55" s="42" t="n">
        <f aca="false">E52-E53</f>
        <v>0</v>
      </c>
      <c r="F55" s="42" t="n">
        <f aca="false">F52-F53</f>
        <v>0</v>
      </c>
      <c r="G55" s="42" t="n">
        <f aca="false">G52-G53</f>
        <v>0</v>
      </c>
      <c r="I55" s="6" t="s">
        <v>1455</v>
      </c>
    </row>
    <row r="56" customFormat="false" ht="15" hidden="false" customHeight="false" outlineLevel="1" collapsed="false">
      <c r="A56" s="3" t="s">
        <v>1456</v>
      </c>
      <c r="B56" s="11" t="s">
        <v>42</v>
      </c>
      <c r="C56" s="23" t="n">
        <v>0</v>
      </c>
      <c r="I56" s="6" t="s">
        <v>1457</v>
      </c>
    </row>
    <row r="57" customFormat="false" ht="15" hidden="false" customHeight="false" outlineLevel="1" collapsed="false">
      <c r="A57" s="3" t="s">
        <v>1458</v>
      </c>
      <c r="B57" s="11" t="s">
        <v>42</v>
      </c>
      <c r="C57" s="23" t="n">
        <v>0</v>
      </c>
      <c r="I57" s="6" t="s">
        <v>1459</v>
      </c>
    </row>
    <row r="58" customFormat="false" ht="15" hidden="false" customHeight="false" outlineLevel="1" collapsed="false">
      <c r="A58" s="3" t="s">
        <v>1460</v>
      </c>
      <c r="B58" s="11" t="s">
        <v>65</v>
      </c>
      <c r="C58" s="66" t="n">
        <f aca="false">輸入與假設!$C$19/輸入與假設!$C$21/輸入與假設!$C$22/4*((MIN(MAX(0,輸入與假設!C$235-(輸入與假設!$C$20+運營_產能與收入!$C$50/3)),輸入與假設!$C$21)*(MIN(MAX(0,輸入與假設!C$235-(輸入與假設!$C$20+運營_產能與收入!$C$50/3)),輸入與假設!$C$21)+1)/2+輸入與假設!$C$21*MAX(0,MAX(0,輸入與假設!C$235-(輸入與假設!$C$20+運營_產能與收入!$C$50/3))-輸入與假設!$C$21))-(MIN(MAX(0,0-(輸入與假設!$C$20+運營_產能與收入!$C$50/3)),輸入與假設!$C$21)*(MIN(MAX(0,0-(輸入與假設!$C$20+運營_產能與收入!$C$50/3)),輸入與假設!$C$21)+1)/2+輸入與假設!$C$21*MAX(0,MAX(0,0-(輸入與假設!$C$20+運營_產能與收入!$C$50/3))-輸入與假設!$C$21)))</f>
        <v>1.74424576271186</v>
      </c>
      <c r="D58" s="66" t="n">
        <f aca="false">輸入與假設!$C$19/輸入與假設!$C$21/輸入與假設!$C$22/4*((MIN(MAX(0,輸入與假設!D$235-(輸入與假設!$C$20+運營_產能與收入!$C$50/3)),輸入與假設!$C$21)*(MIN(MAX(0,輸入與假設!D$235-(輸入與假設!$C$20+運營_產能與收入!$C$50/3)),輸入與假設!$C$21)+1)/2+輸入與假設!$C$21*MAX(0,MAX(0,輸入與假設!D$235-(輸入與假設!$C$20+運營_產能與收入!$C$50/3))-輸入與假設!$C$21))-(MIN(MAX(0,輸入與假設!C$235-(輸入與假設!$C$20+運營_產能與收入!$C$50/3)),輸入與假設!$C$21)*(MIN(MAX(0,輸入與假設!C$235-(輸入與假設!$C$20+運營_產能與收入!$C$50/3)),輸入與假設!$C$21)+1)/2+輸入與假設!$C$21*MAX(0,MAX(0,輸入與假設!C$235-(輸入與假設!$C$20+運營_產能與收入!$C$50/3))-輸入與假設!$C$21)))</f>
        <v>8.72122881355932</v>
      </c>
      <c r="E58" s="66" t="n">
        <f aca="false">輸入與假設!$C$19/輸入與假設!$C$21/輸入與假設!$C$22/4*((MIN(MAX(0,輸入與假設!E$235-(輸入與假設!$C$20+運營_產能與收入!$C$50/3)),輸入與假設!$C$21)*(MIN(MAX(0,輸入與假設!E$235-(輸入與假設!$C$20+運營_產能與收入!$C$50/3)),輸入與假設!$C$21)+1)/2+輸入與假設!$C$21*MAX(0,MAX(0,輸入與假設!E$235-(輸入與假設!$C$20+運營_產能與收入!$C$50/3))-輸入與假設!$C$21))-(MIN(MAX(0,輸入與假設!D$235-(輸入與假設!$C$20+運營_產能與收入!$C$50/3)),輸入與假設!$C$21)*(MIN(MAX(0,輸入與假設!D$235-(輸入與假設!$C$20+運營_產能與收入!$C$50/3)),輸入與假設!$C$21)+1)/2+輸入與假設!$C$21*MAX(0,MAX(0,輸入與假設!D$235-(輸入與假設!$C$20+運營_產能與收入!$C$50/3))-輸入與假設!$C$21)))</f>
        <v>9.30264406779661</v>
      </c>
      <c r="F58" s="66" t="n">
        <f aca="false">輸入與假設!$C$19/輸入與假設!$C$21/輸入與假設!$C$22/4*((MIN(MAX(0,輸入與假設!F$235-(輸入與假設!$C$20+運營_產能與收入!$C$50/3)),輸入與假設!$C$21)*(MIN(MAX(0,輸入與假設!F$235-(輸入與假設!$C$20+運營_產能與收入!$C$50/3)),輸入與假設!$C$21)+1)/2+輸入與假設!$C$21*MAX(0,MAX(0,輸入與假設!F$235-(輸入與假設!$C$20+運營_產能與收入!$C$50/3))-輸入與假設!$C$21))-(MIN(MAX(0,輸入與假設!E$235-(輸入與假設!$C$20+運營_產能與收入!$C$50/3)),輸入與假設!$C$21)*(MIN(MAX(0,輸入與假設!E$235-(輸入與假設!$C$20+運營_產能與收入!$C$50/3)),輸入與假設!$C$21)+1)/2+輸入與假設!$C$21*MAX(0,MAX(0,輸入與假設!E$235-(輸入與假設!$C$20+運營_產能與收入!$C$50/3))-輸入與假設!$C$21)))</f>
        <v>9.30264406779661</v>
      </c>
      <c r="G58" s="66" t="n">
        <f aca="false">輸入與假設!$C$19/輸入與假設!$C$21/輸入與假設!$C$22/4*((MIN(MAX(0,輸入與假設!G$235-(輸入與假設!$C$20+運營_產能與收入!$C$50/3)),輸入與假設!$C$21)*(MIN(MAX(0,輸入與假設!G$235-(輸入與假設!$C$20+運營_產能與收入!$C$50/3)),輸入與假設!$C$21)+1)/2+輸入與假設!$C$21*MAX(0,MAX(0,輸入與假設!G$235-(輸入與假設!$C$20+運營_產能與收入!$C$50/3))-輸入與假設!$C$21))-(MIN(MAX(0,輸入與假設!F$235-(輸入與假設!$C$20+運營_產能與收入!$C$50/3)),輸入與假設!$C$21)*(MIN(MAX(0,輸入與假設!F$235-(輸入與假設!$C$20+運營_產能與收入!$C$50/3)),輸入與假設!$C$21)+1)/2+輸入與假設!$C$21*MAX(0,MAX(0,輸入與假設!F$235-(輸入與假設!$C$20+運營_產能與收入!$C$50/3))-輸入與假設!$C$21)))</f>
        <v>9.30264406779661</v>
      </c>
      <c r="I58" s="6" t="s">
        <v>1461</v>
      </c>
    </row>
    <row r="59" customFormat="false" ht="15" hidden="false" customHeight="false" outlineLevel="1" collapsed="false">
      <c r="A59" s="3" t="s">
        <v>1462</v>
      </c>
      <c r="B59" s="11" t="s">
        <v>65</v>
      </c>
      <c r="C59" s="42" t="n">
        <f aca="false">IF(OR(運營_產能與收入!$C$50&lt;=0,運營_產能與收入!$C$56&lt;=0),輸入與假設!C$236,(1-運營_產能與收入!$C$56)*輸入與假設!C$236+運營_產能與收入!$C$56*C58)</f>
        <v>1.74424576271186</v>
      </c>
      <c r="D59" s="42" t="n">
        <f aca="false">IF(OR(運營_產能與收入!$C$50&lt;=0,運營_產能與收入!$C$56&lt;=0),輸入與假設!D$236,(1-運營_產能與收入!$C$56)*輸入與假設!D$236+運營_產能與收入!$C$56*D58)</f>
        <v>8.72122881355932</v>
      </c>
      <c r="E59" s="42" t="n">
        <f aca="false">IF(OR(運營_產能與收入!$C$50&lt;=0,運營_產能與收入!$C$56&lt;=0),輸入與假設!E$236,(1-運營_產能與收入!$C$56)*輸入與假設!E$236+運營_產能與收入!$C$56*E58)</f>
        <v>9.30264406779661</v>
      </c>
      <c r="F59" s="42" t="n">
        <f aca="false">IF(OR(運營_產能與收入!$C$50&lt;=0,運營_產能與收入!$C$56&lt;=0),輸入與假設!F$236,(1-運營_產能與收入!$C$56)*輸入與假設!F$236+運營_產能與收入!$C$56*F58)</f>
        <v>9.30264406779661</v>
      </c>
      <c r="G59" s="42" t="n">
        <f aca="false">IF(OR(運營_產能與收入!$C$50&lt;=0,運營_產能與收入!$C$56&lt;=0),輸入與假設!G$236,(1-運營_產能與收入!$C$56)*輸入與假設!G$236+運營_產能與收入!$C$56*G58)</f>
        <v>9.30264406779661</v>
      </c>
      <c r="I59" s="6" t="s">
        <v>1463</v>
      </c>
    </row>
    <row r="60" customFormat="false" ht="15" hidden="false" customHeight="false" outlineLevel="1" collapsed="false">
      <c r="A60" s="3" t="s">
        <v>1464</v>
      </c>
      <c r="B60" s="11" t="s">
        <v>65</v>
      </c>
      <c r="C60" s="66" t="n">
        <f aca="false">IF(輸入與假設!$C$30=1,(輸入與假設!$C$29+C10)/2,C10)*輸入與假設!C$39*輸入與假設!$C$32*輸入與假設!C$38*C7</f>
        <v>14.6149550529527</v>
      </c>
      <c r="D60" s="66" t="n">
        <f aca="false">IF(輸入與假設!$C$30=1,(C10+D10)/2,D10)*輸入與假設!D$39*輸入與假設!$C$32*輸入與假設!D$38*D7</f>
        <v>58.3311801118447</v>
      </c>
      <c r="E60" s="66" t="n">
        <f aca="false">IF(輸入與假設!$C$30=1,(D10+E10)/2,E10)*輸入與假設!E$39*輸入與假設!$C$32*輸入與假設!E$38*E7</f>
        <v>97.7923030863256</v>
      </c>
      <c r="F60" s="66" t="n">
        <f aca="false">IF(輸入與假設!$C$30=1,(E10+F10)/2,F10)*輸入與假設!F$39*輸入與假設!$C$32*輸入與假設!F$38*F7</f>
        <v>137.479428210199</v>
      </c>
      <c r="G60" s="66" t="n">
        <f aca="false">IF(輸入與假設!$C$30=1,(F10+G10)/2,G10)*輸入與假設!G$39*輸入與假設!$C$32*輸入與假設!G$38*G7</f>
        <v>177.258259995987</v>
      </c>
      <c r="I60" s="6" t="s">
        <v>1465</v>
      </c>
    </row>
    <row r="61" customFormat="false" ht="15" hidden="false" customHeight="false" outlineLevel="1" collapsed="false">
      <c r="A61" s="3" t="s">
        <v>1466</v>
      </c>
      <c r="B61" s="11" t="s">
        <v>65</v>
      </c>
      <c r="C61" s="66" t="n">
        <f aca="false">IF(運營_產能與收入!$C$50&lt;=0,0,MAX(0,C60-C16))</f>
        <v>0</v>
      </c>
      <c r="D61" s="66" t="n">
        <f aca="false">IF(運營_產能與收入!$C$50&lt;=0,0,MAX(0,D60-D16))</f>
        <v>0</v>
      </c>
      <c r="E61" s="66" t="n">
        <f aca="false">IF(運營_產能與收入!$C$50&lt;=0,0,MAX(0,E60-E16))</f>
        <v>0</v>
      </c>
      <c r="F61" s="66" t="n">
        <f aca="false">IF(運營_產能與收入!$C$50&lt;=0,0,MAX(0,F60-F16))</f>
        <v>0</v>
      </c>
      <c r="G61" s="66" t="n">
        <f aca="false">IF(運營_產能與收入!$C$50&lt;=0,0,MAX(0,G60-G16))</f>
        <v>0</v>
      </c>
      <c r="I61" s="6" t="s">
        <v>1467</v>
      </c>
    </row>
    <row r="62" customFormat="false" ht="15" hidden="false" customHeight="false" outlineLevel="1" collapsed="false">
      <c r="A62" s="3" t="s">
        <v>1468</v>
      </c>
      <c r="B62" s="11" t="s">
        <v>65</v>
      </c>
      <c r="C62" s="66" t="n">
        <f aca="false">運營_產能與收入!$C$57*C61</f>
        <v>0</v>
      </c>
      <c r="D62" s="66" t="n">
        <f aca="false">運營_產能與收入!$C$57*D61</f>
        <v>0</v>
      </c>
      <c r="E62" s="66" t="n">
        <f aca="false">運營_產能與收入!$C$57*E61</f>
        <v>0</v>
      </c>
      <c r="F62" s="66" t="n">
        <f aca="false">運營_產能與收入!$C$57*F61</f>
        <v>0</v>
      </c>
      <c r="G62" s="66" t="n">
        <f aca="false">運營_產能與收入!$C$57*G61</f>
        <v>0</v>
      </c>
      <c r="I62" s="6" t="s">
        <v>1469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5" t="s">
        <v>1470</v>
      </c>
    </row>
    <row r="2" customFormat="false" ht="15" hidden="false" customHeight="false" outlineLevel="0" collapsed="false">
      <c r="A2" s="6" t="s">
        <v>1471</v>
      </c>
    </row>
    <row r="4" customFormat="false" ht="17.15" hidden="false" customHeight="false" outlineLevel="0" collapsed="false">
      <c r="A4" s="14" t="s">
        <v>1472</v>
      </c>
      <c r="B4" s="14" t="s">
        <v>1473</v>
      </c>
      <c r="C4" s="14" t="s">
        <v>1474</v>
      </c>
      <c r="D4" s="14" t="s">
        <v>1475</v>
      </c>
      <c r="E4" s="14" t="s">
        <v>1476</v>
      </c>
      <c r="F4" s="14" t="s">
        <v>1477</v>
      </c>
      <c r="G4" s="14" t="s">
        <v>1478</v>
      </c>
      <c r="H4" s="14" t="s">
        <v>1479</v>
      </c>
      <c r="I4" s="14" t="s">
        <v>1480</v>
      </c>
      <c r="J4" s="14" t="s">
        <v>1481</v>
      </c>
      <c r="K4" s="14" t="s">
        <v>1001</v>
      </c>
    </row>
    <row r="5" customFormat="false" ht="15" hidden="false" customHeight="false" outlineLevel="0" collapsed="false">
      <c r="A5" s="4" t="s">
        <v>1482</v>
      </c>
      <c r="B5" s="11" t="s">
        <v>1483</v>
      </c>
      <c r="C5" s="21" t="n">
        <v>910</v>
      </c>
      <c r="D5" s="21" t="n">
        <v>910</v>
      </c>
      <c r="E5" s="73" t="s">
        <v>1484</v>
      </c>
      <c r="F5" s="73" t="s">
        <v>1484</v>
      </c>
      <c r="I5" s="11" t="s">
        <v>61</v>
      </c>
      <c r="J5" s="11" t="s">
        <v>1485</v>
      </c>
      <c r="K5" s="11" t="s">
        <v>1486</v>
      </c>
    </row>
    <row r="6" customFormat="false" ht="15" hidden="false" customHeight="false" outlineLevel="0" collapsed="false">
      <c r="A6" s="4" t="s">
        <v>1487</v>
      </c>
      <c r="B6" s="11" t="s">
        <v>1488</v>
      </c>
      <c r="C6" s="21" t="n">
        <v>228</v>
      </c>
      <c r="D6" s="21" t="n">
        <v>228</v>
      </c>
      <c r="E6" s="73" t="s">
        <v>1484</v>
      </c>
      <c r="F6" s="73" t="s">
        <v>1484</v>
      </c>
      <c r="I6" s="11" t="s">
        <v>61</v>
      </c>
      <c r="J6" s="11" t="s">
        <v>1485</v>
      </c>
      <c r="K6" s="11" t="s">
        <v>1489</v>
      </c>
    </row>
    <row r="7" customFormat="false" ht="15" hidden="false" customHeight="false" outlineLevel="0" collapsed="false">
      <c r="A7" s="4" t="s">
        <v>1490</v>
      </c>
      <c r="B7" s="11" t="s">
        <v>1488</v>
      </c>
      <c r="C7" s="21" t="n">
        <v>284</v>
      </c>
      <c r="D7" s="21" t="n">
        <v>284</v>
      </c>
      <c r="E7" s="73" t="s">
        <v>1484</v>
      </c>
      <c r="F7" s="73" t="s">
        <v>1484</v>
      </c>
      <c r="I7" s="11" t="s">
        <v>1491</v>
      </c>
      <c r="J7" s="11" t="s">
        <v>1485</v>
      </c>
      <c r="K7" s="11" t="s">
        <v>1492</v>
      </c>
    </row>
    <row r="8" customFormat="false" ht="15" hidden="false" customHeight="false" outlineLevel="0" collapsed="false">
      <c r="A8" s="2" t="s">
        <v>1493</v>
      </c>
      <c r="C8" s="74" t="n">
        <f aca="false">SUM(C5:C7)</f>
        <v>1422</v>
      </c>
      <c r="D8" s="74" t="n">
        <f aca="false">SUM(D5:D7)</f>
        <v>1422</v>
      </c>
      <c r="E8" s="58" t="n">
        <f aca="false">SUM(E5:E7)</f>
        <v>0</v>
      </c>
      <c r="G8" s="58" t="n">
        <f aca="false">SUM(G5:G7)</f>
        <v>0</v>
      </c>
      <c r="H8" s="75" t="n">
        <f aca="false">IF(I8&gt;0,G8/I8*1000,0)</f>
        <v>0</v>
      </c>
      <c r="I8" s="50" t="n">
        <f aca="false">SUMPRODUCT(ISNUMBER(G5:G7)*C5:C7)</f>
        <v>0</v>
      </c>
      <c r="K8" s="6" t="s">
        <v>1494</v>
      </c>
    </row>
    <row r="10" customFormat="false" ht="15" hidden="false" customHeight="false" outlineLevel="0" collapsed="false">
      <c r="A10" s="52" t="s">
        <v>1495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customFormat="false" ht="15" hidden="false" customHeight="false" outlineLevel="1" collapsed="false">
      <c r="A11" s="3" t="s">
        <v>1496</v>
      </c>
      <c r="E11" s="24" t="n">
        <v>144.08</v>
      </c>
      <c r="K11" s="11" t="s">
        <v>1497</v>
      </c>
    </row>
    <row r="12" customFormat="false" ht="15" hidden="false" customHeight="false" outlineLevel="1" collapsed="false">
      <c r="A12" s="3" t="s">
        <v>1498</v>
      </c>
      <c r="E12" s="24" t="n">
        <v>137.214</v>
      </c>
      <c r="K12" s="11" t="s">
        <v>1499</v>
      </c>
    </row>
    <row r="13" customFormat="false" ht="15" hidden="false" customHeight="false" outlineLevel="1" collapsed="false">
      <c r="A13" s="3" t="s">
        <v>1500</v>
      </c>
      <c r="E13" s="24" t="n">
        <v>0</v>
      </c>
      <c r="K13" s="11" t="s">
        <v>1501</v>
      </c>
    </row>
    <row r="14" customFormat="false" ht="15" hidden="false" customHeight="false" outlineLevel="1" collapsed="false">
      <c r="A14" s="2" t="s">
        <v>1502</v>
      </c>
      <c r="E14" s="58" t="n">
        <f aca="false">SUM(E11:E13)</f>
        <v>281.294</v>
      </c>
      <c r="K14" s="6" t="s">
        <v>1503</v>
      </c>
    </row>
    <row r="15" customFormat="false" ht="15" hidden="false" customHeight="false" outlineLevel="1" collapsed="false">
      <c r="A15" s="3" t="s">
        <v>1504</v>
      </c>
      <c r="E15" s="57" t="n">
        <f aca="false">-E8</f>
        <v>-0</v>
      </c>
    </row>
    <row r="16" customFormat="false" ht="15" hidden="false" customHeight="false" outlineLevel="1" collapsed="false">
      <c r="A16" s="2" t="s">
        <v>1505</v>
      </c>
      <c r="E16" s="58" t="n">
        <f aca="false">E14+E15</f>
        <v>281.294</v>
      </c>
      <c r="K16" s="6" t="s">
        <v>1506</v>
      </c>
    </row>
    <row r="17" customFormat="false" ht="15" hidden="false" customHeight="false" outlineLevel="1" collapsed="false">
      <c r="A17" s="3" t="s">
        <v>1507</v>
      </c>
      <c r="E17" s="29" t="n">
        <f aca="false">IF(E14&lt;&gt;0,E16/E14,0)</f>
        <v>1</v>
      </c>
    </row>
    <row r="19" customFormat="false" ht="15" hidden="false" customHeight="false" outlineLevel="0" collapsed="false">
      <c r="A19" s="52" t="s">
        <v>1508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customFormat="false" ht="15" hidden="false" customHeight="false" outlineLevel="1" collapsed="false">
      <c r="A20" s="14" t="s">
        <v>59</v>
      </c>
      <c r="B20" s="14" t="s">
        <v>60</v>
      </c>
      <c r="C20" s="15" t="s">
        <v>61</v>
      </c>
      <c r="D20" s="15" t="s">
        <v>62</v>
      </c>
      <c r="E20" s="15" t="s">
        <v>63</v>
      </c>
      <c r="F20" s="15" t="s">
        <v>153</v>
      </c>
      <c r="G20" s="15" t="s">
        <v>154</v>
      </c>
    </row>
    <row r="21" customFormat="false" ht="15" hidden="false" customHeight="false" outlineLevel="1" collapsed="false">
      <c r="A21" s="3" t="s">
        <v>1509</v>
      </c>
      <c r="B21" s="11" t="s">
        <v>65</v>
      </c>
      <c r="C21" s="66" t="n">
        <f aca="false">各期收支!C16</f>
        <v>1.77349978983051</v>
      </c>
      <c r="D21" s="66" t="n">
        <f aca="false">各期收支!D16</f>
        <v>4.12449894915254</v>
      </c>
      <c r="E21" s="66" t="n">
        <f aca="false">各期收支!E16</f>
        <v>4.35766554576271</v>
      </c>
      <c r="F21" s="66" t="n">
        <f aca="false">各期收支!F16</f>
        <v>3.96666554576271</v>
      </c>
      <c r="G21" s="66" t="n">
        <f aca="false">各期收支!G16</f>
        <v>3.76766554576271</v>
      </c>
    </row>
    <row r="22" customFormat="false" ht="15" hidden="false" customHeight="false" outlineLevel="1" collapsed="false">
      <c r="A22" s="3" t="s">
        <v>1510</v>
      </c>
      <c r="B22" s="11" t="s">
        <v>157</v>
      </c>
      <c r="C22" s="68" t="n">
        <f aca="false">(輸入與假設!C$243+輸入與假設!C$36)/2</f>
        <v>2667.2</v>
      </c>
      <c r="D22" s="68" t="n">
        <f aca="false">(輸入與假設!D$243+輸入與假設!D$36)/2</f>
        <v>5708.8</v>
      </c>
      <c r="E22" s="68" t="n">
        <f aca="false">(輸入與假設!E$243+輸入與假設!E$36)/2</f>
        <v>9337.6</v>
      </c>
      <c r="F22" s="68" t="n">
        <f aca="false">(輸入與假設!F$243+輸入與假設!F$36)/2</f>
        <v>12966.4</v>
      </c>
      <c r="G22" s="68" t="n">
        <f aca="false">(輸入與假設!G$243+輸入與假設!G$36)/2</f>
        <v>16595.2</v>
      </c>
    </row>
    <row r="23" customFormat="false" ht="15" hidden="false" customHeight="false" outlineLevel="1" collapsed="false">
      <c r="A23" s="3" t="s">
        <v>207</v>
      </c>
      <c r="B23" s="6" t="s">
        <v>184</v>
      </c>
      <c r="C23" s="66" t="n">
        <f aca="false">輸入與假設!C$34</f>
        <v>0.5</v>
      </c>
      <c r="D23" s="66" t="n">
        <f aca="false">輸入與假設!D$34</f>
        <v>1</v>
      </c>
      <c r="E23" s="66" t="n">
        <f aca="false">輸入與假設!E$34</f>
        <v>1</v>
      </c>
      <c r="F23" s="66" t="n">
        <f aca="false">輸入與假設!F$34</f>
        <v>1</v>
      </c>
      <c r="G23" s="66" t="n">
        <f aca="false">輸入與假設!G$34</f>
        <v>1</v>
      </c>
    </row>
    <row r="24" customFormat="false" ht="15" hidden="false" customHeight="false" outlineLevel="1" collapsed="false">
      <c r="A24" s="2" t="s">
        <v>1511</v>
      </c>
      <c r="B24" s="11" t="s">
        <v>263</v>
      </c>
      <c r="C24" s="42" t="n">
        <f aca="false">C21/C23/C22*1000</f>
        <v>1.32985887059876</v>
      </c>
      <c r="D24" s="42" t="n">
        <f aca="false">D21/D23/D22*1000</f>
        <v>0.722480897763548</v>
      </c>
      <c r="E24" s="42" t="n">
        <f aca="false">E21/E23/E22*1000</f>
        <v>0.466679397892683</v>
      </c>
      <c r="F24" s="42" t="n">
        <f aca="false">F21/F23/F22*1000</f>
        <v>0.305918801345224</v>
      </c>
      <c r="G24" s="42" t="n">
        <f aca="false">G21/G23/G22*1000</f>
        <v>0.227033452188748</v>
      </c>
      <c r="K24" s="11" t="s">
        <v>1512</v>
      </c>
    </row>
    <row r="25" customFormat="false" ht="15" hidden="false" customHeight="false" outlineLevel="1" collapsed="false">
      <c r="A25" s="3" t="s">
        <v>1513</v>
      </c>
      <c r="C25" s="23" t="n">
        <v>1</v>
      </c>
      <c r="K25" s="6" t="s">
        <v>1514</v>
      </c>
    </row>
    <row r="26" customFormat="false" ht="15" hidden="false" customHeight="false" outlineLevel="1" collapsed="false">
      <c r="A26" s="3" t="s">
        <v>1515</v>
      </c>
      <c r="B26" s="11" t="s">
        <v>65</v>
      </c>
      <c r="C26" s="66" t="n">
        <f aca="false">C22*運營_站點!$H$8/1000*$C$25*C23</f>
        <v>0</v>
      </c>
      <c r="D26" s="66" t="n">
        <f aca="false">D22*運營_站點!$H$8/1000*$C$25*D23</f>
        <v>0</v>
      </c>
      <c r="E26" s="66" t="n">
        <f aca="false">E22*運營_站點!$H$8/1000*$C$25*E23</f>
        <v>0</v>
      </c>
      <c r="F26" s="66" t="n">
        <f aca="false">F22*運營_站點!$H$8/1000*$C$25*F23</f>
        <v>0</v>
      </c>
      <c r="G26" s="66" t="n">
        <f aca="false">G22*運營_站點!$H$8/1000*$C$25*G23</f>
        <v>0</v>
      </c>
      <c r="K26" s="6" t="s">
        <v>1516</v>
      </c>
    </row>
    <row r="27" customFormat="false" ht="15" hidden="false" customHeight="false" outlineLevel="1" collapsed="false">
      <c r="A27" s="2" t="s">
        <v>1517</v>
      </c>
      <c r="B27" s="11" t="s">
        <v>65</v>
      </c>
      <c r="C27" s="42" t="n">
        <f aca="false">C26-C21</f>
        <v>-1.77349978983051</v>
      </c>
      <c r="D27" s="42" t="n">
        <f aca="false">D26-D21</f>
        <v>-4.12449894915254</v>
      </c>
      <c r="E27" s="42" t="n">
        <f aca="false">E26-E21</f>
        <v>-4.35766554576271</v>
      </c>
      <c r="F27" s="42" t="n">
        <f aca="false">F26-F21</f>
        <v>-3.96666554576271</v>
      </c>
      <c r="G27" s="42" t="n">
        <f aca="false">G26-G21</f>
        <v>-3.76766554576271</v>
      </c>
      <c r="K27" s="6" t="s">
        <v>1518</v>
      </c>
    </row>
    <row r="28" customFormat="false" ht="15" hidden="false" customHeight="false" outlineLevel="1" collapsed="false">
      <c r="A28" s="2" t="s">
        <v>1519</v>
      </c>
      <c r="C28" s="75" t="n">
        <f aca="false">SUM(C27:G27)</f>
        <v>-17.9899953762712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5" t="s">
        <v>1520</v>
      </c>
    </row>
    <row r="2" customFormat="false" ht="15" hidden="false" customHeight="false" outlineLevel="0" collapsed="false">
      <c r="A2" s="6" t="s">
        <v>1521</v>
      </c>
    </row>
    <row r="4" customFormat="false" ht="17.15" hidden="false" customHeight="false" outlineLevel="0" collapsed="false">
      <c r="A4" s="14" t="s">
        <v>1522</v>
      </c>
      <c r="B4" s="14" t="s">
        <v>1523</v>
      </c>
      <c r="C4" s="14" t="s">
        <v>1524</v>
      </c>
      <c r="D4" s="14" t="s">
        <v>1525</v>
      </c>
      <c r="E4" s="15" t="s">
        <v>1526</v>
      </c>
      <c r="F4" s="14" t="s">
        <v>1527</v>
      </c>
      <c r="I4" s="14" t="s">
        <v>915</v>
      </c>
    </row>
    <row r="5" customFormat="false" ht="15" hidden="false" customHeight="false" outlineLevel="0" collapsed="false">
      <c r="A5" s="4" t="s">
        <v>1528</v>
      </c>
      <c r="B5" s="6" t="s">
        <v>1529</v>
      </c>
      <c r="C5" s="11" t="s">
        <v>1530</v>
      </c>
      <c r="D5" s="23" t="n">
        <v>0.05025</v>
      </c>
      <c r="E5" s="24" t="n">
        <v>2.75</v>
      </c>
      <c r="F5" s="66" t="n">
        <f aca="false">D5*E5</f>
        <v>0.1381875</v>
      </c>
      <c r="I5" s="11" t="s">
        <v>1531</v>
      </c>
    </row>
    <row r="6" customFormat="false" ht="15" hidden="false" customHeight="false" outlineLevel="0" collapsed="false">
      <c r="A6" s="4" t="s">
        <v>1532</v>
      </c>
      <c r="B6" s="6" t="s">
        <v>1529</v>
      </c>
      <c r="C6" s="11" t="s">
        <v>1533</v>
      </c>
      <c r="D6" s="23" t="n">
        <v>0.0379</v>
      </c>
      <c r="E6" s="24" t="n">
        <v>12</v>
      </c>
      <c r="F6" s="66" t="n">
        <f aca="false">D6*E6</f>
        <v>0.4548</v>
      </c>
      <c r="I6" s="11" t="s">
        <v>1534</v>
      </c>
    </row>
    <row r="7" customFormat="false" ht="15" hidden="false" customHeight="false" outlineLevel="0" collapsed="false">
      <c r="A7" s="4" t="s">
        <v>1535</v>
      </c>
      <c r="B7" s="6" t="s">
        <v>1529</v>
      </c>
      <c r="C7" s="11" t="s">
        <v>1536</v>
      </c>
      <c r="D7" s="23" t="n">
        <v>0.02015</v>
      </c>
      <c r="E7" s="24" t="n">
        <v>7.75</v>
      </c>
      <c r="F7" s="66" t="n">
        <f aca="false">D7*E7</f>
        <v>0.1561625</v>
      </c>
      <c r="I7" s="11" t="s">
        <v>1537</v>
      </c>
    </row>
    <row r="8" customFormat="false" ht="15" hidden="false" customHeight="false" outlineLevel="0" collapsed="false">
      <c r="A8" s="4" t="s">
        <v>1538</v>
      </c>
      <c r="B8" s="6" t="s">
        <v>1529</v>
      </c>
      <c r="C8" s="11" t="s">
        <v>1539</v>
      </c>
      <c r="D8" s="23" t="n">
        <v>0.02505</v>
      </c>
      <c r="E8" s="24" t="n">
        <v>12.25</v>
      </c>
      <c r="F8" s="66" t="n">
        <f aca="false">D8*E8</f>
        <v>0.3068625</v>
      </c>
      <c r="I8" s="11" t="s">
        <v>1540</v>
      </c>
    </row>
    <row r="9" customFormat="false" ht="15" hidden="false" customHeight="false" outlineLevel="0" collapsed="false">
      <c r="A9" s="4" t="s">
        <v>1541</v>
      </c>
      <c r="B9" s="6" t="s">
        <v>1529</v>
      </c>
      <c r="C9" s="11" t="s">
        <v>1542</v>
      </c>
      <c r="D9" s="23" t="n">
        <v>0.03775</v>
      </c>
      <c r="E9" s="24" t="n">
        <v>9.75</v>
      </c>
      <c r="F9" s="66" t="n">
        <f aca="false">D9*E9</f>
        <v>0.3680625</v>
      </c>
      <c r="I9" s="11" t="s">
        <v>1543</v>
      </c>
    </row>
    <row r="10" customFormat="false" ht="15" hidden="false" customHeight="false" outlineLevel="0" collapsed="false">
      <c r="A10" s="4" t="s">
        <v>1544</v>
      </c>
      <c r="B10" s="6" t="s">
        <v>1529</v>
      </c>
      <c r="C10" s="11" t="s">
        <v>1545</v>
      </c>
      <c r="D10" s="23" t="n">
        <v>0.04675</v>
      </c>
      <c r="E10" s="24" t="n">
        <v>5.75</v>
      </c>
      <c r="F10" s="66" t="n">
        <f aca="false">D10*E10</f>
        <v>0.2688125</v>
      </c>
      <c r="I10" s="11" t="s">
        <v>1546</v>
      </c>
    </row>
    <row r="11" customFormat="false" ht="15" hidden="false" customHeight="false" outlineLevel="0" collapsed="false">
      <c r="A11" s="4" t="s">
        <v>1547</v>
      </c>
      <c r="B11" s="6" t="s">
        <v>1529</v>
      </c>
      <c r="C11" s="11" t="s">
        <v>1548</v>
      </c>
      <c r="D11" s="23" t="n">
        <v>0.04805</v>
      </c>
      <c r="E11" s="24" t="n">
        <v>15</v>
      </c>
      <c r="F11" s="66" t="n">
        <f aca="false">D11*E11</f>
        <v>0.72075</v>
      </c>
      <c r="I11" s="11" t="s">
        <v>1549</v>
      </c>
    </row>
    <row r="12" customFormat="false" ht="15" hidden="false" customHeight="false" outlineLevel="0" collapsed="false">
      <c r="A12" s="4" t="s">
        <v>1550</v>
      </c>
      <c r="B12" s="6" t="s">
        <v>1529</v>
      </c>
      <c r="C12" s="11" t="s">
        <v>1551</v>
      </c>
      <c r="D12" s="23" t="n">
        <v>0.0504</v>
      </c>
      <c r="E12" s="24" t="n">
        <v>37</v>
      </c>
      <c r="F12" s="66" t="n">
        <f aca="false">D12*E12</f>
        <v>1.8648</v>
      </c>
      <c r="I12" s="11" t="s">
        <v>1552</v>
      </c>
    </row>
    <row r="13" customFormat="false" ht="15" hidden="false" customHeight="false" outlineLevel="0" collapsed="false">
      <c r="A13" s="4" t="s">
        <v>1553</v>
      </c>
      <c r="B13" s="6" t="s">
        <v>1529</v>
      </c>
      <c r="C13" s="11" t="s">
        <v>1554</v>
      </c>
      <c r="D13" s="23" t="n">
        <v>0.03735</v>
      </c>
      <c r="E13" s="24" t="n">
        <v>16.55</v>
      </c>
      <c r="F13" s="66" t="n">
        <f aca="false">D13*E13</f>
        <v>0.6181425</v>
      </c>
      <c r="I13" s="11" t="s">
        <v>1555</v>
      </c>
    </row>
    <row r="14" customFormat="false" ht="15" hidden="false" customHeight="false" outlineLevel="0" collapsed="false">
      <c r="A14" s="4" t="s">
        <v>1556</v>
      </c>
      <c r="B14" s="6" t="s">
        <v>1529</v>
      </c>
      <c r="C14" s="11" t="s">
        <v>1557</v>
      </c>
      <c r="D14" s="23" t="n">
        <v>0.015</v>
      </c>
      <c r="E14" s="24" t="n">
        <v>3.487</v>
      </c>
      <c r="F14" s="66" t="n">
        <f aca="false">D14*E14</f>
        <v>0.052305</v>
      </c>
      <c r="I14" s="11" t="s">
        <v>1558</v>
      </c>
    </row>
    <row r="15" customFormat="false" ht="15" hidden="false" customHeight="false" outlineLevel="0" collapsed="false">
      <c r="A15" s="4" t="s">
        <v>1559</v>
      </c>
      <c r="B15" s="6" t="s">
        <v>1529</v>
      </c>
      <c r="C15" s="11" t="s">
        <v>1560</v>
      </c>
      <c r="D15" s="23" t="n">
        <v>0.04255</v>
      </c>
      <c r="E15" s="24" t="n">
        <v>9.853</v>
      </c>
      <c r="F15" s="66" t="n">
        <f aca="false">D15*E15</f>
        <v>0.41924515</v>
      </c>
      <c r="I15" s="11" t="s">
        <v>1561</v>
      </c>
    </row>
    <row r="16" customFormat="false" ht="15" hidden="false" customHeight="false" outlineLevel="0" collapsed="false">
      <c r="A16" s="3" t="s">
        <v>1562</v>
      </c>
      <c r="B16" s="6" t="s">
        <v>1529</v>
      </c>
      <c r="C16" s="11" t="s">
        <v>1563</v>
      </c>
      <c r="D16" s="23" t="n">
        <v>0.04</v>
      </c>
      <c r="E16" s="24" t="n">
        <v>0.855</v>
      </c>
      <c r="F16" s="66" t="n">
        <f aca="false">D16*E16</f>
        <v>0.0342</v>
      </c>
      <c r="I16" s="6" t="s">
        <v>1564</v>
      </c>
    </row>
    <row r="17" customFormat="false" ht="15" hidden="false" customHeight="false" outlineLevel="0" collapsed="false">
      <c r="A17" s="2" t="s">
        <v>1565</v>
      </c>
      <c r="E17" s="58" t="n">
        <f aca="false">SUM(E5:E16)</f>
        <v>132.995</v>
      </c>
      <c r="F17" s="58" t="n">
        <f aca="false">SUM(F5:F16)</f>
        <v>5.40233015</v>
      </c>
      <c r="I17" s="6" t="s">
        <v>1566</v>
      </c>
    </row>
    <row r="18" customFormat="false" ht="15" hidden="false" customHeight="false" outlineLevel="0" collapsed="false">
      <c r="A18" s="2" t="s">
        <v>1567</v>
      </c>
      <c r="D18" s="76" t="n">
        <f aca="false">F17/E17</f>
        <v>0.0406205507725854</v>
      </c>
      <c r="I18" s="6" t="s">
        <v>1568</v>
      </c>
    </row>
    <row r="20" customFormat="false" ht="15" hidden="false" customHeight="false" outlineLevel="0" collapsed="false">
      <c r="A20" s="3" t="s">
        <v>1569</v>
      </c>
      <c r="D20" s="77" t="n">
        <v>0</v>
      </c>
      <c r="E20" s="24" t="n">
        <v>0</v>
      </c>
      <c r="F20" s="10" t="n">
        <f aca="false">D20*E20</f>
        <v>0</v>
      </c>
      <c r="I20" s="11" t="s">
        <v>1570</v>
      </c>
    </row>
    <row r="22" customFormat="false" ht="15" hidden="false" customHeight="false" outlineLevel="0" collapsed="false">
      <c r="A22" s="52" t="s">
        <v>1571</v>
      </c>
      <c r="B22" s="8"/>
      <c r="C22" s="8"/>
      <c r="D22" s="8"/>
      <c r="E22" s="8"/>
      <c r="F22" s="8"/>
      <c r="G22" s="8"/>
      <c r="H22" s="8"/>
    </row>
    <row r="23" customFormat="false" ht="17.15" hidden="false" customHeight="false" outlineLevel="1" collapsed="false">
      <c r="A23" s="14" t="s">
        <v>1572</v>
      </c>
      <c r="B23" s="14" t="s">
        <v>1524</v>
      </c>
      <c r="C23" s="14" t="s">
        <v>1573</v>
      </c>
      <c r="D23" s="14" t="s">
        <v>1574</v>
      </c>
      <c r="E23" s="14" t="s">
        <v>1575</v>
      </c>
      <c r="F23" s="14" t="s">
        <v>1576</v>
      </c>
      <c r="G23" s="14" t="s">
        <v>1577</v>
      </c>
      <c r="H23" s="14" t="s">
        <v>1578</v>
      </c>
      <c r="I23" s="14" t="s">
        <v>915</v>
      </c>
    </row>
    <row r="24" customFormat="false" ht="15" hidden="false" customHeight="false" outlineLevel="1" collapsed="false">
      <c r="A24" s="3" t="s">
        <v>1579</v>
      </c>
      <c r="B24" s="11" t="s">
        <v>1580</v>
      </c>
      <c r="C24" s="77" t="n">
        <v>0</v>
      </c>
      <c r="D24" s="45" t="n">
        <v>0</v>
      </c>
      <c r="E24" s="34" t="n">
        <v>1</v>
      </c>
      <c r="F24" s="44" t="n">
        <v>1</v>
      </c>
      <c r="G24" s="68" t="n">
        <v>5</v>
      </c>
      <c r="H24" s="21" t="n">
        <v>0</v>
      </c>
      <c r="I24" s="11" t="s">
        <v>1581</v>
      </c>
    </row>
    <row r="25" customFormat="false" ht="15" hidden="false" customHeight="false" outlineLevel="1" collapsed="false">
      <c r="I25" s="6" t="s">
        <v>1582</v>
      </c>
    </row>
    <row r="26" customFormat="false" ht="15" hidden="false" customHeight="false" outlineLevel="1" collapsed="false"/>
    <row r="27" customFormat="false" ht="15" hidden="false" customHeight="false" outlineLevel="1" collapsed="false">
      <c r="A27" s="14" t="s">
        <v>1583</v>
      </c>
      <c r="C27" s="14" t="s">
        <v>1584</v>
      </c>
      <c r="D27" s="14" t="s">
        <v>1585</v>
      </c>
      <c r="E27" s="14" t="s">
        <v>1586</v>
      </c>
      <c r="F27" s="14" t="s">
        <v>1587</v>
      </c>
      <c r="G27" s="14" t="s">
        <v>1588</v>
      </c>
      <c r="H27" s="14" t="s">
        <v>1589</v>
      </c>
      <c r="I27" s="14" t="s">
        <v>1001</v>
      </c>
    </row>
    <row r="28" customFormat="false" ht="15" hidden="false" customHeight="false" outlineLevel="1" collapsed="false">
      <c r="A28" s="3" t="str">
        <f aca="false">A24</f>
        <v>（無可轉債，不適用）</v>
      </c>
      <c r="C28" s="30" t="n">
        <f aca="false">D24*E24</f>
        <v>0</v>
      </c>
      <c r="D28" s="30" t="n">
        <f aca="false">D24/F24</f>
        <v>0</v>
      </c>
      <c r="E28" s="55" t="n">
        <f aca="false">F24*E24</f>
        <v>1</v>
      </c>
      <c r="F28" s="68" t="n">
        <f aca="false">IF(OR(H24=1,E28&lt;輸入與假設!$C$297),1,0)</f>
        <v>1</v>
      </c>
      <c r="G28" s="68" t="n">
        <f aca="false">IF(OR(H24=1,E28&lt;輸入與假設!$C$320),1,0)</f>
        <v>1</v>
      </c>
      <c r="H28" s="68" t="n">
        <f aca="false">IF(OR(H24=1,E28&lt;評價_DCF與目標價!$C$87),1,0)</f>
        <v>1</v>
      </c>
    </row>
    <row r="29" customFormat="false" ht="15" hidden="false" customHeight="false" outlineLevel="1" collapsed="false">
      <c r="A29" s="2" t="s">
        <v>1590</v>
      </c>
      <c r="C29" s="78" t="n">
        <f aca="false">SUM(C28:C28)</f>
        <v>0</v>
      </c>
      <c r="D29" s="78" t="n">
        <f aca="false">SUM(D28:D28)</f>
        <v>0</v>
      </c>
      <c r="I29" s="6" t="s">
        <v>1591</v>
      </c>
    </row>
    <row r="31" customFormat="false" ht="15" hidden="false" customHeight="false" outlineLevel="0" collapsed="false">
      <c r="A31" s="52" t="s">
        <v>1592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14" t="s">
        <v>59</v>
      </c>
      <c r="B32" s="14" t="s">
        <v>60</v>
      </c>
      <c r="C32" s="28" t="s">
        <v>61</v>
      </c>
      <c r="D32" s="28" t="s">
        <v>62</v>
      </c>
      <c r="E32" s="28" t="s">
        <v>63</v>
      </c>
      <c r="F32" s="28" t="s">
        <v>153</v>
      </c>
      <c r="G32" s="28" t="s">
        <v>154</v>
      </c>
      <c r="I32" s="14" t="s">
        <v>1028</v>
      </c>
    </row>
    <row r="33" customFormat="false" ht="15" hidden="false" customHeight="false" outlineLevel="1" collapsed="false">
      <c r="A33" s="3" t="s">
        <v>1593</v>
      </c>
      <c r="B33" s="11" t="s">
        <v>65</v>
      </c>
      <c r="C33" s="66" t="n">
        <f aca="false">E17</f>
        <v>132.995</v>
      </c>
      <c r="D33" s="66" t="n">
        <f aca="false">C35</f>
        <v>132.995</v>
      </c>
      <c r="E33" s="66" t="n">
        <f aca="false">D35</f>
        <v>124.158</v>
      </c>
      <c r="F33" s="66" t="n">
        <f aca="false">E35</f>
        <v>111.864</v>
      </c>
      <c r="G33" s="66" t="n">
        <f aca="false">F35</f>
        <v>102.694</v>
      </c>
      <c r="I33" s="11" t="s">
        <v>1594</v>
      </c>
    </row>
    <row r="34" customFormat="false" ht="15" hidden="false" customHeight="false" outlineLevel="1" collapsed="false">
      <c r="A34" s="3" t="s">
        <v>1595</v>
      </c>
      <c r="B34" s="11" t="s">
        <v>65</v>
      </c>
      <c r="C34" s="39" t="n">
        <f aca="false">輸入與假設!C$315</f>
        <v>0</v>
      </c>
      <c r="D34" s="39" t="n">
        <f aca="false">輸入與假設!D$315</f>
        <v>8.837</v>
      </c>
      <c r="E34" s="39" t="n">
        <f aca="false">輸入與假設!E$315</f>
        <v>12.294</v>
      </c>
      <c r="F34" s="39" t="n">
        <f aca="false">輸入與假設!F$315</f>
        <v>9.17</v>
      </c>
      <c r="G34" s="39" t="n">
        <f aca="false">輸入與假設!G$315</f>
        <v>7.085</v>
      </c>
      <c r="I34" s="6" t="s">
        <v>1596</v>
      </c>
    </row>
    <row r="35" customFormat="false" ht="15" hidden="false" customHeight="false" outlineLevel="1" collapsed="false">
      <c r="A35" s="3" t="s">
        <v>1597</v>
      </c>
      <c r="B35" s="11" t="s">
        <v>65</v>
      </c>
      <c r="C35" s="66" t="n">
        <f aca="false">C33-C34</f>
        <v>132.995</v>
      </c>
      <c r="D35" s="66" t="n">
        <f aca="false">D33-D34</f>
        <v>124.158</v>
      </c>
      <c r="E35" s="66" t="n">
        <f aca="false">E33-E34</f>
        <v>111.864</v>
      </c>
      <c r="F35" s="66" t="n">
        <f aca="false">F33-F34</f>
        <v>102.694</v>
      </c>
      <c r="G35" s="66" t="n">
        <f aca="false">G33-G34</f>
        <v>95.609</v>
      </c>
    </row>
    <row r="36" customFormat="false" ht="15" hidden="false" customHeight="false" outlineLevel="1" collapsed="false">
      <c r="A36" s="3" t="s">
        <v>1598</v>
      </c>
      <c r="B36" s="11" t="s">
        <v>65</v>
      </c>
      <c r="C36" s="66" t="n">
        <f aca="false">(C33+C35)/2</f>
        <v>132.995</v>
      </c>
      <c r="D36" s="66" t="n">
        <f aca="false">(D33+D35)/2</f>
        <v>128.5765</v>
      </c>
      <c r="E36" s="66" t="n">
        <f aca="false">(E33+E35)/2</f>
        <v>118.011</v>
      </c>
      <c r="F36" s="66" t="n">
        <f aca="false">(F33+F35)/2</f>
        <v>107.279</v>
      </c>
      <c r="G36" s="66" t="n">
        <f aca="false">(G33+G35)/2</f>
        <v>99.1515</v>
      </c>
    </row>
    <row r="37" customFormat="false" ht="15" hidden="false" customHeight="false" outlineLevel="1" collapsed="false">
      <c r="A37" s="3" t="s">
        <v>1599</v>
      </c>
      <c r="B37" s="11" t="s">
        <v>65</v>
      </c>
      <c r="C37" s="66" t="n">
        <f aca="false">C36*資產負債_既有債務!$D$18*輸入與假設!C$34</f>
        <v>2.701165075</v>
      </c>
      <c r="D37" s="66" t="n">
        <f aca="false">D36*資產負債_既有債務!$D$18*輸入與假設!D$34</f>
        <v>5.22284824641133</v>
      </c>
      <c r="E37" s="66" t="n">
        <f aca="false">E36*資產負債_既有債務!$D$18*輸入與假設!E$34</f>
        <v>4.79367181722358</v>
      </c>
      <c r="F37" s="66" t="n">
        <f aca="false">F36*資產負債_既有債務!$D$18*輸入與假設!F$34</f>
        <v>4.35773206633219</v>
      </c>
      <c r="G37" s="66" t="n">
        <f aca="false">G36*資產負債_既有債務!$D$18*輸入與假設!G$34</f>
        <v>4.027588539928</v>
      </c>
      <c r="I37" s="6" t="s">
        <v>1600</v>
      </c>
    </row>
    <row r="38" customFormat="false" ht="15" hidden="false" customHeight="false" outlineLevel="1" collapsed="false">
      <c r="A38" s="3" t="s">
        <v>1601</v>
      </c>
      <c r="B38" s="11" t="s">
        <v>65</v>
      </c>
      <c r="C38" s="66" t="n">
        <f aca="false">資產負債_既有債務!$F$20*輸入與假設!C$34</f>
        <v>0</v>
      </c>
      <c r="D38" s="66" t="n">
        <f aca="false">資產負債_既有債務!$F$20*輸入與假設!D$34</f>
        <v>0</v>
      </c>
      <c r="E38" s="66" t="n">
        <f aca="false">資產負債_既有債務!$F$20*輸入與假設!E$34</f>
        <v>0</v>
      </c>
      <c r="F38" s="66" t="n">
        <f aca="false">資產負債_既有債務!$F$20*輸入與假設!F$34</f>
        <v>0</v>
      </c>
      <c r="G38" s="66" t="n">
        <f aca="false">資產負債_既有債務!$F$20*輸入與假設!G$34</f>
        <v>0</v>
      </c>
    </row>
    <row r="39" customFormat="false" ht="15" hidden="false" customHeight="false" outlineLevel="1" collapsed="false">
      <c r="A39" s="3" t="s">
        <v>1602</v>
      </c>
      <c r="B39" s="11" t="s">
        <v>65</v>
      </c>
      <c r="C39" s="66" t="n">
        <f aca="false">IF(輸入與假設!$C$286=1,SUMPRODUCT((1-資產負債_既有債務!$F$28:$F$28)*資產負債_既有債務!$C$28:$C$28*(資產負債_既有債務!$G$24:$G$24=0)),0)</f>
        <v>0</v>
      </c>
      <c r="D39" s="66" t="n">
        <f aca="false">IF(輸入與假設!$C$286=1,SUMPRODUCT((1-資產負債_既有債務!$F$28:$F$28)*資產負債_既有債務!$C$28:$C$28*(資產負債_既有債務!$G$24:$G$24=1)),0)</f>
        <v>0</v>
      </c>
      <c r="E39" s="66" t="n">
        <f aca="false">IF(輸入與假設!$C$286=1,SUMPRODUCT((1-資產負債_既有債務!$F$28:$F$28)*資產負債_既有債務!$C$28:$C$28*(資產負債_既有債務!$G$24:$G$24=2)),0)</f>
        <v>0</v>
      </c>
      <c r="F39" s="66" t="n">
        <f aca="false">IF(輸入與假設!$C$286=1,SUMPRODUCT((1-資產負債_既有債務!$F$28:$F$28)*資產負債_既有債務!$C$28:$C$28*(資產負債_既有債務!$G$24:$G$24=3)),0)</f>
        <v>0</v>
      </c>
      <c r="G39" s="66" t="n">
        <f aca="false">IF(輸入與假設!$C$286=1,SUMPRODUCT((1-資產負債_既有債務!$F$28:$F$28)*資產負債_既有債務!$C$28:$C$28*(資產負債_既有債務!$G$24:$G$24=4)),0)</f>
        <v>0</v>
      </c>
      <c r="I39" s="6" t="s">
        <v>1603</v>
      </c>
    </row>
    <row r="40" customFormat="false" ht="15" hidden="false" customHeight="false" outlineLevel="1" collapsed="false">
      <c r="A40" s="3" t="s">
        <v>1604</v>
      </c>
      <c r="B40" s="11" t="s">
        <v>65</v>
      </c>
      <c r="C40" s="66" t="n">
        <f aca="false">IF(輸入與假設!$C$286=1,SUMPRODUCT((1-資產負債_既有債務!$F$28:$F$28)*資產負債_既有債務!$C$28:$C$28*(資產負債_既有債務!$G$24:$G$24&gt;0)),SUMPRODUCT((1-資產負債_既有債務!$F$28:$F$28)*資產負債_既有債務!$C$28:$C$28))</f>
        <v>0</v>
      </c>
      <c r="D40" s="66" t="n">
        <f aca="false">IF(輸入與假設!$C$286=1,SUMPRODUCT((1-資產負債_既有債務!$F$28:$F$28)*資產負債_既有債務!$C$28:$C$28*(資產負債_既有債務!$G$24:$G$24&gt;1)),SUMPRODUCT((1-資產負債_既有債務!$F$28:$F$28)*資產負債_既有債務!$C$28:$C$28))</f>
        <v>0</v>
      </c>
      <c r="E40" s="66" t="n">
        <f aca="false">IF(輸入與假設!$C$286=1,SUMPRODUCT((1-資產負債_既有債務!$F$28:$F$28)*資產負債_既有債務!$C$28:$C$28*(資產負債_既有債務!$G$24:$G$24&gt;2)),SUMPRODUCT((1-資產負債_既有債務!$F$28:$F$28)*資產負債_既有債務!$C$28:$C$28))</f>
        <v>0</v>
      </c>
      <c r="F40" s="66" t="n">
        <f aca="false">IF(輸入與假設!$C$286=1,SUMPRODUCT((1-資產負債_既有債務!$F$28:$F$28)*資產負債_既有債務!$C$28:$C$28*(資產負債_既有債務!$G$24:$G$24&gt;3)),SUMPRODUCT((1-資產負債_既有債務!$F$28:$F$28)*資產負債_既有債務!$C$28:$C$28))</f>
        <v>0</v>
      </c>
      <c r="G40" s="66" t="n">
        <f aca="false">IF(輸入與假設!$C$286=1,SUMPRODUCT((1-資產負債_既有債務!$F$28:$F$28)*資產負債_既有債務!$C$28:$C$28*(資產負債_既有債務!$G$24:$G$24&gt;4)),SUMPRODUCT((1-資產負債_既有債務!$F$28:$F$28)*資產負債_既有債務!$C$28:$C$28))</f>
        <v>0</v>
      </c>
      <c r="I40" s="6" t="s">
        <v>1605</v>
      </c>
    </row>
    <row r="41" customFormat="false" ht="15" hidden="false" customHeight="false" outlineLevel="1" collapsed="false">
      <c r="A41" s="3" t="s">
        <v>1606</v>
      </c>
      <c r="B41" s="11" t="s">
        <v>65</v>
      </c>
      <c r="C41" s="66" t="n">
        <f aca="false">IF(輸入與假設!$C$286=1,SUMPRODUCT((1-資產負債_既有債務!$F$28:$F$28)*資產負債_既有債務!$D$24:$D$24*資產負債_既有債務!$C$24:$C$24*((資產負債_既有債務!$G$24:$G$24&gt;0)+0.5*(資產負債_既有債務!$G$24:$G$24=0))),SUMPRODUCT((1-資產負債_既有債務!$F$28:$F$28)*資產負債_既有債務!$D$24:$D$24*資產負債_既有債務!$C$24:$C$24))*輸入與假設!C$34</f>
        <v>0</v>
      </c>
      <c r="D41" s="66" t="n">
        <f aca="false">IF(輸入與假設!$C$286=1,SUMPRODUCT((1-資產負債_既有債務!$F$28:$F$28)*資產負債_既有債務!$D$24:$D$24*資產負債_既有債務!$C$24:$C$24*((資產負債_既有債務!$G$24:$G$24&gt;1)+0.5*(資產負債_既有債務!$G$24:$G$24=1))),SUMPRODUCT((1-資產負債_既有債務!$F$28:$F$28)*資產負債_既有債務!$D$24:$D$24*資產負債_既有債務!$C$24:$C$24))*輸入與假設!D$34</f>
        <v>0</v>
      </c>
      <c r="E41" s="66" t="n">
        <f aca="false">IF(輸入與假設!$C$286=1,SUMPRODUCT((1-資產負債_既有債務!$F$28:$F$28)*資產負債_既有債務!$D$24:$D$24*資產負債_既有債務!$C$24:$C$24*((資產負債_既有債務!$G$24:$G$24&gt;2)+0.5*(資產負債_既有債務!$G$24:$G$24=2))),SUMPRODUCT((1-資產負債_既有債務!$F$28:$F$28)*資產負債_既有債務!$D$24:$D$24*資產負債_既有債務!$C$24:$C$24))*輸入與假設!E$34</f>
        <v>0</v>
      </c>
      <c r="F41" s="66" t="n">
        <f aca="false">IF(輸入與假設!$C$286=1,SUMPRODUCT((1-資產負債_既有債務!$F$28:$F$28)*資產負債_既有債務!$D$24:$D$24*資產負債_既有債務!$C$24:$C$24*((資產負債_既有債務!$G$24:$G$24&gt;3)+0.5*(資產負債_既有債務!$G$24:$G$24=3))),SUMPRODUCT((1-資產負債_既有債務!$F$28:$F$28)*資產負債_既有債務!$D$24:$D$24*資產負債_既有債務!$C$24:$C$24))*輸入與假設!F$34</f>
        <v>0</v>
      </c>
      <c r="G41" s="66" t="n">
        <f aca="false">IF(輸入與假設!$C$286=1,SUMPRODUCT((1-資產負債_既有債務!$F$28:$F$28)*資產負債_既有債務!$D$24:$D$24*資產負債_既有債務!$C$24:$C$24*((資產負債_既有債務!$G$24:$G$24&gt;4)+0.5*(資產負債_既有債務!$G$24:$G$24=4))),SUMPRODUCT((1-資產負債_既有債務!$F$28:$F$28)*資產負債_既有債務!$D$24:$D$24*資產負債_既有債務!$C$24:$C$24))*輸入與假設!G$34</f>
        <v>0</v>
      </c>
      <c r="I41" s="6" t="s">
        <v>1607</v>
      </c>
    </row>
    <row r="42" customFormat="false" ht="15" hidden="false" customHeight="false" outlineLevel="1" collapsed="false">
      <c r="A42" s="3" t="s">
        <v>1608</v>
      </c>
      <c r="B42" s="11" t="s">
        <v>65</v>
      </c>
      <c r="C42" s="24" t="n">
        <f aca="false">0</f>
        <v>0</v>
      </c>
      <c r="D42" s="24" t="n">
        <f aca="false">0</f>
        <v>0</v>
      </c>
      <c r="E42" s="24" t="n">
        <f aca="false">0</f>
        <v>0</v>
      </c>
      <c r="F42" s="24" t="n">
        <f aca="false">0</f>
        <v>0</v>
      </c>
      <c r="G42" s="24" t="n">
        <f aca="false">0</f>
        <v>0</v>
      </c>
      <c r="I42" s="6" t="s">
        <v>1609</v>
      </c>
    </row>
    <row r="43" customFormat="false" ht="15" hidden="false" customHeight="false" outlineLevel="1" collapsed="false">
      <c r="A43" s="2" t="s">
        <v>1610</v>
      </c>
      <c r="B43" s="11" t="s">
        <v>65</v>
      </c>
      <c r="C43" s="42" t="n">
        <f aca="false">C37+C38+C41+C42</f>
        <v>2.701165075</v>
      </c>
      <c r="D43" s="42" t="n">
        <f aca="false">D37+D38+D41+D42</f>
        <v>5.22284824641133</v>
      </c>
      <c r="E43" s="42" t="n">
        <f aca="false">E37+E38+E41+E42</f>
        <v>4.79367181722358</v>
      </c>
      <c r="F43" s="42" t="n">
        <f aca="false">F37+F38+F41+F42</f>
        <v>4.35773206633219</v>
      </c>
      <c r="G43" s="42" t="n">
        <f aca="false">G37+G38+G41+G42</f>
        <v>4.027588539928</v>
      </c>
      <c r="I43" s="6" t="s">
        <v>1611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1612</v>
      </c>
    </row>
    <row r="2" customFormat="false" ht="15" hidden="false" customHeight="false" outlineLevel="0" collapsed="false">
      <c r="A2" s="6" t="s">
        <v>1613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1028</v>
      </c>
    </row>
    <row r="5" customFormat="false" ht="15" hidden="false" customHeight="false" outlineLevel="0" collapsed="false">
      <c r="A5" s="52" t="s">
        <v>1614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1615</v>
      </c>
      <c r="B6" s="11" t="s">
        <v>65</v>
      </c>
      <c r="C6" s="66" t="n">
        <f aca="false">輸入與假設!$C$281</f>
        <v>122.988</v>
      </c>
      <c r="D6" s="66" t="n">
        <f aca="false">各期收支!C56</f>
        <v>64.6905772322645</v>
      </c>
      <c r="E6" s="66" t="n">
        <f aca="false">各期收支!D56</f>
        <v>50</v>
      </c>
      <c r="F6" s="66" t="n">
        <f aca="false">各期收支!E56</f>
        <v>50</v>
      </c>
      <c r="G6" s="66" t="n">
        <f aca="false">各期收支!F56</f>
        <v>50</v>
      </c>
      <c r="I6" s="11" t="s">
        <v>1616</v>
      </c>
    </row>
    <row r="7" customFormat="false" ht="15" hidden="false" customHeight="false" outlineLevel="1" collapsed="false">
      <c r="A7" s="3" t="s">
        <v>1617</v>
      </c>
      <c r="B7" s="11" t="s">
        <v>65</v>
      </c>
      <c r="C7" s="66" t="n">
        <f aca="false">各期收支!C103-輸入與假設!$C$281</f>
        <v>-58.2974227677356</v>
      </c>
      <c r="D7" s="66" t="n">
        <f aca="false">各期收支!D103-各期收支!C103</f>
        <v>-78.5112003102811</v>
      </c>
      <c r="E7" s="66" t="n">
        <f aca="false">各期收支!E103-各期收支!D103</f>
        <v>-43.3427984835811</v>
      </c>
      <c r="F7" s="66" t="n">
        <f aca="false">各期收支!F103-各期收支!E103</f>
        <v>-1.15744045217895</v>
      </c>
      <c r="G7" s="66" t="n">
        <f aca="false">各期收支!G103-各期收支!F103</f>
        <v>-72.6466732096682</v>
      </c>
      <c r="I7" s="6" t="s">
        <v>1618</v>
      </c>
    </row>
    <row r="8" customFormat="false" ht="15" hidden="false" customHeight="false" outlineLevel="1" collapsed="false">
      <c r="A8" s="3" t="s">
        <v>1619</v>
      </c>
      <c r="B8" s="11" t="s">
        <v>65</v>
      </c>
      <c r="C8" s="66" t="n">
        <f aca="false">各期收支!C86</f>
        <v>0</v>
      </c>
      <c r="D8" s="66" t="n">
        <f aca="false">各期收支!D86</f>
        <v>67.1796032400176</v>
      </c>
      <c r="E8" s="66" t="n">
        <f aca="false">各期收支!E86</f>
        <v>49.1597669953494</v>
      </c>
      <c r="F8" s="66" t="n">
        <f aca="false">各期收支!F86</f>
        <v>7.34148311994452</v>
      </c>
      <c r="G8" s="66" t="n">
        <f aca="false">各期收支!G86</f>
        <v>82.9797009236145</v>
      </c>
    </row>
    <row r="9" customFormat="false" ht="15" hidden="false" customHeight="false" outlineLevel="1" collapsed="false">
      <c r="A9" s="3" t="s">
        <v>1620</v>
      </c>
      <c r="B9" s="11" t="s">
        <v>65</v>
      </c>
      <c r="C9" s="66" t="n">
        <f aca="false">各期收支!C89</f>
        <v>0</v>
      </c>
      <c r="D9" s="66" t="n">
        <f aca="false">各期收支!D89</f>
        <v>0</v>
      </c>
      <c r="E9" s="66" t="n">
        <f aca="false">各期收支!E89</f>
        <v>0</v>
      </c>
      <c r="F9" s="66" t="n">
        <f aca="false">各期收支!F89</f>
        <v>0</v>
      </c>
      <c r="G9" s="66" t="n">
        <f aca="false">各期收支!G89</f>
        <v>0</v>
      </c>
    </row>
    <row r="10" customFormat="false" ht="15" hidden="false" customHeight="false" outlineLevel="1" collapsed="false">
      <c r="A10" s="3" t="s">
        <v>1621</v>
      </c>
      <c r="B10" s="11" t="s">
        <v>65</v>
      </c>
      <c r="C10" s="66" t="n">
        <f aca="false">各期收支!C93</f>
        <v>0</v>
      </c>
      <c r="D10" s="66" t="n">
        <f aca="false">各期收支!D93</f>
        <v>0</v>
      </c>
      <c r="E10" s="66" t="n">
        <f aca="false">各期收支!E93</f>
        <v>0</v>
      </c>
      <c r="F10" s="66" t="n">
        <f aca="false">各期收支!F93</f>
        <v>0</v>
      </c>
      <c r="G10" s="66" t="n">
        <f aca="false">各期收支!G93</f>
        <v>0</v>
      </c>
    </row>
    <row r="11" customFormat="false" ht="15" hidden="false" customHeight="false" outlineLevel="1" collapsed="false">
      <c r="A11" s="3" t="s">
        <v>1622</v>
      </c>
      <c r="B11" s="11" t="s">
        <v>65</v>
      </c>
      <c r="C11" s="66" t="n">
        <f aca="false">各期收支!C92</f>
        <v>0</v>
      </c>
      <c r="D11" s="66" t="n">
        <f aca="false">各期收支!D92</f>
        <v>0</v>
      </c>
      <c r="E11" s="66" t="n">
        <f aca="false">各期收支!E92</f>
        <v>0</v>
      </c>
      <c r="F11" s="66" t="n">
        <f aca="false">各期收支!F92</f>
        <v>0</v>
      </c>
      <c r="G11" s="66" t="n">
        <f aca="false">各期收支!G92</f>
        <v>0</v>
      </c>
    </row>
    <row r="12" customFormat="false" ht="15" hidden="false" customHeight="false" outlineLevel="1" collapsed="false">
      <c r="A12" s="3" t="s">
        <v>1623</v>
      </c>
      <c r="B12" s="11" t="s">
        <v>65</v>
      </c>
      <c r="C12" s="66" t="n">
        <f aca="false">-各期收支!C76</f>
        <v>-0</v>
      </c>
      <c r="D12" s="66" t="n">
        <f aca="false">-各期收支!D76</f>
        <v>-0</v>
      </c>
      <c r="E12" s="66" t="n">
        <f aca="false">-各期收支!E76</f>
        <v>-0</v>
      </c>
      <c r="F12" s="66" t="n">
        <f aca="false">-各期收支!F76</f>
        <v>-0</v>
      </c>
      <c r="G12" s="66" t="n">
        <f aca="false">-各期收支!G76</f>
        <v>-0</v>
      </c>
    </row>
    <row r="13" customFormat="false" ht="15" hidden="false" customHeight="false" outlineLevel="1" collapsed="false">
      <c r="A13" s="3" t="s">
        <v>1624</v>
      </c>
      <c r="B13" s="11" t="s">
        <v>65</v>
      </c>
      <c r="C13" s="66" t="n">
        <f aca="false">-各期收支!C94</f>
        <v>-0</v>
      </c>
      <c r="D13" s="66" t="n">
        <f aca="false">-各期收支!D94</f>
        <v>-3.35898016200088</v>
      </c>
      <c r="E13" s="66" t="n">
        <f aca="false">-各期收支!E94</f>
        <v>-5.81696851176835</v>
      </c>
      <c r="F13" s="66" t="n">
        <f aca="false">-各期收支!F94</f>
        <v>-6.18404266776558</v>
      </c>
      <c r="G13" s="66" t="n">
        <f aca="false">-各期收支!G94</f>
        <v>-10.3330277139463</v>
      </c>
    </row>
    <row r="14" customFormat="false" ht="15" hidden="false" customHeight="false" outlineLevel="1" collapsed="false">
      <c r="A14" s="2" t="s">
        <v>1625</v>
      </c>
      <c r="B14" s="11" t="s">
        <v>65</v>
      </c>
      <c r="C14" s="42" t="n">
        <f aca="false">SUM(C6:C13)</f>
        <v>64.6905772322645</v>
      </c>
      <c r="D14" s="42" t="n">
        <f aca="false">SUM(D6:D13)</f>
        <v>50.0000000000001</v>
      </c>
      <c r="E14" s="42" t="n">
        <f aca="false">SUM(E6:E13)</f>
        <v>50</v>
      </c>
      <c r="F14" s="42" t="n">
        <f aca="false">SUM(F6:F13)</f>
        <v>50</v>
      </c>
      <c r="G14" s="42" t="n">
        <f aca="false">SUM(G6:G13)</f>
        <v>50</v>
      </c>
      <c r="I14" s="6" t="s">
        <v>1626</v>
      </c>
    </row>
    <row r="15" customFormat="false" ht="15" hidden="false" customHeight="false" outlineLevel="1" collapsed="false">
      <c r="A15" s="3" t="s">
        <v>1627</v>
      </c>
      <c r="B15" s="11" t="s">
        <v>65</v>
      </c>
      <c r="C15" s="66" t="n">
        <f aca="false">C14-各期收支!C56</f>
        <v>0</v>
      </c>
      <c r="D15" s="66" t="n">
        <f aca="false">D14-各期收支!D56</f>
        <v>0</v>
      </c>
      <c r="E15" s="66" t="n">
        <f aca="false">E14-各期收支!E56</f>
        <v>0</v>
      </c>
      <c r="F15" s="66" t="n">
        <f aca="false">F14-各期收支!F56</f>
        <v>0</v>
      </c>
      <c r="G15" s="66" t="n">
        <f aca="false">G14-各期收支!G56</f>
        <v>0</v>
      </c>
      <c r="I15" s="6" t="s">
        <v>1628</v>
      </c>
    </row>
    <row r="16" customFormat="false" ht="15" hidden="false" customHeight="false" outlineLevel="0" collapsed="false">
      <c r="A16" s="52" t="s">
        <v>1629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1630</v>
      </c>
      <c r="B17" s="11" t="s">
        <v>65</v>
      </c>
      <c r="C17" s="66" t="n">
        <f aca="false">資產負債_既有債務!$E$17+SUMPRODUCT((1-資產負債_既有債務!$F$28:$F$28)*資產負債_既有債務!$C$28:$C$28)</f>
        <v>132.995</v>
      </c>
      <c r="D17" s="66" t="n">
        <f aca="false">C19</f>
        <v>132.995</v>
      </c>
      <c r="E17" s="66" t="n">
        <f aca="false">D19</f>
        <v>124.158</v>
      </c>
      <c r="F17" s="66" t="n">
        <f aca="false">E19</f>
        <v>111.864</v>
      </c>
      <c r="G17" s="66" t="n">
        <f aca="false">F19</f>
        <v>102.694</v>
      </c>
      <c r="I17" s="11" t="s">
        <v>1631</v>
      </c>
    </row>
    <row r="18" customFormat="false" ht="15" hidden="false" customHeight="false" outlineLevel="1" collapsed="false">
      <c r="A18" s="3" t="s">
        <v>1632</v>
      </c>
      <c r="B18" s="11" t="s">
        <v>65</v>
      </c>
      <c r="C18" s="66" t="n">
        <f aca="false">-IF(輸入與假設!$C$286=1,輸入與假設!C$315,0)-資產負債_既有債務!C39</f>
        <v>-0</v>
      </c>
      <c r="D18" s="66" t="n">
        <f aca="false">-IF(輸入與假設!$C$286=1,輸入與假設!D$315,0)-資產負債_既有債務!D39</f>
        <v>-8.837</v>
      </c>
      <c r="E18" s="66" t="n">
        <f aca="false">-IF(輸入與假設!$C$286=1,輸入與假設!E$315,0)-資產負債_既有債務!E39</f>
        <v>-12.294</v>
      </c>
      <c r="F18" s="66" t="n">
        <f aca="false">-IF(輸入與假設!$C$286=1,輸入與假設!F$315,0)-資產負債_既有債務!F39</f>
        <v>-9.17</v>
      </c>
      <c r="G18" s="66" t="n">
        <f aca="false">-IF(輸入與假設!$C$286=1,輸入與假設!G$315,0)-資產負債_既有債務!G39</f>
        <v>-7.085</v>
      </c>
    </row>
    <row r="19" customFormat="false" ht="15" hidden="false" customHeight="false" outlineLevel="1" collapsed="false">
      <c r="A19" s="3" t="s">
        <v>1633</v>
      </c>
      <c r="B19" s="11" t="s">
        <v>65</v>
      </c>
      <c r="C19" s="66" t="n">
        <f aca="false">各期收支!C82-0</f>
        <v>132.995</v>
      </c>
      <c r="D19" s="66" t="n">
        <f aca="false">各期收支!D82-0</f>
        <v>124.158</v>
      </c>
      <c r="E19" s="66" t="n">
        <f aca="false">各期收支!E82-0</f>
        <v>111.864</v>
      </c>
      <c r="F19" s="66" t="n">
        <f aca="false">各期收支!F82-0</f>
        <v>102.694</v>
      </c>
      <c r="G19" s="66" t="n">
        <f aca="false">各期收支!G82-0</f>
        <v>95.609</v>
      </c>
      <c r="I19" s="6" t="s">
        <v>1634</v>
      </c>
    </row>
    <row r="20" customFormat="false" ht="15" hidden="false" customHeight="false" outlineLevel="1" collapsed="false">
      <c r="A20" s="3" t="s">
        <v>1635</v>
      </c>
      <c r="B20" s="11" t="s">
        <v>65</v>
      </c>
      <c r="C20" s="66" t="n">
        <f aca="false">0</f>
        <v>0</v>
      </c>
      <c r="D20" s="66" t="n">
        <f aca="false">0</f>
        <v>0</v>
      </c>
      <c r="E20" s="66" t="n">
        <f aca="false">0</f>
        <v>0</v>
      </c>
      <c r="F20" s="66" t="n">
        <f aca="false">0</f>
        <v>0</v>
      </c>
      <c r="G20" s="66" t="n">
        <f aca="false">0</f>
        <v>0</v>
      </c>
    </row>
    <row r="21" customFormat="false" ht="15" hidden="false" customHeight="false" outlineLevel="1" collapsed="false">
      <c r="A21" s="3" t="s">
        <v>1636</v>
      </c>
      <c r="B21" s="11" t="s">
        <v>65</v>
      </c>
      <c r="C21" s="66" t="n">
        <f aca="false">各期收支!C98</f>
        <v>0</v>
      </c>
      <c r="D21" s="66" t="n">
        <f aca="false">各期收支!D98</f>
        <v>67.1796032400176</v>
      </c>
      <c r="E21" s="66" t="n">
        <f aca="false">各期收支!E98</f>
        <v>116.339370235367</v>
      </c>
      <c r="F21" s="66" t="n">
        <f aca="false">各期收支!F98</f>
        <v>123.680853355312</v>
      </c>
      <c r="G21" s="66" t="n">
        <f aca="false">各期收支!G98</f>
        <v>206.660554278926</v>
      </c>
    </row>
    <row r="22" customFormat="false" ht="15" hidden="false" customHeight="false" outlineLevel="1" collapsed="false">
      <c r="A22" s="3" t="s">
        <v>1637</v>
      </c>
      <c r="B22" s="11" t="s">
        <v>65</v>
      </c>
      <c r="C22" s="66" t="n">
        <f aca="false">各期收支!C101</f>
        <v>0</v>
      </c>
      <c r="D22" s="66" t="n">
        <f aca="false">各期收支!D101</f>
        <v>0</v>
      </c>
      <c r="E22" s="66" t="n">
        <f aca="false">各期收支!E101</f>
        <v>0</v>
      </c>
      <c r="F22" s="66" t="n">
        <f aca="false">各期收支!F101</f>
        <v>0</v>
      </c>
      <c r="G22" s="66" t="n">
        <f aca="false">各期收支!G101</f>
        <v>0</v>
      </c>
    </row>
    <row r="23" customFormat="false" ht="15" hidden="false" customHeight="false" outlineLevel="1" collapsed="false">
      <c r="A23" s="3" t="s">
        <v>1638</v>
      </c>
      <c r="B23" s="11" t="s">
        <v>65</v>
      </c>
      <c r="C23" s="66" t="n">
        <f aca="false">各期收支!C100</f>
        <v>0</v>
      </c>
      <c r="D23" s="66" t="n">
        <f aca="false">各期收支!D100</f>
        <v>0</v>
      </c>
      <c r="E23" s="66" t="n">
        <f aca="false">各期收支!E100</f>
        <v>0</v>
      </c>
      <c r="F23" s="66" t="n">
        <f aca="false">各期收支!F100</f>
        <v>0</v>
      </c>
      <c r="G23" s="66" t="n">
        <f aca="false">各期收支!G100</f>
        <v>0</v>
      </c>
    </row>
    <row r="24" customFormat="false" ht="15" hidden="false" customHeight="false" outlineLevel="1" collapsed="false">
      <c r="A24" s="2" t="s">
        <v>1639</v>
      </c>
      <c r="B24" s="11" t="s">
        <v>65</v>
      </c>
      <c r="C24" s="42" t="n">
        <f aca="false">SUM(C19:C23)</f>
        <v>132.995</v>
      </c>
      <c r="D24" s="42" t="n">
        <f aca="false">SUM(D19:D23)</f>
        <v>191.337603240018</v>
      </c>
      <c r="E24" s="42" t="n">
        <f aca="false">SUM(E19:E23)</f>
        <v>228.203370235367</v>
      </c>
      <c r="F24" s="42" t="n">
        <f aca="false">SUM(F19:F23)</f>
        <v>226.374853355312</v>
      </c>
      <c r="G24" s="42" t="n">
        <f aca="false">SUM(G19:G23)</f>
        <v>302.269554278926</v>
      </c>
      <c r="I24" s="6" t="s">
        <v>1640</v>
      </c>
    </row>
    <row r="25" customFormat="false" ht="15" hidden="false" customHeight="false" outlineLevel="1" collapsed="false">
      <c r="A25" s="2" t="s">
        <v>1641</v>
      </c>
      <c r="B25" s="11" t="s">
        <v>65</v>
      </c>
      <c r="C25" s="42" t="n">
        <f aca="false">C24-C14</f>
        <v>68.3044227677356</v>
      </c>
      <c r="D25" s="42" t="n">
        <f aca="false">D24-D14</f>
        <v>141.337603240018</v>
      </c>
      <c r="E25" s="42" t="n">
        <f aca="false">E24-E14</f>
        <v>178.203370235367</v>
      </c>
      <c r="F25" s="42" t="n">
        <f aca="false">F24-F14</f>
        <v>176.374853355312</v>
      </c>
      <c r="G25" s="42" t="n">
        <f aca="false">G24-G14</f>
        <v>252.269554278926</v>
      </c>
    </row>
    <row r="26" customFormat="false" ht="15" hidden="false" customHeight="false" outlineLevel="0" collapsed="false">
      <c r="A26" s="52" t="s">
        <v>1642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3" t="s">
        <v>1643</v>
      </c>
      <c r="B27" s="11" t="s">
        <v>632</v>
      </c>
      <c r="C27" s="35" t="n">
        <f aca="false">損益!C23</f>
        <v>11.030314</v>
      </c>
      <c r="D27" s="35" t="n">
        <f aca="false">損益!D23</f>
        <v>11.14061714</v>
      </c>
      <c r="E27" s="35" t="n">
        <f aca="false">損益!E23</f>
        <v>11.2520233114</v>
      </c>
      <c r="F27" s="35" t="n">
        <f aca="false">損益!F23</f>
        <v>11.364543544514</v>
      </c>
      <c r="G27" s="35" t="n">
        <f aca="false">損益!G23</f>
        <v>11.4781889799591</v>
      </c>
    </row>
    <row r="28" customFormat="false" ht="15" hidden="false" customHeight="false" outlineLevel="1" collapsed="false">
      <c r="A28" s="3" t="s">
        <v>1644</v>
      </c>
      <c r="B28" s="11" t="s">
        <v>632</v>
      </c>
      <c r="C28" s="35" t="n">
        <f aca="false">各期收支!C96</f>
        <v>0</v>
      </c>
      <c r="D28" s="35" t="n">
        <f aca="false">各期收支!D96</f>
        <v>0</v>
      </c>
      <c r="E28" s="35" t="n">
        <f aca="false">各期收支!E96</f>
        <v>0</v>
      </c>
      <c r="F28" s="35" t="n">
        <f aca="false">各期收支!F96</f>
        <v>0</v>
      </c>
      <c r="G28" s="35" t="n">
        <f aca="false">各期收支!G96</f>
        <v>0</v>
      </c>
    </row>
    <row r="29" customFormat="false" ht="15" hidden="false" customHeight="false" outlineLevel="1" collapsed="false">
      <c r="A29" s="2" t="s">
        <v>1645</v>
      </c>
      <c r="B29" s="11" t="s">
        <v>632</v>
      </c>
      <c r="C29" s="56" t="n">
        <f aca="false">損益!C24</f>
        <v>11.030314</v>
      </c>
      <c r="D29" s="56" t="n">
        <f aca="false">損益!D24</f>
        <v>11.14061714</v>
      </c>
      <c r="E29" s="56" t="n">
        <f aca="false">損益!E24</f>
        <v>11.2520233114</v>
      </c>
      <c r="F29" s="56" t="n">
        <f aca="false">損益!F24</f>
        <v>11.364543544514</v>
      </c>
      <c r="G29" s="56" t="n">
        <f aca="false">損益!G24</f>
        <v>11.4781889799591</v>
      </c>
      <c r="I29" s="6" t="s">
        <v>1646</v>
      </c>
    </row>
    <row r="30" customFormat="false" ht="15" hidden="false" customHeight="false" outlineLevel="0" collapsed="false">
      <c r="A30" s="52" t="s">
        <v>1647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3" t="s">
        <v>1152</v>
      </c>
      <c r="B31" s="11" t="s">
        <v>65</v>
      </c>
      <c r="C31" s="66" t="n">
        <f aca="false">各期收支!C81</f>
        <v>73.0747752647633</v>
      </c>
      <c r="D31" s="66" t="n">
        <f aca="false">各期收支!D81</f>
        <v>102.047405170737</v>
      </c>
      <c r="E31" s="66" t="n">
        <f aca="false">各期收支!E81</f>
        <v>122.638471007854</v>
      </c>
      <c r="F31" s="66" t="n">
        <f aca="false">各期收支!F81</f>
        <v>104.220418169276</v>
      </c>
      <c r="G31" s="66" t="n">
        <f aca="false">各期收支!G81</f>
        <v>46.2986535306509</v>
      </c>
    </row>
    <row r="32" customFormat="false" ht="15" hidden="false" customHeight="false" outlineLevel="1" collapsed="false">
      <c r="A32" s="3" t="s">
        <v>1648</v>
      </c>
      <c r="B32" s="11" t="s">
        <v>65</v>
      </c>
      <c r="C32" s="66" t="n">
        <f aca="false">各期收支!C83</f>
        <v>459.328511522869</v>
      </c>
      <c r="D32" s="66" t="n">
        <f aca="false">各期收支!D83</f>
        <v>548.607161939826</v>
      </c>
      <c r="E32" s="66" t="n">
        <f aca="false">各期收支!E83</f>
        <v>739.267176780474</v>
      </c>
      <c r="F32" s="66" t="n">
        <f aca="false">各期收支!F83</f>
        <v>918.873911662083</v>
      </c>
      <c r="G32" s="66" t="n">
        <f aca="false">各期收支!G83</f>
        <v>1084.18411415216</v>
      </c>
    </row>
    <row r="33" customFormat="false" ht="15" hidden="false" customHeight="false" outlineLevel="1" collapsed="false">
      <c r="A33" s="3" t="s">
        <v>1649</v>
      </c>
      <c r="B33" s="11" t="s">
        <v>111</v>
      </c>
      <c r="C33" s="79" t="n">
        <f aca="false">C24/MAX(0.01,C31)</f>
        <v>1.81998507033562</v>
      </c>
      <c r="D33" s="79" t="n">
        <f aca="false">D24/MAX(0.01,D31)</f>
        <v>1.87498744255073</v>
      </c>
      <c r="E33" s="79" t="n">
        <f aca="false">E24/MAX(0.01,E31)</f>
        <v>1.86078127328213</v>
      </c>
      <c r="F33" s="79" t="n">
        <f aca="false">F24/MAX(0.01,F31)</f>
        <v>2.17207776874999</v>
      </c>
      <c r="G33" s="79" t="n">
        <f aca="false">G24/MAX(0.01,G31)</f>
        <v>6.5286899559361</v>
      </c>
      <c r="I33" s="6" t="s">
        <v>1650</v>
      </c>
    </row>
    <row r="34" customFormat="false" ht="15" hidden="false" customHeight="false" outlineLevel="1" collapsed="false">
      <c r="A34" s="3" t="s">
        <v>1651</v>
      </c>
      <c r="B34" s="11" t="s">
        <v>111</v>
      </c>
      <c r="C34" s="47" t="n">
        <f aca="false">C24/MAX(0.01,損益!C22/輸入與假設!C$34)</f>
        <v>0.655807993136153</v>
      </c>
      <c r="D34" s="47" t="n">
        <f aca="false">D24/MAX(0.01,損益!D22/輸入與假設!D$34)</f>
        <v>0.786616729230639</v>
      </c>
      <c r="E34" s="47" t="n">
        <f aca="false">E24/MAX(0.01,損益!E22/輸入與假設!E$34)</f>
        <v>0.759858178317722</v>
      </c>
      <c r="F34" s="47" t="n">
        <f aca="false">F24/MAX(0.01,損益!F22/輸入與假設!F$34)</f>
        <v>0.6382409312662</v>
      </c>
      <c r="G34" s="47" t="n">
        <f aca="false">G24/MAX(0.01,損益!G22/輸入與假設!G$34)</f>
        <v>0.747489809129511</v>
      </c>
      <c r="I34" s="11" t="s">
        <v>1652</v>
      </c>
    </row>
    <row r="35" customFormat="false" ht="15" hidden="false" customHeight="false" outlineLevel="1" collapsed="false">
      <c r="A35" s="3" t="s">
        <v>1653</v>
      </c>
      <c r="B35" s="11" t="s">
        <v>65</v>
      </c>
      <c r="C35" s="66" t="n">
        <f aca="false">各期收支!C63</f>
        <v>159.699399507325</v>
      </c>
      <c r="D35" s="66" t="n">
        <f aca="false">各期收支!D63</f>
        <v>193.489958102722</v>
      </c>
      <c r="E35" s="66" t="n">
        <f aca="false">各期收支!E63</f>
        <v>174.776725008857</v>
      </c>
      <c r="F35" s="66" t="n">
        <f aca="false">各期收支!F63</f>
        <v>157.082817780835</v>
      </c>
      <c r="G35" s="66" t="n">
        <f aca="false">各期收支!G63</f>
        <v>140.257378503959</v>
      </c>
      <c r="I35" s="6" t="s">
        <v>1654</v>
      </c>
    </row>
    <row r="36" customFormat="false" ht="15" hidden="false" customHeight="false" outlineLevel="1" collapsed="false">
      <c r="A36" s="4" t="s">
        <v>1655</v>
      </c>
      <c r="B36" s="11" t="s">
        <v>65</v>
      </c>
      <c r="C36" s="66" t="n">
        <f aca="false">(損益!C22+各期收支!C16)/輸入與假設!C$34</f>
        <v>206.342637010065</v>
      </c>
      <c r="D36" s="66" t="n">
        <f aca="false">(損益!D22+各期收支!D16)/輸入與假設!D$34</f>
        <v>247.365706680849</v>
      </c>
      <c r="E36" s="66" t="n">
        <f aca="false">(損益!E22+各期收支!E16)/輸入與假設!E$34</f>
        <v>304.681300596444</v>
      </c>
      <c r="F36" s="66" t="n">
        <f aca="false">(損益!F22+各期收支!F16)/輸入與假設!F$34</f>
        <v>358.652243147639</v>
      </c>
      <c r="G36" s="66" t="n">
        <f aca="false">(損益!G22+各期收支!G16)/輸入與假設!G$34</f>
        <v>408.147164218706</v>
      </c>
    </row>
    <row r="37" customFormat="false" ht="15" hidden="false" customHeight="false" outlineLevel="1" collapsed="false">
      <c r="A37" s="2" t="s">
        <v>1656</v>
      </c>
      <c r="B37" s="11" t="s">
        <v>111</v>
      </c>
      <c r="C37" s="80" t="n">
        <f aca="false">(C24+C35)/MAX(0.01,C36)</f>
        <v>1.4184872489201</v>
      </c>
      <c r="D37" s="80" t="n">
        <f aca="false">(D24+D35)/MAX(0.01,D36)</f>
        <v>1.55570295699574</v>
      </c>
      <c r="E37" s="80" t="n">
        <f aca="false">(E24+E35)/MAX(0.01,E36)</f>
        <v>1.32262824943753</v>
      </c>
      <c r="F37" s="80" t="n">
        <f aca="false">(F24+F35)/MAX(0.01,F36)</f>
        <v>1.06916289654515</v>
      </c>
      <c r="G37" s="80" t="n">
        <f aca="false">(G24+G35)/MAX(0.01,G36)</f>
        <v>1.08423375580715</v>
      </c>
      <c r="I37" s="11" t="s">
        <v>1657</v>
      </c>
    </row>
    <row r="38" customFormat="false" ht="15" hidden="false" customHeight="false" outlineLevel="1" collapsed="false">
      <c r="A38" s="3" t="s">
        <v>1658</v>
      </c>
      <c r="B38" s="11" t="s">
        <v>111</v>
      </c>
      <c r="C38" s="79" t="n">
        <f aca="false">輸入與假設!$C$289-C37</f>
        <v>1.5815127510799</v>
      </c>
      <c r="D38" s="79" t="n">
        <f aca="false">輸入與假設!$C$289-D37</f>
        <v>1.44429704300426</v>
      </c>
      <c r="E38" s="79" t="n">
        <f aca="false">輸入與假設!$C$289-E37</f>
        <v>1.67737175056247</v>
      </c>
      <c r="F38" s="79" t="n">
        <f aca="false">輸入與假設!$C$289-F37</f>
        <v>1.93083710345485</v>
      </c>
      <c r="G38" s="79" t="n">
        <f aca="false">輸入與假設!$C$289-G37</f>
        <v>1.91576624419285</v>
      </c>
      <c r="I38" s="6" t="s">
        <v>1659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5" t="s">
        <v>1660</v>
      </c>
    </row>
    <row r="2" customFormat="false" ht="15" hidden="false" customHeight="false" outlineLevel="0" collapsed="false">
      <c r="A2" s="6" t="s">
        <v>1661</v>
      </c>
    </row>
    <row r="4" customFormat="false" ht="15" hidden="false" customHeight="false" outlineLevel="0" collapsed="false">
      <c r="A4" s="2" t="s">
        <v>1662</v>
      </c>
    </row>
    <row r="5" customFormat="false" ht="17.15" hidden="false" customHeight="false" outlineLevel="0" collapsed="false">
      <c r="A5" s="14" t="s">
        <v>59</v>
      </c>
      <c r="B5" s="14" t="s">
        <v>60</v>
      </c>
      <c r="C5" s="15" t="s">
        <v>1663</v>
      </c>
      <c r="D5" s="15" t="s">
        <v>62</v>
      </c>
      <c r="E5" s="15" t="s">
        <v>63</v>
      </c>
      <c r="F5" s="15" t="s">
        <v>153</v>
      </c>
      <c r="G5" s="15" t="s">
        <v>154</v>
      </c>
      <c r="H5" s="14" t="s">
        <v>1664</v>
      </c>
    </row>
    <row r="6" customFormat="false" ht="15" hidden="false" customHeight="false" outlineLevel="0" collapsed="false">
      <c r="A6" s="3" t="s">
        <v>1665</v>
      </c>
      <c r="B6" s="11" t="s">
        <v>65</v>
      </c>
      <c r="C6" s="24" t="n">
        <v>9.336</v>
      </c>
      <c r="D6" s="24" t="n">
        <v>14.765</v>
      </c>
      <c r="E6" s="24" t="n">
        <v>13.924</v>
      </c>
      <c r="F6" s="24" t="n">
        <v>12.599</v>
      </c>
      <c r="G6" s="24" t="n">
        <v>11.269</v>
      </c>
      <c r="H6" s="24" t="n">
        <v>54.457</v>
      </c>
    </row>
    <row r="7" customFormat="false" ht="15" hidden="false" customHeight="false" outlineLevel="0" collapsed="false">
      <c r="A7" s="3" t="s">
        <v>1666</v>
      </c>
      <c r="B7" s="11" t="s">
        <v>65</v>
      </c>
      <c r="C7" s="24" t="n">
        <v>1.44</v>
      </c>
      <c r="D7" s="24" t="n">
        <v>2.457</v>
      </c>
      <c r="E7" s="24" t="n">
        <v>2.579</v>
      </c>
      <c r="F7" s="24" t="n">
        <v>2.188</v>
      </c>
      <c r="G7" s="24" t="n">
        <v>1.989</v>
      </c>
      <c r="H7" s="24" t="n">
        <v>17.077</v>
      </c>
    </row>
    <row r="8" customFormat="false" ht="15" hidden="false" customHeight="false" outlineLevel="0" collapsed="false">
      <c r="A8" s="2" t="s">
        <v>1667</v>
      </c>
      <c r="C8" s="58" t="n">
        <f aca="false">SUM(C6:C7)</f>
        <v>10.776</v>
      </c>
      <c r="D8" s="58" t="n">
        <f aca="false">SUM(D6:D7)</f>
        <v>17.222</v>
      </c>
      <c r="E8" s="58" t="n">
        <f aca="false">SUM(E6:E7)</f>
        <v>16.503</v>
      </c>
      <c r="F8" s="58" t="n">
        <f aca="false">SUM(F6:F7)</f>
        <v>14.787</v>
      </c>
      <c r="G8" s="58" t="n">
        <f aca="false">SUM(G6:G7)</f>
        <v>13.258</v>
      </c>
      <c r="H8" s="58" t="n">
        <f aca="false">SUM(H6:H7)</f>
        <v>71.534</v>
      </c>
      <c r="I8" s="6" t="s">
        <v>1668</v>
      </c>
    </row>
    <row r="10" customFormat="false" ht="15" hidden="false" customHeight="false" outlineLevel="0" collapsed="false">
      <c r="A10" s="2" t="s">
        <v>1669</v>
      </c>
    </row>
    <row r="11" customFormat="false" ht="17.15" hidden="false" customHeight="false" outlineLevel="0" collapsed="false">
      <c r="A11" s="14" t="s">
        <v>59</v>
      </c>
      <c r="B11" s="14" t="s">
        <v>60</v>
      </c>
      <c r="C11" s="15" t="s">
        <v>1663</v>
      </c>
      <c r="D11" s="15" t="s">
        <v>62</v>
      </c>
      <c r="E11" s="15" t="s">
        <v>63</v>
      </c>
      <c r="F11" s="15" t="s">
        <v>153</v>
      </c>
      <c r="G11" s="15" t="s">
        <v>154</v>
      </c>
      <c r="H11" s="14" t="s">
        <v>1664</v>
      </c>
    </row>
    <row r="12" customFormat="false" ht="15" hidden="false" customHeight="false" outlineLevel="0" collapsed="false">
      <c r="A12" s="3" t="s">
        <v>1670</v>
      </c>
      <c r="B12" s="11" t="s">
        <v>65</v>
      </c>
      <c r="C12" s="24" t="n">
        <v>0</v>
      </c>
      <c r="D12" s="24" t="n">
        <v>8.837</v>
      </c>
      <c r="E12" s="24" t="n">
        <v>12.294</v>
      </c>
      <c r="F12" s="24" t="n">
        <v>9.17</v>
      </c>
      <c r="G12" s="24" t="n">
        <v>7.085</v>
      </c>
      <c r="H12" s="24" t="n">
        <v>95.609</v>
      </c>
      <c r="I12" s="6" t="s">
        <v>1671</v>
      </c>
    </row>
    <row r="13" customFormat="false" ht="15" hidden="false" customHeight="false" outlineLevel="0" collapsed="false">
      <c r="A13" s="2" t="s">
        <v>1590</v>
      </c>
      <c r="C13" s="58" t="n">
        <f aca="false">SUM(C12:H12)</f>
        <v>132.995</v>
      </c>
    </row>
    <row r="15" customFormat="false" ht="15" hidden="false" customHeight="false" outlineLevel="0" collapsed="false">
      <c r="A15" s="2" t="s">
        <v>1672</v>
      </c>
    </row>
    <row r="16" customFormat="false" ht="15" hidden="false" customHeight="false" outlineLevel="0" collapsed="false">
      <c r="A16" s="14" t="s">
        <v>59</v>
      </c>
      <c r="B16" s="14" t="s">
        <v>60</v>
      </c>
      <c r="C16" s="14" t="s">
        <v>1673</v>
      </c>
      <c r="D16" s="14" t="s">
        <v>1480</v>
      </c>
      <c r="E16" s="14" t="s">
        <v>1674</v>
      </c>
      <c r="F16" s="14" t="s">
        <v>1675</v>
      </c>
    </row>
    <row r="17" customFormat="false" ht="15" hidden="false" customHeight="false" outlineLevel="0" collapsed="false">
      <c r="A17" s="3" t="s">
        <v>1676</v>
      </c>
      <c r="B17" s="11" t="s">
        <v>65</v>
      </c>
      <c r="C17" s="81" t="n">
        <v>137.214</v>
      </c>
      <c r="D17" s="6" t="s">
        <v>1677</v>
      </c>
      <c r="E17" s="6" t="s">
        <v>1678</v>
      </c>
      <c r="F17" s="6" t="s">
        <v>1679</v>
      </c>
    </row>
    <row r="18" customFormat="false" ht="15" hidden="false" customHeight="false" outlineLevel="0" collapsed="false">
      <c r="A18" s="3" t="s">
        <v>1680</v>
      </c>
      <c r="B18" s="11" t="s">
        <v>65</v>
      </c>
      <c r="C18" s="81" t="n">
        <v>0</v>
      </c>
      <c r="D18" s="6" t="s">
        <v>1681</v>
      </c>
      <c r="E18" s="6" t="s">
        <v>1678</v>
      </c>
      <c r="F18" s="6" t="s">
        <v>1679</v>
      </c>
    </row>
    <row r="19" customFormat="false" ht="15" hidden="false" customHeight="false" outlineLevel="0" collapsed="false">
      <c r="A19" s="3" t="s">
        <v>612</v>
      </c>
      <c r="B19" s="11" t="s">
        <v>65</v>
      </c>
      <c r="C19" s="81" t="n">
        <v>20</v>
      </c>
      <c r="D19" s="11" t="s">
        <v>1682</v>
      </c>
      <c r="E19" s="6" t="s">
        <v>1683</v>
      </c>
      <c r="F19" s="6" t="s">
        <v>1684</v>
      </c>
    </row>
    <row r="20" customFormat="false" ht="15" hidden="false" customHeight="false" outlineLevel="0" collapsed="false">
      <c r="A20" s="2" t="s">
        <v>1685</v>
      </c>
      <c r="C20" s="58" t="n">
        <f aca="false">C17+C18</f>
        <v>137.214</v>
      </c>
    </row>
    <row r="21" customFormat="false" ht="15" hidden="false" customHeight="false" outlineLevel="0" collapsed="false">
      <c r="A21" s="3" t="s">
        <v>1686</v>
      </c>
      <c r="C21" s="82" t="n">
        <f aca="false">SUM(各期收支!C15:G15)</f>
        <v>38.373406779661</v>
      </c>
    </row>
    <row r="22" customFormat="false" ht="15" hidden="false" customHeight="false" outlineLevel="0" collapsed="false">
      <c r="A22" s="3" t="s">
        <v>1687</v>
      </c>
      <c r="C22" s="57" t="n">
        <f aca="false">MAX(0,輸入與假設!$C$19-C21)</f>
        <v>98.840593220339</v>
      </c>
    </row>
    <row r="23" customFormat="false" ht="15" hidden="false" customHeight="false" outlineLevel="0" collapsed="false">
      <c r="A23" s="2" t="s">
        <v>1688</v>
      </c>
      <c r="C23" s="83" t="n">
        <f aca="false">(C21+C22)/C20</f>
        <v>1</v>
      </c>
      <c r="I23" s="6" t="s">
        <v>1689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1690</v>
      </c>
    </row>
    <row r="2" customFormat="false" ht="15" hidden="false" customHeight="false" outlineLevel="0" collapsed="false">
      <c r="A2" s="6" t="s">
        <v>1691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1028</v>
      </c>
    </row>
    <row r="5" customFormat="false" ht="15" hidden="false" customHeight="false" outlineLevel="0" collapsed="false">
      <c r="A5" s="52" t="s">
        <v>1692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1693</v>
      </c>
      <c r="B6" s="11" t="s">
        <v>65</v>
      </c>
      <c r="C6" s="39" t="n">
        <f aca="false">運營_產能與收入!C26</f>
        <v>14.6149550529527</v>
      </c>
      <c r="D6" s="39" t="n">
        <f aca="false">運營_產能與收入!D26</f>
        <v>58.3311801118447</v>
      </c>
      <c r="E6" s="39" t="n">
        <f aca="false">運營_產能與收入!E26</f>
        <v>97.7923030863256</v>
      </c>
      <c r="F6" s="39" t="n">
        <f aca="false">運營_產能與收入!F26</f>
        <v>137.479428210199</v>
      </c>
      <c r="G6" s="39" t="n">
        <f aca="false">運營_產能與收入!G26</f>
        <v>177.258259995987</v>
      </c>
      <c r="I6" s="6" t="s">
        <v>1694</v>
      </c>
    </row>
    <row r="7" customFormat="false" ht="15" hidden="false" customHeight="false" outlineLevel="1" collapsed="false">
      <c r="A7" s="3" t="s">
        <v>1695</v>
      </c>
      <c r="B7" s="11" t="s">
        <v>65</v>
      </c>
      <c r="C7" s="39" t="n">
        <f aca="false">輸入與假設!C$43</f>
        <v>0</v>
      </c>
      <c r="D7" s="39" t="n">
        <f aca="false">輸入與假設!D$43</f>
        <v>0</v>
      </c>
      <c r="E7" s="39" t="n">
        <f aca="false">輸入與假設!E$43</f>
        <v>0</v>
      </c>
      <c r="F7" s="39" t="n">
        <f aca="false">輸入與假設!F$43</f>
        <v>0</v>
      </c>
      <c r="G7" s="39" t="n">
        <f aca="false">輸入與假設!G$43</f>
        <v>0</v>
      </c>
    </row>
    <row r="8" customFormat="false" ht="15" hidden="false" customHeight="false" outlineLevel="1" collapsed="false">
      <c r="A8" s="3" t="s">
        <v>1696</v>
      </c>
      <c r="B8" s="11" t="s">
        <v>65</v>
      </c>
      <c r="C8" s="39" t="n">
        <f aca="false">輸入與假設!C$194</f>
        <v>437.479133578347</v>
      </c>
      <c r="D8" s="39" t="n">
        <f aca="false">輸入與假設!D$194</f>
        <v>915.212718098831</v>
      </c>
      <c r="E8" s="39" t="n">
        <f aca="false">輸入與假設!E$194</f>
        <v>1015.68031123665</v>
      </c>
      <c r="F8" s="39" t="n">
        <f aca="false">輸入與假設!F$194</f>
        <v>1107.37567803405</v>
      </c>
      <c r="G8" s="39" t="n">
        <f aca="false">輸入與假設!G$194</f>
        <v>1185.1188876171</v>
      </c>
      <c r="I8" s="6" t="s">
        <v>1697</v>
      </c>
    </row>
    <row r="9" customFormat="false" ht="15" hidden="false" customHeight="false" outlineLevel="1" collapsed="false">
      <c r="A9" s="2" t="s">
        <v>1698</v>
      </c>
      <c r="B9" s="11" t="s">
        <v>65</v>
      </c>
      <c r="C9" s="42" t="n">
        <f aca="false">C6+C7+C8</f>
        <v>452.0940886313</v>
      </c>
      <c r="D9" s="42" t="n">
        <f aca="false">D6+D7+D8</f>
        <v>973.543898210676</v>
      </c>
      <c r="E9" s="42" t="n">
        <f aca="false">E6+E7+E8</f>
        <v>1113.47261432298</v>
      </c>
      <c r="F9" s="42" t="n">
        <f aca="false">F6+F7+F8</f>
        <v>1244.85510624425</v>
      </c>
      <c r="G9" s="42" t="n">
        <f aca="false">G6+G7+G8</f>
        <v>1362.37714761308</v>
      </c>
    </row>
    <row r="10" customFormat="false" ht="15" hidden="false" customHeight="false" outlineLevel="1" collapsed="false">
      <c r="A10" s="4" t="s">
        <v>473</v>
      </c>
      <c r="B10" s="11" t="s">
        <v>42</v>
      </c>
      <c r="C10" s="53" t="n">
        <f aca="false">輸入與假設!C$204</f>
        <v>0.80253284070101</v>
      </c>
      <c r="D10" s="53" t="n">
        <f aca="false">輸入與假設!D$204</f>
        <v>0.807211009474101</v>
      </c>
      <c r="E10" s="53" t="n">
        <f aca="false">輸入與假設!E$204</f>
        <v>0.809785310117605</v>
      </c>
      <c r="F10" s="53" t="n">
        <f aca="false">輸入與假設!F$204</f>
        <v>0.811048080500552</v>
      </c>
      <c r="G10" s="53" t="n">
        <f aca="false">輸入與假設!G$204</f>
        <v>0.811798117804559</v>
      </c>
    </row>
    <row r="11" customFormat="false" ht="15" hidden="false" customHeight="false" outlineLevel="1" collapsed="false">
      <c r="A11" s="3" t="s">
        <v>1699</v>
      </c>
      <c r="B11" s="11" t="s">
        <v>65</v>
      </c>
      <c r="C11" s="39" t="n">
        <f aca="false">運營_產能與收入!C62</f>
        <v>0</v>
      </c>
      <c r="D11" s="39" t="n">
        <f aca="false">運營_產能與收入!D62</f>
        <v>0</v>
      </c>
      <c r="E11" s="39" t="n">
        <f aca="false">運營_產能與收入!E62</f>
        <v>0</v>
      </c>
      <c r="F11" s="39" t="n">
        <f aca="false">運營_產能與收入!F62</f>
        <v>0</v>
      </c>
      <c r="G11" s="39" t="n">
        <f aca="false">運營_產能與收入!G62</f>
        <v>0</v>
      </c>
      <c r="I11" s="6" t="s">
        <v>1087</v>
      </c>
    </row>
    <row r="12" customFormat="false" ht="15" hidden="false" customHeight="false" outlineLevel="1" collapsed="false">
      <c r="A12" s="3" t="s">
        <v>1700</v>
      </c>
      <c r="B12" s="11" t="s">
        <v>65</v>
      </c>
      <c r="C12" s="66" t="n">
        <f aca="false">(C6+C7)*輸入與假設!C$204+輸入與假設!C$46+輸入與假設!C$195-輸入與假設!C$196-C11-輸入與假設!C$278</f>
        <v>59.8854858276087</v>
      </c>
      <c r="D12" s="66" t="n">
        <f aca="false">(D6+D7)*輸入與假設!D$204+輸入與假設!D$46+輸入與假設!D$195-輸入與假設!D$196-D11-輸入與假設!D$278</f>
        <v>131.994504513507</v>
      </c>
      <c r="E12" s="66" t="n">
        <f aca="false">(E6+E7)*輸入與假設!E$204+輸入與假設!E$46+輸入與假設!E$195-輸入與假設!E$196-E11-輸入與假設!E$278</f>
        <v>148.939641958397</v>
      </c>
      <c r="F12" s="66" t="n">
        <f aca="false">(F6+F7)*輸入與假設!F$204+輸入與假設!F$46+輸入與假設!F$195-輸入與假設!F$196-F11-輸入與假設!F$278</f>
        <v>162.128187290099</v>
      </c>
      <c r="G12" s="66" t="n">
        <f aca="false">(G6+G7)*輸入與假設!G$204+輸入與假設!G$46+輸入與假設!G$195-輸入與假設!G$196-G11-輸入與假設!G$278</f>
        <v>170.46427721737</v>
      </c>
      <c r="I12" s="6" t="s">
        <v>1701</v>
      </c>
    </row>
    <row r="13" customFormat="false" ht="15" hidden="false" customHeight="false" outlineLevel="1" collapsed="false">
      <c r="A13" s="3" t="s">
        <v>1702</v>
      </c>
      <c r="B13" s="11" t="s">
        <v>65</v>
      </c>
      <c r="C13" s="39" t="n">
        <f aca="false">各期收支!C21</f>
        <v>2.701165075</v>
      </c>
      <c r="D13" s="39" t="n">
        <f aca="false">各期收支!D21</f>
        <v>8.58182840841221</v>
      </c>
      <c r="E13" s="39" t="n">
        <f aca="false">各期收支!E21</f>
        <v>10.6106403289919</v>
      </c>
      <c r="F13" s="39" t="n">
        <f aca="false">各期收支!F21</f>
        <v>10.5417747340978</v>
      </c>
      <c r="G13" s="39" t="n">
        <f aca="false">各期收支!G21</f>
        <v>14.3606162538743</v>
      </c>
    </row>
    <row r="14" customFormat="false" ht="15" hidden="false" customHeight="false" outlineLevel="1" collapsed="false">
      <c r="A14" s="3" t="s">
        <v>1703</v>
      </c>
      <c r="B14" s="11" t="s">
        <v>65</v>
      </c>
      <c r="C14" s="39" t="n">
        <f aca="false">各期收支!C10</f>
        <v>0</v>
      </c>
      <c r="D14" s="39" t="n">
        <f aca="false">各期收支!D10</f>
        <v>0</v>
      </c>
      <c r="E14" s="39" t="n">
        <f aca="false">各期收支!E10</f>
        <v>0</v>
      </c>
      <c r="F14" s="39" t="n">
        <f aca="false">各期收支!F10</f>
        <v>0</v>
      </c>
      <c r="G14" s="39" t="n">
        <f aca="false">各期收支!G10</f>
        <v>0</v>
      </c>
      <c r="I14" s="6" t="s">
        <v>1704</v>
      </c>
    </row>
    <row r="15" customFormat="false" ht="15" hidden="false" customHeight="false" outlineLevel="1" collapsed="false">
      <c r="A15" s="3" t="s">
        <v>1705</v>
      </c>
      <c r="B15" s="11" t="s">
        <v>65</v>
      </c>
      <c r="C15" s="66" t="n">
        <f aca="false">C12-C13-C14</f>
        <v>57.1843207526087</v>
      </c>
      <c r="D15" s="66" t="n">
        <f aca="false">D12-D13-D14</f>
        <v>123.412676105094</v>
      </c>
      <c r="E15" s="66" t="n">
        <f aca="false">E12-E13-E14</f>
        <v>138.329001629405</v>
      </c>
      <c r="F15" s="66" t="n">
        <f aca="false">F12-F13-F14</f>
        <v>151.586412556001</v>
      </c>
      <c r="G15" s="66" t="n">
        <f aca="false">G12-G13-G14</f>
        <v>156.103660963496</v>
      </c>
    </row>
    <row r="16" customFormat="false" ht="15" hidden="false" customHeight="false" outlineLevel="1" collapsed="false">
      <c r="A16" s="4" t="s">
        <v>1706</v>
      </c>
      <c r="B16" s="11" t="s">
        <v>65</v>
      </c>
      <c r="C16" s="66" t="n">
        <f aca="false">輸入與假設!$C$345</f>
        <v>0</v>
      </c>
      <c r="D16" s="66" t="n">
        <f aca="false">C18</f>
        <v>0</v>
      </c>
      <c r="E16" s="66" t="n">
        <f aca="false">D18</f>
        <v>0</v>
      </c>
      <c r="F16" s="66" t="n">
        <f aca="false">E18</f>
        <v>0</v>
      </c>
      <c r="G16" s="66" t="n">
        <f aca="false">F18</f>
        <v>0</v>
      </c>
      <c r="I16" s="11" t="s">
        <v>1707</v>
      </c>
    </row>
    <row r="17" customFormat="false" ht="15" hidden="false" customHeight="false" outlineLevel="1" collapsed="false">
      <c r="A17" s="3" t="s">
        <v>1708</v>
      </c>
      <c r="B17" s="11" t="s">
        <v>65</v>
      </c>
      <c r="C17" s="66" t="n">
        <f aca="false">MIN(C16,MAX(0,C15)*輸入與假設!$C$346)</f>
        <v>0</v>
      </c>
      <c r="D17" s="66" t="n">
        <f aca="false">MIN(D16,MAX(0,D15)*輸入與假設!$C$346)</f>
        <v>0</v>
      </c>
      <c r="E17" s="66" t="n">
        <f aca="false">MIN(E16,MAX(0,E15)*輸入與假設!$C$346)</f>
        <v>0</v>
      </c>
      <c r="F17" s="66" t="n">
        <f aca="false">MIN(F16,MAX(0,F15)*輸入與假設!$C$346)</f>
        <v>0</v>
      </c>
      <c r="G17" s="66" t="n">
        <f aca="false">MIN(G16,MAX(0,G15)*輸入與假設!$C$346)</f>
        <v>0</v>
      </c>
      <c r="I17" s="6" t="s">
        <v>1709</v>
      </c>
    </row>
    <row r="18" customFormat="false" ht="15" hidden="false" customHeight="false" outlineLevel="1" collapsed="false">
      <c r="A18" s="4" t="s">
        <v>1710</v>
      </c>
      <c r="B18" s="11" t="s">
        <v>65</v>
      </c>
      <c r="C18" s="66" t="n">
        <f aca="false">C16-C17+MAX(0,-C15)</f>
        <v>0</v>
      </c>
      <c r="D18" s="66" t="n">
        <f aca="false">D16-D17+MAX(0,-D15)</f>
        <v>0</v>
      </c>
      <c r="E18" s="66" t="n">
        <f aca="false">E16-E17+MAX(0,-E15)</f>
        <v>0</v>
      </c>
      <c r="F18" s="66" t="n">
        <f aca="false">F16-F17+MAX(0,-F15)</f>
        <v>0</v>
      </c>
      <c r="G18" s="66" t="n">
        <f aca="false">G16-G17+MAX(0,-G15)</f>
        <v>0</v>
      </c>
    </row>
    <row r="19" customFormat="false" ht="15" hidden="false" customHeight="false" outlineLevel="1" collapsed="false">
      <c r="A19" s="3" t="s">
        <v>1711</v>
      </c>
      <c r="B19" s="11" t="s">
        <v>65</v>
      </c>
      <c r="C19" s="66" t="n">
        <f aca="false">MAX(0,C15-C17)*輸入與假設!$C$332</f>
        <v>9.92719808265287</v>
      </c>
      <c r="D19" s="66" t="n">
        <f aca="false">MAX(0,D15-D17)*輸入與假設!$C$332</f>
        <v>21.4244405718444</v>
      </c>
      <c r="E19" s="66" t="n">
        <f aca="false">MAX(0,E15-E17)*輸入與假設!$C$332</f>
        <v>24.0139146828648</v>
      </c>
      <c r="F19" s="66" t="n">
        <f aca="false">MAX(0,F15-F17)*輸入與假設!$C$332</f>
        <v>26.3154012197218</v>
      </c>
      <c r="G19" s="66" t="n">
        <f aca="false">MAX(0,G15-G17)*輸入與假設!$C$332</f>
        <v>27.0995955432629</v>
      </c>
      <c r="I19" s="6" t="s">
        <v>1712</v>
      </c>
    </row>
    <row r="20" customFormat="false" ht="15" hidden="false" customHeight="false" outlineLevel="1" collapsed="false">
      <c r="A20" s="2" t="s">
        <v>1713</v>
      </c>
      <c r="B20" s="11" t="s">
        <v>65</v>
      </c>
      <c r="C20" s="42" t="n">
        <f aca="false">C15-C19</f>
        <v>47.2571226699558</v>
      </c>
      <c r="D20" s="42" t="n">
        <f aca="false">D15-D19</f>
        <v>101.98823553325</v>
      </c>
      <c r="E20" s="42" t="n">
        <f aca="false">E15-E19</f>
        <v>114.315086946541</v>
      </c>
      <c r="F20" s="42" t="n">
        <f aca="false">F15-F19</f>
        <v>125.271011336279</v>
      </c>
      <c r="G20" s="42" t="n">
        <f aca="false">G15-G19</f>
        <v>129.004065420233</v>
      </c>
    </row>
    <row r="21" customFormat="false" ht="15" hidden="false" customHeight="false" outlineLevel="1" collapsed="false">
      <c r="A21" s="4" t="s">
        <v>888</v>
      </c>
      <c r="B21" s="11" t="s">
        <v>65</v>
      </c>
      <c r="C21" s="39" t="n">
        <f aca="false">輸入與假設!C$278+輸入與假設!C$196</f>
        <v>41.5123328875932</v>
      </c>
      <c r="D21" s="39" t="n">
        <f aca="false">輸入與假設!D$278+輸入與假設!D$196</f>
        <v>111.24670321819</v>
      </c>
      <c r="E21" s="39" t="n">
        <f aca="false">輸入與假設!E$278+輸入與假設!E$196</f>
        <v>151.383993092284</v>
      </c>
      <c r="F21" s="39" t="n">
        <f aca="false">輸入與假設!F$278+輸入與假設!F$196</f>
        <v>192.557390311778</v>
      </c>
      <c r="G21" s="39" t="n">
        <f aca="false">輸入與假設!G$278+輸入與假設!G$196</f>
        <v>233.915221455574</v>
      </c>
      <c r="I21" s="6" t="s">
        <v>1714</v>
      </c>
    </row>
    <row r="22" customFormat="false" ht="15" hidden="false" customHeight="false" outlineLevel="1" collapsed="false">
      <c r="A22" s="84" t="s">
        <v>1715</v>
      </c>
      <c r="B22" s="11" t="s">
        <v>65</v>
      </c>
      <c r="C22" s="42" t="n">
        <f aca="false">C12+C21</f>
        <v>101.397818715202</v>
      </c>
      <c r="D22" s="42" t="n">
        <f aca="false">D12+D21</f>
        <v>243.241207731697</v>
      </c>
      <c r="E22" s="42" t="n">
        <f aca="false">E12+E21</f>
        <v>300.323635050681</v>
      </c>
      <c r="F22" s="42" t="n">
        <f aca="false">F12+F21</f>
        <v>354.685577601877</v>
      </c>
      <c r="G22" s="42" t="n">
        <f aca="false">G12+G21</f>
        <v>404.379498672944</v>
      </c>
    </row>
    <row r="23" customFormat="false" ht="15" hidden="false" customHeight="false" outlineLevel="1" collapsed="false">
      <c r="A23" s="3" t="s">
        <v>1716</v>
      </c>
      <c r="B23" s="11" t="s">
        <v>632</v>
      </c>
      <c r="C23" s="30" t="n">
        <f aca="false">評價_DCF與目標價!$C$90</f>
        <v>11.030314</v>
      </c>
      <c r="D23" s="30" t="n">
        <f aca="false">C23*(1+輸入與假設!$C$384)</f>
        <v>11.14061714</v>
      </c>
      <c r="E23" s="30" t="n">
        <f aca="false">D23*(1+輸入與假設!$C$384)</f>
        <v>11.2520233114</v>
      </c>
      <c r="F23" s="30" t="n">
        <f aca="false">E23*(1+輸入與假設!$C$384)</f>
        <v>11.364543544514</v>
      </c>
      <c r="G23" s="30" t="n">
        <f aca="false">F23*(1+輸入與假設!$C$384)</f>
        <v>11.4781889799591</v>
      </c>
      <c r="I23" s="11" t="s">
        <v>1717</v>
      </c>
    </row>
    <row r="24" customFormat="false" ht="15" hidden="false" customHeight="false" outlineLevel="1" collapsed="false">
      <c r="A24" s="3" t="s">
        <v>1718</v>
      </c>
      <c r="B24" s="11" t="s">
        <v>632</v>
      </c>
      <c r="C24" s="30" t="n">
        <f aca="false">C23+各期收支!C97</f>
        <v>11.030314</v>
      </c>
      <c r="D24" s="30" t="n">
        <f aca="false">D23+各期收支!D97</f>
        <v>11.14061714</v>
      </c>
      <c r="E24" s="30" t="n">
        <f aca="false">E23+各期收支!E97</f>
        <v>11.2520233114</v>
      </c>
      <c r="F24" s="30" t="n">
        <f aca="false">F23+各期收支!F97</f>
        <v>11.364543544514</v>
      </c>
      <c r="G24" s="30" t="n">
        <f aca="false">G23+各期收支!G97</f>
        <v>11.4781889799591</v>
      </c>
      <c r="I24" s="6" t="s">
        <v>1719</v>
      </c>
    </row>
    <row r="25" customFormat="false" ht="15" hidden="false" customHeight="false" outlineLevel="1" collapsed="false">
      <c r="A25" s="3" t="s">
        <v>1720</v>
      </c>
      <c r="B25" s="11" t="s">
        <v>39</v>
      </c>
      <c r="C25" s="55" t="n">
        <f aca="false">C20/C24</f>
        <v>4.28429532196054</v>
      </c>
      <c r="D25" s="55" t="n">
        <f aca="false">D20/D24</f>
        <v>9.15463068621799</v>
      </c>
      <c r="E25" s="55" t="n">
        <f aca="false">E20/E24</f>
        <v>10.1595138743378</v>
      </c>
      <c r="F25" s="55" t="n">
        <f aca="false">F20/F24</f>
        <v>11.0229690128427</v>
      </c>
      <c r="G25" s="55" t="n">
        <f aca="false">G20/G24</f>
        <v>11.2390609394455</v>
      </c>
      <c r="I25" s="11" t="s">
        <v>1721</v>
      </c>
    </row>
    <row r="27" customFormat="false" ht="15" hidden="false" customHeight="false" outlineLevel="0" collapsed="false">
      <c r="A27" s="52" t="s">
        <v>1722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4" t="s">
        <v>1723</v>
      </c>
      <c r="B28" s="11" t="s">
        <v>65</v>
      </c>
      <c r="C28" s="39" t="n">
        <f aca="false">輸入與假設!$C$425</f>
        <v>382.125</v>
      </c>
      <c r="D28" s="39" t="n">
        <f aca="false">0</f>
        <v>0</v>
      </c>
      <c r="E28" s="39" t="n">
        <f aca="false">0</f>
        <v>0</v>
      </c>
      <c r="F28" s="39" t="n">
        <f aca="false">0</f>
        <v>0</v>
      </c>
      <c r="G28" s="39" t="n">
        <f aca="false">0</f>
        <v>0</v>
      </c>
    </row>
    <row r="29" customFormat="false" ht="15" hidden="false" customHeight="false" outlineLevel="1" collapsed="false">
      <c r="A29" s="2" t="s">
        <v>1724</v>
      </c>
      <c r="B29" s="11" t="s">
        <v>65</v>
      </c>
      <c r="C29" s="42" t="n">
        <f aca="false">C28+C9</f>
        <v>834.2190886313</v>
      </c>
      <c r="D29" s="42" t="n">
        <f aca="false">D28+D9</f>
        <v>973.543898210676</v>
      </c>
      <c r="E29" s="42" t="n">
        <f aca="false">E28+E9</f>
        <v>1113.47261432298</v>
      </c>
      <c r="F29" s="42" t="n">
        <f aca="false">F28+F9</f>
        <v>1244.85510624425</v>
      </c>
      <c r="G29" s="42" t="n">
        <f aca="false">G28+G9</f>
        <v>1362.37714761308</v>
      </c>
      <c r="I29" s="11" t="s">
        <v>1725</v>
      </c>
    </row>
    <row r="30" customFormat="false" ht="15" hidden="false" customHeight="false" outlineLevel="1" collapsed="false">
      <c r="A30" s="3" t="s">
        <v>1726</v>
      </c>
      <c r="B30" s="11" t="s">
        <v>42</v>
      </c>
      <c r="C30" s="67" t="n">
        <f aca="false">C29/716.924-1</f>
        <v>0.163608818551618</v>
      </c>
      <c r="D30" s="67" t="n">
        <f aca="false">D29/C29-1</f>
        <v>0.16701225310963</v>
      </c>
      <c r="E30" s="67" t="n">
        <f aca="false">E29/D29-1</f>
        <v>0.143731285635383</v>
      </c>
      <c r="F30" s="67" t="n">
        <f aca="false">F29/E29-1</f>
        <v>0.117993464977272</v>
      </c>
      <c r="G30" s="67" t="n">
        <f aca="false">G29/F29-1</f>
        <v>0.0944062009942683</v>
      </c>
      <c r="I30" s="11" t="s">
        <v>1727</v>
      </c>
    </row>
    <row r="31" customFormat="false" ht="15" hidden="false" customHeight="false" outlineLevel="1" collapsed="false">
      <c r="A31" s="3" t="s">
        <v>1728</v>
      </c>
      <c r="B31" s="11" t="s">
        <v>65</v>
      </c>
      <c r="C31" s="66" t="n">
        <f aca="false">輸入與假設!$C$426+C12</f>
        <v>111.198485827609</v>
      </c>
      <c r="D31" s="66" t="n">
        <f aca="false">D12</f>
        <v>131.994504513507</v>
      </c>
      <c r="E31" s="66" t="n">
        <f aca="false">E12</f>
        <v>148.939641958397</v>
      </c>
      <c r="F31" s="66" t="n">
        <f aca="false">F12</f>
        <v>162.128187290099</v>
      </c>
      <c r="G31" s="66" t="n">
        <f aca="false">G12</f>
        <v>170.46427721737</v>
      </c>
    </row>
    <row r="32" customFormat="false" ht="15" hidden="false" customHeight="false" outlineLevel="1" collapsed="false">
      <c r="A32" s="3" t="s">
        <v>1729</v>
      </c>
      <c r="B32" s="11" t="s">
        <v>42</v>
      </c>
      <c r="C32" s="67" t="n">
        <f aca="false">C31/C29</f>
        <v>0.133296501294464</v>
      </c>
      <c r="D32" s="67" t="n">
        <f aca="false">D31/D29</f>
        <v>0.135581461458601</v>
      </c>
      <c r="E32" s="67" t="n">
        <f aca="false">E31/E29</f>
        <v>0.133761387610738</v>
      </c>
      <c r="F32" s="67" t="n">
        <f aca="false">F31/F29</f>
        <v>0.130238600843469</v>
      </c>
      <c r="G32" s="67" t="n">
        <f aca="false">G31/G29</f>
        <v>0.125122678045523</v>
      </c>
    </row>
    <row r="33" customFormat="false" ht="15" hidden="false" customHeight="false" outlineLevel="1" collapsed="false">
      <c r="A33" s="3" t="s">
        <v>1730</v>
      </c>
      <c r="B33" s="11" t="s">
        <v>65</v>
      </c>
      <c r="C33" s="66" t="n">
        <f aca="false">輸入與假設!$C$429+C21</f>
        <v>80.4453328875932</v>
      </c>
      <c r="D33" s="66" t="n">
        <f aca="false">D21</f>
        <v>111.24670321819</v>
      </c>
      <c r="E33" s="66" t="n">
        <f aca="false">E21</f>
        <v>151.383993092284</v>
      </c>
      <c r="F33" s="66" t="n">
        <f aca="false">F21</f>
        <v>192.557390311778</v>
      </c>
      <c r="G33" s="66" t="n">
        <f aca="false">G21</f>
        <v>233.915221455574</v>
      </c>
      <c r="I33" s="11" t="s">
        <v>1731</v>
      </c>
    </row>
    <row r="34" customFormat="false" ht="15" hidden="false" customHeight="false" outlineLevel="1" collapsed="false">
      <c r="A34" s="2" t="s">
        <v>1732</v>
      </c>
      <c r="B34" s="11" t="s">
        <v>65</v>
      </c>
      <c r="C34" s="42" t="n">
        <f aca="false">C31+C33</f>
        <v>191.643818715202</v>
      </c>
      <c r="D34" s="42" t="n">
        <f aca="false">D31+D33</f>
        <v>243.241207731697</v>
      </c>
      <c r="E34" s="42" t="n">
        <f aca="false">E31+E33</f>
        <v>300.323635050681</v>
      </c>
      <c r="F34" s="42" t="n">
        <f aca="false">F31+F33</f>
        <v>354.685577601877</v>
      </c>
      <c r="G34" s="42" t="n">
        <f aca="false">G31+G33</f>
        <v>404.379498672944</v>
      </c>
    </row>
    <row r="35" customFormat="false" ht="15" hidden="false" customHeight="false" outlineLevel="1" collapsed="false">
      <c r="A35" s="3" t="s">
        <v>1733</v>
      </c>
      <c r="B35" s="11" t="s">
        <v>65</v>
      </c>
      <c r="C35" s="66" t="n">
        <f aca="false">輸入與假設!$C$423+C13</f>
        <v>4.815165075</v>
      </c>
      <c r="D35" s="66" t="n">
        <f aca="false">D13</f>
        <v>8.58182840841221</v>
      </c>
      <c r="E35" s="66" t="n">
        <f aca="false">E13</f>
        <v>10.6106403289919</v>
      </c>
      <c r="F35" s="66" t="n">
        <f aca="false">F13</f>
        <v>10.5417747340978</v>
      </c>
      <c r="G35" s="66" t="n">
        <f aca="false">G13</f>
        <v>14.3606162538743</v>
      </c>
      <c r="I35" s="11" t="s">
        <v>1734</v>
      </c>
    </row>
    <row r="36" customFormat="false" ht="15" hidden="false" customHeight="false" outlineLevel="1" collapsed="false">
      <c r="A36" s="2" t="s">
        <v>1735</v>
      </c>
      <c r="B36" s="11" t="s">
        <v>65</v>
      </c>
      <c r="C36" s="42" t="n">
        <f aca="false">輸入與假設!$C$427+C20</f>
        <v>140.159122669956</v>
      </c>
      <c r="D36" s="42" t="n">
        <f aca="false">D20</f>
        <v>101.98823553325</v>
      </c>
      <c r="E36" s="42" t="n">
        <f aca="false">E20</f>
        <v>114.315086946541</v>
      </c>
      <c r="F36" s="42" t="n">
        <f aca="false">F20</f>
        <v>125.271011336279</v>
      </c>
      <c r="G36" s="42" t="n">
        <f aca="false">G20</f>
        <v>129.004065420233</v>
      </c>
    </row>
    <row r="37" customFormat="false" ht="15" hidden="false" customHeight="false" outlineLevel="1" collapsed="false">
      <c r="A37" s="3" t="s">
        <v>1736</v>
      </c>
      <c r="B37" s="11" t="s">
        <v>42</v>
      </c>
      <c r="C37" s="67" t="n">
        <f aca="false">C36/C29</f>
        <v>0.168012365792198</v>
      </c>
      <c r="D37" s="67" t="n">
        <f aca="false">D36/D29</f>
        <v>0.104759770690052</v>
      </c>
      <c r="E37" s="67" t="n">
        <f aca="false">E36/E29</f>
        <v>0.102665378093782</v>
      </c>
      <c r="F37" s="67" t="n">
        <f aca="false">F36/F29</f>
        <v>0.100630997702395</v>
      </c>
      <c r="G37" s="67" t="n">
        <f aca="false">G36/G29</f>
        <v>0.0946904208179438</v>
      </c>
    </row>
    <row r="38" customFormat="false" ht="15" hidden="false" customHeight="false" outlineLevel="1" collapsed="false">
      <c r="A38" s="2" t="s">
        <v>1737</v>
      </c>
      <c r="B38" s="11" t="s">
        <v>39</v>
      </c>
      <c r="C38" s="85" t="n">
        <f aca="false">輸入與假設!$C$431+C20/C24</f>
        <v>12.8142953219605</v>
      </c>
      <c r="D38" s="85" t="n">
        <f aca="false">D20/D24</f>
        <v>9.15463068621799</v>
      </c>
      <c r="E38" s="85" t="n">
        <f aca="false">E20/E24</f>
        <v>10.1595138743378</v>
      </c>
      <c r="F38" s="85" t="n">
        <f aca="false">F20/F24</f>
        <v>11.0229690128427</v>
      </c>
      <c r="G38" s="85" t="n">
        <f aca="false">G20/G24</f>
        <v>11.2390609394455</v>
      </c>
      <c r="I38" s="11" t="s">
        <v>1738</v>
      </c>
    </row>
    <row r="39" customFormat="false" ht="15" hidden="false" customHeight="false" outlineLevel="1" collapsed="false">
      <c r="A39" s="3" t="s">
        <v>1739</v>
      </c>
      <c r="B39" s="11" t="s">
        <v>39</v>
      </c>
      <c r="C39" s="55" t="n">
        <f aca="false">輸入與假設!$C$432+(C20+輸入與假設!$C$385*輸入與假設!C$34)/C24</f>
        <v>14.6197917040218</v>
      </c>
      <c r="D39" s="55" t="n">
        <f aca="false">(D20+輸入與假設!$C$385*輸入與假設!D$34)/D24</f>
        <v>10.8882868883195</v>
      </c>
      <c r="E39" s="55" t="n">
        <f aca="false">(E20+輸入與假設!$C$385*輸入與假設!E$34)/E24</f>
        <v>11.8760051635473</v>
      </c>
      <c r="F39" s="55" t="n">
        <f aca="false">(F20+輸入與假設!$C$385*輸入與假設!F$34)/F24</f>
        <v>12.7224653387927</v>
      </c>
      <c r="G39" s="55" t="n">
        <f aca="false">(G20+輸入與假設!$C$385*輸入與假設!G$34)/G24</f>
        <v>12.921730569099</v>
      </c>
      <c r="I39" s="6" t="s">
        <v>1740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5" t="s">
        <v>1741</v>
      </c>
    </row>
    <row r="2" customFormat="false" ht="15" hidden="false" customHeight="false" outlineLevel="0" collapsed="false">
      <c r="A2" s="6" t="s">
        <v>1742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1028</v>
      </c>
    </row>
    <row r="5" customFormat="false" ht="15" hidden="false" customHeight="false" outlineLevel="0" collapsed="false">
      <c r="A5" s="7" t="s">
        <v>1743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1744</v>
      </c>
      <c r="B6" s="11" t="s">
        <v>65</v>
      </c>
      <c r="C6" s="66" t="n">
        <f aca="false">輸入與假設!C$277-各期收支!C8</f>
        <v>123.69</v>
      </c>
      <c r="D6" s="66" t="n">
        <f aca="false">輸入與假設!D$277-各期收支!D8</f>
        <v>276.225824532882</v>
      </c>
      <c r="E6" s="66" t="n">
        <f aca="false">輸入與假設!E$277-各期收支!E8</f>
        <v>291.663552291615</v>
      </c>
      <c r="F6" s="66" t="n">
        <f aca="false">輸入與假設!F$277-各期收支!F8</f>
        <v>305.375691467996</v>
      </c>
      <c r="G6" s="66" t="n">
        <f aca="false">輸入與假設!G$277-各期收支!G8</f>
        <v>427.863735679275</v>
      </c>
      <c r="I6" s="11" t="s">
        <v>1745</v>
      </c>
    </row>
    <row r="7" customFormat="false" ht="15" hidden="false" customHeight="false" outlineLevel="1" collapsed="false">
      <c r="A7" s="3" t="s">
        <v>1746</v>
      </c>
      <c r="B7" s="11" t="s">
        <v>65</v>
      </c>
      <c r="C7" s="66" t="n">
        <f aca="false">716.924</f>
        <v>716.924</v>
      </c>
      <c r="D7" s="66" t="n">
        <f aca="false">382.125+損益!C9</f>
        <v>834.2190886313</v>
      </c>
      <c r="E7" s="66" t="n">
        <f aca="false">損益!D9</f>
        <v>973.543898210676</v>
      </c>
      <c r="F7" s="66" t="n">
        <f aca="false">損益!E9</f>
        <v>1113.47261432298</v>
      </c>
      <c r="G7" s="66" t="n">
        <f aca="false">損益!F9</f>
        <v>1244.85510624425</v>
      </c>
      <c r="I7" s="11" t="s">
        <v>1747</v>
      </c>
    </row>
    <row r="8" customFormat="false" ht="15" hidden="false" customHeight="false" outlineLevel="1" collapsed="false">
      <c r="A8" s="3" t="s">
        <v>1748</v>
      </c>
      <c r="B8" s="11" t="s">
        <v>65</v>
      </c>
      <c r="C8" s="39" t="n">
        <f aca="false">各期收支!C11</f>
        <v>0</v>
      </c>
      <c r="D8" s="39" t="n">
        <f aca="false">各期收支!D11</f>
        <v>0</v>
      </c>
      <c r="E8" s="39" t="n">
        <f aca="false">各期收支!E11</f>
        <v>0</v>
      </c>
      <c r="F8" s="39" t="n">
        <f aca="false">各期收支!F11</f>
        <v>0</v>
      </c>
      <c r="G8" s="39" t="n">
        <f aca="false">各期收支!G11</f>
        <v>0</v>
      </c>
      <c r="I8" s="6" t="s">
        <v>1749</v>
      </c>
    </row>
    <row r="9" customFormat="false" ht="15" hidden="false" customHeight="false" outlineLevel="1" collapsed="false">
      <c r="A9" s="3" t="s">
        <v>1750</v>
      </c>
      <c r="B9" s="11" t="s">
        <v>65</v>
      </c>
      <c r="C9" s="66" t="n">
        <f aca="false">IF(ISBLANK(輸入與假設!$C$48),輸入與假設!$C$347*MAX(0,損益!C9-C7),-輸入與假設!$C$48)</f>
        <v>-1.947</v>
      </c>
      <c r="D9" s="66" t="n">
        <f aca="false">輸入與假設!$C$347*MAX(0,損益!D9-D7)</f>
        <v>0</v>
      </c>
      <c r="E9" s="66" t="n">
        <f aca="false">輸入與假設!$C$347*MAX(0,損益!E9-E7)</f>
        <v>0</v>
      </c>
      <c r="F9" s="66" t="n">
        <f aca="false">輸入與假設!$C$347*MAX(0,損益!F9-F7)</f>
        <v>0</v>
      </c>
      <c r="G9" s="66" t="n">
        <f aca="false">輸入與假設!$C$347*MAX(0,損益!G9-G7)</f>
        <v>0</v>
      </c>
      <c r="I9" s="11" t="s">
        <v>1751</v>
      </c>
    </row>
    <row r="10" customFormat="false" ht="15" hidden="false" customHeight="false" outlineLevel="1" collapsed="false">
      <c r="A10" s="3" t="s">
        <v>1752</v>
      </c>
      <c r="B10" s="11" t="s">
        <v>65</v>
      </c>
      <c r="C10" s="66" t="n">
        <f aca="false">輸入與假設!$C$345</f>
        <v>0</v>
      </c>
      <c r="D10" s="66" t="n">
        <f aca="false">C12</f>
        <v>0</v>
      </c>
      <c r="E10" s="66" t="n">
        <f aca="false">D12</f>
        <v>0</v>
      </c>
      <c r="F10" s="66" t="n">
        <f aca="false">E12</f>
        <v>0</v>
      </c>
      <c r="G10" s="66" t="n">
        <f aca="false">F12</f>
        <v>0</v>
      </c>
      <c r="I10" s="11" t="s">
        <v>1753</v>
      </c>
    </row>
    <row r="11" customFormat="false" ht="15" hidden="false" customHeight="false" outlineLevel="1" collapsed="false">
      <c r="A11" s="3" t="s">
        <v>1754</v>
      </c>
      <c r="B11" s="11" t="s">
        <v>65</v>
      </c>
      <c r="C11" s="66" t="n">
        <f aca="false">MIN(C10,MAX(0,損益!C12)*輸入與假設!$C$346)</f>
        <v>0</v>
      </c>
      <c r="D11" s="66" t="n">
        <f aca="false">MIN(D10,MAX(0,損益!D12)*輸入與假設!$C$346)</f>
        <v>0</v>
      </c>
      <c r="E11" s="66" t="n">
        <f aca="false">MIN(E10,MAX(0,損益!E12)*輸入與假設!$C$346)</f>
        <v>0</v>
      </c>
      <c r="F11" s="66" t="n">
        <f aca="false">MIN(F10,MAX(0,損益!F12)*輸入與假設!$C$346)</f>
        <v>0</v>
      </c>
      <c r="G11" s="66" t="n">
        <f aca="false">MIN(G10,MAX(0,損益!G12)*輸入與假設!$C$346)</f>
        <v>0</v>
      </c>
    </row>
    <row r="12" customFormat="false" ht="15" hidden="false" customHeight="false" outlineLevel="1" collapsed="false">
      <c r="A12" s="3" t="s">
        <v>1755</v>
      </c>
      <c r="B12" s="11" t="s">
        <v>65</v>
      </c>
      <c r="C12" s="66" t="n">
        <f aca="false">C10-C11+MAX(0,-損益!C12)</f>
        <v>0</v>
      </c>
      <c r="D12" s="66" t="n">
        <f aca="false">D10-D11+MAX(0,-損益!D12)</f>
        <v>0</v>
      </c>
      <c r="E12" s="66" t="n">
        <f aca="false">E10-E11+MAX(0,-損益!E12)</f>
        <v>0</v>
      </c>
      <c r="F12" s="66" t="n">
        <f aca="false">F10-F11+MAX(0,-損益!F12)</f>
        <v>0</v>
      </c>
      <c r="G12" s="66" t="n">
        <f aca="false">G10-G11+MAX(0,-損益!G12)</f>
        <v>0</v>
      </c>
    </row>
    <row r="13" customFormat="false" ht="15" hidden="false" customHeight="false" outlineLevel="1" collapsed="false">
      <c r="A13" s="3" t="s">
        <v>1756</v>
      </c>
      <c r="B13" s="11" t="s">
        <v>65</v>
      </c>
      <c r="C13" s="66" t="n">
        <f aca="false">MAX(0,損益!C12-C11)*輸入與假設!$C$332</f>
        <v>10.3961203396729</v>
      </c>
      <c r="D13" s="66" t="n">
        <f aca="false">MAX(0,損益!D12-D11)*輸入與假設!$C$332</f>
        <v>22.9142459835448</v>
      </c>
      <c r="E13" s="66" t="n">
        <f aca="false">MAX(0,損益!E12-E11)*輸入與假設!$C$332</f>
        <v>25.8559218439778</v>
      </c>
      <c r="F13" s="66" t="n">
        <f aca="false">MAX(0,損益!F12-F11)*輸入與假設!$C$332</f>
        <v>28.1454533135612</v>
      </c>
      <c r="G13" s="66" t="n">
        <f aca="false">MAX(0,損益!G12-G11)*輸入與假設!$C$332</f>
        <v>29.5925985249354</v>
      </c>
      <c r="I13" s="6" t="s">
        <v>1757</v>
      </c>
    </row>
    <row r="14" customFormat="false" ht="15" hidden="false" customHeight="false" outlineLevel="1" collapsed="false">
      <c r="A14" s="84" t="s">
        <v>1758</v>
      </c>
      <c r="B14" s="11" t="s">
        <v>65</v>
      </c>
      <c r="C14" s="42" t="n">
        <f aca="false">損益!C12-C13+損益!C21-輸入與假設!C$196-C6-C9-C8</f>
        <v>-44.2483708727557</v>
      </c>
      <c r="D14" s="42" t="n">
        <f aca="false">損益!D12-D13+損益!D21-輸入與假設!D$196-D6-D9-D8</f>
        <v>-85.4738090918419</v>
      </c>
      <c r="E14" s="42" t="n">
        <f aca="false">損益!E12-E13+損益!E21-輸入與假設!E$196-E6-E9-E8</f>
        <v>-50.4539971720927</v>
      </c>
      <c r="F14" s="42" t="n">
        <f aca="false">損益!F12-F13+損益!F21-輸入與假設!F$196-F6-F9-F8</f>
        <v>-15.4151924171748</v>
      </c>
      <c r="G14" s="42" t="n">
        <f aca="false">損益!G12-G13+損益!G21-輸入與假設!G$196-G6-G9-G8</f>
        <v>-92.3874370929273</v>
      </c>
      <c r="I14" s="6" t="s">
        <v>1759</v>
      </c>
    </row>
    <row r="15" customFormat="false" ht="15" hidden="false" customHeight="false" outlineLevel="1" collapsed="false">
      <c r="A15" s="3" t="s">
        <v>1760</v>
      </c>
      <c r="B15" s="6" t="s">
        <v>184</v>
      </c>
      <c r="C15" s="86" t="n">
        <f aca="false">輸入與假設!$C$402</f>
        <v>0.5</v>
      </c>
      <c r="D15" s="86" t="n">
        <f aca="false">輸入與假設!$D$402</f>
        <v>1.5</v>
      </c>
      <c r="E15" s="86" t="n">
        <f aca="false">輸入與假設!$E$402</f>
        <v>2.5</v>
      </c>
      <c r="F15" s="86" t="n">
        <f aca="false">輸入與假設!$F$402</f>
        <v>3.5</v>
      </c>
      <c r="G15" s="86" t="n">
        <f aca="false">輸入與假設!$G$402</f>
        <v>4.5</v>
      </c>
      <c r="I15" s="6" t="s">
        <v>1761</v>
      </c>
    </row>
    <row r="16" customFormat="false" ht="15" hidden="false" customHeight="false" outlineLevel="1" collapsed="false">
      <c r="A16" s="3" t="s">
        <v>1762</v>
      </c>
      <c r="B16" s="6"/>
      <c r="C16" s="35" t="n">
        <f aca="false">1/(1+輸入與假設!$C$342)^C15</f>
        <v>0.942798314376537</v>
      </c>
      <c r="D16" s="35" t="n">
        <f aca="false">1/(1+輸入與假設!$C$342)^D15</f>
        <v>0.838023875850348</v>
      </c>
      <c r="E16" s="35" t="n">
        <f aca="false">1/(1+輸入與假設!$C$342)^E15</f>
        <v>0.744893160908602</v>
      </c>
      <c r="F16" s="35" t="n">
        <f aca="false">1/(1+輸入與假設!$C$342)^F15</f>
        <v>0.662112186965296</v>
      </c>
      <c r="G16" s="35" t="n">
        <f aca="false">1/(1+輸入與假設!$C$342)^G15</f>
        <v>0.588530773451091</v>
      </c>
    </row>
    <row r="17" customFormat="false" ht="15" hidden="false" customHeight="false" outlineLevel="1" collapsed="false">
      <c r="A17" s="4" t="s">
        <v>1763</v>
      </c>
      <c r="B17" s="11" t="s">
        <v>65</v>
      </c>
      <c r="C17" s="66" t="n">
        <f aca="false">C14*C16</f>
        <v>-41.717289472742</v>
      </c>
      <c r="D17" s="66" t="n">
        <f aca="false">D14*D16</f>
        <v>-71.6290927788381</v>
      </c>
      <c r="E17" s="66" t="n">
        <f aca="false">E14*E16</f>
        <v>-37.5828374339938</v>
      </c>
      <c r="F17" s="66" t="n">
        <f aca="false">F14*F16</f>
        <v>-10.2065867638265</v>
      </c>
      <c r="G17" s="66" t="n">
        <f aca="false">G14*G16</f>
        <v>-54.3728498094645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1764</v>
      </c>
      <c r="C19" s="10" t="n">
        <f aca="false">SUM(C17:G17)</f>
        <v>-215.508656258865</v>
      </c>
      <c r="I19" s="6" t="s">
        <v>1765</v>
      </c>
    </row>
    <row r="20" customFormat="false" ht="15" hidden="false" customHeight="false" outlineLevel="1" collapsed="false">
      <c r="A20" s="3" t="s">
        <v>1766</v>
      </c>
      <c r="C20" s="10" t="n">
        <f aca="false">G14+輸入與假設!G253*(1-各期收支!G7)</f>
        <v>214.774610207681</v>
      </c>
      <c r="I20" s="11" t="s">
        <v>1767</v>
      </c>
    </row>
    <row r="21" customFormat="false" ht="15" hidden="false" customHeight="false" outlineLevel="1" collapsed="false">
      <c r="A21" s="3" t="s">
        <v>1768</v>
      </c>
      <c r="C21" s="57" t="n">
        <f aca="false">IF(C30=1,0,C20*(1+輸入與假設!$C$343)/(輸入與假設!$C$342-輸入與假設!$C$343))</f>
        <v>2327.98158342178</v>
      </c>
      <c r="I21" s="6" t="s">
        <v>1769</v>
      </c>
    </row>
    <row r="22" customFormat="false" ht="15" hidden="false" customHeight="false" outlineLevel="1" collapsed="false">
      <c r="A22" s="3" t="s">
        <v>1770</v>
      </c>
      <c r="C22" s="57" t="n">
        <f aca="false">C21*G16</f>
        <v>1370.08880187111</v>
      </c>
    </row>
    <row r="23" customFormat="false" ht="15" hidden="false" customHeight="false" outlineLevel="1" collapsed="false">
      <c r="A23" s="3" t="s">
        <v>1771</v>
      </c>
      <c r="C23" s="57" t="n">
        <f aca="false">C19+C22</f>
        <v>1154.58014561225</v>
      </c>
    </row>
    <row r="24" customFormat="false" ht="15" hidden="false" customHeight="false" outlineLevel="1" collapsed="false">
      <c r="A24" s="3" t="s">
        <v>1772</v>
      </c>
      <c r="C24" s="10" t="n">
        <f aca="false">-評價_DCF與目標價!$C$91</f>
        <v>168.937</v>
      </c>
      <c r="I24" s="6" t="s">
        <v>1773</v>
      </c>
    </row>
    <row r="25" customFormat="false" ht="15" hidden="false" customHeight="false" outlineLevel="1" collapsed="false">
      <c r="A25" s="3" t="s">
        <v>1774</v>
      </c>
      <c r="C25" s="57" t="n">
        <f aca="false">C23+C24</f>
        <v>1323.51714561225</v>
      </c>
    </row>
    <row r="26" customFormat="false" ht="15" hidden="false" customHeight="false" outlineLevel="1" collapsed="false">
      <c r="A26" s="84" t="s">
        <v>1775</v>
      </c>
      <c r="C26" s="87" t="n">
        <f aca="false">IF(C30=1,0,IF(輸入與假設!$C$387=2,C32,C31))</f>
        <v>119.989072442747</v>
      </c>
      <c r="I26" s="6" t="s">
        <v>1776</v>
      </c>
    </row>
    <row r="27" customFormat="false" ht="15" hidden="false" customHeight="false" outlineLevel="1" collapsed="false">
      <c r="A27" s="3" t="s">
        <v>1777</v>
      </c>
      <c r="C27" s="29" t="n">
        <f aca="false">C22/C23</f>
        <v>1.1866554323473</v>
      </c>
      <c r="I27" s="6" t="str">
        <f aca="false">"超過 "&amp;IF(ROUND(ABS(輸入與假設!$C$411)*100,4)=INT(ROUND(ABS(輸入與假設!$C$411)*100,4)),TEXT(ROUND(ABS(輸入與假設!$C$411)*100,4),"0"),TEXT(ROUND(ABS(輸入與假設!$C$411)*100,4),"0.0"))&amp;"%"&amp;"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1778</v>
      </c>
      <c r="C28" s="57" t="n">
        <f aca="false">(各期收支!C92-各期收支!C76)/(1+輸入與假設!$C$342)^輸入與假設!$C$403+(各期收支!D92-各期收支!D76)/(1+輸入與假設!$C$342)^輸入與假設!$D$403+(各期收支!E92-各期收支!E76)/(1+輸入與假設!$C$342)^輸入與假設!$E$403+(各期收支!F92-各期收支!F76)/(1+輸入與假設!$C$342)^輸入與假設!$F$403+(各期收支!G92-各期收支!G76)/(1+輸入與假設!$C$342)^輸入與假設!$G$403</f>
        <v>0</v>
      </c>
      <c r="I28" s="6" t="s">
        <v>1779</v>
      </c>
    </row>
    <row r="29" customFormat="false" ht="15" hidden="false" customHeight="false" outlineLevel="1" collapsed="false">
      <c r="A29" s="3" t="s">
        <v>1780</v>
      </c>
      <c r="C29" s="88" t="n">
        <f aca="false">評價_DCF與目標價!$C$90+各期收支!G97</f>
        <v>11.030314</v>
      </c>
    </row>
    <row r="30" customFormat="false" ht="15" hidden="false" customHeight="false" outlineLevel="1" collapsed="false">
      <c r="A30" s="4" t="s">
        <v>1781</v>
      </c>
      <c r="C30" s="50" t="n">
        <f aca="false">IF(OR(輸入與假設!$C$342&lt;=輸入與假設!$C$343,C20&lt;=0),1,0)</f>
        <v>0</v>
      </c>
      <c r="I30" s="11" t="s">
        <v>1782</v>
      </c>
    </row>
    <row r="31" customFormat="false" ht="15" hidden="false" customHeight="false" outlineLevel="1" collapsed="false">
      <c r="A31" s="84" t="s">
        <v>1783</v>
      </c>
      <c r="C31" s="49" t="n">
        <f aca="false">MAX(0,(C25+C28)/C29)</f>
        <v>119.989072442747</v>
      </c>
    </row>
    <row r="32" customFormat="false" ht="15" hidden="false" customHeight="false" outlineLevel="1" collapsed="false">
      <c r="A32" s="84" t="s">
        <v>1784</v>
      </c>
      <c r="C32" s="49" t="n">
        <f aca="false">IF((C23+C28)&lt;=0,0,IF(評價_DCF與目標價!$C$91&lt;=0,(C23+C28),(C23+C28)*NORMSDIST(C33)-評價_DCF與目標價!$C$91*EXP(-輸入與假設!$C$333*輸入與假設!$C$389)*NORMSDIST(C34))/C29)</f>
        <v>104.67337064133</v>
      </c>
      <c r="I32" s="11" t="s">
        <v>1785</v>
      </c>
    </row>
    <row r="33" customFormat="false" ht="15" hidden="false" customHeight="false" outlineLevel="1" collapsed="false">
      <c r="A33" s="3" t="s">
        <v>1786</v>
      </c>
      <c r="C33" s="88" t="n">
        <f aca="false">IF(OR((C23+C28)&lt;=0,評價_DCF與目標價!$C$91&lt;=0),0,(LN((C23+C28)/評價_DCF與目標價!$C$91)+(輸入與假設!$C$333+輸入與假設!$C$388^2/2)*輸入與假設!$C$389)/(輸入與假設!$C$388*SQRT(輸入與假設!$C$389)))</f>
        <v>0</v>
      </c>
    </row>
    <row r="34" customFormat="false" ht="15" hidden="false" customHeight="false" outlineLevel="1" collapsed="false">
      <c r="A34" s="3" t="s">
        <v>1787</v>
      </c>
      <c r="C34" s="88" t="n">
        <f aca="false">C33-輸入與假設!$C$388*SQRT(輸入與假設!$C$389)</f>
        <v>-1.06066017177982</v>
      </c>
    </row>
    <row r="36" customFormat="false" ht="15" hidden="false" customHeight="false" outlineLevel="0" collapsed="false">
      <c r="A36" s="52" t="s">
        <v>1788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1789</v>
      </c>
      <c r="C37" s="89" t="str">
        <f aca="false">CHOOSE(輸入與假設!$C$379,"2027","2028","2029","2030")</f>
        <v>2029</v>
      </c>
      <c r="I37" s="6" t="s">
        <v>1790</v>
      </c>
    </row>
    <row r="38" customFormat="false" ht="15" hidden="false" customHeight="false" outlineLevel="1" collapsed="false">
      <c r="A38" s="3" t="s">
        <v>1791</v>
      </c>
      <c r="C38" s="10" t="n">
        <f aca="false">INDEX(損益!$D$22:$G$22,1,輸入與假設!$C$379)</f>
        <v>354.685577601877</v>
      </c>
    </row>
    <row r="39" customFormat="false" ht="15" hidden="false" customHeight="false" outlineLevel="1" collapsed="false">
      <c r="A39" s="3" t="s">
        <v>1792</v>
      </c>
      <c r="C39" s="57" t="n">
        <f aca="false">C45*輸入與假設!$C$348+C44*輸入與假設!$C$378</f>
        <v>3840.02674822482</v>
      </c>
      <c r="I39" s="6" t="s">
        <v>1793</v>
      </c>
    </row>
    <row r="40" customFormat="false" ht="15" hidden="false" customHeight="false" outlineLevel="1" collapsed="false">
      <c r="A40" s="3" t="s">
        <v>1794</v>
      </c>
      <c r="C40" s="10" t="n">
        <f aca="false">INDEX(各期收支!$D$102:$G$102,1,輸入與假設!$C$379)-INDEX(各期收支!$D$56:$G$56,1,輸入與假設!$C$379)+評價_DCF與目標價!$C$92</f>
        <v>-2.56914664468849</v>
      </c>
      <c r="I40" s="6" t="s">
        <v>1795</v>
      </c>
    </row>
    <row r="41" customFormat="false" ht="15" hidden="false" customHeight="false" outlineLevel="1" collapsed="false">
      <c r="A41" s="3" t="s">
        <v>1796</v>
      </c>
      <c r="C41" s="90" t="n">
        <f aca="false">INDEX(損益!$D$24:$G$24,1,輸入與假設!$C$379)</f>
        <v>11.364543544514</v>
      </c>
      <c r="I41" s="6" t="s">
        <v>1797</v>
      </c>
    </row>
    <row r="42" customFormat="false" ht="15" hidden="false" customHeight="false" outlineLevel="1" collapsed="false">
      <c r="A42" s="3" t="s">
        <v>1798</v>
      </c>
      <c r="C42" s="90" t="n">
        <f aca="false">1/(1+輸入與假設!$C$342)^(輸入與假設!$C$379-輸入與假設!$C$399)</f>
        <v>0.744893160908602</v>
      </c>
      <c r="I42" s="6" t="s">
        <v>1799</v>
      </c>
    </row>
    <row r="43" customFormat="false" ht="15" hidden="false" customHeight="false" outlineLevel="1" collapsed="false">
      <c r="A43" s="4" t="s">
        <v>1800</v>
      </c>
      <c r="C43" s="49" t="n">
        <f aca="false">MAX(0,(C39-C40)/C41)*C42</f>
        <v>251.864352581542</v>
      </c>
      <c r="I43" s="6" t="s">
        <v>1801</v>
      </c>
    </row>
    <row r="44" customFormat="false" ht="15" hidden="false" customHeight="false" outlineLevel="1" collapsed="false">
      <c r="A44" s="3" t="s">
        <v>1802</v>
      </c>
      <c r="C44" s="10" t="n">
        <f aca="false">INDEX(輸入與假設!$D$195:$G$195,1,輸入與假設!$C$379)</f>
        <v>243.183151243681</v>
      </c>
      <c r="I44" s="11" t="s">
        <v>1803</v>
      </c>
    </row>
    <row r="45" customFormat="false" ht="15" hidden="false" customHeight="false" outlineLevel="1" collapsed="false">
      <c r="A45" s="3" t="s">
        <v>1804</v>
      </c>
      <c r="C45" s="57" t="n">
        <f aca="false">C38-C44</f>
        <v>111.502426358196</v>
      </c>
      <c r="I45" s="6" t="s">
        <v>1805</v>
      </c>
    </row>
    <row r="47" customFormat="false" ht="15" hidden="false" customHeight="false" outlineLevel="0" collapsed="false">
      <c r="A47" s="52" t="s">
        <v>1806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1807</v>
      </c>
      <c r="C48" s="12" t="n">
        <f aca="false">C26*(1+輸入與假設!$C$342)^輸入與假設!$C$395</f>
        <v>134.990778309075</v>
      </c>
      <c r="I48" s="6" t="s">
        <v>1808</v>
      </c>
    </row>
    <row r="49" customFormat="false" ht="15" hidden="false" customHeight="false" outlineLevel="1" collapsed="false">
      <c r="A49" s="4" t="s">
        <v>1809</v>
      </c>
      <c r="C49" s="12" t="n">
        <f aca="false">C48*IF(C30=1,0,輸入與假設!$C$380)</f>
        <v>60.7458502390839</v>
      </c>
    </row>
    <row r="50" customFormat="false" ht="15" hidden="false" customHeight="false" outlineLevel="1" collapsed="false">
      <c r="A50" s="4" t="s">
        <v>1810</v>
      </c>
      <c r="C50" s="12" t="n">
        <f aca="false">C43*IF(C30=1,1,1-輸入與假設!$C$380)</f>
        <v>138.525393919848</v>
      </c>
    </row>
    <row r="51" customFormat="false" ht="15" hidden="false" customHeight="false" outlineLevel="1" collapsed="false">
      <c r="A51" s="2" t="s">
        <v>1806</v>
      </c>
      <c r="C51" s="91" t="n">
        <f aca="false">SUM(C49:C50)</f>
        <v>199.271244158932</v>
      </c>
      <c r="I51" s="6" t="s">
        <v>1811</v>
      </c>
    </row>
    <row r="52" customFormat="false" ht="15" hidden="false" customHeight="false" outlineLevel="1" collapsed="false">
      <c r="A52" s="3" t="s">
        <v>1812</v>
      </c>
      <c r="C52" s="12" t="n">
        <f aca="false">輸入與假設!$C$320</f>
        <v>259.92</v>
      </c>
    </row>
    <row r="53" customFormat="false" ht="15" hidden="false" customHeight="false" outlineLevel="1" collapsed="false">
      <c r="A53" s="3" t="s">
        <v>1813</v>
      </c>
      <c r="C53" s="29" t="n">
        <f aca="false">C51/C52-1</f>
        <v>-0.233336241309125</v>
      </c>
    </row>
    <row r="55" customFormat="false" ht="15" hidden="false" customHeight="false" outlineLevel="0" collapsed="false">
      <c r="A55" s="52" t="s">
        <v>1814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1815</v>
      </c>
      <c r="B56" s="11" t="s">
        <v>65</v>
      </c>
      <c r="C56" s="66" t="n">
        <f aca="false">運營_產能與收入!C26*(1/輸入與假設!$C$56-(1-輸入與假設!C$204))*(1/輸入與假設!$C$217-1)</f>
        <v>3.11646747135713</v>
      </c>
      <c r="D56" s="66" t="n">
        <f aca="false">運營_產能與收入!D26*(1/輸入與假設!$C$56-(1-輸入與假設!D$204))*(1/輸入與假設!$C$217-1)</f>
        <v>12.5066596716742</v>
      </c>
      <c r="E56" s="66" t="n">
        <f aca="false">運營_產能與收入!E26*(1/輸入與假設!$C$56-(1-輸入與假設!E$204))*(1/輸入與假設!$C$217-1)</f>
        <v>21.0303687097922</v>
      </c>
      <c r="F56" s="66" t="n">
        <f aca="false">運營_產能與收入!F26*(1/輸入與假設!$C$56-(1-輸入與假設!F$204))*(1/輸入與假設!$C$217-1)</f>
        <v>29.608540558585</v>
      </c>
      <c r="G56" s="66" t="n">
        <f aca="false">運營_產能與收入!G26*(1/輸入與假設!$C$56-(1-輸入與假設!G$204))*(1/輸入與假設!$C$217-1)</f>
        <v>38.2088282725887</v>
      </c>
      <c r="I56" s="6" t="s">
        <v>1816</v>
      </c>
    </row>
    <row r="57" customFormat="false" ht="15" hidden="false" customHeight="false" outlineLevel="1" collapsed="false">
      <c r="A57" s="3" t="s">
        <v>1817</v>
      </c>
      <c r="B57" s="11" t="s">
        <v>65</v>
      </c>
      <c r="C57" s="66" t="n">
        <f aca="false">損益!C12+C56</f>
        <v>63.0019532989658</v>
      </c>
      <c r="D57" s="66" t="n">
        <f aca="false">損益!D12+D56</f>
        <v>144.501164185181</v>
      </c>
      <c r="E57" s="66" t="n">
        <f aca="false">損益!E12+E56</f>
        <v>169.97001066819</v>
      </c>
      <c r="F57" s="66" t="n">
        <f aca="false">損益!F12+F56</f>
        <v>191.736727848684</v>
      </c>
      <c r="G57" s="66" t="n">
        <f aca="false">損益!G12+G56</f>
        <v>208.673105489959</v>
      </c>
    </row>
    <row r="58" customFormat="false" ht="15" hidden="false" customHeight="false" outlineLevel="1" collapsed="false">
      <c r="A58" s="3" t="s">
        <v>1818</v>
      </c>
      <c r="B58" s="11" t="s">
        <v>65</v>
      </c>
      <c r="C58" s="66" t="n">
        <f aca="false">輸入與假設!$C$345</f>
        <v>0</v>
      </c>
      <c r="D58" s="66" t="n">
        <f aca="false">C60</f>
        <v>0</v>
      </c>
      <c r="E58" s="66" t="n">
        <f aca="false">D60</f>
        <v>0</v>
      </c>
      <c r="F58" s="66" t="n">
        <f aca="false">E60</f>
        <v>0</v>
      </c>
      <c r="G58" s="66" t="n">
        <f aca="false">F60</f>
        <v>0</v>
      </c>
    </row>
    <row r="59" customFormat="false" ht="15" hidden="false" customHeight="false" outlineLevel="1" collapsed="false">
      <c r="A59" s="3" t="s">
        <v>1819</v>
      </c>
      <c r="B59" s="11" t="s">
        <v>65</v>
      </c>
      <c r="C59" s="66" t="n">
        <f aca="false">MIN(C58,MAX(0,C57)*輸入與假設!$C$346)</f>
        <v>0</v>
      </c>
      <c r="D59" s="66" t="n">
        <f aca="false">MIN(D58,MAX(0,D57)*輸入與假設!$C$346)</f>
        <v>0</v>
      </c>
      <c r="E59" s="66" t="n">
        <f aca="false">MIN(E58,MAX(0,E57)*輸入與假設!$C$346)</f>
        <v>0</v>
      </c>
      <c r="F59" s="66" t="n">
        <f aca="false">MIN(F58,MAX(0,F57)*輸入與假設!$C$346)</f>
        <v>0</v>
      </c>
      <c r="G59" s="66" t="n">
        <f aca="false">MIN(G58,MAX(0,G57)*輸入與假設!$C$346)</f>
        <v>0</v>
      </c>
    </row>
    <row r="60" customFormat="false" ht="15" hidden="false" customHeight="false" outlineLevel="1" collapsed="false">
      <c r="A60" s="3" t="s">
        <v>1820</v>
      </c>
      <c r="B60" s="11" t="s">
        <v>65</v>
      </c>
      <c r="C60" s="66" t="n">
        <f aca="false">C58-C59+MAX(0,-C57)</f>
        <v>0</v>
      </c>
      <c r="D60" s="66" t="n">
        <f aca="false">D58-D59+MAX(0,-D57)</f>
        <v>0</v>
      </c>
      <c r="E60" s="66" t="n">
        <f aca="false">E58-E59+MAX(0,-E57)</f>
        <v>0</v>
      </c>
      <c r="F60" s="66" t="n">
        <f aca="false">F58-F59+MAX(0,-F57)</f>
        <v>0</v>
      </c>
      <c r="G60" s="66" t="n">
        <f aca="false">G58-G59+MAX(0,-G57)</f>
        <v>0</v>
      </c>
    </row>
    <row r="61" customFormat="false" ht="15" hidden="false" customHeight="false" outlineLevel="1" collapsed="false">
      <c r="A61" s="3" t="s">
        <v>1821</v>
      </c>
      <c r="B61" s="11" t="s">
        <v>65</v>
      </c>
      <c r="C61" s="66" t="n">
        <f aca="false">MAX(0,C57-C59)*輸入與假設!$C$332</f>
        <v>10.9371390927005</v>
      </c>
      <c r="D61" s="66" t="n">
        <f aca="false">MAX(0,D57-D59)*輸入與假設!$C$332</f>
        <v>25.0854021025474</v>
      </c>
      <c r="E61" s="66" t="n">
        <f aca="false">MAX(0,E57-E59)*輸入與假設!$C$332</f>
        <v>29.5067938519977</v>
      </c>
      <c r="F61" s="66" t="n">
        <f aca="false">MAX(0,F57-F59)*輸入與假設!$C$332</f>
        <v>33.2854959545315</v>
      </c>
      <c r="G61" s="66" t="n">
        <f aca="false">MAX(0,G57-G59)*輸入與假設!$C$332</f>
        <v>36.2256511130568</v>
      </c>
    </row>
    <row r="62" customFormat="false" ht="15" hidden="false" customHeight="false" outlineLevel="1" collapsed="false">
      <c r="A62" s="2" t="s">
        <v>1822</v>
      </c>
      <c r="B62" s="11" t="s">
        <v>65</v>
      </c>
      <c r="C62" s="42" t="n">
        <f aca="false">C14+C56-(C61-C13)</f>
        <v>-41.6729221544262</v>
      </c>
      <c r="D62" s="42" t="n">
        <f aca="false">D14+D56-(D61-D13)</f>
        <v>-75.1383055391704</v>
      </c>
      <c r="E62" s="42" t="n">
        <f aca="false">E14+E56-(E61-E13)</f>
        <v>-33.0745004703204</v>
      </c>
      <c r="F62" s="42" t="n">
        <f aca="false">F14+F56-(F61-F13)</f>
        <v>9.05330550043988</v>
      </c>
      <c r="G62" s="42" t="n">
        <f aca="false">G14+G56-(G61-G13)</f>
        <v>-60.8116614084599</v>
      </c>
      <c r="I62" s="6" t="s">
        <v>1823</v>
      </c>
    </row>
    <row r="63" customFormat="false" ht="15" hidden="false" customHeight="false" outlineLevel="1" collapsed="false">
      <c r="A63" s="3" t="s">
        <v>1824</v>
      </c>
      <c r="B63" s="11" t="s">
        <v>65</v>
      </c>
      <c r="C63" s="66" t="n">
        <f aca="false">C62*C16</f>
        <v>-39.2891607623377</v>
      </c>
      <c r="D63" s="66" t="n">
        <f aca="false">D62*D16</f>
        <v>-62.9676940327633</v>
      </c>
      <c r="E63" s="66" t="n">
        <f aca="false">E62*E16</f>
        <v>-24.63696920081</v>
      </c>
      <c r="F63" s="66" t="n">
        <f aca="false">F62*F16</f>
        <v>5.99430390416119</v>
      </c>
      <c r="G63" s="66" t="n">
        <f aca="false">G62*G16</f>
        <v>-35.7895341235668</v>
      </c>
    </row>
    <row r="64" customFormat="false" ht="15" hidden="false" customHeight="false" outlineLevel="1" collapsed="false">
      <c r="A64" s="3" t="s">
        <v>1825</v>
      </c>
      <c r="C64" s="10" t="n">
        <f aca="false">SUM(C63:G63)</f>
        <v>-156.689054215317</v>
      </c>
    </row>
    <row r="65" customFormat="false" ht="15" hidden="false" customHeight="false" outlineLevel="1" collapsed="false">
      <c r="A65" s="3" t="s">
        <v>1826</v>
      </c>
      <c r="C65" s="10" t="n">
        <f aca="false">C20-G14+G62</f>
        <v>246.350385892149</v>
      </c>
      <c r="I65" s="6" t="s">
        <v>1827</v>
      </c>
    </row>
    <row r="66" customFormat="false" ht="15" hidden="false" customHeight="false" outlineLevel="1" collapsed="false">
      <c r="A66" s="3" t="s">
        <v>1828</v>
      </c>
      <c r="C66" s="9" t="n">
        <f aca="false">IF(OR(輸入與假設!$C$342&lt;=輸入與假設!$C$343,C65&lt;=0),1,0)</f>
        <v>0</v>
      </c>
    </row>
    <row r="67" customFormat="false" ht="15" hidden="false" customHeight="false" outlineLevel="1" collapsed="false">
      <c r="A67" s="3" t="s">
        <v>1829</v>
      </c>
      <c r="C67" s="10" t="n">
        <f aca="false">IF(C66=1,0,C65*(1+輸入與假設!$C$343)/(輸入與假設!$C$342-輸入與假設!$C$343))*G16</f>
        <v>1571.51678553199</v>
      </c>
    </row>
    <row r="68" customFormat="false" ht="15" hidden="false" customHeight="false" outlineLevel="1" collapsed="false">
      <c r="A68" s="3" t="s">
        <v>1830</v>
      </c>
      <c r="C68" s="10" t="n">
        <f aca="false">C64+C67</f>
        <v>1414.82773131667</v>
      </c>
    </row>
    <row r="69" customFormat="false" ht="15" hidden="false" customHeight="false" outlineLevel="1" collapsed="false">
      <c r="A69" s="3" t="s">
        <v>1831</v>
      </c>
      <c r="C69" s="90" t="n">
        <f aca="false">IF(OR((C68+C28)&lt;=0,評價_DCF與目標價!$C$91&lt;=0),0,(LN((C68+C28)/評價_DCF與目標價!$C$91)+(輸入與假設!$C$333+輸入與假設!$C$388^2/2)*輸入與假設!$C$389)/(輸入與假設!$C$388*SQRT(輸入與假設!$C$389)))</f>
        <v>0</v>
      </c>
    </row>
    <row r="70" customFormat="false" ht="15" hidden="false" customHeight="false" outlineLevel="1" collapsed="false">
      <c r="A70" s="3" t="s">
        <v>1832</v>
      </c>
      <c r="C70" s="12" t="n">
        <f aca="false">IF(C66=1,0,IF(輸入與假設!$C$387=2,IF((C68+C28)&lt;=0,0,IF(評價_DCF與目標價!$C$91&lt;=0,(C68+C28),(C68+C28)*NORMSDIST(C69)-評價_DCF與目標價!$C$91*EXP(-輸入與假設!$C$333*輸入與假設!$C$389)*NORMSDIST(C69-輸入與假設!$C$388*SQRT(輸入與假設!$C$389)))/C29),MAX(0,(C68-評價_DCF與目標價!$C$91+C28)/C29)))</f>
        <v>143.582923506681</v>
      </c>
      <c r="I70" s="6" t="s">
        <v>1833</v>
      </c>
    </row>
    <row r="71" customFormat="false" ht="15" hidden="false" customHeight="false" outlineLevel="1" collapsed="false">
      <c r="A71" s="3" t="s">
        <v>1834</v>
      </c>
      <c r="C71" s="12" t="n">
        <f aca="false">C70*(1+輸入與假設!$C$342)^輸入與假設!$C$395</f>
        <v>161.534464776428</v>
      </c>
    </row>
    <row r="72" customFormat="false" ht="15" hidden="false" customHeight="false" outlineLevel="1" collapsed="false">
      <c r="A72" s="3" t="s">
        <v>1835</v>
      </c>
      <c r="C72" s="12" t="n">
        <f aca="false">MAX(0,(C39+INDEX($D$56:$G$56,1,輸入與假設!$C$379)*輸入與假設!$C$348-C40)/C41)*C42</f>
        <v>263.508568267031</v>
      </c>
      <c r="I72" s="6" t="s">
        <v>1836</v>
      </c>
    </row>
    <row r="73" customFormat="false" ht="15" hidden="false" customHeight="false" outlineLevel="1" collapsed="false">
      <c r="A73" s="2" t="s">
        <v>1837</v>
      </c>
      <c r="C73" s="87" t="n">
        <f aca="false">C71*IF(C66=1,0,輸入與假設!$C$380)+C72*IF(C66=1,1,1-輸入與假設!$C$380)</f>
        <v>217.62022169626</v>
      </c>
      <c r="I73" s="6" t="s">
        <v>1838</v>
      </c>
    </row>
    <row r="74" customFormat="false" ht="15" hidden="false" customHeight="false" outlineLevel="1" collapsed="false">
      <c r="A74" s="2" t="s">
        <v>1839</v>
      </c>
      <c r="C74" s="87" t="n">
        <f aca="false">C73-C51</f>
        <v>18.3489775373276</v>
      </c>
      <c r="I74" s="6" t="s">
        <v>1840</v>
      </c>
    </row>
    <row r="76" customFormat="false" ht="15" hidden="false" customHeight="false" outlineLevel="0" collapsed="false">
      <c r="A76" s="52" t="s">
        <v>1841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1842</v>
      </c>
      <c r="C77" s="92" t="n">
        <f aca="false">SUMPRODUCT(資產負債_既有債務!$D$28:$D$28*資產負債_既有債務!$G$28:$G$28)</f>
        <v>0</v>
      </c>
      <c r="I77" s="6" t="s">
        <v>1843</v>
      </c>
    </row>
    <row r="78" customFormat="false" ht="15" hidden="false" customHeight="false" outlineLevel="1" collapsed="false">
      <c r="A78" s="3" t="s">
        <v>1844</v>
      </c>
      <c r="C78" s="92" t="n">
        <f aca="false">輸入與假設!$C$321+C77</f>
        <v>11.030314</v>
      </c>
    </row>
    <row r="79" customFormat="false" ht="15" hidden="false" customHeight="false" outlineLevel="1" collapsed="false">
      <c r="A79" s="3" t="s">
        <v>1845</v>
      </c>
      <c r="C79" s="10" t="n">
        <f aca="false">輸入與假設!$C$322+SUMPRODUCT(資產負債_既有債務!$C$28:$C$28*(1-資產負債_既有債務!$G$28:$G$28))+輸入與假設!$C$331</f>
        <v>-168.937</v>
      </c>
      <c r="I79" s="6" t="s">
        <v>1846</v>
      </c>
    </row>
    <row r="80" customFormat="false" ht="15" hidden="false" customHeight="false" outlineLevel="1" collapsed="false">
      <c r="A80" s="3" t="s">
        <v>1847</v>
      </c>
      <c r="C80" s="90" t="n">
        <f aca="false">C78+各期收支!G97</f>
        <v>11.030314</v>
      </c>
    </row>
    <row r="81" customFormat="false" ht="15" hidden="false" customHeight="false" outlineLevel="1" collapsed="false">
      <c r="A81" s="3" t="s">
        <v>1848</v>
      </c>
      <c r="C81" s="90" t="n">
        <f aca="false">IF(OR((C23+C28)&lt;=0,C79&lt;=0),0,(LN((C23+C28)/C79)+(輸入與假設!$C$333+輸入與假設!$C$388^2/2)*輸入與假設!$C$389)/(輸入與假設!$C$388*SQRT(輸入與假設!$C$389)))</f>
        <v>0</v>
      </c>
    </row>
    <row r="82" customFormat="false" ht="15" hidden="false" customHeight="false" outlineLevel="1" collapsed="false">
      <c r="A82" s="3" t="s">
        <v>1849</v>
      </c>
      <c r="C82" s="12" t="n">
        <f aca="false">IF(C30=1,0,IF(輸入與假設!$C$387=2,IF((C23+C28)&lt;=0,0,IF(C79&lt;=0,(C23+C28),(C23+C28)*NORMSDIST(C81)-C79*EXP(-輸入與假設!$C$333*輸入與假設!$C$389)*NORMSDIST(C81-輸入與假設!$C$388*SQRT(輸入與假設!$C$389)))/C80),MAX(0,(C23-C79+C28)/C80)))</f>
        <v>119.989072442747</v>
      </c>
      <c r="I82" s="6" t="s">
        <v>1850</v>
      </c>
    </row>
    <row r="83" customFormat="false" ht="15" hidden="false" customHeight="false" outlineLevel="1" collapsed="false">
      <c r="A83" s="3" t="s">
        <v>1851</v>
      </c>
      <c r="C83" s="10" t="n">
        <f aca="false">INDEX(各期收支!$D$102:$G$102,1,輸入與假設!$C$379)-INDEX(各期收支!$D$56:$G$56,1,輸入與假設!$C$379)+SUMPRODUCT(資產負債_既有債務!$C$28:$C$28*(資產負債_既有債務!$F$28:$F$28-資產負債_既有債務!$G$28:$G$28))+輸入與假設!$C$331</f>
        <v>-2.56914664468849</v>
      </c>
      <c r="I83" s="6" t="s">
        <v>1852</v>
      </c>
    </row>
    <row r="84" customFormat="false" ht="15" hidden="false" customHeight="false" outlineLevel="1" collapsed="false">
      <c r="A84" s="3" t="s">
        <v>1853</v>
      </c>
      <c r="C84" s="90" t="n">
        <f aca="false">C78*(1+輸入與假設!$C$384)^輸入與假設!$C$379+INDEX(各期收支!$D$97:$G$97,1,輸入與假設!$C$379)</f>
        <v>11.364543544514</v>
      </c>
    </row>
    <row r="85" customFormat="false" ht="15" hidden="false" customHeight="false" outlineLevel="1" collapsed="false">
      <c r="A85" s="3" t="s">
        <v>1854</v>
      </c>
      <c r="C85" s="12" t="n">
        <f aca="false">MAX(0,(C39-C83)/C84)*C42</f>
        <v>251.864352581542</v>
      </c>
    </row>
    <row r="86" customFormat="false" ht="15" hidden="false" customHeight="false" outlineLevel="1" collapsed="false">
      <c r="A86" s="2" t="s">
        <v>1855</v>
      </c>
      <c r="C86" s="87" t="n">
        <f aca="false">C82*(1+輸入與假設!$C$342)^輸入與假設!$C$395*IF(C30=1,0,輸入與假設!$C$380)+C85*IF(C30=1,1,1-輸入與假設!$C$380)</f>
        <v>199.271244158932</v>
      </c>
    </row>
    <row r="87" customFormat="false" ht="15" hidden="false" customHeight="false" outlineLevel="1" collapsed="false">
      <c r="A87" s="2" t="s">
        <v>1856</v>
      </c>
      <c r="C87" s="87" t="n">
        <f aca="false">MIN(輸入與假設!$C$320,C86)</f>
        <v>199.271244158932</v>
      </c>
      <c r="I87" s="6" t="s">
        <v>1857</v>
      </c>
    </row>
    <row r="88" customFormat="false" ht="15" hidden="false" customHeight="false" outlineLevel="1" collapsed="false">
      <c r="A88" s="3" t="s">
        <v>1858</v>
      </c>
      <c r="C88" s="92" t="n">
        <f aca="false">SUMPRODUCT(資產負債_既有債務!$D$28:$D$28*資產負債_既有債務!$H$28:$H$28)</f>
        <v>0</v>
      </c>
      <c r="I88" s="6" t="s">
        <v>1859</v>
      </c>
    </row>
    <row r="89" customFormat="false" ht="15" hidden="false" customHeight="false" outlineLevel="1" collapsed="false">
      <c r="A89" s="3" t="s">
        <v>1860</v>
      </c>
      <c r="C89" s="10" t="n">
        <f aca="false">SUMPRODUCT(資產負債_既有債務!$C$28:$C$28*(1-資產負債_既有債務!$H$28:$H$28))</f>
        <v>0</v>
      </c>
    </row>
    <row r="90" customFormat="false" ht="15" hidden="false" customHeight="false" outlineLevel="1" collapsed="false">
      <c r="A90" s="2" t="s">
        <v>1861</v>
      </c>
      <c r="C90" s="78" t="n">
        <f aca="false">輸入與假設!$C$321+C88</f>
        <v>11.030314</v>
      </c>
      <c r="I90" s="11" t="s">
        <v>1862</v>
      </c>
    </row>
    <row r="91" customFormat="false" ht="15" hidden="false" customHeight="false" outlineLevel="1" collapsed="false">
      <c r="A91" s="2" t="s">
        <v>1863</v>
      </c>
      <c r="C91" s="58" t="n">
        <f aca="false">輸入與假設!$C$322+C89+輸入與假設!$C$331</f>
        <v>-168.937</v>
      </c>
      <c r="I91" s="11" t="s">
        <v>1864</v>
      </c>
    </row>
    <row r="92" customFormat="false" ht="15" hidden="false" customHeight="false" outlineLevel="1" collapsed="false">
      <c r="A92" s="3" t="s">
        <v>1865</v>
      </c>
      <c r="C92" s="10" t="n">
        <f aca="false">SUMPRODUCT(資產負債_既有債務!$C$28:$C$28*(資產負債_既有債務!$F$28:$F$28-資產負債_既有債務!$H$28:$H$28))+輸入與假設!$C$331</f>
        <v>-178.944</v>
      </c>
      <c r="I92" s="6" t="s">
        <v>1866</v>
      </c>
    </row>
    <row r="93" customFormat="false" ht="15" hidden="false" customHeight="false" outlineLevel="1" collapsed="false">
      <c r="A93" s="4" t="s">
        <v>1867</v>
      </c>
      <c r="C93" s="3" t="str">
        <f aca="false">IF(C30=1,"DCF 失效，已以 EV/EBITDA 100% 計。",IF(AND(輸入與假設!$C$387&lt;&gt;2,C108&lt;0),"DCF 為 $0 仍計 "&amp;TEXT(輸入與假設!$C$380,"0%")&amp;" 權重的原因：DCF 沒有失效，而是算出的股權價值為負（每股約 −$"&amp;TEXT(ABS(C108),"0.0")&amp;"），代表自由現金流折現後的企業價值不足以償還淨負債。EV/EBITDA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$"&amp;TEXT(C43,"0.0")&amp;"（"&amp;CHOOSE(D107+2,"賣出","中立","買進")&amp;"）；"&amp;TEXT(輸入與假設!$C$380,"0%")&amp;"／"&amp;TEXT(1-輸入與假設!$C$380,"0%")&amp;" 為判斷值。",""))</f>
        <v/>
      </c>
      <c r="I93" s="6" t="s">
        <v>1868</v>
      </c>
    </row>
    <row r="95" customFormat="false" ht="15" hidden="false" customHeight="false" outlineLevel="0" collapsed="false">
      <c r="A95" s="52" t="s">
        <v>1869</v>
      </c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1" collapsed="false">
      <c r="A96" s="3" t="s">
        <v>1870</v>
      </c>
      <c r="C96" s="12" t="n">
        <f aca="false">C51</f>
        <v>199.271244158932</v>
      </c>
      <c r="I96" s="6" t="str">
        <f aca="false">"評等規則不變：空間 ≥"&amp;IF(ROUND(ABS(輸入與假設!$C$405)*100,4)=INT(ROUND(ABS(輸入與假設!$C$405)*100,4)),TEXT(ROUND(ABS(輸入與假設!$C$405)*100,4),"0"),TEXT(ROUND(ABS(輸入與假設!$C$405)*100,4),"0.0"))&amp;"%"&amp;" 且終值占比 &lt;"&amp;IF(ROUND(ABS(輸入與假設!$C$406)*100,4)=INT(ROUND(ABS(輸入與假設!$C$406)*100,4)),TEXT(ROUND(ABS(輸入與假設!$C$406)*100,4),"0"),TEXT(ROUND(ABS(輸入與假設!$C$406)*100,4),"0.0"))&amp;"%"&amp;"、股權募資 ≤"&amp;IF(輸入與假設!$C$408=INT(輸入與假設!$C$408),TEXT(輸入與假設!$C$408,"0"),TEXT(輸入與假設!$C$408,"0.0"))&amp;" 倍現市值 → 買進；空間 ≤−"&amp;IF(ROUND(ABS(輸入與假設!$C$407)*100,4)=INT(ROUND(ABS(輸入與假設!$C$407)*100,4)),TEXT(ROUND(ABS(輸入與假設!$C$407)*100,4),"0"),TEXT(ROUND(ABS(輸入與假設!$C$407)*100,4),"0.0"))&amp;"%"&amp;"，或股權募資 &gt;"&amp;IF(輸入與假設!$C$408=INT(輸入與假設!$C$408),TEXT(輸入與假設!$C$408,"0"),TEXT(輸入與假設!$C$408,"0.0"))&amp;" 倍且空間 ≤−"&amp;IF(ROUND(ABS(輸入與假設!$C$409)*100,4)=INT(ROUND(ABS(輸入與假設!$C$409)*100,4)),TEXT(ROUND(ABS(輸入與假設!$C$409)*100,4),"0"),TEXT(ROUND(ABS(輸入與假設!$C$409)*100,4),"0.0"))&amp;"%"&amp;"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97" customFormat="false" ht="15" hidden="false" customHeight="false" outlineLevel="1" collapsed="false">
      <c r="A97" s="3" t="s">
        <v>1871</v>
      </c>
      <c r="C97" s="13" t="n">
        <f aca="false">C22/MAX(ABS(C23),1)*IF(C23=0,1,SIGN(C23))</f>
        <v>1.1866554323473</v>
      </c>
    </row>
    <row r="98" customFormat="false" ht="15" hidden="false" customHeight="false" outlineLevel="1" collapsed="false">
      <c r="A98" s="3" t="s">
        <v>1872</v>
      </c>
      <c r="C98" s="16" t="n">
        <f aca="false">SUM(各期收支!C92:G92)/(輸入與假設!$C$320*輸入與假設!$C$321)</f>
        <v>0</v>
      </c>
    </row>
    <row r="99" customFormat="false" ht="15" hidden="false" customHeight="false" outlineLevel="1" collapsed="false">
      <c r="A99" s="3" t="s">
        <v>1873</v>
      </c>
      <c r="C99" s="9" t="n">
        <f aca="false">IF(AND((C51/MAX(輸入與假設!$C$320,0.01)-1)&gt;=輸入與假設!$C$405,$C$97&lt;輸入與假設!$C$406,$C$98&lt;=輸入與假設!$C$408),1,IF(OR((C51/MAX(輸入與假設!$C$320,0.01)-1)&lt;=輸入與假設!$C$407,AND($C$98&gt;輸入與假設!$C$408,(C51/MAX(輸入與假設!$C$320,0.01)-1)&lt;=輸入與假設!$C$409)),-1,0))</f>
        <v>-1</v>
      </c>
      <c r="D99" s="9" t="str">
        <f aca="false">CHOOSE(C99+2,"賣出","中立","買進")</f>
        <v>賣出</v>
      </c>
    </row>
    <row r="100" customFormat="false" ht="15" hidden="false" customHeight="false" outlineLevel="1" collapsed="false">
      <c r="A100" s="3" t="s">
        <v>1874</v>
      </c>
      <c r="C100" s="12" t="n">
        <f aca="false">輸入與假設!$C$320*(1+輸入與假設!$C$407)</f>
        <v>220.932</v>
      </c>
    </row>
    <row r="101" customFormat="false" ht="15" hidden="false" customHeight="false" outlineLevel="1" collapsed="false">
      <c r="A101" s="3" t="s">
        <v>1875</v>
      </c>
      <c r="C101" s="12" t="n">
        <f aca="false">輸入與假設!D439</f>
        <v>212.713645293901</v>
      </c>
      <c r="D101" s="9" t="n">
        <f aca="false">輸入與假設!E439</f>
        <v>-1</v>
      </c>
      <c r="E101" s="12" t="n">
        <f aca="false">C101-$C$100</f>
        <v>-8.21835470609904</v>
      </c>
      <c r="I101" s="6" t="s">
        <v>1876</v>
      </c>
    </row>
    <row r="102" customFormat="false" ht="15" hidden="false" customHeight="false" outlineLevel="1" collapsed="false">
      <c r="A102" s="3" t="s">
        <v>1877</v>
      </c>
      <c r="C102" s="12" t="n">
        <f aca="false">輸入與假設!D440</f>
        <v>199.271244158932</v>
      </c>
      <c r="D102" s="9" t="n">
        <f aca="false">輸入與假設!E440</f>
        <v>-1</v>
      </c>
      <c r="E102" s="12" t="n">
        <f aca="false">C102-$C$100</f>
        <v>-21.6607558410678</v>
      </c>
    </row>
    <row r="103" customFormat="false" ht="15" hidden="false" customHeight="false" outlineLevel="1" collapsed="false">
      <c r="A103" s="3" t="s">
        <v>1878</v>
      </c>
      <c r="C103" s="12" t="n">
        <f aca="false">輸入與假設!D441</f>
        <v>198.565856513395</v>
      </c>
      <c r="D103" s="9" t="n">
        <f aca="false">輸入與假設!E441</f>
        <v>-1</v>
      </c>
      <c r="E103" s="12" t="n">
        <f aca="false">C103-$C$100</f>
        <v>-22.3661434866053</v>
      </c>
    </row>
    <row r="104" customFormat="false" ht="15" hidden="false" customHeight="false" outlineLevel="1" collapsed="false">
      <c r="A104" s="3" t="s">
        <v>1879</v>
      </c>
      <c r="C104" s="12" t="n">
        <f aca="false">MIN(C101,C103)</f>
        <v>198.565856513395</v>
      </c>
      <c r="D104" s="12" t="n">
        <f aca="false">MAX(C101,C103)</f>
        <v>212.713645293901</v>
      </c>
    </row>
    <row r="105" customFormat="false" ht="15" hidden="false" customHeight="false" outlineLevel="1" collapsed="false">
      <c r="A105" s="3" t="s">
        <v>1880</v>
      </c>
      <c r="C105" s="16" t="n">
        <f aca="false">MIN(輸入與假設!$C$382,輸入與假設!$C$383)</f>
        <v>5</v>
      </c>
      <c r="D105" s="16" t="n">
        <f aca="false">MAX(輸入與假設!$C$382,輸入與假設!$C$383)</f>
        <v>6</v>
      </c>
    </row>
    <row r="106" customFormat="false" ht="15" hidden="false" customHeight="false" outlineLevel="1" collapsed="false">
      <c r="A106" s="3" t="s">
        <v>1881</v>
      </c>
      <c r="C106" s="12" t="n">
        <f aca="false">MIN(C48*IF(C30=1,0,輸入與假設!$C$380)+MAX(0,(C45*C105+C44*輸入與假設!$C$378-C40)/C41)*C42*IF(C30=1,1,1-輸入與假設!$C$380),C48*IF(C30=1,0,輸入與假設!$C$380)+MAX(0,(C45*D105+C44*輸入與假設!$C$378-C40)/C41)*C42*IF(C30=1,1,1-輸入與假設!$C$380))</f>
        <v>195.251587146622</v>
      </c>
      <c r="D106" s="12" t="n">
        <f aca="false">MAX(C48*IF(C30=1,0,輸入與假設!$C$380)+MAX(0,(C45*C105+C44*輸入與假設!$C$378-C40)/C41)*C42*IF(C30=1,1,1-輸入與假設!$C$380),C48*IF(C30=1,0,輸入與假設!$C$380)+MAX(0,(C45*D105+C44*輸入與假設!$C$378-C40)/C41)*C42*IF(C30=1,1,1-輸入與假設!$C$380))</f>
        <v>199.271244158932</v>
      </c>
      <c r="I106" s="6" t="s">
        <v>1882</v>
      </c>
    </row>
    <row r="107" customFormat="false" ht="15" hidden="false" customHeight="false" outlineLevel="1" collapsed="false">
      <c r="A107" s="3" t="s">
        <v>1883</v>
      </c>
      <c r="C107" s="12" t="n">
        <f aca="false">C43</f>
        <v>251.864352581542</v>
      </c>
      <c r="D107" s="9" t="n">
        <f aca="false">IF(AND((C43/MAX(輸入與假設!$C$320,0.01)-1)&gt;=輸入與假設!$C$405,$C$97&lt;輸入與假設!$C$406,$C$98&lt;=輸入與假設!$C$408),1,IF(OR((C43/MAX(輸入與假設!$C$320,0.01)-1)&lt;=輸入與假設!$C$407,AND($C$98&gt;輸入與假設!$C$408,(C43/MAX(輸入與假設!$C$320,0.01)-1)&lt;=輸入與假設!$C$409)),-1,0))</f>
        <v>0</v>
      </c>
      <c r="E107" s="12" t="str">
        <f aca="false">CHOOSE(D107+2,"賣出","中立","買進")</f>
        <v>中立</v>
      </c>
    </row>
    <row r="108" customFormat="false" ht="15" hidden="false" customHeight="false" outlineLevel="1" collapsed="false">
      <c r="A108" s="3" t="s">
        <v>1884</v>
      </c>
      <c r="C108" s="12" t="n">
        <f aca="false">(C25+C28)/C29</f>
        <v>119.989072442747</v>
      </c>
    </row>
    <row r="109" customFormat="false" ht="15" hidden="false" customHeight="false" outlineLevel="1" collapsed="false">
      <c r="A109" s="3" t="s">
        <v>1885</v>
      </c>
      <c r="C109" s="93" t="n">
        <v>217.144663000452</v>
      </c>
      <c r="D109" s="12" t="n">
        <f aca="false">C109-輸入與假設!D439</f>
        <v>4.43101770655093</v>
      </c>
      <c r="I109" s="6" t="s">
        <v>1886</v>
      </c>
    </row>
    <row r="110" customFormat="false" ht="15" hidden="false" customHeight="false" outlineLevel="1" collapsed="false">
      <c r="A110" s="3" t="s">
        <v>1887</v>
      </c>
      <c r="C110" s="93" t="n">
        <v>217.62022169626</v>
      </c>
      <c r="D110" s="12" t="n">
        <f aca="false">C110-輸入與假設!D440</f>
        <v>18.3489775373276</v>
      </c>
      <c r="I110" s="6" t="s">
        <v>1886</v>
      </c>
    </row>
    <row r="111" customFormat="false" ht="15" hidden="false" customHeight="false" outlineLevel="1" collapsed="false">
      <c r="A111" s="3" t="s">
        <v>1888</v>
      </c>
      <c r="C111" s="93" t="n">
        <v>217.371947729156</v>
      </c>
      <c r="D111" s="12" t="n">
        <f aca="false">C111-輸入與假設!D441</f>
        <v>18.806091215761</v>
      </c>
      <c r="I111" s="6" t="s">
        <v>1886</v>
      </c>
    </row>
    <row r="112" customFormat="false" ht="15" hidden="false" customHeight="false" outlineLevel="1" collapsed="false">
      <c r="A112" s="3" t="s">
        <v>1889</v>
      </c>
      <c r="C112" s="94" t="n">
        <v>0.6</v>
      </c>
      <c r="D112" s="93" t="n">
        <v>168.235921833995</v>
      </c>
      <c r="I112" s="6" t="s">
        <v>1886</v>
      </c>
    </row>
    <row r="113" customFormat="false" ht="15" hidden="false" customHeight="false" outlineLevel="1" collapsed="false">
      <c r="A113" s="3" t="s">
        <v>1890</v>
      </c>
      <c r="C113" s="94" t="n">
        <v>1</v>
      </c>
      <c r="D113" s="93" t="n">
        <v>215.622814332765</v>
      </c>
      <c r="I113" s="6" t="s">
        <v>1886</v>
      </c>
    </row>
    <row r="114" customFormat="false" ht="15" hidden="false" customHeight="false" outlineLevel="1" collapsed="false">
      <c r="A114" s="3" t="s">
        <v>1891</v>
      </c>
      <c r="C114" s="93" t="n">
        <v>258.35776068892</v>
      </c>
      <c r="D114" s="95" t="n">
        <v>0</v>
      </c>
      <c r="I114" s="6" t="s">
        <v>1886</v>
      </c>
    </row>
    <row r="115" customFormat="false" ht="15" hidden="false" customHeight="false" outlineLevel="1" collapsed="false">
      <c r="A115" s="3" t="s">
        <v>1892</v>
      </c>
      <c r="C115" s="93" t="n">
        <v>236.280209245812</v>
      </c>
      <c r="D115" s="95" t="n">
        <v>0</v>
      </c>
      <c r="I115" s="6" t="s">
        <v>1886</v>
      </c>
    </row>
    <row r="116" customFormat="false" ht="15" hidden="false" customHeight="false" outlineLevel="1" collapsed="false">
      <c r="A116" s="3" t="s">
        <v>1893</v>
      </c>
      <c r="C116" s="93" t="n">
        <v>219.132431894358</v>
      </c>
      <c r="D116" s="95" t="n">
        <v>-1</v>
      </c>
      <c r="I116" s="6" t="s">
        <v>1886</v>
      </c>
    </row>
    <row r="117" customFormat="false" ht="15" hidden="false" customHeight="false" outlineLevel="1" collapsed="false">
      <c r="A117" s="3" t="s">
        <v>1894</v>
      </c>
      <c r="C117" s="93" t="n">
        <v>218.257048442535</v>
      </c>
      <c r="D117" s="95" t="n">
        <v>-1</v>
      </c>
      <c r="I117" s="6" t="s">
        <v>1886</v>
      </c>
    </row>
    <row r="118" customFormat="false" ht="15" hidden="false" customHeight="false" outlineLevel="1" collapsed="false">
      <c r="A118" s="3" t="s">
        <v>1895</v>
      </c>
      <c r="C118" s="93" t="n">
        <v>184.501682571749</v>
      </c>
      <c r="D118" s="95" t="n">
        <v>-1</v>
      </c>
      <c r="I118" s="6" t="s">
        <v>1886</v>
      </c>
    </row>
    <row r="119" customFormat="false" ht="15" hidden="false" customHeight="false" outlineLevel="1" collapsed="false">
      <c r="A119" s="3" t="s">
        <v>1896</v>
      </c>
      <c r="C119" s="93" t="n">
        <v>183.669910192532</v>
      </c>
      <c r="D119" s="95" t="n">
        <v>-1</v>
      </c>
      <c r="I119" s="6" t="s">
        <v>1886</v>
      </c>
    </row>
    <row r="120" customFormat="false" ht="15" hidden="false" customHeight="false" outlineLevel="1" collapsed="false">
      <c r="A120" s="3" t="s">
        <v>1897</v>
      </c>
      <c r="C120" s="93" t="n">
        <v>235.448157269727</v>
      </c>
      <c r="D120" s="95" t="n">
        <v>0</v>
      </c>
      <c r="I120" s="6" t="s">
        <v>1886</v>
      </c>
    </row>
    <row r="121" customFormat="false" ht="15" hidden="false" customHeight="false" outlineLevel="1" collapsed="false">
      <c r="A121" s="3" t="s">
        <v>1898</v>
      </c>
      <c r="C121" s="93" t="n">
        <v>280.626305421449</v>
      </c>
      <c r="D121" s="95" t="n">
        <v>0</v>
      </c>
      <c r="I121" s="6" t="s">
        <v>1886</v>
      </c>
    </row>
    <row r="122" customFormat="false" ht="15" hidden="false" customHeight="false" outlineLevel="1" collapsed="false">
      <c r="A122" s="3" t="s">
        <v>1899</v>
      </c>
      <c r="C122" s="94" t="n">
        <v>0.108837623203072</v>
      </c>
      <c r="D122" s="94" t="n">
        <v>0.0387968971998562</v>
      </c>
      <c r="I122" s="6" t="s">
        <v>1886</v>
      </c>
    </row>
    <row r="123" customFormat="false" ht="15" hidden="false" customHeight="false" outlineLevel="1" collapsed="false">
      <c r="A123" s="4" t="s">
        <v>1900</v>
      </c>
      <c r="C123" s="44" t="n">
        <v>214.305222795459</v>
      </c>
      <c r="D123" s="44" t="n">
        <v>212.713645293901</v>
      </c>
      <c r="E123" s="44" t="n">
        <v>208.403808086109</v>
      </c>
      <c r="I123" s="6" t="s">
        <v>1901</v>
      </c>
    </row>
    <row r="124" customFormat="false" ht="15" hidden="false" customHeight="false" outlineLevel="1" collapsed="false">
      <c r="A124" s="4" t="s">
        <v>1902</v>
      </c>
      <c r="C124" s="44" t="n">
        <v>189.443038602292</v>
      </c>
      <c r="D124" s="44" t="n">
        <v>199.271244158932</v>
      </c>
      <c r="E124" s="44" t="n">
        <v>231.047265651873</v>
      </c>
    </row>
    <row r="125" customFormat="false" ht="15" hidden="false" customHeight="false" outlineLevel="1" collapsed="false">
      <c r="A125" s="4" t="s">
        <v>1903</v>
      </c>
      <c r="C125" s="44" t="n">
        <v>188.362304353692</v>
      </c>
      <c r="D125" s="44" t="n">
        <v>198.565856513395</v>
      </c>
      <c r="E125" s="44" t="n">
        <v>231.717815186248</v>
      </c>
    </row>
    <row r="126" customFormat="false" ht="15" hidden="false" customHeight="false" outlineLevel="1" collapsed="false">
      <c r="A126" s="3" t="s">
        <v>1904</v>
      </c>
      <c r="C126" s="3" t="str">
        <f aca="false">"目標價 $"&amp;TEXT(C51,"0.0")&amp;"（情境區間 $"&amp;TEXT(C104,"0.0")&amp;"–$"&amp;TEXT(D104,"0.0")&amp;"）"</f>
        <v>目標價 $199.3（情境區間 $198.6–$212.7）</v>
      </c>
    </row>
    <row r="127" customFormat="false" ht="15" hidden="false" customHeight="false" outlineLevel="1" collapsed="false">
      <c r="A127" s="3" t="s">
        <v>1905</v>
      </c>
      <c r="C127" s="3" t="str">
        <f aca="false">"方法區間（目前情境，"&amp;IF(C105=INT(C105),TEXT(C105,"0"),TEXT(C105,"0.0"))&amp;"–"&amp;IF(D105=INT(D105),TEXT(D105,"0"),TEXT(D105,"0.0"))&amp;"x）"</f>
        <v>方法區間（目前情境，5–6x）</v>
      </c>
    </row>
    <row r="128" customFormat="false" ht="15" hidden="false" customHeight="false" outlineLevel="1" collapsed="false">
      <c r="A128" s="3" t="s">
        <v>1906</v>
      </c>
      <c r="C128" s="3" t="str">
        <f aca="false">IF(ABS(輸入與假設!$C$348-D105)&lt;0.000000001,"目前點位位於方法區間上緣（"&amp;IF(D105=INT(D105),TEXT(D105,"0"),TEXT(D105,"0.0"))&amp;"x 為穩態倍數上緣）",IF(ABS(輸入與假設!$C$348-C105)&lt;0.000000001,"目前點位位於方法區間下緣（"&amp;IF(C105=INT(C105),TEXT(C105,"0"),TEXT(C105,"0.0"))&amp;"x）","目前點位"&amp;IF(AND(輸入與假設!$C$348&gt;C105,輸入與假設!$C$348&lt;D105),"位於方法區間內",IF(輸入與假設!$C$348&gt;D105,"高於方法區間上緣","低於方法區間下緣"))&amp;"（目前倍數 "&amp;IF(輸入與假設!$C$348=INT(輸入與假設!$C$348),TEXT(輸入與假設!$C$348,"0"),TEXT(輸入與假設!$C$348,"0.0"))&amp;"x）"))</f>
        <v>目前點位位於方法區間上緣（6x 為穩態倍數上緣）</v>
      </c>
    </row>
    <row r="129" customFormat="false" ht="15" hidden="false" customHeight="false" outlineLevel="1" collapsed="false">
      <c r="A129" s="2" t="s">
        <v>1907</v>
      </c>
      <c r="C129" s="3" t="str">
        <f aca="false">IF(D104&lt;輸入與假設!$C$320,"情境區間上緣 $"&amp;TEXT(D104,"0.0")&amp;" 低於現價 $"&amp;TEXT(輸入與假設!$C$320,"0.00")&amp;IF((D101&lt;&gt;-1)+(D102&lt;&gt;-1)+(D103&lt;&gt;-1)&gt;0,"，但"&amp;SUBSTITUTE(TRIM(IF(D101&lt;&gt;-1,"保守","")&amp;" "&amp;IF(D102&lt;&gt;-1,"基準","")&amp;" "&amp;IF(D103&lt;&gt;-1,"積極",""))," ","、")&amp;"情境未達賣出門檻 $"&amp;TEXT($C$100,"0.0"),"：賣出在三個擴張情境下都成立"),"情境區間上緣 $"&amp;TEXT(D104,"0.0")&amp;" 不低於現價 $"&amp;TEXT(輸入與假設!$C$320,"0.00")&amp;"：賣出並非在三個擴張情境下都成立")&amp;"。"&amp;IF(ABS(E101)&lt;輸入與假設!$C$410*輸入與假設!$C$320,"保守情境 $"&amp;TEXT(C101,"0.0")&amp;"，"&amp;IF(E101&lt;0,"距賣出門檻","高於賣出門檻")&amp;" $"&amp;TEXT($C$100,"0.0")&amp;" 僅 $"&amp;TEXT(ABS(E101),"0.0")&amp;"。","")&amp;IF(ABS(E102)&lt;輸入與假設!$C$410*輸入與假設!$C$320,"基準情境 $"&amp;TEXT(C102,"0.0")&amp;"，"&amp;IF(E102&lt;0,"距賣出門檻","高於賣出門檻")&amp;" $"&amp;TEXT($C$100,"0.0")&amp;" 僅 $"&amp;TEXT(ABS(E102),"0.0")&amp;"。","")&amp;IF(ABS(E103)&lt;輸入與假設!$C$410*輸入與假設!$C$320,"積極情境 $"&amp;TEXT(C103,"0.0")&amp;"，"&amp;IF(E103&lt;0,"距賣出門檻","高於賣出門檻")&amp;" $"&amp;TEXT($C$100,"0.0")&amp;" 僅 $"&amp;TEXT(ABS(E103),"0.0")&amp;"。","")</f>
        <v>情境區間上緣 $212.7 低於現價 $259.92：賣出在三個擴張情境下都成立。保守情境 $212.7，距賣出門檻 $220.9 僅 $8.2。</v>
      </c>
    </row>
    <row r="131" customFormat="false" ht="15" hidden="false" customHeight="false" outlineLevel="0" collapsed="false">
      <c r="A131" s="52" t="s">
        <v>1908</v>
      </c>
      <c r="B131" s="8"/>
      <c r="C131" s="8"/>
      <c r="D131" s="8"/>
      <c r="E131" s="8"/>
      <c r="F131" s="8"/>
      <c r="G131" s="8"/>
      <c r="H131" s="8"/>
    </row>
    <row r="132" customFormat="false" ht="17.15" hidden="false" customHeight="false" outlineLevel="1" collapsed="false">
      <c r="A132" s="15" t="s">
        <v>1909</v>
      </c>
      <c r="B132" s="14" t="s">
        <v>1910</v>
      </c>
      <c r="C132" s="15" t="s">
        <v>62</v>
      </c>
      <c r="D132" s="15" t="s">
        <v>63</v>
      </c>
      <c r="E132" s="15" t="s">
        <v>153</v>
      </c>
      <c r="F132" s="15" t="s">
        <v>154</v>
      </c>
      <c r="I132" s="11" t="s">
        <v>1911</v>
      </c>
    </row>
    <row r="133" customFormat="false" ht="15" hidden="false" customHeight="false" outlineLevel="1" collapsed="false">
      <c r="A133" s="3" t="s">
        <v>1912</v>
      </c>
      <c r="B133" s="96" t="n">
        <v>3.4</v>
      </c>
      <c r="C133" s="12" t="n">
        <f aca="false">MAX(0,((INDEX(損益!$D$22:$G$22,1,1)-INDEX(輸入與假設!$D$195:$G$195,1,1))*$B133+INDEX(輸入與假設!$D$195:$G$195,1,1)*輸入與假設!$C$378-(INDEX(各期收支!$D$102:$G$102,1,1)-INDEX(各期收支!$D$56:$G$56,1,1)+評價_DCF與目標價!$C$92))/INDEX(損益!$D$24:$G$24,1,1))/(1+輸入與假設!$C$342)^(1-輸入與假設!$C$399)</f>
        <v>233.189118595755</v>
      </c>
      <c r="D133" s="12" t="n">
        <f aca="false">MAX(0,((INDEX(損益!$D$22:$G$22,1,2)-INDEX(輸入與假設!$D$195:$G$195,1,2))*$B133+INDEX(輸入與假設!$D$195:$G$195,1,2)*輸入與假設!$C$378-(INDEX(各期收支!$D$102:$G$102,1,2)-INDEX(各期收支!$D$56:$G$56,1,2)+評價_DCF與目標價!$C$92))/INDEX(損益!$D$24:$G$24,1,2))/(1+輸入與假設!$C$342)^(2-輸入與假設!$C$399)</f>
        <v>234.863257802954</v>
      </c>
      <c r="E133" s="12" t="n">
        <f aca="false">MAX(0,((INDEX(損益!$D$22:$G$22,1,3)-INDEX(輸入與假設!$D$195:$G$195,1,3))*$B133+INDEX(輸入與假設!$D$195:$G$195,1,3)*輸入與假設!$C$378-(INDEX(各期收支!$D$102:$G$102,1,3)-INDEX(各期收支!$D$56:$G$56,1,3)+評價_DCF與目標價!$C$92))/INDEX(損益!$D$24:$G$24,1,3))/(1+輸入與假設!$C$342)^(3-輸入與假設!$C$399)</f>
        <v>232.862337614256</v>
      </c>
      <c r="F133" s="12" t="n">
        <f aca="false">MAX(0,((INDEX(損益!$D$22:$G$22,1,4)-INDEX(輸入與假設!$D$195:$G$195,1,4))*$B133+INDEX(輸入與假設!$D$195:$G$195,1,4)*輸入與假設!$C$378-(INDEX(各期收支!$D$102:$G$102,1,4)-INDEX(各期收支!$D$56:$G$56,1,4)+評價_DCF與目標價!$C$92))/INDEX(損益!$D$24:$G$24,1,4))/(1+輸入與假設!$C$342)^(4-輸入與假設!$C$399)</f>
        <v>219.921931985837</v>
      </c>
    </row>
    <row r="134" customFormat="false" ht="15" hidden="false" customHeight="false" outlineLevel="1" collapsed="false">
      <c r="A134" s="3" t="s">
        <v>1913</v>
      </c>
      <c r="B134" s="96" t="n">
        <v>4.5</v>
      </c>
      <c r="C134" s="12" t="n">
        <f aca="false">MAX(0,((INDEX(損益!$D$22:$G$22,1,1)-INDEX(輸入與假設!$D$195:$G$195,1,1))*$B134+INDEX(輸入與假設!$D$195:$G$195,1,1)*輸入與假設!$C$378-(INDEX(各期收支!$D$102:$G$102,1,1)-INDEX(各期收支!$D$56:$G$56,1,1)+評價_DCF與目標價!$C$92))/INDEX(損益!$D$24:$G$24,1,1))/(1+輸入與假設!$C$342)^(1-輸入與假設!$C$399)</f>
        <v>237.572306333692</v>
      </c>
      <c r="D134" s="12" t="n">
        <f aca="false">MAX(0,((INDEX(損益!$D$22:$G$22,1,2)-INDEX(輸入與假設!$D$195:$G$195,1,2))*$B134+INDEX(輸入與假設!$D$195:$G$195,1,2)*輸入與假設!$C$378-(INDEX(各期收支!$D$102:$G$102,1,2)-INDEX(各期收支!$D$56:$G$56,1,2)+評價_DCF與目標價!$C$92))/INDEX(損益!$D$24:$G$24,1,2))/(1+輸入與假設!$C$342)^(2-輸入與假設!$C$399)</f>
        <v>241.350991611496</v>
      </c>
      <c r="E134" s="12" t="n">
        <f aca="false">MAX(0,((INDEX(損益!$D$22:$G$22,1,3)-INDEX(輸入與假設!$D$195:$G$195,1,3))*$B134+INDEX(輸入與假設!$D$195:$G$195,1,3)*輸入與假設!$C$378-(INDEX(各期收支!$D$102:$G$102,1,3)-INDEX(各期收支!$D$56:$G$56,1,3)+評價_DCF與目標價!$C$92))/INDEX(損益!$D$24:$G$24,1,3))/(1+輸入與假設!$C$342)^(3-輸入與假設!$C$399)</f>
        <v>240.901651638877</v>
      </c>
      <c r="F134" s="12" t="n">
        <f aca="false">MAX(0,((INDEX(損益!$D$22:$G$22,1,4)-INDEX(輸入與假設!$D$195:$G$195,1,4))*$B134+INDEX(輸入與假設!$D$195:$G$195,1,4)*輸入與假設!$C$378-(INDEX(各期收支!$D$102:$G$102,1,4)-INDEX(各期收支!$D$56:$G$56,1,4)+評價_DCF與目標價!$C$92))/INDEX(損益!$D$24:$G$24,1,4))/(1+輸入與假設!$C$342)^(4-輸入與假設!$C$399)</f>
        <v>229.05266024601</v>
      </c>
    </row>
    <row r="135" customFormat="false" ht="15" hidden="false" customHeight="false" outlineLevel="1" collapsed="false">
      <c r="A135" s="3" t="s">
        <v>1914</v>
      </c>
      <c r="B135" s="96" t="n">
        <v>5</v>
      </c>
      <c r="C135" s="12" t="n">
        <f aca="false">MAX(0,((INDEX(損益!$D$22:$G$22,1,1)-INDEX(輸入與假設!$D$195:$G$195,1,1))*$B135+INDEX(輸入與假設!$D$195:$G$195,1,1)*輸入與假設!$C$378-(INDEX(各期收支!$D$102:$G$102,1,1)-INDEX(各期收支!$D$56:$G$56,1,1)+評價_DCF與目標價!$C$92))/INDEX(損益!$D$24:$G$24,1,1))/(1+輸入與假設!$C$342)^(1-輸入與假設!$C$399)</f>
        <v>239.56466439639</v>
      </c>
      <c r="D135" s="12" t="n">
        <f aca="false">MAX(0,((INDEX(損益!$D$22:$G$22,1,2)-INDEX(輸入與假設!$D$195:$G$195,1,2))*$B135+INDEX(輸入與假設!$D$195:$G$195,1,2)*輸入與假設!$C$378-(INDEX(各期收支!$D$102:$G$102,1,2)-INDEX(各期收支!$D$56:$G$56,1,2)+評價_DCF與目標價!$C$92))/INDEX(損益!$D$24:$G$24,1,2))/(1+輸入與假設!$C$342)^(2-輸入與假設!$C$399)</f>
        <v>244.29996152447</v>
      </c>
      <c r="E135" s="12" t="n">
        <f aca="false">MAX(0,((INDEX(損益!$D$22:$G$22,1,3)-INDEX(輸入與假設!$D$195:$G$195,1,3))*$B135+INDEX(輸入與假設!$D$195:$G$195,1,3)*輸入與假設!$C$378-(INDEX(各期收支!$D$102:$G$102,1,3)-INDEX(各期收支!$D$56:$G$56,1,3)+評價_DCF與目標價!$C$92))/INDEX(損益!$D$24:$G$24,1,3))/(1+輸入與假設!$C$342)^(3-輸入與假設!$C$399)</f>
        <v>244.555885286432</v>
      </c>
      <c r="F135" s="12" t="n">
        <f aca="false">MAX(0,((INDEX(損益!$D$22:$G$22,1,4)-INDEX(輸入與假設!$D$195:$G$195,1,4))*$B135+INDEX(輸入與假設!$D$195:$G$195,1,4)*輸入與假設!$C$378-(INDEX(各期收支!$D$102:$G$102,1,4)-INDEX(各期收支!$D$56:$G$56,1,4)+評價_DCF與目標價!$C$92))/INDEX(損益!$D$24:$G$24,1,4))/(1+輸入與假設!$C$342)^(4-輸入與假設!$C$399)</f>
        <v>233.202991273362</v>
      </c>
    </row>
    <row r="136" customFormat="false" ht="15" hidden="false" customHeight="false" outlineLevel="1" collapsed="false">
      <c r="A136" s="3" t="s">
        <v>1915</v>
      </c>
      <c r="B136" s="96" t="n">
        <v>6</v>
      </c>
      <c r="C136" s="12" t="n">
        <f aca="false">MAX(0,((INDEX(損益!$D$22:$G$22,1,1)-INDEX(輸入與假設!$D$195:$G$195,1,1))*$B136+INDEX(輸入與假設!$D$195:$G$195,1,1)*輸入與假設!$C$378-(INDEX(各期收支!$D$102:$G$102,1,1)-INDEX(各期收支!$D$56:$G$56,1,1)+評價_DCF與目標價!$C$92))/INDEX(損益!$D$24:$G$24,1,1))/(1+輸入與假設!$C$342)^(1-輸入與假設!$C$399)</f>
        <v>243.549380521787</v>
      </c>
      <c r="D136" s="12" t="n">
        <f aca="false">MAX(0,((INDEX(損益!$D$22:$G$22,1,2)-INDEX(輸入與假設!$D$195:$G$195,1,2))*$B136+INDEX(輸入與假設!$D$195:$G$195,1,2)*輸入與假設!$C$378-(INDEX(各期收支!$D$102:$G$102,1,2)-INDEX(各期收支!$D$56:$G$56,1,2)+評價_DCF與目標價!$C$92))/INDEX(損益!$D$24:$G$24,1,2))/(1+輸入與假設!$C$342)^(2-輸入與假設!$C$399)</f>
        <v>250.197901350417</v>
      </c>
      <c r="E136" s="12" t="n">
        <f aca="false">MAX(0,((INDEX(損益!$D$22:$G$22,1,3)-INDEX(輸入與假設!$D$195:$G$195,1,3))*$B136+INDEX(輸入與假設!$D$195:$G$195,1,3)*輸入與假設!$C$378-(INDEX(各期收支!$D$102:$G$102,1,3)-INDEX(各期收支!$D$56:$G$56,1,3)+評價_DCF與目標價!$C$92))/INDEX(損益!$D$24:$G$24,1,3))/(1+輸入與假設!$C$342)^(3-輸入與假設!$C$399)</f>
        <v>251.864352581542</v>
      </c>
      <c r="F136" s="12" t="n">
        <f aca="false">MAX(0,((INDEX(損益!$D$22:$G$22,1,4)-INDEX(輸入與假設!$D$195:$G$195,1,4))*$B136+INDEX(輸入與假設!$D$195:$G$195,1,4)*輸入與假設!$C$378-(INDEX(各期收支!$D$102:$G$102,1,4)-INDEX(各期收支!$D$56:$G$56,1,4)+評價_DCF與目標價!$C$92))/INDEX(損益!$D$24:$G$24,1,4))/(1+輸入與假設!$C$342)^(4-輸入與假設!$C$399)</f>
        <v>241.503653328065</v>
      </c>
    </row>
    <row r="137" customFormat="false" ht="15" hidden="false" customHeight="false" outlineLevel="1" collapsed="false">
      <c r="A137" s="3" t="s">
        <v>1916</v>
      </c>
      <c r="B137" s="96" t="n">
        <v>7</v>
      </c>
      <c r="C137" s="12" t="n">
        <f aca="false">MAX(0,((INDEX(損益!$D$22:$G$22,1,1)-INDEX(輸入與假設!$D$195:$G$195,1,1))*$B137+INDEX(輸入與假設!$D$195:$G$195,1,1)*輸入與假設!$C$378-(INDEX(各期收支!$D$102:$G$102,1,1)-INDEX(各期收支!$D$56:$G$56,1,1)+評價_DCF與目標價!$C$92))/INDEX(損益!$D$24:$G$24,1,1))/(1+輸入與假設!$C$342)^(1-輸入與假設!$C$399)</f>
        <v>247.534096647184</v>
      </c>
      <c r="D137" s="12" t="n">
        <f aca="false">MAX(0,((INDEX(損益!$D$22:$G$22,1,2)-INDEX(輸入與假設!$D$195:$G$195,1,2))*$B137+INDEX(輸入與假設!$D$195:$G$195,1,2)*輸入與假設!$C$378-(INDEX(各期收支!$D$102:$G$102,1,2)-INDEX(各期收支!$D$56:$G$56,1,2)+評價_DCF與目標價!$C$92))/INDEX(損益!$D$24:$G$24,1,2))/(1+輸入與假設!$C$342)^(2-輸入與假設!$C$399)</f>
        <v>256.095841176365</v>
      </c>
      <c r="E137" s="12" t="n">
        <f aca="false">MAX(0,((INDEX(損益!$D$22:$G$22,1,3)-INDEX(輸入與假設!$D$195:$G$195,1,3))*$B137+INDEX(輸入與假設!$D$195:$G$195,1,3)*輸入與假設!$C$378-(INDEX(各期收支!$D$102:$G$102,1,3)-INDEX(各期收支!$D$56:$G$56,1,3)+評價_DCF與目標價!$C$92))/INDEX(損益!$D$24:$G$24,1,3))/(1+輸入與假設!$C$342)^(3-輸入與假設!$C$399)</f>
        <v>259.172819876653</v>
      </c>
      <c r="F137" s="12" t="n">
        <f aca="false">MAX(0,((INDEX(損益!$D$22:$G$22,1,4)-INDEX(輸入與假設!$D$195:$G$195,1,4))*$B137+INDEX(輸入與假設!$D$195:$G$195,1,4)*輸入與假設!$C$378-(INDEX(各期收支!$D$102:$G$102,1,4)-INDEX(各期收支!$D$56:$G$56,1,4)+評價_DCF與目標價!$C$92))/INDEX(損益!$D$24:$G$24,1,4))/(1+輸入與假設!$C$342)^(4-輸入與假設!$C$399)</f>
        <v>249.804315382768</v>
      </c>
    </row>
    <row r="138" customFormat="false" ht="15" hidden="false" customHeight="false" outlineLevel="1" collapsed="false"/>
    <row r="139" customFormat="false" ht="17.15" hidden="false" customHeight="false" outlineLevel="1" collapsed="false">
      <c r="A139" s="15" t="s">
        <v>1917</v>
      </c>
      <c r="B139" s="14" t="s">
        <v>1910</v>
      </c>
      <c r="C139" s="15" t="s">
        <v>62</v>
      </c>
      <c r="D139" s="15" t="s">
        <v>63</v>
      </c>
      <c r="E139" s="15" t="s">
        <v>153</v>
      </c>
      <c r="F139" s="15" t="s">
        <v>154</v>
      </c>
    </row>
    <row r="140" customFormat="false" ht="15" hidden="false" customHeight="false" outlineLevel="1" collapsed="false">
      <c r="A140" s="3" t="s">
        <v>1918</v>
      </c>
      <c r="B140" s="96" t="n">
        <v>3.4</v>
      </c>
      <c r="C140" s="12" t="n">
        <f aca="false">C48*IF(C30=1,0,輸入與假設!$C$380)+C133*IF(C30=1,1,1-輸入與假設!$C$380)</f>
        <v>188.999865466749</v>
      </c>
      <c r="D140" s="12" t="n">
        <f aca="false">C48*IF(C30=1,0,輸入與假設!$C$380)+D133*IF(C30=1,1,1-輸入與假設!$C$380)</f>
        <v>189.920642030709</v>
      </c>
      <c r="E140" s="12" t="n">
        <f aca="false">C48*IF(C30=1,0,輸入與假設!$C$380)+E133*IF(C30=1,1,1-輸入與假設!$C$380)</f>
        <v>188.820135926925</v>
      </c>
      <c r="F140" s="12" t="n">
        <f aca="false">C48*IF(C30=1,0,輸入與假設!$C$380)+F133*IF(C30=1,1,1-輸入與假設!$C$380)</f>
        <v>181.702912831294</v>
      </c>
    </row>
    <row r="141" customFormat="false" ht="15" hidden="false" customHeight="false" outlineLevel="1" collapsed="false">
      <c r="A141" s="3" t="s">
        <v>1919</v>
      </c>
      <c r="B141" s="96" t="n">
        <v>4.5</v>
      </c>
      <c r="C141" s="12" t="n">
        <f aca="false">C48*IF(C30=1,0,輸入與假設!$C$380)+C134*IF(C30=1,1,1-輸入與假設!$C$380)</f>
        <v>191.410618722614</v>
      </c>
      <c r="D141" s="12" t="n">
        <f aca="false">C48*IF(C30=1,0,輸入與假設!$C$380)+D134*IF(C30=1,1,1-輸入與假設!$C$380)</f>
        <v>193.488895625407</v>
      </c>
      <c r="E141" s="12" t="n">
        <f aca="false">C48*IF(C30=1,0,輸入與假設!$C$380)+E134*IF(C30=1,1,1-輸入與假設!$C$380)</f>
        <v>193.241758640466</v>
      </c>
      <c r="F141" s="12" t="n">
        <f aca="false">C48*IF(C30=1,0,輸入與假設!$C$380)+F134*IF(C30=1,1,1-輸入與假設!$C$380)</f>
        <v>186.72481337439</v>
      </c>
    </row>
    <row r="142" customFormat="false" ht="15" hidden="false" customHeight="false" outlineLevel="1" collapsed="false">
      <c r="A142" s="3" t="s">
        <v>1920</v>
      </c>
      <c r="B142" s="96" t="n">
        <v>5</v>
      </c>
      <c r="C142" s="12" t="n">
        <f aca="false">C48*IF(C30=1,0,輸入與假設!$C$380)+C135*IF(C30=1,1,1-輸入與假設!$C$380)</f>
        <v>192.506415657098</v>
      </c>
      <c r="D142" s="12" t="n">
        <f aca="false">C48*IF(C30=1,0,輸入與假設!$C$380)+D135*IF(C30=1,1,1-輸入與假設!$C$380)</f>
        <v>195.110829077542</v>
      </c>
      <c r="E142" s="12" t="n">
        <f aca="false">C48*IF(C30=1,0,輸入與假設!$C$380)+E135*IF(C30=1,1,1-輸入與假設!$C$380)</f>
        <v>195.251587146622</v>
      </c>
      <c r="F142" s="12" t="n">
        <f aca="false">C48*IF(C30=1,0,輸入與假設!$C$380)+F135*IF(C30=1,1,1-輸入與假設!$C$380)</f>
        <v>189.007495439433</v>
      </c>
    </row>
    <row r="143" customFormat="false" ht="15" hidden="false" customHeight="false" outlineLevel="1" collapsed="false">
      <c r="A143" s="3" t="s">
        <v>1921</v>
      </c>
      <c r="B143" s="96" t="n">
        <v>6</v>
      </c>
      <c r="C143" s="12" t="n">
        <f aca="false">C48*IF(C30=1,0,輸入與假設!$C$380)+C136*IF(C30=1,1,1-輸入與假設!$C$380)</f>
        <v>194.698009526067</v>
      </c>
      <c r="D143" s="12" t="n">
        <f aca="false">C48*IF(C30=1,0,輸入與假設!$C$380)+D136*IF(C30=1,1,1-輸入與假設!$C$380)</f>
        <v>198.354695981813</v>
      </c>
      <c r="E143" s="12" t="n">
        <f aca="false">C48*IF(C30=1,0,輸入與假設!$C$380)+E136*IF(C30=1,1,1-輸入與假設!$C$380)</f>
        <v>199.271244158932</v>
      </c>
      <c r="F143" s="12" t="n">
        <f aca="false">C48*IF(C30=1,0,輸入與假設!$C$380)+F136*IF(C30=1,1,1-輸入與假設!$C$380)</f>
        <v>193.57285956952</v>
      </c>
    </row>
    <row r="144" customFormat="false" ht="15" hidden="false" customHeight="false" outlineLevel="1" collapsed="false">
      <c r="A144" s="3" t="s">
        <v>1922</v>
      </c>
      <c r="B144" s="96" t="n">
        <v>7</v>
      </c>
      <c r="C144" s="12" t="n">
        <f aca="false">C48*IF(C30=1,0,輸入與假設!$C$380)+C137*IF(C30=1,1,1-輸入與假設!$C$380)</f>
        <v>196.889603395035</v>
      </c>
      <c r="D144" s="12" t="n">
        <f aca="false">C48*IF(C30=1,0,輸入與假設!$C$380)+D137*IF(C30=1,1,1-輸入與假設!$C$380)</f>
        <v>201.598562886085</v>
      </c>
      <c r="E144" s="12" t="n">
        <f aca="false">C48*IF(C30=1,0,輸入與假設!$C$380)+E137*IF(C30=1,1,1-輸入與假設!$C$380)</f>
        <v>203.290901171243</v>
      </c>
      <c r="F144" s="12" t="n">
        <f aca="false">C48*IF(C30=1,0,輸入與假設!$C$380)+F137*IF(C30=1,1,1-輸入與假設!$C$380)</f>
        <v>198.138223699606</v>
      </c>
    </row>
  </sheetData>
  <conditionalFormatting sqref="C133:F137">
    <cfRule type="cellIs" priority="2" operator="greaterThanOrEqual" aboveAverage="0" equalAverage="0" bottom="0" percent="0" rank="0" text="" dxfId="0">
      <formula>輸入與假設!$C$320</formula>
    </cfRule>
  </conditionalFormatting>
  <conditionalFormatting sqref="C140:F144">
    <cfRule type="cellIs" priority="3" operator="greaterThanOrEqual" aboveAverage="0" equalAverage="0" bottom="0" percent="0" rank="0" text="" dxfId="0">
      <formula>輸入與假設!$C$320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5" t="s">
        <v>1923</v>
      </c>
    </row>
    <row r="2" customFormat="false" ht="15" hidden="false" customHeight="false" outlineLevel="0" collapsed="false">
      <c r="A2" s="6" t="s">
        <v>1924</v>
      </c>
    </row>
    <row r="4" customFormat="false" ht="15" hidden="false" customHeight="false" outlineLevel="0" collapsed="false">
      <c r="A4" s="52" t="s">
        <v>1925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1812</v>
      </c>
      <c r="B5" s="97" t="n">
        <f aca="false">輸入與假設!$C$320</f>
        <v>259.92</v>
      </c>
    </row>
    <row r="6" customFormat="false" ht="15" hidden="false" customHeight="false" outlineLevel="1" collapsed="false">
      <c r="A6" s="3" t="s">
        <v>1926</v>
      </c>
      <c r="B6" s="97" t="n">
        <f aca="false">評價_DCF與目標價!C26</f>
        <v>119.989072442747</v>
      </c>
    </row>
    <row r="7" customFormat="false" ht="15" hidden="false" customHeight="false" outlineLevel="1" collapsed="false">
      <c r="A7" s="2" t="s">
        <v>1927</v>
      </c>
      <c r="B7" s="91" t="n">
        <f aca="false">B6-B5</f>
        <v>-139.930927557253</v>
      </c>
    </row>
    <row r="8" customFormat="false" ht="15" hidden="false" customHeight="false" outlineLevel="1" collapsed="false">
      <c r="A8" s="3" t="s">
        <v>1928</v>
      </c>
      <c r="B8" s="98" t="n">
        <f aca="false">輸入與假設!$C$32</f>
        <v>1</v>
      </c>
      <c r="C8" s="98" t="n">
        <f aca="false">輸入與假設!$C$223</f>
        <v>1</v>
      </c>
    </row>
    <row r="10" customFormat="false" ht="15" hidden="false" customHeight="false" outlineLevel="0" collapsed="false">
      <c r="A10" s="52" t="s">
        <v>1929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1930</v>
      </c>
    </row>
    <row r="12" customFormat="false" ht="15" hidden="false" customHeight="false" outlineLevel="1" collapsed="false">
      <c r="A12" s="6" t="s">
        <v>1931</v>
      </c>
    </row>
    <row r="13" customFormat="false" ht="15" hidden="false" customHeight="false" outlineLevel="1" collapsed="false">
      <c r="A13" s="6" t="s">
        <v>1932</v>
      </c>
    </row>
    <row r="14" customFormat="false" ht="15" hidden="false" customHeight="false" outlineLevel="1" collapsed="false">
      <c r="A14" s="6" t="s">
        <v>1933</v>
      </c>
    </row>
    <row r="16" customFormat="false" ht="15" hidden="false" customHeight="false" outlineLevel="0" collapsed="false">
      <c r="A16" s="52" t="s">
        <v>1934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1935</v>
      </c>
      <c r="B17" s="14" t="s">
        <v>1936</v>
      </c>
      <c r="C17" s="14" t="s">
        <v>1937</v>
      </c>
      <c r="D17" s="14" t="s">
        <v>1938</v>
      </c>
      <c r="G17" s="14" t="s">
        <v>1939</v>
      </c>
    </row>
    <row r="18" customFormat="false" ht="15" hidden="false" customHeight="false" outlineLevel="1" collapsed="false">
      <c r="A18" s="4" t="s">
        <v>1940</v>
      </c>
      <c r="B18" s="99" t="n">
        <v>10.6813</v>
      </c>
      <c r="C18" s="99" t="n">
        <v>27.8436</v>
      </c>
      <c r="D18" s="60" t="n">
        <v>1.6068</v>
      </c>
      <c r="G18" s="11" t="s">
        <v>1941</v>
      </c>
    </row>
    <row r="19" customFormat="false" ht="15" hidden="false" customHeight="false" outlineLevel="1" collapsed="false">
      <c r="A19" s="3" t="s">
        <v>1942</v>
      </c>
      <c r="B19" s="99" t="n">
        <v>45.0478</v>
      </c>
      <c r="C19" s="100" t="s">
        <v>1943</v>
      </c>
      <c r="D19" s="62" t="s">
        <v>1943</v>
      </c>
      <c r="G19" s="11" t="s">
        <v>1944</v>
      </c>
    </row>
    <row r="20" customFormat="false" ht="15" hidden="false" customHeight="false" outlineLevel="1" collapsed="false">
      <c r="A20" s="3" t="s">
        <v>471</v>
      </c>
      <c r="B20" s="60" t="n">
        <v>0.765</v>
      </c>
      <c r="C20" s="62" t="s">
        <v>1943</v>
      </c>
      <c r="D20" s="62" t="s">
        <v>1943</v>
      </c>
      <c r="G20" s="11" t="s">
        <v>1945</v>
      </c>
    </row>
    <row r="21" customFormat="false" ht="15" hidden="false" customHeight="false" outlineLevel="1" collapsed="false">
      <c r="A21" s="3" t="s">
        <v>1946</v>
      </c>
      <c r="B21" s="99" t="n">
        <v>10.6813</v>
      </c>
      <c r="C21" s="99" t="n">
        <v>21.3141</v>
      </c>
      <c r="D21" s="60" t="n">
        <v>0.9955</v>
      </c>
      <c r="G21" s="6" t="s">
        <v>1947</v>
      </c>
    </row>
    <row r="23" customFormat="false" ht="15" hidden="false" customHeight="false" outlineLevel="0" collapsed="false">
      <c r="A23" s="52" t="s">
        <v>1948</v>
      </c>
      <c r="B23" s="8"/>
      <c r="C23" s="8"/>
      <c r="D23" s="8"/>
      <c r="E23" s="8"/>
      <c r="F23" s="8"/>
      <c r="G23" s="8"/>
    </row>
    <row r="24" customFormat="false" ht="17.15" hidden="false" customHeight="false" outlineLevel="1" collapsed="false">
      <c r="A24" s="14" t="s">
        <v>1949</v>
      </c>
      <c r="B24" s="101" t="n">
        <v>0.35</v>
      </c>
      <c r="C24" s="101" t="n">
        <v>0.47</v>
      </c>
      <c r="D24" s="101" t="n">
        <v>0.59</v>
      </c>
      <c r="E24" s="101" t="n">
        <v>0.7</v>
      </c>
      <c r="I24" s="6" t="s">
        <v>1950</v>
      </c>
    </row>
    <row r="25" customFormat="false" ht="15" hidden="false" customHeight="false" outlineLevel="1" collapsed="false">
      <c r="A25" s="4" t="s">
        <v>1951</v>
      </c>
      <c r="B25" s="99" t="n">
        <v>23.68</v>
      </c>
      <c r="C25" s="99" t="n">
        <v>23.68</v>
      </c>
      <c r="D25" s="99" t="n">
        <v>23.68</v>
      </c>
      <c r="E25" s="99" t="n">
        <v>23.68</v>
      </c>
    </row>
    <row r="26" customFormat="false" ht="15" hidden="false" customHeight="false" outlineLevel="1" collapsed="false">
      <c r="A26" s="4" t="s">
        <v>1952</v>
      </c>
      <c r="B26" s="99" t="n">
        <v>25.07</v>
      </c>
      <c r="C26" s="99" t="n">
        <v>25.07</v>
      </c>
      <c r="D26" s="99" t="n">
        <v>25.07</v>
      </c>
      <c r="E26" s="99" t="n">
        <v>25.07</v>
      </c>
    </row>
    <row r="27" customFormat="false" ht="15" hidden="false" customHeight="false" outlineLevel="1" collapsed="false">
      <c r="A27" s="4" t="s">
        <v>1953</v>
      </c>
      <c r="B27" s="99" t="n">
        <v>26.46</v>
      </c>
      <c r="C27" s="99" t="n">
        <v>26.46</v>
      </c>
      <c r="D27" s="99" t="n">
        <v>26.46</v>
      </c>
      <c r="E27" s="99" t="n">
        <v>26.46</v>
      </c>
    </row>
    <row r="28" customFormat="false" ht="15" hidden="false" customHeight="false" outlineLevel="1" collapsed="false">
      <c r="A28" s="4" t="s">
        <v>1954</v>
      </c>
      <c r="B28" s="99" t="n">
        <v>27.84</v>
      </c>
      <c r="C28" s="99" t="n">
        <v>27.84</v>
      </c>
      <c r="D28" s="99" t="n">
        <v>27.84</v>
      </c>
      <c r="E28" s="99" t="n">
        <v>27.84</v>
      </c>
    </row>
    <row r="29" customFormat="false" ht="15" hidden="false" customHeight="false" outlineLevel="1" collapsed="false">
      <c r="A29" s="4" t="s">
        <v>1955</v>
      </c>
      <c r="B29" s="99" t="n">
        <v>29.27</v>
      </c>
      <c r="C29" s="99" t="n">
        <v>29.27</v>
      </c>
      <c r="D29" s="99" t="n">
        <v>29.27</v>
      </c>
      <c r="E29" s="99" t="n">
        <v>29.27</v>
      </c>
    </row>
    <row r="30" customFormat="false" ht="15" hidden="false" customHeight="false" outlineLevel="1" collapsed="false">
      <c r="A30" s="6" t="s">
        <v>1956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5" t="s">
        <v>1957</v>
      </c>
    </row>
    <row r="2" customFormat="false" ht="15" hidden="false" customHeight="false" outlineLevel="0" collapsed="false">
      <c r="A2" s="11" t="s">
        <v>1958</v>
      </c>
    </row>
    <row r="4" customFormat="false" ht="17.15" hidden="false" customHeight="false" outlineLevel="0" collapsed="false">
      <c r="A4" s="14" t="s">
        <v>1959</v>
      </c>
      <c r="B4" s="14" t="s">
        <v>1960</v>
      </c>
      <c r="C4" s="14" t="s">
        <v>1961</v>
      </c>
      <c r="D4" s="15" t="s">
        <v>1962</v>
      </c>
      <c r="E4" s="15" t="s">
        <v>1963</v>
      </c>
      <c r="F4" s="102" t="s">
        <v>1964</v>
      </c>
      <c r="G4" s="14" t="s">
        <v>1965</v>
      </c>
      <c r="H4" s="15" t="s">
        <v>1966</v>
      </c>
      <c r="I4" s="15" t="s">
        <v>1967</v>
      </c>
      <c r="J4" s="14" t="s">
        <v>1968</v>
      </c>
      <c r="K4" s="14" t="s">
        <v>915</v>
      </c>
    </row>
    <row r="5" customFormat="false" ht="15" hidden="false" customHeight="false" outlineLevel="0" collapsed="false">
      <c r="A5" s="4" t="s">
        <v>1969</v>
      </c>
      <c r="B5" s="24" t="n">
        <v>49.11</v>
      </c>
      <c r="C5" s="24" t="n">
        <v>46.03</v>
      </c>
      <c r="D5" s="59" t="n">
        <f aca="false">B5+C5</f>
        <v>95.14</v>
      </c>
      <c r="E5" s="24" t="n">
        <v>7.59</v>
      </c>
      <c r="F5" s="103" t="n">
        <f aca="false">D5/E5</f>
        <v>12.5349143610013</v>
      </c>
      <c r="G5" s="104" t="n">
        <f aca="false">(D5+16.54)/E5</f>
        <v>14.7140974967062</v>
      </c>
      <c r="H5" s="24" t="n">
        <f aca="false">-0.231+3.991</f>
        <v>3.76</v>
      </c>
      <c r="I5" s="104" t="n">
        <f aca="false">IF(H5&gt;0,D5/H5,"n/m")</f>
        <v>25.3031914893617</v>
      </c>
      <c r="J5" s="11" t="s">
        <v>1970</v>
      </c>
      <c r="K5" s="6" t="s">
        <v>1971</v>
      </c>
    </row>
    <row r="6" customFormat="false" ht="15" hidden="false" customHeight="false" outlineLevel="0" collapsed="false">
      <c r="A6" s="4" t="s">
        <v>1972</v>
      </c>
      <c r="B6" s="24" t="n">
        <v>68.49</v>
      </c>
      <c r="C6" s="24" t="n">
        <v>2.15</v>
      </c>
      <c r="D6" s="59" t="n">
        <f aca="false">B6+C6</f>
        <v>70.64</v>
      </c>
      <c r="E6" s="24" t="n">
        <v>1.36</v>
      </c>
      <c r="F6" s="103" t="n">
        <f aca="false">D6/E6</f>
        <v>51.9411764705882</v>
      </c>
      <c r="G6" s="104" t="n">
        <f aca="false">(D6+1.6253)/E6</f>
        <v>53.13625</v>
      </c>
      <c r="H6" s="24" t="n">
        <f aca="false">-0.612+0.418</f>
        <v>-0.194</v>
      </c>
      <c r="I6" s="104" t="str">
        <f aca="false">IF(H6&gt;0,D6/H6,"n/m")</f>
        <v>n/m</v>
      </c>
      <c r="J6" s="6" t="s">
        <v>1973</v>
      </c>
      <c r="K6" s="6" t="s">
        <v>1974</v>
      </c>
    </row>
    <row r="7" customFormat="false" ht="15" hidden="false" customHeight="false" outlineLevel="0" collapsed="false">
      <c r="A7" s="4" t="s">
        <v>1975</v>
      </c>
      <c r="B7" s="24" t="n">
        <v>18.61</v>
      </c>
      <c r="C7" s="24" t="n">
        <v>1.7</v>
      </c>
      <c r="D7" s="59" t="n">
        <f aca="false">B7+C7</f>
        <v>20.31</v>
      </c>
      <c r="E7" s="24" t="n">
        <v>0.707</v>
      </c>
      <c r="F7" s="103" t="n">
        <f aca="false">D7/E7</f>
        <v>28.7270155586987</v>
      </c>
      <c r="G7" s="104" t="n">
        <f aca="false">(D7+0.003)/E7</f>
        <v>28.7312588401697</v>
      </c>
      <c r="H7" s="24" t="n">
        <f aca="false">-1.047+0.418</f>
        <v>-0.629</v>
      </c>
      <c r="I7" s="104" t="str">
        <f aca="false">IF(H7&gt;0,D7/H7,"n/m")</f>
        <v>n/m</v>
      </c>
      <c r="J7" s="11" t="s">
        <v>1976</v>
      </c>
      <c r="K7" s="6" t="s">
        <v>1977</v>
      </c>
    </row>
    <row r="8" customFormat="false" ht="15" hidden="false" customHeight="false" outlineLevel="0" collapsed="false">
      <c r="A8" s="4" t="s">
        <v>1978</v>
      </c>
      <c r="B8" s="24" t="n">
        <v>8.22</v>
      </c>
      <c r="C8" s="24" t="n">
        <v>3.37</v>
      </c>
      <c r="D8" s="59" t="n">
        <f aca="false">B8+C8</f>
        <v>11.59</v>
      </c>
      <c r="E8" s="24" t="n">
        <v>0.6113</v>
      </c>
      <c r="F8" s="103" t="n">
        <f aca="false">D8/E8</f>
        <v>18.9595943072141</v>
      </c>
      <c r="G8" s="104" t="n">
        <f aca="false">(D8+0.066)/E8</f>
        <v>19.0675609357108</v>
      </c>
      <c r="H8" s="24" t="n">
        <f aca="false">-0.236+0.067</f>
        <v>-0.169</v>
      </c>
      <c r="I8" s="104" t="str">
        <f aca="false">IF(H8&gt;0,D8/H8,"n/m")</f>
        <v>n/m</v>
      </c>
      <c r="J8" s="11" t="s">
        <v>1979</v>
      </c>
      <c r="K8" s="6" t="s">
        <v>1980</v>
      </c>
    </row>
    <row r="9" customFormat="false" ht="15" hidden="false" customHeight="false" outlineLevel="0" collapsed="false">
      <c r="A9" s="4" t="s">
        <v>1981</v>
      </c>
      <c r="B9" s="24" t="n">
        <v>5.9</v>
      </c>
      <c r="C9" s="24" t="n">
        <v>2.53</v>
      </c>
      <c r="D9" s="59" t="n">
        <f aca="false">B9+C9</f>
        <v>8.43</v>
      </c>
      <c r="E9" s="24" t="n">
        <v>0.4403</v>
      </c>
      <c r="F9" s="103" t="n">
        <f aca="false">D9/E9</f>
        <v>19.1460367930956</v>
      </c>
      <c r="G9" s="104" t="n">
        <f aca="false">(D9+0.109)/E9</f>
        <v>19.3935952759482</v>
      </c>
      <c r="H9" s="24" t="n">
        <f aca="false">-0.561+0.063</f>
        <v>-0.498</v>
      </c>
      <c r="I9" s="104" t="str">
        <f aca="false">IF(H9&gt;0,D9/H9,"n/m")</f>
        <v>n/m</v>
      </c>
      <c r="J9" s="11" t="s">
        <v>1982</v>
      </c>
      <c r="K9" s="6" t="s">
        <v>1983</v>
      </c>
    </row>
    <row r="10" customFormat="false" ht="15" hidden="false" customHeight="false" outlineLevel="0" collapsed="false">
      <c r="A10" s="2" t="s">
        <v>1984</v>
      </c>
      <c r="F10" s="83" t="n">
        <f aca="false">MEDIAN(F5:F9)</f>
        <v>19.1460367930956</v>
      </c>
      <c r="G10" s="105" t="n">
        <f aca="false">MEDIAN(G5:G9)</f>
        <v>19.3935952759482</v>
      </c>
    </row>
    <row r="11" customFormat="false" ht="15" hidden="false" customHeight="false" outlineLevel="0" collapsed="false">
      <c r="A11" s="84" t="s">
        <v>1985</v>
      </c>
      <c r="B11" s="81" t="n">
        <v>2803.579</v>
      </c>
      <c r="C11" s="82" t="n">
        <f aca="false">輸入與假設!$C$322+SUMPRODUCT(資產負債_既有債務!$C$28:$C$28*(1-資產負債_既有債務!$H$24:$H$24))+輸入與假設!$C$331</f>
        <v>-168.937</v>
      </c>
      <c r="D11" s="57" t="n">
        <f aca="false">B11+C11</f>
        <v>2634.642</v>
      </c>
      <c r="E11" s="81" t="n">
        <v>775.68</v>
      </c>
      <c r="F11" s="83" t="n">
        <f aca="false">D11/E11</f>
        <v>3.39655785891089</v>
      </c>
      <c r="G11" s="105" t="n">
        <f aca="false">(D11+96.32)/E11</f>
        <v>3.52073277640264</v>
      </c>
      <c r="H11" s="81" t="n">
        <f aca="false">93.712+75.2</f>
        <v>168.912</v>
      </c>
      <c r="I11" s="105" t="n">
        <f aca="false">IF(H11&gt;0,D11/H11,"n/m")</f>
        <v>15.5977195225916</v>
      </c>
      <c r="J11" s="11" t="s">
        <v>1986</v>
      </c>
      <c r="K11" s="11" t="s">
        <v>1987</v>
      </c>
    </row>
    <row r="12" customFormat="false" ht="15" hidden="false" customHeight="false" outlineLevel="0" collapsed="false">
      <c r="A12" s="4" t="s">
        <v>1988</v>
      </c>
      <c r="B12" s="57" t="n">
        <f aca="false">輸入與假設!$C$320*評價_DCF與目標價!$C$90</f>
        <v>2866.99921488</v>
      </c>
      <c r="C12" s="57" t="n">
        <f aca="false">評價_DCF與目標價!$C$91</f>
        <v>-168.937</v>
      </c>
      <c r="D12" s="57" t="n">
        <f aca="false">B12+C12</f>
        <v>2698.06221488</v>
      </c>
      <c r="E12" s="82" t="n">
        <f aca="false">損益!D9</f>
        <v>973.543898210676</v>
      </c>
      <c r="F12" s="105" t="n">
        <f aca="false">D12/E12</f>
        <v>2.77138218403803</v>
      </c>
      <c r="G12" s="105" t="n">
        <f aca="false">(D12+96.32)/E12</f>
        <v>2.87031968462432</v>
      </c>
      <c r="H12" s="82" t="n">
        <f aca="false">損益!D22</f>
        <v>243.241207731697</v>
      </c>
      <c r="I12" s="105" t="n">
        <f aca="false">D12/H12</f>
        <v>11.0921263713509</v>
      </c>
      <c r="K12" s="6" t="s">
        <v>1989</v>
      </c>
    </row>
    <row r="14" customFormat="false" ht="15" hidden="false" customHeight="false" outlineLevel="0" collapsed="false">
      <c r="A14" s="6" t="s">
        <v>1990</v>
      </c>
    </row>
    <row r="15" customFormat="false" ht="15" hidden="false" customHeight="false" outlineLevel="0" collapsed="false">
      <c r="A15" s="11" t="s">
        <v>1991</v>
      </c>
    </row>
    <row r="16" customFormat="false" ht="15" hidden="false" customHeight="false" outlineLevel="0" collapsed="false">
      <c r="A16" s="6" t="s">
        <v>1992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70"/>
  </cols>
  <sheetData>
    <row r="1" customFormat="false" ht="21.6" hidden="false" customHeight="false" outlineLevel="0" collapsed="false">
      <c r="A1" s="1" t="s">
        <v>1993</v>
      </c>
    </row>
    <row r="2" customFormat="false" ht="15" hidden="false" customHeight="false" outlineLevel="0" collapsed="false">
      <c r="A2" s="6" t="s">
        <v>1994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1028</v>
      </c>
    </row>
    <row r="5" customFormat="false" ht="15" hidden="false" customHeight="false" outlineLevel="0" collapsed="false">
      <c r="A5" s="3" t="s">
        <v>1995</v>
      </c>
      <c r="B5" s="11" t="s">
        <v>65</v>
      </c>
      <c r="C5" s="39" t="n">
        <f aca="false">運營_產能與收入!C26/輸入與假設!C$34</f>
        <v>29.2299101059053</v>
      </c>
      <c r="D5" s="39" t="n">
        <f aca="false">運營_產能與收入!D26/輸入與假設!D$34</f>
        <v>58.3311801118447</v>
      </c>
      <c r="E5" s="39" t="n">
        <f aca="false">運營_產能與收入!E26/輸入與假設!E$34</f>
        <v>97.7923030863256</v>
      </c>
      <c r="F5" s="39" t="n">
        <f aca="false">運營_產能與收入!F26/輸入與假設!F$34</f>
        <v>137.479428210199</v>
      </c>
      <c r="G5" s="39" t="n">
        <f aca="false">運營_產能與收入!G26/輸入與假設!G$34</f>
        <v>177.258259995987</v>
      </c>
    </row>
    <row r="6" customFormat="false" ht="15" hidden="false" customHeight="false" outlineLevel="0" collapsed="false">
      <c r="A6" s="4" t="s">
        <v>1996</v>
      </c>
      <c r="B6" s="11" t="s">
        <v>42</v>
      </c>
      <c r="C6" s="53" t="n">
        <f aca="false">輸入與假設!C$204</f>
        <v>0.80253284070101</v>
      </c>
      <c r="D6" s="53" t="n">
        <f aca="false">輸入與假設!D$204</f>
        <v>0.807211009474101</v>
      </c>
      <c r="E6" s="53" t="n">
        <f aca="false">輸入與假設!E$204</f>
        <v>0.809785310117605</v>
      </c>
      <c r="F6" s="53" t="n">
        <f aca="false">輸入與假設!F$204</f>
        <v>0.811048080500552</v>
      </c>
      <c r="G6" s="53" t="n">
        <f aca="false">輸入與假設!G$204</f>
        <v>0.811798117804559</v>
      </c>
      <c r="I6" s="11" t="s">
        <v>1997</v>
      </c>
    </row>
    <row r="7" customFormat="false" ht="15" hidden="false" customHeight="false" outlineLevel="0" collapsed="false">
      <c r="A7" s="4" t="s">
        <v>1998</v>
      </c>
      <c r="B7" s="11" t="s">
        <v>65</v>
      </c>
      <c r="C7" s="66" t="n">
        <f aca="false">C5*C6</f>
        <v>23.4579627907274</v>
      </c>
      <c r="D7" s="66" t="n">
        <f aca="false">D5*D6</f>
        <v>47.0855707818978</v>
      </c>
      <c r="E7" s="66" t="n">
        <f aca="false">E5*E6</f>
        <v>79.190770481875</v>
      </c>
      <c r="F7" s="66" t="n">
        <f aca="false">F5*F6</f>
        <v>111.502426358196</v>
      </c>
      <c r="G7" s="66" t="n">
        <f aca="false">G5*G6</f>
        <v>143.897921830053</v>
      </c>
    </row>
    <row r="8" customFormat="false" ht="15" hidden="false" customHeight="false" outlineLevel="0" collapsed="false">
      <c r="A8" s="4" t="s">
        <v>1999</v>
      </c>
      <c r="B8" s="11" t="s">
        <v>65</v>
      </c>
      <c r="C8" s="66" t="n">
        <f aca="false">C5-C7</f>
        <v>5.77194731517797</v>
      </c>
      <c r="D8" s="66" t="n">
        <f aca="false">D5-D7</f>
        <v>11.2456093299469</v>
      </c>
      <c r="E8" s="66" t="n">
        <f aca="false">E5-E7</f>
        <v>18.6015326044506</v>
      </c>
      <c r="F8" s="66" t="n">
        <f aca="false">F5-F7</f>
        <v>25.9770018520037</v>
      </c>
      <c r="G8" s="66" t="n">
        <f aca="false">G5-G7</f>
        <v>33.3603381659336</v>
      </c>
    </row>
    <row r="9" customFormat="false" ht="15" hidden="false" customHeight="false" outlineLevel="0" collapsed="false">
      <c r="A9" s="4" t="s">
        <v>2000</v>
      </c>
      <c r="B9" s="11" t="s">
        <v>65</v>
      </c>
      <c r="C9" s="39" t="n">
        <f aca="false">輸入與假設!C$273/輸入與假設!C$34</f>
        <v>19.5363267532627</v>
      </c>
      <c r="D9" s="39" t="n">
        <f aca="false">輸入與假設!D$273/輸入與假設!D$34</f>
        <v>39.5941449245253</v>
      </c>
      <c r="E9" s="39" t="n">
        <f aca="false">輸入與假設!E$273/輸入與假設!E$34</f>
        <v>67.7841352565253</v>
      </c>
      <c r="F9" s="39" t="n">
        <f aca="false">輸入與假設!F$273/輸入與假設!F$34</f>
        <v>96.4796181845253</v>
      </c>
      <c r="G9" s="39" t="n">
        <f aca="false">輸入與假設!G$273/輸入與假設!G$34</f>
        <v>125.175101112525</v>
      </c>
      <c r="I9" s="11" t="s">
        <v>2001</v>
      </c>
    </row>
    <row r="10" customFormat="false" ht="15" hidden="false" customHeight="false" outlineLevel="0" collapsed="false">
      <c r="A10" s="3" t="s">
        <v>2002</v>
      </c>
      <c r="B10" s="11" t="s">
        <v>157</v>
      </c>
      <c r="C10" s="68" t="n">
        <f aca="false">C5/MAX(0.000000000001,輸入與假設!C104*輸入與假設!$C$56/1000)</f>
        <v>2987</v>
      </c>
      <c r="D10" s="68" t="n">
        <f aca="false">D5/MAX(0.000000000001,輸入與假設!D104*輸入與假設!$C$56/1000)</f>
        <v>5708.5</v>
      </c>
      <c r="E10" s="68" t="n">
        <f aca="false">E5/MAX(0.000000000001,輸入與假設!E104*輸入與假設!$C$56/1000)</f>
        <v>9337.5</v>
      </c>
      <c r="F10" s="68" t="n">
        <f aca="false">F5/MAX(0.000000000001,輸入與假設!F104*輸入與假設!$C$56/1000)</f>
        <v>12966.4</v>
      </c>
      <c r="G10" s="68" t="n">
        <f aca="false">G5/MAX(0.000000000001,輸入與假設!G104*輸入與假設!$C$56/1000)</f>
        <v>16595.2</v>
      </c>
    </row>
    <row r="11" customFormat="false" ht="15" hidden="false" customHeight="false" outlineLevel="0" collapsed="false">
      <c r="A11" s="3" t="s">
        <v>2003</v>
      </c>
      <c r="B11" s="11" t="s">
        <v>157</v>
      </c>
      <c r="C11" s="26" t="n">
        <f aca="false">(輸入與假設!$C$246+輸入與假設!C$247)/2</f>
        <v>0</v>
      </c>
      <c r="D11" s="26" t="n">
        <f aca="false">(輸入與假設!C$247+輸入與假設!D$247)/2</f>
        <v>0</v>
      </c>
      <c r="E11" s="26" t="n">
        <f aca="false">(輸入與假設!D$247+輸入與假設!E$247)/2</f>
        <v>0</v>
      </c>
      <c r="F11" s="26" t="n">
        <f aca="false">(輸入與假設!E$247+輸入與假設!F$247)/2</f>
        <v>0</v>
      </c>
      <c r="G11" s="26" t="n">
        <f aca="false">(輸入與假設!F$247+輸入與假設!G$247)/2</f>
        <v>0</v>
      </c>
      <c r="I11" s="11" t="s">
        <v>2004</v>
      </c>
    </row>
    <row r="12" customFormat="false" ht="15" hidden="false" customHeight="false" outlineLevel="0" collapsed="false">
      <c r="A12" s="3" t="s">
        <v>2005</v>
      </c>
      <c r="B12" s="11" t="s">
        <v>42</v>
      </c>
      <c r="C12" s="67" t="n">
        <f aca="false">MAX(0,C10-C11)/MAX(0.000000001,C10/輸入與假設!$C$217-C11)</f>
        <v>0.8</v>
      </c>
      <c r="D12" s="67" t="n">
        <f aca="false">MAX(0,D10-D11)/MAX(0.000000001,D10/輸入與假設!$C$217-D11)</f>
        <v>0.8</v>
      </c>
      <c r="E12" s="67" t="n">
        <f aca="false">MAX(0,E10-E11)/MAX(0.000000001,E10/輸入與假設!$C$217-E11)</f>
        <v>0.8</v>
      </c>
      <c r="F12" s="67" t="n">
        <f aca="false">MAX(0,F10-F11)/MAX(0.000000001,F10/輸入與假設!$C$217-F11)</f>
        <v>0.8</v>
      </c>
      <c r="G12" s="67" t="n">
        <f aca="false">MAX(0,G10-G11)/MAX(0.000000001,G10/輸入與假設!$C$217-G11)</f>
        <v>0.8</v>
      </c>
      <c r="I12" s="6" t="s">
        <v>2006</v>
      </c>
    </row>
    <row r="13" customFormat="false" ht="15" hidden="false" customHeight="false" outlineLevel="0" collapsed="false">
      <c r="A13" s="3" t="s">
        <v>2007</v>
      </c>
      <c r="B13" s="11" t="s">
        <v>218</v>
      </c>
      <c r="C13" s="30" t="n">
        <f aca="false">(輸入與假設!C67*TK_CapexFacility_H100+輸入與假設!C74*TK_CapexFacility_H100+輸入與假設!C81*TK_CapexFacility_GB200+輸入與假設!C88*TK_CapexFacility_GB300+輸入與假設!C95*TK_CapexFacility_GB300+輸入與假設!C102*TK_CapexFacility_VR200)/MAX(0.000000001,輸入與假設!C103)/1000*0.1/(1-(1+0.1)^(-輸入與假設!$C$264))</f>
        <v>0.00148893043681599</v>
      </c>
      <c r="D13" s="30" t="n">
        <f aca="false">(輸入與假設!D67*TK_CapexFacility_H100+輸入與假設!D74*TK_CapexFacility_H100+輸入與假設!D81*TK_CapexFacility_GB200+輸入與假設!D88*TK_CapexFacility_GB300+輸入與假設!D95*TK_CapexFacility_GB300+輸入與假設!D102*TK_CapexFacility_VR200)/MAX(0.000000001,輸入與假設!D103)/1000*0.1/(1-(1+0.1)^(-輸入與假設!$C$264))</f>
        <v>0.00148893043681599</v>
      </c>
      <c r="E13" s="30" t="n">
        <f aca="false">(輸入與假設!E67*TK_CapexFacility_H100+輸入與假設!E74*TK_CapexFacility_H100+輸入與假設!E81*TK_CapexFacility_GB200+輸入與假設!E88*TK_CapexFacility_GB300+輸入與假設!E95*TK_CapexFacility_GB300+輸入與假設!E102*TK_CapexFacility_VR200)/MAX(0.000000001,輸入與假設!E103)/1000*0.1/(1-(1+0.1)^(-輸入與假設!$C$264))</f>
        <v>0.00148893043681599</v>
      </c>
      <c r="F13" s="30" t="n">
        <f aca="false">(輸入與假設!F67*TK_CapexFacility_H100+輸入與假設!F74*TK_CapexFacility_H100+輸入與假設!F81*TK_CapexFacility_GB200+輸入與假設!F88*TK_CapexFacility_GB300+輸入與假設!F95*TK_CapexFacility_GB300+輸入與假設!F102*TK_CapexFacility_VR200)/MAX(0.000000001,輸入與假設!F103)/1000*0.1/(1-(1+0.1)^(-輸入與假設!$C$264))</f>
        <v>0.00148893043681599</v>
      </c>
      <c r="G13" s="30" t="n">
        <f aca="false">(輸入與假設!G67*TK_CapexFacility_H100+輸入與假設!G74*TK_CapexFacility_H100+輸入與假設!G81*TK_CapexFacility_GB200+輸入與假設!G88*TK_CapexFacility_GB300+輸入與假設!G95*TK_CapexFacility_GB300+輸入與假設!G102*TK_CapexFacility_VR200)/MAX(0.000000001,輸入與假設!G103)/1000*0.1/(1-(1+0.1)^(-輸入與假設!$C$264))</f>
        <v>0.00148893043681599</v>
      </c>
      <c r="I13" s="6" t="s">
        <v>2008</v>
      </c>
    </row>
    <row r="14" customFormat="false" ht="15" hidden="false" customHeight="false" outlineLevel="0" collapsed="false">
      <c r="A14" s="3" t="s">
        <v>2009</v>
      </c>
      <c r="B14" s="11" t="s">
        <v>65</v>
      </c>
      <c r="C14" s="66" t="n">
        <f aca="false">(1-輸入與假設!$C$218)*MAX(0,C10-C11)*C13</f>
        <v>0.88948704295387</v>
      </c>
      <c r="D14" s="66" t="n">
        <f aca="false">(1-輸入與假設!$C$218)*MAX(0,D10-D11)*D13</f>
        <v>1.69991187971281</v>
      </c>
      <c r="E14" s="66" t="n">
        <f aca="false">(1-輸入與假設!$C$218)*MAX(0,E10-E11)*E13</f>
        <v>2.78057759075385</v>
      </c>
      <c r="F14" s="66" t="n">
        <f aca="false">(1-輸入與假設!$C$218)*MAX(0,F10-F11)*F13</f>
        <v>3.86121352318616</v>
      </c>
      <c r="G14" s="66" t="n">
        <f aca="false">(1-輸入與假設!$C$218)*MAX(0,G10-G11)*G13</f>
        <v>4.94181967700973</v>
      </c>
      <c r="I14" s="6" t="s">
        <v>2010</v>
      </c>
    </row>
    <row r="15" customFormat="false" ht="15" hidden="false" customHeight="false" outlineLevel="0" collapsed="false">
      <c r="A15" s="3" t="s">
        <v>2011</v>
      </c>
      <c r="B15" s="11" t="s">
        <v>65</v>
      </c>
      <c r="C15" s="66" t="n">
        <f aca="false">C11*0/1000</f>
        <v>0</v>
      </c>
      <c r="D15" s="66" t="n">
        <f aca="false">D11*0/1000</f>
        <v>0</v>
      </c>
      <c r="E15" s="66" t="n">
        <f aca="false">E11*0/1000</f>
        <v>0</v>
      </c>
      <c r="F15" s="66" t="n">
        <f aca="false">F11*0/1000</f>
        <v>0</v>
      </c>
      <c r="G15" s="66" t="n">
        <f aca="false">G11*0/1000</f>
        <v>0</v>
      </c>
      <c r="I15" s="6" t="s">
        <v>2012</v>
      </c>
    </row>
    <row r="16" customFormat="false" ht="15" hidden="false" customHeight="false" outlineLevel="0" collapsed="false">
      <c r="A16" s="3" t="s">
        <v>2013</v>
      </c>
      <c r="B16" s="11" t="s">
        <v>65</v>
      </c>
      <c r="C16" s="66" t="n">
        <f aca="false">C7-C14-C15</f>
        <v>22.5684757477735</v>
      </c>
      <c r="D16" s="66" t="n">
        <f aca="false">D7-D14-D15</f>
        <v>45.385658902185</v>
      </c>
      <c r="E16" s="66" t="n">
        <f aca="false">E7-E14-E15</f>
        <v>76.4101928911211</v>
      </c>
      <c r="F16" s="66" t="n">
        <f aca="false">F7-F14-F15</f>
        <v>107.64121283501</v>
      </c>
      <c r="G16" s="66" t="n">
        <f aca="false">G7-G14-G15</f>
        <v>138.956102153043</v>
      </c>
    </row>
    <row r="17" customFormat="false" ht="15" hidden="false" customHeight="false" outlineLevel="0" collapsed="false">
      <c r="A17" s="3" t="s">
        <v>2014</v>
      </c>
      <c r="B17" s="11" t="s">
        <v>65</v>
      </c>
      <c r="C17" s="66" t="n">
        <f aca="false">C9*C12</f>
        <v>15.6290614026101</v>
      </c>
      <c r="D17" s="66" t="n">
        <f aca="false">D9*D12</f>
        <v>31.6753159396202</v>
      </c>
      <c r="E17" s="66" t="n">
        <f aca="false">E9*E12</f>
        <v>54.2273082052203</v>
      </c>
      <c r="F17" s="66" t="n">
        <f aca="false">F9*F12</f>
        <v>77.1836945476203</v>
      </c>
      <c r="G17" s="66" t="n">
        <f aca="false">G9*G12</f>
        <v>100.14008089002</v>
      </c>
    </row>
    <row r="18" customFormat="false" ht="15" hidden="false" customHeight="false" outlineLevel="0" collapsed="false">
      <c r="A18" s="3" t="s">
        <v>2015</v>
      </c>
      <c r="B18" s="11" t="s">
        <v>65</v>
      </c>
      <c r="C18" s="66" t="n">
        <f aca="false">(C16-C17)*(1-輸入與假設!$C$332)</f>
        <v>5.734732014843</v>
      </c>
      <c r="D18" s="66" t="n">
        <f aca="false">(D16-D17)*(1-輸入與假設!$C$332)</f>
        <v>11.3302274242635</v>
      </c>
      <c r="E18" s="66" t="n">
        <f aca="false">(E16-E17)*(1-輸入與假設!$C$332)</f>
        <v>18.3319359044285</v>
      </c>
      <c r="F18" s="66" t="n">
        <f aca="false">(F16-F17)*(1-輸入與假設!$C$332)</f>
        <v>25.1700931126985</v>
      </c>
      <c r="G18" s="66" t="n">
        <f aca="false">(G16-G17)*(1-輸入與假設!$C$332)</f>
        <v>32.0775599717623</v>
      </c>
      <c r="I18" s="6" t="s">
        <v>2016</v>
      </c>
    </row>
    <row r="19" customFormat="false" ht="15" hidden="false" customHeight="false" outlineLevel="0" collapsed="false">
      <c r="A19" s="4" t="s">
        <v>2017</v>
      </c>
      <c r="B19" s="11" t="s">
        <v>65</v>
      </c>
      <c r="C19" s="66" t="n">
        <f aca="false">(輸入與假設!$C$262+輸入與假設!$C$263)*輸入與假設!$C$267</f>
        <v>73.770468525</v>
      </c>
      <c r="D19" s="66" t="n">
        <f aca="false">C21</f>
        <v>153.579045241285</v>
      </c>
      <c r="E19" s="66" t="n">
        <f aca="false">D21</f>
        <v>312.25575553276</v>
      </c>
      <c r="F19" s="66" t="n">
        <f aca="false">E21</f>
        <v>448.808386644234</v>
      </c>
      <c r="G19" s="66" t="n">
        <f aca="false">F21</f>
        <v>561.902303027709</v>
      </c>
      <c r="I19" s="11" t="s">
        <v>2018</v>
      </c>
    </row>
    <row r="20" customFormat="false" ht="15" hidden="false" customHeight="false" outlineLevel="0" collapsed="false">
      <c r="A20" s="4" t="s">
        <v>2019</v>
      </c>
      <c r="B20" s="11" t="s">
        <v>65</v>
      </c>
      <c r="C20" s="39" t="n">
        <f aca="false">輸入與假設!C$254+輸入與假設!C$258</f>
        <v>89.5767400929162</v>
      </c>
      <c r="D20" s="39" t="n">
        <f aca="false">輸入與假設!D$254+輸入與假設!D$258</f>
        <v>198.270855216</v>
      </c>
      <c r="E20" s="39" t="n">
        <f aca="false">輸入與假設!E$254+輸入與假設!E$258</f>
        <v>204.336766368</v>
      </c>
      <c r="F20" s="39" t="n">
        <f aca="false">輸入與假設!F$254+輸入與假設!F$258</f>
        <v>209.573534568</v>
      </c>
      <c r="G20" s="39" t="n">
        <f aca="false">輸入與假設!G$254+輸入與假設!G$258</f>
        <v>325.038454746667</v>
      </c>
    </row>
    <row r="21" customFormat="false" ht="15" hidden="false" customHeight="false" outlineLevel="0" collapsed="false">
      <c r="A21" s="4" t="s">
        <v>2020</v>
      </c>
      <c r="B21" s="11" t="s">
        <v>65</v>
      </c>
      <c r="C21" s="66" t="n">
        <f aca="false">C19+C20-輸入與假設!C$273</f>
        <v>153.579045241285</v>
      </c>
      <c r="D21" s="66" t="n">
        <f aca="false">D19+D20-輸入與假設!D$273</f>
        <v>312.25575553276</v>
      </c>
      <c r="E21" s="66" t="n">
        <f aca="false">E19+E20-輸入與假設!E$273</f>
        <v>448.808386644234</v>
      </c>
      <c r="F21" s="66" t="n">
        <f aca="false">F19+F20-輸入與假設!F$273</f>
        <v>561.902303027709</v>
      </c>
      <c r="G21" s="66" t="n">
        <f aca="false">G19+G20-輸入與假設!G$273</f>
        <v>761.76565666185</v>
      </c>
      <c r="I21" s="6" t="s">
        <v>2021</v>
      </c>
    </row>
    <row r="22" customFormat="false" ht="15" hidden="false" customHeight="false" outlineLevel="0" collapsed="false">
      <c r="A22" s="3" t="s">
        <v>2022</v>
      </c>
      <c r="B22" s="11" t="s">
        <v>65</v>
      </c>
      <c r="C22" s="66" t="n">
        <f aca="false">(C19+C21)/2*C12</f>
        <v>90.939805506514</v>
      </c>
      <c r="D22" s="66" t="n">
        <f aca="false">(D19+D21)/2*D12</f>
        <v>186.333920309618</v>
      </c>
      <c r="E22" s="66" t="n">
        <f aca="false">(E19+E21)/2*E12</f>
        <v>304.425656870798</v>
      </c>
      <c r="F22" s="66" t="n">
        <f aca="false">(F19+F21)/2*F12</f>
        <v>404.284275868777</v>
      </c>
      <c r="G22" s="66" t="n">
        <f aca="false">(G19+G21)/2*G12</f>
        <v>529.467183875824</v>
      </c>
    </row>
    <row r="23" customFormat="false" ht="15" hidden="false" customHeight="false" outlineLevel="0" collapsed="false">
      <c r="A23" s="2" t="s">
        <v>2023</v>
      </c>
      <c r="B23" s="11" t="s">
        <v>42</v>
      </c>
      <c r="C23" s="67" t="n">
        <f aca="false">C18/MAX(0.000000001,C22)</f>
        <v>0.0630607464234374</v>
      </c>
      <c r="D23" s="67" t="n">
        <f aca="false">D18/MAX(0.000000001,D22)</f>
        <v>0.0608060379207225</v>
      </c>
      <c r="E23" s="67" t="n">
        <f aca="false">E18/MAX(0.000000001,E22)</f>
        <v>0.0602181041271722</v>
      </c>
      <c r="F23" s="67" t="n">
        <f aca="false">F18/MAX(0.000000001,F22)</f>
        <v>0.0622584023546545</v>
      </c>
      <c r="G23" s="67" t="n">
        <f aca="false">G18/MAX(0.000000001,G22)</f>
        <v>0.0605846045772791</v>
      </c>
      <c r="I23" s="6" t="s">
        <v>2024</v>
      </c>
    </row>
    <row r="24" customFormat="false" ht="15" hidden="false" customHeight="false" outlineLevel="0" collapsed="false">
      <c r="A24" s="4" t="s">
        <v>722</v>
      </c>
      <c r="B24" s="11" t="s">
        <v>42</v>
      </c>
      <c r="C24" s="53" t="n">
        <f aca="false">輸入與假設!$C$342</f>
        <v>0.125025600756152</v>
      </c>
      <c r="D24" s="53" t="n">
        <f aca="false">輸入與假設!$C$342</f>
        <v>0.125025600756152</v>
      </c>
      <c r="E24" s="53" t="n">
        <f aca="false">輸入與假設!$C$342</f>
        <v>0.125025600756152</v>
      </c>
      <c r="F24" s="53" t="n">
        <f aca="false">輸入與假設!$C$342</f>
        <v>0.125025600756152</v>
      </c>
      <c r="G24" s="53" t="n">
        <f aca="false">輸入與假設!$C$342</f>
        <v>0.125025600756152</v>
      </c>
    </row>
    <row r="25" customFormat="false" ht="15" hidden="false" customHeight="false" outlineLevel="0" collapsed="false">
      <c r="A25" s="2" t="s">
        <v>2025</v>
      </c>
      <c r="B25" s="11" t="s">
        <v>42</v>
      </c>
      <c r="C25" s="67" t="n">
        <f aca="false">C23-C24</f>
        <v>-0.0619648543327142</v>
      </c>
      <c r="D25" s="67" t="n">
        <f aca="false">D23-D24</f>
        <v>-0.0642195628354291</v>
      </c>
      <c r="E25" s="67" t="n">
        <f aca="false">E23-E24</f>
        <v>-0.0648074966289795</v>
      </c>
      <c r="F25" s="67" t="n">
        <f aca="false">F23-F24</f>
        <v>-0.0627671984014971</v>
      </c>
      <c r="G25" s="67" t="n">
        <f aca="false">G23-G24</f>
        <v>-0.0644409961788726</v>
      </c>
      <c r="I25" s="6" t="s">
        <v>2026</v>
      </c>
    </row>
    <row r="26" customFormat="false" ht="15" hidden="false" customHeight="false" outlineLevel="0" collapsed="false">
      <c r="A26" s="3" t="s">
        <v>2027</v>
      </c>
      <c r="B26" s="11" t="s">
        <v>65</v>
      </c>
      <c r="C26" s="66" t="n">
        <f aca="false">C5*(1/輸入與假設!$C$217-1)</f>
        <v>7.30747752647633</v>
      </c>
      <c r="D26" s="66" t="n">
        <f aca="false">D5*(1/輸入與假設!$C$217-1)</f>
        <v>14.5827950279612</v>
      </c>
      <c r="E26" s="66" t="n">
        <f aca="false">E5*(1/輸入與假設!$C$217-1)</f>
        <v>24.4480757715814</v>
      </c>
      <c r="F26" s="66" t="n">
        <f aca="false">F5*(1/輸入與假設!$C$217-1)</f>
        <v>34.3698570525499</v>
      </c>
      <c r="G26" s="66" t="n">
        <f aca="false">G5*(1/輸入與假設!$C$217-1)</f>
        <v>44.3145649989967</v>
      </c>
      <c r="I26" s="6" t="s">
        <v>2028</v>
      </c>
    </row>
    <row r="27" customFormat="false" ht="15" hidden="false" customHeight="false" outlineLevel="0" collapsed="false">
      <c r="A27" s="3" t="s">
        <v>2029</v>
      </c>
      <c r="B27" s="11" t="s">
        <v>42</v>
      </c>
      <c r="C27" s="67" t="n">
        <f aca="false">(C7+C26*C6-(1-輸入與假設!$C$218)*MAX(0.000000001,C10/輸入與假設!$C$217-C11)*C13-C15-C9)*(1-輸入與假設!$C$332)/MAX(0.000000001,(C19+C21)/2)</f>
        <v>0.0630607464234374</v>
      </c>
      <c r="D27" s="67" t="n">
        <f aca="false">(D7+D26*D6-(1-輸入與假設!$C$218)*MAX(0.000000001,D10/輸入與假設!$C$217-D11)*D13-D15-D9)*(1-輸入與假設!$C$332)/MAX(0.000000001,(D19+D21)/2)</f>
        <v>0.0608060379207225</v>
      </c>
      <c r="E27" s="67" t="n">
        <f aca="false">(E7+E26*E6-(1-輸入與假設!$C$218)*MAX(0.000000001,E10/輸入與假設!$C$217-E11)*E13-E15-E9)*(1-輸入與假設!$C$332)/MAX(0.000000001,(E19+E21)/2)</f>
        <v>0.0602181041271722</v>
      </c>
      <c r="F27" s="67" t="n">
        <f aca="false">(F7+F26*F6-(1-輸入與假設!$C$218)*MAX(0.000000001,F10/輸入與假設!$C$217-F11)*F13-F15-F9)*(1-輸入與假設!$C$332)/MAX(0.000000001,(F19+F21)/2)</f>
        <v>0.0622584023546546</v>
      </c>
      <c r="G27" s="67" t="n">
        <f aca="false">(G7+G26*G6-(1-輸入與假設!$C$218)*MAX(0.000000001,G10/輸入與假設!$C$217-G11)*G13-G15-G9)*(1-輸入與假設!$C$332)/MAX(0.000000001,(G19+G21)/2)</f>
        <v>0.0605846045772791</v>
      </c>
      <c r="I27" s="6" t="s">
        <v>2030</v>
      </c>
    </row>
    <row r="29" customFormat="false" ht="15" hidden="false" customHeight="false" outlineLevel="0" collapsed="false">
      <c r="A29" s="2" t="s">
        <v>2031</v>
      </c>
      <c r="C29" s="106" t="n">
        <f aca="false">輸入與假設!$C$56*(輸入與假設!$C$342*F22/(1-輸入與假設!$C$332)+F8+F14+F15+F17)/MAX(0.000000001,F5)</f>
        <v>1.16463194776252</v>
      </c>
      <c r="I29" s="6" t="s">
        <v>2032</v>
      </c>
    </row>
    <row r="30" customFormat="false" ht="15" hidden="false" customHeight="false" outlineLevel="0" collapsed="false">
      <c r="A30" s="3" t="s">
        <v>2033</v>
      </c>
      <c r="C30" s="107" t="n">
        <f aca="false">輸入與假設!$C$56</f>
        <v>0.952</v>
      </c>
    </row>
    <row r="32" customFormat="false" ht="15" hidden="false" customHeight="false" outlineLevel="0" collapsed="false">
      <c r="A32" s="84" t="s">
        <v>2034</v>
      </c>
    </row>
    <row r="33" customFormat="false" ht="15" hidden="false" customHeight="false" outlineLevel="0" collapsed="false">
      <c r="A33" s="4" t="s">
        <v>2035</v>
      </c>
      <c r="C33" s="23" t="n">
        <v>0.1</v>
      </c>
      <c r="I33" s="11" t="s">
        <v>2036</v>
      </c>
    </row>
    <row r="34" customFormat="false" ht="15" hidden="false" customHeight="false" outlineLevel="0" collapsed="false">
      <c r="A34" s="3" t="s">
        <v>2037</v>
      </c>
      <c r="C34" s="68" t="n">
        <f aca="false">F10</f>
        <v>12966.4</v>
      </c>
    </row>
    <row r="35" customFormat="false" ht="15" hidden="false" customHeight="false" outlineLevel="0" collapsed="false">
      <c r="A35" s="3" t="s">
        <v>2038</v>
      </c>
      <c r="C35" s="68" t="n">
        <f aca="false">MAX(0,C34-F11)</f>
        <v>12966.4</v>
      </c>
    </row>
    <row r="36" customFormat="false" ht="15" hidden="false" customHeight="false" outlineLevel="0" collapsed="false">
      <c r="A36" s="4" t="s">
        <v>2039</v>
      </c>
      <c r="C36" s="66" t="n">
        <f aca="false">C34*(輸入與假設!F67*TK_HoldEcon_H100+輸入與假設!F74*TK_HoldEcon_H100+輸入與假設!F81*TK_HoldEcon_GB200+輸入與假設!F88*TK_HoldEcon_GB300+輸入與假設!F95*TK_HoldEcon_GB300+輸入與假設!F102*TK_HoldEcon_VR200)/MAX(0.000000001,輸入與假設!F103)/1000</f>
        <v>144.411164086344</v>
      </c>
    </row>
    <row r="37" customFormat="false" ht="15" hidden="false" customHeight="false" outlineLevel="0" collapsed="false">
      <c r="A37" s="4" t="s">
        <v>2040</v>
      </c>
      <c r="C37" s="66" t="n">
        <f aca="false">C34*(輸入與假設!F67*TK_OpexGW_H100+輸入與假設!F74*TK_OpexGW_H100+輸入與假設!F81*TK_OpexGW_GB200+輸入與假設!F88*TK_OpexGW_GB300+輸入與假設!F95*TK_OpexGW_GB300+輸入與假設!F102*TK_OpexGW_VR200)/MAX(0.000000001,輸入與假設!F103)/1000</f>
        <v>25.9770018520037</v>
      </c>
    </row>
    <row r="38" customFormat="false" ht="15" hidden="false" customHeight="false" outlineLevel="0" collapsed="false">
      <c r="A38" s="3" t="s">
        <v>2041</v>
      </c>
      <c r="C38" s="66" t="n">
        <f aca="false">F12*(輸入與假設!C$258+輸入與假設!D$258+輸入與假設!E$258+輸入與假設!F$258/2)</f>
        <v>2.09470728</v>
      </c>
    </row>
    <row r="39" customFormat="false" ht="15" hidden="false" customHeight="false" outlineLevel="0" collapsed="false">
      <c r="A39" s="3" t="s">
        <v>2042</v>
      </c>
      <c r="C39" s="66" t="n">
        <f aca="false">C35*((輸入與假設!F67*TK_CapexIT_H100+輸入與假設!F74*TK_CapexIT_H100+輸入與假設!F81*TK_CapexIT_GB200+輸入與假設!F88*TK_CapexIT_GB300+輸入與假設!F95*TK_CapexIT_GB300+輸入與假設!F102*TK_CapexIT_VR200)/MAX(0.000000001,輸入與假設!F103)/1000+輸入與假設!$C$218*(輸入與假設!F67*TK_CapexFacility_H100+輸入與假設!F74*TK_CapexFacility_H100+輸入與假設!F81*TK_CapexFacility_GB200+輸入與假設!F88*TK_CapexFacility_GB300+輸入與假設!F95*TK_CapexFacility_GB300+輸入與假設!F102*TK_CapexFacility_VR200)/MAX(0.000000001,輸入與假設!F103)/1000)*0.5</f>
        <v>281.212654508731</v>
      </c>
    </row>
    <row r="40" customFormat="false" ht="15" hidden="false" customHeight="false" outlineLevel="0" collapsed="false">
      <c r="A40" s="3" t="s">
        <v>2043</v>
      </c>
      <c r="C40" s="66" t="n">
        <f aca="false">C35*((輸入與假設!F67*TK_CapexIT_H100+輸入與假設!F74*TK_CapexIT_H100+輸入與假設!F81*TK_CapexIT_GB200+輸入與假設!F88*TK_CapexIT_GB300+輸入與假設!F95*TK_CapexIT_GB300+輸入與假設!F102*TK_CapexIT_VR200)/MAX(0.000000001,輸入與假設!F103)/1000/輸入與假設!$C$216+輸入與假設!$C$218*(輸入與假設!F67*TK_CapexFacility_H100+輸入與假設!F74*TK_CapexFacility_H100+輸入與假設!F81*TK_CapexFacility_GB200+輸入與假設!F88*TK_CapexFacility_GB300+輸入與假設!F95*TK_CapexFacility_GB300+輸入與假設!F102*TK_CapexFacility_VR200)/MAX(0.000000001,輸入與假設!F103)/1000/輸入與假設!$C$264)</f>
        <v>78.4138599829103</v>
      </c>
    </row>
    <row r="41" customFormat="false" ht="15" hidden="false" customHeight="false" outlineLevel="0" collapsed="false">
      <c r="A41" s="3" t="s">
        <v>2044</v>
      </c>
      <c r="C41" s="66" t="n">
        <f aca="false">C34*((輸入與假設!F67*TK_CapexIT_H100+輸入與假設!F74*TK_CapexIT_H100+輸入與假設!F81*TK_CapexIT_GB200+輸入與假設!F88*TK_CapexIT_GB300+輸入與假設!F95*TK_CapexIT_GB300+輸入與假設!F102*TK_CapexIT_VR200)/MAX(0.000000001,輸入與假設!F103)/1000+(輸入與假設!F67*TK_CapexFacility_H100+輸入與假設!F74*TK_CapexFacility_H100+輸入與假設!F81*TK_CapexFacility_GB200+輸入與假設!F88*TK_CapexFacility_GB300+輸入與假設!F95*TK_CapexFacility_GB300+輸入與假設!F102*TK_CapexFacility_VR200)/MAX(0.000000001,輸入與假設!F103)/1000)*0.5</f>
        <v>297.641083308731</v>
      </c>
    </row>
    <row r="42" customFormat="false" ht="15" hidden="false" customHeight="false" outlineLevel="0" collapsed="false">
      <c r="A42" s="3" t="s">
        <v>2045</v>
      </c>
      <c r="C42" s="66" t="n">
        <f aca="false">C34*((輸入與假設!F67*TK_CapexIT_H100+輸入與假設!F74*TK_CapexIT_H100+輸入與假設!F81*TK_CapexIT_GB200+輸入與假設!F88*TK_CapexIT_GB300+輸入與假設!F95*TK_CapexIT_GB300+輸入與假設!F102*TK_CapexIT_VR200)/MAX(0.000000001,輸入與假設!F103)/1000/輸入與假設!$C$216+(輸入與假設!F67*TK_CapexFacility_H100+輸入與假設!F74*TK_CapexFacility_H100+輸入與假設!F81*TK_CapexFacility_GB200+輸入與假設!F88*TK_CapexFacility_GB300+輸入與假設!F95*TK_CapexFacility_GB300+輸入與假設!F102*TK_CapexFacility_VR200)/MAX(0.000000001,輸入與假設!F103)/1000/輸入與假設!$C$264)</f>
        <v>80.0590800362436</v>
      </c>
    </row>
    <row r="43" customFormat="false" ht="15" hidden="false" customHeight="false" outlineLevel="0" collapsed="false">
      <c r="A43" s="3" t="s">
        <v>2046</v>
      </c>
      <c r="C43" s="67" t="n">
        <f aca="false">F23</f>
        <v>0.0622584023546545</v>
      </c>
    </row>
    <row r="44" customFormat="false" ht="15" hidden="false" customHeight="false" outlineLevel="0" collapsed="false">
      <c r="A44" s="3" t="s">
        <v>2047</v>
      </c>
      <c r="C44" s="67" t="n">
        <f aca="false">(F16-F17)/MAX(0.000000001,F22)</f>
        <v>0.075336885714732</v>
      </c>
    </row>
    <row r="45" customFormat="false" ht="15" hidden="false" customHeight="false" outlineLevel="0" collapsed="false">
      <c r="A45" s="3" t="s">
        <v>2048</v>
      </c>
      <c r="C45" s="67" t="n">
        <f aca="false">(C36-F8-(F14+F15)-F17)/MAX(0.000000001,F22)</f>
        <v>0.0924825831605422</v>
      </c>
    </row>
    <row r="46" customFormat="false" ht="15" hidden="false" customHeight="false" outlineLevel="0" collapsed="false">
      <c r="A46" s="3" t="s">
        <v>2049</v>
      </c>
      <c r="C46" s="67" t="n">
        <f aca="false">(C36-C37-(F14+F15)-F17)/MAX(0.000000001,F22)</f>
        <v>0.0924825831605422</v>
      </c>
    </row>
    <row r="47" customFormat="false" ht="15" hidden="false" customHeight="false" outlineLevel="0" collapsed="false">
      <c r="A47" s="3" t="s">
        <v>2050</v>
      </c>
      <c r="C47" s="67" t="n">
        <f aca="false">(C36-C37-(F14+F15)-(F17-C38/輸入與假設!$C$216))/MAX(0.000000001,F22-C38)</f>
        <v>0.0938322994700038</v>
      </c>
    </row>
    <row r="48" customFormat="false" ht="15" hidden="false" customHeight="false" outlineLevel="0" collapsed="false">
      <c r="A48" s="3" t="s">
        <v>2051</v>
      </c>
      <c r="C48" s="67" t="n">
        <f aca="false">(C36-C37-(F14+F15)-C40)/MAX(0.000000001,C39)</f>
        <v>0.128582722535771</v>
      </c>
    </row>
    <row r="49" customFormat="false" ht="15" hidden="false" customHeight="false" outlineLevel="0" collapsed="false">
      <c r="A49" s="2" t="s">
        <v>2052</v>
      </c>
      <c r="C49" s="67" t="n">
        <f aca="false">(C36-C37-C42)/MAX(0.000000001,C41)</f>
        <v>0.128930730165001</v>
      </c>
      <c r="I49" s="11" t="s">
        <v>2053</v>
      </c>
    </row>
    <row r="50" customFormat="false" ht="15" hidden="false" customHeight="false" outlineLevel="0" collapsed="false">
      <c r="A50" s="3" t="s">
        <v>2054</v>
      </c>
      <c r="C50" s="67" t="n">
        <f aca="false">C44-C43</f>
        <v>0.0130784833600775</v>
      </c>
    </row>
    <row r="51" customFormat="false" ht="15" hidden="false" customHeight="false" outlineLevel="0" collapsed="false">
      <c r="A51" s="3" t="s">
        <v>2055</v>
      </c>
      <c r="C51" s="67" t="n">
        <f aca="false">C45-C44</f>
        <v>0.0171456974458102</v>
      </c>
    </row>
    <row r="52" customFormat="false" ht="15" hidden="false" customHeight="false" outlineLevel="0" collapsed="false">
      <c r="A52" s="3" t="s">
        <v>2056</v>
      </c>
      <c r="C52" s="67" t="n">
        <f aca="false">C46-C45</f>
        <v>0</v>
      </c>
    </row>
    <row r="53" customFormat="false" ht="15" hidden="false" customHeight="false" outlineLevel="0" collapsed="false">
      <c r="A53" s="3" t="s">
        <v>2057</v>
      </c>
      <c r="C53" s="67" t="n">
        <f aca="false">C47-C46</f>
        <v>0.00134971630946158</v>
      </c>
    </row>
    <row r="54" customFormat="false" ht="15" hidden="false" customHeight="false" outlineLevel="0" collapsed="false">
      <c r="A54" s="3" t="s">
        <v>2058</v>
      </c>
      <c r="C54" s="67" t="n">
        <f aca="false">C48-C47</f>
        <v>0.0347504230657673</v>
      </c>
    </row>
    <row r="55" customFormat="false" ht="15" hidden="false" customHeight="false" outlineLevel="0" collapsed="false">
      <c r="A55" s="3" t="s">
        <v>2059</v>
      </c>
      <c r="C55" s="67" t="n">
        <f aca="false">C49-C48</f>
        <v>0.000348007629230152</v>
      </c>
    </row>
    <row r="56" customFormat="false" ht="15" hidden="false" customHeight="false" outlineLevel="0" collapsed="false">
      <c r="A56" s="3" t="s">
        <v>2060</v>
      </c>
      <c r="C56" s="67" t="n">
        <f aca="false">C33-C49</f>
        <v>-0.0289307301650012</v>
      </c>
    </row>
    <row r="57" customFormat="false" ht="15" hidden="false" customHeight="false" outlineLevel="0" collapsed="false">
      <c r="A57" s="2" t="s">
        <v>2061</v>
      </c>
      <c r="C57" s="67" t="n">
        <f aca="false">C33-C43</f>
        <v>0.0377415976453455</v>
      </c>
      <c r="I57" s="6" t="s">
        <v>2062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2063</v>
      </c>
    </row>
    <row r="3" customFormat="false" ht="15" hidden="false" customHeight="false" outlineLevel="0" collapsed="false">
      <c r="A3" s="14" t="s">
        <v>2064</v>
      </c>
      <c r="B3" s="14" t="s">
        <v>2065</v>
      </c>
      <c r="C3" s="14" t="s">
        <v>2066</v>
      </c>
      <c r="D3" s="14" t="s">
        <v>2067</v>
      </c>
      <c r="E3" s="14" t="s">
        <v>1001</v>
      </c>
    </row>
    <row r="4" customFormat="false" ht="15" hidden="false" customHeight="false" outlineLevel="0" collapsed="false">
      <c r="A4" s="4" t="s">
        <v>193</v>
      </c>
      <c r="B4" s="13" t="n">
        <f aca="false">SUM(輸入與假設!C35:G35)</f>
        <v>0.703125</v>
      </c>
      <c r="C4" s="108" t="n">
        <f aca="false">輸入與假設!$C$27</f>
        <v>0.703125</v>
      </c>
      <c r="D4" s="2" t="str">
        <f aca="false">IF(ABS(B4-C4)&lt;0.0001,"通過","不一致")</f>
        <v>通過</v>
      </c>
      <c r="E4" s="6" t="s">
        <v>2068</v>
      </c>
    </row>
    <row r="5" customFormat="false" ht="15" hidden="false" customHeight="false" outlineLevel="0" collapsed="false">
      <c r="A5" s="3" t="s">
        <v>2069</v>
      </c>
      <c r="B5" s="10" t="n">
        <f aca="false">各期收支!C116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2070</v>
      </c>
    </row>
    <row r="6" customFormat="false" ht="15" hidden="false" customHeight="false" outlineLevel="0" collapsed="false">
      <c r="A6" s="4" t="s">
        <v>2071</v>
      </c>
      <c r="B6" s="9" t="n">
        <f aca="false">運營_產能與收入!G9-運營_產能與收入!G10</f>
        <v>0</v>
      </c>
      <c r="C6" s="11" t="s">
        <v>2072</v>
      </c>
      <c r="D6" s="2" t="str">
        <f aca="false">IF(B6&gt;=0,"通過","不一致")</f>
        <v>通過</v>
      </c>
      <c r="E6" s="6" t="s">
        <v>2073</v>
      </c>
    </row>
    <row r="7" customFormat="false" ht="15" hidden="false" customHeight="false" outlineLevel="0" collapsed="false">
      <c r="A7" s="4" t="s">
        <v>2074</v>
      </c>
      <c r="B7" s="10" t="n">
        <f aca="false">各期收支!C120</f>
        <v>220</v>
      </c>
      <c r="C7" s="11" t="s">
        <v>2075</v>
      </c>
      <c r="D7" s="2" t="str">
        <f aca="false">IF(AND(B7&gt;=220,B7&lt;=220),"通過","觀察")</f>
        <v>通過</v>
      </c>
      <c r="E7" s="11" t="s">
        <v>2076</v>
      </c>
    </row>
    <row r="8" customFormat="false" ht="15" hidden="false" customHeight="false" outlineLevel="0" collapsed="false">
      <c r="A8" s="4" t="s">
        <v>2077</v>
      </c>
      <c r="B8" s="10" t="n">
        <f aca="false">各期收支!C119</f>
        <v>834.2190886313</v>
      </c>
      <c r="C8" s="6" t="s">
        <v>2078</v>
      </c>
      <c r="D8" s="2" t="str">
        <f aca="false">"不適用"</f>
        <v>不適用</v>
      </c>
      <c r="E8" s="11" t="s">
        <v>2079</v>
      </c>
    </row>
    <row r="9" customFormat="false" ht="15" hidden="false" customHeight="false" outlineLevel="0" collapsed="false">
      <c r="A9" s="3" t="s">
        <v>2080</v>
      </c>
      <c r="B9" s="13" t="n">
        <f aca="false">MAX(輸入與假設!C107:G107)</f>
        <v>0.560631179485467</v>
      </c>
      <c r="C9" s="11" t="s">
        <v>2081</v>
      </c>
      <c r="D9" s="2" t="str">
        <f aca="false">IF(B9&lt;=0.5,"通過","示警")</f>
        <v>示警</v>
      </c>
      <c r="E9" s="6" t="s">
        <v>2082</v>
      </c>
    </row>
    <row r="10" customFormat="false" ht="15" hidden="false" customHeight="false" outlineLevel="0" collapsed="false">
      <c r="A10" s="3" t="s">
        <v>2083</v>
      </c>
      <c r="B10" s="13" t="n">
        <f aca="false">MAX(輸入與假設!C109:G109)</f>
        <v>0.778846630451978</v>
      </c>
      <c r="C10" s="11" t="s">
        <v>2084</v>
      </c>
      <c r="D10" s="2" t="str">
        <f aca="false">IF(B10&lt;=1,"通過","超過硬上限")</f>
        <v>通過</v>
      </c>
      <c r="E10" s="11" t="s">
        <v>2085</v>
      </c>
    </row>
    <row r="11" customFormat="false" ht="15" hidden="false" customHeight="false" outlineLevel="0" collapsed="false">
      <c r="A11" s="3" t="s">
        <v>2086</v>
      </c>
      <c r="B11" s="9" t="n">
        <f aca="false">輸入與假設!G103-輸入與假設!G36</f>
        <v>0</v>
      </c>
      <c r="C11" s="6" t="n">
        <f aca="false">0</f>
        <v>0</v>
      </c>
      <c r="D11" s="2" t="str">
        <f aca="false">IF(ABS(B11)&lt;0.5,"通過","不一致")</f>
        <v>通過</v>
      </c>
      <c r="E11" s="6" t="s">
        <v>2087</v>
      </c>
    </row>
    <row r="12" customFormat="false" ht="15" hidden="false" customHeight="false" outlineLevel="0" collapsed="false">
      <c r="A12" s="4" t="s">
        <v>2088</v>
      </c>
      <c r="B12" s="10" t="n">
        <f aca="false">輸入與假設!C190</f>
        <v>72.8438825120473</v>
      </c>
      <c r="C12" s="6" t="s">
        <v>2089</v>
      </c>
      <c r="D12" s="2" t="str">
        <f aca="false">IF(AND(B12&gt;0,輸入與假設!$C$181&gt;=0,輸入與假設!$C$181&lt;=輸入與假設!$C$172),"通過","示警")</f>
        <v>通過</v>
      </c>
      <c r="E12" s="6" t="s">
        <v>2090</v>
      </c>
    </row>
    <row r="13" customFormat="false" ht="15" hidden="false" customHeight="false" outlineLevel="0" collapsed="false">
      <c r="A13" s="3" t="s">
        <v>2091</v>
      </c>
      <c r="B13" s="10" t="n">
        <f aca="false">輸入與假設!$C$29*輸入與假設!$C$112</f>
        <v>20.3542728558028</v>
      </c>
      <c r="C13" s="11" t="s">
        <v>2092</v>
      </c>
      <c r="D13" s="2" t="str">
        <f aca="false">IF(B13&gt;=25,"通過","觀察")</f>
        <v>觀察</v>
      </c>
      <c r="E13" s="6" t="str">
        <f aca="false">"要對上公司說法：對外 MW 需 "&amp;TEXT(25/輸入與假設!$C$112,"#,##0")&amp;"（k 不變），或 k 需 "&amp;TEXT(輸入與假設!$C$56*25/(輸入與假設!$C$29*輸入與假設!$C$112),"0.000")&amp;"（MW 不變）；只作驗證（對照表 r1 C3）"</f>
        <v>要對上公司說法：對外 MW 需 2,555（k 不變），或 k 需 1.169（MW 不變）；只作驗證（對照表 r1 C3）</v>
      </c>
    </row>
    <row r="14" customFormat="false" ht="15" hidden="false" customHeight="false" outlineLevel="0" collapsed="false">
      <c r="A14" s="4" t="s">
        <v>2093</v>
      </c>
      <c r="B14" s="9" t="n">
        <f aca="false">((220+220)/2-輸入與假設!C251-輸入與假設!C258)/(輸入與假設!C225*輸入與假設!$C$223/1000)</f>
        <v>3581.82516831461</v>
      </c>
      <c r="C14" s="11" t="s">
        <v>2094</v>
      </c>
      <c r="D14" s="2" t="str">
        <f aca="false">IF(ABS(B14/((輸入與假設!C244*(1-輸入與假設!$C$213)+輸入與假設!C245*輸入與假設!$C$213)/輸入與假設!$C$217-(輸入與假設!C248*(1-輸入與假設!$C$213)+輸入與假設!C249*輸入與假設!$C$213))-1)&lt;=0.2,"通過","觀察")</f>
        <v>通過</v>
      </c>
      <c r="E14" s="6" t="str">
        <f aca="false">"MW 路徑（AI 總 MW 當量）"&amp;TEXT((輸入與假設!C244*(1-輸入與假設!$C$213)+輸入與假設!C245*輸入與假設!$C$213)/輸入與假設!$C$217-(輸入與假設!C248*(1-輸入與假設!$C$213)+輸入與假設!C249*輸入與假設!$C$213),"#,##0")&amp;"；落差＝指引含 MW 路徑以外的支出或路徑偏低（首期以指引為準）"</f>
        <v>MW 路徑（AI 總 MW 當量）3,582；落差＝指引含 MW 路徑以外的支出或路徑偏低（首期以指引為準）</v>
      </c>
    </row>
    <row r="15" customFormat="false" ht="15" hidden="false" customHeight="false" outlineLevel="0" collapsed="false">
      <c r="A15" s="4" t="s">
        <v>2095</v>
      </c>
      <c r="B15" s="13" t="n">
        <f aca="false">AI增量報酬!C49</f>
        <v>0.128930730165001</v>
      </c>
      <c r="C15" s="11" t="s">
        <v>2096</v>
      </c>
      <c r="D15" s="2" t="str">
        <f aca="false">IF(ABS(B15-AI增量報酬!C33)&lt;=0.05,"通過","觀察")</f>
        <v>通過</v>
      </c>
      <c r="E15" s="6" t="str">
        <f aca="false">"模型稅後 "&amp;TEXT(AI增量報酬!F23*100,"0.0")&amp;"%；差距與逐項拆解見「AI增量報酬」C15 區（各項加總＝總差距）"</f>
        <v>模型稅後 6.2%；差距與逐項拆解見「AI增量報酬」C15 區（各項加總＝總差距）</v>
      </c>
    </row>
    <row r="16" customFormat="false" ht="15" hidden="false" customHeight="false" outlineLevel="0" collapsed="false">
      <c r="A16" s="4" t="s">
        <v>2097</v>
      </c>
      <c r="B16" s="10" t="n">
        <f aca="false">輸入與假設!$C$269</f>
        <v>7.38670501999999</v>
      </c>
      <c r="C16" s="11" t="s">
        <v>2098</v>
      </c>
      <c r="D16" s="2" t="str">
        <f aca="false">IF(ABS(B16)&lt;=0.1*輸入與假設!$C$219,"通過","觀察")</f>
        <v>觀察</v>
      </c>
      <c r="E16" s="6" t="str">
        <f aca="false">"分部 D&amp;A 年化 "&amp;TEXT(輸入與假設!$C$219,"0.0")&amp;"；AI 期初 "&amp;TEXT(輸入與假設!$C$265,"0.0")&amp;"＋非 AI "&amp;TEXT(輸入與假設!$C$266/輸入與假設!$C$268,"0.0")&amp;"（年限 "&amp;TEXT(輸入與假設!$C$268,"0")&amp;" 年）；殘差不回填（C17）"</f>
        <v>分部 D&amp;A 年化 55.5；AI 期初 13.3＋非 AI 34.8（年限 10 年）；殘差不回填（C17）</v>
      </c>
    </row>
    <row r="17" customFormat="false" ht="15" hidden="false" customHeight="false" outlineLevel="0" collapsed="false">
      <c r="A17" s="4" t="s">
        <v>2099</v>
      </c>
      <c r="B17" s="50" t="n">
        <f aca="false">SUM(各期收支!C6:G6)/((運營_產能與收入!G9-輸入與假設!$C$29)/1000)/1000*1000</f>
        <v>93.1516267374441</v>
      </c>
      <c r="C17" s="11" t="s">
        <v>2100</v>
      </c>
      <c r="D17" s="2" t="str">
        <f aca="false">IF(AND(B17&gt;=28,B17&lt;=51),"通過","觀察")</f>
        <v>觀察</v>
      </c>
      <c r="E17" s="11" t="s">
        <v>2101</v>
      </c>
    </row>
    <row r="18" customFormat="false" ht="15" hidden="false" customHeight="false" outlineLevel="0" collapsed="false">
      <c r="A18" s="3" t="s">
        <v>2102</v>
      </c>
      <c r="B18" s="16" t="n">
        <f aca="false">資產負債_租賃承諾!C23</f>
        <v>1</v>
      </c>
      <c r="C18" s="11" t="s">
        <v>2103</v>
      </c>
      <c r="D18" s="2" t="str">
        <f aca="false">IF(B18&gt;=0.8,"通過","不一致")</f>
        <v>通過</v>
      </c>
      <c r="E18" s="6" t="s">
        <v>2104</v>
      </c>
    </row>
    <row r="19" customFormat="false" ht="15" hidden="false" customHeight="false" outlineLevel="0" collapsed="false">
      <c r="A19" s="4" t="s">
        <v>2105</v>
      </c>
      <c r="B19" s="10" t="n">
        <f aca="false">各期收支!C121</f>
        <v>4.815165075</v>
      </c>
      <c r="C19" s="11" t="s">
        <v>2106</v>
      </c>
      <c r="D19" s="2" t="str">
        <f aca="false">IF(B19&gt;=2.1,"通過","觀察")</f>
        <v>通過</v>
      </c>
      <c r="E19" s="6" t="str">
        <f aca="false">"1H 實際 2.114＋2H 模型 "&amp;TEXT(各期收支!C17,"0.0")&amp;"；公司未提供季度利息指引（不適用）"</f>
        <v>1H 實際 2.114＋2H 模型 2.7；公司未提供季度利息指引（不適用）</v>
      </c>
    </row>
    <row r="20" customFormat="false" ht="15" hidden="false" customHeight="false" outlineLevel="0" collapsed="false">
      <c r="A20" s="4" t="s">
        <v>2107</v>
      </c>
      <c r="B20" s="29" t="n">
        <f aca="false">SUM(運營_產能與收入!E24:G24)/SUM(運營_產能與收入!E26:G26)</f>
        <v>1</v>
      </c>
      <c r="C20" s="11" t="s">
        <v>2108</v>
      </c>
      <c r="D20" s="2" t="str">
        <f aca="false">IF(B20&lt;0.5,"通過","觀察")</f>
        <v>觀察</v>
      </c>
      <c r="E20" s="11" t="s">
        <v>2109</v>
      </c>
    </row>
    <row r="21" customFormat="false" ht="15" hidden="false" customHeight="false" outlineLevel="0" collapsed="false">
      <c r="A21" s="3" t="s">
        <v>2110</v>
      </c>
      <c r="B21" s="57" t="n">
        <f aca="false">損益!D6-運營_產能與收入!D26</f>
        <v>0</v>
      </c>
      <c r="C21" s="6" t="n">
        <f aca="false">0</f>
        <v>0</v>
      </c>
      <c r="D21" s="2" t="str">
        <f aca="false">IF(ABS(B21)&lt;0.001,"通過","不一致")</f>
        <v>通過</v>
      </c>
      <c r="E21" s="11" t="s">
        <v>2111</v>
      </c>
    </row>
    <row r="22" customFormat="false" ht="15" hidden="false" customHeight="false" outlineLevel="0" collapsed="false">
      <c r="A22" s="3" t="s">
        <v>1777</v>
      </c>
      <c r="B22" s="13" t="n">
        <f aca="false">評價_DCF與目標價!C27</f>
        <v>1.1866554323473</v>
      </c>
      <c r="C22" s="6" t="str">
        <f aca="false">"&lt;"&amp;IF(ROUND(ABS(輸入與假設!$C$411)*100,4)=INT(ROUND(ABS(輸入與假設!$C$411)*100,4)),TEXT(ROUND(ABS(輸入與假設!$C$411)*100,4),"0"),TEXT(ROUND(ABS(輸入與假設!$C$411)*100,4),"0.0"))&amp;"%"</f>
        <v>&lt;85%</v>
      </c>
      <c r="D22" s="2" t="str">
        <f aca="false">IF(B22&lt;輸入與假設!$C$411,"通過","觀察")</f>
        <v>觀察</v>
      </c>
      <c r="E22" s="6" t="s">
        <v>2112</v>
      </c>
    </row>
    <row r="23" customFormat="false" ht="15" hidden="false" customHeight="false" outlineLevel="0" collapsed="false">
      <c r="A23" s="4" t="s">
        <v>2113</v>
      </c>
      <c r="B23" s="109" t="n">
        <f aca="false">(損益!D22+損益!D11-輸入與假設!D195-輸入與假設!D46)/(損益!D6+損益!D7)-輸入與假設!D204</f>
        <v>0</v>
      </c>
      <c r="C23" s="6" t="n">
        <f aca="false">0</f>
        <v>0</v>
      </c>
      <c r="D23" s="2" t="str">
        <f aca="false">IF(ABS(B23)&lt;0.0001,"通過","不一致")</f>
        <v>通過</v>
      </c>
      <c r="E23" s="6" t="s">
        <v>2114</v>
      </c>
    </row>
    <row r="24" customFormat="false" ht="15" hidden="false" customHeight="false" outlineLevel="0" collapsed="false">
      <c r="A24" s="3" t="s">
        <v>2115</v>
      </c>
      <c r="B24" s="57" t="n">
        <f aca="false">(運營_產能與收入!D40+運營_產能與收入!D41+輸入與假設!D205+輸入與假設!D46+輸入與假設!D195-運營_產能與收入!D62-各期收支!D16)+(運營_產能與收入!D35+運營_產能與收入!D24*輸入與假設!D41*(1-輸入與假設!D42))*運營_產能與收入!D39+各期收支!D16-損益!D22</f>
        <v>0</v>
      </c>
      <c r="C24" s="6" t="n">
        <f aca="false">0</f>
        <v>0</v>
      </c>
      <c r="D24" s="2" t="str">
        <f aca="false">IF(ABS(B24)&lt;0.001,"通過","不一致")</f>
        <v>通過</v>
      </c>
      <c r="E24" s="6" t="s">
        <v>2116</v>
      </c>
    </row>
    <row r="25" customFormat="false" ht="15" hidden="false" customHeight="false" outlineLevel="0" collapsed="false">
      <c r="A25" s="4" t="s">
        <v>2117</v>
      </c>
      <c r="B25" s="50" t="n">
        <f aca="false">評價_DCF與目標價!C30</f>
        <v>0</v>
      </c>
      <c r="C25" s="11" t="s">
        <v>2118</v>
      </c>
      <c r="D25" s="2" t="str">
        <f aca="false">IF(B25=0,"通過","觀察")</f>
        <v>通過</v>
      </c>
      <c r="E25" s="6" t="s">
        <v>2119</v>
      </c>
    </row>
    <row r="26" customFormat="false" ht="15" hidden="false" customHeight="false" outlineLevel="0" collapsed="false">
      <c r="A26" s="3" t="s">
        <v>2120</v>
      </c>
      <c r="B26" s="57" t="n">
        <f aca="false">MIN(各期收支!C56:G56)</f>
        <v>50</v>
      </c>
      <c r="C26" s="11" t="s">
        <v>2121</v>
      </c>
      <c r="D26" s="2" t="str">
        <f aca="false">IF(B26&gt;=49.999,"通過","不一致")</f>
        <v>通過</v>
      </c>
      <c r="E26" s="6" t="s">
        <v>2122</v>
      </c>
    </row>
    <row r="27" customFormat="false" ht="15" hidden="false" customHeight="false" outlineLevel="0" collapsed="false">
      <c r="A27" s="3" t="s">
        <v>2123</v>
      </c>
      <c r="B27" s="105" t="n">
        <f aca="false">SUM(各期收支!C92:G92)/(輸入與假設!$C$320*輸入與假設!$C$321)</f>
        <v>0</v>
      </c>
      <c r="C27" s="6" t="str">
        <f aca="false">"≤"&amp;IF(輸入與假設!$C$408=INT(輸入與假設!$C$408),TEXT(輸入與假設!$C$408,"0"),TEXT(輸入與假設!$C$408,"0.0"))&amp;"x"</f>
        <v>≤1.5x</v>
      </c>
      <c r="D27" s="2" t="str">
        <f aca="false">IF(B27&lt;=輸入與假設!$C$408,"通過","觀察")</f>
        <v>通過</v>
      </c>
      <c r="E27" s="6" t="str">
        <f aca="false">"超過 "&amp;IF(輸入與假設!$C$408=INT(輸入與假設!$C$408),TEXT(輸入與假設!$C$408,"0"),TEXT(輸入與假設!$C$408,"0.0"))&amp;" 倍：市場吸收能力存疑，結論不得為買進"</f>
        <v>超過 1.5 倍：市場吸收能力存疑，結論不得為買進</v>
      </c>
    </row>
    <row r="28" customFormat="false" ht="15" hidden="false" customHeight="false" outlineLevel="0" collapsed="false">
      <c r="A28" s="3" t="s">
        <v>2124</v>
      </c>
      <c r="B28" s="57" t="n">
        <f aca="false">資產負債_既有債務!E17+SUMPRODUCT(資產負債_既有債務!$C$28:$C$28*(1-資產負債_既有債務!$H$24:$H$24))</f>
        <v>132.995</v>
      </c>
      <c r="C28" s="11" t="s">
        <v>2125</v>
      </c>
      <c r="D28" s="2" t="str">
        <f aca="false">IF(ABS(B28-132.995)&lt;0.01,"通過","不一致")</f>
        <v>通過</v>
      </c>
      <c r="E28" s="6" t="s">
        <v>2126</v>
      </c>
    </row>
    <row r="29" customFormat="false" ht="15" hidden="false" customHeight="false" outlineLevel="0" collapsed="false">
      <c r="A29" s="4" t="s">
        <v>2127</v>
      </c>
      <c r="B29" s="57" t="n">
        <f aca="false">輸入與假設!C250+輸入與假設!C251</f>
        <v>219.998933537368</v>
      </c>
      <c r="C29" s="11" t="s">
        <v>2075</v>
      </c>
      <c r="D29" s="2" t="str">
        <f aca="false">IF(AND(B29&gt;=220,B29&lt;=220),"通過","觀察")</f>
        <v>觀察</v>
      </c>
      <c r="E29" s="6" t="s">
        <v>2128</v>
      </c>
    </row>
    <row r="30" customFormat="false" ht="15" hidden="false" customHeight="false" outlineLevel="0" collapsed="false">
      <c r="A30" s="4" t="s">
        <v>2129</v>
      </c>
      <c r="B30" s="57" t="n">
        <f aca="false">SUM(輸入與假設!C239:G239)</f>
        <v>21.3</v>
      </c>
      <c r="C30" s="6" t="n">
        <f aca="false">21.3</f>
        <v>21.3</v>
      </c>
      <c r="D30" s="2" t="str">
        <f aca="false">IF(ABS(B30-21.3)&lt;0.01,"通過","不一致")</f>
        <v>通過</v>
      </c>
      <c r="E30" s="6" t="s">
        <v>534</v>
      </c>
    </row>
    <row r="31" customFormat="false" ht="15" hidden="false" customHeight="false" outlineLevel="0" collapsed="false">
      <c r="A31" s="3" t="s">
        <v>2130</v>
      </c>
      <c r="B31" s="57" t="n">
        <f aca="false">運營_站點!G24</f>
        <v>0.227033452188748</v>
      </c>
      <c r="C31" s="6" t="s">
        <v>2131</v>
      </c>
      <c r="D31" s="2" t="str">
        <f aca="false">IF(B31&gt;=運營_站點!$H$8*運營_站點!$C$25*0.8,"通過","觀察")</f>
        <v>通過</v>
      </c>
      <c r="E31" s="6" t="s">
        <v>2132</v>
      </c>
    </row>
    <row r="32" customFormat="false" ht="15" hidden="false" customHeight="false" outlineLevel="0" collapsed="false">
      <c r="A32" s="3" t="s">
        <v>2133</v>
      </c>
      <c r="B32" s="57" t="n">
        <f aca="false">運營_站點!$C$28</f>
        <v>-17.9899953762712</v>
      </c>
      <c r="C32" s="11" t="s">
        <v>2134</v>
      </c>
      <c r="D32" s="2" t="str">
        <f aca="false">IF(B32&lt;10,"通過","觀察")</f>
        <v>通過</v>
      </c>
      <c r="E32" s="6" t="s">
        <v>2135</v>
      </c>
    </row>
    <row r="33" customFormat="false" ht="15" hidden="false" customHeight="false" outlineLevel="0" collapsed="false">
      <c r="A33" s="3" t="s">
        <v>2136</v>
      </c>
      <c r="B33" s="10" t="n">
        <f aca="false">496*0.46875-SUM(運營_產能與收入!C29:G29)</f>
        <v>-6.97815235622267</v>
      </c>
      <c r="C33" s="6" t="s">
        <v>2137</v>
      </c>
      <c r="D33" s="2" t="str">
        <f aca="false">"對照"</f>
        <v>對照</v>
      </c>
      <c r="E33" s="11" t="s">
        <v>2138</v>
      </c>
    </row>
    <row r="34" customFormat="false" ht="15" hidden="false" customHeight="false" outlineLevel="0" collapsed="false">
      <c r="A34" s="3" t="s">
        <v>2139</v>
      </c>
      <c r="B34" s="10" t="n">
        <f aca="false">輸入與假設!$C$198</f>
        <v>0</v>
      </c>
      <c r="C34" s="6" t="n">
        <f aca="false">0</f>
        <v>0</v>
      </c>
      <c r="D34" s="2" t="str">
        <f aca="false">IF(ABS(B34)&lt;0.000001,"通過","不一致")</f>
        <v>通過</v>
      </c>
      <c r="E34" s="6" t="s">
        <v>2140</v>
      </c>
    </row>
    <row r="35" customFormat="false" ht="15" hidden="false" customHeight="false" outlineLevel="0" collapsed="false">
      <c r="A35" s="3" t="s">
        <v>2141</v>
      </c>
      <c r="B35" s="10" t="n">
        <f aca="false">SUM(運營_產能與收入!C27:G27)</f>
        <v>0</v>
      </c>
      <c r="C35" s="6" t="n">
        <f aca="false">0</f>
        <v>0</v>
      </c>
      <c r="D35" s="2" t="str">
        <f aca="false">IF(ABS(B35)&lt;0.000001,"通過","不一致")</f>
        <v>通過</v>
      </c>
      <c r="E35" s="11" t="s">
        <v>2142</v>
      </c>
    </row>
    <row r="37" customFormat="false" ht="15" hidden="false" customHeight="false" outlineLevel="0" collapsed="false">
      <c r="A37" s="2" t="s">
        <v>2143</v>
      </c>
    </row>
    <row r="38" customFormat="false" ht="15" hidden="false" customHeight="false" outlineLevel="0" collapsed="false">
      <c r="A38" s="14" t="s">
        <v>59</v>
      </c>
      <c r="B38" s="14" t="s">
        <v>60</v>
      </c>
      <c r="C38" s="15" t="s">
        <v>61</v>
      </c>
      <c r="D38" s="15" t="s">
        <v>62</v>
      </c>
      <c r="E38" s="15" t="s">
        <v>63</v>
      </c>
      <c r="F38" s="15" t="s">
        <v>153</v>
      </c>
      <c r="G38" s="15" t="s">
        <v>154</v>
      </c>
    </row>
    <row r="39" customFormat="false" ht="15" hidden="false" customHeight="false" outlineLevel="0" collapsed="false">
      <c r="A39" s="3" t="s">
        <v>2144</v>
      </c>
      <c r="C39" s="24" t="n">
        <v>5.428571</v>
      </c>
      <c r="D39" s="24" t="n">
        <v>5.428571</v>
      </c>
      <c r="E39" s="24" t="n">
        <v>5.428571</v>
      </c>
      <c r="F39" s="24" t="n">
        <v>5.428571</v>
      </c>
      <c r="G39" s="24" t="n">
        <v>5.428571</v>
      </c>
      <c r="I39" s="11" t="s">
        <v>2145</v>
      </c>
    </row>
    <row r="40" customFormat="false" ht="15" hidden="false" customHeight="false" outlineLevel="0" collapsed="false">
      <c r="A40" s="3" t="s">
        <v>2146</v>
      </c>
      <c r="C40" s="24" t="n">
        <v>0</v>
      </c>
      <c r="D40" s="24" t="n">
        <v>12.5</v>
      </c>
      <c r="E40" s="24" t="n">
        <v>12.5</v>
      </c>
      <c r="F40" s="24" t="n">
        <v>12.5</v>
      </c>
      <c r="G40" s="24" t="n">
        <v>12.5</v>
      </c>
      <c r="I40" s="6" t="s">
        <v>2147</v>
      </c>
    </row>
    <row r="41" customFormat="false" ht="15" hidden="false" customHeight="false" outlineLevel="0" collapsed="false">
      <c r="A41" s="3" t="s">
        <v>2148</v>
      </c>
      <c r="C41" s="24" t="n">
        <v>10</v>
      </c>
      <c r="D41" s="24" t="n">
        <v>10</v>
      </c>
      <c r="E41" s="24" t="n">
        <v>10</v>
      </c>
      <c r="F41" s="24" t="n">
        <v>10</v>
      </c>
      <c r="G41" s="24" t="n">
        <v>10</v>
      </c>
      <c r="I41" s="11" t="s">
        <v>2149</v>
      </c>
    </row>
    <row r="42" customFormat="false" ht="15" hidden="false" customHeight="false" outlineLevel="0" collapsed="false">
      <c r="A42" s="2" t="s">
        <v>2150</v>
      </c>
      <c r="C42" s="59" t="n">
        <f aca="false">C39+C40+C41</f>
        <v>15.428571</v>
      </c>
      <c r="D42" s="59" t="n">
        <f aca="false">D39+D40+D41</f>
        <v>27.928571</v>
      </c>
      <c r="E42" s="59" t="n">
        <f aca="false">E39+E40+E41</f>
        <v>27.928571</v>
      </c>
      <c r="F42" s="59" t="n">
        <f aca="false">F39+F40+F41</f>
        <v>27.928571</v>
      </c>
      <c r="G42" s="59" t="n">
        <f aca="false">G39+G40+G41</f>
        <v>27.928571</v>
      </c>
    </row>
    <row r="43" customFormat="false" ht="15" hidden="false" customHeight="false" outlineLevel="0" collapsed="false">
      <c r="A43" s="3" t="s">
        <v>2151</v>
      </c>
      <c r="C43" s="39" t="n">
        <f aca="false">運營_產能與收入!C26/輸入與假設!C34</f>
        <v>29.2299101059053</v>
      </c>
      <c r="D43" s="39" t="n">
        <f aca="false">運營_產能與收入!D26/輸入與假設!D34</f>
        <v>58.3311801118447</v>
      </c>
      <c r="E43" s="39" t="n">
        <f aca="false">運營_產能與收入!E26/輸入與假設!E34</f>
        <v>97.7923030863256</v>
      </c>
      <c r="F43" s="39" t="n">
        <f aca="false">運營_產能與收入!F26/輸入與假設!F34</f>
        <v>137.479428210199</v>
      </c>
      <c r="G43" s="39" t="n">
        <f aca="false">運營_產能與收入!G26/輸入與假設!G34</f>
        <v>177.258259995987</v>
      </c>
    </row>
    <row r="44" customFormat="false" ht="15" hidden="false" customHeight="false" outlineLevel="0" collapsed="false">
      <c r="A44" s="2" t="s">
        <v>2152</v>
      </c>
      <c r="C44" s="60" t="n">
        <f aca="false">C42/MAX(0.000000001,C43)</f>
        <v>0.527835047870468</v>
      </c>
      <c r="D44" s="60" t="n">
        <f aca="false">D42/MAX(0.000000001,D43)</f>
        <v>0.47879317624724</v>
      </c>
      <c r="E44" s="60" t="n">
        <f aca="false">E42/MAX(0.000000001,E43)</f>
        <v>0.285590686777734</v>
      </c>
      <c r="F44" s="60" t="n">
        <f aca="false">F42/MAX(0.000000001,F43)</f>
        <v>0.203147273476426</v>
      </c>
      <c r="G44" s="60" t="n">
        <f aca="false">G42/MAX(0.000000001,G43)</f>
        <v>0.157558643533071</v>
      </c>
      <c r="I44" s="11" t="s">
        <v>2153</v>
      </c>
    </row>
    <row r="45" customFormat="false" ht="15" hidden="false" customHeight="false" outlineLevel="0" collapsed="false">
      <c r="A45" s="3" t="s">
        <v>2154</v>
      </c>
      <c r="C45" s="24" t="n">
        <v>5.789</v>
      </c>
      <c r="D45" s="24" t="n">
        <v>11.579</v>
      </c>
      <c r="E45" s="24" t="n">
        <v>11.579</v>
      </c>
      <c r="F45" s="24" t="n">
        <v>11.579</v>
      </c>
      <c r="G45" s="24" t="n">
        <v>11.579</v>
      </c>
      <c r="I45" s="11" t="s">
        <v>2155</v>
      </c>
    </row>
    <row r="46" customFormat="false" ht="15" hidden="false" customHeight="false" outlineLevel="0" collapsed="false">
      <c r="A46" s="3" t="s">
        <v>2156</v>
      </c>
      <c r="C46" s="24" t="n">
        <v>5.492</v>
      </c>
      <c r="D46" s="24" t="n">
        <v>9.627</v>
      </c>
      <c r="E46" s="24" t="n">
        <v>13.762</v>
      </c>
      <c r="F46" s="24" t="n">
        <v>17.897</v>
      </c>
      <c r="G46" s="24" t="n">
        <v>22.032</v>
      </c>
      <c r="I46" s="11" t="s">
        <v>2157</v>
      </c>
    </row>
    <row r="48" customFormat="false" ht="15" hidden="false" customHeight="false" outlineLevel="0" collapsed="false">
      <c r="A48" s="2" t="s">
        <v>2158</v>
      </c>
    </row>
    <row r="49" customFormat="false" ht="15" hidden="false" customHeight="false" outlineLevel="0" collapsed="false">
      <c r="A49" s="3" t="s">
        <v>2159</v>
      </c>
      <c r="B49" s="10" t="n">
        <f aca="false">SUM(運營_產能與收入!C18:G18)</f>
        <v>0</v>
      </c>
    </row>
    <row r="50" customFormat="false" ht="15" hidden="false" customHeight="false" outlineLevel="0" collapsed="false">
      <c r="A50" s="3" t="s">
        <v>2160</v>
      </c>
      <c r="B50" s="10" t="n">
        <f aca="false">SUM(運營_產能與收入!C20:G20)</f>
        <v>0</v>
      </c>
    </row>
    <row r="51" customFormat="false" ht="15" hidden="false" customHeight="false" outlineLevel="0" collapsed="false">
      <c r="A51" s="3" t="s">
        <v>2161</v>
      </c>
      <c r="B51" s="10" t="n">
        <f aca="false">SUM(運營_產能與收入!C24:G24)</f>
        <v>485.476126457309</v>
      </c>
    </row>
    <row r="52" customFormat="false" ht="15" hidden="false" customHeight="false" outlineLevel="0" collapsed="false">
      <c r="A52" s="3" t="s">
        <v>2162</v>
      </c>
      <c r="B52" s="10" t="n">
        <f aca="false">SUM(輸入與假設!C277:G277)</f>
        <v>1424.81880397177</v>
      </c>
    </row>
    <row r="53" customFormat="false" ht="15" hidden="false" customHeight="false" outlineLevel="0" collapsed="false">
      <c r="A53" s="3" t="s">
        <v>2163</v>
      </c>
      <c r="B53" s="10" t="n">
        <f aca="false">SUM(各期收支!C16:G16)</f>
        <v>17.9899953762712</v>
      </c>
    </row>
    <row r="54" customFormat="false" ht="15" hidden="false" customHeight="false" outlineLevel="0" collapsed="false">
      <c r="A54" s="3" t="s">
        <v>2164</v>
      </c>
      <c r="B54" s="10" t="n">
        <f aca="false">SUM(各期收支!C21:G21)</f>
        <v>46.7960248003762</v>
      </c>
    </row>
    <row r="55" customFormat="false" ht="15" hidden="false" customHeight="false" outlineLevel="0" collapsed="false">
      <c r="A55" s="3" t="s">
        <v>2165</v>
      </c>
      <c r="B55" s="10" t="n">
        <f aca="false">SUM(輸入與假設!C315:G315)*輸入與假設!$C$286+SUM(資產負債_既有債務!C39:G39)</f>
        <v>37.386</v>
      </c>
    </row>
    <row r="56" customFormat="false" ht="15" hidden="false" customHeight="false" outlineLevel="0" collapsed="false">
      <c r="A56" s="3" t="s">
        <v>2166</v>
      </c>
      <c r="B56" s="10" t="n">
        <f aca="false">SUM(各期收支!C54:G54)-(輸入與假設!$C$415-輸入與假設!$C$416-輸入與假設!$C$418-輸入與假設!$C$433)</f>
        <v>-242.262554278926</v>
      </c>
    </row>
    <row r="57" customFormat="false" ht="15" hidden="false" customHeight="false" outlineLevel="0" collapsed="false">
      <c r="A57" s="4" t="s">
        <v>2167</v>
      </c>
      <c r="B57" s="10" t="n">
        <f aca="false">SUM(各期收支!C54:G54)</f>
        <v>-306.920554278926</v>
      </c>
    </row>
    <row r="58" customFormat="false" ht="15" hidden="false" customHeight="false" outlineLevel="0" collapsed="false">
      <c r="A58" s="3" t="s">
        <v>1625</v>
      </c>
      <c r="B58" s="10" t="n">
        <f aca="false">各期收支!G56</f>
        <v>50</v>
      </c>
    </row>
    <row r="59" customFormat="false" ht="15" hidden="false" customHeight="false" outlineLevel="0" collapsed="false">
      <c r="A59" s="4" t="s">
        <v>2168</v>
      </c>
      <c r="B59" s="12" t="n">
        <f aca="false">評價_DCF與目標價!C26</f>
        <v>119.989072442747</v>
      </c>
    </row>
    <row r="60" customFormat="false" ht="15" hidden="false" customHeight="false" outlineLevel="0" collapsed="false">
      <c r="A60" s="3" t="s">
        <v>1806</v>
      </c>
      <c r="B60" s="12" t="n">
        <f aca="false">評價_DCF與目標價!C51</f>
        <v>199.271244158932</v>
      </c>
    </row>
  </sheetData>
  <conditionalFormatting sqref="D4:D76">
    <cfRule type="cellIs" priority="2" operator="equal" aboveAverage="0" equalAverage="0" bottom="0" percent="0" rank="0" text="" dxfId="1">
      <formula>"超過硬上限"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2169</v>
      </c>
    </row>
    <row r="2" customFormat="false" ht="15" hidden="false" customHeight="false" outlineLevel="0" collapsed="false">
      <c r="A2" s="11" t="s">
        <v>2170</v>
      </c>
    </row>
    <row r="4" customFormat="false" ht="15" hidden="false" customHeight="false" outlineLevel="0" collapsed="false">
      <c r="A4" s="14" t="s">
        <v>2171</v>
      </c>
      <c r="B4" s="14" t="s">
        <v>2172</v>
      </c>
      <c r="C4" s="14" t="s">
        <v>2173</v>
      </c>
      <c r="D4" s="14" t="s">
        <v>2174</v>
      </c>
      <c r="E4" s="14" t="s">
        <v>2175</v>
      </c>
    </row>
    <row r="5" customFormat="false" ht="44" hidden="false" customHeight="false" outlineLevel="0" collapsed="false">
      <c r="A5" s="110" t="s">
        <v>2176</v>
      </c>
      <c r="B5" s="110" t="s">
        <v>2177</v>
      </c>
      <c r="C5" s="111" t="s">
        <v>2178</v>
      </c>
      <c r="D5" s="112" t="s">
        <v>2179</v>
      </c>
      <c r="E5" s="113" t="s">
        <v>2180</v>
      </c>
    </row>
    <row r="6" customFormat="false" ht="100.7" hidden="false" customHeight="false" outlineLevel="0" collapsed="false">
      <c r="A6" s="110" t="s">
        <v>2181</v>
      </c>
      <c r="B6" s="110" t="s">
        <v>2182</v>
      </c>
      <c r="C6" s="111" t="s">
        <v>2183</v>
      </c>
      <c r="D6" s="112" t="s">
        <v>2184</v>
      </c>
      <c r="E6" s="111" t="s">
        <v>2185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2186</v>
      </c>
    </row>
    <row r="3" customFormat="false" ht="15" hidden="false" customHeight="false" outlineLevel="0" collapsed="false">
      <c r="A3" s="14" t="s">
        <v>2187</v>
      </c>
      <c r="B3" s="14" t="s">
        <v>2188</v>
      </c>
    </row>
    <row r="4" customFormat="false" ht="45.75" hidden="false" customHeight="true" outlineLevel="0" collapsed="false">
      <c r="A4" s="84" t="s">
        <v>921</v>
      </c>
      <c r="B4" s="113" t="s">
        <v>2189</v>
      </c>
    </row>
    <row r="5" customFormat="false" ht="45.75" hidden="false" customHeight="true" outlineLevel="0" collapsed="false">
      <c r="A5" s="84" t="s">
        <v>921</v>
      </c>
      <c r="B5" s="111" t="s">
        <v>2190</v>
      </c>
    </row>
    <row r="6" customFormat="false" ht="45.75" hidden="false" customHeight="true" outlineLevel="0" collapsed="false">
      <c r="A6" s="84" t="s">
        <v>921</v>
      </c>
      <c r="B6" s="111" t="s">
        <v>2191</v>
      </c>
    </row>
    <row r="7" customFormat="false" ht="45.75" hidden="false" customHeight="true" outlineLevel="0" collapsed="false">
      <c r="A7" s="84" t="s">
        <v>921</v>
      </c>
      <c r="B7" s="113" t="s">
        <v>2192</v>
      </c>
    </row>
    <row r="8" customFormat="false" ht="45.75" hidden="false" customHeight="true" outlineLevel="0" collapsed="false">
      <c r="A8" s="84" t="s">
        <v>917</v>
      </c>
      <c r="B8" s="113" t="s">
        <v>2193</v>
      </c>
    </row>
    <row r="9" customFormat="false" ht="45.75" hidden="false" customHeight="true" outlineLevel="0" collapsed="false">
      <c r="A9" s="84" t="s">
        <v>917</v>
      </c>
      <c r="B9" s="111" t="s">
        <v>2194</v>
      </c>
    </row>
    <row r="10" customFormat="false" ht="45.75" hidden="false" customHeight="true" outlineLevel="0" collapsed="false">
      <c r="A10" s="84" t="s">
        <v>921</v>
      </c>
      <c r="B10" s="111" t="s">
        <v>2195</v>
      </c>
    </row>
    <row r="11" customFormat="false" ht="45.75" hidden="false" customHeight="true" outlineLevel="0" collapsed="false">
      <c r="A11" s="2" t="s">
        <v>2196</v>
      </c>
      <c r="B11" s="111" t="s">
        <v>2197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2198</v>
      </c>
    </row>
    <row r="2" customFormat="false" ht="15" hidden="false" customHeight="false" outlineLevel="0" collapsed="false">
      <c r="A2" s="6" t="s">
        <v>2199</v>
      </c>
    </row>
    <row r="3" customFormat="false" ht="15" hidden="false" customHeight="false" outlineLevel="0" collapsed="false">
      <c r="A3" s="6" t="s">
        <v>2200</v>
      </c>
    </row>
    <row r="4" customFormat="false" ht="17.15" hidden="false" customHeight="false" outlineLevel="0" collapsed="false">
      <c r="A4" s="14" t="s">
        <v>2201</v>
      </c>
      <c r="B4" s="14" t="s">
        <v>2202</v>
      </c>
      <c r="C4" s="14" t="s">
        <v>2203</v>
      </c>
      <c r="D4" s="14" t="s">
        <v>60</v>
      </c>
      <c r="E4" s="14" t="s">
        <v>2204</v>
      </c>
      <c r="F4" s="14" t="s">
        <v>2205</v>
      </c>
      <c r="G4" s="14" t="s">
        <v>243</v>
      </c>
      <c r="H4" s="14" t="s">
        <v>2206</v>
      </c>
      <c r="I4" s="15" t="s">
        <v>2207</v>
      </c>
      <c r="J4" s="14" t="s">
        <v>2208</v>
      </c>
    </row>
    <row r="5" customFormat="false" ht="15" hidden="false" customHeight="false" outlineLevel="0" collapsed="false">
      <c r="A5" s="4" t="s">
        <v>2209</v>
      </c>
      <c r="B5" s="4" t="s">
        <v>2210</v>
      </c>
      <c r="C5" s="3" t="s">
        <v>2211</v>
      </c>
      <c r="D5" s="11" t="s">
        <v>2212</v>
      </c>
      <c r="E5" s="4" t="s">
        <v>2213</v>
      </c>
      <c r="F5" s="114" t="n">
        <v>6.79107465326444</v>
      </c>
      <c r="G5" s="114" t="n">
        <v>9.70308728611469</v>
      </c>
      <c r="H5" s="114" t="n">
        <v>16.6637697337026</v>
      </c>
      <c r="I5" s="11" t="s">
        <v>2214</v>
      </c>
      <c r="J5" s="11" t="s">
        <v>2215</v>
      </c>
    </row>
    <row r="6" customFormat="false" ht="15" hidden="false" customHeight="false" outlineLevel="0" collapsed="false">
      <c r="A6" s="4" t="s">
        <v>2216</v>
      </c>
      <c r="B6" s="4" t="s">
        <v>2210</v>
      </c>
      <c r="C6" s="3" t="s">
        <v>2211</v>
      </c>
      <c r="D6" s="11" t="s">
        <v>2212</v>
      </c>
      <c r="E6" s="4" t="s">
        <v>2217</v>
      </c>
      <c r="F6" s="114" t="n">
        <v>6.6118162762144</v>
      </c>
      <c r="G6" s="114" t="n">
        <v>8.82816556596761</v>
      </c>
      <c r="H6" s="114" t="n">
        <v>14.3185748619737</v>
      </c>
      <c r="I6" s="11" t="s">
        <v>2218</v>
      </c>
      <c r="J6" s="11" t="s">
        <v>2215</v>
      </c>
    </row>
    <row r="7" customFormat="false" ht="15" hidden="false" customHeight="false" outlineLevel="0" collapsed="false">
      <c r="A7" s="4" t="s">
        <v>2219</v>
      </c>
      <c r="B7" s="4" t="s">
        <v>2210</v>
      </c>
      <c r="C7" s="3" t="s">
        <v>2211</v>
      </c>
      <c r="D7" s="11" t="s">
        <v>2212</v>
      </c>
      <c r="E7" s="4" t="s">
        <v>2220</v>
      </c>
      <c r="F7" s="114" t="n">
        <v>8.42889912085495</v>
      </c>
      <c r="G7" s="114" t="n">
        <v>10.8864110021101</v>
      </c>
      <c r="H7" s="114" t="n">
        <v>18.5346455040469</v>
      </c>
      <c r="I7" s="11" t="s">
        <v>2221</v>
      </c>
      <c r="J7" s="11" t="s">
        <v>2215</v>
      </c>
    </row>
    <row r="8" customFormat="false" ht="15" hidden="false" customHeight="false" outlineLevel="0" collapsed="false">
      <c r="A8" s="4" t="s">
        <v>2222</v>
      </c>
      <c r="B8" s="4" t="s">
        <v>2210</v>
      </c>
      <c r="C8" s="3" t="s">
        <v>2211</v>
      </c>
      <c r="D8" s="11" t="s">
        <v>2212</v>
      </c>
      <c r="E8" s="4" t="s">
        <v>2223</v>
      </c>
      <c r="F8" s="114" t="n">
        <v>9.51207691858967</v>
      </c>
      <c r="G8" s="114" t="n">
        <v>12.2254710045841</v>
      </c>
      <c r="H8" s="114" t="n">
        <v>19.7506269894487</v>
      </c>
      <c r="I8" s="11" t="s">
        <v>2224</v>
      </c>
      <c r="J8" s="11" t="s">
        <v>2215</v>
      </c>
    </row>
    <row r="9" customFormat="false" ht="15" hidden="false" customHeight="false" outlineLevel="0" collapsed="false">
      <c r="A9" s="4" t="s">
        <v>2225</v>
      </c>
      <c r="B9" s="4" t="s">
        <v>2210</v>
      </c>
      <c r="C9" s="3" t="s">
        <v>2211</v>
      </c>
      <c r="D9" s="11" t="s">
        <v>2212</v>
      </c>
      <c r="E9" s="4" t="s">
        <v>2226</v>
      </c>
      <c r="F9" s="114" t="n">
        <v>10.1025446864987</v>
      </c>
      <c r="G9" s="114" t="n">
        <v>15.3544827030524</v>
      </c>
      <c r="H9" s="114" t="n">
        <v>28.0302450108258</v>
      </c>
      <c r="I9" s="11" t="s">
        <v>2227</v>
      </c>
      <c r="J9" s="11" t="s">
        <v>2215</v>
      </c>
    </row>
    <row r="10" customFormat="false" ht="15" hidden="false" customHeight="false" outlineLevel="0" collapsed="false">
      <c r="A10" s="4" t="s">
        <v>2228</v>
      </c>
      <c r="B10" s="4" t="s">
        <v>2229</v>
      </c>
      <c r="C10" s="3" t="s">
        <v>2230</v>
      </c>
      <c r="D10" s="11" t="s">
        <v>2212</v>
      </c>
      <c r="E10" s="4" t="s">
        <v>2213</v>
      </c>
      <c r="F10" s="114" t="n">
        <v>5.19000377241587</v>
      </c>
      <c r="G10" s="114" t="n">
        <v>7.10411981353067</v>
      </c>
      <c r="H10" s="114" t="n">
        <v>12.2070705365445</v>
      </c>
      <c r="I10" s="11" t="s">
        <v>2231</v>
      </c>
      <c r="J10" s="11" t="s">
        <v>2215</v>
      </c>
    </row>
    <row r="11" customFormat="false" ht="15" hidden="false" customHeight="false" outlineLevel="0" collapsed="false">
      <c r="A11" s="4" t="s">
        <v>2232</v>
      </c>
      <c r="B11" s="4" t="s">
        <v>2229</v>
      </c>
      <c r="C11" s="3" t="s">
        <v>2230</v>
      </c>
      <c r="D11" s="11" t="s">
        <v>2212</v>
      </c>
      <c r="E11" s="4" t="s">
        <v>2217</v>
      </c>
      <c r="F11" s="114" t="n">
        <v>5.04951503784896</v>
      </c>
      <c r="G11" s="114" t="n">
        <v>6.44917840537967</v>
      </c>
      <c r="H11" s="114" t="n">
        <v>10.4195985807088</v>
      </c>
      <c r="I11" s="11" t="s">
        <v>2233</v>
      </c>
      <c r="J11" s="11" t="s">
        <v>2215</v>
      </c>
    </row>
    <row r="12" customFormat="false" ht="15" hidden="false" customHeight="false" outlineLevel="0" collapsed="false">
      <c r="A12" s="4" t="s">
        <v>2234</v>
      </c>
      <c r="B12" s="4" t="s">
        <v>2229</v>
      </c>
      <c r="C12" s="3" t="s">
        <v>2230</v>
      </c>
      <c r="D12" s="11" t="s">
        <v>2212</v>
      </c>
      <c r="E12" s="4" t="s">
        <v>2220</v>
      </c>
      <c r="F12" s="114" t="n">
        <v>6.47360284700915</v>
      </c>
      <c r="G12" s="114" t="n">
        <v>7.98992214647791</v>
      </c>
      <c r="H12" s="114" t="n">
        <v>13.6330236684808</v>
      </c>
      <c r="I12" s="11" t="s">
        <v>2235</v>
      </c>
      <c r="J12" s="11" t="s">
        <v>2215</v>
      </c>
    </row>
    <row r="13" customFormat="false" ht="15" hidden="false" customHeight="false" outlineLevel="0" collapsed="false">
      <c r="A13" s="4" t="s">
        <v>2236</v>
      </c>
      <c r="B13" s="4" t="s">
        <v>2229</v>
      </c>
      <c r="C13" s="3" t="s">
        <v>2230</v>
      </c>
      <c r="D13" s="11" t="s">
        <v>2212</v>
      </c>
      <c r="E13" s="4" t="s">
        <v>2223</v>
      </c>
      <c r="F13" s="114" t="n">
        <v>7.32251312176997</v>
      </c>
      <c r="G13" s="114" t="n">
        <v>8.9923042149807</v>
      </c>
      <c r="H13" s="114" t="n">
        <v>14.5598263108425</v>
      </c>
      <c r="I13" s="11" t="s">
        <v>2237</v>
      </c>
      <c r="J13" s="11" t="s">
        <v>2215</v>
      </c>
    </row>
    <row r="14" customFormat="false" ht="15" hidden="false" customHeight="false" outlineLevel="0" collapsed="false">
      <c r="A14" s="4" t="s">
        <v>2238</v>
      </c>
      <c r="B14" s="4" t="s">
        <v>2229</v>
      </c>
      <c r="C14" s="3" t="s">
        <v>2230</v>
      </c>
      <c r="D14" s="11" t="s">
        <v>2212</v>
      </c>
      <c r="E14" s="4" t="s">
        <v>2226</v>
      </c>
      <c r="F14" s="114" t="n">
        <v>7.78527570436843</v>
      </c>
      <c r="G14" s="114" t="n">
        <v>11.3345929943372</v>
      </c>
      <c r="H14" s="114" t="n">
        <v>20.8704255692031</v>
      </c>
      <c r="I14" s="11" t="s">
        <v>2239</v>
      </c>
      <c r="J14" s="11" t="s">
        <v>2215</v>
      </c>
    </row>
    <row r="15" customFormat="false" ht="15" hidden="false" customHeight="false" outlineLevel="0" collapsed="false">
      <c r="A15" s="4" t="s">
        <v>2240</v>
      </c>
      <c r="B15" s="4" t="s">
        <v>2241</v>
      </c>
      <c r="C15" s="3" t="s">
        <v>2242</v>
      </c>
      <c r="D15" s="11" t="s">
        <v>2243</v>
      </c>
      <c r="E15" s="4" t="s">
        <v>2213</v>
      </c>
      <c r="F15" s="114" t="n">
        <v>1.07964486018265</v>
      </c>
      <c r="G15" s="114" t="n">
        <v>1.54259654785589</v>
      </c>
      <c r="H15" s="114" t="n">
        <v>2.64920565047995</v>
      </c>
      <c r="I15" s="11" t="s">
        <v>2244</v>
      </c>
      <c r="J15" s="11" t="s">
        <v>2215</v>
      </c>
    </row>
    <row r="16" customFormat="false" ht="15" hidden="false" customHeight="false" outlineLevel="0" collapsed="false">
      <c r="A16" s="4" t="s">
        <v>2245</v>
      </c>
      <c r="B16" s="4" t="s">
        <v>2241</v>
      </c>
      <c r="C16" s="3" t="s">
        <v>2242</v>
      </c>
      <c r="D16" s="11" t="s">
        <v>2243</v>
      </c>
      <c r="E16" s="4" t="s">
        <v>2217</v>
      </c>
      <c r="F16" s="114" t="n">
        <v>1.50422814430785</v>
      </c>
      <c r="G16" s="114" t="n">
        <v>2.00846099652078</v>
      </c>
      <c r="H16" s="114" t="n">
        <v>3.25756227849869</v>
      </c>
      <c r="I16" s="11" t="s">
        <v>2246</v>
      </c>
      <c r="J16" s="11" t="s">
        <v>2215</v>
      </c>
    </row>
    <row r="17" customFormat="false" ht="15" hidden="false" customHeight="false" outlineLevel="0" collapsed="false">
      <c r="A17" s="4" t="s">
        <v>2247</v>
      </c>
      <c r="B17" s="4" t="s">
        <v>2241</v>
      </c>
      <c r="C17" s="3" t="s">
        <v>2242</v>
      </c>
      <c r="D17" s="11" t="s">
        <v>2243</v>
      </c>
      <c r="E17" s="4" t="s">
        <v>2220</v>
      </c>
      <c r="F17" s="114" t="n">
        <v>1.97574392204647</v>
      </c>
      <c r="G17" s="114" t="n">
        <v>2.55178761329595</v>
      </c>
      <c r="H17" s="114" t="n">
        <v>4.34454282544458</v>
      </c>
      <c r="I17" s="11" t="s">
        <v>2248</v>
      </c>
      <c r="J17" s="11" t="s">
        <v>2215</v>
      </c>
    </row>
    <row r="18" customFormat="false" ht="15" hidden="false" customHeight="false" outlineLevel="0" collapsed="false">
      <c r="A18" s="4" t="s">
        <v>2249</v>
      </c>
      <c r="B18" s="4" t="s">
        <v>2241</v>
      </c>
      <c r="C18" s="3" t="s">
        <v>2242</v>
      </c>
      <c r="D18" s="11" t="s">
        <v>2243</v>
      </c>
      <c r="E18" s="4" t="s">
        <v>2223</v>
      </c>
      <c r="F18" s="114" t="n">
        <v>3.72193954123947</v>
      </c>
      <c r="G18" s="114" t="n">
        <v>4.78365180724219</v>
      </c>
      <c r="H18" s="114" t="n">
        <v>7.72813762813851</v>
      </c>
      <c r="I18" s="11" t="s">
        <v>2250</v>
      </c>
      <c r="J18" s="11" t="s">
        <v>2215</v>
      </c>
    </row>
    <row r="19" customFormat="false" ht="15" hidden="false" customHeight="false" outlineLevel="0" collapsed="false">
      <c r="A19" s="4" t="s">
        <v>2251</v>
      </c>
      <c r="B19" s="4" t="s">
        <v>2241</v>
      </c>
      <c r="C19" s="3" t="s">
        <v>2242</v>
      </c>
      <c r="D19" s="11" t="s">
        <v>2243</v>
      </c>
      <c r="E19" s="4" t="s">
        <v>2226</v>
      </c>
      <c r="F19" s="114" t="n">
        <v>5.92143420546319</v>
      </c>
      <c r="G19" s="114" t="n">
        <v>8.99976806898525</v>
      </c>
      <c r="H19" s="114" t="n">
        <v>16.4294498807254</v>
      </c>
      <c r="I19" s="11" t="s">
        <v>2252</v>
      </c>
      <c r="J19" s="11" t="s">
        <v>2215</v>
      </c>
    </row>
    <row r="20" customFormat="false" ht="15" hidden="false" customHeight="false" outlineLevel="0" collapsed="false">
      <c r="A20" s="4" t="s">
        <v>2253</v>
      </c>
      <c r="B20" s="4" t="s">
        <v>2254</v>
      </c>
      <c r="C20" s="3" t="s">
        <v>2255</v>
      </c>
      <c r="D20" s="11" t="s">
        <v>2256</v>
      </c>
      <c r="E20" s="4" t="s">
        <v>2213</v>
      </c>
      <c r="F20" s="114" t="n">
        <v>21.4202694</v>
      </c>
      <c r="G20" s="114" t="n">
        <v>27.510214</v>
      </c>
      <c r="H20" s="114" t="n">
        <v>34.1207434</v>
      </c>
      <c r="I20" s="11" t="s">
        <v>2257</v>
      </c>
      <c r="J20" s="11" t="s">
        <v>2215</v>
      </c>
    </row>
    <row r="21" customFormat="false" ht="15" hidden="false" customHeight="false" outlineLevel="0" collapsed="false">
      <c r="A21" s="4" t="s">
        <v>2258</v>
      </c>
      <c r="B21" s="4" t="s">
        <v>2254</v>
      </c>
      <c r="C21" s="3" t="s">
        <v>2255</v>
      </c>
      <c r="D21" s="11" t="s">
        <v>2256</v>
      </c>
      <c r="E21" s="4" t="s">
        <v>2217</v>
      </c>
      <c r="F21" s="114" t="n">
        <v>20.6393904</v>
      </c>
      <c r="G21" s="114" t="n">
        <v>24.015174</v>
      </c>
      <c r="H21" s="114" t="n">
        <v>27.6502044</v>
      </c>
      <c r="I21" s="11" t="s">
        <v>2259</v>
      </c>
      <c r="J21" s="11" t="s">
        <v>2215</v>
      </c>
    </row>
    <row r="22" customFormat="false" ht="15" hidden="false" customHeight="false" outlineLevel="0" collapsed="false">
      <c r="A22" s="4" t="s">
        <v>2260</v>
      </c>
      <c r="B22" s="4" t="s">
        <v>2254</v>
      </c>
      <c r="C22" s="3" t="s">
        <v>2255</v>
      </c>
      <c r="D22" s="11" t="s">
        <v>2256</v>
      </c>
      <c r="E22" s="4" t="s">
        <v>2220</v>
      </c>
      <c r="F22" s="114" t="n">
        <v>28.5549024</v>
      </c>
      <c r="G22" s="114" t="n">
        <v>32.237224</v>
      </c>
      <c r="H22" s="114" t="n">
        <v>39.2826064</v>
      </c>
      <c r="I22" s="11" t="s">
        <v>2261</v>
      </c>
      <c r="J22" s="11" t="s">
        <v>2215</v>
      </c>
    </row>
    <row r="23" customFormat="false" ht="15" hidden="false" customHeight="false" outlineLevel="0" collapsed="false">
      <c r="A23" s="4" t="s">
        <v>2262</v>
      </c>
      <c r="B23" s="4" t="s">
        <v>2254</v>
      </c>
      <c r="C23" s="3" t="s">
        <v>2255</v>
      </c>
      <c r="D23" s="11" t="s">
        <v>2256</v>
      </c>
      <c r="E23" s="4" t="s">
        <v>2223</v>
      </c>
      <c r="F23" s="114" t="n">
        <v>33.2734032</v>
      </c>
      <c r="G23" s="114" t="n">
        <v>37.586352</v>
      </c>
      <c r="H23" s="114" t="n">
        <v>42.6375752</v>
      </c>
      <c r="I23" s="11" t="s">
        <v>2263</v>
      </c>
      <c r="J23" s="11" t="s">
        <v>2215</v>
      </c>
    </row>
    <row r="24" customFormat="false" ht="15" hidden="false" customHeight="false" outlineLevel="0" collapsed="false">
      <c r="A24" s="4" t="s">
        <v>2264</v>
      </c>
      <c r="B24" s="4" t="s">
        <v>2254</v>
      </c>
      <c r="C24" s="3" t="s">
        <v>2255</v>
      </c>
      <c r="D24" s="11" t="s">
        <v>2256</v>
      </c>
      <c r="E24" s="4" t="s">
        <v>2226</v>
      </c>
      <c r="F24" s="114" t="n">
        <v>35.845578</v>
      </c>
      <c r="G24" s="114" t="n">
        <v>50.08578</v>
      </c>
      <c r="H24" s="114" t="n">
        <v>65.481558</v>
      </c>
      <c r="I24" s="11" t="s">
        <v>2265</v>
      </c>
      <c r="J24" s="11" t="s">
        <v>2215</v>
      </c>
    </row>
    <row r="25" customFormat="false" ht="15" hidden="false" customHeight="false" outlineLevel="0" collapsed="false">
      <c r="A25" s="4" t="s">
        <v>2266</v>
      </c>
      <c r="B25" s="4" t="s">
        <v>2267</v>
      </c>
      <c r="C25" s="3" t="s">
        <v>2268</v>
      </c>
      <c r="D25" s="11" t="s">
        <v>2256</v>
      </c>
      <c r="E25" s="4" t="s">
        <v>2213</v>
      </c>
      <c r="F25" s="114" t="n">
        <v>10.212</v>
      </c>
      <c r="G25" s="114" t="n">
        <v>12.67</v>
      </c>
      <c r="H25" s="114" t="n">
        <v>16.186</v>
      </c>
      <c r="I25" s="11" t="s">
        <v>2269</v>
      </c>
      <c r="J25" s="11" t="s">
        <v>2215</v>
      </c>
    </row>
    <row r="26" customFormat="false" ht="15" hidden="false" customHeight="false" outlineLevel="0" collapsed="false">
      <c r="A26" s="4" t="s">
        <v>2270</v>
      </c>
      <c r="B26" s="4" t="s">
        <v>2267</v>
      </c>
      <c r="C26" s="3" t="s">
        <v>2268</v>
      </c>
      <c r="D26" s="11" t="s">
        <v>2256</v>
      </c>
      <c r="E26" s="4" t="s">
        <v>2217</v>
      </c>
      <c r="F26" s="114" t="n">
        <v>10.212</v>
      </c>
      <c r="G26" s="114" t="n">
        <v>12.67</v>
      </c>
      <c r="H26" s="114" t="n">
        <v>16.186</v>
      </c>
      <c r="I26" s="11" t="s">
        <v>2271</v>
      </c>
      <c r="J26" s="11" t="s">
        <v>2215</v>
      </c>
    </row>
    <row r="27" customFormat="false" ht="15" hidden="false" customHeight="false" outlineLevel="0" collapsed="false">
      <c r="A27" s="4" t="s">
        <v>2272</v>
      </c>
      <c r="B27" s="4" t="s">
        <v>2267</v>
      </c>
      <c r="C27" s="3" t="s">
        <v>2268</v>
      </c>
      <c r="D27" s="11" t="s">
        <v>2256</v>
      </c>
      <c r="E27" s="4" t="s">
        <v>2220</v>
      </c>
      <c r="F27" s="114" t="n">
        <v>10.212</v>
      </c>
      <c r="G27" s="114" t="n">
        <v>12.67</v>
      </c>
      <c r="H27" s="114" t="n">
        <v>16.186</v>
      </c>
      <c r="I27" s="11" t="s">
        <v>2273</v>
      </c>
      <c r="J27" s="11" t="s">
        <v>2215</v>
      </c>
    </row>
    <row r="28" customFormat="false" ht="15" hidden="false" customHeight="false" outlineLevel="0" collapsed="false">
      <c r="A28" s="4" t="s">
        <v>2274</v>
      </c>
      <c r="B28" s="4" t="s">
        <v>2267</v>
      </c>
      <c r="C28" s="3" t="s">
        <v>2268</v>
      </c>
      <c r="D28" s="11" t="s">
        <v>2256</v>
      </c>
      <c r="E28" s="4" t="s">
        <v>2223</v>
      </c>
      <c r="F28" s="114" t="n">
        <v>10.212</v>
      </c>
      <c r="G28" s="114" t="n">
        <v>12.67</v>
      </c>
      <c r="H28" s="114" t="n">
        <v>16.186</v>
      </c>
      <c r="I28" s="11" t="s">
        <v>2275</v>
      </c>
      <c r="J28" s="11" t="s">
        <v>2215</v>
      </c>
    </row>
    <row r="29" customFormat="false" ht="15" hidden="false" customHeight="false" outlineLevel="0" collapsed="false">
      <c r="A29" s="4" t="s">
        <v>2276</v>
      </c>
      <c r="B29" s="4" t="s">
        <v>2267</v>
      </c>
      <c r="C29" s="3" t="s">
        <v>2268</v>
      </c>
      <c r="D29" s="11" t="s">
        <v>2256</v>
      </c>
      <c r="E29" s="4" t="s">
        <v>2226</v>
      </c>
      <c r="F29" s="114" t="n">
        <v>10.212</v>
      </c>
      <c r="G29" s="114" t="n">
        <v>12.67</v>
      </c>
      <c r="H29" s="114" t="n">
        <v>16.186</v>
      </c>
      <c r="I29" s="11" t="s">
        <v>2277</v>
      </c>
      <c r="J29" s="11" t="s">
        <v>2215</v>
      </c>
    </row>
    <row r="30" customFormat="false" ht="15" hidden="false" customHeight="false" outlineLevel="0" collapsed="false">
      <c r="A30" s="4" t="s">
        <v>2278</v>
      </c>
      <c r="B30" s="4" t="s">
        <v>2279</v>
      </c>
      <c r="C30" s="3" t="s">
        <v>2280</v>
      </c>
      <c r="D30" s="11" t="s">
        <v>2256</v>
      </c>
      <c r="E30" s="4" t="s">
        <v>2213</v>
      </c>
      <c r="F30" s="114" t="n">
        <v>31.6322694</v>
      </c>
      <c r="G30" s="114" t="n">
        <v>40.180214</v>
      </c>
      <c r="H30" s="114" t="n">
        <v>50.3067434</v>
      </c>
      <c r="I30" s="11" t="s">
        <v>2281</v>
      </c>
      <c r="J30" s="11" t="s">
        <v>2215</v>
      </c>
    </row>
    <row r="31" customFormat="false" ht="15" hidden="false" customHeight="false" outlineLevel="0" collapsed="false">
      <c r="A31" s="4" t="s">
        <v>2282</v>
      </c>
      <c r="B31" s="4" t="s">
        <v>2279</v>
      </c>
      <c r="C31" s="3" t="s">
        <v>2280</v>
      </c>
      <c r="D31" s="11" t="s">
        <v>2256</v>
      </c>
      <c r="E31" s="4" t="s">
        <v>2217</v>
      </c>
      <c r="F31" s="114" t="n">
        <v>30.8513904</v>
      </c>
      <c r="G31" s="114" t="n">
        <v>36.685174</v>
      </c>
      <c r="H31" s="114" t="n">
        <v>43.8362044</v>
      </c>
      <c r="I31" s="11" t="s">
        <v>2283</v>
      </c>
      <c r="J31" s="11" t="s">
        <v>2215</v>
      </c>
    </row>
    <row r="32" customFormat="false" ht="15" hidden="false" customHeight="false" outlineLevel="0" collapsed="false">
      <c r="A32" s="4" t="s">
        <v>2284</v>
      </c>
      <c r="B32" s="4" t="s">
        <v>2279</v>
      </c>
      <c r="C32" s="3" t="s">
        <v>2280</v>
      </c>
      <c r="D32" s="11" t="s">
        <v>2256</v>
      </c>
      <c r="E32" s="4" t="s">
        <v>2220</v>
      </c>
      <c r="F32" s="114" t="n">
        <v>38.7669024</v>
      </c>
      <c r="G32" s="114" t="n">
        <v>44.907224</v>
      </c>
      <c r="H32" s="114" t="n">
        <v>55.4686064</v>
      </c>
      <c r="I32" s="11" t="s">
        <v>2285</v>
      </c>
      <c r="J32" s="11" t="s">
        <v>2215</v>
      </c>
    </row>
    <row r="33" customFormat="false" ht="15" hidden="false" customHeight="false" outlineLevel="0" collapsed="false">
      <c r="A33" s="4" t="s">
        <v>2286</v>
      </c>
      <c r="B33" s="4" t="s">
        <v>2279</v>
      </c>
      <c r="C33" s="3" t="s">
        <v>2280</v>
      </c>
      <c r="D33" s="11" t="s">
        <v>2256</v>
      </c>
      <c r="E33" s="4" t="s">
        <v>2223</v>
      </c>
      <c r="F33" s="114" t="n">
        <v>43.4854032</v>
      </c>
      <c r="G33" s="114" t="n">
        <v>50.256352</v>
      </c>
      <c r="H33" s="114" t="n">
        <v>58.8235752</v>
      </c>
      <c r="I33" s="11" t="s">
        <v>2287</v>
      </c>
      <c r="J33" s="11" t="s">
        <v>2215</v>
      </c>
    </row>
    <row r="34" customFormat="false" ht="15" hidden="false" customHeight="false" outlineLevel="0" collapsed="false">
      <c r="A34" s="4" t="s">
        <v>2288</v>
      </c>
      <c r="B34" s="4" t="s">
        <v>2279</v>
      </c>
      <c r="C34" s="3" t="s">
        <v>2280</v>
      </c>
      <c r="D34" s="11" t="s">
        <v>2256</v>
      </c>
      <c r="E34" s="4" t="s">
        <v>2226</v>
      </c>
      <c r="F34" s="114" t="n">
        <v>46.057578</v>
      </c>
      <c r="G34" s="114" t="n">
        <v>62.75578</v>
      </c>
      <c r="H34" s="114" t="n">
        <v>81.667558</v>
      </c>
      <c r="I34" s="11" t="s">
        <v>2289</v>
      </c>
      <c r="J34" s="11" t="s">
        <v>2215</v>
      </c>
    </row>
    <row r="35" customFormat="false" ht="15" hidden="false" customHeight="false" outlineLevel="0" collapsed="false">
      <c r="A35" s="4" t="s">
        <v>2290</v>
      </c>
      <c r="B35" s="4" t="s">
        <v>2291</v>
      </c>
      <c r="C35" s="3" t="s">
        <v>2292</v>
      </c>
      <c r="D35" s="11" t="s">
        <v>2293</v>
      </c>
      <c r="E35" s="4" t="s">
        <v>1485</v>
      </c>
      <c r="F35" s="114" t="n">
        <v>10.212</v>
      </c>
      <c r="G35" s="114" t="n">
        <v>12.67</v>
      </c>
      <c r="H35" s="114" t="n">
        <v>16.186</v>
      </c>
      <c r="I35" s="11" t="s">
        <v>2294</v>
      </c>
      <c r="J35" s="11" t="s">
        <v>2215</v>
      </c>
    </row>
    <row r="36" customFormat="false" ht="15" hidden="false" customHeight="false" outlineLevel="0" collapsed="false">
      <c r="A36" s="4" t="s">
        <v>2295</v>
      </c>
      <c r="B36" s="4" t="s">
        <v>2296</v>
      </c>
      <c r="C36" s="4" t="s">
        <v>2297</v>
      </c>
      <c r="D36" s="6" t="s">
        <v>184</v>
      </c>
      <c r="E36" s="4" t="s">
        <v>2213</v>
      </c>
      <c r="F36" s="114" t="n">
        <v>6</v>
      </c>
      <c r="G36" s="114" t="n">
        <v>6</v>
      </c>
      <c r="H36" s="114" t="n">
        <v>4</v>
      </c>
      <c r="I36" s="11" t="s">
        <v>2298</v>
      </c>
      <c r="J36" s="11" t="s">
        <v>2215</v>
      </c>
    </row>
    <row r="37" customFormat="false" ht="15" hidden="false" customHeight="false" outlineLevel="0" collapsed="false">
      <c r="A37" s="4" t="s">
        <v>2299</v>
      </c>
      <c r="B37" s="4" t="s">
        <v>2296</v>
      </c>
      <c r="C37" s="4" t="s">
        <v>2297</v>
      </c>
      <c r="D37" s="6" t="s">
        <v>184</v>
      </c>
      <c r="E37" s="4" t="s">
        <v>2217</v>
      </c>
      <c r="F37" s="114" t="n">
        <v>6</v>
      </c>
      <c r="G37" s="114" t="n">
        <v>6</v>
      </c>
      <c r="H37" s="114" t="n">
        <v>4</v>
      </c>
      <c r="I37" s="11" t="s">
        <v>2300</v>
      </c>
      <c r="J37" s="11" t="s">
        <v>2215</v>
      </c>
    </row>
    <row r="38" customFormat="false" ht="15" hidden="false" customHeight="false" outlineLevel="0" collapsed="false">
      <c r="A38" s="4" t="s">
        <v>2301</v>
      </c>
      <c r="B38" s="4" t="s">
        <v>2296</v>
      </c>
      <c r="C38" s="4" t="s">
        <v>2297</v>
      </c>
      <c r="D38" s="6" t="s">
        <v>184</v>
      </c>
      <c r="E38" s="4" t="s">
        <v>2220</v>
      </c>
      <c r="F38" s="114" t="n">
        <v>6</v>
      </c>
      <c r="G38" s="114" t="n">
        <v>6</v>
      </c>
      <c r="H38" s="114" t="n">
        <v>4</v>
      </c>
      <c r="I38" s="11" t="s">
        <v>2302</v>
      </c>
      <c r="J38" s="11" t="s">
        <v>2215</v>
      </c>
    </row>
    <row r="39" customFormat="false" ht="15" hidden="false" customHeight="false" outlineLevel="0" collapsed="false">
      <c r="A39" s="4" t="s">
        <v>2303</v>
      </c>
      <c r="B39" s="4" t="s">
        <v>2296</v>
      </c>
      <c r="C39" s="4" t="s">
        <v>2297</v>
      </c>
      <c r="D39" s="6" t="s">
        <v>184</v>
      </c>
      <c r="E39" s="4" t="s">
        <v>2223</v>
      </c>
      <c r="F39" s="114" t="n">
        <v>6</v>
      </c>
      <c r="G39" s="114" t="n">
        <v>6</v>
      </c>
      <c r="H39" s="114" t="n">
        <v>4</v>
      </c>
      <c r="I39" s="11" t="s">
        <v>2304</v>
      </c>
      <c r="J39" s="11" t="s">
        <v>2215</v>
      </c>
    </row>
    <row r="40" customFormat="false" ht="15" hidden="false" customHeight="false" outlineLevel="0" collapsed="false">
      <c r="A40" s="4" t="s">
        <v>2305</v>
      </c>
      <c r="B40" s="4" t="s">
        <v>2296</v>
      </c>
      <c r="C40" s="4" t="s">
        <v>2297</v>
      </c>
      <c r="D40" s="6" t="s">
        <v>184</v>
      </c>
      <c r="E40" s="4" t="s">
        <v>2226</v>
      </c>
      <c r="F40" s="114" t="n">
        <v>6</v>
      </c>
      <c r="G40" s="114" t="n">
        <v>6</v>
      </c>
      <c r="H40" s="114" t="n">
        <v>4</v>
      </c>
      <c r="I40" s="11" t="s">
        <v>2306</v>
      </c>
      <c r="J40" s="11" t="s">
        <v>2215</v>
      </c>
    </row>
    <row r="41" customFormat="false" ht="15" hidden="false" customHeight="false" outlineLevel="0" collapsed="false">
      <c r="A41" s="4" t="s">
        <v>2307</v>
      </c>
      <c r="B41" s="4" t="s">
        <v>2308</v>
      </c>
      <c r="C41" s="3" t="s">
        <v>2309</v>
      </c>
      <c r="D41" s="11" t="s">
        <v>2212</v>
      </c>
      <c r="E41" s="4" t="s">
        <v>2213</v>
      </c>
      <c r="F41" s="114" t="n">
        <v>3.5700449</v>
      </c>
      <c r="G41" s="114" t="n">
        <v>4.58503566666667</v>
      </c>
      <c r="H41" s="114" t="n">
        <v>8.53018585</v>
      </c>
      <c r="I41" s="11" t="s">
        <v>2310</v>
      </c>
      <c r="J41" s="11" t="s">
        <v>2215</v>
      </c>
    </row>
    <row r="42" customFormat="false" ht="15" hidden="false" customHeight="false" outlineLevel="0" collapsed="false">
      <c r="A42" s="4" t="s">
        <v>2311</v>
      </c>
      <c r="B42" s="4" t="s">
        <v>2308</v>
      </c>
      <c r="C42" s="3" t="s">
        <v>2309</v>
      </c>
      <c r="D42" s="11" t="s">
        <v>2212</v>
      </c>
      <c r="E42" s="4" t="s">
        <v>2217</v>
      </c>
      <c r="F42" s="114" t="n">
        <v>3.4398984</v>
      </c>
      <c r="G42" s="114" t="n">
        <v>4.002529</v>
      </c>
      <c r="H42" s="114" t="n">
        <v>6.9125511</v>
      </c>
      <c r="I42" s="11" t="s">
        <v>2312</v>
      </c>
      <c r="J42" s="11" t="s">
        <v>2215</v>
      </c>
    </row>
    <row r="43" customFormat="false" ht="15" hidden="false" customHeight="false" outlineLevel="0" collapsed="false">
      <c r="A43" s="4" t="s">
        <v>2313</v>
      </c>
      <c r="B43" s="4" t="s">
        <v>2308</v>
      </c>
      <c r="C43" s="3" t="s">
        <v>2309</v>
      </c>
      <c r="D43" s="11" t="s">
        <v>2212</v>
      </c>
      <c r="E43" s="4" t="s">
        <v>2220</v>
      </c>
      <c r="F43" s="114" t="n">
        <v>4.7591504</v>
      </c>
      <c r="G43" s="114" t="n">
        <v>5.37287066666667</v>
      </c>
      <c r="H43" s="114" t="n">
        <v>9.8206516</v>
      </c>
      <c r="I43" s="11" t="s">
        <v>2314</v>
      </c>
      <c r="J43" s="11" t="s">
        <v>2215</v>
      </c>
    </row>
    <row r="44" customFormat="false" ht="15" hidden="false" customHeight="false" outlineLevel="0" collapsed="false">
      <c r="A44" s="4" t="s">
        <v>2315</v>
      </c>
      <c r="B44" s="4" t="s">
        <v>2308</v>
      </c>
      <c r="C44" s="3" t="s">
        <v>2309</v>
      </c>
      <c r="D44" s="11" t="s">
        <v>2212</v>
      </c>
      <c r="E44" s="4" t="s">
        <v>2223</v>
      </c>
      <c r="F44" s="114" t="n">
        <v>5.5455672</v>
      </c>
      <c r="G44" s="114" t="n">
        <v>6.264392</v>
      </c>
      <c r="H44" s="114" t="n">
        <v>10.6593938</v>
      </c>
      <c r="I44" s="11" t="s">
        <v>2316</v>
      </c>
      <c r="J44" s="11" t="s">
        <v>2215</v>
      </c>
    </row>
    <row r="45" customFormat="false" ht="15" hidden="false" customHeight="false" outlineLevel="0" collapsed="false">
      <c r="A45" s="4" t="s">
        <v>2317</v>
      </c>
      <c r="B45" s="4" t="s">
        <v>2308</v>
      </c>
      <c r="C45" s="3" t="s">
        <v>2309</v>
      </c>
      <c r="D45" s="11" t="s">
        <v>2212</v>
      </c>
      <c r="E45" s="4" t="s">
        <v>2226</v>
      </c>
      <c r="F45" s="114" t="n">
        <v>5.974263</v>
      </c>
      <c r="G45" s="114" t="n">
        <v>8.34763</v>
      </c>
      <c r="H45" s="114" t="n">
        <v>16.3703895</v>
      </c>
      <c r="I45" s="11" t="s">
        <v>2318</v>
      </c>
      <c r="J45" s="11" t="s">
        <v>2215</v>
      </c>
    </row>
    <row r="46" customFormat="false" ht="15" hidden="false" customHeight="false" outlineLevel="0" collapsed="false">
      <c r="A46" s="4" t="s">
        <v>2319</v>
      </c>
      <c r="B46" s="4" t="s">
        <v>2320</v>
      </c>
      <c r="C46" s="3" t="s">
        <v>2321</v>
      </c>
      <c r="D46" s="11" t="s">
        <v>2212</v>
      </c>
      <c r="E46" s="4" t="s">
        <v>2213</v>
      </c>
      <c r="F46" s="114" t="n">
        <v>0.507733333333333</v>
      </c>
      <c r="G46" s="114" t="n">
        <v>0.634416666666667</v>
      </c>
      <c r="H46" s="114" t="n">
        <v>0.812233333333334</v>
      </c>
      <c r="I46" s="11" t="s">
        <v>2322</v>
      </c>
      <c r="J46" s="11" t="s">
        <v>2215</v>
      </c>
    </row>
    <row r="47" customFormat="false" ht="15" hidden="false" customHeight="false" outlineLevel="0" collapsed="false">
      <c r="A47" s="4" t="s">
        <v>2323</v>
      </c>
      <c r="B47" s="4" t="s">
        <v>2320</v>
      </c>
      <c r="C47" s="3" t="s">
        <v>2321</v>
      </c>
      <c r="D47" s="11" t="s">
        <v>2212</v>
      </c>
      <c r="E47" s="4" t="s">
        <v>2217</v>
      </c>
      <c r="F47" s="114" t="n">
        <v>0.507733333333333</v>
      </c>
      <c r="G47" s="114" t="n">
        <v>0.634416666666667</v>
      </c>
      <c r="H47" s="114" t="n">
        <v>0.812233333333334</v>
      </c>
      <c r="I47" s="11" t="s">
        <v>2324</v>
      </c>
      <c r="J47" s="11" t="s">
        <v>2215</v>
      </c>
    </row>
    <row r="48" customFormat="false" ht="15" hidden="false" customHeight="false" outlineLevel="0" collapsed="false">
      <c r="A48" s="4" t="s">
        <v>2325</v>
      </c>
      <c r="B48" s="4" t="s">
        <v>2320</v>
      </c>
      <c r="C48" s="3" t="s">
        <v>2321</v>
      </c>
      <c r="D48" s="11" t="s">
        <v>2212</v>
      </c>
      <c r="E48" s="4" t="s">
        <v>2220</v>
      </c>
      <c r="F48" s="114" t="n">
        <v>0.507733333333333</v>
      </c>
      <c r="G48" s="114" t="n">
        <v>0.634416666666667</v>
      </c>
      <c r="H48" s="114" t="n">
        <v>0.812233333333334</v>
      </c>
      <c r="I48" s="11" t="s">
        <v>2326</v>
      </c>
      <c r="J48" s="11" t="s">
        <v>2215</v>
      </c>
    </row>
    <row r="49" customFormat="false" ht="15" hidden="false" customHeight="false" outlineLevel="0" collapsed="false">
      <c r="A49" s="4" t="s">
        <v>2327</v>
      </c>
      <c r="B49" s="4" t="s">
        <v>2320</v>
      </c>
      <c r="C49" s="3" t="s">
        <v>2321</v>
      </c>
      <c r="D49" s="11" t="s">
        <v>2212</v>
      </c>
      <c r="E49" s="4" t="s">
        <v>2223</v>
      </c>
      <c r="F49" s="114" t="n">
        <v>0.507733333333333</v>
      </c>
      <c r="G49" s="114" t="n">
        <v>0.634416666666667</v>
      </c>
      <c r="H49" s="114" t="n">
        <v>0.812233333333334</v>
      </c>
      <c r="I49" s="11" t="s">
        <v>2328</v>
      </c>
      <c r="J49" s="11" t="s">
        <v>2215</v>
      </c>
    </row>
    <row r="50" customFormat="false" ht="15" hidden="false" customHeight="false" outlineLevel="0" collapsed="false">
      <c r="A50" s="4" t="s">
        <v>2329</v>
      </c>
      <c r="B50" s="4" t="s">
        <v>2320</v>
      </c>
      <c r="C50" s="3" t="s">
        <v>2321</v>
      </c>
      <c r="D50" s="11" t="s">
        <v>2212</v>
      </c>
      <c r="E50" s="4" t="s">
        <v>2226</v>
      </c>
      <c r="F50" s="114" t="n">
        <v>0.507733333333333</v>
      </c>
      <c r="G50" s="114" t="n">
        <v>0.634416666666667</v>
      </c>
      <c r="H50" s="114" t="n">
        <v>0.812233333333334</v>
      </c>
      <c r="I50" s="11" t="s">
        <v>2330</v>
      </c>
      <c r="J50" s="11" t="s">
        <v>2215</v>
      </c>
    </row>
    <row r="51" customFormat="false" ht="15" hidden="false" customHeight="false" outlineLevel="0" collapsed="false">
      <c r="A51" s="4" t="s">
        <v>2331</v>
      </c>
      <c r="B51" s="4" t="s">
        <v>2332</v>
      </c>
      <c r="C51" s="3" t="s">
        <v>2333</v>
      </c>
      <c r="D51" s="11" t="s">
        <v>2212</v>
      </c>
      <c r="E51" s="4" t="s">
        <v>2213</v>
      </c>
      <c r="F51" s="114" t="n">
        <v>1.11222553908253</v>
      </c>
      <c r="G51" s="114" t="n">
        <v>1.88466748019734</v>
      </c>
      <c r="H51" s="114" t="n">
        <v>2.8646513532112</v>
      </c>
      <c r="I51" s="11" t="s">
        <v>2334</v>
      </c>
      <c r="J51" s="11" t="s">
        <v>2215</v>
      </c>
    </row>
    <row r="52" customFormat="false" ht="15" hidden="false" customHeight="false" outlineLevel="0" collapsed="false">
      <c r="A52" s="4" t="s">
        <v>2335</v>
      </c>
      <c r="B52" s="4" t="s">
        <v>2332</v>
      </c>
      <c r="C52" s="3" t="s">
        <v>2333</v>
      </c>
      <c r="D52" s="11" t="s">
        <v>2212</v>
      </c>
      <c r="E52" s="4" t="s">
        <v>2217</v>
      </c>
      <c r="F52" s="114" t="n">
        <v>1.10188330451562</v>
      </c>
      <c r="G52" s="114" t="n">
        <v>1.812232738713</v>
      </c>
      <c r="H52" s="114" t="n">
        <v>2.69481414737547</v>
      </c>
      <c r="I52" s="11" t="s">
        <v>2336</v>
      </c>
      <c r="J52" s="11" t="s">
        <v>2215</v>
      </c>
    </row>
    <row r="53" customFormat="false" ht="15" hidden="false" customHeight="false" outlineLevel="0" collapsed="false">
      <c r="A53" s="4" t="s">
        <v>2337</v>
      </c>
      <c r="B53" s="4" t="s">
        <v>2332</v>
      </c>
      <c r="C53" s="3" t="s">
        <v>2333</v>
      </c>
      <c r="D53" s="11" t="s">
        <v>2212</v>
      </c>
      <c r="E53" s="4" t="s">
        <v>2220</v>
      </c>
      <c r="F53" s="114" t="n">
        <v>1.20671911367581</v>
      </c>
      <c r="G53" s="114" t="n">
        <v>1.98263481314457</v>
      </c>
      <c r="H53" s="114" t="n">
        <v>3.00013873514752</v>
      </c>
      <c r="I53" s="11" t="s">
        <v>2338</v>
      </c>
      <c r="J53" s="11" t="s">
        <v>2215</v>
      </c>
    </row>
    <row r="54" customFormat="false" ht="15" hidden="false" customHeight="false" outlineLevel="0" collapsed="false">
      <c r="A54" s="4" t="s">
        <v>2339</v>
      </c>
      <c r="B54" s="4" t="s">
        <v>2332</v>
      </c>
      <c r="C54" s="3" t="s">
        <v>2333</v>
      </c>
      <c r="D54" s="11" t="s">
        <v>2212</v>
      </c>
      <c r="E54" s="4" t="s">
        <v>2223</v>
      </c>
      <c r="F54" s="114" t="n">
        <v>1.26921258843664</v>
      </c>
      <c r="G54" s="114" t="n">
        <v>2.09349554831403</v>
      </c>
      <c r="H54" s="114" t="n">
        <v>3.08819917750912</v>
      </c>
      <c r="I54" s="11" t="s">
        <v>2340</v>
      </c>
      <c r="J54" s="11" t="s">
        <v>2215</v>
      </c>
    </row>
    <row r="55" customFormat="false" ht="15" hidden="false" customHeight="false" outlineLevel="0" collapsed="false">
      <c r="A55" s="4" t="s">
        <v>2341</v>
      </c>
      <c r="B55" s="4" t="s">
        <v>2332</v>
      </c>
      <c r="C55" s="3" t="s">
        <v>2333</v>
      </c>
      <c r="D55" s="11" t="s">
        <v>2212</v>
      </c>
      <c r="E55" s="4" t="s">
        <v>2226</v>
      </c>
      <c r="F55" s="114" t="n">
        <v>1.30327937103509</v>
      </c>
      <c r="G55" s="114" t="n">
        <v>2.35254632767053</v>
      </c>
      <c r="H55" s="114" t="n">
        <v>3.68780273586978</v>
      </c>
      <c r="I55" s="11" t="s">
        <v>2342</v>
      </c>
      <c r="J55" s="11" t="s">
        <v>2215</v>
      </c>
    </row>
    <row r="56" customFormat="false" ht="15" hidden="false" customHeight="false" outlineLevel="0" collapsed="false">
      <c r="A56" s="4" t="s">
        <v>2343</v>
      </c>
      <c r="B56" s="4" t="s">
        <v>2344</v>
      </c>
      <c r="C56" s="3" t="s">
        <v>480</v>
      </c>
      <c r="D56" s="11" t="s">
        <v>2345</v>
      </c>
      <c r="E56" s="4" t="s">
        <v>2213</v>
      </c>
      <c r="F56" s="114" t="n">
        <v>0.06</v>
      </c>
      <c r="G56" s="114" t="n">
        <v>0.08</v>
      </c>
      <c r="H56" s="114" t="n">
        <v>0.1</v>
      </c>
      <c r="I56" s="11" t="s">
        <v>2346</v>
      </c>
      <c r="J56" s="11" t="s">
        <v>2215</v>
      </c>
    </row>
    <row r="57" customFormat="false" ht="15" hidden="false" customHeight="false" outlineLevel="0" collapsed="false">
      <c r="A57" s="4" t="s">
        <v>2347</v>
      </c>
      <c r="B57" s="4" t="s">
        <v>2344</v>
      </c>
      <c r="C57" s="3" t="s">
        <v>480</v>
      </c>
      <c r="D57" s="11" t="s">
        <v>2345</v>
      </c>
      <c r="E57" s="4" t="s">
        <v>2217</v>
      </c>
      <c r="F57" s="114" t="n">
        <v>0.06</v>
      </c>
      <c r="G57" s="114" t="n">
        <v>0.08</v>
      </c>
      <c r="H57" s="114" t="n">
        <v>0.1</v>
      </c>
      <c r="I57" s="11" t="s">
        <v>2348</v>
      </c>
      <c r="J57" s="11" t="s">
        <v>2215</v>
      </c>
    </row>
    <row r="58" customFormat="false" ht="15" hidden="false" customHeight="false" outlineLevel="0" collapsed="false">
      <c r="A58" s="4" t="s">
        <v>2349</v>
      </c>
      <c r="B58" s="4" t="s">
        <v>2344</v>
      </c>
      <c r="C58" s="3" t="s">
        <v>480</v>
      </c>
      <c r="D58" s="11" t="s">
        <v>2345</v>
      </c>
      <c r="E58" s="4" t="s">
        <v>2220</v>
      </c>
      <c r="F58" s="114" t="n">
        <v>0.06</v>
      </c>
      <c r="G58" s="114" t="n">
        <v>0.08</v>
      </c>
      <c r="H58" s="114" t="n">
        <v>0.1</v>
      </c>
      <c r="I58" s="11" t="s">
        <v>2350</v>
      </c>
      <c r="J58" s="11" t="s">
        <v>2215</v>
      </c>
    </row>
    <row r="59" customFormat="false" ht="15" hidden="false" customHeight="false" outlineLevel="0" collapsed="false">
      <c r="A59" s="4" t="s">
        <v>2351</v>
      </c>
      <c r="B59" s="4" t="s">
        <v>2344</v>
      </c>
      <c r="C59" s="3" t="s">
        <v>480</v>
      </c>
      <c r="D59" s="11" t="s">
        <v>2345</v>
      </c>
      <c r="E59" s="4" t="s">
        <v>2223</v>
      </c>
      <c r="F59" s="114" t="n">
        <v>0.06</v>
      </c>
      <c r="G59" s="114" t="n">
        <v>0.08</v>
      </c>
      <c r="H59" s="114" t="n">
        <v>0.1</v>
      </c>
      <c r="I59" s="11" t="s">
        <v>2352</v>
      </c>
      <c r="J59" s="11" t="s">
        <v>2215</v>
      </c>
    </row>
    <row r="60" customFormat="false" ht="15" hidden="false" customHeight="false" outlineLevel="0" collapsed="false">
      <c r="A60" s="4" t="s">
        <v>2353</v>
      </c>
      <c r="B60" s="4" t="s">
        <v>2344</v>
      </c>
      <c r="C60" s="3" t="s">
        <v>480</v>
      </c>
      <c r="D60" s="11" t="s">
        <v>2345</v>
      </c>
      <c r="E60" s="4" t="s">
        <v>2226</v>
      </c>
      <c r="F60" s="114" t="n">
        <v>0.06</v>
      </c>
      <c r="G60" s="114" t="n">
        <v>0.08</v>
      </c>
      <c r="H60" s="114" t="n">
        <v>0.1</v>
      </c>
      <c r="I60" s="11" t="s">
        <v>2354</v>
      </c>
      <c r="J60" s="11" t="s">
        <v>2215</v>
      </c>
    </row>
    <row r="61" customFormat="false" ht="15" hidden="false" customHeight="false" outlineLevel="0" collapsed="false">
      <c r="A61" s="4" t="s">
        <v>2355</v>
      </c>
      <c r="B61" s="4" t="s">
        <v>2356</v>
      </c>
      <c r="C61" s="3" t="s">
        <v>2357</v>
      </c>
      <c r="D61" s="11" t="s">
        <v>2212</v>
      </c>
      <c r="E61" s="4" t="s">
        <v>2213</v>
      </c>
      <c r="F61" s="114" t="n">
        <v>0.404712</v>
      </c>
      <c r="G61" s="114" t="n">
        <v>0.672768</v>
      </c>
      <c r="H61" s="114" t="n">
        <v>1.02492</v>
      </c>
      <c r="I61" s="11" t="s">
        <v>2358</v>
      </c>
      <c r="J61" s="11" t="s">
        <v>2215</v>
      </c>
    </row>
    <row r="62" customFormat="false" ht="15" hidden="false" customHeight="false" outlineLevel="0" collapsed="false">
      <c r="A62" s="4" t="s">
        <v>2359</v>
      </c>
      <c r="B62" s="4" t="s">
        <v>2356</v>
      </c>
      <c r="C62" s="3" t="s">
        <v>2357</v>
      </c>
      <c r="D62" s="11" t="s">
        <v>2212</v>
      </c>
      <c r="E62" s="4" t="s">
        <v>2217</v>
      </c>
      <c r="F62" s="114" t="n">
        <v>0.404712</v>
      </c>
      <c r="G62" s="114" t="n">
        <v>0.672768</v>
      </c>
      <c r="H62" s="114" t="n">
        <v>1.02492</v>
      </c>
      <c r="I62" s="11" t="s">
        <v>2360</v>
      </c>
      <c r="J62" s="11" t="s">
        <v>2215</v>
      </c>
    </row>
    <row r="63" customFormat="false" ht="15" hidden="false" customHeight="false" outlineLevel="0" collapsed="false">
      <c r="A63" s="4" t="s">
        <v>2361</v>
      </c>
      <c r="B63" s="4" t="s">
        <v>2356</v>
      </c>
      <c r="C63" s="3" t="s">
        <v>2357</v>
      </c>
      <c r="D63" s="11" t="s">
        <v>2212</v>
      </c>
      <c r="E63" s="4" t="s">
        <v>2220</v>
      </c>
      <c r="F63" s="114" t="n">
        <v>0.404712</v>
      </c>
      <c r="G63" s="114" t="n">
        <v>0.672768</v>
      </c>
      <c r="H63" s="114" t="n">
        <v>1.02492</v>
      </c>
      <c r="I63" s="11" t="s">
        <v>2362</v>
      </c>
      <c r="J63" s="11" t="s">
        <v>2215</v>
      </c>
    </row>
    <row r="64" customFormat="false" ht="15" hidden="false" customHeight="false" outlineLevel="0" collapsed="false">
      <c r="A64" s="4" t="s">
        <v>2363</v>
      </c>
      <c r="B64" s="4" t="s">
        <v>2356</v>
      </c>
      <c r="C64" s="3" t="s">
        <v>2357</v>
      </c>
      <c r="D64" s="11" t="s">
        <v>2212</v>
      </c>
      <c r="E64" s="4" t="s">
        <v>2223</v>
      </c>
      <c r="F64" s="114" t="n">
        <v>0.404712</v>
      </c>
      <c r="G64" s="114" t="n">
        <v>0.672768</v>
      </c>
      <c r="H64" s="114" t="n">
        <v>1.02492</v>
      </c>
      <c r="I64" s="11" t="s">
        <v>2364</v>
      </c>
      <c r="J64" s="11" t="s">
        <v>2215</v>
      </c>
    </row>
    <row r="65" customFormat="false" ht="15" hidden="false" customHeight="false" outlineLevel="0" collapsed="false">
      <c r="A65" s="4" t="s">
        <v>2365</v>
      </c>
      <c r="B65" s="4" t="s">
        <v>2356</v>
      </c>
      <c r="C65" s="3" t="s">
        <v>2357</v>
      </c>
      <c r="D65" s="11" t="s">
        <v>2212</v>
      </c>
      <c r="E65" s="4" t="s">
        <v>2226</v>
      </c>
      <c r="F65" s="114" t="n">
        <v>0.404712</v>
      </c>
      <c r="G65" s="114" t="n">
        <v>0.672768</v>
      </c>
      <c r="H65" s="114" t="n">
        <v>1.02492</v>
      </c>
      <c r="I65" s="11" t="s">
        <v>2366</v>
      </c>
      <c r="J65" s="11" t="s">
        <v>2215</v>
      </c>
    </row>
    <row r="66" customFormat="false" ht="15" hidden="false" customHeight="false" outlineLevel="0" collapsed="false">
      <c r="A66" s="4" t="s">
        <v>2367</v>
      </c>
      <c r="B66" s="4" t="s">
        <v>2368</v>
      </c>
      <c r="C66" s="3" t="s">
        <v>2369</v>
      </c>
      <c r="D66" s="11" t="s">
        <v>2212</v>
      </c>
      <c r="E66" s="4" t="s">
        <v>2213</v>
      </c>
      <c r="F66" s="114" t="n">
        <v>0.219436730882534</v>
      </c>
      <c r="G66" s="114" t="n">
        <v>0.43259841019734</v>
      </c>
      <c r="H66" s="114" t="n">
        <v>0.6226274060112</v>
      </c>
      <c r="I66" s="11" t="s">
        <v>2370</v>
      </c>
      <c r="J66" s="11" t="s">
        <v>2215</v>
      </c>
    </row>
    <row r="67" customFormat="false" ht="15" hidden="false" customHeight="false" outlineLevel="0" collapsed="false">
      <c r="A67" s="4" t="s">
        <v>2371</v>
      </c>
      <c r="B67" s="4" t="s">
        <v>2368</v>
      </c>
      <c r="C67" s="3" t="s">
        <v>2369</v>
      </c>
      <c r="D67" s="11" t="s">
        <v>2212</v>
      </c>
      <c r="E67" s="4" t="s">
        <v>2217</v>
      </c>
      <c r="F67" s="114" t="n">
        <v>0.211437133315623</v>
      </c>
      <c r="G67" s="114" t="n">
        <v>0.377638868712999</v>
      </c>
      <c r="H67" s="114" t="n">
        <v>0.504554512175472</v>
      </c>
      <c r="I67" s="11" t="s">
        <v>2372</v>
      </c>
      <c r="J67" s="11" t="s">
        <v>2215</v>
      </c>
    </row>
    <row r="68" customFormat="false" ht="15" hidden="false" customHeight="false" outlineLevel="0" collapsed="false">
      <c r="A68" s="4" t="s">
        <v>2373</v>
      </c>
      <c r="B68" s="4" t="s">
        <v>2368</v>
      </c>
      <c r="C68" s="3" t="s">
        <v>2369</v>
      </c>
      <c r="D68" s="11" t="s">
        <v>2212</v>
      </c>
      <c r="E68" s="4" t="s">
        <v>2220</v>
      </c>
      <c r="F68" s="114" t="n">
        <v>0.292526406475813</v>
      </c>
      <c r="G68" s="114" t="n">
        <v>0.506930693144573</v>
      </c>
      <c r="H68" s="114" t="n">
        <v>0.716819883947515</v>
      </c>
      <c r="I68" s="11" t="s">
        <v>2374</v>
      </c>
      <c r="J68" s="11" t="s">
        <v>2215</v>
      </c>
    </row>
    <row r="69" customFormat="false" ht="15" hidden="false" customHeight="false" outlineLevel="0" collapsed="false">
      <c r="A69" s="4" t="s">
        <v>2375</v>
      </c>
      <c r="B69" s="4" t="s">
        <v>2368</v>
      </c>
      <c r="C69" s="3" t="s">
        <v>2369</v>
      </c>
      <c r="D69" s="11" t="s">
        <v>2212</v>
      </c>
      <c r="E69" s="4" t="s">
        <v>2223</v>
      </c>
      <c r="F69" s="114" t="n">
        <v>0.340864378836638</v>
      </c>
      <c r="G69" s="114" t="n">
        <v>0.591045788314028</v>
      </c>
      <c r="H69" s="114" t="n">
        <v>0.778040575909124</v>
      </c>
      <c r="I69" s="11" t="s">
        <v>2376</v>
      </c>
      <c r="J69" s="11" t="s">
        <v>2215</v>
      </c>
    </row>
    <row r="70" customFormat="false" ht="15" hidden="false" customHeight="false" outlineLevel="0" collapsed="false">
      <c r="A70" s="4" t="s">
        <v>2377</v>
      </c>
      <c r="B70" s="4" t="s">
        <v>2368</v>
      </c>
      <c r="C70" s="3" t="s">
        <v>2369</v>
      </c>
      <c r="D70" s="11" t="s">
        <v>2212</v>
      </c>
      <c r="E70" s="4" t="s">
        <v>2226</v>
      </c>
      <c r="F70" s="114" t="n">
        <v>0.367214637035091</v>
      </c>
      <c r="G70" s="114" t="n">
        <v>0.787599427670528</v>
      </c>
      <c r="H70" s="114" t="n">
        <v>1.19489227186978</v>
      </c>
      <c r="I70" s="11" t="s">
        <v>2378</v>
      </c>
      <c r="J70" s="11" t="s">
        <v>2215</v>
      </c>
    </row>
    <row r="71" customFormat="false" ht="15" hidden="false" customHeight="false" outlineLevel="0" collapsed="false">
      <c r="A71" s="4" t="s">
        <v>2379</v>
      </c>
      <c r="B71" s="4" t="s">
        <v>2380</v>
      </c>
      <c r="C71" s="3" t="s">
        <v>2381</v>
      </c>
      <c r="D71" s="11" t="s">
        <v>2212</v>
      </c>
      <c r="E71" s="4" t="s">
        <v>2213</v>
      </c>
      <c r="F71" s="114" t="n">
        <v>0.15318</v>
      </c>
      <c r="G71" s="114" t="n">
        <v>0.2534</v>
      </c>
      <c r="H71" s="114" t="n">
        <v>0.40465</v>
      </c>
      <c r="I71" s="11" t="s">
        <v>2382</v>
      </c>
      <c r="J71" s="11" t="s">
        <v>2215</v>
      </c>
    </row>
    <row r="72" customFormat="false" ht="15" hidden="false" customHeight="false" outlineLevel="0" collapsed="false">
      <c r="A72" s="4" t="s">
        <v>2383</v>
      </c>
      <c r="B72" s="4" t="s">
        <v>2380</v>
      </c>
      <c r="C72" s="3" t="s">
        <v>2381</v>
      </c>
      <c r="D72" s="11" t="s">
        <v>2212</v>
      </c>
      <c r="E72" s="4" t="s">
        <v>2217</v>
      </c>
      <c r="F72" s="114" t="n">
        <v>0.15318</v>
      </c>
      <c r="G72" s="114" t="n">
        <v>0.2534</v>
      </c>
      <c r="H72" s="114" t="n">
        <v>0.40465</v>
      </c>
      <c r="I72" s="11" t="s">
        <v>2384</v>
      </c>
      <c r="J72" s="11" t="s">
        <v>2215</v>
      </c>
    </row>
    <row r="73" customFormat="false" ht="15" hidden="false" customHeight="false" outlineLevel="0" collapsed="false">
      <c r="A73" s="4" t="s">
        <v>2385</v>
      </c>
      <c r="B73" s="4" t="s">
        <v>2380</v>
      </c>
      <c r="C73" s="3" t="s">
        <v>2381</v>
      </c>
      <c r="D73" s="11" t="s">
        <v>2212</v>
      </c>
      <c r="E73" s="4" t="s">
        <v>2220</v>
      </c>
      <c r="F73" s="114" t="n">
        <v>0.15318</v>
      </c>
      <c r="G73" s="114" t="n">
        <v>0.2534</v>
      </c>
      <c r="H73" s="114" t="n">
        <v>0.40465</v>
      </c>
      <c r="I73" s="11" t="s">
        <v>2386</v>
      </c>
      <c r="J73" s="11" t="s">
        <v>2215</v>
      </c>
    </row>
    <row r="74" customFormat="false" ht="15" hidden="false" customHeight="false" outlineLevel="0" collapsed="false">
      <c r="A74" s="4" t="s">
        <v>2387</v>
      </c>
      <c r="B74" s="4" t="s">
        <v>2380</v>
      </c>
      <c r="C74" s="3" t="s">
        <v>2381</v>
      </c>
      <c r="D74" s="11" t="s">
        <v>2212</v>
      </c>
      <c r="E74" s="4" t="s">
        <v>2223</v>
      </c>
      <c r="F74" s="114" t="n">
        <v>0.15318</v>
      </c>
      <c r="G74" s="114" t="n">
        <v>0.2534</v>
      </c>
      <c r="H74" s="114" t="n">
        <v>0.40465</v>
      </c>
      <c r="I74" s="11" t="s">
        <v>2388</v>
      </c>
      <c r="J74" s="11" t="s">
        <v>2215</v>
      </c>
    </row>
    <row r="75" customFormat="false" ht="15" hidden="false" customHeight="false" outlineLevel="0" collapsed="false">
      <c r="A75" s="4" t="s">
        <v>2389</v>
      </c>
      <c r="B75" s="4" t="s">
        <v>2380</v>
      </c>
      <c r="C75" s="3" t="s">
        <v>2381</v>
      </c>
      <c r="D75" s="11" t="s">
        <v>2212</v>
      </c>
      <c r="E75" s="4" t="s">
        <v>2226</v>
      </c>
      <c r="F75" s="114" t="n">
        <v>0.15318</v>
      </c>
      <c r="G75" s="114" t="n">
        <v>0.2534</v>
      </c>
      <c r="H75" s="114" t="n">
        <v>0.40465</v>
      </c>
      <c r="I75" s="11" t="s">
        <v>2390</v>
      </c>
      <c r="J75" s="11" t="s">
        <v>2215</v>
      </c>
    </row>
    <row r="76" customFormat="false" ht="15" hidden="false" customHeight="false" outlineLevel="0" collapsed="false">
      <c r="A76" s="4" t="s">
        <v>2391</v>
      </c>
      <c r="B76" s="4" t="s">
        <v>2392</v>
      </c>
      <c r="C76" s="3" t="s">
        <v>2393</v>
      </c>
      <c r="D76" s="11" t="s">
        <v>2212</v>
      </c>
      <c r="E76" s="4" t="s">
        <v>2213</v>
      </c>
      <c r="F76" s="114" t="n">
        <v>0.24</v>
      </c>
      <c r="G76" s="114" t="n">
        <v>0.325</v>
      </c>
      <c r="H76" s="114" t="n">
        <v>0.41</v>
      </c>
      <c r="I76" s="11" t="s">
        <v>2394</v>
      </c>
      <c r="J76" s="11" t="s">
        <v>2215</v>
      </c>
    </row>
    <row r="77" customFormat="false" ht="15" hidden="false" customHeight="false" outlineLevel="0" collapsed="false">
      <c r="A77" s="4" t="s">
        <v>2395</v>
      </c>
      <c r="B77" s="4" t="s">
        <v>2392</v>
      </c>
      <c r="C77" s="3" t="s">
        <v>2393</v>
      </c>
      <c r="D77" s="11" t="s">
        <v>2212</v>
      </c>
      <c r="E77" s="4" t="s">
        <v>2217</v>
      </c>
      <c r="F77" s="114" t="n">
        <v>0.24</v>
      </c>
      <c r="G77" s="114" t="n">
        <v>0.325</v>
      </c>
      <c r="H77" s="114" t="n">
        <v>0.41</v>
      </c>
      <c r="I77" s="11" t="s">
        <v>2396</v>
      </c>
      <c r="J77" s="11" t="s">
        <v>2215</v>
      </c>
    </row>
    <row r="78" customFormat="false" ht="15" hidden="false" customHeight="false" outlineLevel="0" collapsed="false">
      <c r="A78" s="4" t="s">
        <v>2397</v>
      </c>
      <c r="B78" s="4" t="s">
        <v>2392</v>
      </c>
      <c r="C78" s="3" t="s">
        <v>2393</v>
      </c>
      <c r="D78" s="11" t="s">
        <v>2212</v>
      </c>
      <c r="E78" s="4" t="s">
        <v>2220</v>
      </c>
      <c r="F78" s="114" t="n">
        <v>0.24</v>
      </c>
      <c r="G78" s="114" t="n">
        <v>0.325</v>
      </c>
      <c r="H78" s="114" t="n">
        <v>0.41</v>
      </c>
      <c r="I78" s="11" t="s">
        <v>2398</v>
      </c>
      <c r="J78" s="11" t="s">
        <v>2215</v>
      </c>
    </row>
    <row r="79" customFormat="false" ht="15" hidden="false" customHeight="false" outlineLevel="0" collapsed="false">
      <c r="A79" s="4" t="s">
        <v>2399</v>
      </c>
      <c r="B79" s="4" t="s">
        <v>2392</v>
      </c>
      <c r="C79" s="3" t="s">
        <v>2393</v>
      </c>
      <c r="D79" s="11" t="s">
        <v>2212</v>
      </c>
      <c r="E79" s="4" t="s">
        <v>2223</v>
      </c>
      <c r="F79" s="114" t="n">
        <v>0.24</v>
      </c>
      <c r="G79" s="114" t="n">
        <v>0.325</v>
      </c>
      <c r="H79" s="114" t="n">
        <v>0.41</v>
      </c>
      <c r="I79" s="11" t="s">
        <v>2400</v>
      </c>
      <c r="J79" s="11" t="s">
        <v>2215</v>
      </c>
    </row>
    <row r="80" customFormat="false" ht="15" hidden="false" customHeight="false" outlineLevel="0" collapsed="false">
      <c r="A80" s="4" t="s">
        <v>2401</v>
      </c>
      <c r="B80" s="4" t="s">
        <v>2392</v>
      </c>
      <c r="C80" s="3" t="s">
        <v>2393</v>
      </c>
      <c r="D80" s="11" t="s">
        <v>2212</v>
      </c>
      <c r="E80" s="4" t="s">
        <v>2226</v>
      </c>
      <c r="F80" s="114" t="n">
        <v>0.24</v>
      </c>
      <c r="G80" s="114" t="n">
        <v>0.325</v>
      </c>
      <c r="H80" s="114" t="n">
        <v>0.41</v>
      </c>
      <c r="I80" s="11" t="s">
        <v>2402</v>
      </c>
      <c r="J80" s="11" t="s">
        <v>2215</v>
      </c>
    </row>
    <row r="81" customFormat="false" ht="15" hidden="false" customHeight="false" outlineLevel="0" collapsed="false">
      <c r="A81" s="4" t="s">
        <v>2403</v>
      </c>
      <c r="B81" s="4" t="s">
        <v>2404</v>
      </c>
      <c r="C81" s="3" t="s">
        <v>2405</v>
      </c>
      <c r="D81" s="11" t="s">
        <v>2212</v>
      </c>
      <c r="E81" s="4" t="s">
        <v>2213</v>
      </c>
      <c r="F81" s="114" t="n">
        <v>0.0948968082</v>
      </c>
      <c r="G81" s="114" t="n">
        <v>0.20090107</v>
      </c>
      <c r="H81" s="114" t="n">
        <v>0.4024539472</v>
      </c>
      <c r="I81" s="11" t="s">
        <v>2406</v>
      </c>
      <c r="J81" s="11" t="s">
        <v>2215</v>
      </c>
    </row>
    <row r="82" customFormat="false" ht="15" hidden="false" customHeight="false" outlineLevel="0" collapsed="false">
      <c r="A82" s="4" t="s">
        <v>2407</v>
      </c>
      <c r="B82" s="4" t="s">
        <v>2404</v>
      </c>
      <c r="C82" s="3" t="s">
        <v>2405</v>
      </c>
      <c r="D82" s="11" t="s">
        <v>2212</v>
      </c>
      <c r="E82" s="4" t="s">
        <v>2217</v>
      </c>
      <c r="F82" s="114" t="n">
        <v>0.0925541712</v>
      </c>
      <c r="G82" s="114" t="n">
        <v>0.18342587</v>
      </c>
      <c r="H82" s="114" t="n">
        <v>0.3506896352</v>
      </c>
      <c r="I82" s="11" t="s">
        <v>2408</v>
      </c>
      <c r="J82" s="11" t="s">
        <v>2215</v>
      </c>
    </row>
    <row r="83" customFormat="false" ht="15" hidden="false" customHeight="false" outlineLevel="0" collapsed="false">
      <c r="A83" s="4" t="s">
        <v>2409</v>
      </c>
      <c r="B83" s="4" t="s">
        <v>2404</v>
      </c>
      <c r="C83" s="3" t="s">
        <v>2405</v>
      </c>
      <c r="D83" s="11" t="s">
        <v>2212</v>
      </c>
      <c r="E83" s="4" t="s">
        <v>2220</v>
      </c>
      <c r="F83" s="114" t="n">
        <v>0.1163007072</v>
      </c>
      <c r="G83" s="114" t="n">
        <v>0.22453612</v>
      </c>
      <c r="H83" s="114" t="n">
        <v>0.4437488512</v>
      </c>
      <c r="I83" s="11" t="s">
        <v>2410</v>
      </c>
      <c r="J83" s="11" t="s">
        <v>2215</v>
      </c>
    </row>
    <row r="84" customFormat="false" ht="15" hidden="false" customHeight="false" outlineLevel="0" collapsed="false">
      <c r="A84" s="4" t="s">
        <v>2411</v>
      </c>
      <c r="B84" s="4" t="s">
        <v>2404</v>
      </c>
      <c r="C84" s="3" t="s">
        <v>2405</v>
      </c>
      <c r="D84" s="11" t="s">
        <v>2212</v>
      </c>
      <c r="E84" s="4" t="s">
        <v>2223</v>
      </c>
      <c r="F84" s="114" t="n">
        <v>0.1304562096</v>
      </c>
      <c r="G84" s="114" t="n">
        <v>0.25128176</v>
      </c>
      <c r="H84" s="114" t="n">
        <v>0.4705886016</v>
      </c>
      <c r="I84" s="11" t="s">
        <v>2412</v>
      </c>
      <c r="J84" s="11" t="s">
        <v>2215</v>
      </c>
    </row>
    <row r="85" customFormat="false" ht="15" hidden="false" customHeight="false" outlineLevel="0" collapsed="false">
      <c r="A85" s="4" t="s">
        <v>2413</v>
      </c>
      <c r="B85" s="4" t="s">
        <v>2404</v>
      </c>
      <c r="C85" s="3" t="s">
        <v>2405</v>
      </c>
      <c r="D85" s="11" t="s">
        <v>2212</v>
      </c>
      <c r="E85" s="4" t="s">
        <v>2226</v>
      </c>
      <c r="F85" s="114" t="n">
        <v>0.138172734</v>
      </c>
      <c r="G85" s="114" t="n">
        <v>0.3137789</v>
      </c>
      <c r="H85" s="114" t="n">
        <v>0.653340464</v>
      </c>
      <c r="I85" s="11" t="s">
        <v>2414</v>
      </c>
      <c r="J85" s="11" t="s">
        <v>2215</v>
      </c>
    </row>
    <row r="86" customFormat="false" ht="15" hidden="false" customHeight="false" outlineLevel="0" collapsed="false">
      <c r="A86" s="4" t="s">
        <v>2415</v>
      </c>
      <c r="B86" s="4" t="s">
        <v>2416</v>
      </c>
      <c r="C86" s="3" t="s">
        <v>2417</v>
      </c>
      <c r="D86" s="11" t="s">
        <v>42</v>
      </c>
      <c r="E86" s="4" t="s">
        <v>2213</v>
      </c>
      <c r="F86" s="23" t="n">
        <v>0.7</v>
      </c>
      <c r="G86" s="23" t="n">
        <v>0.8</v>
      </c>
      <c r="H86" s="23" t="n">
        <v>0.9</v>
      </c>
      <c r="I86" s="11" t="s">
        <v>2418</v>
      </c>
      <c r="J86" s="11" t="s">
        <v>2215</v>
      </c>
    </row>
    <row r="87" customFormat="false" ht="15" hidden="false" customHeight="false" outlineLevel="0" collapsed="false">
      <c r="A87" s="4" t="s">
        <v>2419</v>
      </c>
      <c r="B87" s="4" t="s">
        <v>2416</v>
      </c>
      <c r="C87" s="3" t="s">
        <v>2417</v>
      </c>
      <c r="D87" s="11" t="s">
        <v>42</v>
      </c>
      <c r="E87" s="4" t="s">
        <v>2217</v>
      </c>
      <c r="F87" s="23" t="n">
        <v>0.7</v>
      </c>
      <c r="G87" s="23" t="n">
        <v>0.8</v>
      </c>
      <c r="H87" s="23" t="n">
        <v>0.9</v>
      </c>
      <c r="I87" s="11" t="s">
        <v>2420</v>
      </c>
      <c r="J87" s="11" t="s">
        <v>2215</v>
      </c>
    </row>
    <row r="88" customFormat="false" ht="15" hidden="false" customHeight="false" outlineLevel="0" collapsed="false">
      <c r="A88" s="4" t="s">
        <v>2421</v>
      </c>
      <c r="B88" s="4" t="s">
        <v>2416</v>
      </c>
      <c r="C88" s="3" t="s">
        <v>2417</v>
      </c>
      <c r="D88" s="11" t="s">
        <v>42</v>
      </c>
      <c r="E88" s="4" t="s">
        <v>2220</v>
      </c>
      <c r="F88" s="23" t="n">
        <v>0.7</v>
      </c>
      <c r="G88" s="23" t="n">
        <v>0.8</v>
      </c>
      <c r="H88" s="23" t="n">
        <v>0.9</v>
      </c>
      <c r="I88" s="11" t="s">
        <v>2422</v>
      </c>
      <c r="J88" s="11" t="s">
        <v>2215</v>
      </c>
    </row>
    <row r="89" customFormat="false" ht="15" hidden="false" customHeight="false" outlineLevel="0" collapsed="false">
      <c r="A89" s="4" t="s">
        <v>2423</v>
      </c>
      <c r="B89" s="4" t="s">
        <v>2416</v>
      </c>
      <c r="C89" s="3" t="s">
        <v>2417</v>
      </c>
      <c r="D89" s="11" t="s">
        <v>42</v>
      </c>
      <c r="E89" s="4" t="s">
        <v>2223</v>
      </c>
      <c r="F89" s="23" t="n">
        <v>0.7</v>
      </c>
      <c r="G89" s="23" t="n">
        <v>0.8</v>
      </c>
      <c r="H89" s="23" t="n">
        <v>0.9</v>
      </c>
      <c r="I89" s="11" t="s">
        <v>2424</v>
      </c>
      <c r="J89" s="11" t="s">
        <v>2215</v>
      </c>
    </row>
    <row r="90" customFormat="false" ht="15" hidden="false" customHeight="false" outlineLevel="0" collapsed="false">
      <c r="A90" s="4" t="s">
        <v>2425</v>
      </c>
      <c r="B90" s="4" t="s">
        <v>2416</v>
      </c>
      <c r="C90" s="3" t="s">
        <v>2417</v>
      </c>
      <c r="D90" s="11" t="s">
        <v>42</v>
      </c>
      <c r="E90" s="4" t="s">
        <v>2226</v>
      </c>
      <c r="F90" s="23" t="n">
        <v>0.7</v>
      </c>
      <c r="G90" s="23" t="n">
        <v>0.8</v>
      </c>
      <c r="H90" s="23" t="n">
        <v>0.9</v>
      </c>
      <c r="I90" s="11" t="s">
        <v>2426</v>
      </c>
      <c r="J90" s="11" t="s">
        <v>2215</v>
      </c>
    </row>
    <row r="91" customFormat="false" ht="15" hidden="false" customHeight="false" outlineLevel="0" collapsed="false">
      <c r="A91" s="4" t="s">
        <v>2427</v>
      </c>
      <c r="B91" s="4" t="s">
        <v>2428</v>
      </c>
      <c r="C91" s="3" t="s">
        <v>2429</v>
      </c>
      <c r="D91" s="11" t="s">
        <v>2430</v>
      </c>
      <c r="E91" s="4" t="s">
        <v>2213</v>
      </c>
      <c r="F91" s="114" t="n">
        <v>1.1</v>
      </c>
      <c r="G91" s="114" t="n">
        <v>1.2</v>
      </c>
      <c r="H91" s="114" t="n">
        <v>1.3</v>
      </c>
      <c r="I91" s="11" t="s">
        <v>2431</v>
      </c>
      <c r="J91" s="11" t="s">
        <v>2215</v>
      </c>
    </row>
    <row r="92" customFormat="false" ht="15" hidden="false" customHeight="false" outlineLevel="0" collapsed="false">
      <c r="A92" s="4" t="s">
        <v>2432</v>
      </c>
      <c r="B92" s="4" t="s">
        <v>2428</v>
      </c>
      <c r="C92" s="3" t="s">
        <v>2429</v>
      </c>
      <c r="D92" s="11" t="s">
        <v>2430</v>
      </c>
      <c r="E92" s="4" t="s">
        <v>2217</v>
      </c>
      <c r="F92" s="114" t="n">
        <v>1.1</v>
      </c>
      <c r="G92" s="114" t="n">
        <v>1.2</v>
      </c>
      <c r="H92" s="114" t="n">
        <v>1.3</v>
      </c>
      <c r="I92" s="11" t="s">
        <v>2433</v>
      </c>
      <c r="J92" s="11" t="s">
        <v>2215</v>
      </c>
    </row>
    <row r="93" customFormat="false" ht="15" hidden="false" customHeight="false" outlineLevel="0" collapsed="false">
      <c r="A93" s="4" t="s">
        <v>2434</v>
      </c>
      <c r="B93" s="4" t="s">
        <v>2428</v>
      </c>
      <c r="C93" s="3" t="s">
        <v>2429</v>
      </c>
      <c r="D93" s="11" t="s">
        <v>2430</v>
      </c>
      <c r="E93" s="4" t="s">
        <v>2220</v>
      </c>
      <c r="F93" s="114" t="n">
        <v>1.1</v>
      </c>
      <c r="G93" s="114" t="n">
        <v>1.2</v>
      </c>
      <c r="H93" s="114" t="n">
        <v>1.3</v>
      </c>
      <c r="I93" s="11" t="s">
        <v>2435</v>
      </c>
      <c r="J93" s="11" t="s">
        <v>2215</v>
      </c>
    </row>
    <row r="94" customFormat="false" ht="15" hidden="false" customHeight="false" outlineLevel="0" collapsed="false">
      <c r="A94" s="4" t="s">
        <v>2436</v>
      </c>
      <c r="B94" s="4" t="s">
        <v>2428</v>
      </c>
      <c r="C94" s="3" t="s">
        <v>2429</v>
      </c>
      <c r="D94" s="11" t="s">
        <v>2430</v>
      </c>
      <c r="E94" s="4" t="s">
        <v>2223</v>
      </c>
      <c r="F94" s="114" t="n">
        <v>1.1</v>
      </c>
      <c r="G94" s="114" t="n">
        <v>1.2</v>
      </c>
      <c r="H94" s="114" t="n">
        <v>1.3</v>
      </c>
      <c r="I94" s="11" t="s">
        <v>2437</v>
      </c>
      <c r="J94" s="11" t="s">
        <v>2215</v>
      </c>
    </row>
    <row r="95" customFormat="false" ht="15" hidden="false" customHeight="false" outlineLevel="0" collapsed="false">
      <c r="A95" s="4" t="s">
        <v>2438</v>
      </c>
      <c r="B95" s="4" t="s">
        <v>2428</v>
      </c>
      <c r="C95" s="3" t="s">
        <v>2429</v>
      </c>
      <c r="D95" s="11" t="s">
        <v>2430</v>
      </c>
      <c r="E95" s="4" t="s">
        <v>2226</v>
      </c>
      <c r="F95" s="114" t="n">
        <v>1.1</v>
      </c>
      <c r="G95" s="114" t="n">
        <v>1.2</v>
      </c>
      <c r="H95" s="114" t="n">
        <v>1.3</v>
      </c>
      <c r="I95" s="11" t="s">
        <v>2439</v>
      </c>
      <c r="J95" s="11" t="s">
        <v>2215</v>
      </c>
    </row>
    <row r="96" customFormat="false" ht="15" hidden="false" customHeight="false" outlineLevel="0" collapsed="false">
      <c r="A96" s="4" t="s">
        <v>2440</v>
      </c>
      <c r="B96" s="4" t="s">
        <v>2441</v>
      </c>
      <c r="C96" s="3" t="s">
        <v>2442</v>
      </c>
      <c r="D96" s="6" t="s">
        <v>2443</v>
      </c>
      <c r="E96" s="4" t="s">
        <v>2213</v>
      </c>
      <c r="F96" s="21" t="n">
        <v>718048</v>
      </c>
      <c r="G96" s="21" t="n">
        <v>718048</v>
      </c>
      <c r="H96" s="21" t="n">
        <v>718048</v>
      </c>
      <c r="I96" s="11" t="s">
        <v>2444</v>
      </c>
      <c r="J96" s="11" t="s">
        <v>2215</v>
      </c>
    </row>
    <row r="97" customFormat="false" ht="15" hidden="false" customHeight="false" outlineLevel="0" collapsed="false">
      <c r="A97" s="4" t="s">
        <v>2445</v>
      </c>
      <c r="B97" s="4" t="s">
        <v>2441</v>
      </c>
      <c r="C97" s="3" t="s">
        <v>2442</v>
      </c>
      <c r="D97" s="6" t="s">
        <v>2443</v>
      </c>
      <c r="E97" s="4" t="s">
        <v>2217</v>
      </c>
      <c r="F97" s="21" t="n">
        <v>501768</v>
      </c>
      <c r="G97" s="21" t="n">
        <v>501768</v>
      </c>
      <c r="H97" s="21" t="n">
        <v>501768</v>
      </c>
      <c r="I97" s="11" t="s">
        <v>2446</v>
      </c>
      <c r="J97" s="11" t="s">
        <v>2215</v>
      </c>
    </row>
    <row r="98" customFormat="false" ht="15" hidden="false" customHeight="false" outlineLevel="0" collapsed="false">
      <c r="A98" s="4" t="s">
        <v>2447</v>
      </c>
      <c r="B98" s="4" t="s">
        <v>2441</v>
      </c>
      <c r="C98" s="3" t="s">
        <v>2442</v>
      </c>
      <c r="D98" s="6" t="s">
        <v>2443</v>
      </c>
      <c r="E98" s="4" t="s">
        <v>2220</v>
      </c>
      <c r="F98" s="21" t="n">
        <v>487008</v>
      </c>
      <c r="G98" s="21" t="n">
        <v>487008</v>
      </c>
      <c r="H98" s="21" t="n">
        <v>487008</v>
      </c>
      <c r="I98" s="11" t="s">
        <v>2448</v>
      </c>
      <c r="J98" s="11" t="s">
        <v>2215</v>
      </c>
    </row>
    <row r="99" customFormat="false" ht="15" hidden="false" customHeight="false" outlineLevel="0" collapsed="false">
      <c r="A99" s="4" t="s">
        <v>2449</v>
      </c>
      <c r="B99" s="4" t="s">
        <v>2441</v>
      </c>
      <c r="C99" s="3" t="s">
        <v>2442</v>
      </c>
      <c r="D99" s="6" t="s">
        <v>2443</v>
      </c>
      <c r="E99" s="4" t="s">
        <v>2223</v>
      </c>
      <c r="F99" s="21" t="n">
        <v>291744</v>
      </c>
      <c r="G99" s="21" t="n">
        <v>291744</v>
      </c>
      <c r="H99" s="21" t="n">
        <v>291744</v>
      </c>
      <c r="I99" s="11" t="s">
        <v>2450</v>
      </c>
      <c r="J99" s="11" t="s">
        <v>2215</v>
      </c>
    </row>
    <row r="100" customFormat="false" ht="15" hidden="false" customHeight="false" outlineLevel="0" collapsed="false">
      <c r="A100" s="4" t="s">
        <v>2451</v>
      </c>
      <c r="B100" s="4" t="s">
        <v>2441</v>
      </c>
      <c r="C100" s="3" t="s">
        <v>2442</v>
      </c>
      <c r="D100" s="6" t="s">
        <v>2443</v>
      </c>
      <c r="E100" s="4" t="s">
        <v>2226</v>
      </c>
      <c r="F100" s="21" t="n">
        <v>194760</v>
      </c>
      <c r="G100" s="21" t="n">
        <v>194760</v>
      </c>
      <c r="H100" s="21" t="n">
        <v>194760</v>
      </c>
      <c r="I100" s="11" t="s">
        <v>2452</v>
      </c>
      <c r="J100" s="11" t="s">
        <v>2215</v>
      </c>
    </row>
    <row r="101" customFormat="false" ht="15" hidden="false" customHeight="false" outlineLevel="0" collapsed="false">
      <c r="A101" s="4" t="s">
        <v>2453</v>
      </c>
      <c r="B101" s="4" t="s">
        <v>2454</v>
      </c>
      <c r="C101" s="3" t="s">
        <v>2455</v>
      </c>
      <c r="D101" s="6" t="s">
        <v>2456</v>
      </c>
      <c r="E101" s="4" t="s">
        <v>2213</v>
      </c>
      <c r="F101" s="21" t="n">
        <v>22439</v>
      </c>
      <c r="G101" s="21" t="n">
        <v>22439</v>
      </c>
      <c r="H101" s="21" t="n">
        <v>22439</v>
      </c>
      <c r="I101" s="11" t="s">
        <v>2457</v>
      </c>
      <c r="J101" s="11" t="s">
        <v>2215</v>
      </c>
    </row>
    <row r="102" customFormat="false" ht="15" hidden="false" customHeight="false" outlineLevel="0" collapsed="false">
      <c r="A102" s="4" t="s">
        <v>2458</v>
      </c>
      <c r="B102" s="4" t="s">
        <v>2454</v>
      </c>
      <c r="C102" s="3" t="s">
        <v>2455</v>
      </c>
      <c r="D102" s="6" t="s">
        <v>2456</v>
      </c>
      <c r="E102" s="4" t="s">
        <v>2217</v>
      </c>
      <c r="F102" s="21" t="n">
        <v>6969</v>
      </c>
      <c r="G102" s="21" t="n">
        <v>6969</v>
      </c>
      <c r="H102" s="21" t="n">
        <v>6969</v>
      </c>
      <c r="I102" s="11" t="s">
        <v>2459</v>
      </c>
      <c r="J102" s="11" t="s">
        <v>2215</v>
      </c>
    </row>
    <row r="103" customFormat="false" ht="15" hidden="false" customHeight="false" outlineLevel="0" collapsed="false">
      <c r="A103" s="4" t="s">
        <v>2460</v>
      </c>
      <c r="B103" s="4" t="s">
        <v>2454</v>
      </c>
      <c r="C103" s="3" t="s">
        <v>2455</v>
      </c>
      <c r="D103" s="6" t="s">
        <v>2456</v>
      </c>
      <c r="E103" s="4" t="s">
        <v>2220</v>
      </c>
      <c r="F103" s="21" t="n">
        <v>6764</v>
      </c>
      <c r="G103" s="21" t="n">
        <v>6764</v>
      </c>
      <c r="H103" s="21" t="n">
        <v>6764</v>
      </c>
      <c r="I103" s="11" t="s">
        <v>2461</v>
      </c>
      <c r="J103" s="11" t="s">
        <v>2215</v>
      </c>
    </row>
    <row r="104" customFormat="false" ht="15" hidden="false" customHeight="false" outlineLevel="0" collapsed="false">
      <c r="A104" s="4" t="s">
        <v>2462</v>
      </c>
      <c r="B104" s="4" t="s">
        <v>2454</v>
      </c>
      <c r="C104" s="3" t="s">
        <v>2455</v>
      </c>
      <c r="D104" s="6" t="s">
        <v>2456</v>
      </c>
      <c r="E104" s="4" t="s">
        <v>2223</v>
      </c>
      <c r="F104" s="21" t="n">
        <v>4052</v>
      </c>
      <c r="G104" s="21" t="n">
        <v>4052</v>
      </c>
      <c r="H104" s="21" t="n">
        <v>4052</v>
      </c>
      <c r="I104" s="11" t="s">
        <v>2463</v>
      </c>
      <c r="J104" s="11" t="s">
        <v>2215</v>
      </c>
    </row>
    <row r="105" customFormat="false" ht="15" hidden="false" customHeight="false" outlineLevel="0" collapsed="false">
      <c r="A105" s="4" t="s">
        <v>2464</v>
      </c>
      <c r="B105" s="4" t="s">
        <v>2454</v>
      </c>
      <c r="C105" s="3" t="s">
        <v>2455</v>
      </c>
      <c r="D105" s="6" t="s">
        <v>2456</v>
      </c>
      <c r="E105" s="4" t="s">
        <v>2226</v>
      </c>
      <c r="F105" s="21" t="n">
        <v>2705</v>
      </c>
      <c r="G105" s="21" t="n">
        <v>2705</v>
      </c>
      <c r="H105" s="21" t="n">
        <v>2705</v>
      </c>
      <c r="I105" s="11" t="s">
        <v>2465</v>
      </c>
      <c r="J105" s="11" t="s">
        <v>2215</v>
      </c>
    </row>
    <row r="106" customFormat="false" ht="15" hidden="false" customHeight="false" outlineLevel="0" collapsed="false">
      <c r="A106" s="4" t="s">
        <v>2466</v>
      </c>
      <c r="B106" s="4" t="s">
        <v>2467</v>
      </c>
      <c r="C106" s="3" t="s">
        <v>2468</v>
      </c>
      <c r="D106" s="11" t="s">
        <v>42</v>
      </c>
      <c r="E106" s="4" t="s">
        <v>1485</v>
      </c>
      <c r="F106" s="115"/>
      <c r="G106" s="23" t="n">
        <v>0.6</v>
      </c>
      <c r="H106" s="115"/>
      <c r="I106" s="11" t="s">
        <v>2469</v>
      </c>
      <c r="J106" s="11" t="s">
        <v>2215</v>
      </c>
    </row>
    <row r="107" customFormat="false" ht="15" hidden="false" customHeight="false" outlineLevel="0" collapsed="false">
      <c r="A107" s="4" t="s">
        <v>2470</v>
      </c>
      <c r="B107" s="4" t="s">
        <v>2471</v>
      </c>
      <c r="C107" s="3" t="s">
        <v>2472</v>
      </c>
      <c r="D107" s="11" t="s">
        <v>2212</v>
      </c>
      <c r="E107" s="4" t="s">
        <v>2213</v>
      </c>
      <c r="F107" s="114" t="n">
        <v>4.00488774987164</v>
      </c>
      <c r="G107" s="114" t="n">
        <v>4.00488774987164</v>
      </c>
      <c r="H107" s="114" t="n">
        <v>4.00488774987164</v>
      </c>
      <c r="I107" s="11" t="s">
        <v>2473</v>
      </c>
      <c r="J107" s="11" t="s">
        <v>2215</v>
      </c>
    </row>
    <row r="108" customFormat="false" ht="15" hidden="false" customHeight="false" outlineLevel="0" collapsed="false">
      <c r="A108" s="4" t="s">
        <v>2474</v>
      </c>
      <c r="B108" s="4" t="s">
        <v>2471</v>
      </c>
      <c r="C108" s="3" t="s">
        <v>2472</v>
      </c>
      <c r="D108" s="11" t="s">
        <v>2212</v>
      </c>
      <c r="E108" s="4" t="s">
        <v>2217</v>
      </c>
      <c r="F108" s="114" t="n">
        <v>20.1746158611128</v>
      </c>
      <c r="G108" s="114" t="n">
        <v>20.1746158611128</v>
      </c>
      <c r="H108" s="114" t="n">
        <v>20.1746158611128</v>
      </c>
      <c r="I108" s="11" t="s">
        <v>2475</v>
      </c>
      <c r="J108" s="11" t="s">
        <v>2215</v>
      </c>
    </row>
    <row r="109" customFormat="false" ht="15" hidden="false" customHeight="false" outlineLevel="0" collapsed="false">
      <c r="A109" s="4" t="s">
        <v>2476</v>
      </c>
      <c r="B109" s="4" t="s">
        <v>2471</v>
      </c>
      <c r="C109" s="3" t="s">
        <v>2472</v>
      </c>
      <c r="D109" s="11" t="s">
        <v>2212</v>
      </c>
      <c r="E109" s="4" t="s">
        <v>2220</v>
      </c>
      <c r="F109" s="114" t="n">
        <v>26.2652356996766</v>
      </c>
      <c r="G109" s="114" t="n">
        <v>26.2652356996766</v>
      </c>
      <c r="H109" s="114" t="n">
        <v>26.2652356996766</v>
      </c>
      <c r="I109" s="11" t="s">
        <v>2477</v>
      </c>
      <c r="J109" s="11" t="s">
        <v>2215</v>
      </c>
    </row>
    <row r="110" customFormat="false" ht="15" hidden="false" customHeight="false" outlineLevel="0" collapsed="false">
      <c r="A110" s="4" t="s">
        <v>2478</v>
      </c>
      <c r="B110" s="4" t="s">
        <v>2471</v>
      </c>
      <c r="C110" s="3" t="s">
        <v>2472</v>
      </c>
      <c r="D110" s="11" t="s">
        <v>2212</v>
      </c>
      <c r="E110" s="4" t="s">
        <v>2223</v>
      </c>
      <c r="F110" s="114" t="n">
        <v>48.7237019639935</v>
      </c>
      <c r="G110" s="114" t="n">
        <v>48.7237019639935</v>
      </c>
      <c r="H110" s="114" t="n">
        <v>48.7237019639935</v>
      </c>
      <c r="I110" s="11" t="s">
        <v>2479</v>
      </c>
      <c r="J110" s="11" t="s">
        <v>2215</v>
      </c>
    </row>
    <row r="111" customFormat="false" ht="15" hidden="false" customHeight="false" outlineLevel="0" collapsed="false">
      <c r="A111" s="4" t="s">
        <v>2480</v>
      </c>
      <c r="B111" s="4" t="s">
        <v>2471</v>
      </c>
      <c r="C111" s="3" t="s">
        <v>2472</v>
      </c>
      <c r="D111" s="11" t="s">
        <v>2212</v>
      </c>
      <c r="E111" s="4" t="s">
        <v>2226</v>
      </c>
      <c r="F111" s="114" t="n">
        <v>68.9276257152094</v>
      </c>
      <c r="G111" s="114" t="n">
        <v>68.9276257152094</v>
      </c>
      <c r="H111" s="114" t="n">
        <v>68.9276257152094</v>
      </c>
      <c r="I111" s="11" t="s">
        <v>2481</v>
      </c>
      <c r="J111" s="11" t="s">
        <v>2215</v>
      </c>
    </row>
    <row r="112" customFormat="false" ht="15" hidden="false" customHeight="false" outlineLevel="0" collapsed="false">
      <c r="A112" s="4" t="s">
        <v>2482</v>
      </c>
      <c r="B112" s="4" t="s">
        <v>2483</v>
      </c>
      <c r="C112" s="3" t="s">
        <v>2484</v>
      </c>
      <c r="D112" s="11" t="s">
        <v>2243</v>
      </c>
      <c r="E112" s="4" t="s">
        <v>1485</v>
      </c>
      <c r="F112" s="114" t="n">
        <v>1.07964486018265</v>
      </c>
      <c r="G112" s="114" t="n">
        <v>1.54259654785589</v>
      </c>
      <c r="H112" s="114" t="n">
        <v>2.64920565047995</v>
      </c>
      <c r="I112" s="11" t="s">
        <v>2485</v>
      </c>
      <c r="J112" s="11" t="s">
        <v>2215</v>
      </c>
    </row>
    <row r="113" customFormat="false" ht="15" hidden="false" customHeight="false" outlineLevel="0" collapsed="false">
      <c r="A113" s="4" t="s">
        <v>2486</v>
      </c>
      <c r="B113" s="4" t="s">
        <v>2487</v>
      </c>
      <c r="C113" s="3" t="s">
        <v>2488</v>
      </c>
      <c r="D113" s="11" t="s">
        <v>2243</v>
      </c>
      <c r="E113" s="4" t="s">
        <v>1485</v>
      </c>
      <c r="F113" s="114" t="n">
        <v>1.50422814430785</v>
      </c>
      <c r="G113" s="114" t="n">
        <v>2.00846099652078</v>
      </c>
      <c r="H113" s="114" t="n">
        <v>3.25756227849869</v>
      </c>
      <c r="I113" s="11" t="s">
        <v>2489</v>
      </c>
      <c r="J113" s="11" t="s">
        <v>2215</v>
      </c>
    </row>
    <row r="114" customFormat="false" ht="15" hidden="false" customHeight="false" outlineLevel="0" collapsed="false">
      <c r="A114" s="4" t="s">
        <v>2490</v>
      </c>
      <c r="B114" s="4" t="s">
        <v>2491</v>
      </c>
      <c r="C114" s="3" t="s">
        <v>2492</v>
      </c>
      <c r="D114" s="11" t="s">
        <v>2243</v>
      </c>
      <c r="E114" s="4" t="s">
        <v>1485</v>
      </c>
      <c r="F114" s="114" t="n">
        <v>1.97574392204647</v>
      </c>
      <c r="G114" s="114" t="n">
        <v>2.55178761329595</v>
      </c>
      <c r="H114" s="114" t="n">
        <v>4.34454282544458</v>
      </c>
      <c r="I114" s="11" t="s">
        <v>2493</v>
      </c>
      <c r="J114" s="11" t="s">
        <v>2215</v>
      </c>
    </row>
    <row r="115" customFormat="false" ht="15" hidden="false" customHeight="false" outlineLevel="0" collapsed="false">
      <c r="A115" s="4" t="s">
        <v>2494</v>
      </c>
      <c r="B115" s="4" t="s">
        <v>2495</v>
      </c>
      <c r="C115" s="3" t="s">
        <v>2496</v>
      </c>
      <c r="D115" s="11" t="s">
        <v>2243</v>
      </c>
      <c r="E115" s="4" t="s">
        <v>1485</v>
      </c>
      <c r="F115" s="114" t="n">
        <v>3.72193954123947</v>
      </c>
      <c r="G115" s="114" t="n">
        <v>4.78365180724219</v>
      </c>
      <c r="H115" s="114" t="n">
        <v>7.72813762813851</v>
      </c>
      <c r="I115" s="11" t="s">
        <v>2497</v>
      </c>
      <c r="J115" s="11" t="s">
        <v>2215</v>
      </c>
    </row>
    <row r="116" customFormat="false" ht="15" hidden="false" customHeight="false" outlineLevel="0" collapsed="false">
      <c r="A116" s="4" t="s">
        <v>2498</v>
      </c>
      <c r="B116" s="4" t="s">
        <v>2499</v>
      </c>
      <c r="C116" s="3" t="s">
        <v>2500</v>
      </c>
      <c r="D116" s="11" t="s">
        <v>2501</v>
      </c>
      <c r="E116" s="4" t="s">
        <v>1485</v>
      </c>
      <c r="F116" s="114" t="n">
        <v>6.79107465326444</v>
      </c>
      <c r="G116" s="114" t="n">
        <v>9.70308728611469</v>
      </c>
      <c r="H116" s="114" t="n">
        <v>16.6637697337026</v>
      </c>
      <c r="I116" s="11" t="s">
        <v>2502</v>
      </c>
      <c r="J116" s="11" t="s">
        <v>2215</v>
      </c>
    </row>
    <row r="117" customFormat="false" ht="15" hidden="false" customHeight="false" outlineLevel="0" collapsed="false">
      <c r="A117" s="4" t="s">
        <v>2503</v>
      </c>
      <c r="B117" s="4" t="s">
        <v>2504</v>
      </c>
      <c r="C117" s="3" t="s">
        <v>2505</v>
      </c>
      <c r="D117" s="11" t="s">
        <v>2501</v>
      </c>
      <c r="E117" s="4" t="s">
        <v>1485</v>
      </c>
      <c r="F117" s="114" t="n">
        <v>6.6118162762144</v>
      </c>
      <c r="G117" s="114" t="n">
        <v>8.82816556596761</v>
      </c>
      <c r="H117" s="114" t="n">
        <v>14.3185748619737</v>
      </c>
      <c r="I117" s="11" t="s">
        <v>2506</v>
      </c>
      <c r="J117" s="11" t="s">
        <v>2215</v>
      </c>
    </row>
    <row r="118" customFormat="false" ht="15" hidden="false" customHeight="false" outlineLevel="0" collapsed="false">
      <c r="A118" s="4" t="s">
        <v>2507</v>
      </c>
      <c r="B118" s="4" t="s">
        <v>2508</v>
      </c>
      <c r="C118" s="3" t="s">
        <v>2509</v>
      </c>
      <c r="D118" s="11" t="s">
        <v>2501</v>
      </c>
      <c r="E118" s="4" t="s">
        <v>1485</v>
      </c>
      <c r="F118" s="114" t="n">
        <v>8.42889912085495</v>
      </c>
      <c r="G118" s="114" t="n">
        <v>10.8864110021101</v>
      </c>
      <c r="H118" s="114" t="n">
        <v>18.5346455040469</v>
      </c>
      <c r="I118" s="11" t="s">
        <v>2510</v>
      </c>
      <c r="J118" s="11" t="s">
        <v>2215</v>
      </c>
    </row>
    <row r="119" customFormat="false" ht="15" hidden="false" customHeight="false" outlineLevel="0" collapsed="false">
      <c r="A119" s="4" t="s">
        <v>2511</v>
      </c>
      <c r="B119" s="4" t="s">
        <v>2512</v>
      </c>
      <c r="C119" s="3" t="s">
        <v>2513</v>
      </c>
      <c r="D119" s="11" t="s">
        <v>2501</v>
      </c>
      <c r="E119" s="4" t="s">
        <v>1485</v>
      </c>
      <c r="F119" s="114" t="n">
        <v>9.51207691858967</v>
      </c>
      <c r="G119" s="114" t="n">
        <v>12.2254710045841</v>
      </c>
      <c r="H119" s="114" t="n">
        <v>19.7506269894487</v>
      </c>
      <c r="I119" s="11" t="s">
        <v>2514</v>
      </c>
      <c r="J119" s="11" t="s">
        <v>2215</v>
      </c>
    </row>
    <row r="120" customFormat="false" ht="15" hidden="false" customHeight="false" outlineLevel="0" collapsed="false">
      <c r="A120" s="4" t="s">
        <v>2515</v>
      </c>
      <c r="B120" s="4" t="s">
        <v>2516</v>
      </c>
      <c r="C120" s="3" t="s">
        <v>2517</v>
      </c>
      <c r="D120" s="11" t="s">
        <v>2518</v>
      </c>
      <c r="E120" s="4" t="s">
        <v>1485</v>
      </c>
      <c r="F120" s="114" t="n">
        <v>31.6056</v>
      </c>
      <c r="G120" s="114" t="n">
        <v>34.0368</v>
      </c>
      <c r="H120" s="114" t="n">
        <v>36.8732</v>
      </c>
      <c r="I120" s="11" t="s">
        <v>2519</v>
      </c>
      <c r="J120" s="11" t="s">
        <v>2215</v>
      </c>
    </row>
    <row r="121" customFormat="false" ht="15" hidden="false" customHeight="false" outlineLevel="0" collapsed="false">
      <c r="A121" s="4" t="s">
        <v>2520</v>
      </c>
      <c r="B121" s="4" t="s">
        <v>2521</v>
      </c>
      <c r="C121" s="3" t="s">
        <v>2522</v>
      </c>
      <c r="D121" s="11" t="s">
        <v>2212</v>
      </c>
      <c r="E121" s="4" t="s">
        <v>2213</v>
      </c>
      <c r="F121" s="114" t="n">
        <v>6.67481291645273</v>
      </c>
      <c r="G121" s="114" t="n">
        <v>6.67481291645273</v>
      </c>
      <c r="H121" s="114" t="n">
        <v>6.67481291645273</v>
      </c>
      <c r="I121" s="11" t="s">
        <v>2523</v>
      </c>
      <c r="J121" s="11" t="s">
        <v>2215</v>
      </c>
    </row>
    <row r="122" customFormat="false" ht="15" hidden="false" customHeight="false" outlineLevel="0" collapsed="false">
      <c r="A122" s="4" t="s">
        <v>2524</v>
      </c>
      <c r="B122" s="4" t="s">
        <v>2521</v>
      </c>
      <c r="C122" s="3" t="s">
        <v>2522</v>
      </c>
      <c r="D122" s="11" t="s">
        <v>2212</v>
      </c>
      <c r="E122" s="4" t="s">
        <v>2217</v>
      </c>
      <c r="F122" s="114" t="n">
        <v>33.6243597685213</v>
      </c>
      <c r="G122" s="114" t="n">
        <v>33.6243597685213</v>
      </c>
      <c r="H122" s="114" t="n">
        <v>33.6243597685213</v>
      </c>
      <c r="I122" s="11" t="s">
        <v>2525</v>
      </c>
      <c r="J122" s="11" t="s">
        <v>2215</v>
      </c>
    </row>
    <row r="123" customFormat="false" ht="15" hidden="false" customHeight="false" outlineLevel="0" collapsed="false">
      <c r="A123" s="4" t="s">
        <v>2526</v>
      </c>
      <c r="B123" s="4" t="s">
        <v>2521</v>
      </c>
      <c r="C123" s="3" t="s">
        <v>2522</v>
      </c>
      <c r="D123" s="11" t="s">
        <v>2212</v>
      </c>
      <c r="E123" s="4" t="s">
        <v>2220</v>
      </c>
      <c r="F123" s="114" t="n">
        <v>43.7753928327944</v>
      </c>
      <c r="G123" s="114" t="n">
        <v>43.7753928327944</v>
      </c>
      <c r="H123" s="114" t="n">
        <v>43.7753928327944</v>
      </c>
      <c r="I123" s="11" t="s">
        <v>2527</v>
      </c>
      <c r="J123" s="11" t="s">
        <v>2215</v>
      </c>
    </row>
    <row r="124" customFormat="false" ht="15" hidden="false" customHeight="false" outlineLevel="0" collapsed="false">
      <c r="A124" s="4" t="s">
        <v>2528</v>
      </c>
      <c r="B124" s="4" t="s">
        <v>2521</v>
      </c>
      <c r="C124" s="3" t="s">
        <v>2522</v>
      </c>
      <c r="D124" s="11" t="s">
        <v>2212</v>
      </c>
      <c r="E124" s="4" t="s">
        <v>2223</v>
      </c>
      <c r="F124" s="114" t="n">
        <v>81.2061699399891</v>
      </c>
      <c r="G124" s="114" t="n">
        <v>81.2061699399891</v>
      </c>
      <c r="H124" s="114" t="n">
        <v>81.2061699399891</v>
      </c>
      <c r="I124" s="11" t="s">
        <v>2529</v>
      </c>
      <c r="J124" s="11" t="s">
        <v>2215</v>
      </c>
    </row>
    <row r="125" customFormat="false" ht="15" hidden="false" customHeight="false" outlineLevel="0" collapsed="false">
      <c r="A125" s="4" t="s">
        <v>2530</v>
      </c>
      <c r="B125" s="4" t="s">
        <v>2521</v>
      </c>
      <c r="C125" s="3" t="s">
        <v>2522</v>
      </c>
      <c r="D125" s="11" t="s">
        <v>2212</v>
      </c>
      <c r="E125" s="4" t="s">
        <v>2226</v>
      </c>
      <c r="F125" s="114" t="n">
        <v>114.879376192016</v>
      </c>
      <c r="G125" s="114" t="n">
        <v>114.879376192016</v>
      </c>
      <c r="H125" s="114" t="n">
        <v>114.879376192016</v>
      </c>
      <c r="I125" s="11" t="s">
        <v>2531</v>
      </c>
      <c r="J125" s="11" t="s">
        <v>2215</v>
      </c>
    </row>
    <row r="126" customFormat="false" ht="15" hidden="false" customHeight="false" outlineLevel="0" collapsed="false">
      <c r="A126" s="4" t="s">
        <v>2532</v>
      </c>
      <c r="B126" s="4" t="s">
        <v>2533</v>
      </c>
      <c r="C126" s="3" t="s">
        <v>2534</v>
      </c>
      <c r="D126" s="11" t="s">
        <v>2212</v>
      </c>
      <c r="E126" s="4" t="s">
        <v>2213</v>
      </c>
      <c r="F126" s="114" t="n">
        <v>4.00488774987164</v>
      </c>
      <c r="G126" s="114" t="n">
        <v>4.00488774987164</v>
      </c>
      <c r="H126" s="114" t="n">
        <v>4.00488774987164</v>
      </c>
      <c r="I126" s="11" t="s">
        <v>2535</v>
      </c>
      <c r="J126" s="11" t="s">
        <v>2215</v>
      </c>
    </row>
    <row r="127" customFormat="false" ht="15" hidden="false" customHeight="false" outlineLevel="0" collapsed="false">
      <c r="A127" s="4" t="s">
        <v>2536</v>
      </c>
      <c r="B127" s="4" t="s">
        <v>2533</v>
      </c>
      <c r="C127" s="3" t="s">
        <v>2534</v>
      </c>
      <c r="D127" s="11" t="s">
        <v>2212</v>
      </c>
      <c r="E127" s="4" t="s">
        <v>2217</v>
      </c>
      <c r="F127" s="114" t="n">
        <v>20.1746158611128</v>
      </c>
      <c r="G127" s="114" t="n">
        <v>20.1746158611128</v>
      </c>
      <c r="H127" s="114" t="n">
        <v>20.1746158611128</v>
      </c>
      <c r="I127" s="11" t="s">
        <v>2537</v>
      </c>
      <c r="J127" s="11" t="s">
        <v>2215</v>
      </c>
    </row>
    <row r="128" customFormat="false" ht="15" hidden="false" customHeight="false" outlineLevel="0" collapsed="false">
      <c r="A128" s="4" t="s">
        <v>2538</v>
      </c>
      <c r="B128" s="4" t="s">
        <v>2533</v>
      </c>
      <c r="C128" s="3" t="s">
        <v>2534</v>
      </c>
      <c r="D128" s="11" t="s">
        <v>2212</v>
      </c>
      <c r="E128" s="4" t="s">
        <v>2220</v>
      </c>
      <c r="F128" s="114" t="n">
        <v>26.2652356996766</v>
      </c>
      <c r="G128" s="114" t="n">
        <v>26.2652356996766</v>
      </c>
      <c r="H128" s="114" t="n">
        <v>26.2652356996766</v>
      </c>
      <c r="I128" s="11" t="s">
        <v>2539</v>
      </c>
      <c r="J128" s="11" t="s">
        <v>2215</v>
      </c>
    </row>
    <row r="129" customFormat="false" ht="15" hidden="false" customHeight="false" outlineLevel="0" collapsed="false">
      <c r="A129" s="4" t="s">
        <v>2540</v>
      </c>
      <c r="B129" s="4" t="s">
        <v>2533</v>
      </c>
      <c r="C129" s="3" t="s">
        <v>2534</v>
      </c>
      <c r="D129" s="11" t="s">
        <v>2212</v>
      </c>
      <c r="E129" s="4" t="s">
        <v>2223</v>
      </c>
      <c r="F129" s="114" t="n">
        <v>48.7237019639935</v>
      </c>
      <c r="G129" s="114" t="n">
        <v>48.7237019639935</v>
      </c>
      <c r="H129" s="114" t="n">
        <v>48.7237019639935</v>
      </c>
      <c r="I129" s="11" t="s">
        <v>2541</v>
      </c>
      <c r="J129" s="11" t="s">
        <v>2215</v>
      </c>
    </row>
    <row r="130" customFormat="false" ht="15" hidden="false" customHeight="false" outlineLevel="0" collapsed="false">
      <c r="A130" s="4" t="s">
        <v>2542</v>
      </c>
      <c r="B130" s="4" t="s">
        <v>2533</v>
      </c>
      <c r="C130" s="3" t="s">
        <v>2534</v>
      </c>
      <c r="D130" s="11" t="s">
        <v>2212</v>
      </c>
      <c r="E130" s="4" t="s">
        <v>2226</v>
      </c>
      <c r="F130" s="114" t="n">
        <v>68.9276257152094</v>
      </c>
      <c r="G130" s="114" t="n">
        <v>68.9276257152094</v>
      </c>
      <c r="H130" s="114" t="n">
        <v>68.9276257152094</v>
      </c>
      <c r="I130" s="11" t="s">
        <v>2543</v>
      </c>
      <c r="J130" s="11" t="s">
        <v>2215</v>
      </c>
    </row>
    <row r="131" customFormat="false" ht="15" hidden="false" customHeight="false" outlineLevel="0" collapsed="false">
      <c r="A131" s="4" t="s">
        <v>2544</v>
      </c>
      <c r="B131" s="4" t="s">
        <v>2545</v>
      </c>
      <c r="C131" s="3" t="s">
        <v>2546</v>
      </c>
      <c r="D131" s="11" t="s">
        <v>2212</v>
      </c>
      <c r="E131" s="4" t="s">
        <v>2213</v>
      </c>
      <c r="F131" s="114" t="n">
        <v>2.24296199760285</v>
      </c>
      <c r="G131" s="114" t="n">
        <v>2.24296199760285</v>
      </c>
      <c r="H131" s="114" t="n">
        <v>2.24296199760285</v>
      </c>
      <c r="I131" s="11" t="s">
        <v>2547</v>
      </c>
      <c r="J131" s="11" t="s">
        <v>2215</v>
      </c>
    </row>
    <row r="132" customFormat="false" ht="15" hidden="false" customHeight="false" outlineLevel="0" collapsed="false">
      <c r="A132" s="4" t="s">
        <v>2548</v>
      </c>
      <c r="B132" s="4" t="s">
        <v>2545</v>
      </c>
      <c r="C132" s="3" t="s">
        <v>2546</v>
      </c>
      <c r="D132" s="11" t="s">
        <v>2212</v>
      </c>
      <c r="E132" s="4" t="s">
        <v>2217</v>
      </c>
      <c r="F132" s="114" t="n">
        <v>15.2851605558118</v>
      </c>
      <c r="G132" s="114" t="n">
        <v>15.2851605558118</v>
      </c>
      <c r="H132" s="114" t="n">
        <v>15.2851605558118</v>
      </c>
      <c r="I132" s="11" t="s">
        <v>2549</v>
      </c>
      <c r="J132" s="11" t="s">
        <v>2215</v>
      </c>
    </row>
    <row r="133" customFormat="false" ht="15" hidden="false" customHeight="false" outlineLevel="0" collapsed="false">
      <c r="A133" s="4" t="s">
        <v>2550</v>
      </c>
      <c r="B133" s="4" t="s">
        <v>2545</v>
      </c>
      <c r="C133" s="3" t="s">
        <v>2546</v>
      </c>
      <c r="D133" s="11" t="s">
        <v>2212</v>
      </c>
      <c r="E133" s="4" t="s">
        <v>2220</v>
      </c>
      <c r="F133" s="114" t="n">
        <v>19.2324652424837</v>
      </c>
      <c r="G133" s="114" t="n">
        <v>19.2324652424837</v>
      </c>
      <c r="H133" s="114" t="n">
        <v>19.2324652424837</v>
      </c>
      <c r="I133" s="11" t="s">
        <v>2551</v>
      </c>
      <c r="J133" s="11" t="s">
        <v>2215</v>
      </c>
    </row>
    <row r="134" customFormat="false" ht="15" hidden="false" customHeight="false" outlineLevel="0" collapsed="false">
      <c r="A134" s="4" t="s">
        <v>2552</v>
      </c>
      <c r="B134" s="4" t="s">
        <v>2545</v>
      </c>
      <c r="C134" s="3" t="s">
        <v>2546</v>
      </c>
      <c r="D134" s="11" t="s">
        <v>2212</v>
      </c>
      <c r="E134" s="4" t="s">
        <v>2223</v>
      </c>
      <c r="F134" s="114" t="n">
        <v>38.1145472754025</v>
      </c>
      <c r="G134" s="114" t="n">
        <v>38.1145472754025</v>
      </c>
      <c r="H134" s="114" t="n">
        <v>38.1145472754025</v>
      </c>
      <c r="I134" s="11" t="s">
        <v>2553</v>
      </c>
      <c r="J134" s="11" t="s">
        <v>2215</v>
      </c>
    </row>
    <row r="135" customFormat="false" ht="15" hidden="false" customHeight="false" outlineLevel="0" collapsed="false">
      <c r="A135" s="4" t="s">
        <v>2554</v>
      </c>
      <c r="B135" s="4" t="s">
        <v>2545</v>
      </c>
      <c r="C135" s="3" t="s">
        <v>2546</v>
      </c>
      <c r="D135" s="11" t="s">
        <v>2212</v>
      </c>
      <c r="E135" s="4" t="s">
        <v>2226</v>
      </c>
      <c r="F135" s="114" t="n">
        <v>54.4181760054532</v>
      </c>
      <c r="G135" s="114" t="n">
        <v>54.4181760054532</v>
      </c>
      <c r="H135" s="114" t="n">
        <v>54.4181760054532</v>
      </c>
      <c r="I135" s="11" t="s">
        <v>2555</v>
      </c>
      <c r="J135" s="11" t="s">
        <v>2215</v>
      </c>
    </row>
    <row r="136" customFormat="false" ht="15" hidden="false" customHeight="false" outlineLevel="0" collapsed="false">
      <c r="A136" s="4" t="s">
        <v>2556</v>
      </c>
      <c r="B136" s="4" t="s">
        <v>2557</v>
      </c>
      <c r="C136" s="3" t="s">
        <v>2558</v>
      </c>
      <c r="D136" s="11" t="s">
        <v>2212</v>
      </c>
      <c r="E136" s="4" t="s">
        <v>2213</v>
      </c>
      <c r="F136" s="114" t="n">
        <v>2.24296199760285</v>
      </c>
      <c r="G136" s="114" t="n">
        <v>2.24296199760285</v>
      </c>
      <c r="H136" s="114" t="n">
        <v>2.24296199760285</v>
      </c>
      <c r="I136" s="11" t="s">
        <v>2559</v>
      </c>
      <c r="J136" s="11" t="s">
        <v>2215</v>
      </c>
    </row>
    <row r="137" customFormat="false" ht="15" hidden="false" customHeight="false" outlineLevel="0" collapsed="false">
      <c r="A137" s="4" t="s">
        <v>2560</v>
      </c>
      <c r="B137" s="4" t="s">
        <v>2557</v>
      </c>
      <c r="C137" s="3" t="s">
        <v>2558</v>
      </c>
      <c r="D137" s="11" t="s">
        <v>2212</v>
      </c>
      <c r="E137" s="4" t="s">
        <v>2217</v>
      </c>
      <c r="F137" s="114" t="n">
        <v>15.2851605558118</v>
      </c>
      <c r="G137" s="114" t="n">
        <v>15.2851605558118</v>
      </c>
      <c r="H137" s="114" t="n">
        <v>15.2851605558118</v>
      </c>
      <c r="I137" s="11" t="s">
        <v>2561</v>
      </c>
      <c r="J137" s="11" t="s">
        <v>2215</v>
      </c>
    </row>
    <row r="138" customFormat="false" ht="15" hidden="false" customHeight="false" outlineLevel="0" collapsed="false">
      <c r="A138" s="4" t="s">
        <v>2562</v>
      </c>
      <c r="B138" s="4" t="s">
        <v>2557</v>
      </c>
      <c r="C138" s="3" t="s">
        <v>2558</v>
      </c>
      <c r="D138" s="11" t="s">
        <v>2212</v>
      </c>
      <c r="E138" s="4" t="s">
        <v>2220</v>
      </c>
      <c r="F138" s="114" t="n">
        <v>19.2324652424837</v>
      </c>
      <c r="G138" s="114" t="n">
        <v>19.2324652424837</v>
      </c>
      <c r="H138" s="114" t="n">
        <v>19.2324652424837</v>
      </c>
      <c r="I138" s="11" t="s">
        <v>2563</v>
      </c>
      <c r="J138" s="11" t="s">
        <v>2215</v>
      </c>
    </row>
    <row r="139" customFormat="false" ht="15" hidden="false" customHeight="false" outlineLevel="0" collapsed="false">
      <c r="A139" s="4" t="s">
        <v>2564</v>
      </c>
      <c r="B139" s="4" t="s">
        <v>2557</v>
      </c>
      <c r="C139" s="3" t="s">
        <v>2558</v>
      </c>
      <c r="D139" s="11" t="s">
        <v>2212</v>
      </c>
      <c r="E139" s="4" t="s">
        <v>2223</v>
      </c>
      <c r="F139" s="114" t="n">
        <v>38.1145472754025</v>
      </c>
      <c r="G139" s="114" t="n">
        <v>38.1145472754025</v>
      </c>
      <c r="H139" s="114" t="n">
        <v>38.1145472754025</v>
      </c>
      <c r="I139" s="11" t="s">
        <v>2565</v>
      </c>
      <c r="J139" s="11" t="s">
        <v>2215</v>
      </c>
    </row>
    <row r="140" customFormat="false" ht="15" hidden="false" customHeight="false" outlineLevel="0" collapsed="false">
      <c r="A140" s="4" t="s">
        <v>2566</v>
      </c>
      <c r="B140" s="4" t="s">
        <v>2557</v>
      </c>
      <c r="C140" s="3" t="s">
        <v>2558</v>
      </c>
      <c r="D140" s="11" t="s">
        <v>2212</v>
      </c>
      <c r="E140" s="4" t="s">
        <v>2226</v>
      </c>
      <c r="F140" s="114" t="n">
        <v>54.4181760054532</v>
      </c>
      <c r="G140" s="114" t="n">
        <v>54.4181760054532</v>
      </c>
      <c r="H140" s="114" t="n">
        <v>54.4181760054532</v>
      </c>
      <c r="I140" s="11" t="s">
        <v>2567</v>
      </c>
      <c r="J140" s="11" t="s">
        <v>2215</v>
      </c>
    </row>
    <row r="141" customFormat="false" ht="15" hidden="false" customHeight="false" outlineLevel="0" collapsed="false">
      <c r="A141" s="4" t="s">
        <v>2568</v>
      </c>
      <c r="B141" s="4" t="s">
        <v>2210</v>
      </c>
      <c r="C141" s="4" t="s">
        <v>2569</v>
      </c>
      <c r="D141" s="6"/>
      <c r="E141" s="4" t="s">
        <v>1485</v>
      </c>
      <c r="F141" s="115"/>
      <c r="G141" s="116" t="s">
        <v>2570</v>
      </c>
      <c r="H141" s="116"/>
      <c r="I141" s="11" t="s">
        <v>2571</v>
      </c>
      <c r="J141" s="11" t="s">
        <v>2215</v>
      </c>
    </row>
    <row r="142" customFormat="false" ht="15" hidden="false" customHeight="false" outlineLevel="0" collapsed="false">
      <c r="A142" s="4" t="s">
        <v>2572</v>
      </c>
      <c r="B142" s="4" t="s">
        <v>2229</v>
      </c>
      <c r="C142" s="4" t="s">
        <v>2569</v>
      </c>
      <c r="D142" s="6"/>
      <c r="E142" s="4" t="s">
        <v>1485</v>
      </c>
      <c r="F142" s="116"/>
      <c r="G142" s="116" t="s">
        <v>2570</v>
      </c>
      <c r="H142" s="116"/>
      <c r="I142" s="11" t="s">
        <v>2571</v>
      </c>
      <c r="J142" s="11" t="s">
        <v>2215</v>
      </c>
    </row>
    <row r="143" customFormat="false" ht="15" hidden="false" customHeight="false" outlineLevel="0" collapsed="false">
      <c r="A143" s="4" t="s">
        <v>2573</v>
      </c>
      <c r="B143" s="4" t="s">
        <v>2241</v>
      </c>
      <c r="C143" s="4" t="s">
        <v>2569</v>
      </c>
      <c r="D143" s="6"/>
      <c r="E143" s="4" t="s">
        <v>1485</v>
      </c>
      <c r="F143" s="116"/>
      <c r="G143" s="116" t="s">
        <v>2570</v>
      </c>
      <c r="H143" s="116"/>
      <c r="I143" s="11" t="s">
        <v>2571</v>
      </c>
      <c r="J143" s="11" t="s">
        <v>2215</v>
      </c>
    </row>
    <row r="144" customFormat="false" ht="15" hidden="false" customHeight="false" outlineLevel="0" collapsed="false">
      <c r="A144" s="4" t="s">
        <v>2574</v>
      </c>
      <c r="B144" s="4" t="s">
        <v>2254</v>
      </c>
      <c r="C144" s="4" t="s">
        <v>2569</v>
      </c>
      <c r="D144" s="6"/>
      <c r="E144" s="4" t="s">
        <v>1485</v>
      </c>
      <c r="F144" s="116"/>
      <c r="G144" s="116" t="s">
        <v>2570</v>
      </c>
      <c r="H144" s="116"/>
      <c r="I144" s="11" t="s">
        <v>2571</v>
      </c>
      <c r="J144" s="11" t="s">
        <v>2215</v>
      </c>
    </row>
    <row r="145" customFormat="false" ht="15" hidden="false" customHeight="false" outlineLevel="0" collapsed="false">
      <c r="A145" s="4" t="s">
        <v>2575</v>
      </c>
      <c r="B145" s="4" t="s">
        <v>2267</v>
      </c>
      <c r="C145" s="4" t="s">
        <v>2569</v>
      </c>
      <c r="D145" s="6"/>
      <c r="E145" s="4" t="s">
        <v>1485</v>
      </c>
      <c r="F145" s="116"/>
      <c r="G145" s="116" t="s">
        <v>2576</v>
      </c>
      <c r="H145" s="116"/>
      <c r="I145" s="11" t="s">
        <v>2571</v>
      </c>
      <c r="J145" s="11" t="s">
        <v>2215</v>
      </c>
    </row>
    <row r="146" customFormat="false" ht="15" hidden="false" customHeight="false" outlineLevel="0" collapsed="false">
      <c r="A146" s="4" t="s">
        <v>2577</v>
      </c>
      <c r="B146" s="4" t="s">
        <v>2279</v>
      </c>
      <c r="C146" s="4" t="s">
        <v>2569</v>
      </c>
      <c r="D146" s="6"/>
      <c r="E146" s="4" t="s">
        <v>1485</v>
      </c>
      <c r="F146" s="116"/>
      <c r="G146" s="116" t="s">
        <v>2570</v>
      </c>
      <c r="H146" s="116"/>
      <c r="I146" s="11" t="s">
        <v>2571</v>
      </c>
      <c r="J146" s="11" t="s">
        <v>2215</v>
      </c>
    </row>
    <row r="147" customFormat="false" ht="15" hidden="false" customHeight="false" outlineLevel="0" collapsed="false">
      <c r="A147" s="4" t="s">
        <v>2578</v>
      </c>
      <c r="B147" s="4" t="s">
        <v>2296</v>
      </c>
      <c r="C147" s="4" t="s">
        <v>2569</v>
      </c>
      <c r="D147" s="6"/>
      <c r="E147" s="4" t="s">
        <v>1485</v>
      </c>
      <c r="F147" s="116"/>
      <c r="G147" s="116" t="s">
        <v>2570</v>
      </c>
      <c r="H147" s="116"/>
      <c r="I147" s="11" t="s">
        <v>2571</v>
      </c>
      <c r="J147" s="11" t="s">
        <v>2215</v>
      </c>
    </row>
    <row r="148" customFormat="false" ht="15" hidden="false" customHeight="false" outlineLevel="0" collapsed="false">
      <c r="A148" s="4" t="s">
        <v>2579</v>
      </c>
      <c r="B148" s="4" t="s">
        <v>2308</v>
      </c>
      <c r="C148" s="4" t="s">
        <v>2569</v>
      </c>
      <c r="D148" s="6"/>
      <c r="E148" s="4" t="s">
        <v>1485</v>
      </c>
      <c r="F148" s="116"/>
      <c r="G148" s="116" t="s">
        <v>2570</v>
      </c>
      <c r="H148" s="116"/>
      <c r="I148" s="11" t="s">
        <v>2571</v>
      </c>
      <c r="J148" s="11" t="s">
        <v>2215</v>
      </c>
    </row>
    <row r="149" customFormat="false" ht="15" hidden="false" customHeight="false" outlineLevel="0" collapsed="false">
      <c r="A149" s="4" t="s">
        <v>2580</v>
      </c>
      <c r="B149" s="4" t="s">
        <v>2320</v>
      </c>
      <c r="C149" s="4" t="s">
        <v>2569</v>
      </c>
      <c r="D149" s="6"/>
      <c r="E149" s="4" t="s">
        <v>1485</v>
      </c>
      <c r="F149" s="116"/>
      <c r="G149" s="116" t="s">
        <v>2576</v>
      </c>
      <c r="H149" s="116"/>
      <c r="I149" s="11" t="s">
        <v>2571</v>
      </c>
      <c r="J149" s="11" t="s">
        <v>2215</v>
      </c>
    </row>
    <row r="150" customFormat="false" ht="15" hidden="false" customHeight="false" outlineLevel="0" collapsed="false">
      <c r="A150" s="4" t="s">
        <v>2581</v>
      </c>
      <c r="B150" s="4" t="s">
        <v>2332</v>
      </c>
      <c r="C150" s="4" t="s">
        <v>2569</v>
      </c>
      <c r="D150" s="6"/>
      <c r="E150" s="4" t="s">
        <v>1485</v>
      </c>
      <c r="F150" s="116"/>
      <c r="G150" s="116" t="s">
        <v>2570</v>
      </c>
      <c r="H150" s="116"/>
      <c r="I150" s="11" t="s">
        <v>2571</v>
      </c>
      <c r="J150" s="11" t="s">
        <v>2215</v>
      </c>
    </row>
    <row r="151" customFormat="false" ht="15" hidden="false" customHeight="false" outlineLevel="0" collapsed="false">
      <c r="A151" s="4" t="s">
        <v>2582</v>
      </c>
      <c r="B151" s="4" t="s">
        <v>2344</v>
      </c>
      <c r="C151" s="4" t="s">
        <v>2569</v>
      </c>
      <c r="D151" s="6"/>
      <c r="E151" s="4" t="s">
        <v>1485</v>
      </c>
      <c r="F151" s="116"/>
      <c r="G151" s="116" t="s">
        <v>2576</v>
      </c>
      <c r="H151" s="116"/>
      <c r="I151" s="11" t="s">
        <v>2571</v>
      </c>
      <c r="J151" s="11" t="s">
        <v>2215</v>
      </c>
    </row>
    <row r="152" customFormat="false" ht="15" hidden="false" customHeight="false" outlineLevel="0" collapsed="false">
      <c r="A152" s="4" t="s">
        <v>2583</v>
      </c>
      <c r="B152" s="4" t="s">
        <v>2356</v>
      </c>
      <c r="C152" s="4" t="s">
        <v>2569</v>
      </c>
      <c r="D152" s="6"/>
      <c r="E152" s="4" t="s">
        <v>1485</v>
      </c>
      <c r="F152" s="116"/>
      <c r="G152" s="116" t="s">
        <v>2576</v>
      </c>
      <c r="H152" s="116"/>
      <c r="I152" s="11" t="s">
        <v>2571</v>
      </c>
      <c r="J152" s="11" t="s">
        <v>2215</v>
      </c>
    </row>
    <row r="153" customFormat="false" ht="15" hidden="false" customHeight="false" outlineLevel="0" collapsed="false">
      <c r="A153" s="4" t="s">
        <v>2584</v>
      </c>
      <c r="B153" s="4" t="s">
        <v>2368</v>
      </c>
      <c r="C153" s="4" t="s">
        <v>2569</v>
      </c>
      <c r="D153" s="6"/>
      <c r="E153" s="4" t="s">
        <v>1485</v>
      </c>
      <c r="F153" s="116"/>
      <c r="G153" s="116" t="s">
        <v>2570</v>
      </c>
      <c r="H153" s="116"/>
      <c r="I153" s="11" t="s">
        <v>2571</v>
      </c>
      <c r="J153" s="11" t="s">
        <v>2215</v>
      </c>
    </row>
    <row r="154" customFormat="false" ht="15" hidden="false" customHeight="false" outlineLevel="0" collapsed="false">
      <c r="A154" s="4" t="s">
        <v>2585</v>
      </c>
      <c r="B154" s="4" t="s">
        <v>2380</v>
      </c>
      <c r="C154" s="4" t="s">
        <v>2569</v>
      </c>
      <c r="D154" s="6"/>
      <c r="E154" s="4" t="s">
        <v>1485</v>
      </c>
      <c r="F154" s="116"/>
      <c r="G154" s="116" t="s">
        <v>2576</v>
      </c>
      <c r="H154" s="116"/>
      <c r="I154" s="11" t="s">
        <v>2571</v>
      </c>
      <c r="J154" s="11" t="s">
        <v>2215</v>
      </c>
    </row>
    <row r="155" customFormat="false" ht="15" hidden="false" customHeight="false" outlineLevel="0" collapsed="false">
      <c r="A155" s="4" t="s">
        <v>2586</v>
      </c>
      <c r="B155" s="4" t="s">
        <v>2392</v>
      </c>
      <c r="C155" s="4" t="s">
        <v>2569</v>
      </c>
      <c r="D155" s="6"/>
      <c r="E155" s="4" t="s">
        <v>1485</v>
      </c>
      <c r="F155" s="116"/>
      <c r="G155" s="116" t="s">
        <v>2576</v>
      </c>
      <c r="H155" s="116"/>
      <c r="I155" s="11" t="s">
        <v>2571</v>
      </c>
      <c r="J155" s="11" t="s">
        <v>2215</v>
      </c>
    </row>
    <row r="156" customFormat="false" ht="15" hidden="false" customHeight="false" outlineLevel="0" collapsed="false">
      <c r="A156" s="4" t="s">
        <v>2587</v>
      </c>
      <c r="B156" s="4" t="s">
        <v>2404</v>
      </c>
      <c r="C156" s="4" t="s">
        <v>2569</v>
      </c>
      <c r="D156" s="6"/>
      <c r="E156" s="4" t="s">
        <v>1485</v>
      </c>
      <c r="F156" s="116"/>
      <c r="G156" s="116" t="s">
        <v>2570</v>
      </c>
      <c r="H156" s="116"/>
      <c r="I156" s="11" t="s">
        <v>2571</v>
      </c>
      <c r="J156" s="11" t="s">
        <v>2215</v>
      </c>
    </row>
    <row r="157" customFormat="false" ht="15" hidden="false" customHeight="false" outlineLevel="0" collapsed="false">
      <c r="A157" s="4" t="s">
        <v>2588</v>
      </c>
      <c r="B157" s="4" t="s">
        <v>2416</v>
      </c>
      <c r="C157" s="4" t="s">
        <v>2569</v>
      </c>
      <c r="D157" s="6"/>
      <c r="E157" s="4" t="s">
        <v>1485</v>
      </c>
      <c r="F157" s="116"/>
      <c r="G157" s="116" t="s">
        <v>2576</v>
      </c>
      <c r="H157" s="116"/>
      <c r="I157" s="11" t="s">
        <v>2571</v>
      </c>
      <c r="J157" s="11" t="s">
        <v>2215</v>
      </c>
    </row>
    <row r="158" customFormat="false" ht="15" hidden="false" customHeight="false" outlineLevel="0" collapsed="false">
      <c r="A158" s="4" t="s">
        <v>2589</v>
      </c>
      <c r="B158" s="4" t="s">
        <v>2428</v>
      </c>
      <c r="C158" s="4" t="s">
        <v>2569</v>
      </c>
      <c r="D158" s="6"/>
      <c r="E158" s="4" t="s">
        <v>1485</v>
      </c>
      <c r="F158" s="116"/>
      <c r="G158" s="116" t="s">
        <v>2576</v>
      </c>
      <c r="H158" s="116"/>
      <c r="I158" s="11" t="s">
        <v>2571</v>
      </c>
      <c r="J158" s="11" t="s">
        <v>2215</v>
      </c>
    </row>
    <row r="159" customFormat="false" ht="15" hidden="false" customHeight="false" outlineLevel="0" collapsed="false">
      <c r="A159" s="4" t="s">
        <v>2590</v>
      </c>
      <c r="B159" s="4" t="s">
        <v>2441</v>
      </c>
      <c r="C159" s="4" t="s">
        <v>2569</v>
      </c>
      <c r="D159" s="6"/>
      <c r="E159" s="4" t="s">
        <v>1485</v>
      </c>
      <c r="F159" s="116"/>
      <c r="G159" s="116" t="s">
        <v>2570</v>
      </c>
      <c r="H159" s="116"/>
      <c r="I159" s="11" t="s">
        <v>2571</v>
      </c>
      <c r="J159" s="11" t="s">
        <v>2215</v>
      </c>
    </row>
    <row r="160" customFormat="false" ht="15" hidden="false" customHeight="false" outlineLevel="0" collapsed="false">
      <c r="A160" s="4" t="s">
        <v>2591</v>
      </c>
      <c r="B160" s="4" t="s">
        <v>2454</v>
      </c>
      <c r="C160" s="4" t="s">
        <v>2569</v>
      </c>
      <c r="D160" s="6"/>
      <c r="E160" s="4" t="s">
        <v>1485</v>
      </c>
      <c r="F160" s="116"/>
      <c r="G160" s="116" t="s">
        <v>2570</v>
      </c>
      <c r="H160" s="116"/>
      <c r="I160" s="11" t="s">
        <v>2571</v>
      </c>
      <c r="J160" s="11" t="s">
        <v>2215</v>
      </c>
    </row>
    <row r="161" customFormat="false" ht="15" hidden="false" customHeight="false" outlineLevel="0" collapsed="false">
      <c r="A161" s="4" t="s">
        <v>2592</v>
      </c>
      <c r="B161" s="4" t="s">
        <v>2467</v>
      </c>
      <c r="C161" s="4" t="s">
        <v>2569</v>
      </c>
      <c r="D161" s="6"/>
      <c r="E161" s="4" t="s">
        <v>1485</v>
      </c>
      <c r="F161" s="116"/>
      <c r="G161" s="116" t="s">
        <v>2570</v>
      </c>
      <c r="H161" s="116"/>
      <c r="I161" s="11" t="s">
        <v>2571</v>
      </c>
      <c r="J161" s="11" t="s">
        <v>2215</v>
      </c>
    </row>
    <row r="162" customFormat="false" ht="15" hidden="false" customHeight="false" outlineLevel="0" collapsed="false">
      <c r="A162" s="4" t="s">
        <v>2593</v>
      </c>
      <c r="B162" s="4" t="s">
        <v>2471</v>
      </c>
      <c r="C162" s="4" t="s">
        <v>2569</v>
      </c>
      <c r="D162" s="6"/>
      <c r="E162" s="4" t="s">
        <v>1485</v>
      </c>
      <c r="F162" s="116"/>
      <c r="G162" s="116" t="s">
        <v>2594</v>
      </c>
      <c r="H162" s="116"/>
      <c r="I162" s="11" t="s">
        <v>2571</v>
      </c>
      <c r="J162" s="11" t="s">
        <v>2215</v>
      </c>
    </row>
    <row r="163" customFormat="false" ht="15" hidden="false" customHeight="false" outlineLevel="0" collapsed="false">
      <c r="A163" s="4" t="s">
        <v>2595</v>
      </c>
      <c r="B163" s="4" t="s">
        <v>2521</v>
      </c>
      <c r="C163" s="4" t="s">
        <v>2569</v>
      </c>
      <c r="D163" s="6"/>
      <c r="E163" s="4" t="s">
        <v>1485</v>
      </c>
      <c r="F163" s="116"/>
      <c r="G163" s="116" t="s">
        <v>2594</v>
      </c>
      <c r="H163" s="116"/>
      <c r="I163" s="11" t="s">
        <v>2571</v>
      </c>
      <c r="J163" s="11" t="s">
        <v>2215</v>
      </c>
    </row>
    <row r="164" customFormat="false" ht="15" hidden="false" customHeight="false" outlineLevel="0" collapsed="false">
      <c r="A164" s="4" t="s">
        <v>2596</v>
      </c>
      <c r="B164" s="4" t="s">
        <v>2533</v>
      </c>
      <c r="C164" s="4" t="s">
        <v>2569</v>
      </c>
      <c r="D164" s="6"/>
      <c r="E164" s="4" t="s">
        <v>1485</v>
      </c>
      <c r="F164" s="116"/>
      <c r="G164" s="116" t="s">
        <v>2594</v>
      </c>
      <c r="H164" s="116"/>
      <c r="I164" s="11" t="s">
        <v>2571</v>
      </c>
      <c r="J164" s="11" t="s">
        <v>2215</v>
      </c>
    </row>
    <row r="165" customFormat="false" ht="15" hidden="false" customHeight="false" outlineLevel="0" collapsed="false">
      <c r="A165" s="4" t="s">
        <v>2597</v>
      </c>
      <c r="B165" s="4" t="s">
        <v>2545</v>
      </c>
      <c r="C165" s="4" t="s">
        <v>2569</v>
      </c>
      <c r="D165" s="6"/>
      <c r="E165" s="4" t="s">
        <v>1485</v>
      </c>
      <c r="F165" s="116"/>
      <c r="G165" s="116" t="s">
        <v>2594</v>
      </c>
      <c r="H165" s="116"/>
      <c r="I165" s="11" t="s">
        <v>2571</v>
      </c>
      <c r="J165" s="11" t="s">
        <v>2215</v>
      </c>
    </row>
    <row r="166" customFormat="false" ht="15" hidden="false" customHeight="false" outlineLevel="0" collapsed="false">
      <c r="A166" s="4" t="s">
        <v>2598</v>
      </c>
      <c r="B166" s="4" t="s">
        <v>2557</v>
      </c>
      <c r="C166" s="4" t="s">
        <v>2569</v>
      </c>
      <c r="D166" s="6"/>
      <c r="E166" s="4" t="s">
        <v>1485</v>
      </c>
      <c r="F166" s="116"/>
      <c r="G166" s="116" t="s">
        <v>2594</v>
      </c>
      <c r="H166" s="116"/>
      <c r="I166" s="11" t="s">
        <v>2571</v>
      </c>
      <c r="J166" s="11" t="s">
        <v>2215</v>
      </c>
    </row>
    <row r="167" customFormat="false" ht="15" hidden="false" customHeight="false" outlineLevel="0" collapsed="false">
      <c r="A167" s="4" t="s">
        <v>2599</v>
      </c>
      <c r="B167" s="4" t="s">
        <v>2600</v>
      </c>
      <c r="C167" s="3" t="s">
        <v>2601</v>
      </c>
      <c r="D167" s="6"/>
      <c r="E167" s="3"/>
      <c r="F167" s="116"/>
      <c r="G167" s="116"/>
      <c r="H167" s="116"/>
      <c r="I167" s="11" t="s">
        <v>2602</v>
      </c>
      <c r="J167" s="11" t="s">
        <v>2215</v>
      </c>
    </row>
    <row r="168" customFormat="false" ht="15" hidden="false" customHeight="false" outlineLevel="0" collapsed="false">
      <c r="A168" s="4" t="s">
        <v>2603</v>
      </c>
      <c r="B168" s="4" t="s">
        <v>2604</v>
      </c>
      <c r="C168" s="3" t="s">
        <v>2601</v>
      </c>
      <c r="D168" s="6"/>
      <c r="E168" s="3"/>
      <c r="F168" s="116"/>
      <c r="G168" s="116"/>
      <c r="H168" s="116"/>
      <c r="I168" s="11" t="s">
        <v>2602</v>
      </c>
      <c r="J168" s="11" t="s">
        <v>2215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2026-10-11T04:07:18Z</dcterms:created>
  <dc:creator>openpyxl</dc:creator>
  <dc:description/>
  <dc:language>en-US</dc:language>
  <cp:lastModifiedBy/>
  <dcterms:modified xsi:type="dcterms:W3CDTF">2026-10-11T04:07:18Z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