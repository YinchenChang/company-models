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Q!$B$18</definedName>
    <definedName function="false" hidden="false" name="a25_gp" vbProcedure="false">Q!$B$7</definedName>
    <definedName function="false" hidden="false" name="a25_ni" vbProcedure="false">Q!$B$16</definedName>
    <definedName function="false" hidden="false" name="a25_nonop" vbProcedure="false">Q!$B$12</definedName>
    <definedName function="false" hidden="false" name="a25_oi" vbProcedure="false">Q!$B$11</definedName>
    <definedName function="false" hidden="false" name="a25_opx" vbProcedure="false">Q!$B$10</definedName>
    <definedName function="false" hidden="false" name="a25_oth" vbProcedure="false">Q!$B$6</definedName>
    <definedName function="false" hidden="false" name="a25_rev" vbProcedure="false">Q!$B$4</definedName>
    <definedName function="false" hidden="false" name="a25_sh" vbProcedure="false">Q!$B$17</definedName>
    <definedName function="false" hidden="false" name="a25_tax" vbProcedure="false">Q!$B$14</definedName>
    <definedName function="false" hidden="false" name="a25_trn" vbProcedure="false">Q!$B$5</definedName>
    <definedName function="false" hidden="false" name="a26_eps" vbProcedure="false">Q!$G$18</definedName>
    <definedName function="false" hidden="false" name="a26_gp" vbProcedure="false">Q!$G$7</definedName>
    <definedName function="false" hidden="false" name="a26_ni" vbProcedure="false">Q!$G$16</definedName>
    <definedName function="false" hidden="false" name="a26_nonop" vbProcedure="false">Q!$G$12</definedName>
    <definedName function="false" hidden="false" name="a26_oi" vbProcedure="false">Q!$G$11</definedName>
    <definedName function="false" hidden="false" name="a26_opx" vbProcedure="false">Q!$G$10</definedName>
    <definedName function="false" hidden="false" name="a26_oth" vbProcedure="false">Q!$G$6</definedName>
    <definedName function="false" hidden="false" name="a26_rev" vbProcedure="false">Q!$G$4</definedName>
    <definedName function="false" hidden="false" name="a26_sh" vbProcedure="false">Q!$G$17</definedName>
    <definedName function="false" hidden="false" name="a26_tax" vbProcedure="false">Q!$G$14</definedName>
    <definedName function="false" hidden="false" name="a26_trn" vbProcedure="false">Q!$G$5</definedName>
    <definedName function="false" hidden="false" name="al27_A" vbProcedure="false">In!$E$28</definedName>
    <definedName function="false" hidden="false" name="al27_A_hi" vbProcedure="false">In!$F$28</definedName>
    <definedName function="false" hidden="false" name="al27_A_lo" vbProcedure="false">In!$D$28</definedName>
    <definedName function="false" hidden="false" name="al27_B" vbProcedure="false">In!$E$29</definedName>
    <definedName function="false" hidden="false" name="al27_B_hi" vbProcedure="false">In!$F$29</definedName>
    <definedName function="false" hidden="false" name="al27_B_lo" vbProcedure="false">In!$D$29</definedName>
    <definedName function="false" hidden="false" name="al27_C" vbProcedure="false">In!$E$30</definedName>
    <definedName function="false" hidden="false" name="al27_C_hi" vbProcedure="false">In!$F$30</definedName>
    <definedName function="false" hidden="false" name="al27_C_lo" vbProcedure="false">In!$D$30</definedName>
    <definedName function="false" hidden="false" name="al28_A" vbProcedure="false">In!$E$31</definedName>
    <definedName function="false" hidden="false" name="al28_A_hi" vbProcedure="false">In!$F$31</definedName>
    <definedName function="false" hidden="false" name="al28_A_lo" vbProcedure="false">In!$D$31</definedName>
    <definedName function="false" hidden="false" name="al28_B" vbProcedure="false">In!$E$32</definedName>
    <definedName function="false" hidden="false" name="al28_B_hi" vbProcedure="false">In!$F$32</definedName>
    <definedName function="false" hidden="false" name="al28_B_lo" vbProcedure="false">In!$D$32</definedName>
    <definedName function="false" hidden="false" name="al28_C" vbProcedure="false">In!$E$33</definedName>
    <definedName function="false" hidden="false" name="al28_C_hi" vbProcedure="false">In!$F$33</definedName>
    <definedName function="false" hidden="false" name="al28_C_lo" vbProcedure="false">In!$D$33</definedName>
    <definedName function="false" hidden="false" name="al_trn_26" vbProcedure="false">In!$E$27</definedName>
    <definedName function="false" hidden="false" name="al_trn_26_hi" vbProcedure="false">In!$F$27</definedName>
    <definedName function="false" hidden="false" name="al_trn_26_lo" vbProcedure="false">In!$D$27</definedName>
    <definedName function="false" hidden="false" name="aut_eps27" vbProcedure="false">In!$E$93</definedName>
    <definedName function="false" hidden="false" name="aut_rev27" vbProcedure="false">In!$E$94</definedName>
    <definedName function="false" hidden="false" name="b1_eps27" vbProcedure="false">In!$E$92</definedName>
    <definedName function="false" hidden="false" name="b1_trn26" vbProcedure="false">In!$E$95</definedName>
    <definedName function="false" hidden="false" name="b1_trn27" vbProcedure="false">In!$E$96</definedName>
    <definedName function="false" hidden="false" name="b1_trn4" vbProcedure="false">In!$E$98</definedName>
    <definedName function="false" hidden="false" name="b2_ai27" vbProcedure="false">In!$E$97</definedName>
    <definedName function="false" hidden="false" name="cons_eps26" vbProcedure="false">In!$E$91</definedName>
    <definedName function="false" hidden="false" name="cons_eps26_hi" vbProcedure="false">In!$F$91</definedName>
    <definedName function="false" hidden="false" name="cons_eps26_lo" vbProcedure="false">In!$D$91</definedName>
    <definedName function="false" hidden="false" name="cons_feps" vbProcedure="false">In!$E$104</definedName>
    <definedName function="false" hidden="false" name="cons_rev26" vbProcedure="false">In!$E$90</definedName>
    <definedName function="false" hidden="false" name="cons_rev26_hi" vbProcedure="false">In!$F$90</definedName>
    <definedName function="false" hidden="false" name="cons_rev26_lo" vbProcedure="false">In!$D$90</definedName>
    <definedName function="false" hidden="false" name="cons_tp" vbProcedure="false">In!$E$105</definedName>
    <definedName function="false" hidden="false" name="cons_tp_hi" vbProcedure="false">In!$F$105</definedName>
    <definedName function="false" hidden="false" name="cons_tp_lo" vbProcedure="false">In!$D$105</definedName>
    <definedName function="false" hidden="false" name="core_trn" vbProcedure="false">In!$E$20</definedName>
    <definedName function="false" hidden="false" name="co_gm26" vbProcedure="false">In!$E$89</definedName>
    <definedName function="false" hidden="false" name="co_gm26_hi" vbProcedure="false">In!$F$89</definedName>
    <definedName function="false" hidden="false" name="co_gm26_lo" vbProcedure="false">In!$D$89</definedName>
    <definedName function="false" hidden="false" name="co_nre" vbProcedure="false">In!$E$88</definedName>
    <definedName function="false" hidden="false" name="co_nre_hi" vbProcedure="false">In!$F$88</definedName>
    <definedName function="false" hidden="false" name="co_nre_lo" vbProcedure="false">In!$D$88</definedName>
    <definedName function="false" hidden="false" name="dc26" vbProcedure="false">In!$E$64</definedName>
    <definedName function="false" hidden="false" name="dc26_hi" vbProcedure="false">In!$F$64</definedName>
    <definedName function="false" hidden="false" name="dc26_lo" vbProcedure="false">In!$D$64</definedName>
    <definedName function="false" hidden="false" name="fade_gA" vbProcedure="false">In!$E$115</definedName>
    <definedName function="false" hidden="false" name="fade_gB" vbProcedure="false">In!$E$116</definedName>
    <definedName function="false" hidden="false" name="fade_gC" vbProcedure="false">In!$E$117</definedName>
    <definedName function="false" hidden="false" name="fade_mA" vbProcedure="false">In!$E$118</definedName>
    <definedName function="false" hidden="false" name="fade_mB" vbProcedure="false">In!$E$119</definedName>
    <definedName function="false" hidden="false" name="fade_mC" vbProcedure="false">In!$E$120</definedName>
    <definedName function="false" hidden="false" name="fpe" vbProcedure="false">In!$E$103</definedName>
    <definedName function="false" hidden="false" name="fx" vbProcedure="false">In!$E$86</definedName>
    <definedName function="false" hidden="false" name="fx26" vbProcedure="false">In!$E$68</definedName>
    <definedName function="false" hidden="false" name="fx26_hi" vbProcedure="false">In!$F$68</definedName>
    <definedName function="false" hidden="false" name="fx26_lo" vbProcedure="false">In!$D$68</definedName>
    <definedName function="false" hidden="false" name="fx_hi" vbProcedure="false">In!$F$86</definedName>
    <definedName function="false" hidden="false" name="fx_lo" vbProcedure="false">In!$D$86</definedName>
    <definedName function="false" hidden="false" name="fx_q1" vbProcedure="false">In!$E$66</definedName>
    <definedName function="false" hidden="false" name="fx_q2" vbProcedure="false">In!$E$67</definedName>
    <definedName function="false" hidden="false" name="f_al" vbProcedure="false">In!$E$22</definedName>
    <definedName function="false" hidden="false" name="f_al_hi" vbProcedure="false">In!$F$22</definedName>
    <definedName function="false" hidden="false" name="f_al_lo" vbProcedure="false">In!$D$22</definedName>
    <definedName function="false" hidden="false" name="f_hbm_ref" vbProcedure="false">In!$E$21</definedName>
    <definedName function="false" hidden="false" name="f_hbm_ref_hi" vbProcedure="false">In!$F$21</definedName>
    <definedName function="false" hidden="false" name="f_hbm_ref_lo" vbProcedure="false">In!$D$21</definedName>
    <definedName function="false" hidden="false" name="g29_trn" vbProcedure="false">In!$E$8</definedName>
    <definedName function="false" hidden="false" name="gb_trn_26" vbProcedure="false">In!$E$15</definedName>
    <definedName function="false" hidden="false" name="gb_trn_27" vbProcedure="false">In!$E$16</definedName>
    <definedName function="false" hidden="false" name="gb_trn_28" vbProcedure="false">In!$E$17</definedName>
    <definedName function="false" hidden="false" name="gmadj" vbProcedure="false">In!$E$62</definedName>
    <definedName function="false" hidden="false" name="gmadj_hi" vbProcedure="false">In!$F$62</definedName>
    <definedName function="false" hidden="false" name="gmadj_lo" vbProcedure="false">In!$D$62</definedName>
    <definedName function="false" hidden="false" name="gta_A" vbProcedure="false">In!$E$39</definedName>
    <definedName function="false" hidden="false" name="gta_B" vbProcedure="false">In!$E$40</definedName>
    <definedName function="false" hidden="false" name="gta_C" vbProcedure="false">In!$E$41</definedName>
    <definedName function="false" hidden="false" name="g_o27_A" vbProcedure="false">In!$E$56</definedName>
    <definedName function="false" hidden="false" name="g_o27_A_hi" vbProcedure="false">In!$F$56</definedName>
    <definedName function="false" hidden="false" name="g_o27_A_lo" vbProcedure="false">In!$D$56</definedName>
    <definedName function="false" hidden="false" name="g_o27_B" vbProcedure="false">In!$E$58</definedName>
    <definedName function="false" hidden="false" name="g_o27_B_hi" vbProcedure="false">In!$F$58</definedName>
    <definedName function="false" hidden="false" name="g_o27_B_lo" vbProcedure="false">In!$D$58</definedName>
    <definedName function="false" hidden="false" name="g_o27_C" vbProcedure="false">In!$E$60</definedName>
    <definedName function="false" hidden="false" name="g_o27_C_hi" vbProcedure="false">In!$F$60</definedName>
    <definedName function="false" hidden="false" name="g_o27_C_lo" vbProcedure="false">In!$D$60</definedName>
    <definedName function="false" hidden="false" name="g_oL_A" vbProcedure="false">In!$E$57</definedName>
    <definedName function="false" hidden="false" name="g_oL_A_hi" vbProcedure="false">In!$F$57</definedName>
    <definedName function="false" hidden="false" name="g_oL_A_lo" vbProcedure="false">In!$D$57</definedName>
    <definedName function="false" hidden="false" name="g_oL_B" vbProcedure="false">In!$E$59</definedName>
    <definedName function="false" hidden="false" name="g_oL_B_hi" vbProcedure="false">In!$F$59</definedName>
    <definedName function="false" hidden="false" name="g_oL_B_lo" vbProcedure="false">In!$D$59</definedName>
    <definedName function="false" hidden="false" name="g_oL_C" vbProcedure="false">In!$E$61</definedName>
    <definedName function="false" hidden="false" name="g_oL_C_hi" vbProcedure="false">In!$F$61</definedName>
    <definedName function="false" hidden="false" name="g_oL_C_lo" vbProcedure="false">In!$D$61</definedName>
    <definedName function="false" hidden="false" name="g_opx_min" vbProcedure="false">In!$E$81</definedName>
    <definedName function="false" hidden="false" name="g_opx_min_hi" vbProcedure="false">In!$F$81</definedName>
    <definedName function="false" hidden="false" name="g_opx_min_lo" vbProcedure="false">In!$D$81</definedName>
    <definedName function="false" hidden="false" name="hbm_A_26" vbProcedure="false">In!$E$43</definedName>
    <definedName function="false" hidden="false" name="hbm_A_27" vbProcedure="false">In!$E$44</definedName>
    <definedName function="false" hidden="false" name="hbm_A_28" vbProcedure="false">In!$E$45</definedName>
    <definedName function="false" hidden="false" name="hbm_A_29" vbProcedure="false">In!$E$46</definedName>
    <definedName function="false" hidden="false" name="hbm_B_26" vbProcedure="false">In!$E$47</definedName>
    <definedName function="false" hidden="false" name="hbm_B_27" vbProcedure="false">In!$E$48</definedName>
    <definedName function="false" hidden="false" name="hbm_B_28" vbProcedure="false">In!$E$49</definedName>
    <definedName function="false" hidden="false" name="hbm_B_29" vbProcedure="false">In!$E$50</definedName>
    <definedName function="false" hidden="false" name="hbm_C_26" vbProcedure="false">In!$E$51</definedName>
    <definedName function="false" hidden="false" name="hbm_C_27" vbProcedure="false">In!$E$52</definedName>
    <definedName function="false" hidden="false" name="hbm_C_28" vbProcedure="false">In!$E$53</definedName>
    <definedName function="false" hidden="false" name="hbm_C_29" vbProcedure="false">In!$E$54</definedName>
    <definedName function="false" hidden="false" name="mv_trn_26" vbProcedure="false">In!$E$24</definedName>
    <definedName function="false" hidden="false" name="mv_trn_27" vbProcedure="false">In!$E$25</definedName>
    <definedName function="false" hidden="false" name="mv_trn_28" vbProcedure="false">In!$E$26</definedName>
    <definedName function="false" hidden="false" name="m_hbm" vbProcedure="false">In!$E$23</definedName>
    <definedName function="false" hidden="false" name="m_hbm_hi" vbProcedure="false">In!$F$23</definedName>
    <definedName function="false" hidden="false" name="m_hbm_lo" vbProcedure="false">In!$D$23</definedName>
    <definedName function="false" hidden="false" name="m_trn" vbProcedure="false">In!$E$38</definedName>
    <definedName function="false" hidden="false" name="m_trn_hi" vbProcedure="false">In!$F$38</definedName>
    <definedName function="false" hidden="false" name="m_trn_lo" vbProcedure="false">In!$D$38</definedName>
    <definedName function="false" hidden="false" name="nim5" vbProcedure="false">In!$E$106</definedName>
    <definedName function="false" hidden="false" name="nonop_f" vbProcedure="false">In!$E$83</definedName>
    <definedName function="false" hidden="false" name="nonop_f_hi" vbProcedure="false">In!$F$83</definedName>
    <definedName function="false" hidden="false" name="nonop_f_lo" vbProcedure="false">In!$D$83</definedName>
    <definedName function="false" hidden="false" name="opx_adj" vbProcedure="false">In!$E$82</definedName>
    <definedName function="false" hidden="false" name="opx_adj_hi" vbProcedure="false">In!$F$82</definedName>
    <definedName function="false" hidden="false" name="opx_adj_lo" vbProcedure="false">In!$D$82</definedName>
    <definedName function="false" hidden="false" name="pa_trn" vbProcedure="false">In!$E$19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In!$E$102</definedName>
    <definedName function="false" hidden="false" name="pfc_A" vbProcedure="false">In!$E$34</definedName>
    <definedName function="false" hidden="false" name="pfc_A_hi" vbProcedure="false">In!$F$34</definedName>
    <definedName function="false" hidden="false" name="pfc_A_lo" vbProcedure="false">In!$D$34</definedName>
    <definedName function="false" hidden="false" name="pfc_B" vbProcedure="false">In!$E$35</definedName>
    <definedName function="false" hidden="false" name="pfc_C" vbProcedure="false">In!$E$36</definedName>
    <definedName function="false" hidden="false" name="phi" vbProcedure="false">In!$E$80</definedName>
    <definedName function="false" hidden="false" name="phi_hi" vbProcedure="false">In!$F$80</definedName>
    <definedName function="false" hidden="false" name="phi_lo" vbProcedure="false">In!$D$80</definedName>
    <definedName function="false" hidden="false" name="px" vbProcedure="false">In!$E$101</definedName>
    <definedName function="false" hidden="false" name="q2_trn" vbProcedure="false">In!$E$65</definedName>
    <definedName function="false" hidden="false" name="q2_trn_hi" vbProcedure="false">In!$F$65</definedName>
    <definedName function="false" hidden="false" name="q2_trn_lo" vbProcedure="false">In!$D$65</definedName>
    <definedName function="false" hidden="false" name="q3_gm" vbProcedure="false">In!$E$71</definedName>
    <definedName function="false" hidden="false" name="q3_gm_hi" vbProcedure="false">In!$F$71</definedName>
    <definedName function="false" hidden="false" name="q3_gm_lo" vbProcedure="false">In!$D$71</definedName>
    <definedName function="false" hidden="false" name="q3_opx" vbProcedure="false">In!$E$72</definedName>
    <definedName function="false" hidden="false" name="q3_opx_hi" vbProcedure="false">In!$F$72</definedName>
    <definedName function="false" hidden="false" name="q3_opx_lo" vbProcedure="false">In!$D$72</definedName>
    <definedName function="false" hidden="false" name="q3_rev" vbProcedure="false">In!$E$69</definedName>
    <definedName function="false" hidden="false" name="q3_trnsh" vbProcedure="false">In!$E$70</definedName>
    <definedName function="false" hidden="false" name="q3_trnsh_hi" vbProcedure="false">In!$F$70</definedName>
    <definedName function="false" hidden="false" name="q3_trnsh_lo" vbProcedure="false">In!$D$70</definedName>
    <definedName function="false" hidden="false" name="q4_g" vbProcedure="false">In!$E$73</definedName>
    <definedName function="false" hidden="false" name="q4_gmo" vbProcedure="false">In!$E$74</definedName>
    <definedName function="false" hidden="false" name="q4_gmo_hi" vbProcedure="false">In!$F$74</definedName>
    <definedName function="false" hidden="false" name="q4_gmo_lo" vbProcedure="false">In!$D$74</definedName>
    <definedName function="false" hidden="false" name="q4_g_hi" vbProcedure="false">In!$F$73</definedName>
    <definedName function="false" hidden="false" name="q4_g_lo" vbProcedure="false">In!$D$73</definedName>
    <definedName function="false" hidden="false" name="q4_opx" vbProcedure="false">In!$E$75</definedName>
    <definedName function="false" hidden="false" name="q4_opx_hi" vbProcedure="false">In!$F$75</definedName>
    <definedName function="false" hidden="false" name="q4_opx_lo" vbProcedure="false">In!$D$75</definedName>
    <definedName function="false" hidden="false" name="q_nonop" vbProcedure="false">In!$E$76</definedName>
    <definedName function="false" hidden="false" name="q_nonop_hi" vbProcedure="false">In!$F$76</definedName>
    <definedName function="false" hidden="false" name="q_nonop_lo" vbProcedure="false">In!$D$76</definedName>
    <definedName function="false" hidden="false" name="q_sh" vbProcedure="false">In!$E$78</definedName>
    <definedName function="false" hidden="false" name="q_tax" vbProcedure="false">In!$E$77</definedName>
    <definedName function="false" hidden="false" name="q_tax_hi" vbProcedure="false">In!$F$77</definedName>
    <definedName function="false" hidden="false" name="q_tax_lo" vbProcedure="false">In!$D$77</definedName>
    <definedName function="false" hidden="false" name="sh_g" vbProcedure="false">In!$E$85</definedName>
    <definedName function="false" hidden="false" name="sh_g_hi" vbProcedure="false">In!$F$85</definedName>
    <definedName function="false" hidden="false" name="sh_g_lo" vbProcedure="false">In!$D$85</definedName>
    <definedName function="false" hidden="false" name="tax" vbProcedure="false">In!$E$84</definedName>
    <definedName function="false" hidden="false" name="tax_hi" vbProcedure="false">In!$F$84</definedName>
    <definedName function="false" hidden="false" name="tax_lo" vbProcedure="false">In!$D$84</definedName>
    <definedName function="false" hidden="false" name="tp_g" vbProcedure="false">In!$E$112</definedName>
    <definedName function="false" hidden="false" name="tp_r" vbProcedure="false">In!$E$111</definedName>
    <definedName function="false" hidden="false" name="tp_roe" vbProcedure="false">In!$E$113</definedName>
    <definedName function="false" hidden="false" name="tp_wA" vbProcedure="false">In!$E$108</definedName>
    <definedName function="false" hidden="false" name="tp_wB" vbProcedure="false">In!$E$109</definedName>
    <definedName function="false" hidden="false" name="tp_wC" vbProcedure="false">In!$E$110</definedName>
    <definedName function="false" hidden="false" name="tp_w_dcf" vbProcedure="false">In!$E$114</definedName>
    <definedName function="false" hidden="false" name="ubs_trn27" vbProcedure="false">In!$E$99</definedName>
    <definedName function="false" hidden="false" name="uf" vbProcedure="false">In!$E$37</definedName>
    <definedName function="false" hidden="false" name="uf_hi" vbProcedure="false">In!$F$37</definedName>
    <definedName function="false" hidden="false" name="uf_lo" vbProcedure="false">In!$D$37</definedName>
    <definedName function="false" hidden="false" name="um28_A" vbProcedure="false">In!$E$9</definedName>
    <definedName function="false" hidden="false" name="um28_B" vbProcedure="false">In!$E$11</definedName>
    <definedName function="false" hidden="false" name="um28_C" vbProcedure="false">In!$E$13</definedName>
    <definedName function="false" hidden="false" name="um29_A" vbProcedure="false">In!$E$10</definedName>
    <definedName function="false" hidden="false" name="um29_B" vbProcedure="false">In!$E$12</definedName>
    <definedName function="false" hidden="false" name="um29_C" vbProcedure="false">In!$E$14</definedName>
    <definedName function="false" hidden="false" name="u_trn_26" vbProcedure="false">In!$E$5</definedName>
    <definedName function="false" hidden="false" name="u_trn_27" vbProcedure="false">In!$E$6</definedName>
    <definedName function="false" hidden="false" name="u_trn_28" vbProcedure="false">In!$E$7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<sst xmlns="http://schemas.openxmlformats.org/spreadsheetml/2006/main" count="3031" uniqueCount="885">
  <si>
    <r>
      <rPr>
        <b val="true"/>
        <sz val="11"/>
        <rFont val="Noto Sans CJK SC"/>
        <family val="2"/>
      </rPr>
      <t xml:space="preserve">世芯</t>
    </r>
    <r>
      <rPr>
        <b val="true"/>
        <sz val="11"/>
        <rFont val="Cambria"/>
        <family val="0"/>
        <charset val="1"/>
      </rPr>
      <t xml:space="preserve">-KY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3661.TW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：運算層，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設計服務＋量產）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</si>
  <si>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顆數讀台積電模型（與 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同一份），每顆規格讀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 </t>
    </r>
    <r>
      <rPr>
        <sz val="11"/>
        <rFont val="Cambria"/>
        <family val="0"/>
        <charset val="1"/>
      </rPr>
      <t xml:space="preserve">pa_trn</t>
    </r>
    <r>
      <rPr>
        <sz val="11"/>
        <rFont val="Noto Sans CJK SC"/>
        <family val="2"/>
      </rPr>
      <t xml:space="preserve">（扣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口徑與 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模型相同），份額與 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合計不超過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；其他營收（</t>
    </r>
    <r>
      <rPr>
        <sz val="11"/>
        <rFont val="Cambria"/>
        <family val="0"/>
        <charset val="1"/>
      </rPr>
      <t xml:space="preserve">NRE</t>
    </r>
    <r>
      <rPr>
        <sz val="11"/>
        <rFont val="Noto Sans CJK SC"/>
        <family val="2"/>
      </rPr>
      <t xml:space="preserve">＋非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量產）用簡化成長率。本版未做先驗。</t>
    </r>
  </si>
  <si>
    <r>
      <rPr>
        <sz val="11"/>
        <rFont val="Noto Sans CJK SC"/>
        <family val="2"/>
      </rPr>
      <t xml:space="preserve">模型命題：世芯的營收由 </t>
    </r>
    <r>
      <rPr>
        <sz val="11"/>
        <rFont val="Cambria"/>
        <family val="0"/>
        <charset val="1"/>
      </rPr>
      <t xml:space="preserve">NRE </t>
    </r>
    <r>
      <rPr>
        <sz val="11"/>
        <rFont val="Noto Sans CJK SC"/>
        <family val="2"/>
      </rPr>
      <t xml:space="preserve">轉為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量產（</t>
    </r>
    <r>
      <rPr>
        <sz val="11"/>
        <rFont val="Cambria"/>
        <family val="0"/>
        <charset val="1"/>
      </rPr>
      <t xml:space="preserve">turnkey</t>
    </r>
    <r>
      <rPr>
        <sz val="11"/>
        <rFont val="Noto Sans CJK SC"/>
        <family val="2"/>
      </rPr>
      <t xml:space="preserve">，含晶圓與封裝轉售、毛利率低）。</t>
    </r>
    <r>
      <rPr>
        <sz val="11"/>
        <rFont val="Cambria"/>
        <family val="0"/>
        <charset val="1"/>
      </rPr>
      <t xml:space="preserve">FY2026 3 </t>
    </r>
    <r>
      <rPr>
        <sz val="11"/>
        <rFont val="Noto Sans CJK SC"/>
        <family val="2"/>
      </rPr>
      <t xml:space="preserve">奈米約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億美元、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單季營收 </t>
    </r>
    <r>
      <rPr>
        <sz val="11"/>
        <rFont val="Cambria"/>
        <family val="0"/>
        <charset val="1"/>
      </rPr>
      <t xml:space="preserve">260 </t>
    </r>
    <r>
      <rPr>
        <sz val="11"/>
        <rFont val="Noto Sans CJK SC"/>
        <family val="2"/>
      </rPr>
      <t xml:space="preserve">億元；以市場層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世芯份額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每顆營收往前推，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有多少，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奈米換代的份額與每顆營收差異有多大？</t>
    </r>
  </si>
  <si>
    <r>
      <rPr>
        <sz val="11"/>
        <rFont val="Noto Sans CJK SC"/>
        <family val="2"/>
      </rPr>
      <t xml:space="preserve">核心問題：在市場層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顆數（</t>
    </r>
    <r>
      <rPr>
        <sz val="11"/>
        <rFont val="Cambria"/>
        <family val="0"/>
        <charset val="1"/>
      </rPr>
      <t xml:space="preserve">CY2027 2.5 </t>
    </r>
    <r>
      <rPr>
        <sz val="11"/>
        <rFont val="Noto Sans CJK SC"/>
        <family val="2"/>
      </rPr>
      <t xml:space="preserve">百萬顆）與 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份額口徑下，世芯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與賣方差多少；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奈米換代靠份額還是每顆營收；現價約 </t>
    </r>
    <r>
      <rPr>
        <sz val="11"/>
        <rFont val="Cambria"/>
        <family val="0"/>
        <charset val="1"/>
      </rPr>
      <t xml:space="preserve">17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隱含哪一條路徑。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</si>
  <si>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</t>
    </r>
    <r>
      <rPr>
        <sz val="11"/>
        <rFont val="Cambria"/>
        <family val="0"/>
        <charset val="1"/>
      </rPr>
      <t xml:space="preserve">FY2025A </t>
    </r>
    <r>
      <rPr>
        <sz val="11"/>
        <rFont val="Noto Sans CJK SC"/>
        <family val="2"/>
      </rPr>
      <t xml:space="preserve">實績、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錨點、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驅動因子推導、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收斂法。金額：十億新台幣；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：新台幣（基本）。口徑：歸屬母公司淨利（</t>
    </r>
    <r>
      <rPr>
        <sz val="11"/>
        <rFont val="Cambria"/>
        <family val="0"/>
        <charset val="1"/>
      </rPr>
      <t xml:space="preserve">TIFRS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月上旬公布，本版只納入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</si>
  <si>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</si>
  <si>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量產：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 </t>
    </r>
    <r>
      <rPr>
        <sz val="11"/>
        <rFont val="Cambria"/>
        <family val="0"/>
        <charset val="1"/>
      </rPr>
      <t xml:space="preserve">AWS Trainium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情境係數（</t>
    </r>
    <r>
      <rPr>
        <sz val="11"/>
        <rFont val="Cambria"/>
        <family val="0"/>
        <charset val="1"/>
      </rPr>
      <t xml:space="preserve">CY2028–29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同字母）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世芯份額（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CY2026 30%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CY2027 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55%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55%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（每顆核心 </t>
    </r>
    <r>
      <rPr>
        <sz val="11"/>
        <rFont val="Cambria"/>
        <family val="0"/>
        <charset val="1"/>
      </rPr>
      <t xml:space="preserve">6.4K × 2 </t>
    </r>
    <r>
      <rPr>
        <sz val="11"/>
        <rFont val="Noto Sans CJK SC"/>
        <family val="2"/>
      </rPr>
      <t xml:space="preserve">奈米係數 </t>
    </r>
    <r>
      <rPr>
        <sz val="11"/>
        <rFont val="Cambria"/>
        <family val="0"/>
        <charset val="1"/>
      </rPr>
      <t xml:space="preserve">1.5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＋代購比例 </t>
    </r>
    <r>
      <rPr>
        <sz val="11"/>
        <rFont val="Cambria"/>
        <family val="0"/>
        <charset val="1"/>
      </rPr>
      <t xml:space="preserve">0 × HBM </t>
    </r>
    <r>
      <rPr>
        <sz val="11"/>
        <rFont val="Noto Sans CJK SC"/>
        <family val="2"/>
      </rPr>
      <t xml:space="preserve">金額）</t>
    </r>
    <r>
      <rPr>
        <sz val="11"/>
        <rFont val="Cambria"/>
        <family val="0"/>
        <charset val="1"/>
      </rPr>
      <t xml:space="preserve">× k_x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以公司「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奈米超過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億美元」校準）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32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</si>
  <si>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其他營收：</t>
    </r>
    <r>
      <rPr>
        <sz val="11"/>
        <rFont val="Cambria"/>
        <family val="0"/>
        <charset val="1"/>
      </rPr>
      <t xml:space="preserve">NRE</t>
    </r>
    <r>
      <rPr>
        <sz val="11"/>
        <rFont val="Noto Sans CJK SC"/>
        <family val="2"/>
      </rPr>
      <t xml:space="preserve">＋非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量產（中國 </t>
    </r>
    <r>
      <rPr>
        <sz val="11"/>
        <rFont val="Cambria"/>
        <family val="0"/>
        <charset val="1"/>
      </rPr>
      <t xml:space="preserve">ADAS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Arm CPU</t>
    </r>
    <r>
      <rPr>
        <sz val="11"/>
        <rFont val="Noto Sans CJK SC"/>
        <family val="2"/>
      </rPr>
      <t xml:space="preserve">、日本客戶等）由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錨點依情境成長率推。</t>
    </r>
  </si>
  <si>
    <r>
      <rPr>
        <sz val="11"/>
        <rFont val="Noto Sans CJK SC"/>
        <family val="2"/>
      </rPr>
      <t xml:space="preserve">毛利：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量產毛利率 </t>
    </r>
    <r>
      <rPr>
        <sz val="11"/>
        <rFont val="Cambria"/>
        <family val="0"/>
        <charset val="1"/>
      </rPr>
      <t xml:space="preserve">13%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；情境 </t>
    </r>
    <r>
      <rPr>
        <sz val="11"/>
        <rFont val="Cambria"/>
        <family val="0"/>
        <charset val="1"/>
      </rPr>
      <t xml:space="preserve">A +1pt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−2pt</t>
    </r>
    <r>
      <rPr>
        <sz val="11"/>
        <rFont val="Noto Sans CJK SC"/>
        <family val="2"/>
      </rPr>
      <t xml:space="preserve">）；其他營收毛利率為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）後沿用。營業費用彈性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、年增下限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；營業外 </t>
    </r>
    <r>
      <rPr>
        <sz val="11"/>
        <rFont val="Cambria"/>
        <family val="0"/>
        <charset val="1"/>
      </rPr>
      <t xml:space="preserve">1.6</t>
    </r>
    <r>
      <rPr>
        <sz val="11"/>
        <rFont val="Noto Sans CJK SC"/>
        <family val="2"/>
      </rPr>
      <t xml:space="preserve">、稅率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、股數 </t>
    </r>
    <r>
      <rPr>
        <sz val="11"/>
        <rFont val="Cambria"/>
        <family val="0"/>
        <charset val="1"/>
      </rPr>
      <t xml:space="preserve">86.21M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GDR </t>
    </r>
    <r>
      <rPr>
        <sz val="11"/>
        <rFont val="Noto Sans CJK SC"/>
        <family val="2"/>
      </rPr>
      <t xml:space="preserve">後）。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</si>
  <si>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指引（毛利率低至中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、費用與 </t>
    </r>
    <r>
      <rPr>
        <sz val="11"/>
        <rFont val="Cambria"/>
        <family val="0"/>
        <charset val="1"/>
      </rPr>
      <t xml:space="preserve">2Q </t>
    </r>
    <r>
      <rPr>
        <sz val="11"/>
        <rFont val="Noto Sans CJK SC"/>
        <family val="2"/>
      </rPr>
      <t xml:space="preserve">相近）＋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假設（營收季增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為全年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億美元餘額）。不用券商數字（只在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</si>
  <si>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，情境價值負值取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目標價（創意、智原、聯發科、博通、邁威爾前瞻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</si>
  <si>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依工作單以 </t>
    </r>
    <r>
      <rPr>
        <sz val="11"/>
        <rFont val="Cambria"/>
        <family val="0"/>
        <charset val="1"/>
      </rPr>
      <t xml:space="preserve">FY2029 × 0.8 </t>
    </r>
    <r>
      <rPr>
        <sz val="11"/>
        <rFont val="Noto Sans CJK SC"/>
        <family val="2"/>
      </rPr>
      <t xml:space="preserve">代替。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</si>
  <si>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未使用。公司數字取自世芯新聞稿與媒體轉述財報；法說內容多為二手轉述；券商與資料商為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</si>
  <si>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公司未揭露客戶名稱、</t>
    </r>
    <r>
      <rPr>
        <sz val="11"/>
        <rFont val="Cambria"/>
        <family val="0"/>
        <charset val="1"/>
      </rPr>
      <t xml:space="preserve">NRE </t>
    </r>
    <r>
      <rPr>
        <sz val="11"/>
        <rFont val="Noto Sans CJK SC"/>
        <family val="2"/>
      </rPr>
      <t xml:space="preserve">與量產金額、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採購方式，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份額、拆分與毛利率為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市場層 </t>
    </r>
    <r>
      <rPr>
        <sz val="11"/>
        <rFont val="Cambria"/>
        <family val="0"/>
        <charset val="1"/>
      </rPr>
      <t xml:space="preserve">CY2027 Trainium 2.5 </t>
    </r>
    <r>
      <rPr>
        <sz val="11"/>
        <rFont val="Noto Sans CJK SC"/>
        <family val="2"/>
      </rPr>
      <t xml:space="preserve">百萬顆低於 </t>
    </r>
    <r>
      <rPr>
        <sz val="11"/>
        <rFont val="Cambria"/>
        <family val="0"/>
        <charset val="1"/>
      </rPr>
      <t xml:space="preserve">UBS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Trainium 3 2.8 </t>
    </r>
    <r>
      <rPr>
        <sz val="11"/>
        <rFont val="Noto Sans CJK SC"/>
        <family val="2"/>
      </rPr>
      <t xml:space="preserve">百萬顆，修訂應由市場層提出，不在本模型自改；</t>
    </r>
    <r>
      <rPr>
        <sz val="11"/>
        <rFont val="Cambria"/>
        <family val="0"/>
        <charset val="1"/>
      </rPr>
      <t xml:space="preserve">(3) 2 </t>
    </r>
    <r>
      <rPr>
        <sz val="11"/>
        <rFont val="Noto Sans CJK SC"/>
        <family val="2"/>
      </rPr>
      <t xml:space="preserve">奈米每顆營收係數為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（公司：價格遠高於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奈米；但主要客戶採 </t>
    </r>
    <r>
      <rPr>
        <sz val="11"/>
        <rFont val="Cambria"/>
        <family val="0"/>
        <charset val="1"/>
      </rPr>
      <t xml:space="preserve">COT </t>
    </r>
    <r>
      <rPr>
        <sz val="11"/>
        <rFont val="Noto Sans CJK SC"/>
        <family val="2"/>
      </rPr>
      <t xml:space="preserve">模式），放在情境與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單一客戶集中度高（分析師估 </t>
    </r>
    <r>
      <rPr>
        <sz val="11"/>
        <rFont val="Cambria"/>
        <family val="0"/>
        <charset val="1"/>
      </rPr>
      <t xml:space="preserve">60–70% </t>
    </r>
    <r>
      <rPr>
        <sz val="11"/>
        <rFont val="Noto Sans CJK SC"/>
        <family val="2"/>
      </rPr>
      <t xml:space="preserve">以上），情境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只反映份額與顆數下修，未含失去客戶；</t>
    </r>
    <r>
      <rPr>
        <sz val="11"/>
        <rFont val="Cambria"/>
        <family val="0"/>
        <charset val="1"/>
      </rPr>
      <t xml:space="preserve">(5) 3Q26 </t>
    </r>
    <r>
      <rPr>
        <sz val="11"/>
        <rFont val="Noto Sans CJK SC"/>
        <family val="2"/>
      </rPr>
      <t xml:space="preserve">毛利率與費用為指引值；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多為 </t>
    </r>
    <r>
      <rPr>
        <sz val="11"/>
        <rFont val="Cambria"/>
        <family val="0"/>
        <charset val="1"/>
      </rPr>
      <t xml:space="preserve">NRE </t>
    </r>
    <r>
      <rPr>
        <sz val="11"/>
        <rFont val="Noto Sans CJK SC"/>
        <family val="2"/>
      </rPr>
      <t xml:space="preserve">主導期；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為負值、</t>
    </r>
    <r>
      <rPr>
        <sz val="11"/>
        <rFont val="Cambria"/>
        <family val="0"/>
        <charset val="1"/>
      </rPr>
      <t xml:space="preserve">2016–2017 EPS </t>
    </r>
    <r>
      <rPr>
        <sz val="11"/>
        <rFont val="Noto Sans CJK SC"/>
        <family val="2"/>
      </rPr>
      <t xml:space="preserve">未找到；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</si>
  <si>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b val="true"/>
        <sz val="11"/>
        <rFont val="Noto Sans CJK SC"/>
        <family val="2"/>
      </rPr>
      <t xml:space="preserve">情境對照表（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讀同字母的行業情境；公司特有變數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</si>
  <si>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r>
      <rPr>
        <sz val="11"/>
        <rFont val="Noto Sans CJK SC"/>
        <family val="2"/>
      </rPr>
      <t xml:space="preserve">行業：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顆數係數＝</t>
    </r>
    <r>
      <rPr>
        <sz val="11"/>
        <rFont val="Cambria"/>
        <family val="0"/>
        <charset val="1"/>
      </rPr>
      <t xml:space="preserve">tsmc 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um28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um29</t>
    </r>
    <r>
      <rPr>
        <sz val="11"/>
        <rFont val="Noto Sans CJK SC"/>
        <family val="2"/>
      </rPr>
      <t xml:space="preserve">（＝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單價＝</t>
    </r>
    <r>
      <rPr>
        <sz val="11"/>
        <rFont val="Cambria"/>
        <family val="0"/>
        <charset val="1"/>
      </rPr>
      <t xml:space="preserve">avgo 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hbm_A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（基準代購比例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，不影響營收）。不讀 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markets/network</t>
    </r>
    <r>
      <rPr>
        <sz val="11"/>
        <rFont val="Noto Sans CJK SC"/>
        <family val="2"/>
      </rPr>
      <t xml:space="preserve">（世芯無設備、網通營收）。</t>
    </r>
  </si>
  <si>
    <r>
      <rPr>
        <sz val="11"/>
        <rFont val="Noto Sans CJK SC"/>
        <family val="2"/>
      </rPr>
      <t xml:space="preserve">公司特有：世芯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CY2027 55%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55%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奈米每顆營收係數 </t>
    </r>
    <r>
      <rPr>
        <sz val="11"/>
        <rFont val="Cambria"/>
        <family val="0"/>
        <charset val="1"/>
      </rPr>
      <t xml:space="preserve">1.5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毛利率調整 </t>
    </r>
    <r>
      <rPr>
        <sz val="11"/>
        <rFont val="Cambria"/>
        <family val="0"/>
        <charset val="1"/>
      </rPr>
      <t xml:space="preserve">+1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2pt</t>
    </r>
    <r>
      <rPr>
        <sz val="11"/>
        <rFont val="Noto Sans CJK SC"/>
        <family val="2"/>
      </rPr>
      <t xml:space="preserve">；其他營收年增 </t>
    </r>
    <r>
      <rPr>
        <sz val="11"/>
        <rFont val="Cambria"/>
        <family val="0"/>
        <charset val="1"/>
      </rPr>
      <t xml:space="preserve">FY2027 +15%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FY2028–29 +12%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</si>
  <si>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）；顆數：百萬顆；匯率：新台幣／美元。每個輸入附兩個來源（找不到者寫「未找到」）；公司原文算一個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</si>
  <si>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未使用。公司原文＝世芯新聞稿與法說（</t>
    </r>
    <r>
      <rPr>
        <sz val="11"/>
        <color theme="1"/>
        <rFont val="Calibri"/>
        <family val="2"/>
        <charset val="1"/>
      </rPr>
      <t xml:space="preserve">alchip.com</t>
    </r>
    <r>
      <rPr>
        <sz val="11"/>
        <color theme="1"/>
        <rFont val="Noto Sans CJK SC"/>
        <family val="2"/>
      </rPr>
      <t xml:space="preserve">）；公司說法為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；券商、資料商、媒體為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</si>
  <si>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</si>
  <si>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</si>
  <si>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</si>
  <si>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</si>
  <si>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</si>
  <si>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</si>
  <si>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</si>
  <si>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</si>
  <si>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</si>
  <si>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AWS Trainium </t>
    </r>
    <r>
      <rPr>
        <b val="true"/>
        <sz val="11"/>
        <rFont val="Noto Sans CJK SC"/>
        <family val="2"/>
      </rPr>
      <t xml:space="preserve">顆數（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模型同一份；情境係數讀台積電模型＝</t>
    </r>
    <r>
      <rPr>
        <b val="true"/>
        <sz val="11"/>
        <rFont val="Cambria"/>
        <family val="0"/>
        <charset val="1"/>
      </rPr>
      <t xml:space="preserve">markets/memory SCEN_UNITS</t>
    </r>
    <r>
      <rPr>
        <b val="true"/>
        <sz val="11"/>
        <rFont val="Noto Sans CJK SC"/>
        <family val="2"/>
      </rPr>
      <t xml:space="preserve">，不另訂）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</si>
  <si>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</si>
  <si>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</si>
  <si>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</si>
  <si>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</si>
  <si>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</si>
  <si>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r>
      <rPr>
        <sz val="11"/>
        <color theme="1"/>
        <rFont val="Calibri"/>
        <family val="2"/>
        <charset val="1"/>
      </rPr>
      <t xml:space="preserve">markets/memory/market.py UNITS </t>
    </r>
    <r>
      <rPr>
        <sz val="11"/>
        <color theme="1"/>
        <rFont val="Noto Sans CJK SC"/>
        <family val="2"/>
      </rPr>
      <t xml:space="preserve">同值（建置時檢查）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</si>
  <si>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</si>
  <si>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</si>
  <si>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</si>
  <si>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同上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</si>
  <si>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</si>
  <si>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</si>
  <si>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</si>
  <si>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</si>
  <si>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CY2029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</si>
  <si>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</si>
  <si>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</si>
  <si>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</si>
  <si>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</si>
  <si>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</si>
  <si>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</si>
  <si>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</si>
  <si>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模型相同；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，建置時檢查）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</si>
  <si>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</si>
  <si>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</si>
  <si>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</si>
  <si>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</si>
  <si>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</si>
  <si>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</si>
  <si>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</si>
  <si>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</si>
  <si>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</si>
  <si>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</si>
  <si>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</si>
  <si>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</si>
  <si>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</si>
  <si>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</si>
  <si>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</si>
  <si>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</si>
  <si>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</si>
  <si>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</si>
  <si>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</si>
  <si>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markets/memory/market.py UNITS</t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</si>
  <si>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模型同值</t>
    </r>
  </si>
  <si>
    <t xml:space="preserve">gb_trn_27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</si>
  <si>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CY2027</t>
    </r>
  </si>
  <si>
    <t xml:space="preserve">gb_trn_28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</si>
  <si>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CY2028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</si>
  <si>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每顆規格（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pa_trn</t>
    </r>
    <r>
      <rPr>
        <b val="true"/>
        <sz val="11"/>
        <rFont val="Noto Sans CJK SC"/>
        <family val="2"/>
      </rPr>
      <t xml:space="preserve">，唯讀；扣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的口徑與 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模型相同）與世芯份額（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份額讀 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成品，合計 ≤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）</t>
    </r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</si>
  <si>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</si>
  <si>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，模組層級）</t>
    </r>
  </si>
  <si>
    <t xml:space="preserve">US$K</t>
  </si>
  <si>
    <t xml:space="preserve">Derived</t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</si>
  <si>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In!E123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</si>
  <si>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模型讀自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</si>
  <si>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t xml:space="preserve">core_trn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</si>
  <si>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每顆核心（不含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）＝ 每顆 − </t>
    </r>
    <r>
      <rPr>
        <sz val="11"/>
        <color theme="1"/>
        <rFont val="Calibri"/>
        <family val="2"/>
        <charset val="1"/>
      </rPr>
      <t xml:space="preserve">CY2026 HBM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</si>
  <si>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pa_trn − 110 GB × CY2026 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core_trn </t>
    </r>
    <r>
      <rPr>
        <sz val="11"/>
        <color theme="1"/>
        <rFont val="Noto Sans CJK SC"/>
        <family val="2"/>
      </rPr>
      <t xml:space="preserve">同式）</t>
    </r>
  </si>
  <si>
    <r>
      <rPr>
        <sz val="11"/>
        <color theme="1"/>
        <rFont val="Calibri"/>
        <family val="2"/>
        <charset val="1"/>
      </rPr>
      <t xml:space="preserve">mrvl/dist/20261025_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 </t>
    </r>
    <r>
      <rPr>
        <sz val="11"/>
        <color theme="1"/>
        <rFont val="Noto Sans CJK SC"/>
        <family val="2"/>
      </rPr>
      <t xml:space="preserve">同值（建置時檢查）</t>
    </r>
  </si>
  <si>
    <t xml:space="preserve">f_hbm_ref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</si>
  <si>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</si>
  <si>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In!E58</t>
    </r>
  </si>
  <si>
    <r>
      <rPr>
        <sz val="11"/>
        <color theme="1"/>
        <rFont val="Noto Sans CJK SC"/>
        <family val="2"/>
      </rPr>
      <t xml:space="preserve">世芯不沿用（見下列）；只作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高值</t>
    </r>
  </si>
  <si>
    <t xml:space="preserve">f_al</t>
  </si>
  <si>
    <r>
      <rPr>
        <sz val="11"/>
        <color theme="1"/>
        <rFont val="Noto Sans CJK SC"/>
        <family val="2"/>
      </rPr>
      <t xml:space="preserve">世芯代購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並計入營收的比例</t>
    </r>
  </si>
  <si>
    <r>
      <rPr>
        <sz val="11"/>
        <color theme="1"/>
        <rFont val="Noto Sans CJK SC"/>
        <family val="2"/>
      </rPr>
      <t xml:space="preserve">美系外資：</t>
    </r>
    <r>
      <rPr>
        <sz val="11"/>
        <color theme="1"/>
        <rFont val="Calibri"/>
        <family val="2"/>
        <charset val="1"/>
      </rPr>
      <t xml:space="preserve">Trainium 4 </t>
    </r>
    <r>
      <rPr>
        <sz val="11"/>
        <color theme="1"/>
        <rFont val="Noto Sans CJK SC"/>
        <family val="2"/>
      </rPr>
      <t xml:space="preserve">生命週期可服務市場「不含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」（旺得富 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18–25% </t>
    </r>
    <r>
      <rPr>
        <sz val="11"/>
        <color theme="1"/>
        <rFont val="Noto Sans CJK SC"/>
        <family val="2"/>
      </rPr>
      <t xml:space="preserve">仍高於代購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情形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</si>
  <si>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由誰採購：未找到；高值＝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</si>
  <si>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m_hbm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</si>
  <si>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的毛利率（只在 </t>
    </r>
    <r>
      <rPr>
        <sz val="11"/>
        <color theme="1"/>
        <rFont val="Calibri"/>
        <family val="2"/>
        <charset val="1"/>
      </rPr>
      <t xml:space="preserve">f_al &gt; 0 </t>
    </r>
    <r>
      <rPr>
        <sz val="11"/>
        <color theme="1"/>
        <rFont val="Noto Sans CJK SC"/>
        <family val="2"/>
      </rPr>
      <t xml:space="preserve">時有作用）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</si>
  <si>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</si>
  <si>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</t>
    </r>
  </si>
  <si>
    <t xml:space="preserve">mv_trn_26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</si>
  <si>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</si>
  <si>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mrvl/dist/20261025_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In!E45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</si>
  <si>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（基準）＋世芯（高）≤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（建置時檢查）</t>
    </r>
  </si>
  <si>
    <t xml:space="preserve">mv_trn_27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</si>
  <si>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</si>
  <si>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mrvl/dist/20261025_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In!E46</t>
    </r>
  </si>
  <si>
    <t xml:space="preserve">mv_trn_28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</si>
  <si>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</si>
  <si>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mrvl/dist/20261025_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In!E47</t>
    </r>
  </si>
  <si>
    <t xml:space="preserve">al_trn_26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</si>
  <si>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</si>
  <si>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月出貨給北美雲端客戶（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模型引 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，二手）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</si>
  <si>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吸收）；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最不利；高值以 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基準為上限</t>
    </r>
  </si>
  <si>
    <t xml:space="preserve">al27_A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</si>
  <si>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</si>
  <si>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al27_B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</si>
  <si>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</si>
  <si>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</si>
  <si>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al27_C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</si>
  <si>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</si>
  <si>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al28_A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</si>
  <si>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</si>
  <si>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al28_B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</si>
  <si>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</si>
  <si>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奈米）換代；世芯負責後段設計（法說），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份額未揭露：未找到</t>
    </r>
  </si>
  <si>
    <t xml:space="preserve">al28_C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</si>
  <si>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</si>
  <si>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pfc_A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</si>
  <si>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起每顆營收係數（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</si>
  <si>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奈米產品價格「遠高於」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奈米、出貨量高於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法說，鉅亨網）</t>
    </r>
  </si>
  <si>
    <r>
      <rPr>
        <sz val="11"/>
        <color theme="1"/>
        <rFont val="Noto Sans CJK SC"/>
        <family val="2"/>
      </rPr>
      <t xml:space="preserve">美系外資：</t>
    </r>
    <r>
      <rPr>
        <sz val="11"/>
        <color theme="1"/>
        <rFont val="Calibri"/>
        <family val="2"/>
        <charset val="1"/>
      </rPr>
      <t xml:space="preserve">Trainium 4 </t>
    </r>
    <r>
      <rPr>
        <sz val="11"/>
        <color theme="1"/>
        <rFont val="Noto Sans CJK SC"/>
        <family val="2"/>
      </rPr>
      <t xml:space="preserve">每顆超過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萬美元、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萬顆（時報資訊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）；主要客戶採 </t>
    </r>
    <r>
      <rPr>
        <sz val="11"/>
        <color theme="1"/>
        <rFont val="Calibri"/>
        <family val="2"/>
        <charset val="1"/>
      </rPr>
      <t xml:space="preserve">COT </t>
    </r>
    <r>
      <rPr>
        <sz val="11"/>
        <color theme="1"/>
        <rFont val="Noto Sans CJK SC"/>
        <family val="2"/>
      </rPr>
      <t xml:space="preserve">模式（法說），每顆營收可能不升反降</t>
    </r>
  </si>
  <si>
    <t xml:space="preserve">pfc_B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</si>
  <si>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起每顆營收係數（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</si>
  <si>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</t>
    </r>
  </si>
  <si>
    <t xml:space="preserve">pfc_C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</si>
  <si>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起每顆營收係數（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</si>
  <si>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uf</t>
  </si>
  <si>
    <r>
      <rPr>
        <sz val="11"/>
        <color theme="1"/>
        <rFont val="Noto Sans CJK SC"/>
        <family val="2"/>
      </rPr>
      <t xml:space="preserve">世芯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</si>
  <si>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</si>
  <si>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t xml:space="preserve">±20%</t>
  </si>
  <si>
    <t xml:space="preserve">m_trn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</si>
  <si>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量產（</t>
    </r>
    <r>
      <rPr>
        <sz val="11"/>
        <color theme="1"/>
        <rFont val="Calibri"/>
        <family val="2"/>
        <charset val="1"/>
      </rPr>
      <t xml:space="preserve">turnkey</t>
    </r>
    <r>
      <rPr>
        <sz val="11"/>
        <color theme="1"/>
        <rFont val="Noto Sans CJK SC"/>
        <family val="2"/>
      </rPr>
      <t xml:space="preserve">）毛利率（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校準與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</si>
  <si>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綜合毛利率「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幾」、全年低至中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</si>
  <si>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頁核對：以 </t>
    </r>
    <r>
      <rPr>
        <sz val="11"/>
        <color theme="1"/>
        <rFont val="Calibri"/>
        <family val="2"/>
        <charset val="1"/>
      </rPr>
      <t xml:space="preserve">13% </t>
    </r>
    <r>
      <rPr>
        <sz val="11"/>
        <color theme="1"/>
        <rFont val="Noto Sans CJK SC"/>
        <family val="2"/>
      </rPr>
      <t xml:space="preserve">推得非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1Q–3Q26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48–50%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1Q26 50.2% </t>
    </r>
    <r>
      <rPr>
        <sz val="11"/>
        <color theme="1"/>
        <rFont val="Noto Sans CJK SC"/>
        <family val="2"/>
      </rPr>
      <t xml:space="preserve">一致</t>
    </r>
  </si>
  <si>
    <t xml:space="preserve">gta_A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</si>
  <si>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</si>
  <si>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</si>
  <si>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奈米專案毛利率至少與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奈米相當、可能更高（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</si>
  <si>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gta_B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</si>
  <si>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</si>
  <si>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gta_C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</si>
  <si>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</si>
  <si>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模型成品；只在 </t>
    </r>
    <r>
      <rPr>
        <b val="true"/>
        <sz val="11"/>
        <rFont val="Cambria"/>
        <family val="0"/>
        <charset val="1"/>
      </rPr>
      <t xml:space="preserve">f_al &gt; 0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案例有作用；情境別）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</si>
  <si>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</si>
  <si>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</si>
  <si>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</si>
  <si>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In!E62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</si>
  <si>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</si>
  <si>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</si>
  <si>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</si>
  <si>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In!E63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</si>
  <si>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</si>
  <si>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</si>
  <si>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In!E64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</si>
  <si>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</si>
  <si>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</si>
  <si>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In!E65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</si>
  <si>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</si>
  <si>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</si>
  <si>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In!E66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</si>
  <si>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</si>
  <si>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</si>
  <si>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In!E67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</si>
  <si>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</si>
  <si>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</si>
  <si>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In!E68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</si>
  <si>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</si>
  <si>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</si>
  <si>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In!E69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</si>
  <si>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</si>
  <si>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</si>
  <si>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In!E70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</si>
  <si>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</si>
  <si>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</si>
  <si>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In!E71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</si>
  <si>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</si>
  <si>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</si>
  <si>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In!E72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</si>
  <si>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</si>
  <si>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</si>
  <si>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In!E73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</si>
  <si>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其他營收（</t>
    </r>
    <r>
      <rPr>
        <b val="true"/>
        <sz val="11"/>
        <rFont val="Cambria"/>
        <family val="0"/>
        <charset val="1"/>
      </rPr>
      <t xml:space="preserve">NRE</t>
    </r>
    <r>
      <rPr>
        <b val="true"/>
        <sz val="11"/>
        <rFont val="Noto Sans CJK SC"/>
        <family val="2"/>
      </rPr>
      <t xml:space="preserve">＋非 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量產：中國 </t>
    </r>
    <r>
      <rPr>
        <b val="true"/>
        <sz val="11"/>
        <rFont val="Cambria"/>
        <family val="0"/>
        <charset val="1"/>
      </rPr>
      <t xml:space="preserve">ADAS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Arm CPU</t>
    </r>
    <r>
      <rPr>
        <b val="true"/>
        <sz val="11"/>
        <rFont val="Noto Sans CJK SC"/>
        <family val="2"/>
      </rPr>
      <t xml:space="preserve">、日本客戶等）：簡化成長率（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起；情境別）</t>
    </r>
  </si>
  <si>
    <t xml:space="preserve">g_o27_A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</si>
  <si>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</si>
  <si>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年第二大營收來源、兩個 </t>
    </r>
    <r>
      <rPr>
        <sz val="11"/>
        <color theme="1"/>
        <rFont val="Calibri"/>
        <family val="2"/>
        <charset val="1"/>
      </rPr>
      <t xml:space="preserve">Arm CPU </t>
    </r>
    <r>
      <rPr>
        <sz val="11"/>
        <color theme="1"/>
        <rFont val="Noto Sans CJK SC"/>
        <family val="2"/>
      </rPr>
      <t xml:space="preserve">專案量產、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開始認列；有信心再取得一家大型雲端客戶（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</si>
  <si>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−</t>
    </r>
    <r>
      <rPr>
        <sz val="11"/>
        <color theme="1"/>
        <rFont val="Calibri"/>
        <family val="2"/>
        <charset val="1"/>
      </rPr>
      <t xml:space="preserve">40.1%</t>
    </r>
    <r>
      <rPr>
        <sz val="11"/>
        <color theme="1"/>
        <rFont val="Noto Sans CJK SC"/>
        <family val="2"/>
      </rPr>
      <t xml:space="preserve">（舊量產專案結束；經濟日報）</t>
    </r>
  </si>
  <si>
    <t xml:space="preserve">g_oL_A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</si>
  <si>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</si>
  <si>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g_o27_B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</si>
  <si>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</si>
  <si>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g_oL_B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</si>
  <si>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</si>
  <si>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g_o27_C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</si>
  <si>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</si>
  <si>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g_oL_C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</si>
  <si>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</si>
  <si>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gmadj</t>
  </si>
  <si>
    <r>
      <rPr>
        <sz val="11"/>
        <color theme="1"/>
        <rFont val="Noto Sans CJK SC"/>
        <family val="2"/>
      </rPr>
      <t xml:space="preserve">其他營收毛利率調整（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</si>
  <si>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其他營收毛利率為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），之後沿用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</si>
  <si>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假設）</t>
    </r>
  </si>
  <si>
    <t xml:space="preserve">dc26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</si>
  <si>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）營收</t>
    </r>
  </si>
  <si>
    <t xml:space="preserve">US$B</t>
  </si>
  <si>
    <t xml:space="preserve">Interested-party</t>
  </si>
  <si>
    <r>
      <rPr>
        <sz val="11"/>
        <color theme="1"/>
        <rFont val="Noto Sans CJK SC"/>
        <family val="2"/>
      </rPr>
      <t xml:space="preserve">時報資訊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（美系外資 </t>
    </r>
    <r>
      <rPr>
        <sz val="11"/>
        <color theme="1"/>
        <rFont val="Calibri"/>
        <family val="2"/>
        <charset val="1"/>
      </rPr>
      <t xml:space="preserve">5,088</t>
    </r>
    <r>
      <rPr>
        <sz val="11"/>
        <color theme="1"/>
        <rFont val="Noto Sans CJK SC"/>
        <family val="2"/>
      </rPr>
      <t xml:space="preserve">）：公司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奈米營收目標超過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億美元（轉述）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</si>
  <si>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奈米營收預估不變、訂單幾乎都已下（鉅亨網）；美系外資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億美元（旺得富 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）</t>
    </r>
  </si>
  <si>
    <t xml:space="preserve">q2_trn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</si>
  <si>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月起出貨）</t>
    </r>
  </si>
  <si>
    <t xml:space="preserve">NT$B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</si>
  <si>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北美占營收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</si>
  <si>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高值＝北美 </t>
    </r>
    <r>
      <rPr>
        <sz val="11"/>
        <color theme="1"/>
        <rFont val="Calibri"/>
        <family val="2"/>
        <charset val="1"/>
      </rPr>
      <t xml:space="preserve">51% × 2Q26 </t>
    </r>
    <r>
      <rPr>
        <sz val="11"/>
        <color theme="1"/>
        <rFont val="Noto Sans CJK SC"/>
        <family val="2"/>
      </rPr>
      <t xml:space="preserve">營收</t>
    </r>
  </si>
  <si>
    <t xml:space="preserve">fx_q1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</si>
  <si>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平均匯率（營收新台幣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</si>
  <si>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</si>
  <si>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1Q26 US$132.4M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</si>
  <si>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118.27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2Q26 76.40 </t>
    </r>
    <r>
      <rPr>
        <sz val="11"/>
        <color theme="1"/>
        <rFont val="Noto Sans CJK SC"/>
        <family val="2"/>
      </rPr>
      <t xml:space="preserve">億</t>
    </r>
  </si>
  <si>
    <t xml:space="preserve">fx_q2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</si>
  <si>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平均匯率（營收新台幣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</si>
  <si>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2Q26 US$241.7M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</si>
  <si>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76.40 </t>
    </r>
    <r>
      <rPr>
        <sz val="11"/>
        <color theme="1"/>
        <rFont val="Noto Sans CJK SC"/>
        <family val="2"/>
      </rPr>
      <t xml:space="preserve">億</t>
    </r>
  </si>
  <si>
    <t xml:space="preserve">fx26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</si>
  <si>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FY2026 Trainium </t>
    </r>
    <r>
      <rPr>
        <sz val="11"/>
        <color theme="1"/>
        <rFont val="Noto Sans CJK SC"/>
        <family val="2"/>
      </rPr>
      <t xml:space="preserve">換算用）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</si>
  <si>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</si>
  <si>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平均匯率：未找到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</si>
  <si>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</si>
  <si>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營收（月營收實績；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月合計）</t>
    </r>
  </si>
  <si>
    <t xml:space="preserve">Verified</t>
  </si>
  <si>
    <r>
      <rPr>
        <sz val="11"/>
        <color theme="1"/>
        <rFont val="Noto Sans CJK SC"/>
        <family val="2"/>
      </rPr>
      <t xml:space="preserve">科技新報（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月營收，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378.78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99.79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</si>
  <si>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財報）：</t>
    </r>
    <r>
      <rPr>
        <sz val="11"/>
        <color theme="1"/>
        <rFont val="Calibri"/>
        <family val="2"/>
        <charset val="1"/>
      </rPr>
      <t xml:space="preserve">1H26 118.27 </t>
    </r>
    <r>
      <rPr>
        <sz val="11"/>
        <color theme="1"/>
        <rFont val="Noto Sans CJK SC"/>
        <family val="2"/>
      </rPr>
      <t xml:space="preserve">億；理財周刊：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74.33 </t>
    </r>
    <r>
      <rPr>
        <sz val="11"/>
        <color theme="1"/>
        <rFont val="Noto Sans CJK SC"/>
        <family val="2"/>
      </rPr>
      <t xml:space="preserve">億</t>
    </r>
  </si>
  <si>
    <t xml:space="preserve">q3_trnsh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</si>
  <si>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營收中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量產占比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</si>
  <si>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2026-09-06</t>
    </r>
    <r>
      <rPr>
        <sz val="11"/>
        <color theme="1"/>
        <rFont val="Noto Sans CJK SC"/>
        <family val="2"/>
      </rPr>
      <t xml:space="preserve">（作者估計）：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80–90%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</si>
  <si>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公司：未來營收 </t>
    </r>
    <r>
      <rPr>
        <sz val="11"/>
        <color theme="1"/>
        <rFont val="Calibri"/>
        <family val="2"/>
        <charset val="1"/>
      </rPr>
      <t xml:space="preserve">NRE 10–20%</t>
    </r>
    <r>
      <rPr>
        <sz val="11"/>
        <color theme="1"/>
        <rFont val="Noto Sans CJK SC"/>
        <family val="2"/>
      </rPr>
      <t xml:space="preserve">、量產 </t>
    </r>
    <r>
      <rPr>
        <sz val="11"/>
        <color theme="1"/>
        <rFont val="Calibri"/>
        <family val="2"/>
        <charset val="1"/>
      </rPr>
      <t xml:space="preserve">80–90%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</si>
  <si>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</si>
  <si>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毛利率（公司：低至中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</si>
  <si>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 2Q26 </t>
    </r>
    <r>
      <rPr>
        <sz val="11"/>
        <color theme="1"/>
        <rFont val="Noto Sans CJK SC"/>
        <family val="2"/>
      </rPr>
      <t xml:space="preserve">法說逐字稿（二手）</t>
    </r>
  </si>
  <si>
    <r>
      <rPr>
        <sz val="11"/>
        <color theme="1"/>
        <rFont val="Noto Sans CJK SC"/>
        <family val="2"/>
      </rPr>
      <t xml:space="preserve">時報資訊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（美系外資 </t>
    </r>
    <r>
      <rPr>
        <sz val="11"/>
        <color theme="1"/>
        <rFont val="Calibri"/>
        <family val="2"/>
        <charset val="1"/>
      </rPr>
      <t xml:space="preserve">5,088</t>
    </r>
    <r>
      <rPr>
        <sz val="11"/>
        <color theme="1"/>
        <rFont val="Noto Sans CJK SC"/>
        <family val="2"/>
      </rPr>
      <t xml:space="preserve">）：美系外資估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18%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</si>
  <si>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</si>
  <si>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營業費用（公司：與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相近）</t>
    </r>
  </si>
  <si>
    <r>
      <rPr>
        <sz val="11"/>
        <color theme="1"/>
        <rFont val="Calibri"/>
        <family val="2"/>
        <charset val="1"/>
      </rPr>
      <t xml:space="preserve">2Q26 1.015</t>
    </r>
    <r>
      <rPr>
        <sz val="11"/>
        <color theme="1"/>
        <rFont val="Noto Sans CJK SC"/>
        <family val="2"/>
      </rPr>
      <t xml:space="preserve">（工商時報：毛利 </t>
    </r>
    <r>
      <rPr>
        <sz val="11"/>
        <color theme="1"/>
        <rFont val="Calibri"/>
        <family val="2"/>
        <charset val="1"/>
      </rPr>
      <t xml:space="preserve">26.62 </t>
    </r>
    <r>
      <rPr>
        <sz val="11"/>
        <color theme="1"/>
        <rFont val="Noto Sans CJK SC"/>
        <family val="2"/>
      </rPr>
      <t xml:space="preserve">億 − 營業利益 </t>
    </r>
    <r>
      <rPr>
        <sz val="11"/>
        <color theme="1"/>
        <rFont val="Calibri"/>
        <family val="2"/>
        <charset val="1"/>
      </rPr>
      <t xml:space="preserve">16.47 </t>
    </r>
    <r>
      <rPr>
        <sz val="11"/>
        <color theme="1"/>
        <rFont val="Noto Sans CJK SC"/>
        <family val="2"/>
      </rPr>
      <t xml:space="preserve">億）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</si>
  <si>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</si>
  <si>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營收季增（公司：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再成長）</t>
    </r>
  </si>
  <si>
    <r>
      <rPr>
        <sz val="11"/>
        <color theme="1"/>
        <rFont val="Noto Sans CJK SC"/>
        <family val="2"/>
      </rPr>
      <t xml:space="preserve">鉅亨網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</si>
  <si>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2026-09-06</t>
    </r>
    <r>
      <rPr>
        <sz val="11"/>
        <color theme="1"/>
        <rFont val="Noto Sans CJK SC"/>
        <family val="2"/>
      </rPr>
      <t xml:space="preserve">（作者估計）：作者估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365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+40%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</si>
  <si>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q4_gmo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</si>
  <si>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＋其他量產）毛利率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</si>
  <si>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50.2%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比重高；方格子）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</si>
  <si>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頁核對：</t>
    </r>
    <r>
      <rPr>
        <sz val="11"/>
        <color theme="1"/>
        <rFont val="Calibri"/>
        <family val="2"/>
        <charset val="1"/>
      </rPr>
      <t xml:space="preserve">2Q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推得約 </t>
    </r>
    <r>
      <rPr>
        <sz val="11"/>
        <color theme="1"/>
        <rFont val="Calibri"/>
        <family val="2"/>
        <charset val="1"/>
      </rPr>
      <t xml:space="preserve">48–49%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</si>
  <si>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</si>
  <si>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</si>
  <si>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Investing.com 2Q26 </t>
    </r>
    <r>
      <rPr>
        <sz val="11"/>
        <color theme="1"/>
        <rFont val="Noto Sans CJK SC"/>
        <family val="2"/>
      </rPr>
      <t xml:space="preserve">法說逐字稿（二手）：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相近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</si>
  <si>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</si>
  <si>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</si>
  <si>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0.417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0.388</t>
    </r>
    <r>
      <rPr>
        <sz val="11"/>
        <color theme="1"/>
        <rFont val="Noto Sans CJK SC"/>
        <family val="2"/>
      </rPr>
      <t xml:space="preserve">（工商時報推得）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</si>
  <si>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增資（經濟日報 </t>
    </r>
    <r>
      <rPr>
        <sz val="11"/>
        <color theme="1"/>
        <rFont val="Calibri"/>
        <family val="2"/>
        <charset val="1"/>
      </rPr>
      <t xml:space="preserve">2026-07-07</t>
    </r>
    <r>
      <rPr>
        <sz val="11"/>
        <color theme="1"/>
        <rFont val="Noto Sans CJK SC"/>
        <family val="2"/>
      </rPr>
      <t xml:space="preserve">），利息收入可能增加；匯兌損益：未找到</t>
    </r>
  </si>
  <si>
    <t xml:space="preserve">q_tax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</si>
  <si>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</si>
  <si>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1Q26 20.0%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19.5%</t>
    </r>
    <r>
      <rPr>
        <sz val="11"/>
        <color theme="1"/>
        <rFont val="Noto Sans CJK SC"/>
        <family val="2"/>
      </rPr>
      <t xml:space="preserve">（工商時報推得）</t>
    </r>
  </si>
  <si>
    <r>
      <rPr>
        <sz val="11"/>
        <color theme="1"/>
        <rFont val="Calibri"/>
        <family val="2"/>
        <charset val="1"/>
      </rPr>
      <t xml:space="preserve">FY2025 16.7%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稅前淨利率推得）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</si>
  <si>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</si>
  <si>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加權股數（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後）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</si>
  <si>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</si>
  <si>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：流通股數 </t>
    </r>
    <r>
      <rPr>
        <sz val="11"/>
        <color theme="1"/>
        <rFont val="Calibri"/>
        <family val="2"/>
        <charset val="1"/>
      </rPr>
      <t xml:space="preserve">86.21M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</si>
  <si>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81.87M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GDR 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日掛牌（經濟日報）</t>
    </r>
  </si>
  <si>
    <r>
      <rPr>
        <b val="true"/>
        <sz val="11"/>
        <rFont val="Cambria"/>
        <family val="0"/>
        <charset val="1"/>
      </rPr>
      <t xml:space="preserve">F. FY2027 </t>
    </r>
    <r>
      <rPr>
        <b val="true"/>
        <sz val="11"/>
        <rFont val="Noto Sans CJK SC"/>
        <family val="2"/>
      </rPr>
      <t xml:space="preserve">起：營業費用、營業外、稅、股數、匯率</t>
    </r>
  </si>
  <si>
    <t xml:space="preserve">phi</t>
  </si>
  <si>
    <t xml:space="preserve">營業費用成長對營收成長的彈性</t>
  </si>
  <si>
    <r>
      <rPr>
        <sz val="11"/>
        <color theme="1"/>
        <rFont val="Noto Sans CJK SC"/>
        <family val="2"/>
      </rPr>
      <t xml:space="preserve">公司：營業費用年增「在控制內」、長期營業利益率目標十幾 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</si>
  <si>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+23%</t>
    </r>
    <r>
      <rPr>
        <sz val="11"/>
        <color theme="1"/>
        <rFont val="Noto Sans CJK SC"/>
        <family val="2"/>
      </rPr>
      <t xml:space="preserve">、營收約 </t>
    </r>
    <r>
      <rPr>
        <sz val="11"/>
        <color theme="1"/>
        <rFont val="Calibri"/>
        <family val="2"/>
        <charset val="1"/>
      </rPr>
      <t xml:space="preserve">+120%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</si>
  <si>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g_opx_min</t>
  </si>
  <si>
    <t xml:space="preserve">營業費用年增下限</t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</si>
  <si>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奈米專案人力、</t>
    </r>
    <r>
      <rPr>
        <sz val="11"/>
        <color theme="1"/>
        <rFont val="Calibri"/>
        <family val="2"/>
        <charset val="1"/>
      </rPr>
      <t xml:space="preserve">EDA </t>
    </r>
    <r>
      <rPr>
        <sz val="11"/>
        <color theme="1"/>
        <rFont val="Noto Sans CJK SC"/>
        <family val="2"/>
      </rPr>
      <t xml:space="preserve">與伺服器費用增加（工商時報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</si>
  <si>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</si>
  <si>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</si>
  <si>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</si>
  <si>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nonop_f</t>
  </si>
  <si>
    <t xml:space="preserve">營業外淨額（每年）</t>
  </si>
  <si>
    <r>
      <rPr>
        <sz val="11"/>
        <color theme="1"/>
        <rFont val="Calibri"/>
        <family val="2"/>
        <charset val="1"/>
      </rPr>
      <t xml:space="preserve">FY2025 1.704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1H26 0.805</t>
    </r>
  </si>
  <si>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增資後現金增加：金額未找到</t>
    </r>
  </si>
  <si>
    <t xml:space="preserve">tax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</si>
  <si>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</si>
  <si>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16.7%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19.7%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</si>
  <si>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</si>
  <si>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加權股數年變動</t>
  </si>
  <si>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86.21M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</si>
  <si>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員工酬勞股票：小</t>
  </si>
  <si>
    <t xml:space="preserve">fx</t>
  </si>
  <si>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美元營收換算）</t>
    </r>
  </si>
  <si>
    <t xml:space="preserve">與聯發科、台積電模型相同假設</t>
  </si>
  <si>
    <t xml:space="preserve">其他營收以新台幣成長率推，未另換算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</si>
  <si>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公司說法、共識與券商（只作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</si>
  <si>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co_nre</t>
  </si>
  <si>
    <r>
      <rPr>
        <sz val="11"/>
        <color theme="1"/>
        <rFont val="Noto Sans CJK SC"/>
        <family val="2"/>
      </rPr>
      <t xml:space="preserve">公司：未來營收中 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比重（</t>
    </r>
    <r>
      <rPr>
        <sz val="11"/>
        <color theme="1"/>
        <rFont val="Calibri"/>
        <family val="2"/>
        <charset val="1"/>
      </rPr>
      <t xml:space="preserve">10–20% </t>
    </r>
    <r>
      <rPr>
        <sz val="11"/>
        <color theme="1"/>
        <rFont val="Noto Sans CJK SC"/>
        <family val="2"/>
      </rPr>
      <t xml:space="preserve">中點）</t>
    </r>
  </si>
  <si>
    <t xml:space="preserve">co_gm26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</si>
  <si>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毛利率（低至中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，取中點）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</si>
  <si>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</si>
  <si>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</si>
  <si>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位分析師；資料日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</si>
  <si>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起共識為付費資料：未找到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</si>
  <si>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</si>
  <si>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</si>
  <si>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t xml:space="preserve">NT$</t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</si>
  <si>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（資料日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</si>
  <si>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美系外資甲 </t>
    </r>
    <r>
      <rPr>
        <sz val="11"/>
        <color theme="1"/>
        <rFont val="Calibri"/>
        <family val="2"/>
        <charset val="1"/>
      </rPr>
      <t xml:space="preserve">132.94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）</t>
    </r>
  </si>
  <si>
    <t xml:space="preserve">b1_eps27</t>
  </si>
  <si>
    <r>
      <rPr>
        <sz val="11"/>
        <color theme="1"/>
        <rFont val="Noto Sans CJK SC"/>
        <family val="2"/>
      </rPr>
      <t xml:space="preserve">美系外資甲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</si>
  <si>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（三家美系外資）</t>
    </r>
  </si>
  <si>
    <r>
      <rPr>
        <sz val="11"/>
        <color theme="1"/>
        <rFont val="Noto Sans CJK SC"/>
        <family val="2"/>
      </rPr>
      <t xml:space="preserve">理財周刊作者估 </t>
    </r>
    <r>
      <rPr>
        <sz val="11"/>
        <color theme="1"/>
        <rFont val="Calibri"/>
        <family val="2"/>
        <charset val="1"/>
      </rPr>
      <t xml:space="preserve">195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</si>
  <si>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aut_eps27</t>
  </si>
  <si>
    <r>
      <rPr>
        <sz val="11"/>
        <color theme="1"/>
        <rFont val="Noto Sans CJK SC"/>
        <family val="2"/>
      </rPr>
      <t xml:space="preserve">理財周刊作者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</si>
  <si>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2026-09-06</t>
    </r>
    <r>
      <rPr>
        <sz val="11"/>
        <color theme="1"/>
        <rFont val="Noto Sans CJK SC"/>
        <family val="2"/>
      </rPr>
      <t xml:space="preserve">（作者估計）</t>
    </r>
  </si>
  <si>
    <t xml:space="preserve">aut_rev27</t>
  </si>
  <si>
    <r>
      <rPr>
        <sz val="11"/>
        <color theme="1"/>
        <rFont val="Noto Sans CJK SC"/>
        <family val="2"/>
      </rPr>
      <t xml:space="preserve">理財周刊作者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</si>
  <si>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77%</t>
    </r>
  </si>
  <si>
    <t xml:space="preserve">b1_trn26</t>
  </si>
  <si>
    <r>
      <rPr>
        <sz val="11"/>
        <color theme="1"/>
        <rFont val="Noto Sans CJK SC"/>
        <family val="2"/>
      </rPr>
      <t xml:space="preserve">美系外資甲 </t>
    </r>
    <r>
      <rPr>
        <sz val="11"/>
        <color theme="1"/>
        <rFont val="Calibri"/>
        <family val="2"/>
        <charset val="1"/>
      </rPr>
      <t xml:space="preserve">FY2026 Trainium 3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</si>
  <si>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約占全年營收 </t>
    </r>
    <r>
      <rPr>
        <sz val="11"/>
        <color theme="1"/>
        <rFont val="Calibri"/>
        <family val="2"/>
        <charset val="1"/>
      </rPr>
      <t xml:space="preserve">60%</t>
    </r>
  </si>
  <si>
    <t xml:space="preserve">b1_trn27</t>
  </si>
  <si>
    <r>
      <rPr>
        <sz val="11"/>
        <color theme="1"/>
        <rFont val="Noto Sans CJK SC"/>
        <family val="2"/>
      </rPr>
      <t xml:space="preserve">美系外資甲 </t>
    </r>
    <r>
      <rPr>
        <sz val="11"/>
        <color theme="1"/>
        <rFont val="Calibri"/>
        <family val="2"/>
        <charset val="1"/>
      </rPr>
      <t xml:space="preserve">FY2027 Trainium 3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</si>
  <si>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約占營收 </t>
    </r>
    <r>
      <rPr>
        <sz val="11"/>
        <color theme="1"/>
        <rFont val="Calibri"/>
        <family val="2"/>
        <charset val="1"/>
      </rPr>
      <t xml:space="preserve">68%</t>
    </r>
  </si>
  <si>
    <t xml:space="preserve">b2_ai27</t>
  </si>
  <si>
    <r>
      <rPr>
        <sz val="11"/>
        <color theme="1"/>
        <rFont val="Noto Sans CJK SC"/>
        <family val="2"/>
      </rPr>
      <t xml:space="preserve">美系外資乙 </t>
    </r>
    <r>
      <rPr>
        <sz val="11"/>
        <color theme="1"/>
        <rFont val="Calibri"/>
        <family val="2"/>
        <charset val="1"/>
      </rPr>
      <t xml:space="preserve">FY2027 AI ASIC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</si>
  <si>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16 </t>
    </r>
    <r>
      <rPr>
        <sz val="11"/>
        <color theme="1"/>
        <rFont val="Noto Sans CJK SC"/>
        <family val="2"/>
      </rPr>
      <t xml:space="preserve">億美元</t>
    </r>
  </si>
  <si>
    <t xml:space="preserve">b1_trn4</t>
  </si>
  <si>
    <r>
      <rPr>
        <sz val="11"/>
        <color theme="1"/>
        <rFont val="Noto Sans CJK SC"/>
        <family val="2"/>
      </rPr>
      <t xml:space="preserve">美系外資 </t>
    </r>
    <r>
      <rPr>
        <sz val="11"/>
        <color theme="1"/>
        <rFont val="Calibri"/>
        <family val="2"/>
        <charset val="1"/>
      </rPr>
      <t xml:space="preserve">FY2028 Trainium 4 </t>
    </r>
    <r>
      <rPr>
        <sz val="11"/>
        <color theme="1"/>
        <rFont val="Noto Sans CJK SC"/>
        <family val="2"/>
      </rPr>
      <t xml:space="preserve">營收（不含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奈米尾量）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</si>
  <si>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（三家美系外資）；時報資訊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（美系外資 </t>
    </r>
    <r>
      <rPr>
        <sz val="11"/>
        <color theme="1"/>
        <rFont val="Calibri"/>
        <family val="2"/>
        <charset val="1"/>
      </rPr>
      <t xml:space="preserve">5,088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</si>
  <si>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美系外資丙情境：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90–120 </t>
    </r>
    <r>
      <rPr>
        <sz val="11"/>
        <color theme="1"/>
        <rFont val="Noto Sans CJK SC"/>
        <family val="2"/>
      </rPr>
      <t xml:space="preserve">億美元</t>
    </r>
  </si>
  <si>
    <t xml:space="preserve">ubs_trn27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</si>
  <si>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CY2027 Trainium 3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</si>
  <si>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2026-09-06</t>
    </r>
    <r>
      <rPr>
        <sz val="11"/>
        <color theme="1"/>
        <rFont val="Noto Sans CJK SC"/>
        <family val="2"/>
      </rPr>
      <t xml:space="preserve">（作者估計）（轉述 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2026 180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2027 280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2028 460 </t>
    </r>
    <r>
      <rPr>
        <sz val="11"/>
        <color theme="1"/>
        <rFont val="Noto Sans CJK SC"/>
        <family val="2"/>
      </rPr>
      <t xml:space="preserve">萬顆）</t>
    </r>
  </si>
  <si>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Trainium 2.5 </t>
    </r>
    <r>
      <rPr>
        <sz val="11"/>
        <color theme="1"/>
        <rFont val="Noto Sans CJK SC"/>
        <family val="2"/>
      </rPr>
      <t xml:space="preserve">百萬顆（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），口徑不同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</si>
  <si>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</si>
  <si>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</si>
  <si>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</si>
  <si>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3,495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5.80%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</si>
  <si>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</si>
  <si>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</si>
  <si>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</si>
  <si>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</si>
  <si>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t xml:space="preserve">companiesmarketcap 47.2</t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</si>
  <si>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</si>
  <si>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</si>
  <si>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</si>
  <si>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</si>
  <si>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17.15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</si>
  <si>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</si>
  <si>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</si>
  <si>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</si>
  <si>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5,803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</si>
  <si>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5,666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6,000</t>
    </r>
    <r>
      <rPr>
        <sz val="11"/>
        <color theme="1"/>
        <rFont val="Noto Sans CJK SC"/>
        <family val="2"/>
      </rPr>
      <t xml:space="preserve">；歐系外資 </t>
    </r>
    <r>
      <rPr>
        <sz val="11"/>
        <color theme="1"/>
        <rFont val="Calibri"/>
        <family val="2"/>
        <charset val="1"/>
      </rPr>
      <t xml:space="preserve">6,784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）</t>
    </r>
  </si>
  <si>
    <t xml:space="preserve">nim5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</si>
  <si>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；對照用）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</si>
  <si>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營收與淨利</t>
    </r>
  </si>
  <si>
    <r>
      <rPr>
        <sz val="11"/>
        <color theme="1"/>
        <rFont val="Noto Sans CJK SC"/>
        <family val="2"/>
      </rPr>
      <t xml:space="preserve">十年平均（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）：未找到（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未取得）；收斂法依工作單改用最後一年 </t>
    </r>
    <r>
      <rPr>
        <sz val="11"/>
        <color theme="1"/>
        <rFont val="Calibri"/>
        <family val="2"/>
        <charset val="1"/>
      </rPr>
      <t xml:space="preserve">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</si>
  <si>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</si>
  <si>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</si>
  <si>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</si>
  <si>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</si>
  <si>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</si>
  <si>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</si>
  <si>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</si>
  <si>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</si>
  <si>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</si>
  <si>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</si>
  <si>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</si>
  <si>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</si>
  <si>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美、台、日、韓同一值；單一客戶集中度高的風險不改折現率，放在情境 </t>
    </r>
    <r>
      <rPr>
        <sz val="11"/>
        <color theme="1"/>
        <rFont val="Calibri"/>
        <family val="2"/>
        <charset val="1"/>
      </rPr>
      <t xml:space="preserve">C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</si>
  <si>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</si>
  <si>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</si>
  <si>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</si>
  <si>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</si>
  <si>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</si>
  <si>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</si>
  <si>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21.40%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22.42%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13.94%</t>
    </r>
  </si>
  <si>
    <r>
      <rPr>
        <sz val="11"/>
        <color theme="1"/>
        <rFont val="Noto Sans CJK SC"/>
        <family val="2"/>
      </rPr>
      <t xml:space="preserve">單一來源；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偏低（營收 −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</si>
  <si>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</si>
  <si>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</si>
  <si>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</si>
  <si>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</si>
  <si>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</si>
  <si>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</si>
  <si>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</si>
  <si>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</si>
  <si>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</si>
  <si>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</si>
  <si>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</si>
  <si>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</si>
  <si>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</si>
  <si>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</si>
  <si>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</si>
  <si>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」的中點）</t>
    </r>
  </si>
  <si>
    <r>
      <rPr>
        <sz val="11"/>
        <color theme="1"/>
        <rFont val="Noto Sans CJK SC"/>
        <family val="2"/>
      </rPr>
      <t xml:space="preserve">十年平均未找到，依工作單以最後一年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</si>
  <si>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</si>
  <si>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</si>
  <si>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為新台幣、基本；股數為十億股）。藍字＝輸入（公司新聞稿與媒體轉述財報）；黑字＝公式。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與其他營收的拆分為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（公司未揭露）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</si>
  <si>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營收實績（月營收）與指引（毛利率、費用）＋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假設；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全年取公司「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奈米超過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億美元」，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為全年減 </t>
    </r>
    <r>
      <rPr>
        <sz val="11"/>
        <color theme="1"/>
        <rFont val="Calibri"/>
        <family val="2"/>
        <charset val="1"/>
      </rPr>
      <t xml:space="preserve">2Q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月上旬（確切日期未找到），屆時以實績取代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</si>
  <si>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</si>
  <si>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</si>
  <si>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</si>
  <si>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（營收實績＋指引）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</si>
  <si>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</si>
  <si>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</si>
  <si>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</si>
  <si>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</si>
  <si>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：經濟日報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：工商時報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（公司財報）</t>
    </r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</si>
  <si>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：月營收實績（科技新報）；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309.3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</si>
  <si>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  Trainium </t>
    </r>
    <r>
      <rPr>
        <sz val="11"/>
        <color theme="1"/>
        <rFont val="Noto Sans CJK SC"/>
        <family val="2"/>
      </rPr>
      <t xml:space="preserve">量產（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加速器，北美雲端客戶）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</si>
  <si>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</si>
  <si>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</si>
  <si>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量產自 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＝全年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 − </t>
    </r>
    <r>
      <rPr>
        <sz val="11"/>
        <color theme="1"/>
        <rFont val="Calibri"/>
        <family val="2"/>
        <charset val="1"/>
      </rPr>
      <t xml:space="preserve">2Q − 3Q</t>
    </r>
  </si>
  <si>
    <r>
      <rPr>
        <sz val="11"/>
        <color theme="1"/>
        <rFont val="Noto Sans CJK SC"/>
        <family val="2"/>
      </rPr>
      <t xml:space="preserve">  其他（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</si>
  <si>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</si>
  <si>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</si>
  <si>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47.63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2Q26 26.62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Trainium × m_trn </t>
    </r>
    <r>
      <rPr>
        <sz val="11"/>
        <color theme="1"/>
        <rFont val="Noto Sans CJK SC"/>
        <family val="2"/>
      </rPr>
      <t xml:space="preserve">＋ 其他 </t>
    </r>
    <r>
      <rPr>
        <sz val="11"/>
        <color theme="1"/>
        <rFont val="Calibri"/>
        <family val="2"/>
        <charset val="1"/>
      </rPr>
      <t xml:space="preserve">× q4_gmo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</si>
  <si>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</si>
  <si>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26.4%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50.2%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34.8%</t>
    </r>
  </si>
  <si>
    <r>
      <rPr>
        <sz val="11"/>
        <color theme="1"/>
        <rFont val="Noto Sans CJK SC"/>
        <family val="2"/>
      </rPr>
      <t xml:space="preserve">  核對：非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毛利率（以 </t>
    </r>
    <r>
      <rPr>
        <sz val="11"/>
        <color theme="1"/>
        <rFont val="Calibri"/>
        <family val="2"/>
        <charset val="1"/>
      </rPr>
      <t xml:space="preserve">m_trn </t>
    </r>
    <r>
      <rPr>
        <sz val="11"/>
        <color theme="1"/>
        <rFont val="Noto Sans CJK SC"/>
        <family val="2"/>
      </rPr>
      <t xml:space="preserve">推得）</t>
    </r>
  </si>
  <si>
    <r>
      <rPr>
        <sz val="11"/>
        <color theme="1"/>
        <rFont val="Calibri"/>
        <family val="2"/>
        <charset val="1"/>
      </rPr>
      <t xml:space="preserve">1Q–3Q </t>
    </r>
    <r>
      <rPr>
        <sz val="11"/>
        <color theme="1"/>
        <rFont val="Noto Sans CJK SC"/>
        <family val="2"/>
      </rPr>
      <t xml:space="preserve">應接近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q4_gmo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</si>
  <si>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</si>
  <si>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</si>
  <si>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</si>
  <si>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</si>
  <si>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</si>
  <si>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30.14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2Q26 16.47 </t>
    </r>
    <r>
      <rPr>
        <sz val="11"/>
        <color theme="1"/>
        <rFont val="Noto Sans CJK SC"/>
        <family val="2"/>
      </rPr>
      <t xml:space="preserve">億</t>
    </r>
  </si>
  <si>
    <t xml:space="preserve">營業外淨額</t>
  </si>
  <si>
    <t xml:space="preserve">稅前 − 營業利益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</si>
  <si>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</si>
  <si>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稅前淨利率 </t>
    </r>
    <r>
      <rPr>
        <sz val="11"/>
        <color theme="1"/>
        <rFont val="Calibri"/>
        <family val="2"/>
        <charset val="1"/>
      </rPr>
      <t xml:space="preserve">21.73%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38.19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2Q26 20.35 </t>
    </r>
    <r>
      <rPr>
        <sz val="11"/>
        <color theme="1"/>
        <rFont val="Noto Sans CJK SC"/>
        <family val="2"/>
      </rPr>
      <t xml:space="preserve">億</t>
    </r>
  </si>
  <si>
    <t xml:space="preserve">所得稅</t>
  </si>
  <si>
    <t xml:space="preserve">稅前 − 淨利</t>
  </si>
  <si>
    <t xml:space="preserve">  有效稅率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</si>
  <si>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</si>
  <si>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30.66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2Q26 16.39 </t>
    </r>
    <r>
      <rPr>
        <sz val="11"/>
        <color theme="1"/>
        <rFont val="Noto Sans CJK SC"/>
        <family val="2"/>
      </rPr>
      <t xml:space="preserve">億；無重大非控制權益（假設）</t>
    </r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</si>
  <si>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</si>
  <si>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</si>
  <si>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</si>
  <si>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</si>
  <si>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</si>
  <si>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69.18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17.55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20.01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</si>
  <si>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</si>
  <si>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</si>
  <si>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Trainium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</si>
  <si>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其他營收年增（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全部視為其他）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</si>
  <si>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</si>
  <si>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4Q26 Trainium ÷ 4Q26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</si>
  <si>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</si>
  <si>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自算 − 公司 </t>
    </r>
    <r>
      <rPr>
        <sz val="11"/>
        <color theme="1"/>
        <rFont val="Calibri"/>
        <family val="2"/>
        <charset val="1"/>
      </rPr>
      <t xml:space="preserve">11.827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</si>
  <si>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歸屬淨利 自算 − 公司 </t>
    </r>
    <r>
      <rPr>
        <sz val="11"/>
        <color theme="1"/>
        <rFont val="Calibri"/>
        <family val="2"/>
        <charset val="1"/>
      </rPr>
      <t xml:space="preserve">3.066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</si>
  <si>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</si>
  <si>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世芯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量產規格（情境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）。每顆核心＝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pa_trn </t>
    </r>
    <r>
      <rPr>
        <sz val="11"/>
        <color theme="1"/>
        <rFont val="Noto Sans CJK SC"/>
        <family val="2"/>
      </rPr>
      <t xml:space="preserve">扣 </t>
    </r>
    <r>
      <rPr>
        <sz val="11"/>
        <color theme="1"/>
        <rFont val="Calibri"/>
        <family val="2"/>
        <charset val="1"/>
      </rPr>
      <t xml:space="preserve">CY2026 HBM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模型同口徑，唯讀）；顆數：百萬顆（日曆年；與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模型同一份）；每顆價：</t>
    </r>
    <r>
      <rPr>
        <sz val="11"/>
        <color theme="1"/>
        <rFont val="Calibri"/>
        <family val="2"/>
        <charset val="1"/>
      </rPr>
      <t xml:space="preserve">US$K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</si>
  <si>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</si>
  <si>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</si>
  <si>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</si>
  <si>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</si>
  <si>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</si>
  <si>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b val="true"/>
        <sz val="11"/>
        <rFont val="Cambria"/>
        <family val="0"/>
        <charset val="1"/>
      </rPr>
      <t xml:space="preserve">1. AWS Trainium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；世芯營收口徑＝晶片與封裝轉售，基準不含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，乘 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</si>
  <si>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市場顆數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</si>
  <si>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</si>
  <si>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世芯份額：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</si>
  <si>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</si>
  <si>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世芯顆數：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</si>
  <si>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</si>
  <si>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每顆核心（不含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</si>
  <si>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2 </t>
    </r>
    <r>
      <rPr>
        <sz val="11"/>
        <color theme="1"/>
        <rFont val="Noto Sans CJK SC"/>
        <family val="2"/>
      </rPr>
      <t xml:space="preserve">奈米係數（情境 </t>
    </r>
    <r>
      <rPr>
        <sz val="11"/>
        <color theme="1"/>
        <rFont val="Calibri"/>
        <family val="2"/>
        <charset val="1"/>
      </rPr>
      <t xml:space="preserve">A 1.5</t>
    </r>
    <r>
      <rPr>
        <sz val="11"/>
        <color theme="1"/>
        <rFont val="Noto Sans CJK SC"/>
        <family val="2"/>
      </rPr>
      <t xml:space="preserve">）</t>
    </r>
  </si>
  <si>
    <t xml:space="preserve">每顆世芯營收（校準後）</t>
  </si>
  <si>
    <r>
      <rPr>
        <sz val="11"/>
        <color theme="1"/>
        <rFont val="Noto Sans CJK SC"/>
        <family val="2"/>
      </rPr>
      <t xml:space="preserve">（核心＋代購比例 </t>
    </r>
    <r>
      <rPr>
        <sz val="11"/>
        <color theme="1"/>
        <rFont val="Calibri"/>
        <family val="2"/>
        <charset val="1"/>
      </rPr>
      <t xml:space="preserve">× 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k_x</t>
    </r>
  </si>
  <si>
    <r>
      <rPr>
        <sz val="11"/>
        <color theme="1"/>
        <rFont val="Noto Sans CJK SC"/>
        <family val="2"/>
      </rPr>
      <t xml:space="preserve">世芯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量產營收（美元）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</si>
  <si>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份額加總檢查（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＋世芯 ≤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份額讀 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</si>
  <si>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＋世芯：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</si>
  <si>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其餘為 </t>
    </r>
    <r>
      <rPr>
        <sz val="11"/>
        <color theme="1"/>
        <rFont val="Calibri"/>
        <family val="2"/>
        <charset val="1"/>
      </rPr>
      <t xml:space="preserve">Annapurna </t>
    </r>
    <r>
      <rPr>
        <sz val="11"/>
        <color theme="1"/>
        <rFont val="Noto Sans CJK SC"/>
        <family val="2"/>
      </rPr>
      <t xml:space="preserve">自行設計（</t>
    </r>
    <r>
      <rPr>
        <sz val="11"/>
        <color theme="1"/>
        <rFont val="Calibri"/>
        <family val="2"/>
        <charset val="1"/>
      </rPr>
      <t xml:space="preserve">COT</t>
    </r>
    <r>
      <rPr>
        <sz val="11"/>
        <color theme="1"/>
        <rFont val="Noto Sans CJK SC"/>
        <family val="2"/>
      </rPr>
      <t xml:space="preserve">）或其他夥伴</t>
    </r>
  </si>
  <si>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＋世芯：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</si>
  <si>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＋世芯：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</si>
  <si>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世芯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份額上限（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</si>
  <si>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頁份額高值受此上限限制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</si>
  <si>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已發生的實績、當季指引與公司全年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奈米說法；不用共識、不用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起的目標）</t>
    </r>
  </si>
  <si>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</si>
  <si>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3 </t>
    </r>
    <r>
      <rPr>
        <sz val="11"/>
        <color theme="1"/>
        <rFont val="Noto Sans CJK SC"/>
        <family val="2"/>
      </rPr>
      <t xml:space="preserve">奈米營收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未校準由下而上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</si>
  <si>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殘差）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</si>
  <si>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</t>
    </r>
  </si>
  <si>
    <r>
      <rPr>
        <sz val="11"/>
        <color theme="1"/>
        <rFont val="Calibri"/>
        <family val="2"/>
        <charset val="1"/>
      </rPr>
      <t xml:space="preserve">FY2026 3 </t>
    </r>
    <r>
      <rPr>
        <sz val="11"/>
        <color theme="1"/>
        <rFont val="Noto Sans CJK SC"/>
        <family val="2"/>
      </rPr>
      <t xml:space="preserve">奈米營收（公司）</t>
    </r>
  </si>
  <si>
    <r>
      <rPr>
        <b val="true"/>
        <sz val="11"/>
        <rFont val="Noto Sans CJK SC"/>
        <family val="2"/>
      </rPr>
      <t xml:space="preserve">讀法：世芯每顆營收只有 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模組價值的一部分（</t>
    </r>
    <r>
      <rPr>
        <b val="true"/>
        <sz val="11"/>
        <rFont val="Cambria"/>
        <family val="0"/>
        <charset val="1"/>
      </rPr>
      <t xml:space="preserve">k_x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0.4</t>
    </r>
    <r>
      <rPr>
        <b val="true"/>
        <sz val="11"/>
        <rFont val="Noto Sans CJK SC"/>
        <family val="2"/>
      </rPr>
      <t xml:space="preserve">），顆數與份額決定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規模；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奈米換代，每顆營收係數與份額是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情境的主要差異。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</si>
  <si>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世芯</t>
    </r>
    <r>
      <rPr>
        <sz val="11"/>
        <color theme="1"/>
        <rFont val="Calibri"/>
        <family val="2"/>
        <charset val="1"/>
      </rPr>
      <t xml:space="preserve">-KY </t>
    </r>
    <r>
      <rPr>
        <sz val="11"/>
        <color theme="1"/>
        <rFont val="Noto Sans CJK SC"/>
        <family val="2"/>
      </rPr>
      <t xml:space="preserve">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為收斂法。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</si>
  <si>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</si>
  <si>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</si>
  <si>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</si>
  <si>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</si>
  <si>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</si>
  <si>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</si>
  <si>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</si>
  <si>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</si>
  <si>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</si>
  <si>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</si>
  <si>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</si>
  <si>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Trainium </t>
    </r>
    <r>
      <rPr>
        <sz val="11"/>
        <color theme="1"/>
        <rFont val="Noto Sans CJK SC"/>
        <family val="2"/>
      </rPr>
      <t xml:space="preserve">量產</t>
    </r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</si>
  <si>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</si>
  <si>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</si>
  <si>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</si>
  <si>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</si>
  <si>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</si>
  <si>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</si>
  <si>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</si>
  <si>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</si>
  <si>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</si>
  <si>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由下而上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</si>
  <si>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）；世芯 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奈米每顆營收 </t>
    </r>
    <r>
      <rPr>
        <b val="true"/>
        <sz val="11"/>
        <rFont val="Cambria"/>
        <family val="0"/>
        <charset val="1"/>
      </rPr>
      <t xml:space="preserve">×1.5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+1pt</t>
    </r>
    <r>
      <rPr>
        <b val="true"/>
        <sz val="11"/>
        <rFont val="Noto Sans CJK SC"/>
        <family val="2"/>
      </rPr>
      <t xml:space="preserve">；其他營收 </t>
    </r>
    <r>
      <rPr>
        <b val="true"/>
        <sz val="11"/>
        <rFont val="Cambria"/>
        <family val="0"/>
        <charset val="1"/>
      </rPr>
      <t xml:space="preserve">+15%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+12%</t>
    </r>
  </si>
  <si>
    <r>
      <rPr>
        <b val="true"/>
        <sz val="11"/>
        <rFont val="Cambria"/>
        <family val="0"/>
        <charset val="1"/>
      </rPr>
      <t xml:space="preserve">A. Trainium </t>
    </r>
    <r>
      <rPr>
        <b val="true"/>
        <sz val="11"/>
        <rFont val="Noto Sans CJK SC"/>
        <family val="2"/>
      </rPr>
      <t xml:space="preserve">量產（由下而上；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</si>
  <si>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市場顆數（含情境係數）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</si>
  <si>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</si>
  <si>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</si>
  <si>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每顆核心（不含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2 </t>
    </r>
    <r>
      <rPr>
        <sz val="11"/>
        <color theme="1"/>
        <rFont val="Noto Sans CJK SC"/>
        <family val="2"/>
      </rPr>
      <t xml:space="preserve">奈米係數）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</si>
  <si>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</t>
    </r>
  </si>
  <si>
    <r>
      <rPr>
        <sz val="11"/>
        <color theme="1"/>
        <rFont val="Noto Sans CJK SC"/>
        <family val="2"/>
      </rPr>
      <t xml:space="preserve">每顆世芯營收（核心＋代購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</si>
  <si>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核心 ＋ 代購比例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金額；基準代購比例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</si>
  <si>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量產營收（未校準）</t>
    </r>
  </si>
  <si>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</si>
  <si>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：以公司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奈米超過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億美元」校準；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起沿用。</t>
    </r>
    <r>
      <rPr>
        <sz val="11"/>
        <color theme="1"/>
        <rFont val="Calibri"/>
        <family val="2"/>
        <charset val="1"/>
      </rPr>
      <t xml:space="preserve">k_x &lt; 1</t>
    </r>
    <r>
      <rPr>
        <sz val="11"/>
        <color theme="1"/>
        <rFont val="Noto Sans CJK SC"/>
        <family val="2"/>
      </rPr>
      <t xml:space="preserve">＝世芯營收只含晶片與封裝轉售，低於模組價值；也含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個月量產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</si>
  <si>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量產營收（美元）</t>
    </r>
  </si>
  <si>
    <t xml:space="preserve">匯率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</si>
  <si>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量產營收</t>
    </r>
  </si>
  <si>
    <r>
      <rPr>
        <sz val="11"/>
        <color theme="1"/>
        <rFont val="Noto Sans CJK SC"/>
        <family val="2"/>
      </rPr>
      <t xml:space="preserve">  其中代購 </t>
    </r>
    <r>
      <rPr>
        <sz val="11"/>
        <color theme="1"/>
        <rFont val="Calibri"/>
        <family val="2"/>
        <charset val="1"/>
      </rPr>
      <t xml:space="preserve">HBM</t>
    </r>
  </si>
  <si>
    <t xml:space="preserve">  其中晶片與封裝轉售＋服務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</si>
  <si>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其他營收（</t>
    </r>
    <r>
      <rPr>
        <b val="true"/>
        <sz val="11"/>
        <rFont val="Cambria"/>
        <family val="0"/>
        <charset val="1"/>
      </rPr>
      <t xml:space="preserve">NRE</t>
    </r>
    <r>
      <rPr>
        <b val="true"/>
        <sz val="11"/>
        <rFont val="Noto Sans CJK SC"/>
        <family val="2"/>
      </rPr>
      <t xml:space="preserve">＋非 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量產；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起簡化成長率）</t>
    </r>
  </si>
  <si>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</si>
  <si>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</si>
  <si>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</si>
  <si>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Trainium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</si>
  <si>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營收（對照公司 </t>
    </r>
    <r>
      <rPr>
        <sz val="11"/>
        <color theme="1"/>
        <rFont val="Calibri"/>
        <family val="2"/>
        <charset val="1"/>
      </rPr>
      <t xml:space="preserve">NRE 10–20%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</si>
  <si>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毛利與損益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</si>
  <si>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 ＝（</t>
    </r>
    <r>
      <rPr>
        <sz val="11"/>
        <color theme="1"/>
        <rFont val="Calibri"/>
        <family val="2"/>
        <charset val="1"/>
      </rPr>
      <t xml:space="preserve">m_trn</t>
    </r>
    <r>
      <rPr>
        <sz val="11"/>
        <color theme="1"/>
        <rFont val="Noto Sans CJK SC"/>
        <family val="2"/>
      </rPr>
      <t xml:space="preserve">＋情境調整）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晶片 ＋ </t>
    </r>
    <r>
      <rPr>
        <sz val="11"/>
        <color theme="1"/>
        <rFont val="Calibri"/>
        <family val="2"/>
        <charset val="1"/>
      </rPr>
      <t xml:space="preserve">m_hbm × </t>
    </r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</si>
  <si>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殘差，之後沿用＋調整）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</si>
  <si>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</t>
    </r>
  </si>
  <si>
    <t xml:space="preserve">加權股數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</si>
  <si>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起以 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後股數 </t>
    </r>
    <r>
      <rPr>
        <sz val="11"/>
        <color theme="1"/>
        <rFont val="Calibri"/>
        <family val="2"/>
        <charset val="1"/>
      </rPr>
      <t xml:space="preserve">86.21M </t>
    </r>
    <r>
      <rPr>
        <sz val="11"/>
        <color theme="1"/>
        <rFont val="Noto Sans CJK SC"/>
        <family val="2"/>
      </rPr>
      <t xml:space="preserve">為基礎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</si>
  <si>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</si>
  <si>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</si>
  <si>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）；份額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45%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奈米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；其他營收 </t>
    </r>
    <r>
      <rPr>
        <b val="true"/>
        <sz val="11"/>
        <rFont val="Cambria"/>
        <family val="0"/>
        <charset val="1"/>
      </rPr>
      <t xml:space="preserve">+5%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</si>
  <si>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）；份額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奈米 </t>
    </r>
    <r>
      <rPr>
        <b val="true"/>
        <sz val="11"/>
        <rFont val="Cambria"/>
        <family val="0"/>
        <charset val="1"/>
      </rPr>
      <t xml:space="preserve">×1.0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毛利率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；其他營收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／−</t>
    </r>
    <r>
      <rPr>
        <b val="true"/>
        <sz val="11"/>
        <rFont val="Cambria"/>
        <family val="0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</si>
  <si>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</si>
  <si>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循環位置：世芯不是設備股，不套設備市場見頂年；以本模型營收最高的會計年度為見頂年（比照聯發科、</t>
    </r>
    <r>
      <rPr>
        <sz val="11"/>
        <color theme="1"/>
        <rFont val="Calibri"/>
        <family val="2"/>
        <charset val="1"/>
      </rPr>
      <t xml:space="preserve">Amkor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</si>
  <si>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</si>
  <si>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</si>
  <si>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</si>
  <si>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</si>
  <si>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</si>
  <si>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</si>
  <si>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</si>
  <si>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</si>
  <si>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</si>
  <si>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</si>
  <si>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</si>
  <si>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</si>
  <si>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</si>
  <si>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</si>
  <si>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</si>
  <si>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</si>
  <si>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</si>
  <si>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</si>
  <si>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</si>
  <si>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</si>
  <si>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</si>
  <si>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</si>
  <si>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</si>
  <si>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</si>
  <si>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</si>
  <si>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</si>
  <si>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</si>
  <si>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創意（</t>
    </r>
    <r>
      <rPr>
        <sz val="11"/>
        <color theme="1"/>
        <rFont val="Calibri"/>
        <family val="2"/>
        <charset val="1"/>
      </rPr>
      <t xml:space="preserve">GUC</t>
    </r>
    <r>
      <rPr>
        <sz val="11"/>
        <color theme="1"/>
        <rFont val="Noto Sans CJK SC"/>
        <family val="2"/>
      </rPr>
      <t xml:space="preserve">）</t>
    </r>
  </si>
  <si>
    <t xml:space="preserve">3443.TW</t>
  </si>
  <si>
    <t xml:space="preserve">2026-10-08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</si>
  <si>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</si>
  <si>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智原（</t>
    </r>
    <r>
      <rPr>
        <sz val="11"/>
        <color theme="1"/>
        <rFont val="Calibri"/>
        <family val="2"/>
        <charset val="1"/>
      </rPr>
      <t xml:space="preserve">Faraday</t>
    </r>
    <r>
      <rPr>
        <sz val="11"/>
        <color theme="1"/>
        <rFont val="Noto Sans CJK SC"/>
        <family val="2"/>
      </rPr>
      <t xml:space="preserve">）</t>
    </r>
  </si>
  <si>
    <t xml:space="preserve">3035.TW</t>
  </si>
  <si>
    <t xml:space="preserve">2026-09-04</t>
  </si>
  <si>
    <r>
      <rPr>
        <sz val="11"/>
        <color theme="1"/>
        <rFont val="Noto Sans CJK SC"/>
        <family val="2"/>
      </rPr>
      <t xml:space="preserve">聯發科（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）</t>
    </r>
  </si>
  <si>
    <t xml:space="preserve">2454.TW</t>
  </si>
  <si>
    <t xml:space="preserve">2026-10-22</t>
  </si>
  <si>
    <r>
      <rPr>
        <sz val="11"/>
        <color theme="1"/>
        <rFont val="Noto Sans CJK SC"/>
        <family val="2"/>
      </rPr>
      <t xml:space="preserve">博通（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</t>
    </r>
  </si>
  <si>
    <t xml:space="preserve">AVGO</t>
  </si>
  <si>
    <t xml:space="preserve">2026-10-23</t>
  </si>
  <si>
    <r>
      <rPr>
        <sz val="11"/>
        <color theme="1"/>
        <rFont val="Noto Sans CJK SC"/>
        <family val="2"/>
      </rPr>
      <t xml:space="preserve">邁威爾（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）</t>
    </r>
  </si>
  <si>
    <t xml:space="preserve">MRVL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</si>
  <si>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</si>
  <si>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台灣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設計服務（創意、智原）＋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對手（聯發科、博通、邁威爾）；不含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股公司，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</si>
  <si>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</si>
  <si>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</si>
  <si>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</si>
  <si>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</si>
  <si>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</si>
  <si>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</si>
  <si>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</si>
  <si>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</si>
  <si>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</si>
  <si>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</si>
  <si>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5,803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</si>
  <si>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</si>
  <si>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</si>
  <si>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</si>
  <si>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</si>
  <si>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</si>
  <si>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</si>
  <si>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</si>
  <si>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</si>
  <si>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</si>
  <si>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節兩來源平均）的分位；低於十年最小值記為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</si>
  <si>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</si>
  <si>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明確期＋永續；世芯為輕資產設計服務公司（量產為轉售，資本支出小），不改用淨利＋折舊－資本支出；情境價值負值取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：創意、智原、聯發科、博通、邁威爾前瞻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中位數；創意 </t>
    </r>
    <r>
      <rPr>
        <sz val="11"/>
        <color theme="1"/>
        <rFont val="Calibri"/>
        <family val="2"/>
        <charset val="1"/>
      </rPr>
      <t xml:space="preserve">103x </t>
    </r>
    <r>
      <rPr>
        <sz val="11"/>
        <color theme="1"/>
        <rFont val="Noto Sans CJK SC"/>
        <family val="2"/>
      </rPr>
      <t xml:space="preserve">為極端值，中位數不受影響；世芯本身前瞻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17x</t>
    </r>
    <r>
      <rPr>
        <sz val="11"/>
        <color theme="1"/>
        <rFont val="Noto Sans CJK SC"/>
        <family val="2"/>
      </rPr>
      <t xml:space="preserve">，遠低於同業，反映單一客戶集中與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低毛利，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偏向高估。主要偏誤：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顆數受市場層 </t>
    </r>
    <r>
      <rPr>
        <sz val="11"/>
        <color theme="1"/>
        <rFont val="Calibri"/>
        <family val="2"/>
        <charset val="1"/>
      </rPr>
      <t xml:space="preserve">CY2027 2.5 </t>
    </r>
    <r>
      <rPr>
        <sz val="11"/>
        <color theme="1"/>
        <rFont val="Noto Sans CJK SC"/>
        <family val="2"/>
      </rPr>
      <t xml:space="preserve">百萬顆限制（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2.8 </t>
    </r>
    <r>
      <rPr>
        <sz val="11"/>
        <color theme="1"/>
        <rFont val="Noto Sans CJK SC"/>
        <family val="2"/>
      </rPr>
      <t xml:space="preserve">百萬顆），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起只用收斂法，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偏低估；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COT </t>
    </r>
    <r>
      <rPr>
        <sz val="11"/>
        <color theme="1"/>
        <rFont val="Noto Sans CJK SC"/>
        <family val="2"/>
      </rPr>
      <t xml:space="preserve">模式若使每顆營收下降，則偏高估。情境對應：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、份額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、份額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</si>
  <si>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</si>
  <si>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</si>
  <si>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</si>
  <si>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</si>
  <si>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</si>
  <si>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</si>
  <si>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</si>
  <si>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</si>
  <si>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三情境差在世芯份額、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毛利率與其他營收成長（顆數情境係數從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</si>
  <si>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</si>
  <si>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</si>
  <si>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</si>
  <si>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</si>
  <si>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</si>
  <si>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</si>
  <si>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</si>
  <si>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</si>
  <si>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</si>
  <si>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</si>
  <si>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</si>
  <si>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</si>
  <si>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</si>
  <si>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</si>
  <si>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</si>
  <si>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</si>
  <si>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</si>
  <si>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</si>
  <si>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</si>
  <si>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</si>
  <si>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</si>
  <si>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</si>
  <si>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</si>
  <si>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</si>
  <si>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</si>
  <si>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年底；兩來源平均，分位排名用；負值剔除）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</si>
  <si>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</si>
  <si>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</si>
  <si>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</si>
  <si>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自算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</si>
  <si>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</si>
  <si>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</si>
  <si>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</si>
  <si>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</si>
  <si>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</si>
  <si>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</si>
  <si>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</si>
  <si>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</si>
  <si>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</si>
  <si>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</si>
  <si>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</si>
  <si>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</si>
  <si>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48.36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30.84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73.13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41.01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50.79</t>
    </r>
    <r>
      <rPr>
        <sz val="11"/>
        <color theme="1"/>
        <rFont val="Noto Sans CJK SC"/>
        <family val="2"/>
      </rPr>
      <t xml:space="preserve">）與自算相近，只作核對。十年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多為 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比重高、營收規模小的時期（中位數約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倍），世芯轉為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量產為主後，倍數未必適用。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</si>
  <si>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</si>
  <si>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</si>
  <si>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HiStock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</si>
  <si>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</si>
  <si>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為 −</t>
    </r>
    <r>
      <rPr>
        <sz val="11"/>
        <color theme="1"/>
        <rFont val="Calibri"/>
        <family val="2"/>
        <charset val="1"/>
      </rPr>
      <t xml:space="preserve">8.41 </t>
    </r>
    <r>
      <rPr>
        <sz val="11"/>
        <color theme="1"/>
        <rFont val="Noto Sans CJK SC"/>
        <family val="2"/>
      </rPr>
      <t xml:space="preserve">負值，剔除）；自算（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HiStock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HiStock 2018–2025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2016–2017 EPS </t>
    </r>
    <r>
      <rPr>
        <sz val="11"/>
        <color theme="1"/>
        <rFont val="Noto Sans CJK SC"/>
        <family val="2"/>
      </rPr>
      <t xml:space="preserve">未找到）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</si>
  <si>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</si>
  <si>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</si>
  <si>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</si>
  <si>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</si>
  <si>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</si>
  <si>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</si>
  <si>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</si>
  <si>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</si>
  <si>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</si>
  <si>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</si>
  <si>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</si>
  <si>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</si>
  <si>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</si>
  <si>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</si>
  <si>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</si>
  <si>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</si>
  <si>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</si>
  <si>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</si>
  <si>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</si>
  <si>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</si>
  <si>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</si>
  <si>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</si>
  <si>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</si>
  <si>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</si>
  <si>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公司說法、共識、券商。只作事後對照，不為對上數字而調參數。券商 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估計與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顆數為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</si>
  <si>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</si>
  <si>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</si>
  <si>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</si>
  <si>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</si>
  <si>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</si>
  <si>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</si>
  <si>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</si>
  <si>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</si>
  <si>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公司說法與共識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</si>
  <si>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</si>
  <si>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位；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</si>
  <si>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共識資料日在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營收公布前（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）；區間 </t>
    </r>
    <r>
      <rPr>
        <sz val="11"/>
        <color theme="1"/>
        <rFont val="Calibri"/>
        <family val="2"/>
        <charset val="1"/>
      </rPr>
      <t xml:space="preserve">35.4–86.1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</si>
  <si>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</si>
  <si>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</si>
  <si>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共識區間 </t>
    </r>
    <r>
      <rPr>
        <sz val="11"/>
        <color theme="1"/>
        <rFont val="Calibri"/>
        <family val="2"/>
        <charset val="1"/>
      </rPr>
      <t xml:space="preserve">103.06–163.01</t>
    </r>
    <r>
      <rPr>
        <sz val="11"/>
        <color theme="1"/>
        <rFont val="Noto Sans CJK SC"/>
        <family val="2"/>
      </rPr>
      <t xml:space="preserve">；美系外資甲 </t>
    </r>
    <r>
      <rPr>
        <sz val="11"/>
        <color theme="1"/>
        <rFont val="Calibri"/>
        <family val="2"/>
        <charset val="1"/>
      </rPr>
      <t xml:space="preserve">132.94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</si>
  <si>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公司低至中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</si>
  <si>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</si>
  <si>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FY2026 Trainium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美系外資甲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</si>
  <si>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2026-08-17</t>
    </r>
  </si>
  <si>
    <r>
      <rPr>
        <sz val="11"/>
        <color theme="1"/>
        <rFont val="Noto Sans CJK SC"/>
        <family val="2"/>
      </rPr>
      <t xml:space="preserve">模型取公司「超過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億美元」</t>
    </r>
  </si>
  <si>
    <r>
      <rPr>
        <b val="true"/>
        <sz val="11"/>
        <rFont val="Cambria"/>
        <family val="0"/>
        <charset val="1"/>
      </rPr>
      <t xml:space="preserve">B. Trainium vs </t>
    </r>
    <r>
      <rPr>
        <b val="true"/>
        <sz val="11"/>
        <rFont val="Noto Sans CJK SC"/>
        <family val="2"/>
      </rPr>
      <t xml:space="preserve">賣方（市場層顆數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份額口徑）</t>
    </r>
  </si>
  <si>
    <r>
      <rPr>
        <sz val="11"/>
        <color theme="1"/>
        <rFont val="Calibri"/>
        <family val="2"/>
        <charset val="1"/>
      </rPr>
      <t xml:space="preserve">FY2027 Trainium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美系外資甲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</si>
  <si>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FY2027 Trainium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美系外資乙 </t>
    </r>
    <r>
      <rPr>
        <sz val="11"/>
        <color theme="1"/>
        <rFont val="Calibri"/>
        <family val="2"/>
        <charset val="1"/>
      </rPr>
      <t xml:space="preserve">AI ASIC 38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</si>
  <si>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美系外資乙口徑含其他 </t>
    </r>
    <r>
      <rPr>
        <sz val="11"/>
        <color theme="1"/>
        <rFont val="Calibri"/>
        <family val="2"/>
        <charset val="1"/>
      </rPr>
      <t xml:space="preserve">AI ASIC</t>
    </r>
  </si>
  <si>
    <r>
      <rPr>
        <sz val="11"/>
        <color theme="1"/>
        <rFont val="Calibri"/>
        <family val="2"/>
        <charset val="1"/>
      </rPr>
      <t xml:space="preserve">FY2028 Trainium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美系外資 </t>
    </r>
    <r>
      <rPr>
        <sz val="11"/>
        <color theme="1"/>
        <rFont val="Calibri"/>
        <family val="2"/>
        <charset val="1"/>
      </rPr>
      <t xml:space="preserve">Trainium 4 40 </t>
    </r>
    <r>
      <rPr>
        <sz val="11"/>
        <color theme="1"/>
        <rFont val="Noto Sans CJK SC"/>
        <family val="2"/>
      </rPr>
      <t xml:space="preserve">億美元</t>
    </r>
  </si>
  <si>
    <t xml:space="preserve">旺得富、時報資訊</t>
  </si>
  <si>
    <r>
      <rPr>
        <sz val="11"/>
        <color theme="1"/>
        <rFont val="Noto Sans CJK SC"/>
        <family val="2"/>
      </rPr>
      <t xml:space="preserve">對照值不含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奈米尾量；美系外資丙情境 </t>
    </r>
    <r>
      <rPr>
        <sz val="11"/>
        <color theme="1"/>
        <rFont val="Calibri"/>
        <family val="2"/>
        <charset val="1"/>
      </rPr>
      <t xml:space="preserve">90–120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</si>
  <si>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UBS Trainium 3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</si>
  <si>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Noto Sans CJK SC"/>
        <family val="2"/>
      </rPr>
      <t xml:space="preserve">理財周刊轉述 </t>
    </r>
    <r>
      <rPr>
        <sz val="11"/>
        <color theme="1"/>
        <rFont val="Calibri"/>
        <family val="2"/>
        <charset val="1"/>
      </rPr>
      <t xml:space="preserve">UBS</t>
    </r>
  </si>
  <si>
    <r>
      <rPr>
        <sz val="11"/>
        <color theme="1"/>
        <rFont val="Noto Sans CJK SC"/>
        <family val="2"/>
      </rPr>
      <t xml:space="preserve">市場層含全部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世代仍低於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Trainium 3</t>
    </r>
    <r>
      <rPr>
        <sz val="11"/>
        <color theme="1"/>
        <rFont val="Noto Sans CJK SC"/>
        <family val="2"/>
      </rPr>
      <t xml:space="preserve">；修訂應由市場層提出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</si>
  <si>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世芯顆數 </t>
    </r>
    <r>
      <rPr>
        <sz val="11"/>
        <color theme="1"/>
        <rFont val="Calibri"/>
        <family val="2"/>
        <charset val="1"/>
      </rPr>
      <t xml:space="preserve">÷ UBS Trainium 3 </t>
    </r>
    <r>
      <rPr>
        <sz val="11"/>
        <color theme="1"/>
        <rFont val="Noto Sans CJK SC"/>
        <family val="2"/>
      </rPr>
      <t xml:space="preserve">出貨</t>
    </r>
  </si>
  <si>
    <t xml:space="preserve">推導</t>
  </si>
  <si>
    <r>
      <rPr>
        <sz val="11"/>
        <color theme="1"/>
        <rFont val="Noto Sans CJK SC"/>
        <family val="2"/>
      </rPr>
      <t xml:space="preserve">世芯為 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主供應商時，此值應接近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</si>
  <si>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每顆世芯營收（校準後）</t>
    </r>
  </si>
  <si>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k_x × </t>
    </r>
    <r>
      <rPr>
        <sz val="11"/>
        <color theme="1"/>
        <rFont val="Noto Sans CJK SC"/>
        <family val="2"/>
      </rPr>
      <t xml:space="preserve">核心</t>
    </r>
  </si>
  <si>
    <r>
      <rPr>
        <b val="true"/>
        <sz val="11"/>
        <rFont val="Cambria"/>
        <family val="0"/>
        <charset val="1"/>
      </rPr>
      <t xml:space="preserve">C. EPS </t>
    </r>
    <r>
      <rPr>
        <b val="true"/>
        <sz val="11"/>
        <rFont val="Noto Sans CJK SC"/>
        <family val="2"/>
      </rPr>
      <t xml:space="preserve">與營收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券商（校準未使用）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</si>
  <si>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美系外資甲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</si>
  <si>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理財周刊作者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</si>
  <si>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2026-09-06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</si>
  <si>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理財周刊作者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</si>
  <si>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模型（情境加權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</si>
  <si>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推得</t>
    </r>
  </si>
  <si>
    <t xml:space="preserve">三欄同值（情境加權）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</si>
  <si>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校準與份額</t>
    </r>
  </si>
  <si>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（校準係數）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</si>
  <si>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3 </t>
    </r>
    <r>
      <rPr>
        <sz val="11"/>
        <color theme="1"/>
        <rFont val="Noto Sans CJK SC"/>
        <family val="2"/>
      </rPr>
      <t xml:space="preserve">奈米營收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</si>
  <si>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&lt; 1</t>
    </r>
    <r>
      <rPr>
        <sz val="11"/>
        <color theme="1"/>
        <rFont val="Noto Sans CJK SC"/>
        <family val="2"/>
      </rPr>
      <t xml:space="preserve">：世芯營收為晶片與封裝轉售，不含模組其他價值；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只有約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個月量產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</si>
  <si>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毛利殘差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</si>
  <si>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50.2%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比重高）</t>
    </r>
  </si>
  <si>
    <r>
      <rPr>
        <sz val="11"/>
        <color theme="1"/>
        <rFont val="Calibri"/>
        <family val="2"/>
        <charset val="1"/>
      </rPr>
      <t xml:space="preserve">CY2028 Marvell</t>
    </r>
    <r>
      <rPr>
        <sz val="11"/>
        <color theme="1"/>
        <rFont val="Noto Sans CJK SC"/>
        <family val="2"/>
      </rPr>
      <t xml:space="preserve">＋世芯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</si>
  <si>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</si>
  <si>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</si>
  <si>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其他營收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NRE 10–20%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</si>
  <si>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其他營收含非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量產，應高於 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比重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</si>
  <si>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</si>
  <si>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，尚未建立）：上線後以世芯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加速器比例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</si>
  <si>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</si>
  <si>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與其他營收毛利率在每個案例內重算）：對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</si>
  <si>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</si>
  <si>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</si>
  <si>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</si>
  <si>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</si>
  <si>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</si>
  <si>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</si>
  <si>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</si>
  <si>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</si>
  <si>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</si>
  <si>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</si>
  <si>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</si>
  <si>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</si>
  <si>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起世芯占 </t>
    </r>
    <r>
      <rPr>
        <sz val="11"/>
        <color theme="1"/>
        <rFont val="Calibri"/>
        <family val="2"/>
        <charset val="1"/>
      </rPr>
      <t xml:space="preserve">Trainium −10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</si>
  <si>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份額取高值</t>
    </r>
  </si>
  <si>
    <r>
      <rPr>
        <sz val="11"/>
        <color theme="1"/>
        <rFont val="Calibri"/>
        <family val="2"/>
        <charset val="1"/>
      </rPr>
      <t xml:space="preserve">CY2027 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（上限 </t>
    </r>
    <r>
      <rPr>
        <sz val="11"/>
        <color theme="1"/>
        <rFont val="Calibri"/>
        <family val="2"/>
        <charset val="1"/>
      </rPr>
      <t xml:space="preserve">1 − Marvell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</si>
  <si>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</si>
  <si>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起世芯顆數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</si>
  <si>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</si>
  <si>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（市場層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顆數低於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估計）</t>
    </r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</si>
  <si>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奈米每顆營收 </t>
    </r>
    <r>
      <rPr>
        <sz val="11"/>
        <color theme="1"/>
        <rFont val="Calibri"/>
        <family val="2"/>
        <charset val="1"/>
      </rPr>
      <t xml:space="preserve">×2.5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</si>
  <si>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起（美系外資：</t>
    </r>
    <r>
      <rPr>
        <sz val="11"/>
        <color theme="1"/>
        <rFont val="Calibri"/>
        <family val="2"/>
        <charset val="1"/>
      </rPr>
      <t xml:space="preserve">Trainium 4 </t>
    </r>
    <r>
      <rPr>
        <sz val="11"/>
        <color theme="1"/>
        <rFont val="Noto Sans CJK SC"/>
        <family val="2"/>
      </rPr>
      <t xml:space="preserve">每顆超過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萬美元）</t>
    </r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</si>
  <si>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奈米每顆營收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</si>
  <si>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COT </t>
    </r>
    <r>
      <rPr>
        <sz val="11"/>
        <color theme="1"/>
        <rFont val="Noto Sans CJK SC"/>
        <family val="2"/>
      </rPr>
      <t xml:space="preserve">模式、客戶自購晶圓）</t>
    </r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</si>
  <si>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0.6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</si>
  <si>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重算）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</si>
  <si>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</si>
  <si>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（＋情境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調整 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</si>
  <si>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16%</t>
    </r>
  </si>
  <si>
    <r>
      <rPr>
        <sz val="11"/>
        <color theme="1"/>
        <rFont val="Noto Sans CJK SC"/>
        <family val="2"/>
      </rPr>
      <t xml:space="preserve">其他營收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</si>
  <si>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FY2027 −10%</t>
    </r>
    <r>
      <rPr>
        <sz val="11"/>
        <color theme="1"/>
        <rFont val="Noto Sans CJK SC"/>
        <family val="2"/>
      </rPr>
      <t xml:space="preserve">、之後 −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</si>
  <si>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其他營收毛利率 −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</si>
  <si>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</si>
  <si>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</si>
  <si>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</si>
  <si>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</si>
  <si>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</si>
  <si>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</si>
  <si>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美元營收換算）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</si>
  <si>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</si>
  <si>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</si>
  <si>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營業外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</si>
  <si>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1.6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</si>
  <si>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</si>
  <si>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；其他營收 </t>
    </r>
    <r>
      <rPr>
        <sz val="11"/>
        <color theme="1"/>
        <rFont val="Calibri"/>
        <family val="2"/>
        <charset val="1"/>
      </rPr>
      <t xml:space="preserve">+5%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</si>
  <si>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</si>
  <si>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；份額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 −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；其他營收 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</si>
  <si>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三情境差在世芯份額、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毛利率與其他營收；顆數情境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最大的單一變數是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奈米每顆營收係數（價格遠高於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vs COT </t>
    </r>
    <r>
      <rPr>
        <sz val="11"/>
        <color theme="1"/>
        <rFont val="Noto Sans CJK SC"/>
        <family val="2"/>
      </rPr>
      <t xml:space="preserve">模式），其次是份額與顆數。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</si>
  <si>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</si>
  <si>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</si>
  <si>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</si>
  <si>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</si>
  <si>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</si>
  <si>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</si>
  <si>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</si>
  <si>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</si>
  <si>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</si>
  <si>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</si>
  <si>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</si>
  <si>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</si>
  <si>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</si>
  <si>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</si>
  <si>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</si>
  <si>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</si>
  <si>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</si>
  <si>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份額取高值（情境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</si>
  <si>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</si>
  <si>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案例區塊：顆數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</si>
  <si>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奈米每顆營收 </t>
    </r>
    <r>
      <rPr>
        <b val="true"/>
        <sz val="11"/>
        <rFont val="Cambria"/>
        <family val="0"/>
        <charset val="1"/>
      </rPr>
      <t xml:space="preserve">×2.5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</si>
  <si>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奈米每顆營收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</si>
  <si>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案例區塊：代購 </t>
    </r>
    <r>
      <rPr>
        <b val="true"/>
        <sz val="11"/>
        <rFont val="Cambria"/>
        <family val="0"/>
        <charset val="1"/>
      </rPr>
      <t xml:space="preserve">HBM 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</si>
  <si>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</si>
  <si>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</si>
  <si>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案例區塊：其他營收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</si>
  <si>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案例區塊：其他營收毛利率 −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</si>
  <si>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</si>
  <si>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</si>
  <si>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</si>
  <si>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</si>
  <si>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</si>
  <si>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來源（公司原文＝世芯新聞稿；法說內容多為媒體與逐字稿轉述；券商、資料商、媒體皆為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</si>
  <si>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財報新聞稿（美元營收、毛利、稅前、淨利；製程、應用、地區占比）</t>
    </r>
  </si>
  <si>
    <t xml:space="preserve">https://www.alchip.com/en/Newsroom/Alchip_2026_Q2_financial_results</t>
  </si>
  <si>
    <r>
      <rPr>
        <sz val="11"/>
        <color theme="1"/>
        <rFont val="Noto Sans CJK SC"/>
        <family val="2"/>
      </rPr>
      <t xml:space="preserve">媒體：工商時報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新台幣損益：營收、毛利、營業利益、稅前、淨利、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</si>
  <si>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https://www.ctee.com.tw/news/20260814701424-430201</t>
  </si>
  <si>
    <r>
      <rPr>
        <sz val="11"/>
        <color theme="1"/>
        <rFont val="Noto Sans CJK SC"/>
        <family val="2"/>
      </rPr>
      <t xml:space="preserve">逐字稿：</t>
    </r>
    <r>
      <rPr>
        <sz val="11"/>
        <color theme="1"/>
        <rFont val="Calibri"/>
        <family val="2"/>
        <charset val="1"/>
      </rPr>
      <t xml:space="preserve">Investing.com 2Q26 </t>
    </r>
    <r>
      <rPr>
        <sz val="11"/>
        <color theme="1"/>
        <rFont val="Noto Sans CJK SC"/>
        <family val="2"/>
      </rPr>
      <t xml:space="preserve">法說（毛利率指引、</t>
    </r>
    <r>
      <rPr>
        <sz val="11"/>
        <color theme="1"/>
        <rFont val="Calibri"/>
        <family val="2"/>
        <charset val="1"/>
      </rPr>
      <t xml:space="preserve">NRE 10–20%</t>
    </r>
    <r>
      <rPr>
        <sz val="11"/>
        <color theme="1"/>
        <rFont val="Noto Sans CJK SC"/>
        <family val="2"/>
      </rPr>
      <t xml:space="preserve">、營業費用、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</t>
    </r>
  </si>
  <si>
    <t xml:space="preserve">https://ca.investing.com/news/transcripts/earnings-call-transcript-alchip-q2-2026-tops-eps-view-as-ai-ramp-drives-growth-93CH-4800784</t>
  </si>
  <si>
    <r>
      <rPr>
        <sz val="11"/>
        <color theme="1"/>
        <rFont val="Noto Sans CJK SC"/>
        <family val="2"/>
      </rPr>
      <t xml:space="preserve">媒體：鉅亨網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奈米價量、</t>
    </r>
    <r>
      <rPr>
        <sz val="11"/>
        <color theme="1"/>
        <rFont val="Calibri"/>
        <family val="2"/>
        <charset val="1"/>
      </rPr>
      <t xml:space="preserve">COT </t>
    </r>
    <r>
      <rPr>
        <sz val="11"/>
        <color theme="1"/>
        <rFont val="Noto Sans CJK SC"/>
        <family val="2"/>
      </rPr>
      <t xml:space="preserve">模式、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奈米上修空間）</t>
    </r>
  </si>
  <si>
    <t xml:space="preserve">https://news.cnyes.com/news/id/6577160</t>
  </si>
  <si>
    <r>
      <rPr>
        <sz val="11"/>
        <color theme="1"/>
        <rFont val="Noto Sans CJK SC"/>
        <family val="2"/>
      </rPr>
      <t xml:space="preserve">二手：方格子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營收、應用、製程、地區）</t>
    </r>
  </si>
  <si>
    <t xml:space="preserve">https://vocus.cc/article/6a01c1ccfd89780001c384b6</t>
  </si>
  <si>
    <r>
      <rPr>
        <sz val="11"/>
        <color theme="1"/>
        <rFont val="Noto Sans CJK SC"/>
        <family val="2"/>
      </rPr>
      <t xml:space="preserve">二手：方格子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財報摘要（毛利率 </t>
    </r>
    <r>
      <rPr>
        <sz val="11"/>
        <color theme="1"/>
        <rFont val="Calibri"/>
        <family val="2"/>
        <charset val="1"/>
      </rPr>
      <t xml:space="preserve">50.2% → 34.8%</t>
    </r>
    <r>
      <rPr>
        <sz val="11"/>
        <color theme="1"/>
        <rFont val="Noto Sans CJK SC"/>
        <family val="2"/>
      </rPr>
      <t xml:space="preserve">、製程占比）</t>
    </r>
  </si>
  <si>
    <t xml:space="preserve">https://vocus.cc/article/6a805de6fd8978000134e926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</si>
  <si>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營收、毛利率、營業利益率、淨利、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</si>
  <si>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https://money.udn.com/money/amp/story/5607/9363922</t>
  </si>
  <si>
    <r>
      <rPr>
        <sz val="11"/>
        <color theme="1"/>
        <rFont val="Noto Sans CJK SC"/>
        <family val="2"/>
      </rPr>
      <t xml:space="preserve">媒體：科技新報（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</t>
    </r>
  </si>
  <si>
    <t xml:space="preserve">https://finance.technews.tw/2026/10/12/alchip-3661-202609-financial-report/</t>
  </si>
  <si>
    <r>
      <rPr>
        <sz val="11"/>
        <color theme="1"/>
        <rFont val="Noto Sans CJK SC"/>
        <family val="2"/>
      </rPr>
      <t xml:space="preserve">媒體：科技新報（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月營收）</t>
    </r>
  </si>
  <si>
    <t xml:space="preserve">https://finance.technews.tw/2025/10/13/alchip-3661-202509-financial-report/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</si>
  <si>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2026-07-07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掛牌）</t>
    </r>
  </si>
  <si>
    <t xml:space="preserve">https://money.udn.com/money/story/5607/9613262</t>
  </si>
  <si>
    <r>
      <rPr>
        <sz val="11"/>
        <color theme="1"/>
        <rFont val="Noto Sans CJK SC"/>
        <family val="2"/>
      </rPr>
      <t xml:space="preserve">券商轉述：時報資訊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（美系外資 </t>
    </r>
    <r>
      <rPr>
        <sz val="11"/>
        <color theme="1"/>
        <rFont val="Calibri"/>
        <family val="2"/>
        <charset val="1"/>
      </rPr>
      <t xml:space="preserve">5,088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4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萬顆、每顆超過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萬美元）</t>
    </r>
  </si>
  <si>
    <t xml:space="preserve">https://www.chinatimes.com/realtimenews/20260814001557-260410</t>
  </si>
  <si>
    <r>
      <rPr>
        <sz val="11"/>
        <color theme="1"/>
        <rFont val="Noto Sans CJK SC"/>
        <family val="2"/>
      </rPr>
      <t xml:space="preserve">券商轉述：旺得富 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（三家美系外資：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營收、目標價）</t>
    </r>
  </si>
  <si>
    <t xml:space="preserve">https://wantrich.chinatimes.com/news/20260817900143-420101</t>
  </si>
  <si>
    <r>
      <rPr>
        <sz val="11"/>
        <color theme="1"/>
        <rFont val="Noto Sans CJK SC"/>
        <family val="2"/>
      </rPr>
      <t xml:space="preserve">券商轉述：工商時報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（歐系外資 </t>
    </r>
    <r>
      <rPr>
        <sz val="11"/>
        <color theme="1"/>
        <rFont val="Calibri"/>
        <family val="2"/>
        <charset val="1"/>
      </rPr>
      <t xml:space="preserve">6,784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上修幅度）</t>
    </r>
  </si>
  <si>
    <t xml:space="preserve">https://www.ctee.com.tw/news/20260923700937-430201</t>
  </si>
  <si>
    <r>
      <rPr>
        <sz val="11"/>
        <color theme="1"/>
        <rFont val="Noto Sans CJK SC"/>
        <family val="2"/>
      </rPr>
      <t xml:space="preserve">媒體：理財周刊 </t>
    </r>
    <r>
      <rPr>
        <sz val="11"/>
        <color theme="1"/>
        <rFont val="Calibri"/>
        <family val="2"/>
        <charset val="1"/>
      </rPr>
      <t xml:space="preserve">2026-09-06</t>
    </r>
    <r>
      <rPr>
        <sz val="11"/>
        <color theme="1"/>
        <rFont val="Noto Sans CJK SC"/>
        <family val="2"/>
      </rPr>
      <t xml:space="preserve">（作者 </t>
    </r>
    <r>
      <rPr>
        <sz val="11"/>
        <color theme="1"/>
        <rFont val="Calibri"/>
        <family val="2"/>
        <charset val="1"/>
      </rPr>
      <t xml:space="preserve">FY2026–27 </t>
    </r>
    <r>
      <rPr>
        <sz val="11"/>
        <color theme="1"/>
        <rFont val="Noto Sans CJK SC"/>
        <family val="2"/>
      </rPr>
      <t xml:space="preserve">估計；轉述 </t>
    </r>
    <r>
      <rPr>
        <sz val="11"/>
        <color theme="1"/>
        <rFont val="Calibri"/>
        <family val="2"/>
        <charset val="1"/>
      </rPr>
      <t xml:space="preserve">UBS Trainium 3 </t>
    </r>
    <r>
      <rPr>
        <sz val="11"/>
        <color theme="1"/>
        <rFont val="Noto Sans CJK SC"/>
        <family val="2"/>
      </rPr>
      <t xml:space="preserve">出貨）</t>
    </r>
  </si>
  <si>
    <t xml:space="preserve">https://udn.com/news/story/6848/9732499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</si>
  <si>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、股數、近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月與前瞻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、共識目標價）</t>
    </r>
  </si>
  <si>
    <t xml:space="preserve">https://stockanalysis.com/quote/tpe/3661/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</si>
  <si>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共識）</t>
    </r>
  </si>
  <si>
    <t xml:space="preserve">https://stockanalysis.com/quote/tpe/3661/forecast/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</si>
  <si>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財報與比率頁（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</si>
  <si>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https://stockanalysis.com/quote/tpe/3661/financials/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https://stockanalysis.com/quote/tpe/3661/financials/ratios/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</si>
  <si>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3443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3035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</si>
  <si>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https://stockanalysis.com/quote/tpe/3443/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https://stockanalysis.com/quote/tpe/3035/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https://stockanalysis.com/quote/tpe/2454/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https://stockanalysis.com/stocks/avgo/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https://stockanalysis.com/stocks/mrvl/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</si>
  <si>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</si>
  <si>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https://companiesmarketcap.com/alchip-technologies/pe-ratio/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</si>
  <si>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</si>
  <si>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https://www.digrin.com/stocks/detail/3661.TW/price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</si>
  <si>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歷年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）與季 </t>
    </r>
    <r>
      <rPr>
        <sz val="11"/>
        <color theme="1"/>
        <rFont val="Calibri"/>
        <family val="2"/>
        <charset val="1"/>
      </rPr>
      <t xml:space="preserve">EPS</t>
    </r>
  </si>
  <si>
    <t xml:space="preserve">https://histock.tw/stock/3661/%E6%AF%8F%E8%82%A1%E7%9B%88%E9%A4%98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</si>
  <si>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成品與 </t>
    </r>
    <r>
      <rPr>
        <sz val="11"/>
        <color theme="1"/>
        <rFont val="Calibri"/>
        <family val="2"/>
        <charset val="1"/>
      </rPr>
      <t xml:space="preserve">markets/memory 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SCEN_UNITS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</si>
  <si>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mrvl/dist/20261025_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markets/memory/market.py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</si>
  <si>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與量產營收金額；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採購方式；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奈米每顆營收與 </t>
    </r>
    <r>
      <rPr>
        <sz val="11"/>
        <color theme="1"/>
        <rFont val="Calibri"/>
        <family val="2"/>
        <charset val="1"/>
      </rPr>
      <t xml:space="preserve">COT </t>
    </r>
    <r>
      <rPr>
        <sz val="11"/>
        <color theme="1"/>
        <rFont val="Noto Sans CJK SC"/>
        <family val="2"/>
      </rPr>
      <t xml:space="preserve">分工；</t>
    </r>
    <r>
      <rPr>
        <sz val="11"/>
        <color theme="1"/>
        <rFont val="Calibri"/>
        <family val="2"/>
        <charset val="1"/>
      </rPr>
      <t xml:space="preserve">2016–2017 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淨利率（十年平均）；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募資金額；前瞻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</si>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</sst>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0%"/>
    <numFmt numFmtId="166" formatCode="General"/>
    <numFmt numFmtId="167" formatCode="#,##0.000"/>
    <numFmt numFmtId="168" formatCode="0.0%"/>
    <numFmt numFmtId="169" formatCode="0.00000"/>
    <numFmt numFmtId="170" formatCode="#,##0.00"/>
    <numFmt numFmtId="171" formatCode="0.000"/>
    <numFmt numFmtId="172" formatCode="0.00"/>
    <numFmt numFmtId="173" formatCode="#,##0.0"/>
    <numFmt numFmtId="174" formatCode="0.0000"/>
    <numFmt numFmtId="175" formatCode="0"/>
    <numFmt numFmtId="176" formatCode="0.0"/>
    <numFmt numFmtId="177" formatCode="@"/>
    <numFmt numFmtId="178" formatCode="0%"/>
    <numFmt numFmtId="179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7.15" hidden="false" customHeight="false" outlineLevel="0" collapsed="false">
      <c r="A19" s="1" t="s">
        <v>14</v>
      </c>
    </row>
    <row r="20" customFormat="false" ht="17.15" hidden="false" customHeight="false" outlineLevel="0" collapsed="false">
      <c r="A20" s="2" t="s">
        <v>15</v>
      </c>
    </row>
    <row r="21" customFormat="false" ht="17.15" hidden="false" customHeight="false" outlineLevel="0" collapsed="false">
      <c r="A21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4" t="s">
        <v>18</v>
      </c>
    </row>
    <row r="3" customFormat="false" ht="17.1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</row>
    <row r="4" customFormat="false" ht="17.15" hidden="false" customHeight="false" outlineLevel="0" collapsed="false">
      <c r="A4" s="6" t="s">
        <v>28</v>
      </c>
    </row>
    <row r="5" customFormat="false" ht="17.15" hidden="false" customHeight="false" outlineLevel="0" collapsed="false">
      <c r="A5" s="0" t="s">
        <v>29</v>
      </c>
      <c r="B5" s="0" t="s">
        <v>30</v>
      </c>
      <c r="C5" s="4" t="s">
        <v>31</v>
      </c>
      <c r="E5" s="7" t="n">
        <v>2</v>
      </c>
      <c r="G5" s="8" t="s">
        <v>32</v>
      </c>
      <c r="H5" s="8" t="s">
        <v>33</v>
      </c>
      <c r="I5" s="8" t="s">
        <v>34</v>
      </c>
    </row>
    <row r="6" customFormat="false" ht="17.15" hidden="false" customHeight="false" outlineLevel="0" collapsed="false">
      <c r="A6" s="0" t="s">
        <v>35</v>
      </c>
      <c r="B6" s="0" t="s">
        <v>36</v>
      </c>
      <c r="C6" s="4" t="s">
        <v>31</v>
      </c>
      <c r="E6" s="7" t="n">
        <v>2.5</v>
      </c>
      <c r="G6" s="8" t="s">
        <v>32</v>
      </c>
      <c r="H6" s="8" t="s">
        <v>37</v>
      </c>
      <c r="I6" s="4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4" t="s">
        <v>31</v>
      </c>
      <c r="E7" s="7" t="n">
        <v>3</v>
      </c>
      <c r="G7" s="8" t="s">
        <v>32</v>
      </c>
      <c r="H7" s="8" t="s">
        <v>41</v>
      </c>
      <c r="I7" s="4" t="s">
        <v>38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44</v>
      </c>
      <c r="E8" s="7" t="n">
        <v>0.15</v>
      </c>
      <c r="G8" s="8" t="s">
        <v>32</v>
      </c>
      <c r="H8" s="8" t="s">
        <v>45</v>
      </c>
      <c r="I8" s="8" t="s">
        <v>46</v>
      </c>
    </row>
    <row r="9" customFormat="false" ht="17.15" hidden="false" customHeight="false" outlineLevel="0" collapsed="false">
      <c r="A9" s="0" t="s">
        <v>47</v>
      </c>
      <c r="B9" s="4" t="s">
        <v>48</v>
      </c>
      <c r="C9" s="0" t="s">
        <v>49</v>
      </c>
      <c r="E9" s="7" t="n">
        <v>1</v>
      </c>
      <c r="G9" s="8" t="s">
        <v>32</v>
      </c>
      <c r="H9" s="8" t="s">
        <v>50</v>
      </c>
      <c r="I9" s="8" t="s">
        <v>51</v>
      </c>
    </row>
    <row r="10" customFormat="false" ht="17.15" hidden="false" customHeight="false" outlineLevel="0" collapsed="false">
      <c r="A10" s="0" t="s">
        <v>52</v>
      </c>
      <c r="B10" s="4" t="s">
        <v>53</v>
      </c>
      <c r="C10" s="0" t="s">
        <v>49</v>
      </c>
      <c r="E10" s="7" t="n">
        <v>1</v>
      </c>
      <c r="G10" s="8" t="s">
        <v>32</v>
      </c>
      <c r="H10" s="8" t="s">
        <v>54</v>
      </c>
      <c r="I10" s="4" t="s">
        <v>38</v>
      </c>
    </row>
    <row r="11" customFormat="false" ht="17.15" hidden="false" customHeight="false" outlineLevel="0" collapsed="false">
      <c r="A11" s="0" t="s">
        <v>55</v>
      </c>
      <c r="B11" s="4" t="s">
        <v>56</v>
      </c>
      <c r="C11" s="0" t="s">
        <v>49</v>
      </c>
      <c r="E11" s="7" t="n">
        <v>0.8</v>
      </c>
      <c r="G11" s="8" t="s">
        <v>32</v>
      </c>
      <c r="H11" s="8" t="s">
        <v>57</v>
      </c>
      <c r="I11" s="4" t="s">
        <v>38</v>
      </c>
    </row>
    <row r="12" customFormat="false" ht="17.15" hidden="false" customHeight="false" outlineLevel="0" collapsed="false">
      <c r="A12" s="0" t="s">
        <v>58</v>
      </c>
      <c r="B12" s="4" t="s">
        <v>59</v>
      </c>
      <c r="C12" s="0" t="s">
        <v>49</v>
      </c>
      <c r="E12" s="7" t="n">
        <v>0.85</v>
      </c>
      <c r="G12" s="8" t="s">
        <v>32</v>
      </c>
      <c r="H12" s="8" t="s">
        <v>60</v>
      </c>
      <c r="I12" s="4" t="s">
        <v>38</v>
      </c>
    </row>
    <row r="13" customFormat="false" ht="17.15" hidden="false" customHeight="false" outlineLevel="0" collapsed="false">
      <c r="A13" s="0" t="s">
        <v>61</v>
      </c>
      <c r="B13" s="4" t="s">
        <v>62</v>
      </c>
      <c r="C13" s="0" t="s">
        <v>49</v>
      </c>
      <c r="E13" s="7" t="n">
        <v>0.6</v>
      </c>
      <c r="G13" s="8" t="s">
        <v>32</v>
      </c>
      <c r="H13" s="8" t="s">
        <v>63</v>
      </c>
      <c r="I13" s="4" t="s">
        <v>38</v>
      </c>
    </row>
    <row r="14" customFormat="false" ht="17.15" hidden="false" customHeight="false" outlineLevel="0" collapsed="false">
      <c r="A14" s="0" t="s">
        <v>64</v>
      </c>
      <c r="B14" s="4" t="s">
        <v>65</v>
      </c>
      <c r="C14" s="0" t="s">
        <v>49</v>
      </c>
      <c r="E14" s="7" t="n">
        <v>0.6</v>
      </c>
      <c r="G14" s="8" t="s">
        <v>32</v>
      </c>
      <c r="H14" s="8" t="s">
        <v>66</v>
      </c>
      <c r="I14" s="4" t="s">
        <v>38</v>
      </c>
    </row>
    <row r="15" customFormat="false" ht="17.15" hidden="false" customHeight="false" outlineLevel="0" collapsed="false">
      <c r="A15" s="0" t="s">
        <v>67</v>
      </c>
      <c r="B15" s="0" t="s">
        <v>68</v>
      </c>
      <c r="C15" s="0" t="s">
        <v>69</v>
      </c>
      <c r="E15" s="7" t="n">
        <v>110</v>
      </c>
      <c r="G15" s="8" t="s">
        <v>70</v>
      </c>
      <c r="H15" s="8" t="s">
        <v>71</v>
      </c>
      <c r="I15" s="8" t="s">
        <v>72</v>
      </c>
    </row>
    <row r="16" customFormat="false" ht="17.15" hidden="false" customHeight="false" outlineLevel="0" collapsed="false">
      <c r="A16" s="0" t="s">
        <v>73</v>
      </c>
      <c r="B16" s="0" t="s">
        <v>74</v>
      </c>
      <c r="C16" s="0" t="s">
        <v>69</v>
      </c>
      <c r="E16" s="7" t="n">
        <v>144</v>
      </c>
      <c r="G16" s="8" t="s">
        <v>70</v>
      </c>
      <c r="H16" s="8" t="s">
        <v>71</v>
      </c>
      <c r="I16" s="4" t="s">
        <v>38</v>
      </c>
    </row>
    <row r="17" customFormat="false" ht="17.15" hidden="false" customHeight="false" outlineLevel="0" collapsed="false">
      <c r="A17" s="0" t="s">
        <v>75</v>
      </c>
      <c r="B17" s="0" t="s">
        <v>76</v>
      </c>
      <c r="C17" s="0" t="s">
        <v>69</v>
      </c>
      <c r="E17" s="7" t="n">
        <v>200</v>
      </c>
      <c r="G17" s="8" t="s">
        <v>70</v>
      </c>
      <c r="H17" s="8" t="s">
        <v>71</v>
      </c>
      <c r="I17" s="4" t="s">
        <v>38</v>
      </c>
    </row>
    <row r="18" customFormat="false" ht="17.15" hidden="false" customHeight="false" outlineLevel="0" collapsed="false">
      <c r="A18" s="6" t="s">
        <v>77</v>
      </c>
    </row>
    <row r="19" customFormat="false" ht="17.15" hidden="false" customHeight="false" outlineLevel="0" collapsed="false">
      <c r="A19" s="0" t="s">
        <v>78</v>
      </c>
      <c r="B19" s="0" t="s">
        <v>79</v>
      </c>
      <c r="C19" s="0" t="s">
        <v>80</v>
      </c>
      <c r="E19" s="7" t="n">
        <v>8</v>
      </c>
      <c r="G19" s="8" t="s">
        <v>81</v>
      </c>
      <c r="H19" s="8" t="s">
        <v>82</v>
      </c>
      <c r="I19" s="8" t="s">
        <v>83</v>
      </c>
    </row>
    <row r="20" customFormat="false" ht="17.15" hidden="false" customHeight="false" outlineLevel="0" collapsed="false">
      <c r="A20" s="0" t="s">
        <v>84</v>
      </c>
      <c r="B20" s="0" t="s">
        <v>85</v>
      </c>
      <c r="C20" s="0" t="s">
        <v>80</v>
      </c>
      <c r="E20" s="0" t="n">
        <f aca="false">pa_trn-gb_trn_26*hbm_A_26/1000</f>
        <v>6.394</v>
      </c>
      <c r="G20" s="0" t="s">
        <v>81</v>
      </c>
      <c r="H20" s="0" t="s">
        <v>86</v>
      </c>
      <c r="I20" s="0" t="s">
        <v>87</v>
      </c>
    </row>
    <row r="21" customFormat="false" ht="17.15" hidden="false" customHeight="false" outlineLevel="0" collapsed="false">
      <c r="A21" s="0" t="s">
        <v>88</v>
      </c>
      <c r="B21" s="4" t="s">
        <v>89</v>
      </c>
      <c r="C21" s="0" t="s">
        <v>49</v>
      </c>
      <c r="D21" s="7" t="n">
        <v>0.3</v>
      </c>
      <c r="E21" s="7" t="n">
        <v>0.6</v>
      </c>
      <c r="F21" s="7" t="n">
        <v>1</v>
      </c>
      <c r="G21" s="8" t="s">
        <v>32</v>
      </c>
      <c r="H21" s="8" t="s">
        <v>90</v>
      </c>
      <c r="I21" s="4" t="s">
        <v>91</v>
      </c>
    </row>
    <row r="22" customFormat="false" ht="17.15" hidden="false" customHeight="false" outlineLevel="0" collapsed="false">
      <c r="A22" s="0" t="s">
        <v>92</v>
      </c>
      <c r="B22" s="4" t="s">
        <v>93</v>
      </c>
      <c r="C22" s="0" t="s">
        <v>49</v>
      </c>
      <c r="D22" s="7" t="n">
        <v>0</v>
      </c>
      <c r="E22" s="7" t="n">
        <v>0</v>
      </c>
      <c r="F22" s="7" t="n">
        <v>0.6</v>
      </c>
      <c r="G22" s="8" t="s">
        <v>32</v>
      </c>
      <c r="H22" s="4" t="s">
        <v>94</v>
      </c>
      <c r="I22" s="4" t="s">
        <v>95</v>
      </c>
    </row>
    <row r="23" customFormat="false" ht="17.15" hidden="false" customHeight="false" outlineLevel="0" collapsed="false">
      <c r="A23" s="0" t="s">
        <v>96</v>
      </c>
      <c r="B23" s="4" t="s">
        <v>97</v>
      </c>
      <c r="C23" s="0" t="s">
        <v>49</v>
      </c>
      <c r="D23" s="7" t="n">
        <v>0</v>
      </c>
      <c r="E23" s="7" t="n">
        <v>0.1</v>
      </c>
      <c r="F23" s="7" t="n">
        <v>0.2</v>
      </c>
      <c r="G23" s="8" t="s">
        <v>32</v>
      </c>
      <c r="H23" s="8" t="s">
        <v>98</v>
      </c>
      <c r="I23" s="4" t="s">
        <v>99</v>
      </c>
    </row>
    <row r="24" customFormat="false" ht="17.15" hidden="false" customHeight="false" outlineLevel="0" collapsed="false">
      <c r="A24" s="0" t="s">
        <v>100</v>
      </c>
      <c r="B24" s="0" t="s">
        <v>101</v>
      </c>
      <c r="C24" s="0" t="s">
        <v>44</v>
      </c>
      <c r="E24" s="7" t="n">
        <v>0.1</v>
      </c>
      <c r="G24" s="8" t="s">
        <v>32</v>
      </c>
      <c r="H24" s="8" t="s">
        <v>102</v>
      </c>
      <c r="I24" s="8" t="s">
        <v>103</v>
      </c>
    </row>
    <row r="25" customFormat="false" ht="17.15" hidden="false" customHeight="false" outlineLevel="0" collapsed="false">
      <c r="A25" s="0" t="s">
        <v>104</v>
      </c>
      <c r="B25" s="0" t="s">
        <v>105</v>
      </c>
      <c r="C25" s="0" t="s">
        <v>44</v>
      </c>
      <c r="E25" s="7" t="n">
        <v>0.1</v>
      </c>
      <c r="G25" s="8" t="s">
        <v>32</v>
      </c>
      <c r="H25" s="8" t="s">
        <v>106</v>
      </c>
      <c r="I25" s="8" t="s">
        <v>103</v>
      </c>
    </row>
    <row r="26" customFormat="false" ht="17.15" hidden="false" customHeight="false" outlineLevel="0" collapsed="false">
      <c r="A26" s="0" t="s">
        <v>107</v>
      </c>
      <c r="B26" s="0" t="s">
        <v>108</v>
      </c>
      <c r="C26" s="0" t="s">
        <v>44</v>
      </c>
      <c r="E26" s="7" t="n">
        <v>0.08</v>
      </c>
      <c r="G26" s="8" t="s">
        <v>32</v>
      </c>
      <c r="H26" s="8" t="s">
        <v>109</v>
      </c>
      <c r="I26" s="8" t="s">
        <v>103</v>
      </c>
    </row>
    <row r="27" customFormat="false" ht="17.15" hidden="false" customHeight="false" outlineLevel="0" collapsed="false">
      <c r="A27" s="0" t="s">
        <v>110</v>
      </c>
      <c r="B27" s="4" t="s">
        <v>111</v>
      </c>
      <c r="C27" s="0" t="s">
        <v>44</v>
      </c>
      <c r="D27" s="7" t="n">
        <v>0.2</v>
      </c>
      <c r="E27" s="7" t="n">
        <v>0.3</v>
      </c>
      <c r="F27" s="7" t="n">
        <v>0.4</v>
      </c>
      <c r="G27" s="8" t="s">
        <v>32</v>
      </c>
      <c r="H27" s="4" t="s">
        <v>112</v>
      </c>
      <c r="I27" s="8" t="s">
        <v>113</v>
      </c>
    </row>
    <row r="28" customFormat="false" ht="17.15" hidden="false" customHeight="false" outlineLevel="0" collapsed="false">
      <c r="A28" s="0" t="s">
        <v>114</v>
      </c>
      <c r="B28" s="4" t="s">
        <v>115</v>
      </c>
      <c r="C28" s="0" t="s">
        <v>44</v>
      </c>
      <c r="D28" s="7" t="n">
        <v>0.4</v>
      </c>
      <c r="E28" s="7" t="n">
        <v>0.55</v>
      </c>
      <c r="F28" s="7" t="n">
        <v>0.75</v>
      </c>
      <c r="G28" s="8" t="s">
        <v>32</v>
      </c>
      <c r="H28" s="4" t="s">
        <v>38</v>
      </c>
      <c r="I28" s="8" t="s">
        <v>113</v>
      </c>
    </row>
    <row r="29" customFormat="false" ht="17.15" hidden="false" customHeight="false" outlineLevel="0" collapsed="false">
      <c r="A29" s="0" t="s">
        <v>116</v>
      </c>
      <c r="B29" s="4" t="s">
        <v>117</v>
      </c>
      <c r="C29" s="0" t="s">
        <v>44</v>
      </c>
      <c r="D29" s="7" t="n">
        <v>0.4</v>
      </c>
      <c r="E29" s="7" t="n">
        <v>0.5</v>
      </c>
      <c r="F29" s="7" t="n">
        <v>0.75</v>
      </c>
      <c r="G29" s="8" t="s">
        <v>32</v>
      </c>
      <c r="H29" s="4" t="s">
        <v>38</v>
      </c>
      <c r="I29" s="8" t="s">
        <v>118</v>
      </c>
    </row>
    <row r="30" customFormat="false" ht="17.15" hidden="false" customHeight="false" outlineLevel="0" collapsed="false">
      <c r="A30" s="0" t="s">
        <v>119</v>
      </c>
      <c r="B30" s="4" t="s">
        <v>120</v>
      </c>
      <c r="C30" s="0" t="s">
        <v>44</v>
      </c>
      <c r="D30" s="7" t="n">
        <v>0.3</v>
      </c>
      <c r="E30" s="7" t="n">
        <v>0.4</v>
      </c>
      <c r="F30" s="7" t="n">
        <v>0.75</v>
      </c>
      <c r="G30" s="8" t="s">
        <v>32</v>
      </c>
      <c r="H30" s="4" t="s">
        <v>38</v>
      </c>
      <c r="I30" s="8" t="s">
        <v>118</v>
      </c>
    </row>
    <row r="31" customFormat="false" ht="17.15" hidden="false" customHeight="false" outlineLevel="0" collapsed="false">
      <c r="A31" s="0" t="s">
        <v>121</v>
      </c>
      <c r="B31" s="4" t="s">
        <v>122</v>
      </c>
      <c r="C31" s="0" t="s">
        <v>44</v>
      </c>
      <c r="D31" s="7" t="n">
        <v>0.35</v>
      </c>
      <c r="E31" s="7" t="n">
        <v>0.55</v>
      </c>
      <c r="F31" s="7" t="n">
        <v>0.85</v>
      </c>
      <c r="G31" s="8" t="s">
        <v>32</v>
      </c>
      <c r="H31" s="4" t="s">
        <v>38</v>
      </c>
      <c r="I31" s="8" t="s">
        <v>113</v>
      </c>
    </row>
    <row r="32" customFormat="false" ht="17.15" hidden="false" customHeight="false" outlineLevel="0" collapsed="false">
      <c r="A32" s="0" t="s">
        <v>123</v>
      </c>
      <c r="B32" s="4" t="s">
        <v>124</v>
      </c>
      <c r="C32" s="0" t="s">
        <v>44</v>
      </c>
      <c r="D32" s="7" t="n">
        <v>0.3</v>
      </c>
      <c r="E32" s="7" t="n">
        <v>0.45</v>
      </c>
      <c r="F32" s="7" t="n">
        <v>0.85</v>
      </c>
      <c r="G32" s="8" t="s">
        <v>32</v>
      </c>
      <c r="H32" s="4" t="s">
        <v>38</v>
      </c>
      <c r="I32" s="8" t="s">
        <v>125</v>
      </c>
    </row>
    <row r="33" customFormat="false" ht="17.15" hidden="false" customHeight="false" outlineLevel="0" collapsed="false">
      <c r="A33" s="0" t="s">
        <v>126</v>
      </c>
      <c r="B33" s="4" t="s">
        <v>127</v>
      </c>
      <c r="C33" s="0" t="s">
        <v>44</v>
      </c>
      <c r="D33" s="7" t="n">
        <v>0.2</v>
      </c>
      <c r="E33" s="7" t="n">
        <v>0.35</v>
      </c>
      <c r="F33" s="7" t="n">
        <v>0.85</v>
      </c>
      <c r="G33" s="8" t="s">
        <v>32</v>
      </c>
      <c r="H33" s="4" t="s">
        <v>38</v>
      </c>
      <c r="I33" s="8" t="s">
        <v>125</v>
      </c>
    </row>
    <row r="34" customFormat="false" ht="17.15" hidden="false" customHeight="false" outlineLevel="0" collapsed="false">
      <c r="A34" s="0" t="s">
        <v>128</v>
      </c>
      <c r="B34" s="0" t="s">
        <v>129</v>
      </c>
      <c r="C34" s="0" t="s">
        <v>49</v>
      </c>
      <c r="D34" s="7" t="n">
        <v>0.8</v>
      </c>
      <c r="E34" s="7" t="n">
        <v>1.5</v>
      </c>
      <c r="F34" s="7" t="n">
        <v>2.5</v>
      </c>
      <c r="G34" s="8" t="s">
        <v>32</v>
      </c>
      <c r="H34" s="4" t="s">
        <v>130</v>
      </c>
      <c r="I34" s="4" t="s">
        <v>131</v>
      </c>
    </row>
    <row r="35" customFormat="false" ht="17.15" hidden="false" customHeight="false" outlineLevel="0" collapsed="false">
      <c r="A35" s="0" t="s">
        <v>132</v>
      </c>
      <c r="B35" s="0" t="s">
        <v>133</v>
      </c>
      <c r="C35" s="0" t="s">
        <v>49</v>
      </c>
      <c r="E35" s="7" t="n">
        <v>1.2</v>
      </c>
      <c r="G35" s="8" t="s">
        <v>32</v>
      </c>
      <c r="H35" s="4" t="s">
        <v>38</v>
      </c>
      <c r="I35" s="8" t="s">
        <v>134</v>
      </c>
    </row>
    <row r="36" customFormat="false" ht="17.15" hidden="false" customHeight="false" outlineLevel="0" collapsed="false">
      <c r="A36" s="0" t="s">
        <v>135</v>
      </c>
      <c r="B36" s="0" t="s">
        <v>136</v>
      </c>
      <c r="C36" s="0" t="s">
        <v>49</v>
      </c>
      <c r="E36" s="7" t="n">
        <v>1</v>
      </c>
      <c r="G36" s="8" t="s">
        <v>32</v>
      </c>
      <c r="H36" s="4" t="s">
        <v>38</v>
      </c>
      <c r="I36" s="8" t="s">
        <v>134</v>
      </c>
    </row>
    <row r="37" customFormat="false" ht="17.15" hidden="false" customHeight="false" outlineLevel="0" collapsed="false">
      <c r="A37" s="0" t="s">
        <v>137</v>
      </c>
      <c r="B37" s="4" t="s">
        <v>138</v>
      </c>
      <c r="C37" s="0" t="s">
        <v>49</v>
      </c>
      <c r="D37" s="7" t="n">
        <v>0.8</v>
      </c>
      <c r="E37" s="7" t="n">
        <v>1</v>
      </c>
      <c r="F37" s="7" t="n">
        <v>1.2</v>
      </c>
      <c r="G37" s="8" t="s">
        <v>32</v>
      </c>
      <c r="H37" s="4" t="s">
        <v>139</v>
      </c>
      <c r="I37" s="8" t="s">
        <v>140</v>
      </c>
    </row>
    <row r="38" customFormat="false" ht="17.15" hidden="false" customHeight="false" outlineLevel="0" collapsed="false">
      <c r="A38" s="0" t="s">
        <v>141</v>
      </c>
      <c r="B38" s="0" t="s">
        <v>142</v>
      </c>
      <c r="C38" s="0" t="s">
        <v>49</v>
      </c>
      <c r="D38" s="7" t="n">
        <v>0.1</v>
      </c>
      <c r="E38" s="7" t="n">
        <v>0.13</v>
      </c>
      <c r="F38" s="7" t="n">
        <v>0.16</v>
      </c>
      <c r="G38" s="8" t="s">
        <v>32</v>
      </c>
      <c r="H38" s="4" t="s">
        <v>143</v>
      </c>
      <c r="I38" s="8" t="s">
        <v>144</v>
      </c>
    </row>
    <row r="39" customFormat="false" ht="17.15" hidden="false" customHeight="false" outlineLevel="0" collapsed="false">
      <c r="A39" s="0" t="s">
        <v>145</v>
      </c>
      <c r="B39" s="0" t="s">
        <v>146</v>
      </c>
      <c r="C39" s="0" t="s">
        <v>147</v>
      </c>
      <c r="E39" s="7" t="n">
        <v>0.01</v>
      </c>
      <c r="G39" s="8" t="s">
        <v>32</v>
      </c>
      <c r="H39" s="4" t="s">
        <v>148</v>
      </c>
      <c r="I39" s="8" t="s">
        <v>134</v>
      </c>
    </row>
    <row r="40" customFormat="false" ht="17.15" hidden="false" customHeight="false" outlineLevel="0" collapsed="false">
      <c r="A40" s="0" t="s">
        <v>149</v>
      </c>
      <c r="B40" s="0" t="s">
        <v>150</v>
      </c>
      <c r="C40" s="0" t="s">
        <v>147</v>
      </c>
      <c r="E40" s="7" t="n">
        <v>0</v>
      </c>
      <c r="G40" s="8" t="s">
        <v>32</v>
      </c>
      <c r="H40" s="4" t="s">
        <v>38</v>
      </c>
      <c r="I40" s="8" t="s">
        <v>134</v>
      </c>
    </row>
    <row r="41" customFormat="false" ht="17.15" hidden="false" customHeight="false" outlineLevel="0" collapsed="false">
      <c r="A41" s="0" t="s">
        <v>151</v>
      </c>
      <c r="B41" s="0" t="s">
        <v>152</v>
      </c>
      <c r="C41" s="0" t="s">
        <v>147</v>
      </c>
      <c r="E41" s="7" t="n">
        <v>-0.02</v>
      </c>
      <c r="G41" s="8" t="s">
        <v>32</v>
      </c>
      <c r="H41" s="4" t="s">
        <v>38</v>
      </c>
      <c r="I41" s="8" t="s">
        <v>134</v>
      </c>
    </row>
    <row r="42" customFormat="false" ht="17.15" hidden="false" customHeight="false" outlineLevel="0" collapsed="false">
      <c r="A42" s="6" t="s">
        <v>153</v>
      </c>
    </row>
    <row r="43" customFormat="false" ht="17.15" hidden="false" customHeight="false" outlineLevel="0" collapsed="false">
      <c r="A43" s="0" t="s">
        <v>154</v>
      </c>
      <c r="B43" s="0" t="s">
        <v>155</v>
      </c>
      <c r="C43" s="0" t="s">
        <v>156</v>
      </c>
      <c r="E43" s="7" t="n">
        <v>14.6</v>
      </c>
      <c r="G43" s="8" t="s">
        <v>81</v>
      </c>
      <c r="H43" s="8" t="s">
        <v>157</v>
      </c>
      <c r="I43" s="8" t="s">
        <v>158</v>
      </c>
    </row>
    <row r="44" customFormat="false" ht="17.15" hidden="false" customHeight="false" outlineLevel="0" collapsed="false">
      <c r="A44" s="0" t="s">
        <v>159</v>
      </c>
      <c r="B44" s="0" t="s">
        <v>160</v>
      </c>
      <c r="C44" s="0" t="s">
        <v>156</v>
      </c>
      <c r="E44" s="7" t="n">
        <v>26.28</v>
      </c>
      <c r="G44" s="8" t="s">
        <v>81</v>
      </c>
      <c r="H44" s="8" t="s">
        <v>161</v>
      </c>
      <c r="I44" s="4" t="s">
        <v>38</v>
      </c>
    </row>
    <row r="45" customFormat="false" ht="17.15" hidden="false" customHeight="false" outlineLevel="0" collapsed="false">
      <c r="A45" s="0" t="s">
        <v>162</v>
      </c>
      <c r="B45" s="0" t="s">
        <v>163</v>
      </c>
      <c r="C45" s="0" t="s">
        <v>156</v>
      </c>
      <c r="E45" s="7" t="n">
        <v>28.908</v>
      </c>
      <c r="G45" s="8" t="s">
        <v>81</v>
      </c>
      <c r="H45" s="8" t="s">
        <v>164</v>
      </c>
      <c r="I45" s="4" t="s">
        <v>38</v>
      </c>
    </row>
    <row r="46" customFormat="false" ht="17.15" hidden="false" customHeight="false" outlineLevel="0" collapsed="false">
      <c r="A46" s="0" t="s">
        <v>165</v>
      </c>
      <c r="B46" s="0" t="s">
        <v>166</v>
      </c>
      <c r="C46" s="0" t="s">
        <v>156</v>
      </c>
      <c r="E46" s="7" t="n">
        <v>27.4626</v>
      </c>
      <c r="G46" s="8" t="s">
        <v>81</v>
      </c>
      <c r="H46" s="8" t="s">
        <v>167</v>
      </c>
      <c r="I46" s="4" t="s">
        <v>38</v>
      </c>
    </row>
    <row r="47" customFormat="false" ht="17.15" hidden="false" customHeight="false" outlineLevel="0" collapsed="false">
      <c r="A47" s="0" t="s">
        <v>168</v>
      </c>
      <c r="B47" s="0" t="s">
        <v>169</v>
      </c>
      <c r="C47" s="0" t="s">
        <v>156</v>
      </c>
      <c r="E47" s="7" t="n">
        <v>14.6</v>
      </c>
      <c r="G47" s="8" t="s">
        <v>81</v>
      </c>
      <c r="H47" s="8" t="s">
        <v>170</v>
      </c>
      <c r="I47" s="4" t="s">
        <v>38</v>
      </c>
    </row>
    <row r="48" customFormat="false" ht="17.15" hidden="false" customHeight="false" outlineLevel="0" collapsed="false">
      <c r="A48" s="0" t="s">
        <v>171</v>
      </c>
      <c r="B48" s="0" t="s">
        <v>172</v>
      </c>
      <c r="C48" s="0" t="s">
        <v>156</v>
      </c>
      <c r="E48" s="7" t="n">
        <v>26.28</v>
      </c>
      <c r="G48" s="8" t="s">
        <v>81</v>
      </c>
      <c r="H48" s="8" t="s">
        <v>173</v>
      </c>
      <c r="I48" s="4" t="s">
        <v>38</v>
      </c>
    </row>
    <row r="49" customFormat="false" ht="17.15" hidden="false" customHeight="false" outlineLevel="0" collapsed="false">
      <c r="A49" s="0" t="s">
        <v>174</v>
      </c>
      <c r="B49" s="0" t="s">
        <v>175</v>
      </c>
      <c r="C49" s="0" t="s">
        <v>156</v>
      </c>
      <c r="E49" s="7" t="n">
        <v>19.71</v>
      </c>
      <c r="G49" s="8" t="s">
        <v>81</v>
      </c>
      <c r="H49" s="8" t="s">
        <v>176</v>
      </c>
      <c r="I49" s="4" t="s">
        <v>38</v>
      </c>
    </row>
    <row r="50" customFormat="false" ht="17.15" hidden="false" customHeight="false" outlineLevel="0" collapsed="false">
      <c r="A50" s="0" t="s">
        <v>177</v>
      </c>
      <c r="B50" s="0" t="s">
        <v>178</v>
      </c>
      <c r="C50" s="0" t="s">
        <v>156</v>
      </c>
      <c r="E50" s="7" t="n">
        <v>19.71</v>
      </c>
      <c r="G50" s="8" t="s">
        <v>81</v>
      </c>
      <c r="H50" s="8" t="s">
        <v>179</v>
      </c>
      <c r="I50" s="4" t="s">
        <v>38</v>
      </c>
    </row>
    <row r="51" customFormat="false" ht="17.15" hidden="false" customHeight="false" outlineLevel="0" collapsed="false">
      <c r="A51" s="0" t="s">
        <v>180</v>
      </c>
      <c r="B51" s="0" t="s">
        <v>181</v>
      </c>
      <c r="C51" s="0" t="s">
        <v>156</v>
      </c>
      <c r="E51" s="7" t="n">
        <v>14.6</v>
      </c>
      <c r="G51" s="8" t="s">
        <v>81</v>
      </c>
      <c r="H51" s="8" t="s">
        <v>182</v>
      </c>
      <c r="I51" s="4" t="s">
        <v>38</v>
      </c>
    </row>
    <row r="52" customFormat="false" ht="17.15" hidden="false" customHeight="false" outlineLevel="0" collapsed="false">
      <c r="A52" s="0" t="s">
        <v>183</v>
      </c>
      <c r="B52" s="0" t="s">
        <v>184</v>
      </c>
      <c r="C52" s="0" t="s">
        <v>156</v>
      </c>
      <c r="E52" s="7" t="n">
        <v>26.28</v>
      </c>
      <c r="G52" s="8" t="s">
        <v>81</v>
      </c>
      <c r="H52" s="8" t="s">
        <v>185</v>
      </c>
      <c r="I52" s="4" t="s">
        <v>38</v>
      </c>
    </row>
    <row r="53" customFormat="false" ht="17.15" hidden="false" customHeight="false" outlineLevel="0" collapsed="false">
      <c r="A53" s="0" t="s">
        <v>186</v>
      </c>
      <c r="B53" s="0" t="s">
        <v>187</v>
      </c>
      <c r="C53" s="0" t="s">
        <v>156</v>
      </c>
      <c r="E53" s="7" t="n">
        <v>15.768</v>
      </c>
      <c r="G53" s="8" t="s">
        <v>81</v>
      </c>
      <c r="H53" s="8" t="s">
        <v>188</v>
      </c>
      <c r="I53" s="4" t="s">
        <v>38</v>
      </c>
    </row>
    <row r="54" customFormat="false" ht="17.15" hidden="false" customHeight="false" outlineLevel="0" collapsed="false">
      <c r="A54" s="0" t="s">
        <v>189</v>
      </c>
      <c r="B54" s="0" t="s">
        <v>190</v>
      </c>
      <c r="C54" s="0" t="s">
        <v>156</v>
      </c>
      <c r="E54" s="7" t="n">
        <v>16.5564</v>
      </c>
      <c r="G54" s="8" t="s">
        <v>81</v>
      </c>
      <c r="H54" s="8" t="s">
        <v>191</v>
      </c>
      <c r="I54" s="4" t="s">
        <v>38</v>
      </c>
    </row>
    <row r="55" customFormat="false" ht="17.15" hidden="false" customHeight="false" outlineLevel="0" collapsed="false">
      <c r="A55" s="6" t="s">
        <v>192</v>
      </c>
    </row>
    <row r="56" customFormat="false" ht="17.15" hidden="false" customHeight="false" outlineLevel="0" collapsed="false">
      <c r="A56" s="0" t="s">
        <v>193</v>
      </c>
      <c r="B56" s="4" t="s">
        <v>194</v>
      </c>
      <c r="C56" s="0" t="s">
        <v>44</v>
      </c>
      <c r="D56" s="7" t="n">
        <v>-0.15</v>
      </c>
      <c r="E56" s="7" t="n">
        <v>0.15</v>
      </c>
      <c r="F56" s="7" t="n">
        <v>0.25</v>
      </c>
      <c r="G56" s="8" t="s">
        <v>32</v>
      </c>
      <c r="H56" s="4" t="s">
        <v>195</v>
      </c>
      <c r="I56" s="8" t="s">
        <v>196</v>
      </c>
    </row>
    <row r="57" customFormat="false" ht="17.15" hidden="false" customHeight="false" outlineLevel="0" collapsed="false">
      <c r="A57" s="0" t="s">
        <v>197</v>
      </c>
      <c r="B57" s="4" t="s">
        <v>198</v>
      </c>
      <c r="C57" s="0" t="s">
        <v>44</v>
      </c>
      <c r="D57" s="7" t="n">
        <v>-0.15</v>
      </c>
      <c r="E57" s="7" t="n">
        <v>0.12</v>
      </c>
      <c r="F57" s="7" t="n">
        <v>0.25</v>
      </c>
      <c r="G57" s="8" t="s">
        <v>32</v>
      </c>
      <c r="H57" s="4" t="s">
        <v>38</v>
      </c>
      <c r="I57" s="8" t="s">
        <v>118</v>
      </c>
    </row>
    <row r="58" customFormat="false" ht="17.15" hidden="false" customHeight="false" outlineLevel="0" collapsed="false">
      <c r="A58" s="0" t="s">
        <v>199</v>
      </c>
      <c r="B58" s="4" t="s">
        <v>200</v>
      </c>
      <c r="C58" s="0" t="s">
        <v>44</v>
      </c>
      <c r="D58" s="7" t="n">
        <v>-0.15</v>
      </c>
      <c r="E58" s="7" t="n">
        <v>0.05</v>
      </c>
      <c r="F58" s="7" t="n">
        <v>0.25</v>
      </c>
      <c r="G58" s="8" t="s">
        <v>32</v>
      </c>
      <c r="H58" s="4" t="s">
        <v>38</v>
      </c>
      <c r="I58" s="8" t="s">
        <v>118</v>
      </c>
    </row>
    <row r="59" customFormat="false" ht="17.15" hidden="false" customHeight="false" outlineLevel="0" collapsed="false">
      <c r="A59" s="0" t="s">
        <v>201</v>
      </c>
      <c r="B59" s="4" t="s">
        <v>202</v>
      </c>
      <c r="C59" s="0" t="s">
        <v>44</v>
      </c>
      <c r="D59" s="7" t="n">
        <v>-0.15</v>
      </c>
      <c r="E59" s="7" t="n">
        <v>0.05</v>
      </c>
      <c r="F59" s="7" t="n">
        <v>0.25</v>
      </c>
      <c r="G59" s="8" t="s">
        <v>32</v>
      </c>
      <c r="H59" s="4" t="s">
        <v>38</v>
      </c>
      <c r="I59" s="8" t="s">
        <v>118</v>
      </c>
    </row>
    <row r="60" customFormat="false" ht="17.15" hidden="false" customHeight="false" outlineLevel="0" collapsed="false">
      <c r="A60" s="0" t="s">
        <v>203</v>
      </c>
      <c r="B60" s="4" t="s">
        <v>204</v>
      </c>
      <c r="C60" s="0" t="s">
        <v>44</v>
      </c>
      <c r="D60" s="7" t="n">
        <v>-0.15</v>
      </c>
      <c r="E60" s="7" t="n">
        <v>-0.1</v>
      </c>
      <c r="F60" s="7" t="n">
        <v>0.25</v>
      </c>
      <c r="G60" s="8" t="s">
        <v>32</v>
      </c>
      <c r="H60" s="4" t="s">
        <v>38</v>
      </c>
      <c r="I60" s="8" t="s">
        <v>118</v>
      </c>
    </row>
    <row r="61" customFormat="false" ht="17.15" hidden="false" customHeight="false" outlineLevel="0" collapsed="false">
      <c r="A61" s="0" t="s">
        <v>205</v>
      </c>
      <c r="B61" s="4" t="s">
        <v>206</v>
      </c>
      <c r="C61" s="0" t="s">
        <v>44</v>
      </c>
      <c r="D61" s="7" t="n">
        <v>-0.15</v>
      </c>
      <c r="E61" s="7" t="n">
        <v>-0.05</v>
      </c>
      <c r="F61" s="7" t="n">
        <v>0.25</v>
      </c>
      <c r="G61" s="8" t="s">
        <v>32</v>
      </c>
      <c r="H61" s="4" t="s">
        <v>38</v>
      </c>
      <c r="I61" s="8" t="s">
        <v>118</v>
      </c>
    </row>
    <row r="62" customFormat="false" ht="17.15" hidden="false" customHeight="false" outlineLevel="0" collapsed="false">
      <c r="A62" s="0" t="s">
        <v>207</v>
      </c>
      <c r="B62" s="4" t="s">
        <v>208</v>
      </c>
      <c r="C62" s="0" t="s">
        <v>147</v>
      </c>
      <c r="D62" s="7" t="n">
        <v>-0.03</v>
      </c>
      <c r="E62" s="7" t="n">
        <v>0</v>
      </c>
      <c r="F62" s="7" t="n">
        <v>0.03</v>
      </c>
      <c r="G62" s="8" t="s">
        <v>32</v>
      </c>
      <c r="H62" s="4" t="s">
        <v>139</v>
      </c>
      <c r="I62" s="4" t="s">
        <v>209</v>
      </c>
    </row>
    <row r="63" customFormat="false" ht="17.15" hidden="false" customHeight="false" outlineLevel="0" collapsed="false">
      <c r="A63" s="6" t="s">
        <v>210</v>
      </c>
    </row>
    <row r="64" customFormat="false" ht="17.15" hidden="false" customHeight="false" outlineLevel="0" collapsed="false">
      <c r="A64" s="0" t="s">
        <v>211</v>
      </c>
      <c r="B64" s="4" t="s">
        <v>212</v>
      </c>
      <c r="C64" s="0" t="s">
        <v>213</v>
      </c>
      <c r="D64" s="7" t="n">
        <v>1.3</v>
      </c>
      <c r="E64" s="7" t="n">
        <v>1.5</v>
      </c>
      <c r="F64" s="7" t="n">
        <v>1.8</v>
      </c>
      <c r="G64" s="8" t="s">
        <v>214</v>
      </c>
      <c r="H64" s="4" t="s">
        <v>215</v>
      </c>
      <c r="I64" s="8" t="s">
        <v>216</v>
      </c>
    </row>
    <row r="65" customFormat="false" ht="17.15" hidden="false" customHeight="false" outlineLevel="0" collapsed="false">
      <c r="A65" s="0" t="s">
        <v>217</v>
      </c>
      <c r="B65" s="4" t="s">
        <v>218</v>
      </c>
      <c r="C65" s="0" t="s">
        <v>219</v>
      </c>
      <c r="D65" s="7" t="n">
        <v>2</v>
      </c>
      <c r="E65" s="7" t="n">
        <v>3</v>
      </c>
      <c r="F65" s="7" t="n">
        <v>3.9</v>
      </c>
      <c r="G65" s="8" t="s">
        <v>32</v>
      </c>
      <c r="H65" s="4" t="s">
        <v>220</v>
      </c>
      <c r="I65" s="4" t="s">
        <v>221</v>
      </c>
    </row>
    <row r="66" customFormat="false" ht="17.15" hidden="false" customHeight="false" outlineLevel="0" collapsed="false">
      <c r="A66" s="0" t="s">
        <v>222</v>
      </c>
      <c r="B66" s="0" t="s">
        <v>223</v>
      </c>
      <c r="C66" s="0" t="s">
        <v>224</v>
      </c>
      <c r="E66" s="0" t="n">
        <f aca="false">4.187/0.1324</f>
        <v>31.6238670694864</v>
      </c>
      <c r="G66" s="0" t="s">
        <v>81</v>
      </c>
      <c r="H66" s="4" t="s">
        <v>225</v>
      </c>
      <c r="I66" s="4" t="s">
        <v>226</v>
      </c>
    </row>
    <row r="67" customFormat="false" ht="17.15" hidden="false" customHeight="false" outlineLevel="0" collapsed="false">
      <c r="A67" s="0" t="s">
        <v>227</v>
      </c>
      <c r="B67" s="0" t="s">
        <v>228</v>
      </c>
      <c r="C67" s="0" t="s">
        <v>224</v>
      </c>
      <c r="E67" s="0" t="n">
        <f aca="false">7.64/0.2417</f>
        <v>31.6094331816301</v>
      </c>
      <c r="G67" s="0" t="s">
        <v>81</v>
      </c>
      <c r="H67" s="4" t="s">
        <v>229</v>
      </c>
      <c r="I67" s="4" t="s">
        <v>230</v>
      </c>
    </row>
    <row r="68" customFormat="false" ht="17.15" hidden="false" customHeight="false" outlineLevel="0" collapsed="false">
      <c r="A68" s="0" t="s">
        <v>231</v>
      </c>
      <c r="B68" s="0" t="s">
        <v>232</v>
      </c>
      <c r="C68" s="0" t="s">
        <v>224</v>
      </c>
      <c r="D68" s="7" t="n">
        <v>30.5</v>
      </c>
      <c r="E68" s="7" t="n">
        <v>31.6</v>
      </c>
      <c r="F68" s="7" t="n">
        <v>33</v>
      </c>
      <c r="G68" s="8" t="s">
        <v>32</v>
      </c>
      <c r="H68" s="8" t="s">
        <v>233</v>
      </c>
      <c r="I68" s="4" t="s">
        <v>234</v>
      </c>
    </row>
    <row r="69" customFormat="false" ht="17.15" hidden="false" customHeight="false" outlineLevel="0" collapsed="false">
      <c r="A69" s="0" t="s">
        <v>235</v>
      </c>
      <c r="B69" s="0" t="s">
        <v>236</v>
      </c>
      <c r="C69" s="0" t="s">
        <v>219</v>
      </c>
      <c r="E69" s="0" t="n">
        <f aca="false">37.878-11.827</f>
        <v>26.051</v>
      </c>
      <c r="G69" s="0" t="s">
        <v>237</v>
      </c>
      <c r="H69" s="4" t="s">
        <v>238</v>
      </c>
      <c r="I69" s="4" t="s">
        <v>239</v>
      </c>
    </row>
    <row r="70" customFormat="false" ht="17.15" hidden="false" customHeight="false" outlineLevel="0" collapsed="false">
      <c r="A70" s="0" t="s">
        <v>240</v>
      </c>
      <c r="B70" s="0" t="s">
        <v>241</v>
      </c>
      <c r="C70" s="0" t="s">
        <v>44</v>
      </c>
      <c r="D70" s="7" t="n">
        <v>0.7</v>
      </c>
      <c r="E70" s="7" t="n">
        <v>0.8</v>
      </c>
      <c r="F70" s="7" t="n">
        <v>0.9</v>
      </c>
      <c r="G70" s="8" t="s">
        <v>32</v>
      </c>
      <c r="H70" s="4" t="s">
        <v>242</v>
      </c>
      <c r="I70" s="4" t="s">
        <v>243</v>
      </c>
    </row>
    <row r="71" customFormat="false" ht="17.15" hidden="false" customHeight="false" outlineLevel="0" collapsed="false">
      <c r="A71" s="0" t="s">
        <v>244</v>
      </c>
      <c r="B71" s="0" t="s">
        <v>245</v>
      </c>
      <c r="C71" s="0" t="s">
        <v>44</v>
      </c>
      <c r="D71" s="7" t="n">
        <v>0.18</v>
      </c>
      <c r="E71" s="7" t="n">
        <v>0.21</v>
      </c>
      <c r="F71" s="7" t="n">
        <v>0.25</v>
      </c>
      <c r="G71" s="8" t="s">
        <v>214</v>
      </c>
      <c r="H71" s="8" t="s">
        <v>246</v>
      </c>
      <c r="I71" s="4" t="s">
        <v>247</v>
      </c>
    </row>
    <row r="72" customFormat="false" ht="17.15" hidden="false" customHeight="false" outlineLevel="0" collapsed="false">
      <c r="A72" s="0" t="s">
        <v>248</v>
      </c>
      <c r="B72" s="0" t="s">
        <v>249</v>
      </c>
      <c r="C72" s="0" t="s">
        <v>219</v>
      </c>
      <c r="D72" s="7" t="n">
        <v>0.95</v>
      </c>
      <c r="E72" s="7" t="n">
        <v>1.05</v>
      </c>
      <c r="F72" s="7" t="n">
        <v>1.2</v>
      </c>
      <c r="G72" s="8" t="s">
        <v>214</v>
      </c>
      <c r="H72" s="8" t="s">
        <v>246</v>
      </c>
      <c r="I72" s="8" t="s">
        <v>250</v>
      </c>
    </row>
    <row r="73" customFormat="false" ht="17.15" hidden="false" customHeight="false" outlineLevel="0" collapsed="false">
      <c r="A73" s="0" t="s">
        <v>251</v>
      </c>
      <c r="B73" s="0" t="s">
        <v>252</v>
      </c>
      <c r="C73" s="0" t="s">
        <v>44</v>
      </c>
      <c r="D73" s="7" t="n">
        <v>0</v>
      </c>
      <c r="E73" s="7" t="n">
        <v>0.15</v>
      </c>
      <c r="F73" s="7" t="n">
        <v>0.3</v>
      </c>
      <c r="G73" s="8" t="s">
        <v>32</v>
      </c>
      <c r="H73" s="4" t="s">
        <v>253</v>
      </c>
      <c r="I73" s="4" t="s">
        <v>254</v>
      </c>
    </row>
    <row r="74" customFormat="false" ht="17.15" hidden="false" customHeight="false" outlineLevel="0" collapsed="false">
      <c r="A74" s="0" t="s">
        <v>255</v>
      </c>
      <c r="B74" s="0" t="s">
        <v>256</v>
      </c>
      <c r="C74" s="0" t="s">
        <v>44</v>
      </c>
      <c r="D74" s="7" t="n">
        <v>0.42</v>
      </c>
      <c r="E74" s="7" t="n">
        <v>0.48</v>
      </c>
      <c r="F74" s="7" t="n">
        <v>0.52</v>
      </c>
      <c r="G74" s="8" t="s">
        <v>32</v>
      </c>
      <c r="H74" s="8" t="s">
        <v>257</v>
      </c>
      <c r="I74" s="8" t="s">
        <v>258</v>
      </c>
    </row>
    <row r="75" customFormat="false" ht="17.15" hidden="false" customHeight="false" outlineLevel="0" collapsed="false">
      <c r="A75" s="0" t="s">
        <v>259</v>
      </c>
      <c r="B75" s="0" t="s">
        <v>260</v>
      </c>
      <c r="C75" s="0" t="s">
        <v>219</v>
      </c>
      <c r="D75" s="7" t="n">
        <v>0.95</v>
      </c>
      <c r="E75" s="7" t="n">
        <v>1.05</v>
      </c>
      <c r="F75" s="7" t="n">
        <v>1.25</v>
      </c>
      <c r="G75" s="8" t="s">
        <v>32</v>
      </c>
      <c r="H75" s="8" t="s">
        <v>261</v>
      </c>
      <c r="I75" s="8" t="s">
        <v>118</v>
      </c>
    </row>
    <row r="76" customFormat="false" ht="17.15" hidden="false" customHeight="false" outlineLevel="0" collapsed="false">
      <c r="A76" s="0" t="s">
        <v>262</v>
      </c>
      <c r="B76" s="0" t="s">
        <v>263</v>
      </c>
      <c r="C76" s="0" t="s">
        <v>219</v>
      </c>
      <c r="D76" s="7" t="n">
        <v>0.25</v>
      </c>
      <c r="E76" s="7" t="n">
        <v>0.4</v>
      </c>
      <c r="F76" s="7" t="n">
        <v>0.55</v>
      </c>
      <c r="G76" s="8" t="s">
        <v>32</v>
      </c>
      <c r="H76" s="8" t="s">
        <v>264</v>
      </c>
      <c r="I76" s="8" t="s">
        <v>265</v>
      </c>
    </row>
    <row r="77" customFormat="false" ht="17.15" hidden="false" customHeight="false" outlineLevel="0" collapsed="false">
      <c r="A77" s="0" t="s">
        <v>266</v>
      </c>
      <c r="B77" s="0" t="s">
        <v>267</v>
      </c>
      <c r="C77" s="0" t="s">
        <v>44</v>
      </c>
      <c r="D77" s="7" t="n">
        <v>0.17</v>
      </c>
      <c r="E77" s="7" t="n">
        <v>0.2</v>
      </c>
      <c r="F77" s="7" t="n">
        <v>0.23</v>
      </c>
      <c r="G77" s="8" t="s">
        <v>32</v>
      </c>
      <c r="H77" s="8" t="s">
        <v>268</v>
      </c>
      <c r="I77" s="8" t="s">
        <v>269</v>
      </c>
    </row>
    <row r="78" customFormat="false" ht="17.15" hidden="false" customHeight="false" outlineLevel="0" collapsed="false">
      <c r="A78" s="0" t="s">
        <v>270</v>
      </c>
      <c r="B78" s="0" t="s">
        <v>271</v>
      </c>
      <c r="C78" s="4" t="s">
        <v>272</v>
      </c>
      <c r="E78" s="7" t="n">
        <v>0.08621</v>
      </c>
      <c r="G78" s="8" t="s">
        <v>214</v>
      </c>
      <c r="H78" s="8" t="s">
        <v>273</v>
      </c>
      <c r="I78" s="8" t="s">
        <v>274</v>
      </c>
    </row>
    <row r="79" customFormat="false" ht="17.15" hidden="false" customHeight="false" outlineLevel="0" collapsed="false">
      <c r="A79" s="6" t="s">
        <v>275</v>
      </c>
    </row>
    <row r="80" customFormat="false" ht="17.15" hidden="false" customHeight="false" outlineLevel="0" collapsed="false">
      <c r="A80" s="0" t="s">
        <v>276</v>
      </c>
      <c r="B80" s="4" t="s">
        <v>277</v>
      </c>
      <c r="C80" s="0" t="s">
        <v>49</v>
      </c>
      <c r="D80" s="7" t="n">
        <v>0.2</v>
      </c>
      <c r="E80" s="7" t="n">
        <v>0.3</v>
      </c>
      <c r="F80" s="7" t="n">
        <v>0.6</v>
      </c>
      <c r="G80" s="8" t="s">
        <v>32</v>
      </c>
      <c r="H80" s="4" t="s">
        <v>278</v>
      </c>
      <c r="I80" s="8" t="s">
        <v>279</v>
      </c>
    </row>
    <row r="81" customFormat="false" ht="17.15" hidden="false" customHeight="false" outlineLevel="0" collapsed="false">
      <c r="A81" s="0" t="s">
        <v>280</v>
      </c>
      <c r="B81" s="4" t="s">
        <v>281</v>
      </c>
      <c r="C81" s="0" t="s">
        <v>44</v>
      </c>
      <c r="D81" s="7" t="n">
        <v>0.05</v>
      </c>
      <c r="E81" s="7" t="n">
        <v>0.08</v>
      </c>
      <c r="F81" s="7" t="n">
        <v>0.12</v>
      </c>
      <c r="G81" s="8" t="s">
        <v>32</v>
      </c>
      <c r="H81" s="8" t="s">
        <v>282</v>
      </c>
      <c r="I81" s="8" t="s">
        <v>118</v>
      </c>
    </row>
    <row r="82" customFormat="false" ht="17.15" hidden="false" customHeight="false" outlineLevel="0" collapsed="false">
      <c r="A82" s="0" t="s">
        <v>283</v>
      </c>
      <c r="B82" s="4" t="s">
        <v>284</v>
      </c>
      <c r="C82" s="0" t="s">
        <v>147</v>
      </c>
      <c r="D82" s="7" t="n">
        <v>-0.02</v>
      </c>
      <c r="E82" s="7" t="n">
        <v>0</v>
      </c>
      <c r="F82" s="7" t="n">
        <v>0.02</v>
      </c>
      <c r="G82" s="8" t="s">
        <v>32</v>
      </c>
      <c r="H82" s="4" t="s">
        <v>139</v>
      </c>
      <c r="I82" s="8" t="s">
        <v>285</v>
      </c>
    </row>
    <row r="83" customFormat="false" ht="17.15" hidden="false" customHeight="false" outlineLevel="0" collapsed="false">
      <c r="A83" s="0" t="s">
        <v>286</v>
      </c>
      <c r="B83" s="4" t="s">
        <v>287</v>
      </c>
      <c r="C83" s="0" t="s">
        <v>219</v>
      </c>
      <c r="D83" s="7" t="n">
        <v>1</v>
      </c>
      <c r="E83" s="7" t="n">
        <v>1.6</v>
      </c>
      <c r="F83" s="7" t="n">
        <v>2.2</v>
      </c>
      <c r="G83" s="8" t="s">
        <v>32</v>
      </c>
      <c r="H83" s="8" t="s">
        <v>288</v>
      </c>
      <c r="I83" s="8" t="s">
        <v>289</v>
      </c>
    </row>
    <row r="84" customFormat="false" ht="17.15" hidden="false" customHeight="false" outlineLevel="0" collapsed="false">
      <c r="A84" s="0" t="s">
        <v>290</v>
      </c>
      <c r="B84" s="4" t="s">
        <v>291</v>
      </c>
      <c r="C84" s="0" t="s">
        <v>44</v>
      </c>
      <c r="D84" s="7" t="n">
        <v>0.17</v>
      </c>
      <c r="E84" s="7" t="n">
        <v>0.2</v>
      </c>
      <c r="F84" s="7" t="n">
        <v>0.25</v>
      </c>
      <c r="G84" s="8" t="s">
        <v>32</v>
      </c>
      <c r="H84" s="8" t="s">
        <v>292</v>
      </c>
      <c r="I84" s="8" t="s">
        <v>118</v>
      </c>
    </row>
    <row r="85" customFormat="false" ht="17.15" hidden="false" customHeight="false" outlineLevel="0" collapsed="false">
      <c r="A85" s="0" t="s">
        <v>293</v>
      </c>
      <c r="B85" s="4" t="s">
        <v>294</v>
      </c>
      <c r="C85" s="0" t="s">
        <v>44</v>
      </c>
      <c r="D85" s="7" t="n">
        <v>-0.005</v>
      </c>
      <c r="E85" s="7" t="n">
        <v>0</v>
      </c>
      <c r="F85" s="7" t="n">
        <v>0.01</v>
      </c>
      <c r="G85" s="8" t="s">
        <v>32</v>
      </c>
      <c r="H85" s="8" t="s">
        <v>295</v>
      </c>
      <c r="I85" s="4" t="s">
        <v>296</v>
      </c>
    </row>
    <row r="86" customFormat="false" ht="17.15" hidden="false" customHeight="false" outlineLevel="0" collapsed="false">
      <c r="A86" s="0" t="s">
        <v>297</v>
      </c>
      <c r="B86" s="4" t="s">
        <v>298</v>
      </c>
      <c r="C86" s="0" t="s">
        <v>224</v>
      </c>
      <c r="D86" s="7" t="n">
        <v>30</v>
      </c>
      <c r="E86" s="7" t="n">
        <v>32</v>
      </c>
      <c r="F86" s="7" t="n">
        <v>34</v>
      </c>
      <c r="G86" s="8" t="s">
        <v>32</v>
      </c>
      <c r="H86" s="4" t="s">
        <v>299</v>
      </c>
      <c r="I86" s="4" t="s">
        <v>300</v>
      </c>
    </row>
    <row r="87" customFormat="false" ht="17.15" hidden="false" customHeight="false" outlineLevel="0" collapsed="false">
      <c r="A87" s="6" t="s">
        <v>301</v>
      </c>
    </row>
    <row r="88" customFormat="false" ht="17.15" hidden="false" customHeight="false" outlineLevel="0" collapsed="false">
      <c r="A88" s="0" t="s">
        <v>302</v>
      </c>
      <c r="B88" s="4" t="s">
        <v>303</v>
      </c>
      <c r="C88" s="0" t="s">
        <v>44</v>
      </c>
      <c r="D88" s="7" t="n">
        <v>0.1</v>
      </c>
      <c r="E88" s="7" t="n">
        <v>0.15</v>
      </c>
      <c r="F88" s="7" t="n">
        <v>0.2</v>
      </c>
      <c r="G88" s="8" t="s">
        <v>214</v>
      </c>
      <c r="H88" s="8" t="s">
        <v>246</v>
      </c>
      <c r="I88" s="8" t="s">
        <v>118</v>
      </c>
    </row>
    <row r="89" customFormat="false" ht="17.15" hidden="false" customHeight="false" outlineLevel="0" collapsed="false">
      <c r="A89" s="0" t="s">
        <v>304</v>
      </c>
      <c r="B89" s="4" t="s">
        <v>305</v>
      </c>
      <c r="C89" s="0" t="s">
        <v>44</v>
      </c>
      <c r="D89" s="7" t="n">
        <v>0.21</v>
      </c>
      <c r="E89" s="7" t="n">
        <v>0.23</v>
      </c>
      <c r="F89" s="7" t="n">
        <v>0.25</v>
      </c>
      <c r="G89" s="8" t="s">
        <v>214</v>
      </c>
      <c r="H89" s="8" t="s">
        <v>246</v>
      </c>
      <c r="I89" s="8" t="s">
        <v>118</v>
      </c>
    </row>
    <row r="90" customFormat="false" ht="17.15" hidden="false" customHeight="false" outlineLevel="0" collapsed="false">
      <c r="A90" s="0" t="s">
        <v>306</v>
      </c>
      <c r="B90" s="4" t="s">
        <v>307</v>
      </c>
      <c r="C90" s="0" t="s">
        <v>219</v>
      </c>
      <c r="D90" s="7" t="n">
        <v>35.4</v>
      </c>
      <c r="E90" s="7" t="n">
        <v>70.7</v>
      </c>
      <c r="F90" s="7" t="n">
        <v>86.1</v>
      </c>
      <c r="G90" s="8" t="s">
        <v>214</v>
      </c>
      <c r="H90" s="8" t="s">
        <v>308</v>
      </c>
      <c r="I90" s="8" t="s">
        <v>309</v>
      </c>
    </row>
    <row r="91" customFormat="false" ht="17.15" hidden="false" customHeight="false" outlineLevel="0" collapsed="false">
      <c r="A91" s="0" t="s">
        <v>310</v>
      </c>
      <c r="B91" s="4" t="s">
        <v>311</v>
      </c>
      <c r="C91" s="0" t="s">
        <v>312</v>
      </c>
      <c r="D91" s="7" t="n">
        <v>103.06</v>
      </c>
      <c r="E91" s="7" t="n">
        <v>135.68</v>
      </c>
      <c r="F91" s="7" t="n">
        <v>163.01</v>
      </c>
      <c r="G91" s="8" t="s">
        <v>214</v>
      </c>
      <c r="H91" s="8" t="s">
        <v>313</v>
      </c>
      <c r="I91" s="4" t="s">
        <v>314</v>
      </c>
    </row>
    <row r="92" customFormat="false" ht="17.15" hidden="false" customHeight="false" outlineLevel="0" collapsed="false">
      <c r="A92" s="0" t="s">
        <v>315</v>
      </c>
      <c r="B92" s="4" t="s">
        <v>316</v>
      </c>
      <c r="C92" s="0" t="s">
        <v>312</v>
      </c>
      <c r="E92" s="7" t="n">
        <v>204.17</v>
      </c>
      <c r="G92" s="8" t="s">
        <v>214</v>
      </c>
      <c r="H92" s="4" t="s">
        <v>317</v>
      </c>
      <c r="I92" s="4" t="s">
        <v>318</v>
      </c>
    </row>
    <row r="93" customFormat="false" ht="17.15" hidden="false" customHeight="false" outlineLevel="0" collapsed="false">
      <c r="A93" s="0" t="s">
        <v>319</v>
      </c>
      <c r="B93" s="4" t="s">
        <v>320</v>
      </c>
      <c r="C93" s="0" t="s">
        <v>312</v>
      </c>
      <c r="E93" s="7" t="n">
        <v>195</v>
      </c>
      <c r="G93" s="8" t="s">
        <v>214</v>
      </c>
      <c r="H93" s="4" t="s">
        <v>321</v>
      </c>
      <c r="I93" s="8" t="s">
        <v>118</v>
      </c>
    </row>
    <row r="94" customFormat="false" ht="17.15" hidden="false" customHeight="false" outlineLevel="0" collapsed="false">
      <c r="A94" s="0" t="s">
        <v>322</v>
      </c>
      <c r="B94" s="4" t="s">
        <v>323</v>
      </c>
      <c r="C94" s="0" t="s">
        <v>219</v>
      </c>
      <c r="E94" s="7" t="n">
        <v>110.4</v>
      </c>
      <c r="G94" s="8" t="s">
        <v>214</v>
      </c>
      <c r="H94" s="4" t="s">
        <v>321</v>
      </c>
      <c r="I94" s="8" t="s">
        <v>324</v>
      </c>
    </row>
    <row r="95" customFormat="false" ht="17.15" hidden="false" customHeight="false" outlineLevel="0" collapsed="false">
      <c r="A95" s="0" t="s">
        <v>325</v>
      </c>
      <c r="B95" s="4" t="s">
        <v>326</v>
      </c>
      <c r="C95" s="0" t="s">
        <v>213</v>
      </c>
      <c r="E95" s="7" t="n">
        <v>1.3</v>
      </c>
      <c r="G95" s="8" t="s">
        <v>214</v>
      </c>
      <c r="H95" s="4" t="s">
        <v>317</v>
      </c>
      <c r="I95" s="4" t="s">
        <v>327</v>
      </c>
    </row>
    <row r="96" customFormat="false" ht="17.15" hidden="false" customHeight="false" outlineLevel="0" collapsed="false">
      <c r="A96" s="0" t="s">
        <v>328</v>
      </c>
      <c r="B96" s="4" t="s">
        <v>329</v>
      </c>
      <c r="C96" s="0" t="s">
        <v>213</v>
      </c>
      <c r="E96" s="7" t="n">
        <v>2.2</v>
      </c>
      <c r="G96" s="8" t="s">
        <v>214</v>
      </c>
      <c r="H96" s="4" t="s">
        <v>317</v>
      </c>
      <c r="I96" s="4" t="s">
        <v>330</v>
      </c>
    </row>
    <row r="97" customFormat="false" ht="17.15" hidden="false" customHeight="false" outlineLevel="0" collapsed="false">
      <c r="A97" s="0" t="s">
        <v>331</v>
      </c>
      <c r="B97" s="4" t="s">
        <v>332</v>
      </c>
      <c r="C97" s="0" t="s">
        <v>213</v>
      </c>
      <c r="E97" s="7" t="n">
        <v>3.8</v>
      </c>
      <c r="G97" s="8" t="s">
        <v>214</v>
      </c>
      <c r="H97" s="4" t="s">
        <v>317</v>
      </c>
      <c r="I97" s="8" t="s">
        <v>333</v>
      </c>
    </row>
    <row r="98" customFormat="false" ht="17.15" hidden="false" customHeight="false" outlineLevel="0" collapsed="false">
      <c r="A98" s="0" t="s">
        <v>334</v>
      </c>
      <c r="B98" s="4" t="s">
        <v>335</v>
      </c>
      <c r="C98" s="0" t="s">
        <v>213</v>
      </c>
      <c r="E98" s="7" t="n">
        <v>4</v>
      </c>
      <c r="G98" s="8" t="s">
        <v>214</v>
      </c>
      <c r="H98" s="4" t="s">
        <v>336</v>
      </c>
      <c r="I98" s="4" t="s">
        <v>337</v>
      </c>
    </row>
    <row r="99" customFormat="false" ht="17.15" hidden="false" customHeight="false" outlineLevel="0" collapsed="false">
      <c r="A99" s="0" t="s">
        <v>338</v>
      </c>
      <c r="B99" s="0" t="s">
        <v>339</v>
      </c>
      <c r="C99" s="4" t="s">
        <v>31</v>
      </c>
      <c r="E99" s="7" t="n">
        <v>2.8</v>
      </c>
      <c r="G99" s="8" t="s">
        <v>214</v>
      </c>
      <c r="H99" s="4" t="s">
        <v>340</v>
      </c>
      <c r="I99" s="4" t="s">
        <v>341</v>
      </c>
    </row>
    <row r="100" customFormat="false" ht="17.15" hidden="false" customHeight="false" outlineLevel="0" collapsed="false">
      <c r="A100" s="6" t="s">
        <v>342</v>
      </c>
    </row>
    <row r="101" customFormat="false" ht="17.15" hidden="false" customHeight="false" outlineLevel="0" collapsed="false">
      <c r="A101" s="0" t="s">
        <v>343</v>
      </c>
      <c r="B101" s="4" t="s">
        <v>344</v>
      </c>
      <c r="C101" s="0" t="s">
        <v>312</v>
      </c>
      <c r="E101" s="7" t="n">
        <v>3495</v>
      </c>
      <c r="G101" s="8" t="s">
        <v>214</v>
      </c>
      <c r="H101" s="8" t="s">
        <v>345</v>
      </c>
      <c r="I101" s="8" t="s">
        <v>346</v>
      </c>
    </row>
    <row r="102" customFormat="false" ht="17.15" hidden="false" customHeight="false" outlineLevel="0" collapsed="false">
      <c r="A102" s="0" t="s">
        <v>347</v>
      </c>
      <c r="B102" s="4" t="s">
        <v>348</v>
      </c>
      <c r="C102" s="0" t="s">
        <v>49</v>
      </c>
      <c r="E102" s="7" t="n">
        <v>50.74</v>
      </c>
      <c r="G102" s="8" t="s">
        <v>214</v>
      </c>
      <c r="H102" s="8" t="s">
        <v>349</v>
      </c>
      <c r="I102" s="8" t="s">
        <v>350</v>
      </c>
    </row>
    <row r="103" customFormat="false" ht="17.15" hidden="false" customHeight="false" outlineLevel="0" collapsed="false">
      <c r="A103" s="0" t="s">
        <v>351</v>
      </c>
      <c r="B103" s="4" t="s">
        <v>352</v>
      </c>
      <c r="C103" s="0" t="s">
        <v>49</v>
      </c>
      <c r="E103" s="7" t="n">
        <v>17.15</v>
      </c>
      <c r="G103" s="8" t="s">
        <v>214</v>
      </c>
      <c r="H103" s="8" t="s">
        <v>349</v>
      </c>
      <c r="I103" s="8" t="s">
        <v>118</v>
      </c>
    </row>
    <row r="104" customFormat="false" ht="17.15" hidden="false" customHeight="false" outlineLevel="0" collapsed="false">
      <c r="A104" s="0" t="s">
        <v>353</v>
      </c>
      <c r="B104" s="4" t="s">
        <v>354</v>
      </c>
      <c r="C104" s="0" t="s">
        <v>312</v>
      </c>
      <c r="E104" s="0" t="n">
        <f aca="false">px/fpe</f>
        <v>203.790087463557</v>
      </c>
      <c r="G104" s="0" t="s">
        <v>81</v>
      </c>
      <c r="H104" s="0" t="s">
        <v>355</v>
      </c>
      <c r="I104" s="4" t="s">
        <v>356</v>
      </c>
    </row>
    <row r="105" customFormat="false" ht="17.15" hidden="false" customHeight="false" outlineLevel="0" collapsed="false">
      <c r="A105" s="0" t="s">
        <v>357</v>
      </c>
      <c r="B105" s="4" t="s">
        <v>358</v>
      </c>
      <c r="C105" s="0" t="s">
        <v>312</v>
      </c>
      <c r="D105" s="7" t="n">
        <v>3755</v>
      </c>
      <c r="E105" s="7" t="n">
        <v>5803.25</v>
      </c>
      <c r="F105" s="7" t="n">
        <v>6800</v>
      </c>
      <c r="G105" s="8" t="s">
        <v>214</v>
      </c>
      <c r="H105" s="8" t="s">
        <v>359</v>
      </c>
      <c r="I105" s="4" t="s">
        <v>360</v>
      </c>
    </row>
    <row r="106" customFormat="false" ht="17.15" hidden="false" customHeight="false" outlineLevel="0" collapsed="false">
      <c r="A106" s="0" t="s">
        <v>361</v>
      </c>
      <c r="B106" s="4" t="s">
        <v>362</v>
      </c>
      <c r="C106" s="0" t="s">
        <v>44</v>
      </c>
      <c r="E106" s="0" t="n">
        <f aca="false">AVERAGE(1490/10428,1834/13725,3325/30482,6446/51969,5598/30926)</f>
        <v>0.138127661138256</v>
      </c>
      <c r="G106" s="0" t="s">
        <v>81</v>
      </c>
      <c r="H106" s="0" t="s">
        <v>363</v>
      </c>
      <c r="I106" s="4" t="s">
        <v>364</v>
      </c>
    </row>
    <row r="107" customFormat="false" ht="17.15" hidden="false" customHeight="false" outlineLevel="0" collapsed="false">
      <c r="A107" s="6" t="s">
        <v>365</v>
      </c>
    </row>
    <row r="108" customFormat="false" ht="17.15" hidden="false" customHeight="false" outlineLevel="0" collapsed="false">
      <c r="A108" s="9" t="s">
        <v>366</v>
      </c>
      <c r="B108" s="10" t="s">
        <v>367</v>
      </c>
      <c r="C108" s="9" t="s">
        <v>44</v>
      </c>
      <c r="D108" s="9"/>
      <c r="E108" s="11" t="n">
        <v>0.3</v>
      </c>
      <c r="F108" s="9"/>
      <c r="G108" s="9" t="s">
        <v>32</v>
      </c>
      <c r="H108" s="9" t="s">
        <v>368</v>
      </c>
      <c r="I108" s="10" t="s">
        <v>369</v>
      </c>
    </row>
    <row r="109" customFormat="false" ht="17.15" hidden="false" customHeight="false" outlineLevel="0" collapsed="false">
      <c r="A109" s="9" t="s">
        <v>370</v>
      </c>
      <c r="B109" s="10" t="s">
        <v>371</v>
      </c>
      <c r="C109" s="9" t="s">
        <v>44</v>
      </c>
      <c r="D109" s="9"/>
      <c r="E109" s="11" t="n">
        <v>0.5</v>
      </c>
      <c r="F109" s="9"/>
      <c r="G109" s="9" t="s">
        <v>32</v>
      </c>
      <c r="H109" s="9" t="s">
        <v>368</v>
      </c>
      <c r="I109" s="10" t="s">
        <v>369</v>
      </c>
    </row>
    <row r="110" customFormat="false" ht="17.15" hidden="false" customHeight="false" outlineLevel="0" collapsed="false">
      <c r="A110" s="9" t="s">
        <v>372</v>
      </c>
      <c r="B110" s="10" t="s">
        <v>373</v>
      </c>
      <c r="C110" s="9" t="s">
        <v>44</v>
      </c>
      <c r="D110" s="9"/>
      <c r="E110" s="11" t="n">
        <v>0.2</v>
      </c>
      <c r="F110" s="9"/>
      <c r="G110" s="9" t="s">
        <v>32</v>
      </c>
      <c r="H110" s="9" t="s">
        <v>368</v>
      </c>
      <c r="I110" s="10" t="s">
        <v>369</v>
      </c>
    </row>
    <row r="111" customFormat="false" ht="17.15" hidden="false" customHeight="false" outlineLevel="0" collapsed="false">
      <c r="A111" s="9" t="s">
        <v>374</v>
      </c>
      <c r="B111" s="10" t="s">
        <v>375</v>
      </c>
      <c r="C111" s="9" t="s">
        <v>44</v>
      </c>
      <c r="D111" s="9"/>
      <c r="E111" s="11" t="n">
        <v>0.1</v>
      </c>
      <c r="F111" s="9"/>
      <c r="G111" s="9" t="s">
        <v>32</v>
      </c>
      <c r="H111" s="9" t="s">
        <v>376</v>
      </c>
      <c r="I111" s="10" t="s">
        <v>377</v>
      </c>
    </row>
    <row r="112" customFormat="false" ht="17.15" hidden="false" customHeight="false" outlineLevel="0" collapsed="false">
      <c r="A112" s="9" t="s">
        <v>378</v>
      </c>
      <c r="B112" s="10" t="s">
        <v>379</v>
      </c>
      <c r="C112" s="9" t="s">
        <v>44</v>
      </c>
      <c r="D112" s="9"/>
      <c r="E112" s="11" t="n">
        <v>0.04</v>
      </c>
      <c r="F112" s="9"/>
      <c r="G112" s="9" t="s">
        <v>32</v>
      </c>
      <c r="H112" s="9" t="s">
        <v>380</v>
      </c>
      <c r="I112" s="10" t="s">
        <v>381</v>
      </c>
    </row>
    <row r="113" customFormat="false" ht="17.15" hidden="false" customHeight="false" outlineLevel="0" collapsed="false">
      <c r="A113" s="9" t="s">
        <v>382</v>
      </c>
      <c r="B113" s="9" t="s">
        <v>383</v>
      </c>
      <c r="C113" s="9" t="s">
        <v>44</v>
      </c>
      <c r="D113" s="9"/>
      <c r="E113" s="9" t="n">
        <f aca="false">AVERAGE(0.214,0.2242,0.1394)</f>
        <v>0.192533333333333</v>
      </c>
      <c r="F113" s="9"/>
      <c r="G113" s="9" t="s">
        <v>81</v>
      </c>
      <c r="H113" s="9" t="s">
        <v>384</v>
      </c>
      <c r="I113" s="10" t="s">
        <v>385</v>
      </c>
    </row>
    <row r="114" customFormat="false" ht="17.15" hidden="false" customHeight="false" outlineLevel="0" collapsed="false">
      <c r="A114" s="9" t="s">
        <v>386</v>
      </c>
      <c r="B114" s="10" t="s">
        <v>387</v>
      </c>
      <c r="C114" s="9" t="s">
        <v>44</v>
      </c>
      <c r="D114" s="9"/>
      <c r="E114" s="11" t="n">
        <v>0.5</v>
      </c>
      <c r="F114" s="9"/>
      <c r="G114" s="9" t="s">
        <v>32</v>
      </c>
      <c r="H114" s="9" t="s">
        <v>388</v>
      </c>
      <c r="I114" s="9" t="s">
        <v>118</v>
      </c>
    </row>
    <row r="115" customFormat="false" ht="17.15" hidden="false" customHeight="false" outlineLevel="0" collapsed="false">
      <c r="A115" s="9" t="s">
        <v>389</v>
      </c>
      <c r="B115" s="10" t="s">
        <v>390</v>
      </c>
      <c r="C115" s="9" t="s">
        <v>44</v>
      </c>
      <c r="D115" s="9"/>
      <c r="E115" s="9" t="n">
        <f aca="false">tp_g+0.02</f>
        <v>0.06</v>
      </c>
      <c r="F115" s="9"/>
      <c r="G115" s="9" t="s">
        <v>32</v>
      </c>
      <c r="H115" s="10" t="s">
        <v>391</v>
      </c>
      <c r="I115" s="9" t="s">
        <v>392</v>
      </c>
    </row>
    <row r="116" customFormat="false" ht="17.15" hidden="false" customHeight="false" outlineLevel="0" collapsed="false">
      <c r="A116" s="9" t="s">
        <v>393</v>
      </c>
      <c r="B116" s="10" t="s">
        <v>394</v>
      </c>
      <c r="C116" s="9" t="s">
        <v>44</v>
      </c>
      <c r="D116" s="9"/>
      <c r="E116" s="9" t="n">
        <f aca="false">tp_g</f>
        <v>0.04</v>
      </c>
      <c r="F116" s="9"/>
      <c r="G116" s="9" t="s">
        <v>32</v>
      </c>
      <c r="H116" s="10" t="s">
        <v>38</v>
      </c>
      <c r="I116" s="9" t="s">
        <v>118</v>
      </c>
    </row>
    <row r="117" customFormat="false" ht="17.15" hidden="false" customHeight="false" outlineLevel="0" collapsed="false">
      <c r="A117" s="9" t="s">
        <v>395</v>
      </c>
      <c r="B117" s="10" t="s">
        <v>396</v>
      </c>
      <c r="C117" s="9" t="s">
        <v>44</v>
      </c>
      <c r="D117" s="9"/>
      <c r="E117" s="9" t="n">
        <f aca="false">tp_g-0.02</f>
        <v>0.02</v>
      </c>
      <c r="F117" s="9"/>
      <c r="G117" s="9" t="s">
        <v>32</v>
      </c>
      <c r="H117" s="10" t="s">
        <v>38</v>
      </c>
      <c r="I117" s="9" t="s">
        <v>118</v>
      </c>
    </row>
    <row r="118" customFormat="false" ht="17.15" hidden="false" customHeight="false" outlineLevel="0" collapsed="false">
      <c r="A118" s="9" t="s">
        <v>397</v>
      </c>
      <c r="B118" s="10" t="s">
        <v>398</v>
      </c>
      <c r="C118" s="9" t="s">
        <v>44</v>
      </c>
      <c r="D118" s="9"/>
      <c r="E118" s="12" t="n">
        <f aca="false">PL!G12</f>
        <v>0.129845156146594</v>
      </c>
      <c r="F118" s="9"/>
      <c r="G118" s="9" t="s">
        <v>81</v>
      </c>
      <c r="H118" s="9" t="s">
        <v>399</v>
      </c>
      <c r="I118" s="9" t="s">
        <v>118</v>
      </c>
    </row>
    <row r="119" customFormat="false" ht="17.15" hidden="false" customHeight="false" outlineLevel="0" collapsed="false">
      <c r="A119" s="9" t="s">
        <v>400</v>
      </c>
      <c r="B119" s="10" t="s">
        <v>401</v>
      </c>
      <c r="C119" s="9" t="s">
        <v>44</v>
      </c>
      <c r="D119" s="9"/>
      <c r="E119" s="13" t="n">
        <f aca="false">PL!G24*0.9</f>
        <v>0.116516982596536</v>
      </c>
      <c r="F119" s="9"/>
      <c r="G119" s="9" t="s">
        <v>32</v>
      </c>
      <c r="H119" s="10" t="s">
        <v>402</v>
      </c>
      <c r="I119" s="9" t="s">
        <v>118</v>
      </c>
    </row>
    <row r="120" customFormat="false" ht="17.15" hidden="false" customHeight="false" outlineLevel="0" collapsed="false">
      <c r="A120" s="9" t="s">
        <v>403</v>
      </c>
      <c r="B120" s="10" t="s">
        <v>404</v>
      </c>
      <c r="C120" s="9" t="s">
        <v>44</v>
      </c>
      <c r="D120" s="9"/>
      <c r="E120" s="13" t="n">
        <f aca="false">PL!G36*0.8</f>
        <v>0.0958750506066946</v>
      </c>
      <c r="F120" s="9"/>
      <c r="G120" s="9" t="s">
        <v>32</v>
      </c>
      <c r="H120" s="10" t="s">
        <v>38</v>
      </c>
      <c r="I120" s="9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7" min="2" style="0" width="14"/>
    <col collapsed="false" customWidth="true" hidden="false" outlineLevel="0" max="8" min="8" style="0" width="30"/>
    <col collapsed="false" customWidth="true" hidden="false" outlineLevel="0" max="9" min="9" style="0" width="5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405</v>
      </c>
    </row>
    <row r="2" customFormat="false" ht="17.15" hidden="false" customHeight="false" outlineLevel="0" collapsed="false">
      <c r="A2" s="0" t="s">
        <v>406</v>
      </c>
    </row>
    <row r="3" customFormat="false" ht="17.15" hidden="false" customHeight="false" outlineLevel="0" collapsed="false">
      <c r="A3" s="5" t="s">
        <v>20</v>
      </c>
      <c r="B3" s="14" t="s">
        <v>407</v>
      </c>
      <c r="C3" s="14" t="s">
        <v>408</v>
      </c>
      <c r="D3" s="14" t="s">
        <v>409</v>
      </c>
      <c r="E3" s="14" t="s">
        <v>410</v>
      </c>
      <c r="F3" s="14" t="s">
        <v>411</v>
      </c>
      <c r="G3" s="14" t="s">
        <v>412</v>
      </c>
      <c r="H3" s="5" t="s">
        <v>25</v>
      </c>
      <c r="I3" s="5" t="s">
        <v>26</v>
      </c>
      <c r="J3" s="5" t="s">
        <v>27</v>
      </c>
    </row>
    <row r="4" customFormat="false" ht="17.15" hidden="false" customHeight="false" outlineLevel="0" collapsed="false">
      <c r="A4" s="4" t="s">
        <v>413</v>
      </c>
      <c r="B4" s="15" t="n">
        <v>30.926</v>
      </c>
      <c r="C4" s="15" t="n">
        <v>4.187</v>
      </c>
      <c r="D4" s="15" t="n">
        <v>7.64</v>
      </c>
      <c r="E4" s="16" t="n">
        <f aca="false">q3_rev</f>
        <v>26.051</v>
      </c>
      <c r="F4" s="16" t="n">
        <f aca="false">E4*(1+q4_g)</f>
        <v>29.95865</v>
      </c>
      <c r="G4" s="16" t="n">
        <f aca="false">SUM(C4:F4)</f>
        <v>67.83665</v>
      </c>
      <c r="H4" s="8" t="s">
        <v>414</v>
      </c>
      <c r="I4" s="8" t="s">
        <v>415</v>
      </c>
      <c r="J4" s="8" t="s">
        <v>416</v>
      </c>
    </row>
    <row r="5" customFormat="false" ht="17.15" hidden="false" customHeight="false" outlineLevel="0" collapsed="false">
      <c r="A5" s="0" t="s">
        <v>417</v>
      </c>
      <c r="B5" s="15" t="n">
        <v>0</v>
      </c>
      <c r="C5" s="15" t="n">
        <v>0</v>
      </c>
      <c r="D5" s="16" t="n">
        <f aca="false">q2_trn</f>
        <v>3</v>
      </c>
      <c r="E5" s="16" t="n">
        <f aca="false">E4*q3_trnsh</f>
        <v>20.8408</v>
      </c>
      <c r="F5" s="16" t="n">
        <f aca="false">dc26*fx26-D5-E5</f>
        <v>23.5592</v>
      </c>
      <c r="G5" s="16" t="n">
        <f aca="false">SUM(C5:F5)</f>
        <v>47.4</v>
      </c>
      <c r="H5" s="8" t="s">
        <v>418</v>
      </c>
      <c r="I5" s="4" t="s">
        <v>419</v>
      </c>
      <c r="J5" s="8" t="s">
        <v>420</v>
      </c>
    </row>
    <row r="6" customFormat="false" ht="17.15" hidden="false" customHeight="false" outlineLevel="0" collapsed="false">
      <c r="A6" s="4" t="s">
        <v>421</v>
      </c>
      <c r="B6" s="16" t="n">
        <f aca="false">B4-B5</f>
        <v>30.926</v>
      </c>
      <c r="C6" s="16" t="n">
        <f aca="false">C4-C5</f>
        <v>4.187</v>
      </c>
      <c r="D6" s="16" t="n">
        <f aca="false">D4-D5</f>
        <v>4.64</v>
      </c>
      <c r="E6" s="16" t="n">
        <f aca="false">E4-E5</f>
        <v>5.2102</v>
      </c>
      <c r="F6" s="16" t="n">
        <f aca="false">F4-F5</f>
        <v>6.39944999999999</v>
      </c>
      <c r="G6" s="16" t="n">
        <f aca="false">SUM(C6:F6)</f>
        <v>20.43665</v>
      </c>
      <c r="H6" s="8" t="s">
        <v>81</v>
      </c>
      <c r="I6" s="8" t="s">
        <v>118</v>
      </c>
      <c r="J6" s="8" t="s">
        <v>118</v>
      </c>
    </row>
    <row r="7" customFormat="false" ht="17.15" hidden="false" customHeight="false" outlineLevel="0" collapsed="false">
      <c r="A7" s="4" t="s">
        <v>422</v>
      </c>
      <c r="B7" s="15" t="n">
        <v>8.154</v>
      </c>
      <c r="C7" s="15" t="n">
        <v>2.101</v>
      </c>
      <c r="D7" s="15" t="n">
        <v>2.662</v>
      </c>
      <c r="E7" s="16" t="n">
        <f aca="false">E4*q3_gm</f>
        <v>5.47071</v>
      </c>
      <c r="F7" s="16" t="n">
        <f aca="false">m_trn*F5+q4_gmo*F6</f>
        <v>6.134432</v>
      </c>
      <c r="G7" s="16" t="n">
        <f aca="false">SUM(C7:F7)</f>
        <v>16.368142</v>
      </c>
      <c r="H7" s="8" t="s">
        <v>423</v>
      </c>
      <c r="I7" s="8" t="s">
        <v>415</v>
      </c>
      <c r="J7" s="8" t="s">
        <v>424</v>
      </c>
    </row>
    <row r="8" customFormat="false" ht="17.15" hidden="false" customHeight="false" outlineLevel="0" collapsed="false">
      <c r="A8" s="4" t="s">
        <v>425</v>
      </c>
      <c r="B8" s="17" t="n">
        <f aca="false">B7/B4</f>
        <v>0.263661643924206</v>
      </c>
      <c r="C8" s="17" t="n">
        <f aca="false">C7/C4</f>
        <v>0.50179125865775</v>
      </c>
      <c r="D8" s="17" t="n">
        <f aca="false">D7/D4</f>
        <v>0.348429319371728</v>
      </c>
      <c r="E8" s="17" t="n">
        <f aca="false">E7/E4</f>
        <v>0.21</v>
      </c>
      <c r="F8" s="17" t="n">
        <f aca="false">F7/F4</f>
        <v>0.204763298746773</v>
      </c>
      <c r="G8" s="17" t="n">
        <f aca="false">G7/G4</f>
        <v>0.241287593063632</v>
      </c>
      <c r="H8" s="8" t="s">
        <v>81</v>
      </c>
      <c r="I8" s="8" t="s">
        <v>118</v>
      </c>
      <c r="J8" s="4" t="s">
        <v>426</v>
      </c>
    </row>
    <row r="9" customFormat="false" ht="17.15" hidden="false" customHeight="false" outlineLevel="0" collapsed="false">
      <c r="A9" s="4" t="s">
        <v>427</v>
      </c>
      <c r="C9" s="17" t="n">
        <f aca="false">(C7-m_trn*C5)/C6</f>
        <v>0.50179125865775</v>
      </c>
      <c r="D9" s="17" t="n">
        <f aca="false">(D7-m_trn*D5)/D6</f>
        <v>0.489655172413793</v>
      </c>
      <c r="E9" s="17" t="n">
        <f aca="false">(E7-m_trn*E5)/E6</f>
        <v>0.53</v>
      </c>
      <c r="F9" s="17" t="n">
        <f aca="false">(F7-m_trn*F5)/F6</f>
        <v>0.48</v>
      </c>
      <c r="H9" s="8" t="s">
        <v>81</v>
      </c>
      <c r="I9" s="8" t="s">
        <v>118</v>
      </c>
      <c r="J9" s="8" t="s">
        <v>428</v>
      </c>
    </row>
    <row r="10" customFormat="false" ht="17.15" hidden="false" customHeight="false" outlineLevel="0" collapsed="false">
      <c r="A10" s="4" t="s">
        <v>429</v>
      </c>
      <c r="B10" s="16" t="n">
        <f aca="false">8.154-5.016</f>
        <v>3.138</v>
      </c>
      <c r="C10" s="16" t="n">
        <f aca="false">2.101-1.367</f>
        <v>0.734</v>
      </c>
      <c r="D10" s="16" t="n">
        <f aca="false">2.662-1.647</f>
        <v>1.015</v>
      </c>
      <c r="E10" s="16" t="n">
        <f aca="false">q3_opx</f>
        <v>1.05</v>
      </c>
      <c r="F10" s="16" t="n">
        <f aca="false">q4_opx</f>
        <v>1.05</v>
      </c>
      <c r="G10" s="16" t="n">
        <f aca="false">SUM(C10:F10)</f>
        <v>3.849</v>
      </c>
      <c r="H10" s="8" t="s">
        <v>430</v>
      </c>
      <c r="I10" s="8" t="s">
        <v>415</v>
      </c>
      <c r="J10" s="4" t="s">
        <v>431</v>
      </c>
    </row>
    <row r="11" customFormat="false" ht="17.15" hidden="false" customHeight="false" outlineLevel="0" collapsed="false">
      <c r="A11" s="4" t="s">
        <v>432</v>
      </c>
      <c r="B11" s="15" t="n">
        <v>5.016</v>
      </c>
      <c r="C11" s="15" t="n">
        <v>1.367</v>
      </c>
      <c r="D11" s="15" t="n">
        <v>1.647</v>
      </c>
      <c r="E11" s="16" t="n">
        <f aca="false">E7-E10</f>
        <v>4.42071</v>
      </c>
      <c r="F11" s="16" t="n">
        <f aca="false">F7-F10</f>
        <v>5.084432</v>
      </c>
      <c r="G11" s="16" t="n">
        <f aca="false">SUM(C11:F11)</f>
        <v>12.519142</v>
      </c>
      <c r="H11" s="8" t="s">
        <v>433</v>
      </c>
      <c r="I11" s="8" t="s">
        <v>415</v>
      </c>
      <c r="J11" s="8" t="s">
        <v>434</v>
      </c>
    </row>
    <row r="12" customFormat="false" ht="17.15" hidden="false" customHeight="false" outlineLevel="0" collapsed="false">
      <c r="A12" s="4" t="s">
        <v>435</v>
      </c>
      <c r="B12" s="16" t="n">
        <f aca="false">B13-B11</f>
        <v>1.7042198</v>
      </c>
      <c r="C12" s="16" t="n">
        <f aca="false">C13-C11</f>
        <v>0.417</v>
      </c>
      <c r="D12" s="16" t="n">
        <f aca="false">D13-D11</f>
        <v>0.388</v>
      </c>
      <c r="E12" s="16" t="n">
        <f aca="false">q_nonop</f>
        <v>0.4</v>
      </c>
      <c r="F12" s="16" t="n">
        <f aca="false">q_nonop</f>
        <v>0.4</v>
      </c>
      <c r="G12" s="16" t="n">
        <f aca="false">SUM(C12:F12)</f>
        <v>1.605</v>
      </c>
      <c r="H12" s="8" t="s">
        <v>70</v>
      </c>
      <c r="I12" s="8" t="s">
        <v>415</v>
      </c>
      <c r="J12" s="4" t="s">
        <v>436</v>
      </c>
    </row>
    <row r="13" customFormat="false" ht="17.15" hidden="false" customHeight="false" outlineLevel="0" collapsed="false">
      <c r="A13" s="4" t="s">
        <v>437</v>
      </c>
      <c r="B13" s="16" t="n">
        <f aca="false">30.926*0.2173</f>
        <v>6.7202198</v>
      </c>
      <c r="C13" s="15" t="n">
        <v>1.784</v>
      </c>
      <c r="D13" s="15" t="n">
        <v>2.035</v>
      </c>
      <c r="E13" s="16" t="n">
        <f aca="false">E11+E12</f>
        <v>4.82071</v>
      </c>
      <c r="F13" s="16" t="n">
        <f aca="false">F11+F12</f>
        <v>5.484432</v>
      </c>
      <c r="G13" s="16" t="n">
        <f aca="false">SUM(C13:F13)</f>
        <v>14.124142</v>
      </c>
      <c r="H13" s="8" t="s">
        <v>433</v>
      </c>
      <c r="I13" s="8" t="s">
        <v>415</v>
      </c>
      <c r="J13" s="8" t="s">
        <v>438</v>
      </c>
    </row>
    <row r="14" customFormat="false" ht="17.15" hidden="false" customHeight="false" outlineLevel="0" collapsed="false">
      <c r="A14" s="4" t="s">
        <v>439</v>
      </c>
      <c r="B14" s="16" t="n">
        <f aca="false">B13-B16</f>
        <v>1.1222198</v>
      </c>
      <c r="C14" s="16" t="n">
        <f aca="false">C13-C16</f>
        <v>0.357</v>
      </c>
      <c r="D14" s="16" t="n">
        <f aca="false">D13-D16</f>
        <v>0.396</v>
      </c>
      <c r="E14" s="16" t="n">
        <f aca="false">E13*q_tax</f>
        <v>0.964142</v>
      </c>
      <c r="F14" s="16" t="n">
        <f aca="false">F13*q_tax</f>
        <v>1.0968864</v>
      </c>
      <c r="G14" s="16" t="n">
        <f aca="false">SUM(C14:F14)</f>
        <v>2.8140284</v>
      </c>
      <c r="H14" s="8" t="s">
        <v>70</v>
      </c>
      <c r="I14" s="8" t="s">
        <v>415</v>
      </c>
      <c r="J14" s="4" t="s">
        <v>440</v>
      </c>
    </row>
    <row r="15" customFormat="false" ht="15" hidden="false" customHeight="false" outlineLevel="0" collapsed="false">
      <c r="A15" s="4" t="s">
        <v>441</v>
      </c>
      <c r="B15" s="18" t="n">
        <f aca="false">B14/B13</f>
        <v>0.166991532032925</v>
      </c>
      <c r="C15" s="18" t="n">
        <f aca="false">C14/C13</f>
        <v>0.200112107623318</v>
      </c>
      <c r="D15" s="18" t="n">
        <f aca="false">D14/D13</f>
        <v>0.194594594594595</v>
      </c>
      <c r="E15" s="18" t="n">
        <f aca="false">E14/E13</f>
        <v>0.2</v>
      </c>
      <c r="F15" s="18" t="n">
        <f aca="false">F14/F13</f>
        <v>0.2</v>
      </c>
      <c r="G15" s="18" t="n">
        <f aca="false">G14/G13</f>
        <v>0.199235351782784</v>
      </c>
      <c r="H15" s="8" t="s">
        <v>81</v>
      </c>
      <c r="I15" s="8" t="s">
        <v>118</v>
      </c>
      <c r="J15" s="8" t="s">
        <v>118</v>
      </c>
    </row>
    <row r="16" customFormat="false" ht="17.15" hidden="false" customHeight="false" outlineLevel="0" collapsed="false">
      <c r="A16" s="4" t="s">
        <v>442</v>
      </c>
      <c r="B16" s="15" t="n">
        <v>5.598</v>
      </c>
      <c r="C16" s="15" t="n">
        <v>1.427</v>
      </c>
      <c r="D16" s="15" t="n">
        <v>1.639</v>
      </c>
      <c r="E16" s="16" t="n">
        <f aca="false">E13-E14</f>
        <v>3.856568</v>
      </c>
      <c r="F16" s="16" t="n">
        <f aca="false">F13-F14</f>
        <v>4.3875456</v>
      </c>
      <c r="G16" s="16" t="n">
        <f aca="false">SUM(C16:F16)</f>
        <v>11.3101136</v>
      </c>
      <c r="H16" s="8" t="s">
        <v>433</v>
      </c>
      <c r="I16" s="8" t="s">
        <v>415</v>
      </c>
      <c r="J16" s="8" t="s">
        <v>443</v>
      </c>
    </row>
    <row r="17" customFormat="false" ht="17.15" hidden="false" customHeight="false" outlineLevel="0" collapsed="false">
      <c r="A17" s="4" t="s">
        <v>444</v>
      </c>
      <c r="B17" s="19" t="n">
        <f aca="false">5.598/69.18</f>
        <v>0.0809193408499566</v>
      </c>
      <c r="C17" s="19" t="n">
        <f aca="false">1.427/17.55</f>
        <v>0.0813105413105413</v>
      </c>
      <c r="D17" s="19" t="n">
        <f aca="false">1.639/20.02</f>
        <v>0.0818681318681319</v>
      </c>
      <c r="E17" s="19" t="n">
        <f aca="false">q_sh</f>
        <v>0.08621</v>
      </c>
      <c r="F17" s="19" t="n">
        <f aca="false">q_sh</f>
        <v>0.08621</v>
      </c>
      <c r="G17" s="19" t="n">
        <f aca="false">AVERAGE(C17:F17)</f>
        <v>0.0838996682946683</v>
      </c>
      <c r="H17" s="8" t="s">
        <v>81</v>
      </c>
      <c r="I17" s="4" t="s">
        <v>445</v>
      </c>
      <c r="J17" s="8" t="s">
        <v>118</v>
      </c>
    </row>
    <row r="18" customFormat="false" ht="17.15" hidden="false" customHeight="false" outlineLevel="0" collapsed="false">
      <c r="A18" s="0" t="s">
        <v>446</v>
      </c>
      <c r="B18" s="20" t="n">
        <f aca="false">B16/B17</f>
        <v>69.18</v>
      </c>
      <c r="C18" s="20" t="n">
        <f aca="false">C16/C17</f>
        <v>17.55</v>
      </c>
      <c r="D18" s="20" t="n">
        <f aca="false">D16/D17</f>
        <v>20.02</v>
      </c>
      <c r="E18" s="20" t="n">
        <f aca="false">E16/E17</f>
        <v>44.7345783551792</v>
      </c>
      <c r="F18" s="20" t="n">
        <f aca="false">F16/F17</f>
        <v>50.8936967869157</v>
      </c>
      <c r="G18" s="20" t="n">
        <f aca="false">G16/G17</f>
        <v>134.805224262356</v>
      </c>
      <c r="H18" s="8" t="s">
        <v>81</v>
      </c>
      <c r="I18" s="4" t="s">
        <v>447</v>
      </c>
      <c r="J18" s="8" t="s">
        <v>118</v>
      </c>
    </row>
    <row r="19" customFormat="false" ht="17.15" hidden="false" customHeight="false" outlineLevel="0" collapsed="false">
      <c r="A19" s="4" t="s">
        <v>448</v>
      </c>
      <c r="B19" s="21" t="n">
        <v>69.18</v>
      </c>
      <c r="C19" s="21" t="n">
        <v>17.55</v>
      </c>
      <c r="D19" s="21" t="n">
        <v>20.02</v>
      </c>
      <c r="H19" s="8" t="s">
        <v>237</v>
      </c>
      <c r="I19" s="8" t="s">
        <v>415</v>
      </c>
      <c r="J19" s="8" t="s">
        <v>449</v>
      </c>
    </row>
    <row r="21" customFormat="false" ht="17.15" hidden="false" customHeight="false" outlineLevel="0" collapsed="false">
      <c r="A21" s="6" t="s">
        <v>450</v>
      </c>
    </row>
    <row r="22" customFormat="false" ht="17.15" hidden="false" customHeight="false" outlineLevel="0" collapsed="false">
      <c r="A22" s="0" t="s">
        <v>451</v>
      </c>
      <c r="B22" s="18" t="n">
        <f aca="false">G4/B4-1</f>
        <v>1.19351516523314</v>
      </c>
    </row>
    <row r="23" customFormat="false" ht="17.15" hidden="false" customHeight="false" outlineLevel="0" collapsed="false">
      <c r="A23" s="0" t="s">
        <v>452</v>
      </c>
      <c r="B23" s="18" t="n">
        <f aca="false">G5/G4</f>
        <v>0.698737334464482</v>
      </c>
    </row>
    <row r="24" customFormat="false" ht="17.15" hidden="false" customHeight="false" outlineLevel="0" collapsed="false">
      <c r="A24" s="0" t="s">
        <v>453</v>
      </c>
      <c r="B24" s="18" t="n">
        <f aca="false">G6/B6-1</f>
        <v>-0.339175774429283</v>
      </c>
    </row>
    <row r="25" customFormat="false" ht="17.15" hidden="false" customHeight="false" outlineLevel="0" collapsed="false">
      <c r="A25" s="0" t="s">
        <v>454</v>
      </c>
      <c r="B25" s="18" t="n">
        <f aca="false">E4/D4-1</f>
        <v>2.4098167539267</v>
      </c>
    </row>
    <row r="26" customFormat="false" ht="17.15" hidden="false" customHeight="false" outlineLevel="0" collapsed="false">
      <c r="A26" s="0" t="s">
        <v>455</v>
      </c>
      <c r="B26" s="18" t="n">
        <f aca="false">F5/F4</f>
        <v>0.786390575009221</v>
      </c>
    </row>
    <row r="27" customFormat="false" ht="17.15" hidden="false" customHeight="false" outlineLevel="0" collapsed="false">
      <c r="A27" s="0" t="s">
        <v>456</v>
      </c>
      <c r="B27" s="18" t="n">
        <f aca="false">G11/G4</f>
        <v>0.184548352549838</v>
      </c>
    </row>
    <row r="28" customFormat="false" ht="17.15" hidden="false" customHeight="false" outlineLevel="0" collapsed="false">
      <c r="A28" s="4" t="s">
        <v>457</v>
      </c>
      <c r="B28" s="22" t="n">
        <f aca="false">C4+D4-11.827</f>
        <v>0</v>
      </c>
    </row>
    <row r="29" customFormat="false" ht="17.15" hidden="false" customHeight="false" outlineLevel="0" collapsed="false">
      <c r="A29" s="4" t="s">
        <v>458</v>
      </c>
      <c r="B29" s="22" t="n">
        <f aca="false">C16+D16-3.066</f>
        <v>0</v>
      </c>
    </row>
    <row r="30" customFormat="false" ht="17.15" hidden="false" customHeight="false" outlineLevel="0" collapsed="false">
      <c r="A30" s="4" t="s">
        <v>459</v>
      </c>
      <c r="B30" s="18" t="n">
        <f aca="false">B10/B4</f>
        <v>0.101468020435879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56"/>
  </cols>
  <sheetData>
    <row r="1" customFormat="false" ht="17.15" hidden="false" customHeight="false" outlineLevel="0" collapsed="false">
      <c r="A1" s="0" t="s">
        <v>460</v>
      </c>
    </row>
    <row r="3" customFormat="false" ht="15" hidden="false" customHeight="false" outlineLevel="0" collapsed="false">
      <c r="A3" s="5" t="s">
        <v>20</v>
      </c>
      <c r="B3" s="5" t="s">
        <v>21</v>
      </c>
      <c r="C3" s="14" t="s">
        <v>461</v>
      </c>
      <c r="D3" s="14" t="s">
        <v>462</v>
      </c>
      <c r="E3" s="14" t="s">
        <v>463</v>
      </c>
      <c r="F3" s="14" t="s">
        <v>464</v>
      </c>
      <c r="G3" s="5" t="s">
        <v>465</v>
      </c>
    </row>
    <row r="4" customFormat="false" ht="17.15" hidden="false" customHeight="false" outlineLevel="0" collapsed="false">
      <c r="A4" s="6" t="s">
        <v>466</v>
      </c>
    </row>
    <row r="5" customFormat="false" ht="17.15" hidden="false" customHeight="false" outlineLevel="0" collapsed="false">
      <c r="A5" s="0" t="s">
        <v>467</v>
      </c>
      <c r="B5" s="4" t="s">
        <v>31</v>
      </c>
      <c r="C5" s="23" t="n">
        <f aca="false">PL!D63</f>
        <v>2</v>
      </c>
      <c r="D5" s="23" t="n">
        <f aca="false">PL!E63</f>
        <v>2.5</v>
      </c>
      <c r="E5" s="23" t="n">
        <f aca="false">PL!F63</f>
        <v>3</v>
      </c>
      <c r="F5" s="23" t="n">
        <f aca="false">PL!G63</f>
        <v>3.45</v>
      </c>
      <c r="G5" s="8" t="s">
        <v>468</v>
      </c>
    </row>
    <row r="6" customFormat="false" ht="17.15" hidden="false" customHeight="false" outlineLevel="0" collapsed="false">
      <c r="A6" s="4" t="s">
        <v>469</v>
      </c>
      <c r="B6" s="0" t="s">
        <v>44</v>
      </c>
      <c r="C6" s="18" t="n">
        <f aca="false">PL!D64</f>
        <v>0.3</v>
      </c>
      <c r="D6" s="18" t="n">
        <f aca="false">PL!E64</f>
        <v>0.55</v>
      </c>
      <c r="E6" s="18" t="n">
        <f aca="false">PL!F64</f>
        <v>0.55</v>
      </c>
      <c r="F6" s="18" t="n">
        <f aca="false">PL!G64</f>
        <v>0.55</v>
      </c>
      <c r="G6" s="8" t="s">
        <v>470</v>
      </c>
    </row>
    <row r="7" customFormat="false" ht="17.15" hidden="false" customHeight="false" outlineLevel="0" collapsed="false">
      <c r="A7" s="4" t="s">
        <v>471</v>
      </c>
      <c r="B7" s="4" t="s">
        <v>31</v>
      </c>
      <c r="C7" s="22" t="n">
        <f aca="false">PL!D65</f>
        <v>0.6</v>
      </c>
      <c r="D7" s="22" t="n">
        <f aca="false">PL!E65</f>
        <v>1.375</v>
      </c>
      <c r="E7" s="22" t="n">
        <f aca="false">PL!F65</f>
        <v>1.65</v>
      </c>
      <c r="F7" s="22" t="n">
        <f aca="false">PL!G65</f>
        <v>1.8975</v>
      </c>
      <c r="G7" s="4" t="s">
        <v>472</v>
      </c>
    </row>
    <row r="8" customFormat="false" ht="17.15" hidden="false" customHeight="false" outlineLevel="0" collapsed="false">
      <c r="A8" s="4" t="s">
        <v>473</v>
      </c>
      <c r="B8" s="0" t="s">
        <v>80</v>
      </c>
      <c r="C8" s="23" t="n">
        <f aca="false">PL!D68</f>
        <v>6.394</v>
      </c>
      <c r="D8" s="23" t="n">
        <f aca="false">PL!E68</f>
        <v>6.394</v>
      </c>
      <c r="E8" s="23" t="n">
        <f aca="false">PL!F68</f>
        <v>9.591</v>
      </c>
      <c r="F8" s="23" t="n">
        <f aca="false">PL!G68</f>
        <v>9.591</v>
      </c>
      <c r="G8" s="8" t="s">
        <v>474</v>
      </c>
    </row>
    <row r="9" customFormat="false" ht="17.15" hidden="false" customHeight="false" outlineLevel="0" collapsed="false">
      <c r="A9" s="4" t="s">
        <v>475</v>
      </c>
      <c r="B9" s="0" t="s">
        <v>80</v>
      </c>
      <c r="C9" s="23" t="n">
        <f aca="false">PL!D78</f>
        <v>2.5</v>
      </c>
      <c r="D9" s="23" t="n">
        <f aca="false">PL!E78</f>
        <v>2.5</v>
      </c>
      <c r="E9" s="23" t="n">
        <f aca="false">PL!F78</f>
        <v>3.75</v>
      </c>
      <c r="F9" s="23" t="n">
        <f aca="false">PL!G78</f>
        <v>3.75</v>
      </c>
      <c r="G9" s="4" t="s">
        <v>476</v>
      </c>
    </row>
    <row r="10" customFormat="false" ht="17.15" hidden="false" customHeight="false" outlineLevel="0" collapsed="false">
      <c r="A10" s="4" t="s">
        <v>477</v>
      </c>
      <c r="B10" s="0" t="s">
        <v>213</v>
      </c>
      <c r="C10" s="23" t="n">
        <f aca="false">PL!D73</f>
        <v>1.5</v>
      </c>
      <c r="D10" s="23" t="n">
        <f aca="false">PL!E73</f>
        <v>3.4375</v>
      </c>
      <c r="E10" s="23" t="n">
        <f aca="false">PL!F73</f>
        <v>6.1875</v>
      </c>
      <c r="F10" s="23" t="n">
        <f aca="false">PL!G73</f>
        <v>7.115625</v>
      </c>
      <c r="G10" s="8" t="s">
        <v>118</v>
      </c>
    </row>
    <row r="12" customFormat="false" ht="17.15" hidden="false" customHeight="false" outlineLevel="0" collapsed="false">
      <c r="A12" s="6" t="s">
        <v>478</v>
      </c>
    </row>
    <row r="13" customFormat="false" ht="17.15" hidden="false" customHeight="false" outlineLevel="0" collapsed="false">
      <c r="A13" s="0" t="s">
        <v>479</v>
      </c>
      <c r="B13" s="0" t="s">
        <v>44</v>
      </c>
      <c r="C13" s="18" t="n">
        <f aca="false">mv_trn_26+PL!D64</f>
        <v>0.4</v>
      </c>
      <c r="D13" s="18" t="n">
        <f aca="false">mv_trn_27+PL!E64</f>
        <v>0.65</v>
      </c>
      <c r="E13" s="18" t="n">
        <f aca="false">mv_trn_28+PL!F64</f>
        <v>0.63</v>
      </c>
      <c r="F13" s="18" t="n">
        <f aca="false">mv_trn_28+PL!G64</f>
        <v>0.63</v>
      </c>
      <c r="G13" s="4" t="s">
        <v>480</v>
      </c>
    </row>
    <row r="14" customFormat="false" ht="17.15" hidden="false" customHeight="false" outlineLevel="0" collapsed="false">
      <c r="A14" s="0" t="s">
        <v>481</v>
      </c>
      <c r="B14" s="0" t="s">
        <v>44</v>
      </c>
      <c r="C14" s="18" t="n">
        <f aca="false">mv_trn_26+PL!D107</f>
        <v>0.4</v>
      </c>
      <c r="D14" s="18" t="n">
        <f aca="false">mv_trn_27+PL!E107</f>
        <v>0.6</v>
      </c>
      <c r="E14" s="18" t="n">
        <f aca="false">mv_trn_28+PL!F107</f>
        <v>0.53</v>
      </c>
      <c r="F14" s="18" t="n">
        <f aca="false">mv_trn_28+PL!G107</f>
        <v>0.53</v>
      </c>
      <c r="G14" s="4" t="s">
        <v>38</v>
      </c>
    </row>
    <row r="15" customFormat="false" ht="17.15" hidden="false" customHeight="false" outlineLevel="0" collapsed="false">
      <c r="A15" s="0" t="s">
        <v>482</v>
      </c>
      <c r="B15" s="0" t="s">
        <v>44</v>
      </c>
      <c r="C15" s="18" t="n">
        <f aca="false">mv_trn_26+PL!D150</f>
        <v>0.4</v>
      </c>
      <c r="D15" s="18" t="n">
        <f aca="false">mv_trn_27+PL!E150</f>
        <v>0.5</v>
      </c>
      <c r="E15" s="18" t="n">
        <f aca="false">mv_trn_28+PL!F150</f>
        <v>0.43</v>
      </c>
      <c r="F15" s="18" t="n">
        <f aca="false">mv_trn_28+PL!G150</f>
        <v>0.43</v>
      </c>
      <c r="G15" s="4" t="s">
        <v>38</v>
      </c>
    </row>
    <row r="16" customFormat="false" ht="17.15" hidden="false" customHeight="false" outlineLevel="0" collapsed="false">
      <c r="A16" s="4" t="s">
        <v>483</v>
      </c>
      <c r="B16" s="0" t="s">
        <v>44</v>
      </c>
      <c r="C16" s="18" t="n">
        <f aca="false">1-mv_trn_26</f>
        <v>0.9</v>
      </c>
      <c r="D16" s="18" t="n">
        <f aca="false">1-mv_trn_27</f>
        <v>0.9</v>
      </c>
      <c r="E16" s="18" t="n">
        <f aca="false">1-mv_trn_28</f>
        <v>0.92</v>
      </c>
      <c r="F16" s="18" t="n">
        <f aca="false">1-mv_trn_28</f>
        <v>0.92</v>
      </c>
      <c r="G16" s="8" t="s">
        <v>484</v>
      </c>
    </row>
    <row r="18" customFormat="false" ht="17.15" hidden="false" customHeight="false" outlineLevel="0" collapsed="false">
      <c r="A18" s="6" t="s">
        <v>485</v>
      </c>
    </row>
    <row r="19" customFormat="false" ht="17.15" hidden="false" customHeight="false" outlineLevel="0" collapsed="false">
      <c r="A19" s="4" t="s">
        <v>486</v>
      </c>
      <c r="C19" s="22" t="n">
        <f aca="false">PL!D72</f>
        <v>0.390991554582421</v>
      </c>
      <c r="G19" s="4" t="s">
        <v>487</v>
      </c>
    </row>
    <row r="20" customFormat="false" ht="17.15" hidden="false" customHeight="false" outlineLevel="0" collapsed="false">
      <c r="A20" s="4" t="s">
        <v>488</v>
      </c>
      <c r="C20" s="17" t="n">
        <f aca="false">PL!D87</f>
        <v>0.499403865114879</v>
      </c>
      <c r="G20" s="4" t="s">
        <v>489</v>
      </c>
    </row>
    <row r="21" customFormat="false" ht="17.15" hidden="false" customHeight="false" outlineLevel="0" collapsed="false">
      <c r="A21" s="0" t="s">
        <v>490</v>
      </c>
      <c r="C21" s="23" t="n">
        <f aca="false">dc26</f>
        <v>1.5</v>
      </c>
      <c r="G21" s="8" t="s">
        <v>213</v>
      </c>
    </row>
    <row r="23" customFormat="false" ht="17.15" hidden="false" customHeight="false" outlineLevel="0" collapsed="false">
      <c r="A23" s="1" t="s">
        <v>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492</v>
      </c>
    </row>
    <row r="2" customFormat="false" ht="17.15" hidden="false" customHeight="false" outlineLevel="0" collapsed="false">
      <c r="A2" s="4" t="s">
        <v>493</v>
      </c>
    </row>
    <row r="3" customFormat="false" ht="17.15" hidden="false" customHeight="false" outlineLevel="0" collapsed="false">
      <c r="A3" s="5" t="s">
        <v>494</v>
      </c>
      <c r="B3" s="5" t="s">
        <v>21</v>
      </c>
      <c r="C3" s="14" t="s">
        <v>407</v>
      </c>
      <c r="D3" s="14" t="s">
        <v>495</v>
      </c>
      <c r="E3" s="14" t="s">
        <v>496</v>
      </c>
      <c r="F3" s="14" t="s">
        <v>497</v>
      </c>
      <c r="G3" s="14" t="s">
        <v>498</v>
      </c>
      <c r="H3" s="14" t="s">
        <v>499</v>
      </c>
      <c r="I3" s="14" t="s">
        <v>500</v>
      </c>
      <c r="J3" s="14" t="s">
        <v>501</v>
      </c>
      <c r="K3" s="5" t="s">
        <v>465</v>
      </c>
    </row>
    <row r="4" customFormat="false" ht="17.15" hidden="false" customHeight="false" outlineLevel="0" collapsed="false">
      <c r="A4" s="1" t="s">
        <v>502</v>
      </c>
    </row>
    <row r="5" customFormat="false" ht="15" hidden="false" customHeight="false" outlineLevel="0" collapsed="false">
      <c r="A5" s="4" t="s">
        <v>413</v>
      </c>
      <c r="B5" s="0" t="s">
        <v>219</v>
      </c>
      <c r="C5" s="24" t="n">
        <f aca="false">C81</f>
        <v>30.926</v>
      </c>
      <c r="D5" s="24" t="n">
        <f aca="false">D81</f>
        <v>67.83665</v>
      </c>
      <c r="E5" s="24" t="n">
        <f aca="false">E81</f>
        <v>133.5021475</v>
      </c>
      <c r="F5" s="24" t="n">
        <f aca="false">F81</f>
        <v>224.3224052</v>
      </c>
      <c r="G5" s="24" t="n">
        <f aca="false">G81</f>
        <v>257.181093824</v>
      </c>
      <c r="H5" s="25" t="n">
        <f aca="false">H81</f>
        <v>287.439262995056</v>
      </c>
      <c r="I5" s="25" t="n">
        <f aca="false">I81</f>
        <v>312.971510126327</v>
      </c>
      <c r="J5" s="25" t="n">
        <f aca="false">J81</f>
        <v>331.749800733906</v>
      </c>
    </row>
    <row r="6" customFormat="false" ht="15" hidden="false" customHeight="false" outlineLevel="0" collapsed="false">
      <c r="A6" s="4" t="s">
        <v>503</v>
      </c>
      <c r="B6" s="0" t="s">
        <v>44</v>
      </c>
      <c r="D6" s="18" t="n">
        <f aca="false">D82</f>
        <v>1.19351516523314</v>
      </c>
      <c r="E6" s="18" t="n">
        <f aca="false">E82</f>
        <v>0.967994402730677</v>
      </c>
      <c r="F6" s="18" t="n">
        <f aca="false">F82</f>
        <v>0.68029061255363</v>
      </c>
      <c r="G6" s="18" t="n">
        <f aca="false">G82</f>
        <v>0.146479744610014</v>
      </c>
      <c r="H6" s="26" t="n">
        <f aca="false">H82</f>
        <v>0.117653163073342</v>
      </c>
      <c r="I6" s="26" t="n">
        <f aca="false">I82</f>
        <v>0.0888265815366712</v>
      </c>
      <c r="J6" s="26" t="n">
        <f aca="false">J82</f>
        <v>0.06</v>
      </c>
    </row>
    <row r="7" customFormat="false" ht="17.15" hidden="false" customHeight="false" outlineLevel="0" collapsed="false">
      <c r="A7" s="0" t="s">
        <v>504</v>
      </c>
      <c r="B7" s="0" t="s">
        <v>219</v>
      </c>
      <c r="C7" s="24" t="n">
        <f aca="false">C75</f>
        <v>0</v>
      </c>
      <c r="D7" s="24" t="n">
        <f aca="false">D75</f>
        <v>47.4</v>
      </c>
      <c r="E7" s="24" t="n">
        <f aca="false">E75</f>
        <v>110</v>
      </c>
      <c r="F7" s="24" t="n">
        <f aca="false">F75</f>
        <v>198</v>
      </c>
      <c r="G7" s="24" t="n">
        <f aca="false">G75</f>
        <v>227.7</v>
      </c>
    </row>
    <row r="8" customFormat="false" ht="17.15" hidden="false" customHeight="false" outlineLevel="0" collapsed="false">
      <c r="A8" s="4" t="s">
        <v>421</v>
      </c>
      <c r="B8" s="0" t="s">
        <v>219</v>
      </c>
      <c r="C8" s="24" t="n">
        <f aca="false">C80</f>
        <v>30.926</v>
      </c>
      <c r="D8" s="24" t="n">
        <f aca="false">D80</f>
        <v>20.43665</v>
      </c>
      <c r="E8" s="24" t="n">
        <f aca="false">E80</f>
        <v>23.5021475</v>
      </c>
      <c r="F8" s="24" t="n">
        <f aca="false">F80</f>
        <v>26.3224052</v>
      </c>
      <c r="G8" s="24" t="n">
        <f aca="false">G80</f>
        <v>29.481093824</v>
      </c>
    </row>
    <row r="9" customFormat="false" ht="15" hidden="false" customHeight="false" outlineLevel="0" collapsed="false">
      <c r="A9" s="4" t="s">
        <v>425</v>
      </c>
      <c r="B9" s="0" t="s">
        <v>44</v>
      </c>
      <c r="C9" s="17" t="n">
        <f aca="false">C89</f>
        <v>0.263661643924206</v>
      </c>
      <c r="D9" s="17" t="n">
        <f aca="false">D89</f>
        <v>0.241287593063632</v>
      </c>
      <c r="E9" s="17" t="n">
        <f aca="false">E89</f>
        <v>0.203270612557</v>
      </c>
      <c r="F9" s="17" t="n">
        <f aca="false">F89</f>
        <v>0.182173113111753</v>
      </c>
      <c r="G9" s="17" t="n">
        <f aca="false">G89</f>
        <v>0.181199059038963</v>
      </c>
    </row>
    <row r="10" customFormat="false" ht="15" hidden="false" customHeight="false" outlineLevel="0" collapsed="false">
      <c r="A10" s="4" t="s">
        <v>505</v>
      </c>
      <c r="B10" s="0" t="s">
        <v>44</v>
      </c>
      <c r="C10" s="17" t="n">
        <f aca="false">C92</f>
        <v>0.162193623488327</v>
      </c>
      <c r="D10" s="17" t="n">
        <f aca="false">D92</f>
        <v>0.184548352549838</v>
      </c>
      <c r="E10" s="17" t="n">
        <f aca="false">E92</f>
        <v>0.166067142576616</v>
      </c>
      <c r="F10" s="17" t="n">
        <f aca="false">F92</f>
        <v>0.155513307325581</v>
      </c>
      <c r="G10" s="17" t="n">
        <f aca="false">G92</f>
        <v>0.156085148056733</v>
      </c>
    </row>
    <row r="11" customFormat="false" ht="15" hidden="false" customHeight="false" outlineLevel="0" collapsed="false">
      <c r="A11" s="4" t="s">
        <v>442</v>
      </c>
      <c r="B11" s="0" t="s">
        <v>219</v>
      </c>
      <c r="C11" s="24" t="n">
        <f aca="false">C96</f>
        <v>5.598</v>
      </c>
      <c r="D11" s="24" t="n">
        <f aca="false">D96</f>
        <v>11.3101136</v>
      </c>
      <c r="E11" s="24" t="n">
        <f aca="false">E96</f>
        <v>19.0162561305335</v>
      </c>
      <c r="F11" s="24" t="n">
        <f aca="false">F96</f>
        <v>29.1880953119049</v>
      </c>
      <c r="G11" s="24" t="n">
        <f aca="false">G96</f>
        <v>33.3937192855292</v>
      </c>
      <c r="H11" s="25" t="n">
        <f aca="false">H96</f>
        <v>37.322595986255</v>
      </c>
      <c r="I11" s="25" t="n">
        <f aca="false">I96</f>
        <v>40.6378346017884</v>
      </c>
      <c r="J11" s="25" t="n">
        <f aca="false">J96</f>
        <v>43.0761046778957</v>
      </c>
    </row>
    <row r="12" customFormat="false" ht="15" hidden="false" customHeight="false" outlineLevel="0" collapsed="false">
      <c r="A12" s="4" t="s">
        <v>506</v>
      </c>
      <c r="B12" s="0" t="s">
        <v>44</v>
      </c>
      <c r="C12" s="17" t="n">
        <f aca="false">C100</f>
        <v>0.181012740089245</v>
      </c>
      <c r="D12" s="17" t="n">
        <f aca="false">D100</f>
        <v>0.166725709480052</v>
      </c>
      <c r="E12" s="17" t="n">
        <f aca="false">E100</f>
        <v>0.142441574810873</v>
      </c>
      <c r="F12" s="17" t="n">
        <f aca="false">F100</f>
        <v>0.13011671877306</v>
      </c>
      <c r="G12" s="17" t="n">
        <f aca="false">G100</f>
        <v>0.129845156146594</v>
      </c>
      <c r="H12" s="27" t="n">
        <f aca="false">H100</f>
        <v>0.129845156146594</v>
      </c>
      <c r="I12" s="27" t="n">
        <f aca="false">I100</f>
        <v>0.129845156146594</v>
      </c>
      <c r="J12" s="27" t="n">
        <f aca="false">J100</f>
        <v>0.129845156146594</v>
      </c>
    </row>
    <row r="13" customFormat="false" ht="15" hidden="false" customHeight="false" outlineLevel="0" collapsed="false">
      <c r="A13" s="0" t="s">
        <v>507</v>
      </c>
      <c r="B13" s="0" t="s">
        <v>312</v>
      </c>
      <c r="C13" s="20" t="n">
        <f aca="false">C98</f>
        <v>69.18</v>
      </c>
      <c r="D13" s="20" t="n">
        <f aca="false">D98</f>
        <v>134.805224262356</v>
      </c>
      <c r="E13" s="20" t="n">
        <f aca="false">E98</f>
        <v>220.580630211501</v>
      </c>
      <c r="F13" s="20" t="n">
        <f aca="false">F98</f>
        <v>338.56971710828</v>
      </c>
      <c r="G13" s="20" t="n">
        <f aca="false">G98</f>
        <v>387.353198996975</v>
      </c>
      <c r="H13" s="28" t="n">
        <f aca="false">H98</f>
        <v>432.926528085547</v>
      </c>
      <c r="I13" s="28" t="n">
        <f aca="false">I98</f>
        <v>471.381911631926</v>
      </c>
      <c r="J13" s="28" t="n">
        <f aca="false">J98</f>
        <v>499.664826329842</v>
      </c>
    </row>
    <row r="14" customFormat="false" ht="17.15" hidden="false" customHeight="false" outlineLevel="0" collapsed="false">
      <c r="A14" s="0" t="s">
        <v>508</v>
      </c>
      <c r="B14" s="0" t="s">
        <v>44</v>
      </c>
      <c r="D14" s="18" t="n">
        <f aca="false">D99</f>
        <v>0.948615557420577</v>
      </c>
      <c r="E14" s="18" t="n">
        <f aca="false">E99</f>
        <v>0.636291407981422</v>
      </c>
      <c r="F14" s="18" t="n">
        <f aca="false">F99</f>
        <v>0.534902302090836</v>
      </c>
      <c r="G14" s="18" t="n">
        <f aca="false">G99</f>
        <v>0.144086961779553</v>
      </c>
      <c r="H14" s="26" t="n">
        <f aca="false">H99</f>
        <v>0.117653163073342</v>
      </c>
      <c r="I14" s="26" t="n">
        <f aca="false">I99</f>
        <v>0.0888265815366716</v>
      </c>
      <c r="J14" s="26" t="n">
        <f aca="false">J99</f>
        <v>0.0600000000000001</v>
      </c>
    </row>
    <row r="16" customFormat="false" ht="17.15" hidden="false" customHeight="false" outlineLevel="0" collapsed="false">
      <c r="A16" s="1" t="s">
        <v>509</v>
      </c>
    </row>
    <row r="17" customFormat="false" ht="15" hidden="false" customHeight="false" outlineLevel="0" collapsed="false">
      <c r="A17" s="4" t="s">
        <v>413</v>
      </c>
      <c r="B17" s="0" t="s">
        <v>219</v>
      </c>
      <c r="C17" s="24" t="n">
        <f aca="false">C124</f>
        <v>30.926</v>
      </c>
      <c r="D17" s="24" t="n">
        <f aca="false">D124</f>
        <v>67.83665</v>
      </c>
      <c r="E17" s="24" t="n">
        <f aca="false">E124</f>
        <v>121.4584825</v>
      </c>
      <c r="F17" s="24" t="n">
        <f aca="false">F124</f>
        <v>126.211406625</v>
      </c>
      <c r="G17" s="24" t="n">
        <f aca="false">G124</f>
        <v>150.34197695625</v>
      </c>
      <c r="H17" s="25" t="n">
        <f aca="false">H124</f>
        <v>171.509292988771</v>
      </c>
      <c r="I17" s="25" t="n">
        <f aca="false">I124</f>
        <v>187.013257179478</v>
      </c>
      <c r="J17" s="25" t="n">
        <f aca="false">J124</f>
        <v>194.493787466657</v>
      </c>
    </row>
    <row r="18" customFormat="false" ht="15" hidden="false" customHeight="false" outlineLevel="0" collapsed="false">
      <c r="A18" s="4" t="s">
        <v>503</v>
      </c>
      <c r="B18" s="0" t="s">
        <v>44</v>
      </c>
      <c r="D18" s="18" t="n">
        <f aca="false">D125</f>
        <v>1.19351516523314</v>
      </c>
      <c r="E18" s="18" t="n">
        <f aca="false">E125</f>
        <v>0.790455196416687</v>
      </c>
      <c r="F18" s="18" t="n">
        <f aca="false">F125</f>
        <v>0.03913208881891</v>
      </c>
      <c r="G18" s="18" t="n">
        <f aca="false">G125</f>
        <v>0.191191675748824</v>
      </c>
      <c r="H18" s="26" t="n">
        <f aca="false">H125</f>
        <v>0.140794450499216</v>
      </c>
      <c r="I18" s="26" t="n">
        <f aca="false">I125</f>
        <v>0.0903972252496079</v>
      </c>
      <c r="J18" s="26" t="n">
        <f aca="false">J125</f>
        <v>0.04</v>
      </c>
    </row>
    <row r="19" customFormat="false" ht="17.15" hidden="false" customHeight="false" outlineLevel="0" collapsed="false">
      <c r="A19" s="0" t="s">
        <v>504</v>
      </c>
      <c r="B19" s="0" t="s">
        <v>219</v>
      </c>
      <c r="C19" s="24" t="n">
        <f aca="false">C118</f>
        <v>0</v>
      </c>
      <c r="D19" s="24" t="n">
        <f aca="false">D118</f>
        <v>47.4</v>
      </c>
      <c r="E19" s="24" t="n">
        <f aca="false">E118</f>
        <v>100</v>
      </c>
      <c r="F19" s="24" t="n">
        <f aca="false">F118</f>
        <v>103.68</v>
      </c>
      <c r="G19" s="24" t="n">
        <f aca="false">G118</f>
        <v>126.684</v>
      </c>
    </row>
    <row r="20" customFormat="false" ht="17.15" hidden="false" customHeight="false" outlineLevel="0" collapsed="false">
      <c r="A20" s="4" t="s">
        <v>421</v>
      </c>
      <c r="B20" s="0" t="s">
        <v>219</v>
      </c>
      <c r="C20" s="24" t="n">
        <f aca="false">C123</f>
        <v>30.926</v>
      </c>
      <c r="D20" s="24" t="n">
        <f aca="false">D123</f>
        <v>20.43665</v>
      </c>
      <c r="E20" s="24" t="n">
        <f aca="false">E123</f>
        <v>21.4584825</v>
      </c>
      <c r="F20" s="24" t="n">
        <f aca="false">F123</f>
        <v>22.531406625</v>
      </c>
      <c r="G20" s="24" t="n">
        <f aca="false">G123</f>
        <v>23.65797695625</v>
      </c>
    </row>
    <row r="21" customFormat="false" ht="15" hidden="false" customHeight="false" outlineLevel="0" collapsed="false">
      <c r="A21" s="4" t="s">
        <v>425</v>
      </c>
      <c r="B21" s="0" t="s">
        <v>44</v>
      </c>
      <c r="C21" s="17" t="n">
        <f aca="false">C132</f>
        <v>0.263661643924206</v>
      </c>
      <c r="D21" s="17" t="n">
        <f aca="false">D132</f>
        <v>0.241287593063632</v>
      </c>
      <c r="E21" s="17" t="n">
        <f aca="false">E132</f>
        <v>0.195263835113369</v>
      </c>
      <c r="F21" s="17" t="n">
        <f aca="false">F132</f>
        <v>0.195946406242662</v>
      </c>
      <c r="G21" s="17" t="n">
        <f aca="false">G132</f>
        <v>0.188129793856447</v>
      </c>
    </row>
    <row r="22" customFormat="false" ht="15" hidden="false" customHeight="false" outlineLevel="0" collapsed="false">
      <c r="A22" s="4" t="s">
        <v>505</v>
      </c>
      <c r="B22" s="0" t="s">
        <v>44</v>
      </c>
      <c r="C22" s="17" t="n">
        <f aca="false">C135</f>
        <v>0.162193623488327</v>
      </c>
      <c r="D22" s="17" t="n">
        <f aca="false">D135</f>
        <v>0.184548352549838</v>
      </c>
      <c r="E22" s="17" t="n">
        <f aca="false">E135</f>
        <v>0.156059174250737</v>
      </c>
      <c r="F22" s="17" t="n">
        <f aca="false">F135</f>
        <v>0.155199869601909</v>
      </c>
      <c r="G22" s="17" t="n">
        <f aca="false">G135</f>
        <v>0.151186738873839</v>
      </c>
    </row>
    <row r="23" customFormat="false" ht="15" hidden="false" customHeight="false" outlineLevel="0" collapsed="false">
      <c r="A23" s="4" t="s">
        <v>442</v>
      </c>
      <c r="B23" s="0" t="s">
        <v>219</v>
      </c>
      <c r="C23" s="24" t="n">
        <f aca="false">C139</f>
        <v>5.598</v>
      </c>
      <c r="D23" s="24" t="n">
        <f aca="false">D139</f>
        <v>11.3101136</v>
      </c>
      <c r="E23" s="24" t="n">
        <f aca="false">E139</f>
        <v>16.4437683877581</v>
      </c>
      <c r="F23" s="24" t="n">
        <f aca="false">F139</f>
        <v>16.9503950803788</v>
      </c>
      <c r="G23" s="24" t="n">
        <f aca="false">G139</f>
        <v>19.4637705694891</v>
      </c>
      <c r="H23" s="25" t="n">
        <f aca="false">H139</f>
        <v>21.4640227364143</v>
      </c>
      <c r="I23" s="25" t="n">
        <f aca="false">I139</f>
        <v>22.5972656332917</v>
      </c>
      <c r="J23" s="25" t="n">
        <f aca="false">J139</f>
        <v>22.6618292493868</v>
      </c>
    </row>
    <row r="24" customFormat="false" ht="15" hidden="false" customHeight="false" outlineLevel="0" collapsed="false">
      <c r="A24" s="4" t="s">
        <v>506</v>
      </c>
      <c r="B24" s="0" t="s">
        <v>44</v>
      </c>
      <c r="C24" s="17" t="n">
        <f aca="false">C143</f>
        <v>0.181012740089245</v>
      </c>
      <c r="D24" s="17" t="n">
        <f aca="false">D143</f>
        <v>0.166725709480052</v>
      </c>
      <c r="E24" s="17" t="n">
        <f aca="false">E143</f>
        <v>0.135385919939829</v>
      </c>
      <c r="F24" s="17" t="n">
        <f aca="false">F143</f>
        <v>0.134301609764495</v>
      </c>
      <c r="G24" s="17" t="n">
        <f aca="false">G143</f>
        <v>0.129463313996151</v>
      </c>
      <c r="H24" s="27" t="n">
        <f aca="false">H143</f>
        <v>0.125147870196279</v>
      </c>
      <c r="I24" s="27" t="n">
        <f aca="false">I143</f>
        <v>0.120832426396408</v>
      </c>
      <c r="J24" s="27" t="n">
        <f aca="false">J143</f>
        <v>0.116516982596536</v>
      </c>
    </row>
    <row r="25" customFormat="false" ht="15" hidden="false" customHeight="false" outlineLevel="0" collapsed="false">
      <c r="A25" s="0" t="s">
        <v>507</v>
      </c>
      <c r="B25" s="0" t="s">
        <v>312</v>
      </c>
      <c r="C25" s="20" t="n">
        <f aca="false">C141</f>
        <v>69.18</v>
      </c>
      <c r="D25" s="20" t="n">
        <f aca="false">D141</f>
        <v>134.805224262356</v>
      </c>
      <c r="E25" s="20" t="n">
        <f aca="false">E141</f>
        <v>190.740846627516</v>
      </c>
      <c r="F25" s="20" t="n">
        <f aca="false">F141</f>
        <v>196.617504702225</v>
      </c>
      <c r="G25" s="20" t="n">
        <f aca="false">G141</f>
        <v>225.771610828083</v>
      </c>
      <c r="H25" s="28" t="n">
        <f aca="false">H141</f>
        <v>248.973700689181</v>
      </c>
      <c r="I25" s="28" t="n">
        <f aca="false">I141</f>
        <v>262.118845067761</v>
      </c>
      <c r="J25" s="28" t="n">
        <f aca="false">J141</f>
        <v>262.867756053669</v>
      </c>
    </row>
    <row r="26" customFormat="false" ht="17.15" hidden="false" customHeight="false" outlineLevel="0" collapsed="false">
      <c r="A26" s="0" t="s">
        <v>508</v>
      </c>
      <c r="B26" s="0" t="s">
        <v>44</v>
      </c>
      <c r="D26" s="18" t="n">
        <f aca="false">D142</f>
        <v>0.948615557420577</v>
      </c>
      <c r="E26" s="18" t="n">
        <f aca="false">E142</f>
        <v>0.414936607028665</v>
      </c>
      <c r="F26" s="18" t="n">
        <f aca="false">F142</f>
        <v>0.0308096465891494</v>
      </c>
      <c r="G26" s="18" t="n">
        <f aca="false">G142</f>
        <v>0.14827828361474</v>
      </c>
      <c r="H26" s="26" t="n">
        <f aca="false">H142</f>
        <v>0.102767968815908</v>
      </c>
      <c r="I26" s="26" t="n">
        <f aca="false">I142</f>
        <v>0.052797320930656</v>
      </c>
      <c r="J26" s="26" t="n">
        <f aca="false">J142</f>
        <v>0.00285714285714289</v>
      </c>
    </row>
    <row r="28" customFormat="false" ht="17.15" hidden="false" customHeight="false" outlineLevel="0" collapsed="false">
      <c r="A28" s="1" t="s">
        <v>510</v>
      </c>
    </row>
    <row r="29" customFormat="false" ht="15" hidden="false" customHeight="false" outlineLevel="0" collapsed="false">
      <c r="A29" s="4" t="s">
        <v>413</v>
      </c>
      <c r="B29" s="0" t="s">
        <v>219</v>
      </c>
      <c r="C29" s="24" t="n">
        <f aca="false">C167</f>
        <v>30.926</v>
      </c>
      <c r="D29" s="24" t="n">
        <f aca="false">D167</f>
        <v>67.83665</v>
      </c>
      <c r="E29" s="24" t="n">
        <f aca="false">E167</f>
        <v>98.392985</v>
      </c>
      <c r="F29" s="24" t="n">
        <f aca="false">F167</f>
        <v>67.87333575</v>
      </c>
      <c r="G29" s="24" t="n">
        <f aca="false">G167</f>
        <v>74.5596689625</v>
      </c>
      <c r="H29" s="25" t="n">
        <f aca="false">H167</f>
        <v>79.95341128441</v>
      </c>
      <c r="I29" s="25" t="n">
        <f aca="false">I167</f>
        <v>83.6449116856419</v>
      </c>
      <c r="J29" s="25" t="n">
        <f aca="false">J167</f>
        <v>85.3178099193547</v>
      </c>
    </row>
    <row r="30" customFormat="false" ht="15" hidden="false" customHeight="false" outlineLevel="0" collapsed="false">
      <c r="A30" s="4" t="s">
        <v>503</v>
      </c>
      <c r="B30" s="0" t="s">
        <v>44</v>
      </c>
      <c r="D30" s="18" t="n">
        <f aca="false">D168</f>
        <v>1.19351516523314</v>
      </c>
      <c r="E30" s="18" t="n">
        <f aca="false">E168</f>
        <v>0.45043991706548</v>
      </c>
      <c r="F30" s="18" t="n">
        <f aca="false">F168</f>
        <v>-0.310181150109431</v>
      </c>
      <c r="G30" s="18" t="n">
        <f aca="false">G168</f>
        <v>0.0985119287068488</v>
      </c>
      <c r="H30" s="26" t="n">
        <f aca="false">H168</f>
        <v>0.0723412858045659</v>
      </c>
      <c r="I30" s="26" t="n">
        <f aca="false">I168</f>
        <v>0.0461706429022829</v>
      </c>
      <c r="J30" s="26" t="n">
        <f aca="false">J168</f>
        <v>0.02</v>
      </c>
    </row>
    <row r="31" customFormat="false" ht="17.15" hidden="false" customHeight="false" outlineLevel="0" collapsed="false">
      <c r="A31" s="0" t="s">
        <v>504</v>
      </c>
      <c r="B31" s="0" t="s">
        <v>219</v>
      </c>
      <c r="C31" s="24" t="n">
        <f aca="false">C161</f>
        <v>0</v>
      </c>
      <c r="D31" s="24" t="n">
        <f aca="false">D161</f>
        <v>47.4</v>
      </c>
      <c r="E31" s="24" t="n">
        <f aca="false">E161</f>
        <v>80</v>
      </c>
      <c r="F31" s="24" t="n">
        <f aca="false">F161</f>
        <v>50.4</v>
      </c>
      <c r="G31" s="24" t="n">
        <f aca="false">G161</f>
        <v>57.96</v>
      </c>
    </row>
    <row r="32" customFormat="false" ht="17.15" hidden="false" customHeight="false" outlineLevel="0" collapsed="false">
      <c r="A32" s="4" t="s">
        <v>421</v>
      </c>
      <c r="B32" s="0" t="s">
        <v>219</v>
      </c>
      <c r="C32" s="24" t="n">
        <f aca="false">C166</f>
        <v>30.926</v>
      </c>
      <c r="D32" s="24" t="n">
        <f aca="false">D166</f>
        <v>20.43665</v>
      </c>
      <c r="E32" s="24" t="n">
        <f aca="false">E166</f>
        <v>18.392985</v>
      </c>
      <c r="F32" s="24" t="n">
        <f aca="false">F166</f>
        <v>17.47333575</v>
      </c>
      <c r="G32" s="24" t="n">
        <f aca="false">G166</f>
        <v>16.5996689625</v>
      </c>
    </row>
    <row r="33" customFormat="false" ht="15" hidden="false" customHeight="false" outlineLevel="0" collapsed="false">
      <c r="A33" s="4" t="s">
        <v>425</v>
      </c>
      <c r="B33" s="0" t="s">
        <v>44</v>
      </c>
      <c r="C33" s="17" t="n">
        <f aca="false">C175</f>
        <v>0.263661643924206</v>
      </c>
      <c r="D33" s="17" t="n">
        <f aca="false">D175</f>
        <v>0.241287593063632</v>
      </c>
      <c r="E33" s="17" t="n">
        <f aca="false">E175</f>
        <v>0.182792785481607</v>
      </c>
      <c r="F33" s="17" t="n">
        <f aca="false">F175</f>
        <v>0.210248269844318</v>
      </c>
      <c r="G33" s="17" t="n">
        <f aca="false">G175</f>
        <v>0.196695331988076</v>
      </c>
    </row>
    <row r="34" customFormat="false" ht="15" hidden="false" customHeight="false" outlineLevel="0" collapsed="false">
      <c r="A34" s="4" t="s">
        <v>505</v>
      </c>
      <c r="B34" s="0" t="s">
        <v>44</v>
      </c>
      <c r="C34" s="17" t="n">
        <f aca="false">C178</f>
        <v>0.162193623488327</v>
      </c>
      <c r="D34" s="17" t="n">
        <f aca="false">D178</f>
        <v>0.184548352549838</v>
      </c>
      <c r="E34" s="17" t="n">
        <f aca="false">E178</f>
        <v>0.138387963611069</v>
      </c>
      <c r="F34" s="17" t="n">
        <f aca="false">F178</f>
        <v>0.140726818483879</v>
      </c>
      <c r="G34" s="17" t="n">
        <f aca="false">G178</f>
        <v>0.128345443828318</v>
      </c>
    </row>
    <row r="35" customFormat="false" ht="15" hidden="false" customHeight="false" outlineLevel="0" collapsed="false">
      <c r="A35" s="4" t="s">
        <v>442</v>
      </c>
      <c r="B35" s="0" t="s">
        <v>219</v>
      </c>
      <c r="C35" s="24" t="n">
        <f aca="false">C182</f>
        <v>5.598</v>
      </c>
      <c r="D35" s="24" t="n">
        <f aca="false">D182</f>
        <v>11.3101136</v>
      </c>
      <c r="E35" s="24" t="n">
        <f aca="false">E182</f>
        <v>12.1731238622116</v>
      </c>
      <c r="F35" s="24" t="n">
        <f aca="false">F182</f>
        <v>8.92127887998852</v>
      </c>
      <c r="G35" s="24" t="n">
        <f aca="false">G182</f>
        <v>8.9355150437476</v>
      </c>
      <c r="H35" s="25" t="n">
        <f aca="false">H182</f>
        <v>8.94312691191579</v>
      </c>
      <c r="I35" s="25" t="n">
        <f aca="false">I182</f>
        <v>8.68774848592453</v>
      </c>
      <c r="J35" s="25" t="n">
        <f aca="false">J182</f>
        <v>8.17984934367048</v>
      </c>
    </row>
    <row r="36" customFormat="false" ht="15" hidden="false" customHeight="false" outlineLevel="0" collapsed="false">
      <c r="A36" s="4" t="s">
        <v>506</v>
      </c>
      <c r="B36" s="0" t="s">
        <v>44</v>
      </c>
      <c r="C36" s="17" t="n">
        <f aca="false">C186</f>
        <v>0.181012740089245</v>
      </c>
      <c r="D36" s="17" t="n">
        <f aca="false">D186</f>
        <v>0.166725709480052</v>
      </c>
      <c r="E36" s="17" t="n">
        <f aca="false">E186</f>
        <v>0.123719428394327</v>
      </c>
      <c r="F36" s="17" t="n">
        <f aca="false">F186</f>
        <v>0.131440112400672</v>
      </c>
      <c r="G36" s="17" t="n">
        <f aca="false">G186</f>
        <v>0.119843813258368</v>
      </c>
      <c r="H36" s="27" t="n">
        <f aca="false">H186</f>
        <v>0.11185422570781</v>
      </c>
      <c r="I36" s="27" t="n">
        <f aca="false">I186</f>
        <v>0.103864638157252</v>
      </c>
      <c r="J36" s="27" t="n">
        <f aca="false">J186</f>
        <v>0.0958750506066946</v>
      </c>
    </row>
    <row r="37" customFormat="false" ht="15" hidden="false" customHeight="false" outlineLevel="0" collapsed="false">
      <c r="A37" s="0" t="s">
        <v>507</v>
      </c>
      <c r="B37" s="0" t="s">
        <v>312</v>
      </c>
      <c r="C37" s="20" t="n">
        <f aca="false">C184</f>
        <v>69.18</v>
      </c>
      <c r="D37" s="20" t="n">
        <f aca="false">D184</f>
        <v>134.805224262356</v>
      </c>
      <c r="E37" s="20" t="n">
        <f aca="false">E184</f>
        <v>141.203153488129</v>
      </c>
      <c r="F37" s="20" t="n">
        <f aca="false">F184</f>
        <v>103.483109615921</v>
      </c>
      <c r="G37" s="20" t="n">
        <f aca="false">G184</f>
        <v>103.648243170718</v>
      </c>
      <c r="H37" s="28" t="n">
        <f aca="false">H184</f>
        <v>103.736537662867</v>
      </c>
      <c r="I37" s="28" t="n">
        <f aca="false">I184</f>
        <v>100.77425456356</v>
      </c>
      <c r="J37" s="28" t="n">
        <f aca="false">J184</f>
        <v>94.8828366044598</v>
      </c>
    </row>
    <row r="38" customFormat="false" ht="17.15" hidden="false" customHeight="false" outlineLevel="0" collapsed="false">
      <c r="A38" s="0" t="s">
        <v>508</v>
      </c>
      <c r="B38" s="0" t="s">
        <v>44</v>
      </c>
      <c r="D38" s="18" t="n">
        <f aca="false">D185</f>
        <v>0.948615557420577</v>
      </c>
      <c r="E38" s="18" t="n">
        <f aca="false">E185</f>
        <v>0.0474605436160387</v>
      </c>
      <c r="F38" s="18" t="n">
        <f aca="false">F185</f>
        <v>-0.267133154893594</v>
      </c>
      <c r="G38" s="18" t="n">
        <f aca="false">G185</f>
        <v>0.00159575369749021</v>
      </c>
      <c r="H38" s="26" t="n">
        <f aca="false">H185</f>
        <v>0.000851866750927854</v>
      </c>
      <c r="I38" s="26" t="n">
        <f aca="false">I185</f>
        <v>-0.028555831590737</v>
      </c>
      <c r="J38" s="26" t="n">
        <f aca="false">J185</f>
        <v>-0.0584615384615383</v>
      </c>
    </row>
    <row r="40" customFormat="false" ht="17.15" hidden="false" customHeight="false" outlineLevel="0" collapsed="false">
      <c r="A40" s="1" t="s">
        <v>511</v>
      </c>
    </row>
    <row r="41" customFormat="false" ht="17.15" hidden="false" customHeight="false" outlineLevel="0" collapsed="false">
      <c r="A41" s="4" t="s">
        <v>512</v>
      </c>
      <c r="D41" s="29" t="n">
        <f aca="false">ABS(D81-a26_rev)+ABS(D124-a26_rev)+ABS(D167-a26_rev)</f>
        <v>0</v>
      </c>
    </row>
    <row r="42" customFormat="false" ht="17.15" hidden="false" customHeight="false" outlineLevel="0" collapsed="false">
      <c r="A42" s="4" t="s">
        <v>513</v>
      </c>
      <c r="D42" s="29" t="n">
        <f aca="false">ABS(D98-a26_eps)+ABS(D141-a26_eps)+ABS(D184-a26_eps)</f>
        <v>0</v>
      </c>
    </row>
    <row r="43" customFormat="false" ht="17.15" hidden="false" customHeight="false" outlineLevel="0" collapsed="false">
      <c r="A43" s="4" t="s">
        <v>514</v>
      </c>
      <c r="D43" s="29" t="n">
        <f aca="false">D75-a26_trn</f>
        <v>0</v>
      </c>
    </row>
    <row r="60" customFormat="false" ht="17.15" hidden="false" customHeight="false" outlineLevel="0" collapsed="false">
      <c r="A60" s="1" t="s">
        <v>515</v>
      </c>
    </row>
    <row r="61" customFormat="false" ht="17.15" hidden="false" customHeight="false" outlineLevel="0" collapsed="false">
      <c r="A61" s="5" t="s">
        <v>20</v>
      </c>
      <c r="B61" s="5" t="s">
        <v>21</v>
      </c>
      <c r="C61" s="14" t="s">
        <v>407</v>
      </c>
      <c r="D61" s="14" t="s">
        <v>495</v>
      </c>
      <c r="E61" s="14" t="s">
        <v>496</v>
      </c>
      <c r="F61" s="14" t="s">
        <v>497</v>
      </c>
      <c r="G61" s="14" t="s">
        <v>498</v>
      </c>
      <c r="H61" s="14" t="s">
        <v>499</v>
      </c>
      <c r="I61" s="14" t="s">
        <v>500</v>
      </c>
      <c r="J61" s="14" t="s">
        <v>501</v>
      </c>
      <c r="K61" s="5" t="s">
        <v>465</v>
      </c>
    </row>
    <row r="62" customFormat="false" ht="17.15" hidden="false" customHeight="false" outlineLevel="0" collapsed="false">
      <c r="A62" s="6" t="s">
        <v>516</v>
      </c>
    </row>
    <row r="63" customFormat="false" ht="17.15" hidden="false" customHeight="false" outlineLevel="0" collapsed="false">
      <c r="A63" s="0" t="s">
        <v>517</v>
      </c>
      <c r="B63" s="4" t="s">
        <v>31</v>
      </c>
      <c r="D63" s="22" t="n">
        <f aca="false">u_trn_26</f>
        <v>2</v>
      </c>
      <c r="E63" s="22" t="n">
        <f aca="false">u_trn_27</f>
        <v>2.5</v>
      </c>
      <c r="F63" s="22" t="n">
        <f aca="false">u_trn_28*um28_A</f>
        <v>3</v>
      </c>
      <c r="G63" s="22" t="n">
        <f aca="false">u_trn_28*(1+g29_trn)*um29_A</f>
        <v>3.45</v>
      </c>
    </row>
    <row r="64" customFormat="false" ht="17.15" hidden="false" customHeight="false" outlineLevel="0" collapsed="false">
      <c r="A64" s="4" t="s">
        <v>469</v>
      </c>
      <c r="B64" s="0" t="s">
        <v>44</v>
      </c>
      <c r="D64" s="18" t="n">
        <f aca="false">al_trn_26</f>
        <v>0.3</v>
      </c>
      <c r="E64" s="18" t="n">
        <f aca="false">MIN(1,MAX(0,al27_A+0))</f>
        <v>0.55</v>
      </c>
      <c r="F64" s="18" t="n">
        <f aca="false">MIN(1,MAX(0,al28_A+0))</f>
        <v>0.55</v>
      </c>
      <c r="G64" s="18" t="n">
        <f aca="false">MIN(1,MAX(0,al28_A+0))</f>
        <v>0.55</v>
      </c>
    </row>
    <row r="65" customFormat="false" ht="17.15" hidden="false" customHeight="false" outlineLevel="0" collapsed="false">
      <c r="A65" s="4" t="s">
        <v>471</v>
      </c>
      <c r="B65" s="4" t="s">
        <v>31</v>
      </c>
      <c r="D65" s="22" t="n">
        <f aca="false">D63*D64</f>
        <v>0.6</v>
      </c>
      <c r="E65" s="22" t="n">
        <f aca="false">E63*E64*1</f>
        <v>1.375</v>
      </c>
      <c r="F65" s="22" t="n">
        <f aca="false">F63*F64*1</f>
        <v>1.65</v>
      </c>
      <c r="G65" s="22" t="n">
        <f aca="false">G63*G64*1</f>
        <v>1.8975</v>
      </c>
    </row>
    <row r="66" customFormat="false" ht="17.15" hidden="false" customHeight="false" outlineLevel="0" collapsed="false">
      <c r="A66" s="4" t="s">
        <v>518</v>
      </c>
      <c r="B66" s="0" t="s">
        <v>69</v>
      </c>
      <c r="D66" s="30" t="n">
        <f aca="false">gb_trn_26</f>
        <v>110</v>
      </c>
      <c r="E66" s="30" t="n">
        <f aca="false">gb_trn_27</f>
        <v>144</v>
      </c>
      <c r="F66" s="30" t="n">
        <f aca="false">gb_trn_28</f>
        <v>200</v>
      </c>
      <c r="G66" s="30" t="n">
        <f aca="false">gb_trn_28</f>
        <v>200</v>
      </c>
    </row>
    <row r="67" customFormat="false" ht="17.15" hidden="false" customHeight="false" outlineLevel="0" collapsed="false">
      <c r="A67" s="0" t="s">
        <v>519</v>
      </c>
      <c r="B67" s="0" t="s">
        <v>156</v>
      </c>
      <c r="D67" s="20" t="n">
        <f aca="false">hbm_A_26</f>
        <v>14.6</v>
      </c>
      <c r="E67" s="20" t="n">
        <f aca="false">hbm_A_27</f>
        <v>26.28</v>
      </c>
      <c r="F67" s="20" t="n">
        <f aca="false">hbm_A_28</f>
        <v>28.908</v>
      </c>
      <c r="G67" s="20" t="n">
        <f aca="false">hbm_A_29</f>
        <v>27.4626</v>
      </c>
    </row>
    <row r="68" customFormat="false" ht="17.15" hidden="false" customHeight="false" outlineLevel="0" collapsed="false">
      <c r="A68" s="4" t="s">
        <v>520</v>
      </c>
      <c r="B68" s="0" t="s">
        <v>80</v>
      </c>
      <c r="D68" s="20" t="n">
        <f aca="false">core_trn</f>
        <v>6.394</v>
      </c>
      <c r="E68" s="20" t="n">
        <f aca="false">core_trn</f>
        <v>6.394</v>
      </c>
      <c r="F68" s="20" t="n">
        <f aca="false">core_trn*pfc_A</f>
        <v>9.591</v>
      </c>
      <c r="G68" s="20" t="n">
        <f aca="false">core_trn*pfc_A</f>
        <v>9.591</v>
      </c>
    </row>
    <row r="69" customFormat="false" ht="17.15" hidden="false" customHeight="false" outlineLevel="0" collapsed="false">
      <c r="A69" s="4" t="s">
        <v>521</v>
      </c>
      <c r="B69" s="0" t="s">
        <v>80</v>
      </c>
      <c r="D69" s="20" t="n">
        <f aca="false">D66*D67/1000</f>
        <v>1.606</v>
      </c>
      <c r="E69" s="20" t="n">
        <f aca="false">E66*E67/1000</f>
        <v>3.78432</v>
      </c>
      <c r="F69" s="20" t="n">
        <f aca="false">F66*F67/1000</f>
        <v>5.7816</v>
      </c>
      <c r="G69" s="20" t="n">
        <f aca="false">G66*G67/1000</f>
        <v>5.49252</v>
      </c>
    </row>
    <row r="70" customFormat="false" ht="17.15" hidden="false" customHeight="false" outlineLevel="0" collapsed="false">
      <c r="A70" s="4" t="s">
        <v>522</v>
      </c>
      <c r="B70" s="0" t="s">
        <v>80</v>
      </c>
      <c r="D70" s="20" t="n">
        <f aca="false">D68+f_al*D69</f>
        <v>6.394</v>
      </c>
      <c r="E70" s="20" t="n">
        <f aca="false">E68+f_al*E69</f>
        <v>6.394</v>
      </c>
      <c r="F70" s="20" t="n">
        <f aca="false">F68+f_al*F69</f>
        <v>9.591</v>
      </c>
      <c r="G70" s="20" t="n">
        <f aca="false">G68+f_al*G69</f>
        <v>9.591</v>
      </c>
      <c r="K70" s="4" t="s">
        <v>523</v>
      </c>
    </row>
    <row r="71" customFormat="false" ht="17.15" hidden="false" customHeight="false" outlineLevel="0" collapsed="false">
      <c r="A71" s="0" t="s">
        <v>524</v>
      </c>
      <c r="B71" s="0" t="s">
        <v>213</v>
      </c>
      <c r="D71" s="20" t="n">
        <f aca="false">D65*D70</f>
        <v>3.8364</v>
      </c>
      <c r="E71" s="20" t="n">
        <f aca="false">E65*E70</f>
        <v>8.79175</v>
      </c>
      <c r="F71" s="20" t="n">
        <f aca="false">F65*F70</f>
        <v>15.82515</v>
      </c>
      <c r="G71" s="20" t="n">
        <f aca="false">G65*G70</f>
        <v>18.1989225</v>
      </c>
    </row>
    <row r="72" customFormat="false" ht="17.15" hidden="false" customHeight="false" outlineLevel="0" collapsed="false">
      <c r="A72" s="4" t="s">
        <v>525</v>
      </c>
      <c r="B72" s="0" t="s">
        <v>49</v>
      </c>
      <c r="D72" s="22" t="n">
        <f aca="false">dc26/D71</f>
        <v>0.390991554582421</v>
      </c>
      <c r="K72" s="8" t="s">
        <v>526</v>
      </c>
    </row>
    <row r="73" customFormat="false" ht="17.15" hidden="false" customHeight="false" outlineLevel="0" collapsed="false">
      <c r="A73" s="0" t="s">
        <v>527</v>
      </c>
      <c r="B73" s="0" t="s">
        <v>213</v>
      </c>
      <c r="D73" s="20" t="n">
        <f aca="false">D71*$D$72</f>
        <v>1.5</v>
      </c>
      <c r="E73" s="20" t="n">
        <f aca="false">E71*$D$72</f>
        <v>3.4375</v>
      </c>
      <c r="F73" s="20" t="n">
        <f aca="false">F71*$D$72</f>
        <v>6.1875</v>
      </c>
      <c r="G73" s="20" t="n">
        <f aca="false">G71*$D$72</f>
        <v>7.115625</v>
      </c>
    </row>
    <row r="74" customFormat="false" ht="15" hidden="false" customHeight="false" outlineLevel="0" collapsed="false">
      <c r="A74" s="4" t="s">
        <v>528</v>
      </c>
      <c r="B74" s="0" t="s">
        <v>224</v>
      </c>
      <c r="D74" s="20" t="n">
        <f aca="false">fx26</f>
        <v>31.6</v>
      </c>
      <c r="E74" s="20" t="n">
        <f aca="false">fx</f>
        <v>32</v>
      </c>
      <c r="F74" s="20" t="n">
        <f aca="false">fx</f>
        <v>32</v>
      </c>
      <c r="G74" s="20" t="n">
        <f aca="false">fx</f>
        <v>32</v>
      </c>
    </row>
    <row r="75" customFormat="false" ht="17.15" hidden="false" customHeight="false" outlineLevel="0" collapsed="false">
      <c r="A75" s="0" t="s">
        <v>529</v>
      </c>
      <c r="B75" s="0" t="s">
        <v>219</v>
      </c>
      <c r="C75" s="20" t="n">
        <f aca="false">a25_trn</f>
        <v>0</v>
      </c>
      <c r="D75" s="20" t="n">
        <f aca="false">D73*D74</f>
        <v>47.4</v>
      </c>
      <c r="E75" s="20" t="n">
        <f aca="false">E73*E74</f>
        <v>110</v>
      </c>
      <c r="F75" s="20" t="n">
        <f aca="false">F73*F74</f>
        <v>198</v>
      </c>
      <c r="G75" s="20" t="n">
        <f aca="false">G73*G74</f>
        <v>227.7</v>
      </c>
    </row>
    <row r="76" customFormat="false" ht="17.15" hidden="false" customHeight="false" outlineLevel="0" collapsed="false">
      <c r="A76" s="4" t="s">
        <v>530</v>
      </c>
      <c r="B76" s="0" t="s">
        <v>219</v>
      </c>
      <c r="D76" s="20" t="n">
        <f aca="false">$D$72*f_al*D65*D69*D74</f>
        <v>0</v>
      </c>
      <c r="E76" s="20" t="n">
        <f aca="false">$D$72*f_al*E65*E69*E74</f>
        <v>0</v>
      </c>
      <c r="F76" s="20" t="n">
        <f aca="false">$D$72*f_al*F65*F69*F74</f>
        <v>0</v>
      </c>
      <c r="G76" s="20" t="n">
        <f aca="false">$D$72*f_al*G65*G69*G74</f>
        <v>0</v>
      </c>
    </row>
    <row r="77" customFormat="false" ht="15" hidden="false" customHeight="false" outlineLevel="0" collapsed="false">
      <c r="A77" s="4" t="s">
        <v>531</v>
      </c>
      <c r="B77" s="0" t="s">
        <v>219</v>
      </c>
      <c r="D77" s="20" t="n">
        <f aca="false">D75-D76</f>
        <v>47.4</v>
      </c>
      <c r="E77" s="20" t="n">
        <f aca="false">E75-E76</f>
        <v>110</v>
      </c>
      <c r="F77" s="20" t="n">
        <f aca="false">F75-F76</f>
        <v>198</v>
      </c>
      <c r="G77" s="20" t="n">
        <f aca="false">G75-G76</f>
        <v>227.7</v>
      </c>
    </row>
    <row r="78" customFormat="false" ht="15" hidden="false" customHeight="false" outlineLevel="0" collapsed="false">
      <c r="A78" s="4" t="s">
        <v>475</v>
      </c>
      <c r="B78" s="0" t="s">
        <v>80</v>
      </c>
      <c r="D78" s="20" t="n">
        <f aca="false">IF(D65&gt;0,D73/D65,0)</f>
        <v>2.5</v>
      </c>
      <c r="E78" s="20" t="n">
        <f aca="false">IF(E65&gt;0,E73/E65,0)</f>
        <v>2.5</v>
      </c>
      <c r="F78" s="20" t="n">
        <f aca="false">IF(F65&gt;0,F73/F65,0)</f>
        <v>3.75</v>
      </c>
      <c r="G78" s="20" t="n">
        <f aca="false">IF(G65&gt;0,G73/G65,0)</f>
        <v>3.75</v>
      </c>
    </row>
    <row r="79" customFormat="false" ht="17.15" hidden="false" customHeight="false" outlineLevel="0" collapsed="false">
      <c r="A79" s="6" t="s">
        <v>532</v>
      </c>
    </row>
    <row r="80" customFormat="false" ht="17.15" hidden="false" customHeight="false" outlineLevel="0" collapsed="false">
      <c r="A80" s="4" t="s">
        <v>533</v>
      </c>
      <c r="B80" s="0" t="s">
        <v>219</v>
      </c>
      <c r="C80" s="20" t="n">
        <f aca="false">a25_oth</f>
        <v>30.926</v>
      </c>
      <c r="D80" s="20" t="n">
        <f aca="false">a26_oth</f>
        <v>20.43665</v>
      </c>
      <c r="E80" s="20" t="n">
        <f aca="false">D80*(1+g_o27_A)</f>
        <v>23.5021475</v>
      </c>
      <c r="F80" s="20" t="n">
        <f aca="false">E80*(1+g_oL_A)</f>
        <v>26.3224052</v>
      </c>
      <c r="G80" s="20" t="n">
        <f aca="false">F80*(1+g_oL_A)</f>
        <v>29.481093824</v>
      </c>
    </row>
    <row r="81" customFormat="false" ht="17.15" hidden="false" customHeight="false" outlineLevel="0" collapsed="false">
      <c r="A81" s="4" t="s">
        <v>413</v>
      </c>
      <c r="B81" s="0" t="s">
        <v>219</v>
      </c>
      <c r="C81" s="20" t="n">
        <f aca="false">C80+C75</f>
        <v>30.926</v>
      </c>
      <c r="D81" s="20" t="n">
        <f aca="false">D80+D75</f>
        <v>67.83665</v>
      </c>
      <c r="E81" s="20" t="n">
        <f aca="false">E80+E75</f>
        <v>133.5021475</v>
      </c>
      <c r="F81" s="20" t="n">
        <f aca="false">F80+F75</f>
        <v>224.3224052</v>
      </c>
      <c r="G81" s="20" t="n">
        <f aca="false">G80+G75</f>
        <v>257.181093824</v>
      </c>
      <c r="H81" s="28" t="n">
        <f aca="false">G81*(1+H82)</f>
        <v>287.439262995056</v>
      </c>
      <c r="I81" s="28" t="n">
        <f aca="false">H81*(1+I82)</f>
        <v>312.971510126327</v>
      </c>
      <c r="J81" s="28" t="n">
        <f aca="false">I81*(1+J82)</f>
        <v>331.749800733906</v>
      </c>
      <c r="K81" s="8" t="s">
        <v>534</v>
      </c>
    </row>
    <row r="82" customFormat="false" ht="15" hidden="false" customHeight="false" outlineLevel="0" collapsed="false">
      <c r="A82" s="4" t="s">
        <v>535</v>
      </c>
      <c r="B82" s="0" t="s">
        <v>44</v>
      </c>
      <c r="D82" s="18" t="n">
        <f aca="false">D81/C81-1</f>
        <v>1.19351516523314</v>
      </c>
      <c r="E82" s="18" t="n">
        <f aca="false">E81/D81-1</f>
        <v>0.967994402730677</v>
      </c>
      <c r="F82" s="18" t="n">
        <f aca="false">F81/E81-1</f>
        <v>0.68029061255363</v>
      </c>
      <c r="G82" s="18" t="n">
        <f aca="false">G81/F81-1</f>
        <v>0.146479744610014</v>
      </c>
      <c r="H82" s="26" t="n">
        <f aca="false">$G82+(fade_gA-$G82)*1/3</f>
        <v>0.117653163073342</v>
      </c>
      <c r="I82" s="26" t="n">
        <f aca="false">$G82+(fade_gA-$G82)*2/3</f>
        <v>0.0888265815366712</v>
      </c>
      <c r="J82" s="26" t="n">
        <f aca="false">$G82+(fade_gA-$G82)*3/3</f>
        <v>0.06</v>
      </c>
    </row>
    <row r="83" customFormat="false" ht="17.15" hidden="false" customHeight="false" outlineLevel="0" collapsed="false">
      <c r="A83" s="0" t="s">
        <v>536</v>
      </c>
      <c r="B83" s="0" t="s">
        <v>44</v>
      </c>
      <c r="C83" s="18" t="n">
        <f aca="false">C75/C81</f>
        <v>0</v>
      </c>
      <c r="D83" s="18" t="n">
        <f aca="false">D75/D81</f>
        <v>0.698737334464482</v>
      </c>
      <c r="E83" s="18" t="n">
        <f aca="false">E75/E81</f>
        <v>0.823956783167102</v>
      </c>
      <c r="F83" s="18" t="n">
        <f aca="false">F75/F81</f>
        <v>0.882658153667122</v>
      </c>
      <c r="G83" s="18" t="n">
        <f aca="false">G75/G81</f>
        <v>0.885368347316482</v>
      </c>
    </row>
    <row r="84" customFormat="false" ht="17.15" hidden="false" customHeight="false" outlineLevel="0" collapsed="false">
      <c r="A84" s="4" t="s">
        <v>537</v>
      </c>
      <c r="B84" s="0" t="s">
        <v>44</v>
      </c>
      <c r="C84" s="18" t="n">
        <f aca="false">C80/C81</f>
        <v>1</v>
      </c>
      <c r="D84" s="18" t="n">
        <f aca="false">D80/D81</f>
        <v>0.301262665535518</v>
      </c>
      <c r="E84" s="18" t="n">
        <f aca="false">E80/E81</f>
        <v>0.176043216832898</v>
      </c>
      <c r="F84" s="18" t="n">
        <f aca="false">F80/F81</f>
        <v>0.117341846332878</v>
      </c>
      <c r="G84" s="18" t="n">
        <f aca="false">G80/G81</f>
        <v>0.114631652683518</v>
      </c>
    </row>
    <row r="85" customFormat="false" ht="17.15" hidden="false" customHeight="false" outlineLevel="0" collapsed="false">
      <c r="A85" s="6" t="s">
        <v>538</v>
      </c>
    </row>
    <row r="86" customFormat="false" ht="17.15" hidden="false" customHeight="false" outlineLevel="0" collapsed="false">
      <c r="A86" s="0" t="s">
        <v>539</v>
      </c>
      <c r="B86" s="0" t="s">
        <v>219</v>
      </c>
      <c r="D86" s="20" t="n">
        <f aca="false">m_trn*D77+m_hbm*D76</f>
        <v>6.162</v>
      </c>
      <c r="E86" s="20" t="n">
        <f aca="false">(m_trn+gta_A)*E77+m_hbm*E76</f>
        <v>15.4</v>
      </c>
      <c r="F86" s="20" t="n">
        <f aca="false">(m_trn+gta_A)*F77+m_hbm*F76</f>
        <v>27.72</v>
      </c>
      <c r="G86" s="20" t="n">
        <f aca="false">(m_trn+gta_A)*G77+m_hbm*G76</f>
        <v>31.878</v>
      </c>
    </row>
    <row r="87" customFormat="false" ht="17.15" hidden="false" customHeight="false" outlineLevel="0" collapsed="false">
      <c r="A87" s="4" t="s">
        <v>540</v>
      </c>
      <c r="B87" s="0" t="s">
        <v>44</v>
      </c>
      <c r="C87" s="17" t="n">
        <f aca="false">a25_gp/C80</f>
        <v>0.263661643924206</v>
      </c>
      <c r="D87" s="17" t="n">
        <f aca="false">(a26_gp-D86)/D80</f>
        <v>0.499403865114879</v>
      </c>
      <c r="E87" s="17" t="n">
        <f aca="false">$D87+0</f>
        <v>0.499403865114879</v>
      </c>
      <c r="F87" s="17" t="n">
        <f aca="false">$D87+0</f>
        <v>0.499403865114879</v>
      </c>
      <c r="G87" s="17" t="n">
        <f aca="false">$D87+0</f>
        <v>0.499403865114879</v>
      </c>
      <c r="K87" s="8" t="s">
        <v>541</v>
      </c>
    </row>
    <row r="88" customFormat="false" ht="15" hidden="false" customHeight="false" outlineLevel="0" collapsed="false">
      <c r="A88" s="4" t="s">
        <v>422</v>
      </c>
      <c r="B88" s="0" t="s">
        <v>219</v>
      </c>
      <c r="C88" s="20" t="n">
        <f aca="false">a25_gp</f>
        <v>8.154</v>
      </c>
      <c r="D88" s="20" t="n">
        <f aca="false">a26_gp</f>
        <v>16.368142</v>
      </c>
      <c r="E88" s="20" t="n">
        <f aca="false">E87*E80+E86</f>
        <v>27.1370633</v>
      </c>
      <c r="F88" s="20" t="n">
        <f aca="false">F87*F80+F86</f>
        <v>40.865510896</v>
      </c>
      <c r="G88" s="20" t="n">
        <f aca="false">G87*G80+G86</f>
        <v>46.60097220352</v>
      </c>
    </row>
    <row r="89" customFormat="false" ht="15" hidden="false" customHeight="false" outlineLevel="0" collapsed="false">
      <c r="A89" s="4" t="s">
        <v>425</v>
      </c>
      <c r="B89" s="0" t="s">
        <v>44</v>
      </c>
      <c r="C89" s="17" t="n">
        <f aca="false">C88/C81</f>
        <v>0.263661643924206</v>
      </c>
      <c r="D89" s="17" t="n">
        <f aca="false">D88/D81</f>
        <v>0.241287593063632</v>
      </c>
      <c r="E89" s="17" t="n">
        <f aca="false">E88/E81</f>
        <v>0.203270612557</v>
      </c>
      <c r="F89" s="17" t="n">
        <f aca="false">F88/F81</f>
        <v>0.182173113111753</v>
      </c>
      <c r="G89" s="17" t="n">
        <f aca="false">G88/G81</f>
        <v>0.181199059038963</v>
      </c>
    </row>
    <row r="90" customFormat="false" ht="15" hidden="false" customHeight="false" outlineLevel="0" collapsed="false">
      <c r="A90" s="4" t="s">
        <v>429</v>
      </c>
      <c r="B90" s="0" t="s">
        <v>219</v>
      </c>
      <c r="C90" s="20" t="n">
        <f aca="false">a25_opx</f>
        <v>3.138</v>
      </c>
      <c r="D90" s="20" t="n">
        <f aca="false">a26_opx</f>
        <v>3.849</v>
      </c>
      <c r="E90" s="20" t="n">
        <f aca="false">D90*(1+MAX(g_opx_min,phi*E82))+0*E81</f>
        <v>4.96674313683311</v>
      </c>
      <c r="F90" s="20" t="n">
        <f aca="false">E90*(1+MAX(g_opx_min,phi*F82))+0*F81</f>
        <v>5.98039175611893</v>
      </c>
      <c r="G90" s="20" t="n">
        <f aca="false">F90*(1+MAX(g_opx_min,phi*G82))+0*G81</f>
        <v>6.45882309660845</v>
      </c>
    </row>
    <row r="91" customFormat="false" ht="15" hidden="false" customHeight="false" outlineLevel="0" collapsed="false">
      <c r="A91" s="4" t="s">
        <v>432</v>
      </c>
      <c r="B91" s="0" t="s">
        <v>219</v>
      </c>
      <c r="C91" s="20" t="n">
        <f aca="false">C88-C90</f>
        <v>5.016</v>
      </c>
      <c r="D91" s="20" t="n">
        <f aca="false">D88-D90</f>
        <v>12.519142</v>
      </c>
      <c r="E91" s="20" t="n">
        <f aca="false">E88-E90</f>
        <v>22.1703201631669</v>
      </c>
      <c r="F91" s="20" t="n">
        <f aca="false">F88-F90</f>
        <v>34.8851191398811</v>
      </c>
      <c r="G91" s="20" t="n">
        <f aca="false">G88-G90</f>
        <v>40.1421491069116</v>
      </c>
    </row>
    <row r="92" customFormat="false" ht="15" hidden="false" customHeight="false" outlineLevel="0" collapsed="false">
      <c r="A92" s="4" t="s">
        <v>505</v>
      </c>
      <c r="B92" s="0" t="s">
        <v>44</v>
      </c>
      <c r="C92" s="17" t="n">
        <f aca="false">C91/C81</f>
        <v>0.162193623488327</v>
      </c>
      <c r="D92" s="17" t="n">
        <f aca="false">D91/D81</f>
        <v>0.184548352549838</v>
      </c>
      <c r="E92" s="17" t="n">
        <f aca="false">E91/E81</f>
        <v>0.166067142576616</v>
      </c>
      <c r="F92" s="17" t="n">
        <f aca="false">F91/F81</f>
        <v>0.155513307325581</v>
      </c>
      <c r="G92" s="17" t="n">
        <f aca="false">G91/G81</f>
        <v>0.156085148056733</v>
      </c>
    </row>
    <row r="93" customFormat="false" ht="15" hidden="false" customHeight="false" outlineLevel="0" collapsed="false">
      <c r="A93" s="4" t="s">
        <v>435</v>
      </c>
      <c r="B93" s="0" t="s">
        <v>219</v>
      </c>
      <c r="C93" s="20" t="n">
        <f aca="false">a25_nonop</f>
        <v>1.7042198</v>
      </c>
      <c r="D93" s="20" t="n">
        <f aca="false">a26_nonop</f>
        <v>1.605</v>
      </c>
      <c r="E93" s="20" t="n">
        <f aca="false">nonop_f</f>
        <v>1.6</v>
      </c>
      <c r="F93" s="20" t="n">
        <f aca="false">nonop_f</f>
        <v>1.6</v>
      </c>
      <c r="G93" s="20" t="n">
        <f aca="false">nonop_f</f>
        <v>1.6</v>
      </c>
    </row>
    <row r="94" customFormat="false" ht="15" hidden="false" customHeight="false" outlineLevel="0" collapsed="false">
      <c r="A94" s="4" t="s">
        <v>437</v>
      </c>
      <c r="B94" s="0" t="s">
        <v>219</v>
      </c>
      <c r="C94" s="20" t="n">
        <f aca="false">C91+C93</f>
        <v>6.7202198</v>
      </c>
      <c r="D94" s="20" t="n">
        <f aca="false">D91+D93</f>
        <v>14.124142</v>
      </c>
      <c r="E94" s="20" t="n">
        <f aca="false">E91+E93</f>
        <v>23.7703201631669</v>
      </c>
      <c r="F94" s="20" t="n">
        <f aca="false">F91+F93</f>
        <v>36.4851191398811</v>
      </c>
      <c r="G94" s="20" t="n">
        <f aca="false">G91+G93</f>
        <v>41.7421491069116</v>
      </c>
    </row>
    <row r="95" customFormat="false" ht="15" hidden="false" customHeight="false" outlineLevel="0" collapsed="false">
      <c r="A95" s="4" t="s">
        <v>439</v>
      </c>
      <c r="B95" s="0" t="s">
        <v>219</v>
      </c>
      <c r="C95" s="20" t="n">
        <f aca="false">a25_tax</f>
        <v>1.1222198</v>
      </c>
      <c r="D95" s="20" t="n">
        <f aca="false">a26_tax</f>
        <v>2.8140284</v>
      </c>
      <c r="E95" s="20" t="n">
        <f aca="false">E94*tax</f>
        <v>4.75406403263338</v>
      </c>
      <c r="F95" s="20" t="n">
        <f aca="false">F94*tax</f>
        <v>7.29702382797622</v>
      </c>
      <c r="G95" s="20" t="n">
        <f aca="false">G94*tax</f>
        <v>8.34842982138231</v>
      </c>
    </row>
    <row r="96" customFormat="false" ht="15" hidden="false" customHeight="false" outlineLevel="0" collapsed="false">
      <c r="A96" s="4" t="s">
        <v>442</v>
      </c>
      <c r="B96" s="0" t="s">
        <v>219</v>
      </c>
      <c r="C96" s="20" t="n">
        <f aca="false">C94-C95</f>
        <v>5.598</v>
      </c>
      <c r="D96" s="20" t="n">
        <f aca="false">D94-D95</f>
        <v>11.3101136</v>
      </c>
      <c r="E96" s="20" t="n">
        <f aca="false">E94-E95</f>
        <v>19.0162561305335</v>
      </c>
      <c r="F96" s="20" t="n">
        <f aca="false">F94-F95</f>
        <v>29.1880953119049</v>
      </c>
      <c r="G96" s="20" t="n">
        <f aca="false">G94-G95</f>
        <v>33.3937192855292</v>
      </c>
      <c r="H96" s="28" t="n">
        <f aca="false">H81*H100</f>
        <v>37.322595986255</v>
      </c>
      <c r="I96" s="28" t="n">
        <f aca="false">I81*I100</f>
        <v>40.6378346017884</v>
      </c>
      <c r="J96" s="28" t="n">
        <f aca="false">J81*J100</f>
        <v>43.0761046778957</v>
      </c>
    </row>
    <row r="97" customFormat="false" ht="17.15" hidden="false" customHeight="false" outlineLevel="0" collapsed="false">
      <c r="A97" s="4" t="s">
        <v>542</v>
      </c>
      <c r="B97" s="4" t="s">
        <v>272</v>
      </c>
      <c r="C97" s="19" t="n">
        <f aca="false">a25_sh</f>
        <v>0.0809193408499566</v>
      </c>
      <c r="D97" s="19" t="n">
        <f aca="false">a26_sh</f>
        <v>0.0838996682946683</v>
      </c>
      <c r="E97" s="19" t="n">
        <f aca="false">q_sh*(1+sh_g)</f>
        <v>0.08621</v>
      </c>
      <c r="F97" s="19" t="n">
        <f aca="false">E97*(1+sh_g)</f>
        <v>0.08621</v>
      </c>
      <c r="G97" s="19" t="n">
        <f aca="false">F97*(1+sh_g)</f>
        <v>0.08621</v>
      </c>
      <c r="H97" s="31" t="n">
        <f aca="false">G97*(1+sh_g)</f>
        <v>0.08621</v>
      </c>
      <c r="I97" s="31" t="n">
        <f aca="false">H97*(1+sh_g)</f>
        <v>0.08621</v>
      </c>
      <c r="J97" s="31" t="n">
        <f aca="false">I97*(1+sh_g)</f>
        <v>0.08621</v>
      </c>
      <c r="K97" s="8" t="s">
        <v>543</v>
      </c>
    </row>
    <row r="98" customFormat="false" ht="17.15" hidden="false" customHeight="false" outlineLevel="0" collapsed="false">
      <c r="A98" s="0" t="s">
        <v>446</v>
      </c>
      <c r="B98" s="0" t="s">
        <v>312</v>
      </c>
      <c r="C98" s="20" t="n">
        <f aca="false">C96/C97</f>
        <v>69.18</v>
      </c>
      <c r="D98" s="20" t="n">
        <f aca="false">D96/D97</f>
        <v>134.805224262356</v>
      </c>
      <c r="E98" s="20" t="n">
        <f aca="false">E96/E97</f>
        <v>220.580630211501</v>
      </c>
      <c r="F98" s="20" t="n">
        <f aca="false">F96/F97</f>
        <v>338.56971710828</v>
      </c>
      <c r="G98" s="20" t="n">
        <f aca="false">G96/G97</f>
        <v>387.353198996975</v>
      </c>
      <c r="H98" s="28" t="n">
        <f aca="false">H96/H97</f>
        <v>432.926528085547</v>
      </c>
      <c r="I98" s="28" t="n">
        <f aca="false">I96/I97</f>
        <v>471.381911631926</v>
      </c>
      <c r="J98" s="28" t="n">
        <f aca="false">J96/J97</f>
        <v>499.664826329842</v>
      </c>
    </row>
    <row r="99" customFormat="false" ht="17.15" hidden="false" customHeight="false" outlineLevel="0" collapsed="false">
      <c r="A99" s="0" t="s">
        <v>544</v>
      </c>
      <c r="B99" s="0" t="s">
        <v>44</v>
      </c>
      <c r="D99" s="18" t="n">
        <f aca="false">D98/C98-1</f>
        <v>0.948615557420577</v>
      </c>
      <c r="E99" s="18" t="n">
        <f aca="false">E98/D98-1</f>
        <v>0.636291407981422</v>
      </c>
      <c r="F99" s="18" t="n">
        <f aca="false">F98/E98-1</f>
        <v>0.534902302090836</v>
      </c>
      <c r="G99" s="18" t="n">
        <f aca="false">G98/F98-1</f>
        <v>0.144086961779553</v>
      </c>
      <c r="H99" s="26" t="n">
        <f aca="false">H98/G98-1</f>
        <v>0.117653163073342</v>
      </c>
      <c r="I99" s="26" t="n">
        <f aca="false">I98/H98-1</f>
        <v>0.0888265815366716</v>
      </c>
      <c r="J99" s="26" t="n">
        <f aca="false">J98/I98-1</f>
        <v>0.0600000000000001</v>
      </c>
    </row>
    <row r="100" customFormat="false" ht="17.15" hidden="false" customHeight="false" outlineLevel="0" collapsed="false">
      <c r="A100" s="4" t="s">
        <v>545</v>
      </c>
      <c r="B100" s="0" t="s">
        <v>44</v>
      </c>
      <c r="C100" s="17" t="n">
        <f aca="false">C96/C81</f>
        <v>0.181012740089245</v>
      </c>
      <c r="D100" s="17" t="n">
        <f aca="false">D96/D81</f>
        <v>0.166725709480052</v>
      </c>
      <c r="E100" s="17" t="n">
        <f aca="false">E96/E81</f>
        <v>0.142441574810873</v>
      </c>
      <c r="F100" s="17" t="n">
        <f aca="false">F96/F81</f>
        <v>0.13011671877306</v>
      </c>
      <c r="G100" s="17" t="n">
        <f aca="false">G96/G81</f>
        <v>0.129845156146594</v>
      </c>
      <c r="H100" s="27" t="n">
        <f aca="false">$G100+(fade_mA-$G100)*1/3</f>
        <v>0.129845156146594</v>
      </c>
      <c r="I100" s="27" t="n">
        <f aca="false">$G100+(fade_mA-$G100)*2/3</f>
        <v>0.129845156146594</v>
      </c>
      <c r="J100" s="27" t="n">
        <f aca="false">$G100+(fade_mA-$G100)*3/3</f>
        <v>0.129845156146594</v>
      </c>
    </row>
    <row r="103" customFormat="false" ht="17.15" hidden="false" customHeight="false" outlineLevel="0" collapsed="false">
      <c r="A103" s="1" t="s">
        <v>546</v>
      </c>
    </row>
    <row r="104" customFormat="false" ht="17.15" hidden="false" customHeight="false" outlineLevel="0" collapsed="false">
      <c r="A104" s="5" t="s">
        <v>20</v>
      </c>
      <c r="B104" s="5" t="s">
        <v>21</v>
      </c>
      <c r="C104" s="14" t="s">
        <v>407</v>
      </c>
      <c r="D104" s="14" t="s">
        <v>495</v>
      </c>
      <c r="E104" s="14" t="s">
        <v>496</v>
      </c>
      <c r="F104" s="14" t="s">
        <v>497</v>
      </c>
      <c r="G104" s="14" t="s">
        <v>498</v>
      </c>
      <c r="H104" s="14" t="s">
        <v>499</v>
      </c>
      <c r="I104" s="14" t="s">
        <v>500</v>
      </c>
      <c r="J104" s="14" t="s">
        <v>501</v>
      </c>
      <c r="K104" s="5" t="s">
        <v>465</v>
      </c>
    </row>
    <row r="105" customFormat="false" ht="17.15" hidden="false" customHeight="false" outlineLevel="0" collapsed="false">
      <c r="A105" s="6" t="s">
        <v>516</v>
      </c>
    </row>
    <row r="106" customFormat="false" ht="17.15" hidden="false" customHeight="false" outlineLevel="0" collapsed="false">
      <c r="A106" s="0" t="s">
        <v>517</v>
      </c>
      <c r="B106" s="4" t="s">
        <v>31</v>
      </c>
      <c r="D106" s="22" t="n">
        <f aca="false">u_trn_26</f>
        <v>2</v>
      </c>
      <c r="E106" s="22" t="n">
        <f aca="false">u_trn_27</f>
        <v>2.5</v>
      </c>
      <c r="F106" s="22" t="n">
        <f aca="false">u_trn_28*um28_B</f>
        <v>2.4</v>
      </c>
      <c r="G106" s="22" t="n">
        <f aca="false">u_trn_28*(1+g29_trn)*um29_B</f>
        <v>2.9325</v>
      </c>
    </row>
    <row r="107" customFormat="false" ht="17.15" hidden="false" customHeight="false" outlineLevel="0" collapsed="false">
      <c r="A107" s="4" t="s">
        <v>469</v>
      </c>
      <c r="B107" s="0" t="s">
        <v>44</v>
      </c>
      <c r="D107" s="18" t="n">
        <f aca="false">al_trn_26</f>
        <v>0.3</v>
      </c>
      <c r="E107" s="18" t="n">
        <f aca="false">MIN(1,MAX(0,al27_B+0))</f>
        <v>0.5</v>
      </c>
      <c r="F107" s="18" t="n">
        <f aca="false">MIN(1,MAX(0,al28_B+0))</f>
        <v>0.45</v>
      </c>
      <c r="G107" s="18" t="n">
        <f aca="false">MIN(1,MAX(0,al28_B+0))</f>
        <v>0.45</v>
      </c>
    </row>
    <row r="108" customFormat="false" ht="17.15" hidden="false" customHeight="false" outlineLevel="0" collapsed="false">
      <c r="A108" s="4" t="s">
        <v>471</v>
      </c>
      <c r="B108" s="4" t="s">
        <v>31</v>
      </c>
      <c r="D108" s="22" t="n">
        <f aca="false">D106*D107</f>
        <v>0.6</v>
      </c>
      <c r="E108" s="22" t="n">
        <f aca="false">E106*E107*1</f>
        <v>1.25</v>
      </c>
      <c r="F108" s="22" t="n">
        <f aca="false">F106*F107*1</f>
        <v>1.08</v>
      </c>
      <c r="G108" s="22" t="n">
        <f aca="false">G106*G107*1</f>
        <v>1.319625</v>
      </c>
    </row>
    <row r="109" customFormat="false" ht="17.15" hidden="false" customHeight="false" outlineLevel="0" collapsed="false">
      <c r="A109" s="4" t="s">
        <v>518</v>
      </c>
      <c r="B109" s="0" t="s">
        <v>69</v>
      </c>
      <c r="D109" s="30" t="n">
        <f aca="false">gb_trn_26</f>
        <v>110</v>
      </c>
      <c r="E109" s="30" t="n">
        <f aca="false">gb_trn_27</f>
        <v>144</v>
      </c>
      <c r="F109" s="30" t="n">
        <f aca="false">gb_trn_28</f>
        <v>200</v>
      </c>
      <c r="G109" s="30" t="n">
        <f aca="false">gb_trn_28</f>
        <v>200</v>
      </c>
    </row>
    <row r="110" customFormat="false" ht="17.15" hidden="false" customHeight="false" outlineLevel="0" collapsed="false">
      <c r="A110" s="0" t="s">
        <v>519</v>
      </c>
      <c r="B110" s="0" t="s">
        <v>156</v>
      </c>
      <c r="D110" s="20" t="n">
        <f aca="false">hbm_B_26</f>
        <v>14.6</v>
      </c>
      <c r="E110" s="20" t="n">
        <f aca="false">hbm_B_27</f>
        <v>26.28</v>
      </c>
      <c r="F110" s="20" t="n">
        <f aca="false">hbm_B_28</f>
        <v>19.71</v>
      </c>
      <c r="G110" s="20" t="n">
        <f aca="false">hbm_B_29</f>
        <v>19.71</v>
      </c>
    </row>
    <row r="111" customFormat="false" ht="17.15" hidden="false" customHeight="false" outlineLevel="0" collapsed="false">
      <c r="A111" s="4" t="s">
        <v>520</v>
      </c>
      <c r="B111" s="0" t="s">
        <v>80</v>
      </c>
      <c r="D111" s="20" t="n">
        <f aca="false">core_trn</f>
        <v>6.394</v>
      </c>
      <c r="E111" s="20" t="n">
        <f aca="false">core_trn</f>
        <v>6.394</v>
      </c>
      <c r="F111" s="20" t="n">
        <f aca="false">core_trn*pfc_B</f>
        <v>7.6728</v>
      </c>
      <c r="G111" s="20" t="n">
        <f aca="false">core_trn*pfc_B</f>
        <v>7.6728</v>
      </c>
    </row>
    <row r="112" customFormat="false" ht="17.15" hidden="false" customHeight="false" outlineLevel="0" collapsed="false">
      <c r="A112" s="4" t="s">
        <v>521</v>
      </c>
      <c r="B112" s="0" t="s">
        <v>80</v>
      </c>
      <c r="D112" s="20" t="n">
        <f aca="false">D109*D110/1000</f>
        <v>1.606</v>
      </c>
      <c r="E112" s="20" t="n">
        <f aca="false">E109*E110/1000</f>
        <v>3.78432</v>
      </c>
      <c r="F112" s="20" t="n">
        <f aca="false">F109*F110/1000</f>
        <v>3.942</v>
      </c>
      <c r="G112" s="20" t="n">
        <f aca="false">G109*G110/1000</f>
        <v>3.942</v>
      </c>
    </row>
    <row r="113" customFormat="false" ht="17.15" hidden="false" customHeight="false" outlineLevel="0" collapsed="false">
      <c r="A113" s="4" t="s">
        <v>522</v>
      </c>
      <c r="B113" s="0" t="s">
        <v>80</v>
      </c>
      <c r="D113" s="20" t="n">
        <f aca="false">D111+f_al*D112</f>
        <v>6.394</v>
      </c>
      <c r="E113" s="20" t="n">
        <f aca="false">E111+f_al*E112</f>
        <v>6.394</v>
      </c>
      <c r="F113" s="20" t="n">
        <f aca="false">F111+f_al*F112</f>
        <v>7.6728</v>
      </c>
      <c r="G113" s="20" t="n">
        <f aca="false">G111+f_al*G112</f>
        <v>7.6728</v>
      </c>
      <c r="K113" s="4" t="s">
        <v>523</v>
      </c>
    </row>
    <row r="114" customFormat="false" ht="17.15" hidden="false" customHeight="false" outlineLevel="0" collapsed="false">
      <c r="A114" s="0" t="s">
        <v>524</v>
      </c>
      <c r="B114" s="0" t="s">
        <v>213</v>
      </c>
      <c r="D114" s="20" t="n">
        <f aca="false">D108*D113</f>
        <v>3.8364</v>
      </c>
      <c r="E114" s="20" t="n">
        <f aca="false">E108*E113</f>
        <v>7.9925</v>
      </c>
      <c r="F114" s="20" t="n">
        <f aca="false">F108*F113</f>
        <v>8.286624</v>
      </c>
      <c r="G114" s="20" t="n">
        <f aca="false">G108*G113</f>
        <v>10.1252187</v>
      </c>
    </row>
    <row r="115" customFormat="false" ht="17.15" hidden="false" customHeight="false" outlineLevel="0" collapsed="false">
      <c r="A115" s="4" t="s">
        <v>525</v>
      </c>
      <c r="B115" s="0" t="s">
        <v>49</v>
      </c>
      <c r="D115" s="22" t="n">
        <f aca="false">dc26/D114</f>
        <v>0.390991554582421</v>
      </c>
      <c r="K115" s="8" t="s">
        <v>526</v>
      </c>
    </row>
    <row r="116" customFormat="false" ht="17.15" hidden="false" customHeight="false" outlineLevel="0" collapsed="false">
      <c r="A116" s="0" t="s">
        <v>527</v>
      </c>
      <c r="B116" s="0" t="s">
        <v>213</v>
      </c>
      <c r="D116" s="20" t="n">
        <f aca="false">D114*$D$115</f>
        <v>1.5</v>
      </c>
      <c r="E116" s="20" t="n">
        <f aca="false">E114*$D$115</f>
        <v>3.125</v>
      </c>
      <c r="F116" s="20" t="n">
        <f aca="false">F114*$D$115</f>
        <v>3.24</v>
      </c>
      <c r="G116" s="20" t="n">
        <f aca="false">G114*$D$115</f>
        <v>3.958875</v>
      </c>
    </row>
    <row r="117" customFormat="false" ht="15" hidden="false" customHeight="false" outlineLevel="0" collapsed="false">
      <c r="A117" s="4" t="s">
        <v>528</v>
      </c>
      <c r="B117" s="0" t="s">
        <v>224</v>
      </c>
      <c r="D117" s="20" t="n">
        <f aca="false">fx26</f>
        <v>31.6</v>
      </c>
      <c r="E117" s="20" t="n">
        <f aca="false">fx</f>
        <v>32</v>
      </c>
      <c r="F117" s="20" t="n">
        <f aca="false">fx</f>
        <v>32</v>
      </c>
      <c r="G117" s="20" t="n">
        <f aca="false">fx</f>
        <v>32</v>
      </c>
    </row>
    <row r="118" customFormat="false" ht="17.15" hidden="false" customHeight="false" outlineLevel="0" collapsed="false">
      <c r="A118" s="0" t="s">
        <v>529</v>
      </c>
      <c r="B118" s="0" t="s">
        <v>219</v>
      </c>
      <c r="C118" s="20" t="n">
        <f aca="false">a25_trn</f>
        <v>0</v>
      </c>
      <c r="D118" s="20" t="n">
        <f aca="false">D116*D117</f>
        <v>47.4</v>
      </c>
      <c r="E118" s="20" t="n">
        <f aca="false">E116*E117</f>
        <v>100</v>
      </c>
      <c r="F118" s="20" t="n">
        <f aca="false">F116*F117</f>
        <v>103.68</v>
      </c>
      <c r="G118" s="20" t="n">
        <f aca="false">G116*G117</f>
        <v>126.684</v>
      </c>
    </row>
    <row r="119" customFormat="false" ht="17.15" hidden="false" customHeight="false" outlineLevel="0" collapsed="false">
      <c r="A119" s="4" t="s">
        <v>530</v>
      </c>
      <c r="B119" s="0" t="s">
        <v>219</v>
      </c>
      <c r="D119" s="20" t="n">
        <f aca="false">$D$115*f_al*D108*D112*D117</f>
        <v>0</v>
      </c>
      <c r="E119" s="20" t="n">
        <f aca="false">$D$115*f_al*E108*E112*E117</f>
        <v>0</v>
      </c>
      <c r="F119" s="20" t="n">
        <f aca="false">$D$115*f_al*F108*F112*F117</f>
        <v>0</v>
      </c>
      <c r="G119" s="20" t="n">
        <f aca="false">$D$115*f_al*G108*G112*G117</f>
        <v>0</v>
      </c>
    </row>
    <row r="120" customFormat="false" ht="15" hidden="false" customHeight="false" outlineLevel="0" collapsed="false">
      <c r="A120" s="4" t="s">
        <v>531</v>
      </c>
      <c r="B120" s="0" t="s">
        <v>219</v>
      </c>
      <c r="D120" s="20" t="n">
        <f aca="false">D118-D119</f>
        <v>47.4</v>
      </c>
      <c r="E120" s="20" t="n">
        <f aca="false">E118-E119</f>
        <v>100</v>
      </c>
      <c r="F120" s="20" t="n">
        <f aca="false">F118-F119</f>
        <v>103.68</v>
      </c>
      <c r="G120" s="20" t="n">
        <f aca="false">G118-G119</f>
        <v>126.684</v>
      </c>
    </row>
    <row r="121" customFormat="false" ht="15" hidden="false" customHeight="false" outlineLevel="0" collapsed="false">
      <c r="A121" s="4" t="s">
        <v>475</v>
      </c>
      <c r="B121" s="0" t="s">
        <v>80</v>
      </c>
      <c r="D121" s="20" t="n">
        <f aca="false">IF(D108&gt;0,D116/D108,0)</f>
        <v>2.5</v>
      </c>
      <c r="E121" s="20" t="n">
        <f aca="false">IF(E108&gt;0,E116/E108,0)</f>
        <v>2.5</v>
      </c>
      <c r="F121" s="20" t="n">
        <f aca="false">IF(F108&gt;0,F116/F108,0)</f>
        <v>3</v>
      </c>
      <c r="G121" s="20" t="n">
        <f aca="false">IF(G108&gt;0,G116/G108,0)</f>
        <v>3</v>
      </c>
    </row>
    <row r="122" customFormat="false" ht="17.15" hidden="false" customHeight="false" outlineLevel="0" collapsed="false">
      <c r="A122" s="6" t="s">
        <v>532</v>
      </c>
    </row>
    <row r="123" customFormat="false" ht="17.15" hidden="false" customHeight="false" outlineLevel="0" collapsed="false">
      <c r="A123" s="4" t="s">
        <v>533</v>
      </c>
      <c r="B123" s="0" t="s">
        <v>219</v>
      </c>
      <c r="C123" s="20" t="n">
        <f aca="false">a25_oth</f>
        <v>30.926</v>
      </c>
      <c r="D123" s="20" t="n">
        <f aca="false">a26_oth</f>
        <v>20.43665</v>
      </c>
      <c r="E123" s="20" t="n">
        <f aca="false">D123*(1+g_o27_B)</f>
        <v>21.4584825</v>
      </c>
      <c r="F123" s="20" t="n">
        <f aca="false">E123*(1+g_oL_B)</f>
        <v>22.531406625</v>
      </c>
      <c r="G123" s="20" t="n">
        <f aca="false">F123*(1+g_oL_B)</f>
        <v>23.65797695625</v>
      </c>
    </row>
    <row r="124" customFormat="false" ht="17.15" hidden="false" customHeight="false" outlineLevel="0" collapsed="false">
      <c r="A124" s="4" t="s">
        <v>413</v>
      </c>
      <c r="B124" s="0" t="s">
        <v>219</v>
      </c>
      <c r="C124" s="20" t="n">
        <f aca="false">C123+C118</f>
        <v>30.926</v>
      </c>
      <c r="D124" s="20" t="n">
        <f aca="false">D123+D118</f>
        <v>67.83665</v>
      </c>
      <c r="E124" s="20" t="n">
        <f aca="false">E123+E118</f>
        <v>121.4584825</v>
      </c>
      <c r="F124" s="20" t="n">
        <f aca="false">F123+F118</f>
        <v>126.211406625</v>
      </c>
      <c r="G124" s="20" t="n">
        <f aca="false">G123+G118</f>
        <v>150.34197695625</v>
      </c>
      <c r="H124" s="28" t="n">
        <f aca="false">G124*(1+H125)</f>
        <v>171.509292988771</v>
      </c>
      <c r="I124" s="28" t="n">
        <f aca="false">H124*(1+I125)</f>
        <v>187.013257179478</v>
      </c>
      <c r="J124" s="28" t="n">
        <f aca="false">I124*(1+J125)</f>
        <v>194.493787466657</v>
      </c>
      <c r="K124" s="8" t="s">
        <v>534</v>
      </c>
    </row>
    <row r="125" customFormat="false" ht="15" hidden="false" customHeight="false" outlineLevel="0" collapsed="false">
      <c r="A125" s="4" t="s">
        <v>535</v>
      </c>
      <c r="B125" s="0" t="s">
        <v>44</v>
      </c>
      <c r="D125" s="18" t="n">
        <f aca="false">D124/C124-1</f>
        <v>1.19351516523314</v>
      </c>
      <c r="E125" s="18" t="n">
        <f aca="false">E124/D124-1</f>
        <v>0.790455196416687</v>
      </c>
      <c r="F125" s="18" t="n">
        <f aca="false">F124/E124-1</f>
        <v>0.03913208881891</v>
      </c>
      <c r="G125" s="18" t="n">
        <f aca="false">G124/F124-1</f>
        <v>0.191191675748824</v>
      </c>
      <c r="H125" s="26" t="n">
        <f aca="false">$G125+(fade_gB-$G125)*1/3</f>
        <v>0.140794450499216</v>
      </c>
      <c r="I125" s="26" t="n">
        <f aca="false">$G125+(fade_gB-$G125)*2/3</f>
        <v>0.0903972252496079</v>
      </c>
      <c r="J125" s="26" t="n">
        <f aca="false">$G125+(fade_gB-$G125)*3/3</f>
        <v>0.04</v>
      </c>
    </row>
    <row r="126" customFormat="false" ht="17.15" hidden="false" customHeight="false" outlineLevel="0" collapsed="false">
      <c r="A126" s="0" t="s">
        <v>536</v>
      </c>
      <c r="B126" s="0" t="s">
        <v>44</v>
      </c>
      <c r="C126" s="18" t="n">
        <f aca="false">C118/C124</f>
        <v>0</v>
      </c>
      <c r="D126" s="18" t="n">
        <f aca="false">D118/D124</f>
        <v>0.698737334464482</v>
      </c>
      <c r="E126" s="18" t="n">
        <f aca="false">E118/E124</f>
        <v>0.823326604628046</v>
      </c>
      <c r="F126" s="18" t="n">
        <f aca="false">F118/F124</f>
        <v>0.821478840720432</v>
      </c>
      <c r="G126" s="18" t="n">
        <f aca="false">G118/G124</f>
        <v>0.84263891272938</v>
      </c>
    </row>
    <row r="127" customFormat="false" ht="17.15" hidden="false" customHeight="false" outlineLevel="0" collapsed="false">
      <c r="A127" s="4" t="s">
        <v>537</v>
      </c>
      <c r="B127" s="0" t="s">
        <v>44</v>
      </c>
      <c r="C127" s="18" t="n">
        <f aca="false">C123/C124</f>
        <v>1</v>
      </c>
      <c r="D127" s="18" t="n">
        <f aca="false">D123/D124</f>
        <v>0.301262665535518</v>
      </c>
      <c r="E127" s="18" t="n">
        <f aca="false">E123/E124</f>
        <v>0.176673395371954</v>
      </c>
      <c r="F127" s="18" t="n">
        <f aca="false">F123/F124</f>
        <v>0.178521159279568</v>
      </c>
      <c r="G127" s="18" t="n">
        <f aca="false">G123/G124</f>
        <v>0.15736108727062</v>
      </c>
    </row>
    <row r="128" customFormat="false" ht="17.15" hidden="false" customHeight="false" outlineLevel="0" collapsed="false">
      <c r="A128" s="6" t="s">
        <v>538</v>
      </c>
    </row>
    <row r="129" customFormat="false" ht="17.15" hidden="false" customHeight="false" outlineLevel="0" collapsed="false">
      <c r="A129" s="0" t="s">
        <v>539</v>
      </c>
      <c r="B129" s="0" t="s">
        <v>219</v>
      </c>
      <c r="D129" s="20" t="n">
        <f aca="false">m_trn*D120+m_hbm*D119</f>
        <v>6.162</v>
      </c>
      <c r="E129" s="20" t="n">
        <f aca="false">(m_trn+gta_B)*E120+m_hbm*E119</f>
        <v>13</v>
      </c>
      <c r="F129" s="20" t="n">
        <f aca="false">(m_trn+gta_B)*F120+m_hbm*F119</f>
        <v>13.4784</v>
      </c>
      <c r="G129" s="20" t="n">
        <f aca="false">(m_trn+gta_B)*G120+m_hbm*G119</f>
        <v>16.46892</v>
      </c>
    </row>
    <row r="130" customFormat="false" ht="17.15" hidden="false" customHeight="false" outlineLevel="0" collapsed="false">
      <c r="A130" s="4" t="s">
        <v>540</v>
      </c>
      <c r="B130" s="0" t="s">
        <v>44</v>
      </c>
      <c r="C130" s="17" t="n">
        <f aca="false">a25_gp/C123</f>
        <v>0.263661643924206</v>
      </c>
      <c r="D130" s="17" t="n">
        <f aca="false">(a26_gp-D129)/D123</f>
        <v>0.499403865114879</v>
      </c>
      <c r="E130" s="17" t="n">
        <f aca="false">$D130+0</f>
        <v>0.499403865114879</v>
      </c>
      <c r="F130" s="17" t="n">
        <f aca="false">$D130+0</f>
        <v>0.499403865114879</v>
      </c>
      <c r="G130" s="17" t="n">
        <f aca="false">$D130+0</f>
        <v>0.499403865114879</v>
      </c>
      <c r="K130" s="8" t="s">
        <v>541</v>
      </c>
    </row>
    <row r="131" customFormat="false" ht="15" hidden="false" customHeight="false" outlineLevel="0" collapsed="false">
      <c r="A131" s="4" t="s">
        <v>422</v>
      </c>
      <c r="B131" s="0" t="s">
        <v>219</v>
      </c>
      <c r="C131" s="20" t="n">
        <f aca="false">a25_gp</f>
        <v>8.154</v>
      </c>
      <c r="D131" s="20" t="n">
        <f aca="false">a26_gp</f>
        <v>16.368142</v>
      </c>
      <c r="E131" s="20" t="n">
        <f aca="false">E130*E123+E129</f>
        <v>23.7164491</v>
      </c>
      <c r="F131" s="20" t="n">
        <f aca="false">F130*F123+F129</f>
        <v>24.730671555</v>
      </c>
      <c r="G131" s="20" t="n">
        <f aca="false">G130*G123+G129</f>
        <v>28.28380513275</v>
      </c>
    </row>
    <row r="132" customFormat="false" ht="15" hidden="false" customHeight="false" outlineLevel="0" collapsed="false">
      <c r="A132" s="4" t="s">
        <v>425</v>
      </c>
      <c r="B132" s="0" t="s">
        <v>44</v>
      </c>
      <c r="C132" s="17" t="n">
        <f aca="false">C131/C124</f>
        <v>0.263661643924206</v>
      </c>
      <c r="D132" s="17" t="n">
        <f aca="false">D131/D124</f>
        <v>0.241287593063632</v>
      </c>
      <c r="E132" s="17" t="n">
        <f aca="false">E131/E124</f>
        <v>0.195263835113369</v>
      </c>
      <c r="F132" s="17" t="n">
        <f aca="false">F131/F124</f>
        <v>0.195946406242662</v>
      </c>
      <c r="G132" s="17" t="n">
        <f aca="false">G131/G124</f>
        <v>0.188129793856447</v>
      </c>
    </row>
    <row r="133" customFormat="false" ht="15" hidden="false" customHeight="false" outlineLevel="0" collapsed="false">
      <c r="A133" s="4" t="s">
        <v>429</v>
      </c>
      <c r="B133" s="0" t="s">
        <v>219</v>
      </c>
      <c r="C133" s="20" t="n">
        <f aca="false">a25_opx</f>
        <v>3.138</v>
      </c>
      <c r="D133" s="20" t="n">
        <f aca="false">a26_opx</f>
        <v>3.849</v>
      </c>
      <c r="E133" s="20" t="n">
        <f aca="false">D133*(1+MAX(g_opx_min,phi*E125))+0*E124</f>
        <v>4.76173861530235</v>
      </c>
      <c r="F133" s="20" t="n">
        <f aca="false">E133*(1+MAX(g_opx_min,phi*F125))+0*F124</f>
        <v>5.14267770452654</v>
      </c>
      <c r="G133" s="20" t="n">
        <f aca="false">F133*(1+MAX(g_opx_min,phi*G125))+0*G124</f>
        <v>5.55409192088866</v>
      </c>
    </row>
    <row r="134" customFormat="false" ht="15" hidden="false" customHeight="false" outlineLevel="0" collapsed="false">
      <c r="A134" s="4" t="s">
        <v>432</v>
      </c>
      <c r="B134" s="0" t="s">
        <v>219</v>
      </c>
      <c r="C134" s="20" t="n">
        <f aca="false">C131-C133</f>
        <v>5.016</v>
      </c>
      <c r="D134" s="20" t="n">
        <f aca="false">D131-D133</f>
        <v>12.519142</v>
      </c>
      <c r="E134" s="20" t="n">
        <f aca="false">E131-E133</f>
        <v>18.9547104846977</v>
      </c>
      <c r="F134" s="20" t="n">
        <f aca="false">F131-F133</f>
        <v>19.5879938504735</v>
      </c>
      <c r="G134" s="20" t="n">
        <f aca="false">G131-G133</f>
        <v>22.7297132118613</v>
      </c>
    </row>
    <row r="135" customFormat="false" ht="15" hidden="false" customHeight="false" outlineLevel="0" collapsed="false">
      <c r="A135" s="4" t="s">
        <v>505</v>
      </c>
      <c r="B135" s="0" t="s">
        <v>44</v>
      </c>
      <c r="C135" s="17" t="n">
        <f aca="false">C134/C124</f>
        <v>0.162193623488327</v>
      </c>
      <c r="D135" s="17" t="n">
        <f aca="false">D134/D124</f>
        <v>0.184548352549838</v>
      </c>
      <c r="E135" s="17" t="n">
        <f aca="false">E134/E124</f>
        <v>0.156059174250737</v>
      </c>
      <c r="F135" s="17" t="n">
        <f aca="false">F134/F124</f>
        <v>0.155199869601909</v>
      </c>
      <c r="G135" s="17" t="n">
        <f aca="false">G134/G124</f>
        <v>0.151186738873839</v>
      </c>
    </row>
    <row r="136" customFormat="false" ht="15" hidden="false" customHeight="false" outlineLevel="0" collapsed="false">
      <c r="A136" s="4" t="s">
        <v>435</v>
      </c>
      <c r="B136" s="0" t="s">
        <v>219</v>
      </c>
      <c r="C136" s="20" t="n">
        <f aca="false">a25_nonop</f>
        <v>1.7042198</v>
      </c>
      <c r="D136" s="20" t="n">
        <f aca="false">a26_nonop</f>
        <v>1.605</v>
      </c>
      <c r="E136" s="20" t="n">
        <f aca="false">nonop_f</f>
        <v>1.6</v>
      </c>
      <c r="F136" s="20" t="n">
        <f aca="false">nonop_f</f>
        <v>1.6</v>
      </c>
      <c r="G136" s="20" t="n">
        <f aca="false">nonop_f</f>
        <v>1.6</v>
      </c>
    </row>
    <row r="137" customFormat="false" ht="15" hidden="false" customHeight="false" outlineLevel="0" collapsed="false">
      <c r="A137" s="4" t="s">
        <v>437</v>
      </c>
      <c r="B137" s="0" t="s">
        <v>219</v>
      </c>
      <c r="C137" s="20" t="n">
        <f aca="false">C134+C136</f>
        <v>6.7202198</v>
      </c>
      <c r="D137" s="20" t="n">
        <f aca="false">D134+D136</f>
        <v>14.124142</v>
      </c>
      <c r="E137" s="20" t="n">
        <f aca="false">E134+E136</f>
        <v>20.5547104846977</v>
      </c>
      <c r="F137" s="20" t="n">
        <f aca="false">F134+F136</f>
        <v>21.1879938504735</v>
      </c>
      <c r="G137" s="20" t="n">
        <f aca="false">G134+G136</f>
        <v>24.3297132118613</v>
      </c>
    </row>
    <row r="138" customFormat="false" ht="15" hidden="false" customHeight="false" outlineLevel="0" collapsed="false">
      <c r="A138" s="4" t="s">
        <v>439</v>
      </c>
      <c r="B138" s="0" t="s">
        <v>219</v>
      </c>
      <c r="C138" s="20" t="n">
        <f aca="false">a25_tax</f>
        <v>1.1222198</v>
      </c>
      <c r="D138" s="20" t="n">
        <f aca="false">a26_tax</f>
        <v>2.8140284</v>
      </c>
      <c r="E138" s="20" t="n">
        <f aca="false">E137*tax</f>
        <v>4.11094209693953</v>
      </c>
      <c r="F138" s="20" t="n">
        <f aca="false">F137*tax</f>
        <v>4.23759877009469</v>
      </c>
      <c r="G138" s="20" t="n">
        <f aca="false">G137*tax</f>
        <v>4.86594264237227</v>
      </c>
    </row>
    <row r="139" customFormat="false" ht="15" hidden="false" customHeight="false" outlineLevel="0" collapsed="false">
      <c r="A139" s="4" t="s">
        <v>442</v>
      </c>
      <c r="B139" s="0" t="s">
        <v>219</v>
      </c>
      <c r="C139" s="20" t="n">
        <f aca="false">C137-C138</f>
        <v>5.598</v>
      </c>
      <c r="D139" s="20" t="n">
        <f aca="false">D137-D138</f>
        <v>11.3101136</v>
      </c>
      <c r="E139" s="20" t="n">
        <f aca="false">E137-E138</f>
        <v>16.4437683877581</v>
      </c>
      <c r="F139" s="20" t="n">
        <f aca="false">F137-F138</f>
        <v>16.9503950803788</v>
      </c>
      <c r="G139" s="20" t="n">
        <f aca="false">G137-G138</f>
        <v>19.4637705694891</v>
      </c>
      <c r="H139" s="28" t="n">
        <f aca="false">H124*H143</f>
        <v>21.4640227364143</v>
      </c>
      <c r="I139" s="28" t="n">
        <f aca="false">I124*I143</f>
        <v>22.5972656332917</v>
      </c>
      <c r="J139" s="28" t="n">
        <f aca="false">J124*J143</f>
        <v>22.6618292493868</v>
      </c>
    </row>
    <row r="140" customFormat="false" ht="17.15" hidden="false" customHeight="false" outlineLevel="0" collapsed="false">
      <c r="A140" s="4" t="s">
        <v>542</v>
      </c>
      <c r="B140" s="4" t="s">
        <v>272</v>
      </c>
      <c r="C140" s="19" t="n">
        <f aca="false">a25_sh</f>
        <v>0.0809193408499566</v>
      </c>
      <c r="D140" s="19" t="n">
        <f aca="false">a26_sh</f>
        <v>0.0838996682946683</v>
      </c>
      <c r="E140" s="19" t="n">
        <f aca="false">q_sh*(1+sh_g)</f>
        <v>0.08621</v>
      </c>
      <c r="F140" s="19" t="n">
        <f aca="false">E140*(1+sh_g)</f>
        <v>0.08621</v>
      </c>
      <c r="G140" s="19" t="n">
        <f aca="false">F140*(1+sh_g)</f>
        <v>0.08621</v>
      </c>
      <c r="H140" s="31" t="n">
        <f aca="false">G140*(1+sh_g)</f>
        <v>0.08621</v>
      </c>
      <c r="I140" s="31" t="n">
        <f aca="false">H140*(1+sh_g)</f>
        <v>0.08621</v>
      </c>
      <c r="J140" s="31" t="n">
        <f aca="false">I140*(1+sh_g)</f>
        <v>0.08621</v>
      </c>
      <c r="K140" s="8" t="s">
        <v>543</v>
      </c>
    </row>
    <row r="141" customFormat="false" ht="17.15" hidden="false" customHeight="false" outlineLevel="0" collapsed="false">
      <c r="A141" s="0" t="s">
        <v>446</v>
      </c>
      <c r="B141" s="0" t="s">
        <v>312</v>
      </c>
      <c r="C141" s="20" t="n">
        <f aca="false">C139/C140</f>
        <v>69.18</v>
      </c>
      <c r="D141" s="20" t="n">
        <f aca="false">D139/D140</f>
        <v>134.805224262356</v>
      </c>
      <c r="E141" s="20" t="n">
        <f aca="false">E139/E140</f>
        <v>190.740846627516</v>
      </c>
      <c r="F141" s="20" t="n">
        <f aca="false">F139/F140</f>
        <v>196.617504702225</v>
      </c>
      <c r="G141" s="20" t="n">
        <f aca="false">G139/G140</f>
        <v>225.771610828083</v>
      </c>
      <c r="H141" s="28" t="n">
        <f aca="false">H139/H140</f>
        <v>248.973700689181</v>
      </c>
      <c r="I141" s="28" t="n">
        <f aca="false">I139/I140</f>
        <v>262.118845067761</v>
      </c>
      <c r="J141" s="28" t="n">
        <f aca="false">J139/J140</f>
        <v>262.867756053669</v>
      </c>
    </row>
    <row r="142" customFormat="false" ht="17.15" hidden="false" customHeight="false" outlineLevel="0" collapsed="false">
      <c r="A142" s="0" t="s">
        <v>544</v>
      </c>
      <c r="B142" s="0" t="s">
        <v>44</v>
      </c>
      <c r="D142" s="18" t="n">
        <f aca="false">D141/C141-1</f>
        <v>0.948615557420577</v>
      </c>
      <c r="E142" s="18" t="n">
        <f aca="false">E141/D141-1</f>
        <v>0.414936607028665</v>
      </c>
      <c r="F142" s="18" t="n">
        <f aca="false">F141/E141-1</f>
        <v>0.0308096465891494</v>
      </c>
      <c r="G142" s="18" t="n">
        <f aca="false">G141/F141-1</f>
        <v>0.14827828361474</v>
      </c>
      <c r="H142" s="26" t="n">
        <f aca="false">H141/G141-1</f>
        <v>0.102767968815908</v>
      </c>
      <c r="I142" s="26" t="n">
        <f aca="false">I141/H141-1</f>
        <v>0.052797320930656</v>
      </c>
      <c r="J142" s="26" t="n">
        <f aca="false">J141/I141-1</f>
        <v>0.00285714285714289</v>
      </c>
    </row>
    <row r="143" customFormat="false" ht="17.15" hidden="false" customHeight="false" outlineLevel="0" collapsed="false">
      <c r="A143" s="4" t="s">
        <v>545</v>
      </c>
      <c r="B143" s="0" t="s">
        <v>44</v>
      </c>
      <c r="C143" s="17" t="n">
        <f aca="false">C139/C124</f>
        <v>0.181012740089245</v>
      </c>
      <c r="D143" s="17" t="n">
        <f aca="false">D139/D124</f>
        <v>0.166725709480052</v>
      </c>
      <c r="E143" s="17" t="n">
        <f aca="false">E139/E124</f>
        <v>0.135385919939829</v>
      </c>
      <c r="F143" s="17" t="n">
        <f aca="false">F139/F124</f>
        <v>0.134301609764495</v>
      </c>
      <c r="G143" s="17" t="n">
        <f aca="false">G139/G124</f>
        <v>0.129463313996151</v>
      </c>
      <c r="H143" s="27" t="n">
        <f aca="false">$G143+(fade_mB-$G143)*1/3</f>
        <v>0.125147870196279</v>
      </c>
      <c r="I143" s="27" t="n">
        <f aca="false">$G143+(fade_mB-$G143)*2/3</f>
        <v>0.120832426396408</v>
      </c>
      <c r="J143" s="27" t="n">
        <f aca="false">$G143+(fade_mB-$G143)*3/3</f>
        <v>0.116516982596536</v>
      </c>
    </row>
    <row r="146" customFormat="false" ht="17.15" hidden="false" customHeight="false" outlineLevel="0" collapsed="false">
      <c r="A146" s="1" t="s">
        <v>547</v>
      </c>
    </row>
    <row r="147" customFormat="false" ht="17.15" hidden="false" customHeight="false" outlineLevel="0" collapsed="false">
      <c r="A147" s="5" t="s">
        <v>20</v>
      </c>
      <c r="B147" s="5" t="s">
        <v>21</v>
      </c>
      <c r="C147" s="14" t="s">
        <v>407</v>
      </c>
      <c r="D147" s="14" t="s">
        <v>495</v>
      </c>
      <c r="E147" s="14" t="s">
        <v>496</v>
      </c>
      <c r="F147" s="14" t="s">
        <v>497</v>
      </c>
      <c r="G147" s="14" t="s">
        <v>498</v>
      </c>
      <c r="H147" s="14" t="s">
        <v>499</v>
      </c>
      <c r="I147" s="14" t="s">
        <v>500</v>
      </c>
      <c r="J147" s="14" t="s">
        <v>501</v>
      </c>
      <c r="K147" s="5" t="s">
        <v>465</v>
      </c>
    </row>
    <row r="148" customFormat="false" ht="17.15" hidden="false" customHeight="false" outlineLevel="0" collapsed="false">
      <c r="A148" s="6" t="s">
        <v>516</v>
      </c>
    </row>
    <row r="149" customFormat="false" ht="17.15" hidden="false" customHeight="false" outlineLevel="0" collapsed="false">
      <c r="A149" s="0" t="s">
        <v>517</v>
      </c>
      <c r="B149" s="4" t="s">
        <v>31</v>
      </c>
      <c r="D149" s="22" t="n">
        <f aca="false">u_trn_26</f>
        <v>2</v>
      </c>
      <c r="E149" s="22" t="n">
        <f aca="false">u_trn_27</f>
        <v>2.5</v>
      </c>
      <c r="F149" s="22" t="n">
        <f aca="false">u_trn_28*um28_C</f>
        <v>1.8</v>
      </c>
      <c r="G149" s="22" t="n">
        <f aca="false">u_trn_28*(1+g29_trn)*um29_C</f>
        <v>2.07</v>
      </c>
    </row>
    <row r="150" customFormat="false" ht="17.15" hidden="false" customHeight="false" outlineLevel="0" collapsed="false">
      <c r="A150" s="4" t="s">
        <v>469</v>
      </c>
      <c r="B150" s="0" t="s">
        <v>44</v>
      </c>
      <c r="D150" s="18" t="n">
        <f aca="false">al_trn_26</f>
        <v>0.3</v>
      </c>
      <c r="E150" s="18" t="n">
        <f aca="false">MIN(1,MAX(0,al27_C+0))</f>
        <v>0.4</v>
      </c>
      <c r="F150" s="18" t="n">
        <f aca="false">MIN(1,MAX(0,al28_C+0))</f>
        <v>0.35</v>
      </c>
      <c r="G150" s="18" t="n">
        <f aca="false">MIN(1,MAX(0,al28_C+0))</f>
        <v>0.35</v>
      </c>
    </row>
    <row r="151" customFormat="false" ht="17.15" hidden="false" customHeight="false" outlineLevel="0" collapsed="false">
      <c r="A151" s="4" t="s">
        <v>471</v>
      </c>
      <c r="B151" s="4" t="s">
        <v>31</v>
      </c>
      <c r="D151" s="22" t="n">
        <f aca="false">D149*D150</f>
        <v>0.6</v>
      </c>
      <c r="E151" s="22" t="n">
        <f aca="false">E149*E150*1</f>
        <v>1</v>
      </c>
      <c r="F151" s="22" t="n">
        <f aca="false">F149*F150*1</f>
        <v>0.63</v>
      </c>
      <c r="G151" s="22" t="n">
        <f aca="false">G149*G150*1</f>
        <v>0.7245</v>
      </c>
    </row>
    <row r="152" customFormat="false" ht="17.15" hidden="false" customHeight="false" outlineLevel="0" collapsed="false">
      <c r="A152" s="4" t="s">
        <v>518</v>
      </c>
      <c r="B152" s="0" t="s">
        <v>69</v>
      </c>
      <c r="D152" s="30" t="n">
        <f aca="false">gb_trn_26</f>
        <v>110</v>
      </c>
      <c r="E152" s="30" t="n">
        <f aca="false">gb_trn_27</f>
        <v>144</v>
      </c>
      <c r="F152" s="30" t="n">
        <f aca="false">gb_trn_28</f>
        <v>200</v>
      </c>
      <c r="G152" s="30" t="n">
        <f aca="false">gb_trn_28</f>
        <v>200</v>
      </c>
    </row>
    <row r="153" customFormat="false" ht="17.15" hidden="false" customHeight="false" outlineLevel="0" collapsed="false">
      <c r="A153" s="0" t="s">
        <v>519</v>
      </c>
      <c r="B153" s="0" t="s">
        <v>156</v>
      </c>
      <c r="D153" s="20" t="n">
        <f aca="false">hbm_C_26</f>
        <v>14.6</v>
      </c>
      <c r="E153" s="20" t="n">
        <f aca="false">hbm_C_27</f>
        <v>26.28</v>
      </c>
      <c r="F153" s="20" t="n">
        <f aca="false">hbm_C_28</f>
        <v>15.768</v>
      </c>
      <c r="G153" s="20" t="n">
        <f aca="false">hbm_C_29</f>
        <v>16.5564</v>
      </c>
    </row>
    <row r="154" customFormat="false" ht="17.15" hidden="false" customHeight="false" outlineLevel="0" collapsed="false">
      <c r="A154" s="4" t="s">
        <v>520</v>
      </c>
      <c r="B154" s="0" t="s">
        <v>80</v>
      </c>
      <c r="D154" s="20" t="n">
        <f aca="false">core_trn</f>
        <v>6.394</v>
      </c>
      <c r="E154" s="20" t="n">
        <f aca="false">core_trn</f>
        <v>6.394</v>
      </c>
      <c r="F154" s="20" t="n">
        <f aca="false">core_trn*pfc_C</f>
        <v>6.394</v>
      </c>
      <c r="G154" s="20" t="n">
        <f aca="false">core_trn*pfc_C</f>
        <v>6.394</v>
      </c>
    </row>
    <row r="155" customFormat="false" ht="17.15" hidden="false" customHeight="false" outlineLevel="0" collapsed="false">
      <c r="A155" s="4" t="s">
        <v>521</v>
      </c>
      <c r="B155" s="0" t="s">
        <v>80</v>
      </c>
      <c r="D155" s="20" t="n">
        <f aca="false">D152*D153/1000</f>
        <v>1.606</v>
      </c>
      <c r="E155" s="20" t="n">
        <f aca="false">E152*E153/1000</f>
        <v>3.78432</v>
      </c>
      <c r="F155" s="20" t="n">
        <f aca="false">F152*F153/1000</f>
        <v>3.1536</v>
      </c>
      <c r="G155" s="20" t="n">
        <f aca="false">G152*G153/1000</f>
        <v>3.31128</v>
      </c>
    </row>
    <row r="156" customFormat="false" ht="17.15" hidden="false" customHeight="false" outlineLevel="0" collapsed="false">
      <c r="A156" s="4" t="s">
        <v>522</v>
      </c>
      <c r="B156" s="0" t="s">
        <v>80</v>
      </c>
      <c r="D156" s="20" t="n">
        <f aca="false">D154+f_al*D155</f>
        <v>6.394</v>
      </c>
      <c r="E156" s="20" t="n">
        <f aca="false">E154+f_al*E155</f>
        <v>6.394</v>
      </c>
      <c r="F156" s="20" t="n">
        <f aca="false">F154+f_al*F155</f>
        <v>6.394</v>
      </c>
      <c r="G156" s="20" t="n">
        <f aca="false">G154+f_al*G155</f>
        <v>6.394</v>
      </c>
      <c r="K156" s="4" t="s">
        <v>523</v>
      </c>
    </row>
    <row r="157" customFormat="false" ht="17.15" hidden="false" customHeight="false" outlineLevel="0" collapsed="false">
      <c r="A157" s="0" t="s">
        <v>524</v>
      </c>
      <c r="B157" s="0" t="s">
        <v>213</v>
      </c>
      <c r="D157" s="20" t="n">
        <f aca="false">D151*D156</f>
        <v>3.8364</v>
      </c>
      <c r="E157" s="20" t="n">
        <f aca="false">E151*E156</f>
        <v>6.394</v>
      </c>
      <c r="F157" s="20" t="n">
        <f aca="false">F151*F156</f>
        <v>4.02822</v>
      </c>
      <c r="G157" s="20" t="n">
        <f aca="false">G151*G156</f>
        <v>4.632453</v>
      </c>
    </row>
    <row r="158" customFormat="false" ht="17.15" hidden="false" customHeight="false" outlineLevel="0" collapsed="false">
      <c r="A158" s="4" t="s">
        <v>525</v>
      </c>
      <c r="B158" s="0" t="s">
        <v>49</v>
      </c>
      <c r="D158" s="22" t="n">
        <f aca="false">dc26/D157</f>
        <v>0.390991554582421</v>
      </c>
      <c r="K158" s="8" t="s">
        <v>526</v>
      </c>
    </row>
    <row r="159" customFormat="false" ht="17.15" hidden="false" customHeight="false" outlineLevel="0" collapsed="false">
      <c r="A159" s="0" t="s">
        <v>527</v>
      </c>
      <c r="B159" s="0" t="s">
        <v>213</v>
      </c>
      <c r="D159" s="20" t="n">
        <f aca="false">D157*$D$158</f>
        <v>1.5</v>
      </c>
      <c r="E159" s="20" t="n">
        <f aca="false">E157*$D$158</f>
        <v>2.5</v>
      </c>
      <c r="F159" s="20" t="n">
        <f aca="false">F157*$D$158</f>
        <v>1.575</v>
      </c>
      <c r="G159" s="20" t="n">
        <f aca="false">G157*$D$158</f>
        <v>1.81125</v>
      </c>
    </row>
    <row r="160" customFormat="false" ht="15" hidden="false" customHeight="false" outlineLevel="0" collapsed="false">
      <c r="A160" s="4" t="s">
        <v>528</v>
      </c>
      <c r="B160" s="0" t="s">
        <v>224</v>
      </c>
      <c r="D160" s="20" t="n">
        <f aca="false">fx26</f>
        <v>31.6</v>
      </c>
      <c r="E160" s="20" t="n">
        <f aca="false">fx</f>
        <v>32</v>
      </c>
      <c r="F160" s="20" t="n">
        <f aca="false">fx</f>
        <v>32</v>
      </c>
      <c r="G160" s="20" t="n">
        <f aca="false">fx</f>
        <v>32</v>
      </c>
    </row>
    <row r="161" customFormat="false" ht="17.15" hidden="false" customHeight="false" outlineLevel="0" collapsed="false">
      <c r="A161" s="0" t="s">
        <v>529</v>
      </c>
      <c r="B161" s="0" t="s">
        <v>219</v>
      </c>
      <c r="C161" s="20" t="n">
        <f aca="false">a25_trn</f>
        <v>0</v>
      </c>
      <c r="D161" s="20" t="n">
        <f aca="false">D159*D160</f>
        <v>47.4</v>
      </c>
      <c r="E161" s="20" t="n">
        <f aca="false">E159*E160</f>
        <v>80</v>
      </c>
      <c r="F161" s="20" t="n">
        <f aca="false">F159*F160</f>
        <v>50.4</v>
      </c>
      <c r="G161" s="20" t="n">
        <f aca="false">G159*G160</f>
        <v>57.96</v>
      </c>
    </row>
    <row r="162" customFormat="false" ht="17.15" hidden="false" customHeight="false" outlineLevel="0" collapsed="false">
      <c r="A162" s="4" t="s">
        <v>530</v>
      </c>
      <c r="B162" s="0" t="s">
        <v>219</v>
      </c>
      <c r="D162" s="20" t="n">
        <f aca="false">$D$158*f_al*D151*D155*D160</f>
        <v>0</v>
      </c>
      <c r="E162" s="20" t="n">
        <f aca="false">$D$158*f_al*E151*E155*E160</f>
        <v>0</v>
      </c>
      <c r="F162" s="20" t="n">
        <f aca="false">$D$158*f_al*F151*F155*F160</f>
        <v>0</v>
      </c>
      <c r="G162" s="20" t="n">
        <f aca="false">$D$158*f_al*G151*G155*G160</f>
        <v>0</v>
      </c>
    </row>
    <row r="163" customFormat="false" ht="15" hidden="false" customHeight="false" outlineLevel="0" collapsed="false">
      <c r="A163" s="4" t="s">
        <v>531</v>
      </c>
      <c r="B163" s="0" t="s">
        <v>219</v>
      </c>
      <c r="D163" s="20" t="n">
        <f aca="false">D161-D162</f>
        <v>47.4</v>
      </c>
      <c r="E163" s="20" t="n">
        <f aca="false">E161-E162</f>
        <v>80</v>
      </c>
      <c r="F163" s="20" t="n">
        <f aca="false">F161-F162</f>
        <v>50.4</v>
      </c>
      <c r="G163" s="20" t="n">
        <f aca="false">G161-G162</f>
        <v>57.96</v>
      </c>
    </row>
    <row r="164" customFormat="false" ht="15" hidden="false" customHeight="false" outlineLevel="0" collapsed="false">
      <c r="A164" s="4" t="s">
        <v>475</v>
      </c>
      <c r="B164" s="0" t="s">
        <v>80</v>
      </c>
      <c r="D164" s="20" t="n">
        <f aca="false">IF(D151&gt;0,D159/D151,0)</f>
        <v>2.5</v>
      </c>
      <c r="E164" s="20" t="n">
        <f aca="false">IF(E151&gt;0,E159/E151,0)</f>
        <v>2.5</v>
      </c>
      <c r="F164" s="20" t="n">
        <f aca="false">IF(F151&gt;0,F159/F151,0)</f>
        <v>2.5</v>
      </c>
      <c r="G164" s="20" t="n">
        <f aca="false">IF(G151&gt;0,G159/G151,0)</f>
        <v>2.5</v>
      </c>
    </row>
    <row r="165" customFormat="false" ht="17.15" hidden="false" customHeight="false" outlineLevel="0" collapsed="false">
      <c r="A165" s="6" t="s">
        <v>532</v>
      </c>
    </row>
    <row r="166" customFormat="false" ht="17.15" hidden="false" customHeight="false" outlineLevel="0" collapsed="false">
      <c r="A166" s="4" t="s">
        <v>533</v>
      </c>
      <c r="B166" s="0" t="s">
        <v>219</v>
      </c>
      <c r="C166" s="20" t="n">
        <f aca="false">a25_oth</f>
        <v>30.926</v>
      </c>
      <c r="D166" s="20" t="n">
        <f aca="false">a26_oth</f>
        <v>20.43665</v>
      </c>
      <c r="E166" s="20" t="n">
        <f aca="false">D166*(1+g_o27_C)</f>
        <v>18.392985</v>
      </c>
      <c r="F166" s="20" t="n">
        <f aca="false">E166*(1+g_oL_C)</f>
        <v>17.47333575</v>
      </c>
      <c r="G166" s="20" t="n">
        <f aca="false">F166*(1+g_oL_C)</f>
        <v>16.5996689625</v>
      </c>
    </row>
    <row r="167" customFormat="false" ht="17.15" hidden="false" customHeight="false" outlineLevel="0" collapsed="false">
      <c r="A167" s="4" t="s">
        <v>413</v>
      </c>
      <c r="B167" s="0" t="s">
        <v>219</v>
      </c>
      <c r="C167" s="20" t="n">
        <f aca="false">C166+C161</f>
        <v>30.926</v>
      </c>
      <c r="D167" s="20" t="n">
        <f aca="false">D166+D161</f>
        <v>67.83665</v>
      </c>
      <c r="E167" s="20" t="n">
        <f aca="false">E166+E161</f>
        <v>98.392985</v>
      </c>
      <c r="F167" s="20" t="n">
        <f aca="false">F166+F161</f>
        <v>67.87333575</v>
      </c>
      <c r="G167" s="20" t="n">
        <f aca="false">G166+G161</f>
        <v>74.5596689625</v>
      </c>
      <c r="H167" s="28" t="n">
        <f aca="false">G167*(1+H168)</f>
        <v>79.95341128441</v>
      </c>
      <c r="I167" s="28" t="n">
        <f aca="false">H167*(1+I168)</f>
        <v>83.6449116856419</v>
      </c>
      <c r="J167" s="28" t="n">
        <f aca="false">I167*(1+J168)</f>
        <v>85.3178099193547</v>
      </c>
      <c r="K167" s="8" t="s">
        <v>534</v>
      </c>
    </row>
    <row r="168" customFormat="false" ht="15" hidden="false" customHeight="false" outlineLevel="0" collapsed="false">
      <c r="A168" s="4" t="s">
        <v>535</v>
      </c>
      <c r="B168" s="0" t="s">
        <v>44</v>
      </c>
      <c r="D168" s="18" t="n">
        <f aca="false">D167/C167-1</f>
        <v>1.19351516523314</v>
      </c>
      <c r="E168" s="18" t="n">
        <f aca="false">E167/D167-1</f>
        <v>0.45043991706548</v>
      </c>
      <c r="F168" s="18" t="n">
        <f aca="false">F167/E167-1</f>
        <v>-0.310181150109431</v>
      </c>
      <c r="G168" s="18" t="n">
        <f aca="false">G167/F167-1</f>
        <v>0.0985119287068488</v>
      </c>
      <c r="H168" s="26" t="n">
        <f aca="false">$G168+(fade_gC-$G168)*1/3</f>
        <v>0.0723412858045659</v>
      </c>
      <c r="I168" s="26" t="n">
        <f aca="false">$G168+(fade_gC-$G168)*2/3</f>
        <v>0.0461706429022829</v>
      </c>
      <c r="J168" s="26" t="n">
        <f aca="false">$G168+(fade_gC-$G168)*3/3</f>
        <v>0.02</v>
      </c>
    </row>
    <row r="169" customFormat="false" ht="17.15" hidden="false" customHeight="false" outlineLevel="0" collapsed="false">
      <c r="A169" s="0" t="s">
        <v>536</v>
      </c>
      <c r="B169" s="0" t="s">
        <v>44</v>
      </c>
      <c r="C169" s="18" t="n">
        <f aca="false">C161/C167</f>
        <v>0</v>
      </c>
      <c r="D169" s="18" t="n">
        <f aca="false">D161/D167</f>
        <v>0.698737334464482</v>
      </c>
      <c r="E169" s="18" t="n">
        <f aca="false">E161/E167</f>
        <v>0.813066094091972</v>
      </c>
      <c r="F169" s="18" t="n">
        <f aca="false">F161/F167</f>
        <v>0.742559643534243</v>
      </c>
      <c r="G169" s="18" t="n">
        <f aca="false">G161/G167</f>
        <v>0.777363966424679</v>
      </c>
    </row>
    <row r="170" customFormat="false" ht="17.15" hidden="false" customHeight="false" outlineLevel="0" collapsed="false">
      <c r="A170" s="4" t="s">
        <v>537</v>
      </c>
      <c r="B170" s="0" t="s">
        <v>44</v>
      </c>
      <c r="C170" s="18" t="n">
        <f aca="false">C166/C167</f>
        <v>1</v>
      </c>
      <c r="D170" s="18" t="n">
        <f aca="false">D166/D167</f>
        <v>0.301262665535518</v>
      </c>
      <c r="E170" s="18" t="n">
        <f aca="false">E166/E167</f>
        <v>0.186933905908028</v>
      </c>
      <c r="F170" s="18" t="n">
        <f aca="false">F166/F167</f>
        <v>0.257440356465757</v>
      </c>
      <c r="G170" s="18" t="n">
        <f aca="false">G166/G167</f>
        <v>0.222636033575321</v>
      </c>
    </row>
    <row r="171" customFormat="false" ht="17.15" hidden="false" customHeight="false" outlineLevel="0" collapsed="false">
      <c r="A171" s="6" t="s">
        <v>538</v>
      </c>
    </row>
    <row r="172" customFormat="false" ht="17.15" hidden="false" customHeight="false" outlineLevel="0" collapsed="false">
      <c r="A172" s="0" t="s">
        <v>539</v>
      </c>
      <c r="B172" s="0" t="s">
        <v>219</v>
      </c>
      <c r="D172" s="20" t="n">
        <f aca="false">m_trn*D163+m_hbm*D162</f>
        <v>6.162</v>
      </c>
      <c r="E172" s="20" t="n">
        <f aca="false">(m_trn+gta_C)*E163+m_hbm*E162</f>
        <v>8.8</v>
      </c>
      <c r="F172" s="20" t="n">
        <f aca="false">(m_trn+gta_C)*F163+m_hbm*F162</f>
        <v>5.544</v>
      </c>
      <c r="G172" s="20" t="n">
        <f aca="false">(m_trn+gta_C)*G163+m_hbm*G162</f>
        <v>6.3756</v>
      </c>
    </row>
    <row r="173" customFormat="false" ht="17.15" hidden="false" customHeight="false" outlineLevel="0" collapsed="false">
      <c r="A173" s="4" t="s">
        <v>540</v>
      </c>
      <c r="B173" s="0" t="s">
        <v>44</v>
      </c>
      <c r="C173" s="17" t="n">
        <f aca="false">a25_gp/C166</f>
        <v>0.263661643924206</v>
      </c>
      <c r="D173" s="17" t="n">
        <f aca="false">(a26_gp-D172)/D166</f>
        <v>0.499403865114879</v>
      </c>
      <c r="E173" s="17" t="n">
        <f aca="false">$D173+0</f>
        <v>0.499403865114879</v>
      </c>
      <c r="F173" s="17" t="n">
        <f aca="false">$D173+0</f>
        <v>0.499403865114879</v>
      </c>
      <c r="G173" s="17" t="n">
        <f aca="false">$D173+0</f>
        <v>0.499403865114879</v>
      </c>
      <c r="K173" s="8" t="s">
        <v>541</v>
      </c>
    </row>
    <row r="174" customFormat="false" ht="15" hidden="false" customHeight="false" outlineLevel="0" collapsed="false">
      <c r="A174" s="4" t="s">
        <v>422</v>
      </c>
      <c r="B174" s="0" t="s">
        <v>219</v>
      </c>
      <c r="C174" s="20" t="n">
        <f aca="false">a25_gp</f>
        <v>8.154</v>
      </c>
      <c r="D174" s="20" t="n">
        <f aca="false">a26_gp</f>
        <v>16.368142</v>
      </c>
      <c r="E174" s="20" t="n">
        <f aca="false">E173*E166+E172</f>
        <v>17.9855278</v>
      </c>
      <c r="F174" s="20" t="n">
        <f aca="false">F173*F166+F172</f>
        <v>14.27025141</v>
      </c>
      <c r="G174" s="20" t="n">
        <f aca="false">G173*G166+G172</f>
        <v>14.6655388395</v>
      </c>
    </row>
    <row r="175" customFormat="false" ht="15" hidden="false" customHeight="false" outlineLevel="0" collapsed="false">
      <c r="A175" s="4" t="s">
        <v>425</v>
      </c>
      <c r="B175" s="0" t="s">
        <v>44</v>
      </c>
      <c r="C175" s="17" t="n">
        <f aca="false">C174/C167</f>
        <v>0.263661643924206</v>
      </c>
      <c r="D175" s="17" t="n">
        <f aca="false">D174/D167</f>
        <v>0.241287593063632</v>
      </c>
      <c r="E175" s="17" t="n">
        <f aca="false">E174/E167</f>
        <v>0.182792785481607</v>
      </c>
      <c r="F175" s="17" t="n">
        <f aca="false">F174/F167</f>
        <v>0.210248269844318</v>
      </c>
      <c r="G175" s="17" t="n">
        <f aca="false">G174/G167</f>
        <v>0.196695331988076</v>
      </c>
    </row>
    <row r="176" customFormat="false" ht="15" hidden="false" customHeight="false" outlineLevel="0" collapsed="false">
      <c r="A176" s="4" t="s">
        <v>429</v>
      </c>
      <c r="B176" s="0" t="s">
        <v>219</v>
      </c>
      <c r="C176" s="20" t="n">
        <f aca="false">a25_opx</f>
        <v>3.138</v>
      </c>
      <c r="D176" s="20" t="n">
        <f aca="false">a26_opx</f>
        <v>3.849</v>
      </c>
      <c r="E176" s="20" t="n">
        <f aca="false">D176*(1+MAX(g_opx_min,phi*E168))+0*E167</f>
        <v>4.36912297223551</v>
      </c>
      <c r="F176" s="20" t="n">
        <f aca="false">E176*(1+MAX(g_opx_min,phi*F168))+0*F167</f>
        <v>4.71865281001435</v>
      </c>
      <c r="G176" s="20" t="n">
        <f aca="false">F176*(1+MAX(g_opx_min,phi*G168))+0*G167</f>
        <v>5.0961450348155</v>
      </c>
    </row>
    <row r="177" customFormat="false" ht="15" hidden="false" customHeight="false" outlineLevel="0" collapsed="false">
      <c r="A177" s="4" t="s">
        <v>432</v>
      </c>
      <c r="B177" s="0" t="s">
        <v>219</v>
      </c>
      <c r="C177" s="20" t="n">
        <f aca="false">C174-C176</f>
        <v>5.016</v>
      </c>
      <c r="D177" s="20" t="n">
        <f aca="false">D174-D176</f>
        <v>12.519142</v>
      </c>
      <c r="E177" s="20" t="n">
        <f aca="false">E174-E176</f>
        <v>13.6164048277645</v>
      </c>
      <c r="F177" s="20" t="n">
        <f aca="false">F174-F176</f>
        <v>9.55159859998565</v>
      </c>
      <c r="G177" s="20" t="n">
        <f aca="false">G174-G176</f>
        <v>9.5693938046845</v>
      </c>
    </row>
    <row r="178" customFormat="false" ht="15" hidden="false" customHeight="false" outlineLevel="0" collapsed="false">
      <c r="A178" s="4" t="s">
        <v>505</v>
      </c>
      <c r="B178" s="0" t="s">
        <v>44</v>
      </c>
      <c r="C178" s="17" t="n">
        <f aca="false">C177/C167</f>
        <v>0.162193623488327</v>
      </c>
      <c r="D178" s="17" t="n">
        <f aca="false">D177/D167</f>
        <v>0.184548352549838</v>
      </c>
      <c r="E178" s="17" t="n">
        <f aca="false">E177/E167</f>
        <v>0.138387963611069</v>
      </c>
      <c r="F178" s="17" t="n">
        <f aca="false">F177/F167</f>
        <v>0.140726818483879</v>
      </c>
      <c r="G178" s="17" t="n">
        <f aca="false">G177/G167</f>
        <v>0.128345443828318</v>
      </c>
    </row>
    <row r="179" customFormat="false" ht="15" hidden="false" customHeight="false" outlineLevel="0" collapsed="false">
      <c r="A179" s="4" t="s">
        <v>435</v>
      </c>
      <c r="B179" s="0" t="s">
        <v>219</v>
      </c>
      <c r="C179" s="20" t="n">
        <f aca="false">a25_nonop</f>
        <v>1.7042198</v>
      </c>
      <c r="D179" s="20" t="n">
        <f aca="false">a26_nonop</f>
        <v>1.605</v>
      </c>
      <c r="E179" s="20" t="n">
        <f aca="false">nonop_f</f>
        <v>1.6</v>
      </c>
      <c r="F179" s="20" t="n">
        <f aca="false">nonop_f</f>
        <v>1.6</v>
      </c>
      <c r="G179" s="20" t="n">
        <f aca="false">nonop_f</f>
        <v>1.6</v>
      </c>
    </row>
    <row r="180" customFormat="false" ht="15" hidden="false" customHeight="false" outlineLevel="0" collapsed="false">
      <c r="A180" s="4" t="s">
        <v>437</v>
      </c>
      <c r="B180" s="0" t="s">
        <v>219</v>
      </c>
      <c r="C180" s="20" t="n">
        <f aca="false">C177+C179</f>
        <v>6.7202198</v>
      </c>
      <c r="D180" s="20" t="n">
        <f aca="false">D177+D179</f>
        <v>14.124142</v>
      </c>
      <c r="E180" s="20" t="n">
        <f aca="false">E177+E179</f>
        <v>15.2164048277645</v>
      </c>
      <c r="F180" s="20" t="n">
        <f aca="false">F177+F179</f>
        <v>11.1515985999856</v>
      </c>
      <c r="G180" s="20" t="n">
        <f aca="false">G177+G179</f>
        <v>11.1693938046845</v>
      </c>
    </row>
    <row r="181" customFormat="false" ht="15" hidden="false" customHeight="false" outlineLevel="0" collapsed="false">
      <c r="A181" s="4" t="s">
        <v>439</v>
      </c>
      <c r="B181" s="0" t="s">
        <v>219</v>
      </c>
      <c r="C181" s="20" t="n">
        <f aca="false">a25_tax</f>
        <v>1.1222198</v>
      </c>
      <c r="D181" s="20" t="n">
        <f aca="false">a26_tax</f>
        <v>2.8140284</v>
      </c>
      <c r="E181" s="20" t="n">
        <f aca="false">E180*tax</f>
        <v>3.0432809655529</v>
      </c>
      <c r="F181" s="20" t="n">
        <f aca="false">F180*tax</f>
        <v>2.23031971999713</v>
      </c>
      <c r="G181" s="20" t="n">
        <f aca="false">G180*tax</f>
        <v>2.2338787609369</v>
      </c>
    </row>
    <row r="182" customFormat="false" ht="15" hidden="false" customHeight="false" outlineLevel="0" collapsed="false">
      <c r="A182" s="4" t="s">
        <v>442</v>
      </c>
      <c r="B182" s="0" t="s">
        <v>219</v>
      </c>
      <c r="C182" s="20" t="n">
        <f aca="false">C180-C181</f>
        <v>5.598</v>
      </c>
      <c r="D182" s="20" t="n">
        <f aca="false">D180-D181</f>
        <v>11.3101136</v>
      </c>
      <c r="E182" s="20" t="n">
        <f aca="false">E180-E181</f>
        <v>12.1731238622116</v>
      </c>
      <c r="F182" s="20" t="n">
        <f aca="false">F180-F181</f>
        <v>8.92127887998852</v>
      </c>
      <c r="G182" s="20" t="n">
        <f aca="false">G180-G181</f>
        <v>8.9355150437476</v>
      </c>
      <c r="H182" s="28" t="n">
        <f aca="false">H167*H186</f>
        <v>8.94312691191579</v>
      </c>
      <c r="I182" s="28" t="n">
        <f aca="false">I167*I186</f>
        <v>8.68774848592453</v>
      </c>
      <c r="J182" s="28" t="n">
        <f aca="false">J167*J186</f>
        <v>8.17984934367048</v>
      </c>
    </row>
    <row r="183" customFormat="false" ht="17.15" hidden="false" customHeight="false" outlineLevel="0" collapsed="false">
      <c r="A183" s="4" t="s">
        <v>542</v>
      </c>
      <c r="B183" s="4" t="s">
        <v>272</v>
      </c>
      <c r="C183" s="19" t="n">
        <f aca="false">a25_sh</f>
        <v>0.0809193408499566</v>
      </c>
      <c r="D183" s="19" t="n">
        <f aca="false">a26_sh</f>
        <v>0.0838996682946683</v>
      </c>
      <c r="E183" s="19" t="n">
        <f aca="false">q_sh*(1+sh_g)</f>
        <v>0.08621</v>
      </c>
      <c r="F183" s="19" t="n">
        <f aca="false">E183*(1+sh_g)</f>
        <v>0.08621</v>
      </c>
      <c r="G183" s="19" t="n">
        <f aca="false">F183*(1+sh_g)</f>
        <v>0.08621</v>
      </c>
      <c r="H183" s="31" t="n">
        <f aca="false">G183*(1+sh_g)</f>
        <v>0.08621</v>
      </c>
      <c r="I183" s="31" t="n">
        <f aca="false">H183*(1+sh_g)</f>
        <v>0.08621</v>
      </c>
      <c r="J183" s="31" t="n">
        <f aca="false">I183*(1+sh_g)</f>
        <v>0.08621</v>
      </c>
      <c r="K183" s="8" t="s">
        <v>543</v>
      </c>
    </row>
    <row r="184" customFormat="false" ht="17.15" hidden="false" customHeight="false" outlineLevel="0" collapsed="false">
      <c r="A184" s="0" t="s">
        <v>446</v>
      </c>
      <c r="B184" s="0" t="s">
        <v>312</v>
      </c>
      <c r="C184" s="20" t="n">
        <f aca="false">C182/C183</f>
        <v>69.18</v>
      </c>
      <c r="D184" s="20" t="n">
        <f aca="false">D182/D183</f>
        <v>134.805224262356</v>
      </c>
      <c r="E184" s="20" t="n">
        <f aca="false">E182/E183</f>
        <v>141.203153488129</v>
      </c>
      <c r="F184" s="20" t="n">
        <f aca="false">F182/F183</f>
        <v>103.483109615921</v>
      </c>
      <c r="G184" s="20" t="n">
        <f aca="false">G182/G183</f>
        <v>103.648243170718</v>
      </c>
      <c r="H184" s="28" t="n">
        <f aca="false">H182/H183</f>
        <v>103.736537662867</v>
      </c>
      <c r="I184" s="28" t="n">
        <f aca="false">I182/I183</f>
        <v>100.77425456356</v>
      </c>
      <c r="J184" s="28" t="n">
        <f aca="false">J182/J183</f>
        <v>94.8828366044598</v>
      </c>
    </row>
    <row r="185" customFormat="false" ht="17.15" hidden="false" customHeight="false" outlineLevel="0" collapsed="false">
      <c r="A185" s="0" t="s">
        <v>544</v>
      </c>
      <c r="B185" s="0" t="s">
        <v>44</v>
      </c>
      <c r="D185" s="18" t="n">
        <f aca="false">D184/C184-1</f>
        <v>0.948615557420577</v>
      </c>
      <c r="E185" s="18" t="n">
        <f aca="false">E184/D184-1</f>
        <v>0.0474605436160387</v>
      </c>
      <c r="F185" s="18" t="n">
        <f aca="false">F184/E184-1</f>
        <v>-0.267133154893594</v>
      </c>
      <c r="G185" s="18" t="n">
        <f aca="false">G184/F184-1</f>
        <v>0.00159575369749021</v>
      </c>
      <c r="H185" s="26" t="n">
        <f aca="false">H184/G184-1</f>
        <v>0.000851866750927854</v>
      </c>
      <c r="I185" s="26" t="n">
        <f aca="false">I184/H184-1</f>
        <v>-0.028555831590737</v>
      </c>
      <c r="J185" s="26" t="n">
        <f aca="false">J184/I184-1</f>
        <v>-0.0584615384615383</v>
      </c>
    </row>
    <row r="186" customFormat="false" ht="17.15" hidden="false" customHeight="false" outlineLevel="0" collapsed="false">
      <c r="A186" s="4" t="s">
        <v>545</v>
      </c>
      <c r="B186" s="0" t="s">
        <v>44</v>
      </c>
      <c r="C186" s="17" t="n">
        <f aca="false">C182/C167</f>
        <v>0.181012740089245</v>
      </c>
      <c r="D186" s="17" t="n">
        <f aca="false">D182/D167</f>
        <v>0.166725709480052</v>
      </c>
      <c r="E186" s="17" t="n">
        <f aca="false">E182/E167</f>
        <v>0.123719428394327</v>
      </c>
      <c r="F186" s="17" t="n">
        <f aca="false">F182/F167</f>
        <v>0.131440112400672</v>
      </c>
      <c r="G186" s="17" t="n">
        <f aca="false">G182/G167</f>
        <v>0.119843813258368</v>
      </c>
      <c r="H186" s="27" t="n">
        <f aca="false">$G186+(fade_mC-$G186)*1/3</f>
        <v>0.11185422570781</v>
      </c>
      <c r="I186" s="27" t="n">
        <f aca="false">$G186+(fade_mC-$G186)*2/3</f>
        <v>0.103864638157252</v>
      </c>
      <c r="J186" s="27" t="n">
        <f aca="false">$G186+(fade_mC-$G186)*3/3</f>
        <v>0.0958750506066946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548</v>
      </c>
    </row>
    <row r="2" customFormat="false" ht="17.15" hidden="false" customHeight="false" outlineLevel="0" collapsed="false">
      <c r="A2" s="4" t="s">
        <v>549</v>
      </c>
    </row>
    <row r="4" customFormat="false" ht="17.15" hidden="false" customHeight="false" outlineLevel="0" collapsed="false">
      <c r="A4" s="6" t="s">
        <v>550</v>
      </c>
    </row>
    <row r="5" customFormat="false" ht="17.15" hidden="false" customHeight="false" outlineLevel="0" collapsed="false">
      <c r="A5" s="6" t="s">
        <v>551</v>
      </c>
    </row>
    <row r="6" customFormat="false" ht="17.15" hidden="false" customHeight="false" outlineLevel="0" collapsed="false">
      <c r="A6" s="5" t="s">
        <v>20</v>
      </c>
      <c r="B6" s="14" t="s">
        <v>552</v>
      </c>
      <c r="C6" s="14" t="s">
        <v>553</v>
      </c>
      <c r="D6" s="14" t="s">
        <v>554</v>
      </c>
      <c r="E6" s="5" t="s">
        <v>465</v>
      </c>
    </row>
    <row r="7" customFormat="false" ht="17.15" hidden="false" customHeight="false" outlineLevel="0" collapsed="false">
      <c r="A7" s="4" t="s">
        <v>555</v>
      </c>
      <c r="E7" s="0" t="s">
        <v>556</v>
      </c>
    </row>
    <row r="8" customFormat="false" ht="15" hidden="false" customHeight="false" outlineLevel="0" collapsed="false">
      <c r="A8" s="0" t="s">
        <v>557</v>
      </c>
      <c r="B8" s="20" t="n">
        <f aca="false">PL!E13</f>
        <v>220.580630211501</v>
      </c>
      <c r="C8" s="20" t="n">
        <f aca="false">PL!E25</f>
        <v>190.740846627516</v>
      </c>
      <c r="D8" s="20" t="n">
        <f aca="false">PL!E37</f>
        <v>141.203153488129</v>
      </c>
    </row>
    <row r="9" customFormat="false" ht="15" hidden="false" customHeight="false" outlineLevel="0" collapsed="false">
      <c r="A9" s="0" t="s">
        <v>558</v>
      </c>
      <c r="B9" s="20" t="n">
        <f aca="false">PL!F13</f>
        <v>338.56971710828</v>
      </c>
      <c r="C9" s="20" t="n">
        <f aca="false">PL!F25</f>
        <v>196.617504702225</v>
      </c>
      <c r="D9" s="20" t="n">
        <f aca="false">PL!F37</f>
        <v>103.483109615921</v>
      </c>
    </row>
    <row r="10" customFormat="false" ht="15" hidden="false" customHeight="false" outlineLevel="0" collapsed="false">
      <c r="A10" s="0" t="s">
        <v>559</v>
      </c>
      <c r="B10" s="20" t="n">
        <f aca="false">PL!G13</f>
        <v>387.353198996975</v>
      </c>
      <c r="C10" s="20" t="n">
        <f aca="false">PL!G25</f>
        <v>225.771610828083</v>
      </c>
      <c r="D10" s="20" t="n">
        <f aca="false">PL!G37</f>
        <v>103.648243170718</v>
      </c>
    </row>
    <row r="11" customFormat="false" ht="15" hidden="false" customHeight="false" outlineLevel="0" collapsed="false">
      <c r="A11" s="0" t="s">
        <v>560</v>
      </c>
      <c r="B11" s="20" t="n">
        <f aca="false">PL!H13</f>
        <v>432.926528085547</v>
      </c>
      <c r="C11" s="20" t="n">
        <f aca="false">PL!H25</f>
        <v>248.973700689181</v>
      </c>
      <c r="D11" s="20" t="n">
        <f aca="false">PL!H37</f>
        <v>103.736537662867</v>
      </c>
    </row>
    <row r="12" customFormat="false" ht="15" hidden="false" customHeight="false" outlineLevel="0" collapsed="false">
      <c r="A12" s="0" t="s">
        <v>561</v>
      </c>
      <c r="B12" s="20" t="n">
        <f aca="false">PL!I13</f>
        <v>471.381911631926</v>
      </c>
      <c r="C12" s="20" t="n">
        <f aca="false">PL!I25</f>
        <v>262.118845067761</v>
      </c>
      <c r="D12" s="20" t="n">
        <f aca="false">PL!I37</f>
        <v>100.77425456356</v>
      </c>
    </row>
    <row r="13" customFormat="false" ht="15" hidden="false" customHeight="false" outlineLevel="0" collapsed="false">
      <c r="A13" s="0" t="s">
        <v>562</v>
      </c>
      <c r="B13" s="20" t="n">
        <f aca="false">PL!J13</f>
        <v>499.664826329842</v>
      </c>
      <c r="C13" s="20" t="n">
        <f aca="false">PL!J25</f>
        <v>262.867756053669</v>
      </c>
      <c r="D13" s="20" t="n">
        <f aca="false">PL!J37</f>
        <v>94.8828366044598</v>
      </c>
    </row>
    <row r="14" customFormat="false" ht="17.15" hidden="false" customHeight="false" outlineLevel="0" collapsed="false">
      <c r="A14" s="4" t="s">
        <v>563</v>
      </c>
    </row>
    <row r="15" customFormat="false" ht="17.15" hidden="false" customHeight="false" outlineLevel="0" collapsed="false">
      <c r="A15" s="4" t="s">
        <v>564</v>
      </c>
      <c r="B15" s="18" t="n">
        <f aca="false">MIN(tp_g/tp_roe,0.8)</f>
        <v>0.207756232686981</v>
      </c>
      <c r="E15" s="8" t="s">
        <v>565</v>
      </c>
    </row>
    <row r="16" customFormat="false" ht="15" hidden="false" customHeight="false" outlineLevel="0" collapsed="false">
      <c r="A16" s="0" t="s">
        <v>557</v>
      </c>
      <c r="B16" s="20" t="n">
        <f aca="false">B8*(1-$B$15)</f>
        <v>174.75362947504</v>
      </c>
      <c r="C16" s="20" t="n">
        <f aca="false">C8*(1-$B$15)</f>
        <v>151.113246912658</v>
      </c>
      <c r="D16" s="20" t="n">
        <f aca="false">D8*(1-$B$15)</f>
        <v>111.867318275914</v>
      </c>
    </row>
    <row r="17" customFormat="false" ht="15" hidden="false" customHeight="false" outlineLevel="0" collapsed="false">
      <c r="A17" s="0" t="s">
        <v>558</v>
      </c>
      <c r="B17" s="20" t="n">
        <f aca="false">B9*(1-$B$15)</f>
        <v>268.229748179967</v>
      </c>
      <c r="C17" s="20" t="n">
        <f aca="false">C9*(1-$B$15)</f>
        <v>155.768992644976</v>
      </c>
      <c r="D17" s="20" t="n">
        <f aca="false">D9*(1-$B$15)</f>
        <v>81.9838486153831</v>
      </c>
    </row>
    <row r="18" customFormat="false" ht="15" hidden="false" customHeight="false" outlineLevel="0" collapsed="false">
      <c r="A18" s="0" t="s">
        <v>559</v>
      </c>
      <c r="B18" s="20" t="n">
        <f aca="false">B10*(1-$B$15)</f>
        <v>306.878157654113</v>
      </c>
      <c r="C18" s="20" t="n">
        <f aca="false">C10*(1-$B$15)</f>
        <v>178.86615151477</v>
      </c>
      <c r="D18" s="20" t="n">
        <f aca="false">D10*(1-$B$15)</f>
        <v>82.1146746449456</v>
      </c>
    </row>
    <row r="19" customFormat="false" ht="15" hidden="false" customHeight="false" outlineLevel="0" collapsed="false">
      <c r="A19" s="0" t="s">
        <v>560</v>
      </c>
      <c r="B19" s="20" t="n">
        <f aca="false">B11*(1-$B$15)</f>
        <v>342.98334358024</v>
      </c>
      <c r="C19" s="20" t="n">
        <f aca="false">C11*(1-$B$15)</f>
        <v>197.247862595861</v>
      </c>
      <c r="D19" s="20" t="n">
        <f aca="false">D11*(1-$B$15)</f>
        <v>82.1846254060389</v>
      </c>
    </row>
    <row r="20" customFormat="false" ht="15" hidden="false" customHeight="false" outlineLevel="0" collapsed="false">
      <c r="A20" s="0" t="s">
        <v>561</v>
      </c>
      <c r="B20" s="20" t="n">
        <f aca="false">B12*(1-$B$15)</f>
        <v>373.44938151449</v>
      </c>
      <c r="C20" s="20" t="n">
        <f aca="false">C12*(1-$B$15)</f>
        <v>207.662021300221</v>
      </c>
      <c r="D20" s="20" t="n">
        <f aca="false">D12*(1-$B$15)</f>
        <v>79.8377750835962</v>
      </c>
    </row>
    <row r="21" customFormat="false" ht="15" hidden="false" customHeight="false" outlineLevel="0" collapsed="false">
      <c r="A21" s="0" t="s">
        <v>562</v>
      </c>
      <c r="B21" s="20" t="n">
        <f aca="false">B13*(1-$B$15)</f>
        <v>395.85634440536</v>
      </c>
      <c r="C21" s="20" t="n">
        <f aca="false">C13*(1-$B$15)</f>
        <v>208.255341361079</v>
      </c>
      <c r="D21" s="20" t="n">
        <f aca="false">D13*(1-$B$15)</f>
        <v>75.1703359248629</v>
      </c>
    </row>
    <row r="22" customFormat="false" ht="17.15" hidden="false" customHeight="false" outlineLevel="0" collapsed="false">
      <c r="A22" s="0" t="s">
        <v>566</v>
      </c>
      <c r="B22" s="20" t="n">
        <f aca="false">MAX(0,SUMPRODUCT(B16:B21,1/(1+tp_r)^{1;2;3;4;5;6})+B21*(1+tp_g)/(tp_r-tp_g)/(1+tp_r)^6)</f>
        <v>5173.84552349597</v>
      </c>
      <c r="C22" s="20" t="n">
        <f aca="false">MAX(0,SUMPRODUCT(C16:C21,1/(1+tp_r)^{1;2;3;4;5;6})+C21*(1+tp_g)/(tp_r-tp_g)/(1+tp_r)^6)</f>
        <v>2819.32959343425</v>
      </c>
      <c r="D22" s="20" t="n">
        <f aca="false">MAX(0,SUMPRODUCT(D16:D21,1/(1+tp_r)^{1;2;3;4;5;6})+D21*(1+tp_g)/(tp_r-tp_g)/(1+tp_r)^6)</f>
        <v>1114.7673684898</v>
      </c>
      <c r="E22" s="8" t="s">
        <v>567</v>
      </c>
    </row>
    <row r="23" customFormat="false" ht="17.15" hidden="false" customHeight="false" outlineLevel="0" collapsed="false">
      <c r="A23" s="0" t="s">
        <v>568</v>
      </c>
      <c r="B23" s="20" t="n">
        <f aca="false">B22*(1+tp_r)</f>
        <v>5691.23007584557</v>
      </c>
      <c r="C23" s="20" t="n">
        <f aca="false">C22*(1+tp_r)</f>
        <v>3101.26255277768</v>
      </c>
      <c r="D23" s="20" t="n">
        <f aca="false">D22*(1+tp_r)</f>
        <v>1226.24410533878</v>
      </c>
    </row>
    <row r="24" customFormat="false" ht="17.15" hidden="false" customHeight="false" outlineLevel="0" collapsed="false">
      <c r="A24" s="0" t="s">
        <v>569</v>
      </c>
      <c r="B24" s="32" t="n">
        <f aca="false">tp_wA*B23+tp_wB*C23+tp_wC*D23</f>
        <v>3503.24912021027</v>
      </c>
      <c r="E24" s="8" t="s">
        <v>570</v>
      </c>
    </row>
    <row r="26" customFormat="false" ht="17.15" hidden="false" customHeight="false" outlineLevel="0" collapsed="false">
      <c r="A26" s="6" t="s">
        <v>571</v>
      </c>
    </row>
    <row r="27" customFormat="false" ht="17.15" hidden="false" customHeight="false" outlineLevel="0" collapsed="false">
      <c r="A27" s="5" t="s">
        <v>572</v>
      </c>
      <c r="B27" s="5" t="s">
        <v>573</v>
      </c>
      <c r="C27" s="5" t="s">
        <v>574</v>
      </c>
      <c r="D27" s="5" t="s">
        <v>575</v>
      </c>
      <c r="E27" s="5" t="s">
        <v>576</v>
      </c>
      <c r="F27" s="5" t="s">
        <v>25</v>
      </c>
    </row>
    <row r="28" customFormat="false" ht="17.15" hidden="false" customHeight="false" outlineLevel="0" collapsed="false">
      <c r="A28" s="4" t="s">
        <v>577</v>
      </c>
      <c r="B28" s="0" t="s">
        <v>578</v>
      </c>
      <c r="C28" s="33" t="n">
        <v>102.85</v>
      </c>
      <c r="D28" s="8" t="s">
        <v>579</v>
      </c>
      <c r="E28" s="8" t="s">
        <v>580</v>
      </c>
      <c r="F28" s="8" t="s">
        <v>214</v>
      </c>
    </row>
    <row r="29" customFormat="false" ht="17.15" hidden="false" customHeight="false" outlineLevel="0" collapsed="false">
      <c r="A29" s="4" t="s">
        <v>581</v>
      </c>
      <c r="B29" s="0" t="s">
        <v>582</v>
      </c>
      <c r="C29" s="33" t="n">
        <v>37.81</v>
      </c>
      <c r="D29" s="8" t="s">
        <v>583</v>
      </c>
      <c r="E29" s="8" t="s">
        <v>580</v>
      </c>
      <c r="F29" s="8" t="s">
        <v>214</v>
      </c>
    </row>
    <row r="30" customFormat="false" ht="17.15" hidden="false" customHeight="false" outlineLevel="0" collapsed="false">
      <c r="A30" s="4" t="s">
        <v>584</v>
      </c>
      <c r="B30" s="0" t="s">
        <v>585</v>
      </c>
      <c r="C30" s="33" t="n">
        <v>38.75</v>
      </c>
      <c r="D30" s="8" t="s">
        <v>586</v>
      </c>
      <c r="E30" s="8" t="s">
        <v>580</v>
      </c>
      <c r="F30" s="8" t="s">
        <v>214</v>
      </c>
    </row>
    <row r="31" customFormat="false" ht="17.15" hidden="false" customHeight="false" outlineLevel="0" collapsed="false">
      <c r="A31" s="4" t="s">
        <v>587</v>
      </c>
      <c r="B31" s="0" t="s">
        <v>588</v>
      </c>
      <c r="C31" s="33" t="n">
        <v>18.52</v>
      </c>
      <c r="D31" s="8" t="s">
        <v>589</v>
      </c>
      <c r="E31" s="8" t="s">
        <v>580</v>
      </c>
      <c r="F31" s="8" t="s">
        <v>214</v>
      </c>
    </row>
    <row r="32" customFormat="false" ht="17.15" hidden="false" customHeight="false" outlineLevel="0" collapsed="false">
      <c r="A32" s="4" t="s">
        <v>590</v>
      </c>
      <c r="B32" s="0" t="s">
        <v>591</v>
      </c>
      <c r="C32" s="33" t="n">
        <v>40.44</v>
      </c>
      <c r="D32" s="8" t="s">
        <v>589</v>
      </c>
      <c r="E32" s="8" t="s">
        <v>580</v>
      </c>
      <c r="F32" s="8" t="s">
        <v>214</v>
      </c>
    </row>
    <row r="33" customFormat="false" ht="17.15" hidden="false" customHeight="false" outlineLevel="0" collapsed="false">
      <c r="A33" s="4" t="s">
        <v>592</v>
      </c>
      <c r="B33" s="34" t="n">
        <f aca="false">MEDIAN(C28:C32)</f>
        <v>38.75</v>
      </c>
      <c r="E33" s="4" t="s">
        <v>593</v>
      </c>
    </row>
    <row r="34" customFormat="false" ht="17.15" hidden="false" customHeight="false" outlineLevel="0" collapsed="false">
      <c r="A34" s="0" t="s">
        <v>594</v>
      </c>
      <c r="B34" s="20" t="n">
        <f aca="false">tp_wA*(2/12*B8+10/12*B9)+tp_wB*(2/12*C8+10/12*C9)+tp_wC*(2/12*D8+10/12*D9)</f>
        <v>215.444448351456</v>
      </c>
      <c r="E34" s="4" t="s">
        <v>595</v>
      </c>
    </row>
    <row r="35" customFormat="false" ht="17.15" hidden="false" customHeight="false" outlineLevel="0" collapsed="false">
      <c r="A35" s="0" t="s">
        <v>596</v>
      </c>
      <c r="B35" s="32" t="n">
        <f aca="false">B33*B34</f>
        <v>8348.47237361892</v>
      </c>
      <c r="E35" s="4" t="s">
        <v>597</v>
      </c>
    </row>
    <row r="37" customFormat="false" ht="17.15" hidden="false" customHeight="false" outlineLevel="0" collapsed="false">
      <c r="A37" s="6" t="s">
        <v>598</v>
      </c>
    </row>
    <row r="38" customFormat="false" ht="15" hidden="false" customHeight="false" outlineLevel="0" collapsed="false">
      <c r="A38" s="5" t="s">
        <v>20</v>
      </c>
      <c r="B38" s="5" t="s">
        <v>599</v>
      </c>
      <c r="C38" s="5"/>
      <c r="D38" s="5"/>
      <c r="E38" s="5" t="s">
        <v>465</v>
      </c>
    </row>
    <row r="39" customFormat="false" ht="17.15" hidden="false" customHeight="false" outlineLevel="0" collapsed="false">
      <c r="A39" s="4" t="s">
        <v>600</v>
      </c>
      <c r="B39" s="32" t="n">
        <f aca="false">tp_w_dcf*B24+(1-tp_w_dcf)*B35</f>
        <v>5925.8607469146</v>
      </c>
      <c r="E39" s="8" t="s">
        <v>601</v>
      </c>
    </row>
    <row r="40" customFormat="false" ht="17.15" hidden="false" customHeight="false" outlineLevel="0" collapsed="false">
      <c r="A40" s="0" t="s">
        <v>602</v>
      </c>
      <c r="B40" s="20" t="n">
        <f aca="false">B35</f>
        <v>8348.47237361892</v>
      </c>
    </row>
    <row r="41" customFormat="false" ht="17.15" hidden="false" customHeight="false" outlineLevel="0" collapsed="false">
      <c r="A41" s="4" t="s">
        <v>603</v>
      </c>
      <c r="B41" s="20" t="n">
        <f aca="false">cons_tp</f>
        <v>5803.25</v>
      </c>
      <c r="E41" s="8" t="s">
        <v>604</v>
      </c>
    </row>
    <row r="42" customFormat="false" ht="17.15" hidden="false" customHeight="false" outlineLevel="0" collapsed="false">
      <c r="A42" s="4" t="s">
        <v>605</v>
      </c>
      <c r="B42" s="18" t="n">
        <f aca="false">B39/px-1</f>
        <v>0.695525249474849</v>
      </c>
      <c r="E42" s="4" t="s">
        <v>606</v>
      </c>
    </row>
    <row r="43" customFormat="false" ht="17.15" hidden="false" customHeight="false" outlineLevel="0" collapsed="false">
      <c r="A43" s="4" t="s">
        <v>607</v>
      </c>
      <c r="B43" s="18" t="n">
        <f aca="false">B40/px-1</f>
        <v>1.38869023565634</v>
      </c>
    </row>
    <row r="44" customFormat="false" ht="17.15" hidden="false" customHeight="false" outlineLevel="0" collapsed="false">
      <c r="A44" s="4" t="s">
        <v>608</v>
      </c>
      <c r="B44" s="18" t="n">
        <f aca="false">B34/cons_feps-1</f>
        <v>0.0571880655872596</v>
      </c>
      <c r="E44" s="4" t="s">
        <v>609</v>
      </c>
    </row>
    <row r="45" customFormat="false" ht="17.15" hidden="false" customHeight="false" outlineLevel="0" collapsed="false">
      <c r="A45" s="4" t="s">
        <v>610</v>
      </c>
      <c r="B45" s="18" t="n">
        <f aca="false">(cons_tp/cons_feps)/B33-1</f>
        <v>-0.265119848631686</v>
      </c>
      <c r="E45" s="0" t="str">
        <f aca="false">"共識目標價隱含 "&amp;TEXT(cons_tp/cons_feps,"0.0")&amp;"x，同業中位數 "&amp;TEXT(B33,"0.0")&amp;"x"</f>
        <v>共識目標價隱含 28.5x，同業中位數 38.8x</v>
      </c>
    </row>
    <row r="46" customFormat="false" ht="17.15" hidden="false" customHeight="false" outlineLevel="0" collapsed="false">
      <c r="A46" s="4" t="s">
        <v>611</v>
      </c>
      <c r="B46" s="35" t="str">
        <f aca="false">TEXT(D23,"#,##0")&amp;"～"&amp;TEXT(B23,"#,##0")</f>
        <v>1,226～5,691</v>
      </c>
      <c r="E46" s="8" t="s">
        <v>612</v>
      </c>
    </row>
    <row r="47" customFormat="false" ht="17.15" hidden="false" customHeight="false" outlineLevel="0" collapsed="false">
      <c r="A47" s="4" t="s">
        <v>613</v>
      </c>
      <c r="B47" s="36" t="n">
        <f aca="false">IF(px/B9&gt;=MAX($B$86:$B$95),1,IF(px/B9&lt;=MIN($B$86:$B$95),0,PERCENTRANK($B$86:$B$95,px/B9)))</f>
        <v>0</v>
      </c>
      <c r="C47" s="36" t="n">
        <f aca="false">IF(px/C9&gt;=MAX($B$86:$B$95),1,IF(px/C9&lt;=MIN($B$86:$B$95),0,PERCENTRANK($B$86:$B$95,px/C9)))</f>
        <v>0.137</v>
      </c>
      <c r="D47" s="36" t="n">
        <f aca="false">IF(px/D9&gt;=MAX($B$86:$B$95),1,IF(px/D9&lt;=MIN($B$86:$B$95),0,PERCENTRANK($B$86:$B$95,px/D9)))</f>
        <v>0.409</v>
      </c>
      <c r="E47" s="4" t="s">
        <v>614</v>
      </c>
    </row>
    <row r="48" customFormat="false" ht="17.15" hidden="false" customHeight="false" outlineLevel="0" collapsed="false">
      <c r="A48" s="4" t="s">
        <v>615</v>
      </c>
      <c r="B48" s="0" t="s">
        <v>616</v>
      </c>
    </row>
    <row r="51" customFormat="false" ht="17.15" hidden="false" customHeight="false" outlineLevel="0" collapsed="false">
      <c r="A51" s="6" t="s">
        <v>617</v>
      </c>
    </row>
    <row r="52" customFormat="false" ht="15" hidden="false" customHeight="false" outlineLevel="0" collapsed="false">
      <c r="A52" s="5" t="s">
        <v>20</v>
      </c>
      <c r="B52" s="14" t="s">
        <v>618</v>
      </c>
      <c r="C52" s="14" t="s">
        <v>619</v>
      </c>
      <c r="D52" s="14" t="s">
        <v>620</v>
      </c>
      <c r="E52" s="5" t="s">
        <v>465</v>
      </c>
    </row>
    <row r="53" customFormat="false" ht="17.15" hidden="false" customHeight="false" outlineLevel="0" collapsed="false">
      <c r="A53" s="4" t="s">
        <v>621</v>
      </c>
      <c r="B53" s="37" t="n">
        <f aca="false">px</f>
        <v>3495</v>
      </c>
    </row>
    <row r="54" customFormat="false" ht="17.15" hidden="false" customHeight="false" outlineLevel="0" collapsed="false">
      <c r="A54" s="4" t="s">
        <v>622</v>
      </c>
      <c r="B54" s="34" t="n">
        <f aca="false">px/PL!D13</f>
        <v>25.9262949127112</v>
      </c>
      <c r="C54" s="34" t="n">
        <f aca="false">px/PL!D25</f>
        <v>25.9262949127112</v>
      </c>
      <c r="D54" s="34" t="n">
        <f aca="false">px/PL!D37</f>
        <v>25.9262949127112</v>
      </c>
      <c r="E54" s="8" t="s">
        <v>623</v>
      </c>
    </row>
    <row r="55" customFormat="false" ht="17.15" hidden="false" customHeight="false" outlineLevel="0" collapsed="false">
      <c r="A55" s="4" t="s">
        <v>624</v>
      </c>
      <c r="B55" s="34" t="n">
        <f aca="false">px/PL!E13</f>
        <v>15.8445462625112</v>
      </c>
      <c r="C55" s="34" t="n">
        <f aca="false">px/PL!E25</f>
        <v>18.323290798982</v>
      </c>
      <c r="D55" s="34" t="n">
        <f aca="false">px/PL!E37</f>
        <v>24.7515718570253</v>
      </c>
      <c r="E55" s="8" t="s">
        <v>625</v>
      </c>
    </row>
    <row r="56" customFormat="false" ht="17.15" hidden="false" customHeight="false" outlineLevel="0" collapsed="false">
      <c r="A56" s="4" t="s">
        <v>626</v>
      </c>
      <c r="B56" s="34" t="n">
        <f aca="false">px/PL!F13</f>
        <v>10.3228369915973</v>
      </c>
      <c r="C56" s="34" t="n">
        <f aca="false">px/PL!F25</f>
        <v>17.7756299231503</v>
      </c>
      <c r="D56" s="34" t="n">
        <f aca="false">px/PL!F37</f>
        <v>33.7736275317948</v>
      </c>
    </row>
    <row r="57" customFormat="false" ht="17.15" hidden="false" customHeight="false" outlineLevel="0" collapsed="false">
      <c r="A57" s="4" t="s">
        <v>627</v>
      </c>
      <c r="B57" s="34" t="n">
        <f aca="false">px/PL!G13</f>
        <v>9.02277303776002</v>
      </c>
      <c r="C57" s="34" t="n">
        <f aca="false">px/PL!G25</f>
        <v>15.4802456658792</v>
      </c>
      <c r="D57" s="34" t="n">
        <f aca="false">px/PL!G37</f>
        <v>33.7198190059374</v>
      </c>
    </row>
    <row r="58" customFormat="false" ht="17.15" hidden="false" customHeight="false" outlineLevel="0" collapsed="false">
      <c r="A58" s="4" t="s">
        <v>628</v>
      </c>
      <c r="B58" s="23" t="n">
        <f aca="false">0.2*PL!D25+0.8*PL!E25</f>
        <v>179.553722154484</v>
      </c>
    </row>
    <row r="59" customFormat="false" ht="17.15" hidden="false" customHeight="false" outlineLevel="0" collapsed="false">
      <c r="A59" s="4" t="s">
        <v>629</v>
      </c>
      <c r="B59" s="34" t="n">
        <f aca="false">px/B58</f>
        <v>19.4649264747238</v>
      </c>
    </row>
    <row r="60" customFormat="false" ht="17.15" hidden="false" customHeight="false" outlineLevel="0" collapsed="false">
      <c r="A60" s="4" t="s">
        <v>348</v>
      </c>
      <c r="B60" s="34" t="n">
        <f aca="false">pe_ttm</f>
        <v>50.74</v>
      </c>
    </row>
    <row r="61" customFormat="false" ht="17.15" hidden="false" customHeight="false" outlineLevel="0" collapsed="false">
      <c r="A61" s="4" t="s">
        <v>352</v>
      </c>
      <c r="B61" s="34" t="n">
        <f aca="false">fpe</f>
        <v>17.15</v>
      </c>
    </row>
    <row r="63" customFormat="false" ht="17.15" hidden="false" customHeight="false" outlineLevel="0" collapsed="false">
      <c r="A63" s="6" t="s">
        <v>630</v>
      </c>
    </row>
    <row r="64" customFormat="false" ht="17.15" hidden="false" customHeight="false" outlineLevel="0" collapsed="false">
      <c r="A64" s="5" t="s">
        <v>631</v>
      </c>
      <c r="B64" s="5" t="s">
        <v>632</v>
      </c>
      <c r="C64" s="14" t="s">
        <v>633</v>
      </c>
      <c r="D64" s="5" t="s">
        <v>634</v>
      </c>
      <c r="E64" s="5" t="s">
        <v>635</v>
      </c>
      <c r="F64" s="5" t="s">
        <v>465</v>
      </c>
    </row>
    <row r="65" customFormat="false" ht="17.15" hidden="false" customHeight="false" outlineLevel="0" collapsed="false">
      <c r="A65" s="0" t="s">
        <v>618</v>
      </c>
      <c r="B65" s="0" t="n">
        <f aca="false">INDEX({2026,2027,2028,2029},MATCH(MAX(PL!D81:G81),PL!D81:G81,0))</f>
        <v>2029</v>
      </c>
      <c r="C65" s="0" t="str">
        <f aca="false">IF(B65=2029,"中段",IF(2027&lt;B65,"中段",IF(2027=B65,"見頂","谷底")))</f>
        <v>中段</v>
      </c>
      <c r="D65" s="34" t="n">
        <f aca="false">IF(C65="見頂",pe_peak,IF(C65="谷底",pe_trough,pe_mid))</f>
        <v>41.04</v>
      </c>
      <c r="E65" s="0" t="str">
        <f aca="false">IF(B65=2029,"是：營收到觀測期末仍在增加","否")</f>
        <v>是：營收到觀測期末仍在增加</v>
      </c>
      <c r="F65" s="8" t="s">
        <v>636</v>
      </c>
    </row>
    <row r="66" customFormat="false" ht="15" hidden="false" customHeight="false" outlineLevel="0" collapsed="false">
      <c r="A66" s="0" t="s">
        <v>619</v>
      </c>
      <c r="B66" s="0" t="n">
        <f aca="false">INDEX({2026,2027,2028,2029},MATCH(MAX(PL!D124:G124),PL!D124:G124,0))</f>
        <v>2029</v>
      </c>
      <c r="C66" s="0" t="str">
        <f aca="false">IF(B66=2029,"中段",IF(2027&lt;B66,"中段",IF(2027=B66,"見頂","谷底")))</f>
        <v>中段</v>
      </c>
      <c r="D66" s="34" t="n">
        <f aca="false">IF(C66="見頂",pe_peak,IF(C66="谷底",pe_trough,pe_mid))</f>
        <v>41.04</v>
      </c>
      <c r="E66" s="0" t="str">
        <f aca="false">IF(B66=2029,"是：營收到觀測期末仍在增加","否")</f>
        <v>是：營收到觀測期末仍在增加</v>
      </c>
      <c r="F66" s="4" t="s">
        <v>38</v>
      </c>
    </row>
    <row r="67" customFormat="false" ht="15" hidden="false" customHeight="false" outlineLevel="0" collapsed="false">
      <c r="A67" s="0" t="s">
        <v>620</v>
      </c>
      <c r="B67" s="0" t="n">
        <f aca="false">INDEX({2026,2027,2028,2029},MATCH(MAX(PL!D167:G167),PL!D167:G167,0))</f>
        <v>2027</v>
      </c>
      <c r="C67" s="0" t="str">
        <f aca="false">IF(B67=2029,"中段",IF(2027&lt;B67,"中段",IF(2027=B67,"見頂","谷底")))</f>
        <v>見頂</v>
      </c>
      <c r="D67" s="34" t="n">
        <f aca="false">IF(C67="見頂",pe_peak,IF(C67="谷底",pe_trough,pe_mid))</f>
        <v>31</v>
      </c>
      <c r="E67" s="0" t="str">
        <f aca="false">IF(B67=2029,"是：營收到觀測期末仍在增加","否")</f>
        <v>否</v>
      </c>
      <c r="F67" s="4" t="s">
        <v>38</v>
      </c>
    </row>
    <row r="69" customFormat="false" ht="17.15" hidden="false" customHeight="false" outlineLevel="0" collapsed="false">
      <c r="A69" s="6" t="s">
        <v>637</v>
      </c>
    </row>
    <row r="70" customFormat="false" ht="17.15" hidden="false" customHeight="false" outlineLevel="0" collapsed="false">
      <c r="A70" s="5" t="s">
        <v>631</v>
      </c>
      <c r="B70" s="14" t="s">
        <v>638</v>
      </c>
      <c r="C70" s="5" t="s">
        <v>639</v>
      </c>
      <c r="D70" s="5" t="s">
        <v>640</v>
      </c>
      <c r="E70" s="5" t="s">
        <v>641</v>
      </c>
      <c r="F70" s="5" t="s">
        <v>642</v>
      </c>
      <c r="G70" s="5" t="s">
        <v>643</v>
      </c>
    </row>
    <row r="71" customFormat="false" ht="15" hidden="false" customHeight="false" outlineLevel="0" collapsed="false">
      <c r="A71" s="9" t="s">
        <v>618</v>
      </c>
      <c r="B71" s="38" t="n">
        <f aca="false">PL!E13</f>
        <v>220.580630211501</v>
      </c>
      <c r="C71" s="38" t="n">
        <f aca="false">B71</f>
        <v>220.580630211501</v>
      </c>
      <c r="D71" s="39" t="n">
        <f aca="false">D65</f>
        <v>41.04</v>
      </c>
      <c r="E71" s="40" t="n">
        <f aca="false">C71*D71</f>
        <v>9052.62906388001</v>
      </c>
      <c r="F71" s="41" t="n">
        <f aca="false">E71/px-1</f>
        <v>1.59016568351359</v>
      </c>
      <c r="G71" s="39" t="n">
        <f aca="false">px/C71</f>
        <v>15.8445462625112</v>
      </c>
    </row>
    <row r="72" customFormat="false" ht="15" hidden="false" customHeight="false" outlineLevel="0" collapsed="false">
      <c r="A72" s="9" t="s">
        <v>619</v>
      </c>
      <c r="B72" s="38" t="n">
        <f aca="false">PL!E25</f>
        <v>190.740846627516</v>
      </c>
      <c r="C72" s="38" t="n">
        <f aca="false">B72</f>
        <v>190.740846627516</v>
      </c>
      <c r="D72" s="39" t="n">
        <f aca="false">D66</f>
        <v>41.04</v>
      </c>
      <c r="E72" s="40" t="n">
        <f aca="false">C72*D72</f>
        <v>7828.00434559324</v>
      </c>
      <c r="F72" s="41" t="n">
        <f aca="false">E72/px-1</f>
        <v>1.23977234494799</v>
      </c>
      <c r="G72" s="39" t="n">
        <f aca="false">px/C72</f>
        <v>18.323290798982</v>
      </c>
    </row>
    <row r="73" customFormat="false" ht="15" hidden="false" customHeight="false" outlineLevel="0" collapsed="false">
      <c r="A73" s="9" t="s">
        <v>620</v>
      </c>
      <c r="B73" s="38" t="n">
        <f aca="false">PL!E37</f>
        <v>141.203153488129</v>
      </c>
      <c r="C73" s="38" t="n">
        <f aca="false">B73</f>
        <v>141.203153488129</v>
      </c>
      <c r="D73" s="39" t="n">
        <f aca="false">D67</f>
        <v>31</v>
      </c>
      <c r="E73" s="40" t="n">
        <f aca="false">C73*D73</f>
        <v>4377.297758132</v>
      </c>
      <c r="F73" s="41" t="n">
        <f aca="false">E73/px-1</f>
        <v>0.252445710481258</v>
      </c>
      <c r="G73" s="39" t="n">
        <f aca="false">px/C73</f>
        <v>24.7515718570253</v>
      </c>
    </row>
    <row r="75" customFormat="false" ht="17.15" hidden="false" customHeight="false" outlineLevel="0" collapsed="false">
      <c r="A75" s="6" t="s">
        <v>644</v>
      </c>
    </row>
    <row r="76" customFormat="false" ht="17.15" hidden="false" customHeight="false" outlineLevel="0" collapsed="false">
      <c r="A76" s="14" t="s">
        <v>645</v>
      </c>
      <c r="B76" s="5" t="s">
        <v>646</v>
      </c>
      <c r="C76" s="5" t="s">
        <v>647</v>
      </c>
      <c r="D76" s="5" t="s">
        <v>648</v>
      </c>
      <c r="E76" s="5" t="s">
        <v>649</v>
      </c>
    </row>
    <row r="77" customFormat="false" ht="15" hidden="false" customHeight="false" outlineLevel="0" collapsed="false">
      <c r="A77" s="42" t="n">
        <v>1</v>
      </c>
      <c r="B77" s="34" t="n">
        <f aca="false">px*A77/PL!F13</f>
        <v>10.3228369915973</v>
      </c>
      <c r="C77" s="34" t="n">
        <f aca="false">px*A77/PL!F25</f>
        <v>17.7756299231503</v>
      </c>
      <c r="D77" s="34" t="n">
        <f aca="false">px*A77/PL!F37</f>
        <v>33.7736275317948</v>
      </c>
      <c r="E77" s="34" t="n">
        <f aca="false">pe_mid</f>
        <v>41.04</v>
      </c>
    </row>
    <row r="78" customFormat="false" ht="15" hidden="false" customHeight="false" outlineLevel="0" collapsed="false">
      <c r="A78" s="42" t="n">
        <v>1.1</v>
      </c>
      <c r="B78" s="34" t="n">
        <f aca="false">px*A78/PL!F13</f>
        <v>11.3551206907571</v>
      </c>
      <c r="C78" s="34" t="n">
        <f aca="false">px*A78/PL!F25</f>
        <v>19.5531929154653</v>
      </c>
      <c r="D78" s="34" t="n">
        <f aca="false">px*A78/PL!F37</f>
        <v>37.1509902849743</v>
      </c>
      <c r="E78" s="34" t="n">
        <f aca="false">pe_mid</f>
        <v>41.04</v>
      </c>
    </row>
    <row r="79" customFormat="false" ht="15" hidden="false" customHeight="false" outlineLevel="0" collapsed="false">
      <c r="A79" s="42" t="n">
        <v>1.21</v>
      </c>
      <c r="B79" s="34" t="n">
        <f aca="false">px*A79/PL!F13</f>
        <v>12.4906327598328</v>
      </c>
      <c r="C79" s="34" t="n">
        <f aca="false">px*A79/PL!F25</f>
        <v>21.5085122070118</v>
      </c>
      <c r="D79" s="34" t="n">
        <f aca="false">px*A79/PL!F37</f>
        <v>40.8660893134718</v>
      </c>
      <c r="E79" s="34" t="n">
        <f aca="false">pe_mid</f>
        <v>41.04</v>
      </c>
    </row>
    <row r="80" customFormat="false" ht="15" hidden="false" customHeight="false" outlineLevel="0" collapsed="false">
      <c r="A80" s="42" t="n">
        <v>1.5</v>
      </c>
      <c r="B80" s="34" t="n">
        <f aca="false">px*A80/PL!F13</f>
        <v>15.484255487396</v>
      </c>
      <c r="C80" s="34" t="n">
        <f aca="false">px*A80/PL!F25</f>
        <v>26.6634448847254</v>
      </c>
      <c r="D80" s="34" t="n">
        <f aca="false">px*A80/PL!F37</f>
        <v>50.6604412976923</v>
      </c>
      <c r="E80" s="34" t="n">
        <f aca="false">pe_mid</f>
        <v>41.04</v>
      </c>
    </row>
    <row r="81" customFormat="false" ht="15" hidden="false" customHeight="false" outlineLevel="0" collapsed="false">
      <c r="A81" s="42" t="n">
        <v>2</v>
      </c>
      <c r="B81" s="34" t="n">
        <f aca="false">px*A81/PL!F13</f>
        <v>20.6456739831947</v>
      </c>
      <c r="C81" s="34" t="n">
        <f aca="false">px*A81/PL!F25</f>
        <v>35.5512598463005</v>
      </c>
      <c r="D81" s="34" t="n">
        <f aca="false">px*A81/PL!F37</f>
        <v>67.5472550635897</v>
      </c>
      <c r="E81" s="34" t="n">
        <f aca="false">pe_mid</f>
        <v>41.04</v>
      </c>
    </row>
    <row r="82" customFormat="false" ht="17.15" hidden="false" customHeight="false" outlineLevel="0" collapsed="false">
      <c r="A82" s="4" t="s">
        <v>650</v>
      </c>
    </row>
    <row r="84" customFormat="false" ht="17.15" hidden="false" customHeight="false" outlineLevel="0" collapsed="false">
      <c r="A84" s="6" t="s">
        <v>651</v>
      </c>
    </row>
    <row r="85" customFormat="false" ht="17.15" hidden="false" customHeight="false" outlineLevel="0" collapsed="false">
      <c r="A85" s="5" t="s">
        <v>652</v>
      </c>
      <c r="B85" s="5" t="s">
        <v>653</v>
      </c>
      <c r="C85" s="14" t="s">
        <v>654</v>
      </c>
      <c r="D85" s="5" t="s">
        <v>655</v>
      </c>
    </row>
    <row r="86" customFormat="false" ht="15" hidden="false" customHeight="false" outlineLevel="0" collapsed="false">
      <c r="A86" s="0" t="s">
        <v>656</v>
      </c>
      <c r="B86" s="23" t="str">
        <f aca="false">IF(COUNT(C86:D86)=0,"",AVERAGE(C86:D86))</f>
        <v/>
      </c>
      <c r="C86" s="23" t="str">
        <f aca="false">IF(B105="","",B105)</f>
        <v/>
      </c>
      <c r="D86" s="23" t="str">
        <f aca="false">IF(C105="","",C105)</f>
        <v/>
      </c>
    </row>
    <row r="87" customFormat="false" ht="15" hidden="false" customHeight="false" outlineLevel="0" collapsed="false">
      <c r="A87" s="0" t="s">
        <v>657</v>
      </c>
      <c r="B87" s="23" t="n">
        <f aca="false">IF(COUNT(C87:D87)=0,"",AVERAGE(C87:D87))</f>
        <v>16.5</v>
      </c>
      <c r="C87" s="23" t="n">
        <f aca="false">IF(B106="","",B106)</f>
        <v>16.5</v>
      </c>
      <c r="D87" s="23" t="str">
        <f aca="false">IF(C106="","",C106)</f>
        <v/>
      </c>
    </row>
    <row r="88" customFormat="false" ht="15" hidden="false" customHeight="false" outlineLevel="0" collapsed="false">
      <c r="A88" s="0" t="s">
        <v>658</v>
      </c>
      <c r="B88" s="23" t="n">
        <f aca="false">IF(COUNT(C88:D88)=0,"",AVERAGE(C88:D88))</f>
        <v>15.875355450237</v>
      </c>
      <c r="C88" s="23" t="n">
        <f aca="false">IF(B107="","",B107)</f>
        <v>15.4</v>
      </c>
      <c r="D88" s="23" t="n">
        <f aca="false">IF(C107="","",C107)</f>
        <v>16.3507109004739</v>
      </c>
    </row>
    <row r="89" customFormat="false" ht="15" hidden="false" customHeight="false" outlineLevel="0" collapsed="false">
      <c r="A89" s="0" t="s">
        <v>659</v>
      </c>
      <c r="B89" s="23" t="n">
        <f aca="false">IF(COUNT(C89:D89)=0,"",AVERAGE(C89:D89))</f>
        <v>31.5847222222222</v>
      </c>
      <c r="C89" s="23" t="n">
        <f aca="false">IF(B108="","",B108)</f>
        <v>30.6</v>
      </c>
      <c r="D89" s="23" t="n">
        <f aca="false">IF(C108="","",C108)</f>
        <v>32.5694444444444</v>
      </c>
    </row>
    <row r="90" customFormat="false" ht="15" hidden="false" customHeight="false" outlineLevel="0" collapsed="false">
      <c r="A90" s="0" t="s">
        <v>660</v>
      </c>
      <c r="B90" s="23" t="n">
        <f aca="false">IF(COUNT(C90:D90)=0,"",AVERAGE(C90:D90))</f>
        <v>44.4641072740632</v>
      </c>
      <c r="C90" s="23" t="n">
        <f aca="false">IF(B109="","",B109)</f>
        <v>43.3</v>
      </c>
      <c r="D90" s="23" t="n">
        <f aca="false">IF(C109="","",C109)</f>
        <v>45.6282145481264</v>
      </c>
    </row>
    <row r="91" customFormat="false" ht="15" hidden="false" customHeight="false" outlineLevel="0" collapsed="false">
      <c r="A91" s="0" t="s">
        <v>661</v>
      </c>
      <c r="B91" s="23" t="n">
        <f aca="false">IF(COUNT(C91:D91)=0,"",AVERAGE(C91:D91))</f>
        <v>46.8987816307404</v>
      </c>
      <c r="C91" s="23" t="n">
        <f aca="false">IF(B110="","",B110)</f>
        <v>46</v>
      </c>
      <c r="D91" s="23" t="n">
        <f aca="false">IF(C110="","",C110)</f>
        <v>47.7975632614808</v>
      </c>
    </row>
    <row r="92" customFormat="false" ht="15" hidden="false" customHeight="false" outlineLevel="0" collapsed="false">
      <c r="A92" s="0" t="s">
        <v>662</v>
      </c>
      <c r="B92" s="23" t="n">
        <f aca="false">IF(COUNT(C92:D92)=0,"",AVERAGE(C92:D92))</f>
        <v>30.2867068898404</v>
      </c>
      <c r="C92" s="23" t="n">
        <f aca="false">IF(B111="","",B111)</f>
        <v>29.9</v>
      </c>
      <c r="D92" s="23" t="n">
        <f aca="false">IF(C111="","",C111)</f>
        <v>30.6734137796808</v>
      </c>
    </row>
    <row r="93" customFormat="false" ht="15" hidden="false" customHeight="false" outlineLevel="0" collapsed="false">
      <c r="A93" s="0" t="s">
        <v>663</v>
      </c>
      <c r="B93" s="23" t="n">
        <f aca="false">IF(COUNT(C93:D93)=0,"",AVERAGE(C93:D93))</f>
        <v>71.3127556630746</v>
      </c>
      <c r="C93" s="23" t="n">
        <f aca="false">IF(B112="","",B112)</f>
        <v>70.6</v>
      </c>
      <c r="D93" s="23" t="n">
        <f aca="false">IF(C112="","",C112)</f>
        <v>72.0255113261491</v>
      </c>
    </row>
    <row r="94" customFormat="false" ht="15" hidden="false" customHeight="false" outlineLevel="0" collapsed="false">
      <c r="A94" s="0" t="s">
        <v>664</v>
      </c>
      <c r="B94" s="23" t="n">
        <f aca="false">IF(COUNT(C94:D94)=0,"",AVERAGE(C94:D94))</f>
        <v>39.712281780182</v>
      </c>
      <c r="C94" s="23" t="n">
        <f aca="false">IF(B113="","",B113)</f>
        <v>39.1</v>
      </c>
      <c r="D94" s="23" t="n">
        <f aca="false">IF(C113="","",C113)</f>
        <v>40.3245635603639</v>
      </c>
    </row>
    <row r="95" customFormat="false" ht="15" hidden="false" customHeight="false" outlineLevel="0" collapsed="false">
      <c r="A95" s="0" t="s">
        <v>665</v>
      </c>
      <c r="B95" s="23" t="n">
        <f aca="false">IF(COUNT(C95:D95)=0,"",AVERAGE(C95:D95))</f>
        <v>50.5686036426713</v>
      </c>
      <c r="C95" s="23" t="n">
        <f aca="false">IF(B114="","",B114)</f>
        <v>50.4</v>
      </c>
      <c r="D95" s="23" t="n">
        <f aca="false">IF(C114="","",C114)</f>
        <v>50.7372072853426</v>
      </c>
    </row>
    <row r="96" customFormat="false" ht="15" hidden="false" customHeight="false" outlineLevel="0" collapsed="false">
      <c r="A96" s="4" t="s">
        <v>666</v>
      </c>
      <c r="B96" s="0" t="n">
        <f aca="false">COUNT($B$86:$B$95)</f>
        <v>9</v>
      </c>
    </row>
    <row r="100" customFormat="false" ht="17.15" hidden="false" customHeight="false" outlineLevel="0" collapsed="false">
      <c r="A100" s="6" t="s">
        <v>667</v>
      </c>
    </row>
    <row r="101" customFormat="false" ht="17.15" hidden="false" customHeight="false" outlineLevel="0" collapsed="false">
      <c r="A101" s="4" t="s">
        <v>668</v>
      </c>
    </row>
    <row r="103" customFormat="false" ht="17.15" hidden="false" customHeight="false" outlineLevel="0" collapsed="false">
      <c r="A103" s="6" t="s">
        <v>669</v>
      </c>
    </row>
    <row r="104" customFormat="false" ht="17.15" hidden="false" customHeight="false" outlineLevel="0" collapsed="false">
      <c r="A104" s="5" t="s">
        <v>652</v>
      </c>
      <c r="B104" s="14" t="s">
        <v>670</v>
      </c>
      <c r="C104" s="5" t="s">
        <v>671</v>
      </c>
      <c r="D104" s="5" t="s">
        <v>672</v>
      </c>
    </row>
    <row r="105" customFormat="false" ht="17.15" hidden="false" customHeight="false" outlineLevel="0" collapsed="false">
      <c r="A105" s="0" t="s">
        <v>656</v>
      </c>
      <c r="D105" s="0" t="s">
        <v>673</v>
      </c>
    </row>
    <row r="106" customFormat="false" ht="15" hidden="false" customHeight="false" outlineLevel="0" collapsed="false">
      <c r="A106" s="0" t="s">
        <v>657</v>
      </c>
      <c r="B106" s="42" t="n">
        <v>16.5</v>
      </c>
    </row>
    <row r="107" customFormat="false" ht="15" hidden="false" customHeight="false" outlineLevel="0" collapsed="false">
      <c r="A107" s="0" t="s">
        <v>658</v>
      </c>
      <c r="B107" s="42" t="n">
        <v>15.4</v>
      </c>
      <c r="C107" s="23" t="n">
        <f aca="false">69/4.22</f>
        <v>16.3507109004739</v>
      </c>
    </row>
    <row r="108" customFormat="false" ht="15" hidden="false" customHeight="false" outlineLevel="0" collapsed="false">
      <c r="A108" s="0" t="s">
        <v>659</v>
      </c>
      <c r="B108" s="42" t="n">
        <v>30.6</v>
      </c>
      <c r="C108" s="23" t="n">
        <f aca="false">234.5/7.2</f>
        <v>32.5694444444444</v>
      </c>
    </row>
    <row r="109" customFormat="false" ht="15" hidden="false" customHeight="false" outlineLevel="0" collapsed="false">
      <c r="A109" s="0" t="s">
        <v>660</v>
      </c>
      <c r="B109" s="42" t="n">
        <v>43.3</v>
      </c>
      <c r="C109" s="23" t="n">
        <f aca="false">621/13.61</f>
        <v>45.6282145481264</v>
      </c>
    </row>
    <row r="110" customFormat="false" ht="15" hidden="false" customHeight="false" outlineLevel="0" collapsed="false">
      <c r="A110" s="0" t="s">
        <v>661</v>
      </c>
      <c r="B110" s="42" t="n">
        <v>46</v>
      </c>
      <c r="C110" s="23" t="n">
        <f aca="false">1020/21.34</f>
        <v>47.7975632614808</v>
      </c>
    </row>
    <row r="111" customFormat="false" ht="15" hidden="false" customHeight="false" outlineLevel="0" collapsed="false">
      <c r="A111" s="0" t="s">
        <v>662</v>
      </c>
      <c r="B111" s="42" t="n">
        <v>29.9</v>
      </c>
      <c r="C111" s="23" t="n">
        <f aca="false">788/25.69</f>
        <v>30.6734137796808</v>
      </c>
    </row>
    <row r="112" customFormat="false" ht="15" hidden="false" customHeight="false" outlineLevel="0" collapsed="false">
      <c r="A112" s="0" t="s">
        <v>663</v>
      </c>
      <c r="B112" s="42" t="n">
        <v>70.6</v>
      </c>
      <c r="C112" s="23" t="n">
        <f aca="false">3275/45.47</f>
        <v>72.0255113261491</v>
      </c>
    </row>
    <row r="113" customFormat="false" ht="15" hidden="false" customHeight="false" outlineLevel="0" collapsed="false">
      <c r="A113" s="0" t="s">
        <v>664</v>
      </c>
      <c r="B113" s="42" t="n">
        <v>39.1</v>
      </c>
      <c r="C113" s="23" t="n">
        <f aca="false">3280/81.34</f>
        <v>40.3245635603639</v>
      </c>
    </row>
    <row r="114" customFormat="false" ht="15" hidden="false" customHeight="false" outlineLevel="0" collapsed="false">
      <c r="A114" s="0" t="s">
        <v>665</v>
      </c>
      <c r="B114" s="42" t="n">
        <v>50.4</v>
      </c>
      <c r="C114" s="23" t="n">
        <f aca="false">3510/69.18</f>
        <v>50.7372072853426</v>
      </c>
    </row>
    <row r="115" customFormat="false" ht="17.15" hidden="false" customHeight="false" outlineLevel="0" collapsed="false">
      <c r="A115" s="0" t="s">
        <v>674</v>
      </c>
      <c r="B115" s="23" t="n">
        <f aca="false">PERCENTILE(B105:B114,0.25)</f>
        <v>29.9</v>
      </c>
      <c r="C115" s="23" t="n">
        <f aca="false">PERCENTILE(C105:C114,0.25)</f>
        <v>32.0954367782535</v>
      </c>
    </row>
    <row r="116" customFormat="false" ht="15" hidden="false" customHeight="false" outlineLevel="0" collapsed="false">
      <c r="A116" s="4" t="s">
        <v>675</v>
      </c>
      <c r="B116" s="23" t="n">
        <f aca="false">MEDIAN(B105:B114)</f>
        <v>39.1</v>
      </c>
      <c r="C116" s="23" t="n">
        <f aca="false">MEDIAN(C105:C114)</f>
        <v>42.9763890542451</v>
      </c>
    </row>
    <row r="117" customFormat="false" ht="17.15" hidden="false" customHeight="false" outlineLevel="0" collapsed="false">
      <c r="A117" s="0" t="s">
        <v>676</v>
      </c>
      <c r="B117" s="23" t="n">
        <f aca="false">PERCENTILE(B105:B114,0.75)</f>
        <v>46</v>
      </c>
      <c r="C117" s="23" t="n">
        <f aca="false">PERCENTILE(C105:C114,0.75)</f>
        <v>48.5324742674462</v>
      </c>
    </row>
    <row r="118" customFormat="false" ht="15" hidden="false" customHeight="false" outlineLevel="0" collapsed="false">
      <c r="A118" s="4" t="s">
        <v>677</v>
      </c>
      <c r="B118" s="23" t="n">
        <f aca="false">MIN(B105:B114)</f>
        <v>15.4</v>
      </c>
      <c r="C118" s="23" t="n">
        <f aca="false">MIN(C105:C114)</f>
        <v>16.3507109004739</v>
      </c>
    </row>
    <row r="119" customFormat="false" ht="15" hidden="false" customHeight="false" outlineLevel="0" collapsed="false">
      <c r="A119" s="4" t="s">
        <v>678</v>
      </c>
      <c r="B119" s="23" t="n">
        <f aca="false">MAX(B105:B114)</f>
        <v>70.6</v>
      </c>
      <c r="C119" s="23" t="n">
        <f aca="false">MAX(C105:C114)</f>
        <v>72.0255113261491</v>
      </c>
    </row>
    <row r="120" customFormat="false" ht="17.15" hidden="false" customHeight="false" outlineLevel="0" collapsed="false">
      <c r="A120" s="1" t="s">
        <v>679</v>
      </c>
      <c r="B120" s="23" t="n">
        <f aca="false">ROUND(AVERAGE(B115,C115),2)</f>
        <v>31</v>
      </c>
    </row>
    <row r="121" customFormat="false" ht="17.15" hidden="false" customHeight="false" outlineLevel="0" collapsed="false">
      <c r="A121" s="1" t="s">
        <v>680</v>
      </c>
      <c r="B121" s="23" t="n">
        <f aca="false">ROUND(AVERAGE(B116,C116),2)</f>
        <v>41.04</v>
      </c>
    </row>
    <row r="122" customFormat="false" ht="17.15" hidden="false" customHeight="false" outlineLevel="0" collapsed="false">
      <c r="A122" s="1" t="s">
        <v>681</v>
      </c>
      <c r="B122" s="23" t="n">
        <f aca="false">ROUND(AVERAGE(B117,C117),2)</f>
        <v>47.27</v>
      </c>
    </row>
    <row r="123" customFormat="false" ht="17.15" hidden="false" customHeight="false" outlineLevel="0" collapsed="false">
      <c r="A123" s="1" t="s">
        <v>682</v>
      </c>
      <c r="B123" s="23" t="n">
        <f aca="false">ROUND(MIN(B118,C118),2)</f>
        <v>15.4</v>
      </c>
    </row>
    <row r="124" customFormat="false" ht="17.15" hidden="false" customHeight="false" outlineLevel="0" collapsed="false">
      <c r="A124" s="1" t="s">
        <v>683</v>
      </c>
      <c r="B124" s="23" t="n">
        <f aca="false">ROUND(MAX(B119,C119),2)</f>
        <v>72.03</v>
      </c>
    </row>
    <row r="126" customFormat="false" ht="17.15" hidden="false" customHeight="false" outlineLevel="0" collapsed="false">
      <c r="A126" s="6" t="s">
        <v>684</v>
      </c>
    </row>
    <row r="127" customFormat="false" ht="17.15" hidden="false" customHeight="false" outlineLevel="0" collapsed="false">
      <c r="A127" s="5" t="s">
        <v>685</v>
      </c>
      <c r="B127" s="5" t="s">
        <v>686</v>
      </c>
      <c r="C127" s="5" t="s">
        <v>687</v>
      </c>
      <c r="D127" s="5" t="s">
        <v>23</v>
      </c>
      <c r="E127" s="5" t="s">
        <v>688</v>
      </c>
      <c r="F127" s="5" t="s">
        <v>641</v>
      </c>
      <c r="G127" s="5" t="s">
        <v>689</v>
      </c>
      <c r="H127" s="5" t="s">
        <v>690</v>
      </c>
    </row>
    <row r="128" customFormat="false" ht="17.15" hidden="false" customHeight="false" outlineLevel="0" collapsed="false">
      <c r="A128" s="4" t="s">
        <v>691</v>
      </c>
      <c r="B128" s="0" t="s">
        <v>692</v>
      </c>
      <c r="C128" s="23" t="n">
        <f aca="false">B120</f>
        <v>31</v>
      </c>
      <c r="D128" s="8" t="s">
        <v>693</v>
      </c>
      <c r="E128" s="23" t="n">
        <f aca="false">C72</f>
        <v>190.740846627516</v>
      </c>
      <c r="F128" s="24" t="n">
        <f aca="false">C128*E128</f>
        <v>5912.96624545298</v>
      </c>
      <c r="G128" s="18" t="n">
        <f aca="false">F128/px-1</f>
        <v>0.691835835608865</v>
      </c>
      <c r="H128" s="23" t="n">
        <f aca="false">px/E128</f>
        <v>18.323290798982</v>
      </c>
    </row>
    <row r="129" customFormat="false" ht="17.15" hidden="false" customHeight="false" outlineLevel="0" collapsed="false">
      <c r="A129" s="4" t="s">
        <v>694</v>
      </c>
      <c r="B129" s="4" t="s">
        <v>695</v>
      </c>
      <c r="C129" s="23" t="n">
        <f aca="false">B121</f>
        <v>41.04</v>
      </c>
      <c r="D129" s="8" t="s">
        <v>693</v>
      </c>
      <c r="E129" s="23" t="n">
        <f aca="false">C72</f>
        <v>190.740846627516</v>
      </c>
      <c r="F129" s="24" t="n">
        <f aca="false">C129*E129</f>
        <v>7828.00434559324</v>
      </c>
      <c r="G129" s="18" t="n">
        <f aca="false">F129/px-1</f>
        <v>1.23977234494799</v>
      </c>
      <c r="H129" s="23" t="n">
        <f aca="false">px/E129</f>
        <v>18.323290798982</v>
      </c>
    </row>
    <row r="130" customFormat="false" ht="17.15" hidden="false" customHeight="false" outlineLevel="0" collapsed="false">
      <c r="A130" s="4" t="s">
        <v>696</v>
      </c>
      <c r="B130" s="0" t="s">
        <v>697</v>
      </c>
      <c r="C130" s="23" t="n">
        <f aca="false">B122</f>
        <v>47.27</v>
      </c>
      <c r="D130" s="8" t="s">
        <v>693</v>
      </c>
      <c r="E130" s="23" t="n">
        <f aca="false">C72</f>
        <v>190.740846627516</v>
      </c>
      <c r="F130" s="24" t="n">
        <f aca="false">C130*E130</f>
        <v>9016.31982008266</v>
      </c>
      <c r="G130" s="18" t="n">
        <f aca="false">F130/px-1</f>
        <v>1.57977677255584</v>
      </c>
      <c r="H130" s="23" t="n">
        <f aca="false">px/E130</f>
        <v>18.323290798982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698</v>
      </c>
    </row>
    <row r="3" customFormat="false" ht="17.15" hidden="false" customHeight="false" outlineLevel="0" collapsed="false">
      <c r="A3" s="5" t="s">
        <v>20</v>
      </c>
      <c r="B3" s="5" t="s">
        <v>699</v>
      </c>
      <c r="C3" s="5" t="s">
        <v>700</v>
      </c>
      <c r="D3" s="5" t="s">
        <v>701</v>
      </c>
      <c r="E3" s="5" t="s">
        <v>702</v>
      </c>
      <c r="F3" s="5" t="s">
        <v>703</v>
      </c>
      <c r="G3" s="5" t="s">
        <v>704</v>
      </c>
      <c r="H3" s="5" t="s">
        <v>705</v>
      </c>
      <c r="I3" s="5" t="s">
        <v>706</v>
      </c>
      <c r="J3" s="5" t="s">
        <v>465</v>
      </c>
    </row>
    <row r="4" customFormat="false" ht="17.15" hidden="false" customHeight="false" outlineLevel="0" collapsed="false">
      <c r="A4" s="6" t="s">
        <v>707</v>
      </c>
    </row>
    <row r="5" customFormat="false" ht="17.15" hidden="false" customHeight="false" outlineLevel="0" collapsed="false">
      <c r="A5" s="0" t="s">
        <v>708</v>
      </c>
      <c r="B5" s="24" t="n">
        <f aca="false">cons_rev26</f>
        <v>70.7</v>
      </c>
      <c r="C5" s="24" t="n">
        <f aca="false">PL!D81</f>
        <v>67.83665</v>
      </c>
      <c r="D5" s="18" t="n">
        <f aca="false">C5/B5-1</f>
        <v>-0.0405000000000002</v>
      </c>
      <c r="E5" s="24" t="n">
        <f aca="false">PL!D124</f>
        <v>67.83665</v>
      </c>
      <c r="F5" s="18" t="n">
        <f aca="false">E5/B5-1</f>
        <v>-0.0405000000000002</v>
      </c>
      <c r="G5" s="24" t="n">
        <f aca="false">PL!D167</f>
        <v>67.83665</v>
      </c>
      <c r="H5" s="18" t="n">
        <f aca="false">G5/B5-1</f>
        <v>-0.0405000000000002</v>
      </c>
      <c r="I5" s="8" t="s">
        <v>709</v>
      </c>
      <c r="J5" s="4" t="s">
        <v>710</v>
      </c>
    </row>
    <row r="6" customFormat="false" ht="17.15" hidden="false" customHeight="false" outlineLevel="0" collapsed="false">
      <c r="A6" s="0" t="s">
        <v>711</v>
      </c>
      <c r="B6" s="20" t="n">
        <f aca="false">cons_eps26</f>
        <v>135.68</v>
      </c>
      <c r="C6" s="20" t="n">
        <f aca="false">PL!D98</f>
        <v>134.805224262356</v>
      </c>
      <c r="D6" s="18" t="n">
        <f aca="false">C6/B6-1</f>
        <v>-0.00644734476447884</v>
      </c>
      <c r="E6" s="20" t="n">
        <f aca="false">PL!D141</f>
        <v>134.805224262356</v>
      </c>
      <c r="F6" s="18" t="n">
        <f aca="false">E6/B6-1</f>
        <v>-0.00644734476447884</v>
      </c>
      <c r="G6" s="20" t="n">
        <f aca="false">PL!D184</f>
        <v>134.805224262356</v>
      </c>
      <c r="H6" s="18" t="n">
        <f aca="false">G6/B6-1</f>
        <v>-0.00644734476447884</v>
      </c>
      <c r="I6" s="8" t="s">
        <v>712</v>
      </c>
      <c r="J6" s="4" t="s">
        <v>713</v>
      </c>
    </row>
    <row r="7" customFormat="false" ht="17.15" hidden="false" customHeight="false" outlineLevel="0" collapsed="false">
      <c r="A7" s="0" t="s">
        <v>714</v>
      </c>
      <c r="B7" s="18" t="n">
        <f aca="false">co_gm26</f>
        <v>0.23</v>
      </c>
      <c r="C7" s="18" t="n">
        <f aca="false">PL!D89</f>
        <v>0.241287593063632</v>
      </c>
      <c r="D7" s="18" t="n">
        <f aca="false">C7-B7</f>
        <v>0.0112875930636315</v>
      </c>
      <c r="E7" s="18" t="n">
        <f aca="false">PL!D132</f>
        <v>0.241287593063632</v>
      </c>
      <c r="F7" s="18" t="n">
        <f aca="false">E7-B7</f>
        <v>0.0112875930636315</v>
      </c>
      <c r="G7" s="18" t="n">
        <f aca="false">PL!D175</f>
        <v>0.241287593063632</v>
      </c>
      <c r="H7" s="18" t="n">
        <f aca="false">G7-B7</f>
        <v>0.0112875930636315</v>
      </c>
      <c r="I7" s="8" t="s">
        <v>715</v>
      </c>
    </row>
    <row r="8" customFormat="false" ht="17.15" hidden="false" customHeight="false" outlineLevel="0" collapsed="false">
      <c r="A8" s="0" t="s">
        <v>716</v>
      </c>
      <c r="B8" s="23" t="n">
        <f aca="false">b1_trn26</f>
        <v>1.3</v>
      </c>
      <c r="C8" s="23" t="n">
        <f aca="false">PL!D73</f>
        <v>1.5</v>
      </c>
      <c r="D8" s="18" t="n">
        <f aca="false">C8/B8-1</f>
        <v>0.153846153846154</v>
      </c>
      <c r="E8" s="23" t="n">
        <f aca="false">PL!D116</f>
        <v>1.5</v>
      </c>
      <c r="F8" s="18" t="n">
        <f aca="false">E8/B8-1</f>
        <v>0.153846153846154</v>
      </c>
      <c r="G8" s="23" t="n">
        <f aca="false">PL!D159</f>
        <v>1.5</v>
      </c>
      <c r="H8" s="18" t="n">
        <f aca="false">G8/B8-1</f>
        <v>0.153846153846154</v>
      </c>
      <c r="I8" s="4" t="s">
        <v>717</v>
      </c>
      <c r="J8" s="4" t="s">
        <v>718</v>
      </c>
    </row>
    <row r="9" customFormat="false" ht="17.15" hidden="false" customHeight="false" outlineLevel="0" collapsed="false">
      <c r="A9" s="6" t="s">
        <v>719</v>
      </c>
    </row>
    <row r="10" customFormat="false" ht="17.15" hidden="false" customHeight="false" outlineLevel="0" collapsed="false">
      <c r="A10" s="0" t="s">
        <v>720</v>
      </c>
      <c r="B10" s="23" t="n">
        <f aca="false">b1_trn27</f>
        <v>2.2</v>
      </c>
      <c r="C10" s="23" t="n">
        <f aca="false">PL!E73</f>
        <v>3.4375</v>
      </c>
      <c r="D10" s="18" t="n">
        <f aca="false">C10/B10-1</f>
        <v>0.5625</v>
      </c>
      <c r="E10" s="23" t="n">
        <f aca="false">PL!E116</f>
        <v>3.125</v>
      </c>
      <c r="F10" s="18" t="n">
        <f aca="false">E10/B10-1</f>
        <v>0.420454545454545</v>
      </c>
      <c r="G10" s="23" t="n">
        <f aca="false">PL!E159</f>
        <v>2.5</v>
      </c>
      <c r="H10" s="18" t="n">
        <f aca="false">G10/B10-1</f>
        <v>0.136363636363636</v>
      </c>
      <c r="I10" s="4" t="s">
        <v>717</v>
      </c>
    </row>
    <row r="11" customFormat="false" ht="17.15" hidden="false" customHeight="false" outlineLevel="0" collapsed="false">
      <c r="A11" s="0" t="s">
        <v>721</v>
      </c>
      <c r="B11" s="23" t="n">
        <f aca="false">b2_ai27</f>
        <v>3.8</v>
      </c>
      <c r="C11" s="23" t="n">
        <f aca="false">PL!E73</f>
        <v>3.4375</v>
      </c>
      <c r="D11" s="18" t="n">
        <f aca="false">C11/B11-1</f>
        <v>-0.0953947368421052</v>
      </c>
      <c r="E11" s="23" t="n">
        <f aca="false">PL!E116</f>
        <v>3.125</v>
      </c>
      <c r="F11" s="18" t="n">
        <f aca="false">E11/B11-1</f>
        <v>-0.177631578947368</v>
      </c>
      <c r="G11" s="23" t="n">
        <f aca="false">PL!E159</f>
        <v>2.5</v>
      </c>
      <c r="H11" s="18" t="n">
        <f aca="false">G11/B11-1</f>
        <v>-0.342105263157895</v>
      </c>
      <c r="I11" s="4" t="s">
        <v>717</v>
      </c>
      <c r="J11" s="4" t="s">
        <v>722</v>
      </c>
    </row>
    <row r="12" customFormat="false" ht="17.15" hidden="false" customHeight="false" outlineLevel="0" collapsed="false">
      <c r="A12" s="0" t="s">
        <v>723</v>
      </c>
      <c r="B12" s="23" t="n">
        <f aca="false">b1_trn4</f>
        <v>4</v>
      </c>
      <c r="C12" s="23" t="n">
        <f aca="false">PL!F73</f>
        <v>6.1875</v>
      </c>
      <c r="D12" s="18" t="n">
        <f aca="false">C12/B12-1</f>
        <v>0.546875</v>
      </c>
      <c r="E12" s="23" t="n">
        <f aca="false">PL!F116</f>
        <v>3.24</v>
      </c>
      <c r="F12" s="18" t="n">
        <f aca="false">E12/B12-1</f>
        <v>-0.19</v>
      </c>
      <c r="G12" s="23" t="n">
        <f aca="false">PL!F159</f>
        <v>1.575</v>
      </c>
      <c r="H12" s="18" t="n">
        <f aca="false">G12/B12-1</f>
        <v>-0.60625</v>
      </c>
      <c r="I12" s="4" t="s">
        <v>724</v>
      </c>
      <c r="J12" s="4" t="s">
        <v>725</v>
      </c>
    </row>
    <row r="13" customFormat="false" ht="17.15" hidden="false" customHeight="false" outlineLevel="0" collapsed="false">
      <c r="A13" s="0" t="s">
        <v>726</v>
      </c>
      <c r="B13" s="23" t="n">
        <f aca="false">ubs_trn27</f>
        <v>2.8</v>
      </c>
      <c r="C13" s="23" t="n">
        <f aca="false">PL!E63</f>
        <v>2.5</v>
      </c>
      <c r="D13" s="18" t="n">
        <f aca="false">C13/B13-1</f>
        <v>-0.107142857142857</v>
      </c>
      <c r="E13" s="23" t="n">
        <f aca="false">PL!E106</f>
        <v>2.5</v>
      </c>
      <c r="F13" s="18" t="n">
        <f aca="false">E13/B13-1</f>
        <v>-0.107142857142857</v>
      </c>
      <c r="G13" s="23" t="n">
        <f aca="false">PL!E149</f>
        <v>2.5</v>
      </c>
      <c r="H13" s="18" t="n">
        <f aca="false">G13/B13-1</f>
        <v>-0.107142857142857</v>
      </c>
      <c r="I13" s="4" t="s">
        <v>727</v>
      </c>
      <c r="J13" s="4" t="s">
        <v>728</v>
      </c>
    </row>
    <row r="14" customFormat="false" ht="17.15" hidden="false" customHeight="false" outlineLevel="0" collapsed="false">
      <c r="A14" s="0" t="s">
        <v>729</v>
      </c>
      <c r="C14" s="18" t="n">
        <f aca="false">PL!E65/ubs_trn27</f>
        <v>0.491071428571429</v>
      </c>
      <c r="E14" s="18" t="n">
        <f aca="false">PL!E108/ubs_trn27</f>
        <v>0.446428571428571</v>
      </c>
      <c r="G14" s="18" t="n">
        <f aca="false">PL!E151/ubs_trn27</f>
        <v>0.357142857142857</v>
      </c>
      <c r="I14" s="4" t="s">
        <v>730</v>
      </c>
      <c r="J14" s="4" t="s">
        <v>731</v>
      </c>
    </row>
    <row r="15" customFormat="false" ht="17.15" hidden="false" customHeight="false" outlineLevel="0" collapsed="false">
      <c r="A15" s="0" t="s">
        <v>732</v>
      </c>
      <c r="C15" s="23" t="n">
        <f aca="false">PL!E78</f>
        <v>2.5</v>
      </c>
      <c r="E15" s="23" t="n">
        <f aca="false">PL!E121</f>
        <v>2.5</v>
      </c>
      <c r="G15" s="23" t="n">
        <f aca="false">PL!E164</f>
        <v>2.5</v>
      </c>
      <c r="I15" s="4" t="s">
        <v>730</v>
      </c>
      <c r="J15" s="8" t="s">
        <v>733</v>
      </c>
    </row>
    <row r="16" customFormat="false" ht="17.15" hidden="false" customHeight="false" outlineLevel="0" collapsed="false">
      <c r="A16" s="6" t="s">
        <v>734</v>
      </c>
    </row>
    <row r="17" customFormat="false" ht="17.15" hidden="false" customHeight="false" outlineLevel="0" collapsed="false">
      <c r="A17" s="0" t="s">
        <v>735</v>
      </c>
      <c r="B17" s="20" t="n">
        <f aca="false">b1_eps27</f>
        <v>204.17</v>
      </c>
      <c r="C17" s="20" t="n">
        <f aca="false">PL!E98</f>
        <v>220.580630211501</v>
      </c>
      <c r="D17" s="18" t="n">
        <f aca="false">C17/B17-1</f>
        <v>0.0803772846720925</v>
      </c>
      <c r="E17" s="20" t="n">
        <f aca="false">PL!E141</f>
        <v>190.740846627516</v>
      </c>
      <c r="F17" s="18" t="n">
        <f aca="false">E17/B17-1</f>
        <v>-0.0657743712224342</v>
      </c>
      <c r="G17" s="20" t="n">
        <f aca="false">PL!E184</f>
        <v>141.203153488129</v>
      </c>
      <c r="H17" s="18" t="n">
        <f aca="false">G17/B17-1</f>
        <v>-0.308404008972283</v>
      </c>
      <c r="I17" s="4" t="s">
        <v>717</v>
      </c>
    </row>
    <row r="18" customFormat="false" ht="17.15" hidden="false" customHeight="false" outlineLevel="0" collapsed="false">
      <c r="A18" s="0" t="s">
        <v>736</v>
      </c>
      <c r="B18" s="20" t="n">
        <f aca="false">aut_eps27</f>
        <v>195</v>
      </c>
      <c r="C18" s="20" t="n">
        <f aca="false">PL!E98</f>
        <v>220.580630211501</v>
      </c>
      <c r="D18" s="18" t="n">
        <f aca="false">C18/B18-1</f>
        <v>0.131182719033339</v>
      </c>
      <c r="E18" s="20" t="n">
        <f aca="false">PL!E141</f>
        <v>190.740846627516</v>
      </c>
      <c r="F18" s="18" t="n">
        <f aca="false">E18/B18-1</f>
        <v>-0.0218418121665867</v>
      </c>
      <c r="G18" s="20" t="n">
        <f aca="false">PL!E184</f>
        <v>141.203153488129</v>
      </c>
      <c r="H18" s="18" t="n">
        <f aca="false">G18/B18-1</f>
        <v>-0.275881264163441</v>
      </c>
      <c r="I18" s="4" t="s">
        <v>737</v>
      </c>
    </row>
    <row r="19" customFormat="false" ht="17.15" hidden="false" customHeight="false" outlineLevel="0" collapsed="false">
      <c r="A19" s="0" t="s">
        <v>738</v>
      </c>
      <c r="B19" s="24" t="n">
        <f aca="false">aut_rev27</f>
        <v>110.4</v>
      </c>
      <c r="C19" s="24" t="n">
        <f aca="false">PL!E81</f>
        <v>133.5021475</v>
      </c>
      <c r="D19" s="18" t="n">
        <f aca="false">C19/B19-1</f>
        <v>0.209258582427536</v>
      </c>
      <c r="E19" s="24" t="n">
        <f aca="false">PL!E124</f>
        <v>121.4584825</v>
      </c>
      <c r="F19" s="18" t="n">
        <f aca="false">E19/B19-1</f>
        <v>0.100167413949275</v>
      </c>
      <c r="G19" s="24" t="n">
        <f aca="false">PL!E167</f>
        <v>98.392985</v>
      </c>
      <c r="H19" s="18" t="n">
        <f aca="false">G19/B19-1</f>
        <v>-0.10875919384058</v>
      </c>
      <c r="I19" s="4" t="s">
        <v>737</v>
      </c>
    </row>
    <row r="20" customFormat="false" ht="17.15" hidden="false" customHeight="false" outlineLevel="0" collapsed="false">
      <c r="A20" s="4" t="s">
        <v>739</v>
      </c>
      <c r="B20" s="20" t="n">
        <f aca="false">cons_feps</f>
        <v>203.790087463557</v>
      </c>
      <c r="C20" s="20" t="n">
        <f aca="false">Val!B34</f>
        <v>215.444448351456</v>
      </c>
      <c r="D20" s="18" t="n">
        <f aca="false">C20/B20-1</f>
        <v>0.0571880655872596</v>
      </c>
      <c r="E20" s="20" t="n">
        <f aca="false">Val!B34</f>
        <v>215.444448351456</v>
      </c>
      <c r="F20" s="18" t="n">
        <f aca="false">E20/B20-1</f>
        <v>0.0571880655872596</v>
      </c>
      <c r="G20" s="20" t="n">
        <f aca="false">Val!B34</f>
        <v>215.444448351456</v>
      </c>
      <c r="H20" s="18" t="n">
        <f aca="false">G20/B20-1</f>
        <v>0.0571880655872596</v>
      </c>
      <c r="I20" s="8" t="s">
        <v>740</v>
      </c>
      <c r="J20" s="4" t="s">
        <v>741</v>
      </c>
    </row>
    <row r="21" customFormat="false" ht="17.15" hidden="false" customHeight="false" outlineLevel="0" collapsed="false">
      <c r="A21" s="6" t="s">
        <v>742</v>
      </c>
    </row>
    <row r="22" customFormat="false" ht="17.15" hidden="false" customHeight="false" outlineLevel="0" collapsed="false">
      <c r="A22" s="0" t="s">
        <v>743</v>
      </c>
      <c r="C22" s="22" t="n">
        <f aca="false">PL!D72</f>
        <v>0.390991554582421</v>
      </c>
      <c r="E22" s="22" t="n">
        <f aca="false">PL!D115</f>
        <v>0.390991554582421</v>
      </c>
      <c r="G22" s="22" t="n">
        <f aca="false">PL!D158</f>
        <v>0.390991554582421</v>
      </c>
      <c r="I22" s="4" t="s">
        <v>744</v>
      </c>
      <c r="J22" s="8" t="s">
        <v>745</v>
      </c>
    </row>
    <row r="23" customFormat="false" ht="17.15" hidden="false" customHeight="false" outlineLevel="0" collapsed="false">
      <c r="A23" s="4" t="s">
        <v>488</v>
      </c>
      <c r="C23" s="17" t="n">
        <f aca="false">PL!D87</f>
        <v>0.499403865114879</v>
      </c>
      <c r="E23" s="17" t="n">
        <f aca="false">PL!D130</f>
        <v>0.499403865114879</v>
      </c>
      <c r="G23" s="17" t="n">
        <f aca="false">PL!D173</f>
        <v>0.499403865114879</v>
      </c>
      <c r="I23" s="8" t="s">
        <v>746</v>
      </c>
      <c r="J23" s="8" t="s">
        <v>747</v>
      </c>
    </row>
    <row r="24" customFormat="false" ht="17.15" hidden="false" customHeight="false" outlineLevel="0" collapsed="false">
      <c r="A24" s="0" t="s">
        <v>748</v>
      </c>
      <c r="B24" s="18" t="n">
        <v>1</v>
      </c>
      <c r="C24" s="18" t="n">
        <f aca="false">Units!E13</f>
        <v>0.63</v>
      </c>
      <c r="D24" s="18" t="n">
        <f aca="false">C24-B24</f>
        <v>-0.37</v>
      </c>
      <c r="E24" s="18" t="n">
        <f aca="false">Units!E14</f>
        <v>0.53</v>
      </c>
      <c r="F24" s="18" t="n">
        <f aca="false">E24-B24</f>
        <v>-0.47</v>
      </c>
      <c r="G24" s="18" t="n">
        <f aca="false">Units!E15</f>
        <v>0.43</v>
      </c>
      <c r="H24" s="18" t="n">
        <f aca="false">G24-B24</f>
        <v>-0.57</v>
      </c>
      <c r="I24" s="8" t="s">
        <v>749</v>
      </c>
      <c r="J24" s="4" t="s">
        <v>750</v>
      </c>
    </row>
    <row r="25" customFormat="false" ht="17.15" hidden="false" customHeight="false" outlineLevel="0" collapsed="false">
      <c r="A25" s="0" t="s">
        <v>751</v>
      </c>
      <c r="B25" s="18" t="n">
        <f aca="false">co_nre</f>
        <v>0.15</v>
      </c>
      <c r="C25" s="18" t="n">
        <f aca="false">PL!E84</f>
        <v>0.176043216832898</v>
      </c>
      <c r="D25" s="18" t="n">
        <f aca="false">C25-B25</f>
        <v>0.0260432168328977</v>
      </c>
      <c r="E25" s="18" t="n">
        <f aca="false">PL!E127</f>
        <v>0.176673395371954</v>
      </c>
      <c r="F25" s="18" t="n">
        <f aca="false">E25-B25</f>
        <v>0.0266733953719535</v>
      </c>
      <c r="G25" s="18" t="n">
        <f aca="false">PL!E170</f>
        <v>0.186933905908028</v>
      </c>
      <c r="H25" s="18" t="n">
        <f aca="false">G25-B25</f>
        <v>0.0369339059080279</v>
      </c>
      <c r="I25" s="8" t="s">
        <v>715</v>
      </c>
      <c r="J25" s="4" t="s">
        <v>752</v>
      </c>
    </row>
    <row r="26" customFormat="false" ht="17.15" hidden="false" customHeight="false" outlineLevel="0" collapsed="false">
      <c r="A26" s="6" t="s">
        <v>753</v>
      </c>
    </row>
    <row r="27" customFormat="false" ht="17.15" hidden="false" customHeight="false" outlineLevel="0" collapsed="false">
      <c r="A27" s="0" t="s">
        <v>754</v>
      </c>
      <c r="J27" s="4" t="s">
        <v>755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756</v>
      </c>
    </row>
    <row r="3" customFormat="false" ht="17.15" hidden="false" customHeight="false" outlineLevel="0" collapsed="false">
      <c r="A3" s="5" t="s">
        <v>757</v>
      </c>
      <c r="B3" s="5" t="s">
        <v>758</v>
      </c>
      <c r="C3" s="14" t="s">
        <v>759</v>
      </c>
      <c r="D3" s="14" t="s">
        <v>760</v>
      </c>
      <c r="E3" s="14" t="s">
        <v>638</v>
      </c>
      <c r="F3" s="14" t="s">
        <v>761</v>
      </c>
      <c r="G3" s="14" t="s">
        <v>762</v>
      </c>
      <c r="H3" s="14" t="s">
        <v>763</v>
      </c>
      <c r="I3" s="14" t="s">
        <v>764</v>
      </c>
      <c r="J3" s="14" t="s">
        <v>765</v>
      </c>
    </row>
    <row r="4" customFormat="false" ht="17.15" hidden="false" customHeight="false" outlineLevel="0" collapsed="false">
      <c r="A4" s="4" t="s">
        <v>766</v>
      </c>
      <c r="B4" s="0" t="s">
        <v>767</v>
      </c>
      <c r="C4" s="37" t="n">
        <f aca="false">PL!E81</f>
        <v>133.5021475</v>
      </c>
      <c r="D4" s="17" t="n">
        <f aca="false">PL!E89</f>
        <v>0.203270612557</v>
      </c>
      <c r="E4" s="20" t="n">
        <f aca="false">PL!E98</f>
        <v>220.580630211501</v>
      </c>
      <c r="F4" s="18" t="n">
        <f aca="false">E4/E$4-1</f>
        <v>0</v>
      </c>
      <c r="G4" s="37" t="n">
        <f aca="false">PL!F81</f>
        <v>224.3224052</v>
      </c>
      <c r="H4" s="17" t="n">
        <f aca="false">PL!F89</f>
        <v>0.182173113111753</v>
      </c>
      <c r="I4" s="20" t="n">
        <f aca="false">PL!F98</f>
        <v>338.56971710828</v>
      </c>
      <c r="J4" s="18" t="n">
        <f aca="false">I4/I$4-1</f>
        <v>0</v>
      </c>
    </row>
    <row r="5" customFormat="false" ht="17.15" hidden="false" customHeight="false" outlineLevel="0" collapsed="false">
      <c r="A5" s="0" t="s">
        <v>768</v>
      </c>
      <c r="B5" s="0" t="s">
        <v>769</v>
      </c>
      <c r="C5" s="37" t="n">
        <f aca="false">E61</f>
        <v>113.5021475</v>
      </c>
      <c r="D5" s="17" t="n">
        <f aca="false">E69</f>
        <v>0.214419408231901</v>
      </c>
      <c r="E5" s="20" t="n">
        <f aca="false">E78</f>
        <v>197.756692785056</v>
      </c>
      <c r="F5" s="18" t="n">
        <f aca="false">E5/E$4-1</f>
        <v>-0.103472083675526</v>
      </c>
      <c r="G5" s="37" t="n">
        <f aca="false">F61</f>
        <v>188.3224052</v>
      </c>
      <c r="H5" s="17" t="n">
        <f aca="false">F69</f>
        <v>0.190234990138072</v>
      </c>
      <c r="I5" s="20" t="n">
        <f aca="false">F78</f>
        <v>295.875735710367</v>
      </c>
      <c r="J5" s="18" t="n">
        <f aca="false">I5/I$4-1</f>
        <v>-0.126101004432891</v>
      </c>
    </row>
    <row r="6" customFormat="false" ht="17.15" hidden="false" customHeight="false" outlineLevel="0" collapsed="false">
      <c r="A6" s="0" t="s">
        <v>770</v>
      </c>
      <c r="B6" s="0" t="s">
        <v>771</v>
      </c>
      <c r="C6" s="37" t="n">
        <f aca="false">E104</f>
        <v>173.5021475</v>
      </c>
      <c r="D6" s="17" t="n">
        <f aca="false">E112</f>
        <v>0.188683908364881</v>
      </c>
      <c r="E6" s="20" t="n">
        <f aca="false">E121</f>
        <v>266.22850506439</v>
      </c>
      <c r="F6" s="18" t="n">
        <f aca="false">E6/E$4-1</f>
        <v>0.206944167351052</v>
      </c>
      <c r="G6" s="37" t="n">
        <f aca="false">F104</f>
        <v>332.3224052</v>
      </c>
      <c r="H6" s="17" t="n">
        <f aca="false">F112</f>
        <v>0.168467458167037</v>
      </c>
      <c r="I6" s="20" t="n">
        <f aca="false">F121</f>
        <v>467.574382035078</v>
      </c>
      <c r="J6" s="18" t="n">
        <f aca="false">I6/I$4-1</f>
        <v>0.381028362573667</v>
      </c>
    </row>
    <row r="7" customFormat="false" ht="17.15" hidden="false" customHeight="false" outlineLevel="0" collapsed="false">
      <c r="A7" s="4" t="s">
        <v>772</v>
      </c>
      <c r="B7" s="0" t="s">
        <v>773</v>
      </c>
      <c r="C7" s="37" t="n">
        <f aca="false">E147</f>
        <v>111.5021475</v>
      </c>
      <c r="D7" s="17" t="n">
        <f aca="false">E155</f>
        <v>0.215754259800243</v>
      </c>
      <c r="E7" s="20" t="n">
        <f aca="false">E164</f>
        <v>195.474299042412</v>
      </c>
      <c r="F7" s="18" t="n">
        <f aca="false">E7/E$4-1</f>
        <v>-0.113819292043079</v>
      </c>
      <c r="G7" s="37" t="n">
        <f aca="false">F147</f>
        <v>184.7224052</v>
      </c>
      <c r="H7" s="17" t="n">
        <f aca="false">F155</f>
        <v>0.191214004915956</v>
      </c>
      <c r="I7" s="20" t="n">
        <f aca="false">F164</f>
        <v>291.609459284649</v>
      </c>
      <c r="J7" s="18" t="n">
        <f aca="false">I7/I$4-1</f>
        <v>-0.138701884577034</v>
      </c>
    </row>
    <row r="8" customFormat="false" ht="17.15" hidden="false" customHeight="false" outlineLevel="0" collapsed="false">
      <c r="A8" s="4" t="s">
        <v>774</v>
      </c>
      <c r="B8" s="0" t="s">
        <v>775</v>
      </c>
      <c r="C8" s="37" t="n">
        <f aca="false">E190</f>
        <v>155.5021475</v>
      </c>
      <c r="D8" s="17" t="n">
        <f aca="false">E198</f>
        <v>0.194319266877006</v>
      </c>
      <c r="E8" s="20" t="n">
        <f aca="false">E207</f>
        <v>245.68696138059</v>
      </c>
      <c r="F8" s="18" t="n">
        <f aca="false">E8/E$4-1</f>
        <v>0.113819292043078</v>
      </c>
      <c r="G8" s="37" t="n">
        <f aca="false">F190</f>
        <v>263.9224052</v>
      </c>
      <c r="H8" s="17" t="n">
        <f aca="false">F198</f>
        <v>0.175845286272043</v>
      </c>
      <c r="I8" s="20" t="n">
        <f aca="false">F207</f>
        <v>385.580103291241</v>
      </c>
      <c r="J8" s="18" t="n">
        <f aca="false">I8/I$4-1</f>
        <v>0.138849943770742</v>
      </c>
    </row>
    <row r="9" customFormat="false" ht="17.15" hidden="false" customHeight="false" outlineLevel="0" collapsed="false">
      <c r="A9" s="0" t="s">
        <v>776</v>
      </c>
      <c r="B9" s="0" t="s">
        <v>777</v>
      </c>
      <c r="C9" s="37" t="n">
        <f aca="false">E233</f>
        <v>133.5021475</v>
      </c>
      <c r="D9" s="17" t="n">
        <f aca="false">E241</f>
        <v>0.203270612557</v>
      </c>
      <c r="E9" s="20" t="n">
        <f aca="false">E250</f>
        <v>220.580630211501</v>
      </c>
      <c r="F9" s="18" t="n">
        <f aca="false">E9/E$4-1</f>
        <v>0</v>
      </c>
      <c r="G9" s="37" t="n">
        <f aca="false">F233</f>
        <v>356.3224052</v>
      </c>
      <c r="H9" s="17" t="n">
        <f aca="false">F241</f>
        <v>0.16655004016009</v>
      </c>
      <c r="I9" s="20" t="n">
        <f aca="false">F250</f>
        <v>496.386606924096</v>
      </c>
      <c r="J9" s="18" t="n">
        <f aca="false">I9/I$4-1</f>
        <v>0.466128191155804</v>
      </c>
    </row>
    <row r="10" customFormat="false" ht="17.15" hidden="false" customHeight="false" outlineLevel="0" collapsed="false">
      <c r="A10" s="0" t="s">
        <v>778</v>
      </c>
      <c r="B10" s="0" t="s">
        <v>779</v>
      </c>
      <c r="C10" s="37" t="n">
        <f aca="false">E276</f>
        <v>133.5021475</v>
      </c>
      <c r="D10" s="17" t="n">
        <f aca="false">E284</f>
        <v>0.203270612557</v>
      </c>
      <c r="E10" s="20" t="n">
        <f aca="false">E293</f>
        <v>220.580630211501</v>
      </c>
      <c r="F10" s="18" t="n">
        <f aca="false">E10/E$4-1</f>
        <v>0</v>
      </c>
      <c r="G10" s="37" t="n">
        <f aca="false">F276</f>
        <v>131.9224052</v>
      </c>
      <c r="H10" s="17" t="n">
        <f aca="false">F284</f>
        <v>0.211711656209252</v>
      </c>
      <c r="I10" s="20" t="n">
        <f aca="false">F293</f>
        <v>224.247101804619</v>
      </c>
      <c r="J10" s="18" t="n">
        <f aca="false">I10/I$4-1</f>
        <v>-0.337663439837708</v>
      </c>
    </row>
    <row r="11" customFormat="false" ht="17.15" hidden="false" customHeight="false" outlineLevel="0" collapsed="false">
      <c r="A11" s="4" t="s">
        <v>780</v>
      </c>
      <c r="B11" s="4" t="s">
        <v>781</v>
      </c>
      <c r="C11" s="37" t="n">
        <f aca="false">E319</f>
        <v>153.042367136838</v>
      </c>
      <c r="D11" s="17" t="n">
        <f aca="false">E327</f>
        <v>0.187719272696084</v>
      </c>
      <c r="E11" s="20" t="n">
        <f aca="false">E336</f>
        <v>232.266786194466</v>
      </c>
      <c r="F11" s="18" t="n">
        <f aca="false">E11/E$4-1</f>
        <v>0.0529790669822632</v>
      </c>
      <c r="G11" s="37" t="n">
        <f aca="false">F319</f>
        <v>260.626352139219</v>
      </c>
      <c r="H11" s="17" t="n">
        <f aca="false">F327</f>
        <v>0.167667312545005</v>
      </c>
      <c r="I11" s="20" t="n">
        <f aca="false">F336</f>
        <v>360.808112196092</v>
      </c>
      <c r="J11" s="18" t="n">
        <f aca="false">I11/I$4-1</f>
        <v>0.0656833554924792</v>
      </c>
    </row>
    <row r="12" customFormat="false" ht="17.15" hidden="false" customHeight="false" outlineLevel="0" collapsed="false">
      <c r="A12" s="0" t="s">
        <v>782</v>
      </c>
      <c r="B12" s="4" t="s">
        <v>783</v>
      </c>
      <c r="C12" s="37" t="n">
        <f aca="false">E362</f>
        <v>133.5021475</v>
      </c>
      <c r="D12" s="17" t="n">
        <f aca="false">E370</f>
        <v>0.190801150221198</v>
      </c>
      <c r="E12" s="20" t="n">
        <f aca="false">E379</f>
        <v>205.132770334457</v>
      </c>
      <c r="F12" s="18" t="n">
        <f aca="false">E12/E$4-1</f>
        <v>-0.0700327125832962</v>
      </c>
      <c r="G12" s="37" t="n">
        <f aca="false">F362</f>
        <v>224.3224052</v>
      </c>
      <c r="H12" s="17" t="n">
        <f aca="false">F370</f>
        <v>0.163858116906461</v>
      </c>
      <c r="I12" s="20" t="n">
        <f aca="false">F379</f>
        <v>300.444543694523</v>
      </c>
      <c r="J12" s="18" t="n">
        <f aca="false">I12/I$4-1</f>
        <v>-0.112606566645664</v>
      </c>
    </row>
    <row r="13" customFormat="false" ht="17.15" hidden="false" customHeight="false" outlineLevel="0" collapsed="false">
      <c r="A13" s="0" t="s">
        <v>784</v>
      </c>
      <c r="C13" s="37" t="n">
        <f aca="false">E405</f>
        <v>133.5021475</v>
      </c>
      <c r="D13" s="17" t="n">
        <f aca="false">E413</f>
        <v>0.215740074892803</v>
      </c>
      <c r="E13" s="20" t="n">
        <f aca="false">E422</f>
        <v>236.028490088546</v>
      </c>
      <c r="F13" s="18" t="n">
        <f aca="false">E13/E$4-1</f>
        <v>0.0700327125832965</v>
      </c>
      <c r="G13" s="37" t="n">
        <f aca="false">F405</f>
        <v>224.3224052</v>
      </c>
      <c r="H13" s="17" t="n">
        <f aca="false">F413</f>
        <v>0.200488109317045</v>
      </c>
      <c r="I13" s="20" t="n">
        <f aca="false">F422</f>
        <v>376.694890522038</v>
      </c>
      <c r="J13" s="18" t="n">
        <f aca="false">I13/I$4-1</f>
        <v>0.112606566645664</v>
      </c>
    </row>
    <row r="14" customFormat="false" ht="17.15" hidden="false" customHeight="false" outlineLevel="0" collapsed="false">
      <c r="A14" s="4" t="s">
        <v>785</v>
      </c>
      <c r="B14" s="0" t="s">
        <v>786</v>
      </c>
      <c r="C14" s="37" t="n">
        <f aca="false">E448</f>
        <v>128.392985</v>
      </c>
      <c r="D14" s="17" t="n">
        <f aca="false">E456</f>
        <v>0.191486534875718</v>
      </c>
      <c r="E14" s="20" t="n">
        <f aca="false">E465</f>
        <v>197.710257864659</v>
      </c>
      <c r="F14" s="18" t="n">
        <f aca="false">E14/E$4-1</f>
        <v>-0.103682595905691</v>
      </c>
      <c r="G14" s="37" t="n">
        <f aca="false">F448</f>
        <v>215.47333575</v>
      </c>
      <c r="H14" s="17" t="n">
        <f aca="false">F456</f>
        <v>0.169145065133657</v>
      </c>
      <c r="I14" s="20" t="n">
        <f aca="false">F465</f>
        <v>298.560146703417</v>
      </c>
      <c r="J14" s="18" t="n">
        <f aca="false">I14/I$4-1</f>
        <v>-0.118172324289913</v>
      </c>
    </row>
    <row r="15" customFormat="false" ht="17.15" hidden="false" customHeight="false" outlineLevel="0" collapsed="false">
      <c r="A15" s="4" t="s">
        <v>787</v>
      </c>
      <c r="B15" s="0" t="s">
        <v>788</v>
      </c>
      <c r="C15" s="37" t="n">
        <f aca="false">E491</f>
        <v>133.5021475</v>
      </c>
      <c r="D15" s="17" t="n">
        <f aca="false">E499</f>
        <v>0.197989316052013</v>
      </c>
      <c r="E15" s="20" t="n">
        <f aca="false">E508</f>
        <v>214.037867886945</v>
      </c>
      <c r="F15" s="18" t="n">
        <f aca="false">E15/E$4-1</f>
        <v>-0.0296615451605287</v>
      </c>
      <c r="G15" s="37" t="n">
        <f aca="false">F491</f>
        <v>224.3224052</v>
      </c>
      <c r="H15" s="17" t="n">
        <f aca="false">F499</f>
        <v>0.178652857721766</v>
      </c>
      <c r="I15" s="20" t="n">
        <f aca="false">F508</f>
        <v>331.241823304777</v>
      </c>
      <c r="J15" s="18" t="n">
        <f aca="false">I15/I$4-1</f>
        <v>-0.0216436776038049</v>
      </c>
    </row>
    <row r="16" customFormat="false" ht="17.15" hidden="false" customHeight="false" outlineLevel="0" collapsed="false">
      <c r="A16" s="4" t="s">
        <v>789</v>
      </c>
      <c r="B16" s="4" t="s">
        <v>790</v>
      </c>
      <c r="C16" s="37" t="n">
        <f aca="false">E534</f>
        <v>133.5021475</v>
      </c>
      <c r="D16" s="17" t="n">
        <f aca="false">E542</f>
        <v>0.203270612557</v>
      </c>
      <c r="E16" s="20" t="n">
        <f aca="false">E551</f>
        <v>210.208347303875</v>
      </c>
      <c r="F16" s="18" t="n">
        <f aca="false">E16/E$4-1</f>
        <v>-0.0470226370179524</v>
      </c>
      <c r="G16" s="37" t="n">
        <f aca="false">F534</f>
        <v>224.3224052</v>
      </c>
      <c r="H16" s="17" t="n">
        <f aca="false">F542</f>
        <v>0.182173113111753</v>
      </c>
      <c r="I16" s="20" t="n">
        <f aca="false">F551</f>
        <v>314.557413625536</v>
      </c>
      <c r="J16" s="18" t="n">
        <f aca="false">I16/I$4-1</f>
        <v>-0.0709227738612682</v>
      </c>
    </row>
    <row r="17" customFormat="false" ht="17.15" hidden="false" customHeight="false" outlineLevel="0" collapsed="false">
      <c r="A17" s="4" t="s">
        <v>791</v>
      </c>
      <c r="B17" s="4" t="s">
        <v>792</v>
      </c>
      <c r="C17" s="37" t="n">
        <f aca="false">E577</f>
        <v>133.5021475</v>
      </c>
      <c r="D17" s="17" t="n">
        <f aca="false">E585</f>
        <v>0.203270612557</v>
      </c>
      <c r="E17" s="20" t="n">
        <f aca="false">E594</f>
        <v>195.803523611339</v>
      </c>
      <c r="F17" s="18" t="n">
        <f aca="false">E17/E$4-1</f>
        <v>-0.112326755873375</v>
      </c>
      <c r="G17" s="37" t="n">
        <f aca="false">F577</f>
        <v>224.3224052</v>
      </c>
      <c r="H17" s="17" t="n">
        <f aca="false">F585</f>
        <v>0.182173113111753</v>
      </c>
      <c r="I17" s="20" t="n">
        <f aca="false">F594</f>
        <v>267.103180973725</v>
      </c>
      <c r="J17" s="18" t="n">
        <f aca="false">I17/I$4-1</f>
        <v>-0.211083663196313</v>
      </c>
    </row>
    <row r="18" customFormat="false" ht="17.15" hidden="false" customHeight="false" outlineLevel="0" collapsed="false">
      <c r="A18" s="4" t="s">
        <v>793</v>
      </c>
      <c r="B18" s="4" t="s">
        <v>794</v>
      </c>
      <c r="C18" s="37" t="n">
        <f aca="false">E620</f>
        <v>126.6271475</v>
      </c>
      <c r="D18" s="17" t="n">
        <f aca="false">E628</f>
        <v>0.206705780053997</v>
      </c>
      <c r="E18" s="20" t="n">
        <f aca="false">E637</f>
        <v>212.734901721161</v>
      </c>
      <c r="F18" s="18" t="n">
        <f aca="false">E18/E$4-1</f>
        <v>-0.035568528763462</v>
      </c>
      <c r="G18" s="37" t="n">
        <f aca="false">F620</f>
        <v>211.9474052</v>
      </c>
      <c r="H18" s="17" t="n">
        <f aca="false">F628</f>
        <v>0.184635480010113</v>
      </c>
      <c r="I18" s="20" t="n">
        <f aca="false">F637</f>
        <v>323.888023732327</v>
      </c>
      <c r="J18" s="18" t="n">
        <f aca="false">I18/I$4-1</f>
        <v>-0.0433638705237716</v>
      </c>
    </row>
    <row r="19" customFormat="false" ht="17.15" hidden="false" customHeight="false" outlineLevel="0" collapsed="false">
      <c r="A19" s="4" t="s">
        <v>795</v>
      </c>
      <c r="B19" s="4" t="s">
        <v>796</v>
      </c>
      <c r="C19" s="37" t="n">
        <f aca="false">E663</f>
        <v>133.5021475</v>
      </c>
      <c r="D19" s="17" t="n">
        <f aca="false">E671</f>
        <v>0.203270612557</v>
      </c>
      <c r="E19" s="20" t="n">
        <f aca="false">E680</f>
        <v>206.794340823282</v>
      </c>
      <c r="F19" s="18" t="n">
        <f aca="false">E19/E$4-1</f>
        <v>-0.0625</v>
      </c>
      <c r="G19" s="37" t="n">
        <f aca="false">F663</f>
        <v>224.3224052</v>
      </c>
      <c r="H19" s="17" t="n">
        <f aca="false">F671</f>
        <v>0.182173113111753</v>
      </c>
      <c r="I19" s="20" t="n">
        <f aca="false">F680</f>
        <v>317.409109789013</v>
      </c>
      <c r="J19" s="18" t="n">
        <f aca="false">I19/I$4-1</f>
        <v>-0.0625</v>
      </c>
    </row>
    <row r="20" customFormat="false" ht="17.15" hidden="false" customHeight="false" outlineLevel="0" collapsed="false">
      <c r="A20" s="4" t="s">
        <v>797</v>
      </c>
      <c r="B20" s="4" t="s">
        <v>798</v>
      </c>
      <c r="C20" s="37" t="n">
        <f aca="false">E706</f>
        <v>133.5021475</v>
      </c>
      <c r="D20" s="17" t="n">
        <f aca="false">E714</f>
        <v>0.203270612557</v>
      </c>
      <c r="E20" s="20" t="n">
        <f aca="false">E723</f>
        <v>215.012830652285</v>
      </c>
      <c r="F20" s="18" t="n">
        <f aca="false">E20/E$4-1</f>
        <v>-0.0252415615726425</v>
      </c>
      <c r="G20" s="37" t="n">
        <f aca="false">F706</f>
        <v>224.3224052</v>
      </c>
      <c r="H20" s="17" t="n">
        <f aca="false">F714</f>
        <v>0.182173113111753</v>
      </c>
      <c r="I20" s="20" t="n">
        <f aca="false">F723</f>
        <v>333.001917549065</v>
      </c>
      <c r="J20" s="18" t="n">
        <f aca="false">I20/I$4-1</f>
        <v>-0.0164450607300923</v>
      </c>
    </row>
    <row r="21" customFormat="false" ht="17.15" hidden="false" customHeight="false" outlineLevel="0" collapsed="false">
      <c r="A21" s="4" t="s">
        <v>799</v>
      </c>
      <c r="B21" s="4" t="s">
        <v>800</v>
      </c>
      <c r="C21" s="37" t="n">
        <f aca="false">PL!E124</f>
        <v>121.4584825</v>
      </c>
      <c r="D21" s="17" t="n">
        <f aca="false">PL!E132</f>
        <v>0.195263835113369</v>
      </c>
      <c r="E21" s="20" t="n">
        <f aca="false">PL!E141</f>
        <v>190.740846627516</v>
      </c>
      <c r="F21" s="18" t="n">
        <f aca="false">E21/E$4-1</f>
        <v>-0.135278349487777</v>
      </c>
      <c r="G21" s="37" t="n">
        <f aca="false">PL!F124</f>
        <v>126.211406625</v>
      </c>
      <c r="H21" s="17" t="n">
        <f aca="false">PL!F132</f>
        <v>0.195946406242662</v>
      </c>
      <c r="I21" s="20" t="n">
        <f aca="false">PL!F141</f>
        <v>196.617504702225</v>
      </c>
      <c r="J21" s="18" t="n">
        <f aca="false">I21/I$4-1</f>
        <v>-0.419270257300233</v>
      </c>
    </row>
    <row r="22" customFormat="false" ht="17.15" hidden="false" customHeight="false" outlineLevel="0" collapsed="false">
      <c r="A22" s="4" t="s">
        <v>801</v>
      </c>
      <c r="B22" s="4" t="s">
        <v>802</v>
      </c>
      <c r="C22" s="37" t="n">
        <f aca="false">PL!E167</f>
        <v>98.392985</v>
      </c>
      <c r="D22" s="17" t="n">
        <f aca="false">PL!E175</f>
        <v>0.182792785481607</v>
      </c>
      <c r="E22" s="20" t="n">
        <f aca="false">PL!E184</f>
        <v>141.203153488129</v>
      </c>
      <c r="F22" s="18" t="n">
        <f aca="false">E22/E$4-1</f>
        <v>-0.359856967709549</v>
      </c>
      <c r="G22" s="37" t="n">
        <f aca="false">PL!F167</f>
        <v>67.87333575</v>
      </c>
      <c r="H22" s="17" t="n">
        <f aca="false">PL!F175</f>
        <v>0.210248269844318</v>
      </c>
      <c r="I22" s="20" t="n">
        <f aca="false">PL!F184</f>
        <v>103.483109615921</v>
      </c>
      <c r="J22" s="18" t="n">
        <f aca="false">I22/I$4-1</f>
        <v>-0.694352139642705</v>
      </c>
    </row>
    <row r="24" customFormat="false" ht="17.15" hidden="false" customHeight="false" outlineLevel="0" collapsed="false">
      <c r="A24" s="4" t="s">
        <v>803</v>
      </c>
    </row>
    <row r="26" customFormat="false" ht="17.15" hidden="false" customHeight="false" outlineLevel="0" collapsed="false">
      <c r="A26" s="1" t="s">
        <v>804</v>
      </c>
    </row>
    <row r="27" customFormat="false" ht="17.15" hidden="false" customHeight="false" outlineLevel="0" collapsed="false">
      <c r="A27" s="5" t="s">
        <v>757</v>
      </c>
      <c r="B27" s="5" t="s">
        <v>758</v>
      </c>
      <c r="C27" s="14" t="s">
        <v>805</v>
      </c>
      <c r="D27" s="14" t="s">
        <v>806</v>
      </c>
      <c r="E27" s="5" t="s">
        <v>807</v>
      </c>
      <c r="F27" s="5" t="s">
        <v>808</v>
      </c>
    </row>
    <row r="28" customFormat="false" ht="17.15" hidden="false" customHeight="false" outlineLevel="0" collapsed="false">
      <c r="A28" s="4" t="s">
        <v>23</v>
      </c>
      <c r="B28" s="0" t="s">
        <v>809</v>
      </c>
      <c r="C28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3503.24912021027</v>
      </c>
      <c r="D28" s="20" t="n">
        <f aca="false">Val!B35</f>
        <v>8348.47237361892</v>
      </c>
      <c r="E28" s="20" t="n">
        <f aca="false">tp_w_dcf*C28+(1-tp_w_dcf)*D28</f>
        <v>5925.8607469146</v>
      </c>
      <c r="F28" s="18" t="n">
        <f aca="false">E28/E$28-1</f>
        <v>0</v>
      </c>
    </row>
    <row r="29" customFormat="false" ht="17.15" hidden="false" customHeight="false" outlineLevel="0" collapsed="false">
      <c r="A29" s="4" t="s">
        <v>810</v>
      </c>
      <c r="B29" s="0" t="s">
        <v>811</v>
      </c>
      <c r="C29" s="20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3019.42761600816</v>
      </c>
      <c r="D29" s="20" t="n">
        <f aca="false">Val!B35</f>
        <v>8348.47237361892</v>
      </c>
      <c r="E29" s="20" t="n">
        <f aca="false">tp_w_dcf*C29+(1-tp_w_dcf)*D29</f>
        <v>5683.94999481354</v>
      </c>
      <c r="F29" s="18" t="n">
        <f aca="false">E29/E$28-1</f>
        <v>-0.0408228884262947</v>
      </c>
    </row>
    <row r="30" customFormat="false" ht="17.15" hidden="false" customHeight="false" outlineLevel="0" collapsed="false">
      <c r="A30" s="4" t="s">
        <v>812</v>
      </c>
      <c r="B30" s="0" t="s">
        <v>813</v>
      </c>
      <c r="C30" s="20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4180.75209698699</v>
      </c>
      <c r="D30" s="20" t="n">
        <f aca="false">Val!B35</f>
        <v>8348.47237361892</v>
      </c>
      <c r="E30" s="20" t="n">
        <f aca="false">tp_w_dcf*C30+(1-tp_w_dcf)*D30</f>
        <v>6264.61223530296</v>
      </c>
      <c r="F30" s="18" t="n">
        <f aca="false">E30/E$28-1</f>
        <v>0.0571649424203462</v>
      </c>
    </row>
    <row r="31" customFormat="false" ht="17.15" hidden="false" customHeight="false" outlineLevel="0" collapsed="false">
      <c r="A31" s="4" t="s">
        <v>814</v>
      </c>
      <c r="B31" s="0" t="s">
        <v>815</v>
      </c>
      <c r="C31" s="20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3779.73845791406</v>
      </c>
      <c r="D31" s="20" t="n">
        <f aca="false">Val!B35</f>
        <v>8348.47237361892</v>
      </c>
      <c r="E31" s="20" t="n">
        <f aca="false">tp_w_dcf*C31+(1-tp_w_dcf)*D31</f>
        <v>6064.10541576649</v>
      </c>
      <c r="F31" s="18" t="n">
        <f aca="false">E31/E$28-1</f>
        <v>0.0233290444639414</v>
      </c>
    </row>
    <row r="32" customFormat="false" ht="17.15" hidden="false" customHeight="false" outlineLevel="0" collapsed="false">
      <c r="A32" s="4" t="s">
        <v>816</v>
      </c>
      <c r="B32" s="0" t="s">
        <v>817</v>
      </c>
      <c r="C32" s="20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3320.64600748966</v>
      </c>
      <c r="D32" s="20" t="n">
        <f aca="false">Val!B35</f>
        <v>8348.47237361892</v>
      </c>
      <c r="E32" s="20" t="n">
        <f aca="false">tp_w_dcf*C32+(1-tp_w_dcf)*D32</f>
        <v>5834.55919055429</v>
      </c>
      <c r="F32" s="18" t="n">
        <f aca="false">E32/E$28-1</f>
        <v>-0.0154073071001272</v>
      </c>
    </row>
    <row r="33" customFormat="false" ht="17.15" hidden="false" customHeight="false" outlineLevel="0" collapsed="false">
      <c r="A33" s="0" t="s">
        <v>818</v>
      </c>
      <c r="C33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3503.24912021027</v>
      </c>
      <c r="D33" s="20" t="n">
        <f aca="false">Val!B35</f>
        <v>8348.47237361892</v>
      </c>
      <c r="E33" s="20" t="n">
        <f aca="false">0.3*C33+(1-0.3)*D33</f>
        <v>6894.90539759633</v>
      </c>
      <c r="F33" s="18" t="n">
        <f aca="false">E33/E$28-1</f>
        <v>0.16352808344109</v>
      </c>
    </row>
    <row r="34" customFormat="false" ht="17.15" hidden="false" customHeight="false" outlineLevel="0" collapsed="false">
      <c r="A34" s="0" t="s">
        <v>819</v>
      </c>
      <c r="C34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3503.24912021027</v>
      </c>
      <c r="D34" s="20" t="n">
        <f aca="false">Val!B35</f>
        <v>8348.47237361892</v>
      </c>
      <c r="E34" s="20" t="n">
        <f aca="false">0.7*C34+(1-0.7)*D34</f>
        <v>4956.81609623286</v>
      </c>
      <c r="F34" s="18" t="n">
        <f aca="false">E34/E$28-1</f>
        <v>-0.16352808344109</v>
      </c>
    </row>
    <row r="40" customFormat="false" ht="17.15" hidden="false" customHeight="false" outlineLevel="0" collapsed="false">
      <c r="A40" s="1" t="s">
        <v>820</v>
      </c>
    </row>
    <row r="41" customFormat="false" ht="17.15" hidden="false" customHeight="false" outlineLevel="0" collapsed="false">
      <c r="A41" s="5" t="s">
        <v>20</v>
      </c>
      <c r="B41" s="5" t="s">
        <v>21</v>
      </c>
      <c r="C41" s="14" t="s">
        <v>407</v>
      </c>
      <c r="D41" s="14" t="s">
        <v>495</v>
      </c>
      <c r="E41" s="14" t="s">
        <v>496</v>
      </c>
      <c r="F41" s="14" t="s">
        <v>497</v>
      </c>
      <c r="G41" s="14" t="s">
        <v>498</v>
      </c>
      <c r="H41" s="14" t="s">
        <v>499</v>
      </c>
      <c r="I41" s="14" t="s">
        <v>500</v>
      </c>
      <c r="J41" s="14" t="s">
        <v>501</v>
      </c>
      <c r="K41" s="5" t="s">
        <v>465</v>
      </c>
    </row>
    <row r="42" customFormat="false" ht="17.15" hidden="false" customHeight="false" outlineLevel="0" collapsed="false">
      <c r="A42" s="6" t="s">
        <v>516</v>
      </c>
    </row>
    <row r="43" customFormat="false" ht="17.15" hidden="false" customHeight="false" outlineLevel="0" collapsed="false">
      <c r="A43" s="0" t="s">
        <v>517</v>
      </c>
      <c r="B43" s="4" t="s">
        <v>31</v>
      </c>
      <c r="D43" s="22" t="n">
        <f aca="false">u_trn_26</f>
        <v>2</v>
      </c>
      <c r="E43" s="22" t="n">
        <f aca="false">u_trn_27</f>
        <v>2.5</v>
      </c>
      <c r="F43" s="22" t="n">
        <f aca="false">u_trn_28*um28_A</f>
        <v>3</v>
      </c>
      <c r="G43" s="22" t="n">
        <f aca="false">u_trn_28*(1+g29_trn)*um29_A</f>
        <v>3.45</v>
      </c>
    </row>
    <row r="44" customFormat="false" ht="17.15" hidden="false" customHeight="false" outlineLevel="0" collapsed="false">
      <c r="A44" s="4" t="s">
        <v>469</v>
      </c>
      <c r="B44" s="0" t="s">
        <v>44</v>
      </c>
      <c r="D44" s="18" t="n">
        <f aca="false">al_trn_26</f>
        <v>0.3</v>
      </c>
      <c r="E44" s="18" t="n">
        <f aca="false">MIN(1,MAX(0,al27_A+(-0.1)))</f>
        <v>0.45</v>
      </c>
      <c r="F44" s="18" t="n">
        <f aca="false">MIN(1,MAX(0,al28_A+(-0.1)))</f>
        <v>0.45</v>
      </c>
      <c r="G44" s="18" t="n">
        <f aca="false">MIN(1,MAX(0,al28_A+(-0.1)))</f>
        <v>0.45</v>
      </c>
    </row>
    <row r="45" customFormat="false" ht="17.15" hidden="false" customHeight="false" outlineLevel="0" collapsed="false">
      <c r="A45" s="4" t="s">
        <v>471</v>
      </c>
      <c r="B45" s="4" t="s">
        <v>31</v>
      </c>
      <c r="D45" s="22" t="n">
        <f aca="false">D43*D44</f>
        <v>0.6</v>
      </c>
      <c r="E45" s="22" t="n">
        <f aca="false">E43*E44*1</f>
        <v>1.125</v>
      </c>
      <c r="F45" s="22" t="n">
        <f aca="false">F43*F44*1</f>
        <v>1.35</v>
      </c>
      <c r="G45" s="22" t="n">
        <f aca="false">G43*G44*1</f>
        <v>1.5525</v>
      </c>
    </row>
    <row r="46" customFormat="false" ht="17.15" hidden="false" customHeight="false" outlineLevel="0" collapsed="false">
      <c r="A46" s="4" t="s">
        <v>518</v>
      </c>
      <c r="B46" s="0" t="s">
        <v>69</v>
      </c>
      <c r="D46" s="30" t="n">
        <f aca="false">gb_trn_26</f>
        <v>110</v>
      </c>
      <c r="E46" s="30" t="n">
        <f aca="false">gb_trn_27</f>
        <v>144</v>
      </c>
      <c r="F46" s="30" t="n">
        <f aca="false">gb_trn_28</f>
        <v>200</v>
      </c>
      <c r="G46" s="30" t="n">
        <f aca="false">gb_trn_28</f>
        <v>200</v>
      </c>
    </row>
    <row r="47" customFormat="false" ht="17.15" hidden="false" customHeight="false" outlineLevel="0" collapsed="false">
      <c r="A47" s="0" t="s">
        <v>519</v>
      </c>
      <c r="B47" s="0" t="s">
        <v>156</v>
      </c>
      <c r="D47" s="20" t="n">
        <f aca="false">hbm_A_26</f>
        <v>14.6</v>
      </c>
      <c r="E47" s="20" t="n">
        <f aca="false">hbm_A_27</f>
        <v>26.28</v>
      </c>
      <c r="F47" s="20" t="n">
        <f aca="false">hbm_A_28</f>
        <v>28.908</v>
      </c>
      <c r="G47" s="20" t="n">
        <f aca="false">hbm_A_29</f>
        <v>27.4626</v>
      </c>
    </row>
    <row r="48" customFormat="false" ht="17.15" hidden="false" customHeight="false" outlineLevel="0" collapsed="false">
      <c r="A48" s="4" t="s">
        <v>520</v>
      </c>
      <c r="B48" s="0" t="s">
        <v>80</v>
      </c>
      <c r="D48" s="20" t="n">
        <f aca="false">core_trn</f>
        <v>6.394</v>
      </c>
      <c r="E48" s="20" t="n">
        <f aca="false">core_trn</f>
        <v>6.394</v>
      </c>
      <c r="F48" s="20" t="n">
        <f aca="false">core_trn*pfc_A</f>
        <v>9.591</v>
      </c>
      <c r="G48" s="20" t="n">
        <f aca="false">core_trn*pfc_A</f>
        <v>9.591</v>
      </c>
    </row>
    <row r="49" customFormat="false" ht="17.15" hidden="false" customHeight="false" outlineLevel="0" collapsed="false">
      <c r="A49" s="4" t="s">
        <v>521</v>
      </c>
      <c r="B49" s="0" t="s">
        <v>80</v>
      </c>
      <c r="D49" s="20" t="n">
        <f aca="false">D46*D47/1000</f>
        <v>1.606</v>
      </c>
      <c r="E49" s="20" t="n">
        <f aca="false">E46*E47/1000</f>
        <v>3.78432</v>
      </c>
      <c r="F49" s="20" t="n">
        <f aca="false">F46*F47/1000</f>
        <v>5.7816</v>
      </c>
      <c r="G49" s="20" t="n">
        <f aca="false">G46*G47/1000</f>
        <v>5.49252</v>
      </c>
    </row>
    <row r="50" customFormat="false" ht="17.15" hidden="false" customHeight="false" outlineLevel="0" collapsed="false">
      <c r="A50" s="4" t="s">
        <v>522</v>
      </c>
      <c r="B50" s="0" t="s">
        <v>80</v>
      </c>
      <c r="D50" s="20" t="n">
        <f aca="false">D48+f_al*D49</f>
        <v>6.394</v>
      </c>
      <c r="E50" s="20" t="n">
        <f aca="false">E48+f_al*E49</f>
        <v>6.394</v>
      </c>
      <c r="F50" s="20" t="n">
        <f aca="false">F48+f_al*F49</f>
        <v>9.591</v>
      </c>
      <c r="G50" s="20" t="n">
        <f aca="false">G48+f_al*G49</f>
        <v>9.591</v>
      </c>
      <c r="K50" s="4" t="s">
        <v>523</v>
      </c>
    </row>
    <row r="51" customFormat="false" ht="17.15" hidden="false" customHeight="false" outlineLevel="0" collapsed="false">
      <c r="A51" s="0" t="s">
        <v>524</v>
      </c>
      <c r="B51" s="0" t="s">
        <v>213</v>
      </c>
      <c r="D51" s="20" t="n">
        <f aca="false">D45*D50</f>
        <v>3.8364</v>
      </c>
      <c r="E51" s="20" t="n">
        <f aca="false">E45*E50</f>
        <v>7.19325</v>
      </c>
      <c r="F51" s="20" t="n">
        <f aca="false">F45*F50</f>
        <v>12.94785</v>
      </c>
      <c r="G51" s="20" t="n">
        <f aca="false">G45*G50</f>
        <v>14.8900275</v>
      </c>
    </row>
    <row r="52" customFormat="false" ht="17.15" hidden="false" customHeight="false" outlineLevel="0" collapsed="false">
      <c r="A52" s="4" t="s">
        <v>525</v>
      </c>
      <c r="B52" s="0" t="s">
        <v>49</v>
      </c>
      <c r="D52" s="22" t="n">
        <f aca="false">dc26/D51</f>
        <v>0.390991554582421</v>
      </c>
      <c r="K52" s="8" t="s">
        <v>526</v>
      </c>
    </row>
    <row r="53" customFormat="false" ht="17.15" hidden="false" customHeight="false" outlineLevel="0" collapsed="false">
      <c r="A53" s="0" t="s">
        <v>527</v>
      </c>
      <c r="B53" s="0" t="s">
        <v>213</v>
      </c>
      <c r="D53" s="20" t="n">
        <f aca="false">D51*$D$52</f>
        <v>1.5</v>
      </c>
      <c r="E53" s="20" t="n">
        <f aca="false">E51*$D$52</f>
        <v>2.8125</v>
      </c>
      <c r="F53" s="20" t="n">
        <f aca="false">F51*$D$52</f>
        <v>5.0625</v>
      </c>
      <c r="G53" s="20" t="n">
        <f aca="false">G51*$D$52</f>
        <v>5.821875</v>
      </c>
    </row>
    <row r="54" customFormat="false" ht="15" hidden="false" customHeight="false" outlineLevel="0" collapsed="false">
      <c r="A54" s="4" t="s">
        <v>528</v>
      </c>
      <c r="B54" s="0" t="s">
        <v>224</v>
      </c>
      <c r="D54" s="20" t="n">
        <f aca="false">fx26</f>
        <v>31.6</v>
      </c>
      <c r="E54" s="20" t="n">
        <f aca="false">fx</f>
        <v>32</v>
      </c>
      <c r="F54" s="20" t="n">
        <f aca="false">fx</f>
        <v>32</v>
      </c>
      <c r="G54" s="20" t="n">
        <f aca="false">fx</f>
        <v>32</v>
      </c>
    </row>
    <row r="55" customFormat="false" ht="17.15" hidden="false" customHeight="false" outlineLevel="0" collapsed="false">
      <c r="A55" s="0" t="s">
        <v>529</v>
      </c>
      <c r="B55" s="0" t="s">
        <v>219</v>
      </c>
      <c r="C55" s="20" t="n">
        <f aca="false">a25_trn</f>
        <v>0</v>
      </c>
      <c r="D55" s="20" t="n">
        <f aca="false">D53*D54</f>
        <v>47.4</v>
      </c>
      <c r="E55" s="20" t="n">
        <f aca="false">E53*E54</f>
        <v>90</v>
      </c>
      <c r="F55" s="20" t="n">
        <f aca="false">F53*F54</f>
        <v>162</v>
      </c>
      <c r="G55" s="20" t="n">
        <f aca="false">G53*G54</f>
        <v>186.3</v>
      </c>
    </row>
    <row r="56" customFormat="false" ht="17.15" hidden="false" customHeight="false" outlineLevel="0" collapsed="false">
      <c r="A56" s="4" t="s">
        <v>530</v>
      </c>
      <c r="B56" s="0" t="s">
        <v>219</v>
      </c>
      <c r="D56" s="20" t="n">
        <f aca="false">$D$52*f_al*D45*D49*D54</f>
        <v>0</v>
      </c>
      <c r="E56" s="20" t="n">
        <f aca="false">$D$52*f_al*E45*E49*E54</f>
        <v>0</v>
      </c>
      <c r="F56" s="20" t="n">
        <f aca="false">$D$52*f_al*F45*F49*F54</f>
        <v>0</v>
      </c>
      <c r="G56" s="20" t="n">
        <f aca="false">$D$52*f_al*G45*G49*G54</f>
        <v>0</v>
      </c>
    </row>
    <row r="57" customFormat="false" ht="15" hidden="false" customHeight="false" outlineLevel="0" collapsed="false">
      <c r="A57" s="4" t="s">
        <v>531</v>
      </c>
      <c r="B57" s="0" t="s">
        <v>219</v>
      </c>
      <c r="D57" s="20" t="n">
        <f aca="false">D55-D56</f>
        <v>47.4</v>
      </c>
      <c r="E57" s="20" t="n">
        <f aca="false">E55-E56</f>
        <v>90</v>
      </c>
      <c r="F57" s="20" t="n">
        <f aca="false">F55-F56</f>
        <v>162</v>
      </c>
      <c r="G57" s="20" t="n">
        <f aca="false">G55-G56</f>
        <v>186.3</v>
      </c>
    </row>
    <row r="58" customFormat="false" ht="15" hidden="false" customHeight="false" outlineLevel="0" collapsed="false">
      <c r="A58" s="4" t="s">
        <v>475</v>
      </c>
      <c r="B58" s="0" t="s">
        <v>80</v>
      </c>
      <c r="D58" s="20" t="n">
        <f aca="false">IF(D45&gt;0,D53/D45,0)</f>
        <v>2.5</v>
      </c>
      <c r="E58" s="20" t="n">
        <f aca="false">IF(E45&gt;0,E53/E45,0)</f>
        <v>2.5</v>
      </c>
      <c r="F58" s="20" t="n">
        <f aca="false">IF(F45&gt;0,F53/F45,0)</f>
        <v>3.75</v>
      </c>
      <c r="G58" s="20" t="n">
        <f aca="false">IF(G45&gt;0,G53/G45,0)</f>
        <v>3.75</v>
      </c>
    </row>
    <row r="59" customFormat="false" ht="17.15" hidden="false" customHeight="false" outlineLevel="0" collapsed="false">
      <c r="A59" s="6" t="s">
        <v>532</v>
      </c>
    </row>
    <row r="60" customFormat="false" ht="17.15" hidden="false" customHeight="false" outlineLevel="0" collapsed="false">
      <c r="A60" s="4" t="s">
        <v>533</v>
      </c>
      <c r="B60" s="0" t="s">
        <v>219</v>
      </c>
      <c r="C60" s="20" t="n">
        <f aca="false">a25_oth</f>
        <v>30.926</v>
      </c>
      <c r="D60" s="20" t="n">
        <f aca="false">a26_oth</f>
        <v>20.43665</v>
      </c>
      <c r="E60" s="20" t="n">
        <f aca="false">D60*(1+g_o27_A)</f>
        <v>23.5021475</v>
      </c>
      <c r="F60" s="20" t="n">
        <f aca="false">E60*(1+g_oL_A)</f>
        <v>26.3224052</v>
      </c>
      <c r="G60" s="20" t="n">
        <f aca="false">F60*(1+g_oL_A)</f>
        <v>29.481093824</v>
      </c>
    </row>
    <row r="61" customFormat="false" ht="17.15" hidden="false" customHeight="false" outlineLevel="0" collapsed="false">
      <c r="A61" s="4" t="s">
        <v>413</v>
      </c>
      <c r="B61" s="0" t="s">
        <v>219</v>
      </c>
      <c r="C61" s="20" t="n">
        <f aca="false">C60+C55</f>
        <v>30.926</v>
      </c>
      <c r="D61" s="20" t="n">
        <f aca="false">D60+D55</f>
        <v>67.83665</v>
      </c>
      <c r="E61" s="20" t="n">
        <f aca="false">E60+E55</f>
        <v>113.5021475</v>
      </c>
      <c r="F61" s="20" t="n">
        <f aca="false">F60+F55</f>
        <v>188.3224052</v>
      </c>
      <c r="G61" s="20" t="n">
        <f aca="false">G60+G55</f>
        <v>215.781093824</v>
      </c>
      <c r="H61" s="28" t="n">
        <f aca="false">G61*(1+H62)</f>
        <v>241.071617261686</v>
      </c>
      <c r="I61" s="28" t="n">
        <f aca="false">H61*(1+I62)</f>
        <v>262.431109557603</v>
      </c>
      <c r="J61" s="28" t="n">
        <f aca="false">I61*(1+J62)</f>
        <v>278.176976131059</v>
      </c>
      <c r="K61" s="8" t="s">
        <v>534</v>
      </c>
    </row>
    <row r="62" customFormat="false" ht="15" hidden="false" customHeight="false" outlineLevel="0" collapsed="false">
      <c r="A62" s="4" t="s">
        <v>535</v>
      </c>
      <c r="B62" s="0" t="s">
        <v>44</v>
      </c>
      <c r="D62" s="18" t="n">
        <f aca="false">D61/C61-1</f>
        <v>1.19351516523314</v>
      </c>
      <c r="E62" s="18" t="n">
        <f aca="false">E61/D61-1</f>
        <v>0.673168523209799</v>
      </c>
      <c r="F62" s="18" t="n">
        <f aca="false">F61/E61-1</f>
        <v>0.659196846473764</v>
      </c>
      <c r="G62" s="18" t="n">
        <f aca="false">G61/F61-1</f>
        <v>0.145806807187061</v>
      </c>
      <c r="H62" s="26" t="n">
        <f aca="false">$G62+(fade_gA-$G62)*1/3</f>
        <v>0.117204538124708</v>
      </c>
      <c r="I62" s="26" t="n">
        <f aca="false">$G62+(fade_gA-$G62)*2/3</f>
        <v>0.0886022690623538</v>
      </c>
      <c r="J62" s="26" t="n">
        <f aca="false">$G62+(fade_gA-$G62)*3/3</f>
        <v>0.06</v>
      </c>
    </row>
    <row r="63" customFormat="false" ht="17.15" hidden="false" customHeight="false" outlineLevel="0" collapsed="false">
      <c r="A63" s="0" t="s">
        <v>536</v>
      </c>
      <c r="B63" s="0" t="s">
        <v>44</v>
      </c>
      <c r="C63" s="18" t="n">
        <f aca="false">C55/C61</f>
        <v>0</v>
      </c>
      <c r="D63" s="18" t="n">
        <f aca="false">D55/D61</f>
        <v>0.698737334464482</v>
      </c>
      <c r="E63" s="18" t="n">
        <f aca="false">E55/E61</f>
        <v>0.792936538932006</v>
      </c>
      <c r="F63" s="18" t="n">
        <f aca="false">F55/F61</f>
        <v>0.860226906235371</v>
      </c>
      <c r="G63" s="18" t="n">
        <f aca="false">G55/G61</f>
        <v>0.863374991286095</v>
      </c>
    </row>
    <row r="64" customFormat="false" ht="17.15" hidden="false" customHeight="false" outlineLevel="0" collapsed="false">
      <c r="A64" s="4" t="s">
        <v>537</v>
      </c>
      <c r="B64" s="0" t="s">
        <v>44</v>
      </c>
      <c r="C64" s="18" t="n">
        <f aca="false">C60/C61</f>
        <v>1</v>
      </c>
      <c r="D64" s="18" t="n">
        <f aca="false">D60/D61</f>
        <v>0.301262665535518</v>
      </c>
      <c r="E64" s="18" t="n">
        <f aca="false">E60/E61</f>
        <v>0.207063461067994</v>
      </c>
      <c r="F64" s="18" t="n">
        <f aca="false">F60/F61</f>
        <v>0.139773093764629</v>
      </c>
      <c r="G64" s="18" t="n">
        <f aca="false">G60/G61</f>
        <v>0.136625008713905</v>
      </c>
    </row>
    <row r="65" customFormat="false" ht="17.15" hidden="false" customHeight="false" outlineLevel="0" collapsed="false">
      <c r="A65" s="6" t="s">
        <v>538</v>
      </c>
    </row>
    <row r="66" customFormat="false" ht="17.15" hidden="false" customHeight="false" outlineLevel="0" collapsed="false">
      <c r="A66" s="0" t="s">
        <v>539</v>
      </c>
      <c r="B66" s="0" t="s">
        <v>219</v>
      </c>
      <c r="D66" s="20" t="n">
        <f aca="false">m_trn*D57+m_hbm*D56</f>
        <v>6.162</v>
      </c>
      <c r="E66" s="20" t="n">
        <f aca="false">(m_trn+gta_A)*E57+m_hbm*E56</f>
        <v>12.6</v>
      </c>
      <c r="F66" s="20" t="n">
        <f aca="false">(m_trn+gta_A)*F57+m_hbm*F56</f>
        <v>22.68</v>
      </c>
      <c r="G66" s="20" t="n">
        <f aca="false">(m_trn+gta_A)*G57+m_hbm*G56</f>
        <v>26.082</v>
      </c>
    </row>
    <row r="67" customFormat="false" ht="17.15" hidden="false" customHeight="false" outlineLevel="0" collapsed="false">
      <c r="A67" s="4" t="s">
        <v>540</v>
      </c>
      <c r="B67" s="0" t="s">
        <v>44</v>
      </c>
      <c r="C67" s="17" t="n">
        <f aca="false">a25_gp/C60</f>
        <v>0.263661643924206</v>
      </c>
      <c r="D67" s="17" t="n">
        <f aca="false">(a26_gp-D66)/D60</f>
        <v>0.499403865114879</v>
      </c>
      <c r="E67" s="17" t="n">
        <f aca="false">$D67+0</f>
        <v>0.499403865114879</v>
      </c>
      <c r="F67" s="17" t="n">
        <f aca="false">$D67+0</f>
        <v>0.499403865114879</v>
      </c>
      <c r="G67" s="17" t="n">
        <f aca="false">$D67+0</f>
        <v>0.499403865114879</v>
      </c>
      <c r="K67" s="8" t="s">
        <v>541</v>
      </c>
    </row>
    <row r="68" customFormat="false" ht="15" hidden="false" customHeight="false" outlineLevel="0" collapsed="false">
      <c r="A68" s="4" t="s">
        <v>422</v>
      </c>
      <c r="B68" s="0" t="s">
        <v>219</v>
      </c>
      <c r="C68" s="20" t="n">
        <f aca="false">a25_gp</f>
        <v>8.154</v>
      </c>
      <c r="D68" s="20" t="n">
        <f aca="false">a26_gp</f>
        <v>16.368142</v>
      </c>
      <c r="E68" s="20" t="n">
        <f aca="false">E67*E60+E66</f>
        <v>24.3370633</v>
      </c>
      <c r="F68" s="20" t="n">
        <f aca="false">F67*F60+F66</f>
        <v>35.825510896</v>
      </c>
      <c r="G68" s="20" t="n">
        <f aca="false">G67*G60+G66</f>
        <v>40.80497220352</v>
      </c>
    </row>
    <row r="69" customFormat="false" ht="15" hidden="false" customHeight="false" outlineLevel="0" collapsed="false">
      <c r="A69" s="4" t="s">
        <v>425</v>
      </c>
      <c r="B69" s="0" t="s">
        <v>44</v>
      </c>
      <c r="C69" s="17" t="n">
        <f aca="false">C68/C61</f>
        <v>0.263661643924206</v>
      </c>
      <c r="D69" s="17" t="n">
        <f aca="false">D68/D61</f>
        <v>0.241287593063632</v>
      </c>
      <c r="E69" s="17" t="n">
        <f aca="false">E68/E61</f>
        <v>0.214419408231901</v>
      </c>
      <c r="F69" s="17" t="n">
        <f aca="false">F68/F61</f>
        <v>0.190234990138072</v>
      </c>
      <c r="G69" s="17" t="n">
        <f aca="false">G68/G61</f>
        <v>0.189103556203132</v>
      </c>
    </row>
    <row r="70" customFormat="false" ht="15" hidden="false" customHeight="false" outlineLevel="0" collapsed="false">
      <c r="A70" s="4" t="s">
        <v>429</v>
      </c>
      <c r="B70" s="0" t="s">
        <v>219</v>
      </c>
      <c r="C70" s="20" t="n">
        <f aca="false">a25_opx</f>
        <v>3.138</v>
      </c>
      <c r="D70" s="20" t="n">
        <f aca="false">a26_opx</f>
        <v>3.849</v>
      </c>
      <c r="E70" s="20" t="n">
        <f aca="false">D70*(1+MAX(g_opx_min,phi*E62))+0*E61</f>
        <v>4.62630769375036</v>
      </c>
      <c r="F70" s="20" t="n">
        <f aca="false">E70*(1+MAX(g_opx_min,phi*F62))+0*F61</f>
        <v>5.54120192651162</v>
      </c>
      <c r="G70" s="20" t="n">
        <f aca="false">F70*(1+MAX(g_opx_min,phi*G62))+0*G61</f>
        <v>5.98449808063255</v>
      </c>
    </row>
    <row r="71" customFormat="false" ht="15" hidden="false" customHeight="false" outlineLevel="0" collapsed="false">
      <c r="A71" s="4" t="s">
        <v>432</v>
      </c>
      <c r="B71" s="0" t="s">
        <v>219</v>
      </c>
      <c r="C71" s="20" t="n">
        <f aca="false">C68-C70</f>
        <v>5.016</v>
      </c>
      <c r="D71" s="20" t="n">
        <f aca="false">D68-D70</f>
        <v>12.519142</v>
      </c>
      <c r="E71" s="20" t="n">
        <f aca="false">E68-E70</f>
        <v>19.7107556062496</v>
      </c>
      <c r="F71" s="20" t="n">
        <f aca="false">F68-F70</f>
        <v>30.2843089694884</v>
      </c>
      <c r="G71" s="20" t="n">
        <f aca="false">G68-G70</f>
        <v>34.8204741228875</v>
      </c>
    </row>
    <row r="72" customFormat="false" ht="15" hidden="false" customHeight="false" outlineLevel="0" collapsed="false">
      <c r="A72" s="4" t="s">
        <v>505</v>
      </c>
      <c r="B72" s="0" t="s">
        <v>44</v>
      </c>
      <c r="C72" s="17" t="n">
        <f aca="false">C71/C61</f>
        <v>0.162193623488327</v>
      </c>
      <c r="D72" s="17" t="n">
        <f aca="false">D71/D61</f>
        <v>0.184548352549838</v>
      </c>
      <c r="E72" s="17" t="n">
        <f aca="false">E71/E61</f>
        <v>0.173659759223936</v>
      </c>
      <c r="F72" s="17" t="n">
        <f aca="false">F71/F61</f>
        <v>0.160810971680859</v>
      </c>
      <c r="G72" s="17" t="n">
        <f aca="false">G71/G61</f>
        <v>0.161369439304485</v>
      </c>
    </row>
    <row r="73" customFormat="false" ht="15" hidden="false" customHeight="false" outlineLevel="0" collapsed="false">
      <c r="A73" s="4" t="s">
        <v>435</v>
      </c>
      <c r="B73" s="0" t="s">
        <v>219</v>
      </c>
      <c r="C73" s="20" t="n">
        <f aca="false">a25_nonop</f>
        <v>1.7042198</v>
      </c>
      <c r="D73" s="20" t="n">
        <f aca="false">a26_nonop</f>
        <v>1.605</v>
      </c>
      <c r="E73" s="20" t="n">
        <f aca="false">nonop_f</f>
        <v>1.6</v>
      </c>
      <c r="F73" s="20" t="n">
        <f aca="false">nonop_f</f>
        <v>1.6</v>
      </c>
      <c r="G73" s="20" t="n">
        <f aca="false">nonop_f</f>
        <v>1.6</v>
      </c>
    </row>
    <row r="74" customFormat="false" ht="15" hidden="false" customHeight="false" outlineLevel="0" collapsed="false">
      <c r="A74" s="4" t="s">
        <v>437</v>
      </c>
      <c r="B74" s="0" t="s">
        <v>219</v>
      </c>
      <c r="C74" s="20" t="n">
        <f aca="false">C71+C73</f>
        <v>6.7202198</v>
      </c>
      <c r="D74" s="20" t="n">
        <f aca="false">D71+D73</f>
        <v>14.124142</v>
      </c>
      <c r="E74" s="20" t="n">
        <f aca="false">E71+E73</f>
        <v>21.3107556062496</v>
      </c>
      <c r="F74" s="20" t="n">
        <f aca="false">F71+F73</f>
        <v>31.8843089694884</v>
      </c>
      <c r="G74" s="20" t="n">
        <f aca="false">G71+G73</f>
        <v>36.4204741228875</v>
      </c>
    </row>
    <row r="75" customFormat="false" ht="15" hidden="false" customHeight="false" outlineLevel="0" collapsed="false">
      <c r="A75" s="4" t="s">
        <v>439</v>
      </c>
      <c r="B75" s="0" t="s">
        <v>219</v>
      </c>
      <c r="C75" s="20" t="n">
        <f aca="false">a25_tax</f>
        <v>1.1222198</v>
      </c>
      <c r="D75" s="20" t="n">
        <f aca="false">a26_tax</f>
        <v>2.8140284</v>
      </c>
      <c r="E75" s="20" t="n">
        <f aca="false">E74*tax</f>
        <v>4.26215112124993</v>
      </c>
      <c r="F75" s="20" t="n">
        <f aca="false">F74*tax</f>
        <v>6.37686179389768</v>
      </c>
      <c r="G75" s="20" t="n">
        <f aca="false">G74*tax</f>
        <v>7.28409482457749</v>
      </c>
    </row>
    <row r="76" customFormat="false" ht="15" hidden="false" customHeight="false" outlineLevel="0" collapsed="false">
      <c r="A76" s="4" t="s">
        <v>442</v>
      </c>
      <c r="B76" s="0" t="s">
        <v>219</v>
      </c>
      <c r="C76" s="20" t="n">
        <f aca="false">C74-C75</f>
        <v>5.598</v>
      </c>
      <c r="D76" s="20" t="n">
        <f aca="false">D74-D75</f>
        <v>11.3101136</v>
      </c>
      <c r="E76" s="20" t="n">
        <f aca="false">E74-E75</f>
        <v>17.0486044849997</v>
      </c>
      <c r="F76" s="20" t="n">
        <f aca="false">F74-F75</f>
        <v>25.5074471755907</v>
      </c>
      <c r="G76" s="20" t="n">
        <f aca="false">G74-G75</f>
        <v>29.13637929831</v>
      </c>
      <c r="H76" s="28" t="n">
        <f aca="false">H61*H80</f>
        <v>32.1348573796817</v>
      </c>
      <c r="I76" s="28" t="n">
        <f aca="false">I61*I80</f>
        <v>34.5287435288738</v>
      </c>
      <c r="J76" s="28" t="n">
        <f aca="false">J61*J80</f>
        <v>36.1199329021248</v>
      </c>
    </row>
    <row r="77" customFormat="false" ht="17.15" hidden="false" customHeight="false" outlineLevel="0" collapsed="false">
      <c r="A77" s="4" t="s">
        <v>542</v>
      </c>
      <c r="B77" s="4" t="s">
        <v>272</v>
      </c>
      <c r="C77" s="19" t="n">
        <f aca="false">a25_sh</f>
        <v>0.0809193408499566</v>
      </c>
      <c r="D77" s="19" t="n">
        <f aca="false">a26_sh</f>
        <v>0.0838996682946683</v>
      </c>
      <c r="E77" s="19" t="n">
        <f aca="false">q_sh*(1+sh_g)</f>
        <v>0.08621</v>
      </c>
      <c r="F77" s="19" t="n">
        <f aca="false">E77*(1+sh_g)</f>
        <v>0.08621</v>
      </c>
      <c r="G77" s="19" t="n">
        <f aca="false">F77*(1+sh_g)</f>
        <v>0.08621</v>
      </c>
      <c r="H77" s="31" t="n">
        <f aca="false">G77*(1+sh_g)</f>
        <v>0.08621</v>
      </c>
      <c r="I77" s="31" t="n">
        <f aca="false">H77*(1+sh_g)</f>
        <v>0.08621</v>
      </c>
      <c r="J77" s="31" t="n">
        <f aca="false">I77*(1+sh_g)</f>
        <v>0.08621</v>
      </c>
      <c r="K77" s="8" t="s">
        <v>543</v>
      </c>
    </row>
    <row r="78" customFormat="false" ht="17.15" hidden="false" customHeight="false" outlineLevel="0" collapsed="false">
      <c r="A78" s="0" t="s">
        <v>446</v>
      </c>
      <c r="B78" s="0" t="s">
        <v>312</v>
      </c>
      <c r="C78" s="20" t="n">
        <f aca="false">C76/C77</f>
        <v>69.18</v>
      </c>
      <c r="D78" s="20" t="n">
        <f aca="false">D76/D77</f>
        <v>134.805224262356</v>
      </c>
      <c r="E78" s="20" t="n">
        <f aca="false">E76/E77</f>
        <v>197.756692785056</v>
      </c>
      <c r="F78" s="20" t="n">
        <f aca="false">F76/F77</f>
        <v>295.875735710367</v>
      </c>
      <c r="G78" s="20" t="n">
        <f aca="false">G76/G77</f>
        <v>337.96983294641</v>
      </c>
      <c r="H78" s="28" t="n">
        <f aca="false">H76/H77</f>
        <v>372.750926570951</v>
      </c>
      <c r="I78" s="28" t="n">
        <f aca="false">I76/I77</f>
        <v>400.519006250711</v>
      </c>
      <c r="J78" s="28" t="n">
        <f aca="false">J76/J77</f>
        <v>418.976138523661</v>
      </c>
    </row>
    <row r="79" customFormat="false" ht="17.15" hidden="false" customHeight="false" outlineLevel="0" collapsed="false">
      <c r="A79" s="0" t="s">
        <v>544</v>
      </c>
      <c r="B79" s="0" t="s">
        <v>44</v>
      </c>
      <c r="D79" s="18" t="n">
        <f aca="false">D78/C78-1</f>
        <v>0.948615557420577</v>
      </c>
      <c r="E79" s="18" t="n">
        <f aca="false">E78/D78-1</f>
        <v>0.466980926497224</v>
      </c>
      <c r="F79" s="18" t="n">
        <f aca="false">F78/E78-1</f>
        <v>0.49616041582955</v>
      </c>
      <c r="G79" s="18" t="n">
        <f aca="false">G78/F78-1</f>
        <v>0.142269514378999</v>
      </c>
      <c r="H79" s="26" t="n">
        <f aca="false">H78/G78-1</f>
        <v>0.102911828908874</v>
      </c>
      <c r="I79" s="26" t="n">
        <f aca="false">I78/H78-1</f>
        <v>0.074494998403376</v>
      </c>
      <c r="J79" s="26" t="n">
        <f aca="false">J78/I78-1</f>
        <v>0.0460830372214516</v>
      </c>
    </row>
    <row r="80" customFormat="false" ht="17.15" hidden="false" customHeight="false" outlineLevel="0" collapsed="false">
      <c r="A80" s="4" t="s">
        <v>545</v>
      </c>
      <c r="B80" s="0" t="s">
        <v>44</v>
      </c>
      <c r="C80" s="17" t="n">
        <f aca="false">C76/C61</f>
        <v>0.181012740089245</v>
      </c>
      <c r="D80" s="17" t="n">
        <f aca="false">D76/D61</f>
        <v>0.166725709480052</v>
      </c>
      <c r="E80" s="17" t="n">
        <f aca="false">E76/E61</f>
        <v>0.150205127043959</v>
      </c>
      <c r="F80" s="17" t="n">
        <f aca="false">F76/F61</f>
        <v>0.135445631912473</v>
      </c>
      <c r="G80" s="17" t="n">
        <f aca="false">G76/G61</f>
        <v>0.135027489118555</v>
      </c>
      <c r="H80" s="27" t="n">
        <f aca="false">$G80+(fade_mA-$G80)*1/3</f>
        <v>0.133300044794568</v>
      </c>
      <c r="I80" s="27" t="n">
        <f aca="false">$G80+(fade_mA-$G80)*2/3</f>
        <v>0.131572600470581</v>
      </c>
      <c r="J80" s="27" t="n">
        <f aca="false">$G80+(fade_mA-$G80)*3/3</f>
        <v>0.129845156146594</v>
      </c>
    </row>
    <row r="83" customFormat="false" ht="17.15" hidden="false" customHeight="false" outlineLevel="0" collapsed="false">
      <c r="A83" s="1" t="s">
        <v>821</v>
      </c>
    </row>
    <row r="84" customFormat="false" ht="17.15" hidden="false" customHeight="false" outlineLevel="0" collapsed="false">
      <c r="A84" s="5" t="s">
        <v>20</v>
      </c>
      <c r="B84" s="5" t="s">
        <v>21</v>
      </c>
      <c r="C84" s="14" t="s">
        <v>407</v>
      </c>
      <c r="D84" s="14" t="s">
        <v>495</v>
      </c>
      <c r="E84" s="14" t="s">
        <v>496</v>
      </c>
      <c r="F84" s="14" t="s">
        <v>497</v>
      </c>
      <c r="G84" s="14" t="s">
        <v>498</v>
      </c>
      <c r="H84" s="14" t="s">
        <v>499</v>
      </c>
      <c r="I84" s="14" t="s">
        <v>500</v>
      </c>
      <c r="J84" s="14" t="s">
        <v>501</v>
      </c>
      <c r="K84" s="5" t="s">
        <v>465</v>
      </c>
    </row>
    <row r="85" customFormat="false" ht="17.15" hidden="false" customHeight="false" outlineLevel="0" collapsed="false">
      <c r="A85" s="6" t="s">
        <v>516</v>
      </c>
    </row>
    <row r="86" customFormat="false" ht="17.15" hidden="false" customHeight="false" outlineLevel="0" collapsed="false">
      <c r="A86" s="0" t="s">
        <v>517</v>
      </c>
      <c r="B86" s="4" t="s">
        <v>31</v>
      </c>
      <c r="D86" s="22" t="n">
        <f aca="false">u_trn_26</f>
        <v>2</v>
      </c>
      <c r="E86" s="22" t="n">
        <f aca="false">u_trn_27</f>
        <v>2.5</v>
      </c>
      <c r="F86" s="22" t="n">
        <f aca="false">u_trn_28*um28_A</f>
        <v>3</v>
      </c>
      <c r="G86" s="22" t="n">
        <f aca="false">u_trn_28*(1+g29_trn)*um29_A</f>
        <v>3.45</v>
      </c>
    </row>
    <row r="87" customFormat="false" ht="17.15" hidden="false" customHeight="false" outlineLevel="0" collapsed="false">
      <c r="A87" s="4" t="s">
        <v>469</v>
      </c>
      <c r="B87" s="0" t="s">
        <v>44</v>
      </c>
      <c r="D87" s="18" t="n">
        <f aca="false">al_trn_26</f>
        <v>0.3</v>
      </c>
      <c r="E87" s="18" t="n">
        <f aca="false">MIN(1,MAX(0,al27_A_hi+0))</f>
        <v>0.75</v>
      </c>
      <c r="F87" s="18" t="n">
        <f aca="false">MIN(1,MAX(0,al28_A_hi+0))</f>
        <v>0.85</v>
      </c>
      <c r="G87" s="18" t="n">
        <f aca="false">MIN(1,MAX(0,al28_A_hi+0))</f>
        <v>0.85</v>
      </c>
    </row>
    <row r="88" customFormat="false" ht="17.15" hidden="false" customHeight="false" outlineLevel="0" collapsed="false">
      <c r="A88" s="4" t="s">
        <v>471</v>
      </c>
      <c r="B88" s="4" t="s">
        <v>31</v>
      </c>
      <c r="D88" s="22" t="n">
        <f aca="false">D86*D87</f>
        <v>0.6</v>
      </c>
      <c r="E88" s="22" t="n">
        <f aca="false">E86*E87*1</f>
        <v>1.875</v>
      </c>
      <c r="F88" s="22" t="n">
        <f aca="false">F86*F87*1</f>
        <v>2.55</v>
      </c>
      <c r="G88" s="22" t="n">
        <f aca="false">G86*G87*1</f>
        <v>2.9325</v>
      </c>
    </row>
    <row r="89" customFormat="false" ht="17.15" hidden="false" customHeight="false" outlineLevel="0" collapsed="false">
      <c r="A89" s="4" t="s">
        <v>518</v>
      </c>
      <c r="B89" s="0" t="s">
        <v>69</v>
      </c>
      <c r="D89" s="30" t="n">
        <f aca="false">gb_trn_26</f>
        <v>110</v>
      </c>
      <c r="E89" s="30" t="n">
        <f aca="false">gb_trn_27</f>
        <v>144</v>
      </c>
      <c r="F89" s="30" t="n">
        <f aca="false">gb_trn_28</f>
        <v>200</v>
      </c>
      <c r="G89" s="30" t="n">
        <f aca="false">gb_trn_28</f>
        <v>200</v>
      </c>
    </row>
    <row r="90" customFormat="false" ht="17.15" hidden="false" customHeight="false" outlineLevel="0" collapsed="false">
      <c r="A90" s="0" t="s">
        <v>519</v>
      </c>
      <c r="B90" s="0" t="s">
        <v>156</v>
      </c>
      <c r="D90" s="20" t="n">
        <f aca="false">hbm_A_26</f>
        <v>14.6</v>
      </c>
      <c r="E90" s="20" t="n">
        <f aca="false">hbm_A_27</f>
        <v>26.28</v>
      </c>
      <c r="F90" s="20" t="n">
        <f aca="false">hbm_A_28</f>
        <v>28.908</v>
      </c>
      <c r="G90" s="20" t="n">
        <f aca="false">hbm_A_29</f>
        <v>27.4626</v>
      </c>
    </row>
    <row r="91" customFormat="false" ht="17.15" hidden="false" customHeight="false" outlineLevel="0" collapsed="false">
      <c r="A91" s="4" t="s">
        <v>520</v>
      </c>
      <c r="B91" s="0" t="s">
        <v>80</v>
      </c>
      <c r="D91" s="20" t="n">
        <f aca="false">core_trn</f>
        <v>6.394</v>
      </c>
      <c r="E91" s="20" t="n">
        <f aca="false">core_trn</f>
        <v>6.394</v>
      </c>
      <c r="F91" s="20" t="n">
        <f aca="false">core_trn*pfc_A</f>
        <v>9.591</v>
      </c>
      <c r="G91" s="20" t="n">
        <f aca="false">core_trn*pfc_A</f>
        <v>9.591</v>
      </c>
    </row>
    <row r="92" customFormat="false" ht="17.15" hidden="false" customHeight="false" outlineLevel="0" collapsed="false">
      <c r="A92" s="4" t="s">
        <v>521</v>
      </c>
      <c r="B92" s="0" t="s">
        <v>80</v>
      </c>
      <c r="D92" s="20" t="n">
        <f aca="false">D89*D90/1000</f>
        <v>1.606</v>
      </c>
      <c r="E92" s="20" t="n">
        <f aca="false">E89*E90/1000</f>
        <v>3.78432</v>
      </c>
      <c r="F92" s="20" t="n">
        <f aca="false">F89*F90/1000</f>
        <v>5.7816</v>
      </c>
      <c r="G92" s="20" t="n">
        <f aca="false">G89*G90/1000</f>
        <v>5.49252</v>
      </c>
    </row>
    <row r="93" customFormat="false" ht="17.15" hidden="false" customHeight="false" outlineLevel="0" collapsed="false">
      <c r="A93" s="4" t="s">
        <v>522</v>
      </c>
      <c r="B93" s="0" t="s">
        <v>80</v>
      </c>
      <c r="D93" s="20" t="n">
        <f aca="false">D91+f_al*D92</f>
        <v>6.394</v>
      </c>
      <c r="E93" s="20" t="n">
        <f aca="false">E91+f_al*E92</f>
        <v>6.394</v>
      </c>
      <c r="F93" s="20" t="n">
        <f aca="false">F91+f_al*F92</f>
        <v>9.591</v>
      </c>
      <c r="G93" s="20" t="n">
        <f aca="false">G91+f_al*G92</f>
        <v>9.591</v>
      </c>
      <c r="K93" s="4" t="s">
        <v>523</v>
      </c>
    </row>
    <row r="94" customFormat="false" ht="17.15" hidden="false" customHeight="false" outlineLevel="0" collapsed="false">
      <c r="A94" s="0" t="s">
        <v>524</v>
      </c>
      <c r="B94" s="0" t="s">
        <v>213</v>
      </c>
      <c r="D94" s="20" t="n">
        <f aca="false">D88*D93</f>
        <v>3.8364</v>
      </c>
      <c r="E94" s="20" t="n">
        <f aca="false">E88*E93</f>
        <v>11.98875</v>
      </c>
      <c r="F94" s="20" t="n">
        <f aca="false">F88*F93</f>
        <v>24.45705</v>
      </c>
      <c r="G94" s="20" t="n">
        <f aca="false">G88*G93</f>
        <v>28.1256075</v>
      </c>
    </row>
    <row r="95" customFormat="false" ht="17.15" hidden="false" customHeight="false" outlineLevel="0" collapsed="false">
      <c r="A95" s="4" t="s">
        <v>525</v>
      </c>
      <c r="B95" s="0" t="s">
        <v>49</v>
      </c>
      <c r="D95" s="22" t="n">
        <f aca="false">dc26/D94</f>
        <v>0.390991554582421</v>
      </c>
      <c r="K95" s="8" t="s">
        <v>526</v>
      </c>
    </row>
    <row r="96" customFormat="false" ht="17.15" hidden="false" customHeight="false" outlineLevel="0" collapsed="false">
      <c r="A96" s="0" t="s">
        <v>527</v>
      </c>
      <c r="B96" s="0" t="s">
        <v>213</v>
      </c>
      <c r="D96" s="20" t="n">
        <f aca="false">D94*$D$95</f>
        <v>1.5</v>
      </c>
      <c r="E96" s="20" t="n">
        <f aca="false">E94*$D$95</f>
        <v>4.6875</v>
      </c>
      <c r="F96" s="20" t="n">
        <f aca="false">F94*$D$95</f>
        <v>9.5625</v>
      </c>
      <c r="G96" s="20" t="n">
        <f aca="false">G94*$D$95</f>
        <v>10.996875</v>
      </c>
    </row>
    <row r="97" customFormat="false" ht="15" hidden="false" customHeight="false" outlineLevel="0" collapsed="false">
      <c r="A97" s="4" t="s">
        <v>528</v>
      </c>
      <c r="B97" s="0" t="s">
        <v>224</v>
      </c>
      <c r="D97" s="20" t="n">
        <f aca="false">fx26</f>
        <v>31.6</v>
      </c>
      <c r="E97" s="20" t="n">
        <f aca="false">fx</f>
        <v>32</v>
      </c>
      <c r="F97" s="20" t="n">
        <f aca="false">fx</f>
        <v>32</v>
      </c>
      <c r="G97" s="20" t="n">
        <f aca="false">fx</f>
        <v>32</v>
      </c>
    </row>
    <row r="98" customFormat="false" ht="17.15" hidden="false" customHeight="false" outlineLevel="0" collapsed="false">
      <c r="A98" s="0" t="s">
        <v>529</v>
      </c>
      <c r="B98" s="0" t="s">
        <v>219</v>
      </c>
      <c r="C98" s="20" t="n">
        <f aca="false">a25_trn</f>
        <v>0</v>
      </c>
      <c r="D98" s="20" t="n">
        <f aca="false">D96*D97</f>
        <v>47.4</v>
      </c>
      <c r="E98" s="20" t="n">
        <f aca="false">E96*E97</f>
        <v>150</v>
      </c>
      <c r="F98" s="20" t="n">
        <f aca="false">F96*F97</f>
        <v>306</v>
      </c>
      <c r="G98" s="20" t="n">
        <f aca="false">G96*G97</f>
        <v>351.9</v>
      </c>
    </row>
    <row r="99" customFormat="false" ht="17.15" hidden="false" customHeight="false" outlineLevel="0" collapsed="false">
      <c r="A99" s="4" t="s">
        <v>530</v>
      </c>
      <c r="B99" s="0" t="s">
        <v>219</v>
      </c>
      <c r="D99" s="20" t="n">
        <f aca="false">$D$95*f_al*D88*D92*D97</f>
        <v>0</v>
      </c>
      <c r="E99" s="20" t="n">
        <f aca="false">$D$95*f_al*E88*E92*E97</f>
        <v>0</v>
      </c>
      <c r="F99" s="20" t="n">
        <f aca="false">$D$95*f_al*F88*F92*F97</f>
        <v>0</v>
      </c>
      <c r="G99" s="20" t="n">
        <f aca="false">$D$95*f_al*G88*G92*G97</f>
        <v>0</v>
      </c>
    </row>
    <row r="100" customFormat="false" ht="15" hidden="false" customHeight="false" outlineLevel="0" collapsed="false">
      <c r="A100" s="4" t="s">
        <v>531</v>
      </c>
      <c r="B100" s="0" t="s">
        <v>219</v>
      </c>
      <c r="D100" s="20" t="n">
        <f aca="false">D98-D99</f>
        <v>47.4</v>
      </c>
      <c r="E100" s="20" t="n">
        <f aca="false">E98-E99</f>
        <v>150</v>
      </c>
      <c r="F100" s="20" t="n">
        <f aca="false">F98-F99</f>
        <v>306</v>
      </c>
      <c r="G100" s="20" t="n">
        <f aca="false">G98-G99</f>
        <v>351.9</v>
      </c>
    </row>
    <row r="101" customFormat="false" ht="15" hidden="false" customHeight="false" outlineLevel="0" collapsed="false">
      <c r="A101" s="4" t="s">
        <v>475</v>
      </c>
      <c r="B101" s="0" t="s">
        <v>80</v>
      </c>
      <c r="D101" s="20" t="n">
        <f aca="false">IF(D88&gt;0,D96/D88,0)</f>
        <v>2.5</v>
      </c>
      <c r="E101" s="20" t="n">
        <f aca="false">IF(E88&gt;0,E96/E88,0)</f>
        <v>2.5</v>
      </c>
      <c r="F101" s="20" t="n">
        <f aca="false">IF(F88&gt;0,F96/F88,0)</f>
        <v>3.75</v>
      </c>
      <c r="G101" s="20" t="n">
        <f aca="false">IF(G88&gt;0,G96/G88,0)</f>
        <v>3.75</v>
      </c>
    </row>
    <row r="102" customFormat="false" ht="17.15" hidden="false" customHeight="false" outlineLevel="0" collapsed="false">
      <c r="A102" s="6" t="s">
        <v>532</v>
      </c>
    </row>
    <row r="103" customFormat="false" ht="17.15" hidden="false" customHeight="false" outlineLevel="0" collapsed="false">
      <c r="A103" s="4" t="s">
        <v>533</v>
      </c>
      <c r="B103" s="0" t="s">
        <v>219</v>
      </c>
      <c r="C103" s="20" t="n">
        <f aca="false">a25_oth</f>
        <v>30.926</v>
      </c>
      <c r="D103" s="20" t="n">
        <f aca="false">a26_oth</f>
        <v>20.43665</v>
      </c>
      <c r="E103" s="20" t="n">
        <f aca="false">D103*(1+g_o27_A)</f>
        <v>23.5021475</v>
      </c>
      <c r="F103" s="20" t="n">
        <f aca="false">E103*(1+g_oL_A)</f>
        <v>26.3224052</v>
      </c>
      <c r="G103" s="20" t="n">
        <f aca="false">F103*(1+g_oL_A)</f>
        <v>29.481093824</v>
      </c>
    </row>
    <row r="104" customFormat="false" ht="17.15" hidden="false" customHeight="false" outlineLevel="0" collapsed="false">
      <c r="A104" s="4" t="s">
        <v>413</v>
      </c>
      <c r="B104" s="0" t="s">
        <v>219</v>
      </c>
      <c r="C104" s="20" t="n">
        <f aca="false">C103+C98</f>
        <v>30.926</v>
      </c>
      <c r="D104" s="20" t="n">
        <f aca="false">D103+D98</f>
        <v>67.83665</v>
      </c>
      <c r="E104" s="20" t="n">
        <f aca="false">E103+E98</f>
        <v>173.5021475</v>
      </c>
      <c r="F104" s="20" t="n">
        <f aca="false">F103+F98</f>
        <v>332.3224052</v>
      </c>
      <c r="G104" s="20" t="n">
        <f aca="false">G103+G98</f>
        <v>381.381093824</v>
      </c>
      <c r="H104" s="28" t="n">
        <f aca="false">G104*(1+H105)</f>
        <v>426.542660721394</v>
      </c>
      <c r="I104" s="28" t="n">
        <f aca="false">H104*(1+I105)</f>
        <v>464.59364668698</v>
      </c>
      <c r="J104" s="28" t="n">
        <f aca="false">I104*(1+J105)</f>
        <v>492.469265488198</v>
      </c>
      <c r="K104" s="8" t="s">
        <v>534</v>
      </c>
    </row>
    <row r="105" customFormat="false" ht="15" hidden="false" customHeight="false" outlineLevel="0" collapsed="false">
      <c r="A105" s="4" t="s">
        <v>535</v>
      </c>
      <c r="B105" s="0" t="s">
        <v>44</v>
      </c>
      <c r="D105" s="18" t="n">
        <f aca="false">D104/C104-1</f>
        <v>1.19351516523314</v>
      </c>
      <c r="E105" s="18" t="n">
        <f aca="false">E104/D104-1</f>
        <v>1.55764616177243</v>
      </c>
      <c r="F105" s="18" t="n">
        <f aca="false">F104/E104-1</f>
        <v>0.915379204168064</v>
      </c>
      <c r="G105" s="18" t="n">
        <f aca="false">G104/F104-1</f>
        <v>0.147623776959833</v>
      </c>
      <c r="H105" s="26" t="n">
        <f aca="false">$G105+(fade_gA-$G105)*1/3</f>
        <v>0.118415851306555</v>
      </c>
      <c r="I105" s="26" t="n">
        <f aca="false">$G105+(fade_gA-$G105)*2/3</f>
        <v>0.0892079256532776</v>
      </c>
      <c r="J105" s="26" t="n">
        <f aca="false">$G105+(fade_gA-$G105)*3/3</f>
        <v>0.06</v>
      </c>
    </row>
    <row r="106" customFormat="false" ht="17.15" hidden="false" customHeight="false" outlineLevel="0" collapsed="false">
      <c r="A106" s="0" t="s">
        <v>536</v>
      </c>
      <c r="B106" s="0" t="s">
        <v>44</v>
      </c>
      <c r="C106" s="18" t="n">
        <f aca="false">C98/C104</f>
        <v>0</v>
      </c>
      <c r="D106" s="18" t="n">
        <f aca="false">D98/D104</f>
        <v>0.698737334464482</v>
      </c>
      <c r="E106" s="18" t="n">
        <f aca="false">E98/E104</f>
        <v>0.864542613226156</v>
      </c>
      <c r="F106" s="18" t="n">
        <f aca="false">F98/F104</f>
        <v>0.920792565327762</v>
      </c>
      <c r="G106" s="18" t="n">
        <f aca="false">G98/G104</f>
        <v>0.922699120901874</v>
      </c>
    </row>
    <row r="107" customFormat="false" ht="17.15" hidden="false" customHeight="false" outlineLevel="0" collapsed="false">
      <c r="A107" s="4" t="s">
        <v>537</v>
      </c>
      <c r="B107" s="0" t="s">
        <v>44</v>
      </c>
      <c r="C107" s="18" t="n">
        <f aca="false">C103/C104</f>
        <v>1</v>
      </c>
      <c r="D107" s="18" t="n">
        <f aca="false">D103/D104</f>
        <v>0.301262665535518</v>
      </c>
      <c r="E107" s="18" t="n">
        <f aca="false">E103/E104</f>
        <v>0.135457386773844</v>
      </c>
      <c r="F107" s="18" t="n">
        <f aca="false">F103/F104</f>
        <v>0.0792074346722379</v>
      </c>
      <c r="G107" s="18" t="n">
        <f aca="false">G103/G104</f>
        <v>0.0773008790981258</v>
      </c>
    </row>
    <row r="108" customFormat="false" ht="17.15" hidden="false" customHeight="false" outlineLevel="0" collapsed="false">
      <c r="A108" s="6" t="s">
        <v>538</v>
      </c>
    </row>
    <row r="109" customFormat="false" ht="17.15" hidden="false" customHeight="false" outlineLevel="0" collapsed="false">
      <c r="A109" s="0" t="s">
        <v>539</v>
      </c>
      <c r="B109" s="0" t="s">
        <v>219</v>
      </c>
      <c r="D109" s="20" t="n">
        <f aca="false">m_trn*D100+m_hbm*D99</f>
        <v>6.162</v>
      </c>
      <c r="E109" s="20" t="n">
        <f aca="false">(m_trn+gta_A)*E100+m_hbm*E99</f>
        <v>21</v>
      </c>
      <c r="F109" s="20" t="n">
        <f aca="false">(m_trn+gta_A)*F100+m_hbm*F99</f>
        <v>42.84</v>
      </c>
      <c r="G109" s="20" t="n">
        <f aca="false">(m_trn+gta_A)*G100+m_hbm*G99</f>
        <v>49.266</v>
      </c>
    </row>
    <row r="110" customFormat="false" ht="17.15" hidden="false" customHeight="false" outlineLevel="0" collapsed="false">
      <c r="A110" s="4" t="s">
        <v>540</v>
      </c>
      <c r="B110" s="0" t="s">
        <v>44</v>
      </c>
      <c r="C110" s="17" t="n">
        <f aca="false">a25_gp/C103</f>
        <v>0.263661643924206</v>
      </c>
      <c r="D110" s="17" t="n">
        <f aca="false">(a26_gp-D109)/D103</f>
        <v>0.499403865114879</v>
      </c>
      <c r="E110" s="17" t="n">
        <f aca="false">$D110+0</f>
        <v>0.499403865114879</v>
      </c>
      <c r="F110" s="17" t="n">
        <f aca="false">$D110+0</f>
        <v>0.499403865114879</v>
      </c>
      <c r="G110" s="17" t="n">
        <f aca="false">$D110+0</f>
        <v>0.499403865114879</v>
      </c>
      <c r="K110" s="8" t="s">
        <v>541</v>
      </c>
    </row>
    <row r="111" customFormat="false" ht="15" hidden="false" customHeight="false" outlineLevel="0" collapsed="false">
      <c r="A111" s="4" t="s">
        <v>422</v>
      </c>
      <c r="B111" s="0" t="s">
        <v>219</v>
      </c>
      <c r="C111" s="20" t="n">
        <f aca="false">a25_gp</f>
        <v>8.154</v>
      </c>
      <c r="D111" s="20" t="n">
        <f aca="false">a26_gp</f>
        <v>16.368142</v>
      </c>
      <c r="E111" s="20" t="n">
        <f aca="false">E110*E103+E109</f>
        <v>32.7370633</v>
      </c>
      <c r="F111" s="20" t="n">
        <f aca="false">F110*F103+F109</f>
        <v>55.985510896</v>
      </c>
      <c r="G111" s="20" t="n">
        <f aca="false">G110*G103+G109</f>
        <v>63.98897220352</v>
      </c>
    </row>
    <row r="112" customFormat="false" ht="15" hidden="false" customHeight="false" outlineLevel="0" collapsed="false">
      <c r="A112" s="4" t="s">
        <v>425</v>
      </c>
      <c r="B112" s="0" t="s">
        <v>44</v>
      </c>
      <c r="C112" s="17" t="n">
        <f aca="false">C111/C104</f>
        <v>0.263661643924206</v>
      </c>
      <c r="D112" s="17" t="n">
        <f aca="false">D111/D104</f>
        <v>0.241287593063632</v>
      </c>
      <c r="E112" s="17" t="n">
        <f aca="false">E111/E104</f>
        <v>0.188683908364881</v>
      </c>
      <c r="F112" s="17" t="n">
        <f aca="false">F111/F104</f>
        <v>0.168467458167037</v>
      </c>
      <c r="G112" s="17" t="n">
        <f aca="false">G111/G104</f>
        <v>0.167782234724644</v>
      </c>
    </row>
    <row r="113" customFormat="false" ht="15" hidden="false" customHeight="false" outlineLevel="0" collapsed="false">
      <c r="A113" s="4" t="s">
        <v>429</v>
      </c>
      <c r="B113" s="0" t="s">
        <v>219</v>
      </c>
      <c r="C113" s="20" t="n">
        <f aca="false">a25_opx</f>
        <v>3.138</v>
      </c>
      <c r="D113" s="20" t="n">
        <f aca="false">a26_opx</f>
        <v>3.849</v>
      </c>
      <c r="E113" s="20" t="n">
        <f aca="false">D113*(1+MAX(g_opx_min,phi*E105))+0*E104</f>
        <v>5.64761402299863</v>
      </c>
      <c r="F113" s="20" t="n">
        <f aca="false">E113*(1+MAX(g_opx_min,phi*F105))+0*F104</f>
        <v>7.19852655194489</v>
      </c>
      <c r="G113" s="20" t="n">
        <f aca="false">F113*(1+MAX(g_opx_min,phi*G105))+0*G104</f>
        <v>7.77440867610049</v>
      </c>
    </row>
    <row r="114" customFormat="false" ht="15" hidden="false" customHeight="false" outlineLevel="0" collapsed="false">
      <c r="A114" s="4" t="s">
        <v>432</v>
      </c>
      <c r="B114" s="0" t="s">
        <v>219</v>
      </c>
      <c r="C114" s="20" t="n">
        <f aca="false">C111-C113</f>
        <v>5.016</v>
      </c>
      <c r="D114" s="20" t="n">
        <f aca="false">D111-D113</f>
        <v>12.519142</v>
      </c>
      <c r="E114" s="20" t="n">
        <f aca="false">E111-E113</f>
        <v>27.0894492770014</v>
      </c>
      <c r="F114" s="20" t="n">
        <f aca="false">F111-F113</f>
        <v>48.7869843440551</v>
      </c>
      <c r="G114" s="20" t="n">
        <f aca="false">G111-G113</f>
        <v>56.2145635274195</v>
      </c>
    </row>
    <row r="115" customFormat="false" ht="15" hidden="false" customHeight="false" outlineLevel="0" collapsed="false">
      <c r="A115" s="4" t="s">
        <v>505</v>
      </c>
      <c r="B115" s="0" t="s">
        <v>44</v>
      </c>
      <c r="C115" s="17" t="n">
        <f aca="false">C114/C104</f>
        <v>0.162193623488327</v>
      </c>
      <c r="D115" s="17" t="n">
        <f aca="false">D114/D104</f>
        <v>0.184548352549838</v>
      </c>
      <c r="E115" s="17" t="n">
        <f aca="false">E114/E104</f>
        <v>0.156133221791975</v>
      </c>
      <c r="F115" s="17" t="n">
        <f aca="false">F114/F104</f>
        <v>0.146806184538457</v>
      </c>
      <c r="G115" s="17" t="n">
        <f aca="false">G114/G104</f>
        <v>0.147397352511033</v>
      </c>
    </row>
    <row r="116" customFormat="false" ht="15" hidden="false" customHeight="false" outlineLevel="0" collapsed="false">
      <c r="A116" s="4" t="s">
        <v>435</v>
      </c>
      <c r="B116" s="0" t="s">
        <v>219</v>
      </c>
      <c r="C116" s="20" t="n">
        <f aca="false">a25_nonop</f>
        <v>1.7042198</v>
      </c>
      <c r="D116" s="20" t="n">
        <f aca="false">a26_nonop</f>
        <v>1.605</v>
      </c>
      <c r="E116" s="20" t="n">
        <f aca="false">nonop_f</f>
        <v>1.6</v>
      </c>
      <c r="F116" s="20" t="n">
        <f aca="false">nonop_f</f>
        <v>1.6</v>
      </c>
      <c r="G116" s="20" t="n">
        <f aca="false">nonop_f</f>
        <v>1.6</v>
      </c>
    </row>
    <row r="117" customFormat="false" ht="15" hidden="false" customHeight="false" outlineLevel="0" collapsed="false">
      <c r="A117" s="4" t="s">
        <v>437</v>
      </c>
      <c r="B117" s="0" t="s">
        <v>219</v>
      </c>
      <c r="C117" s="20" t="n">
        <f aca="false">C114+C116</f>
        <v>6.7202198</v>
      </c>
      <c r="D117" s="20" t="n">
        <f aca="false">D114+D116</f>
        <v>14.124142</v>
      </c>
      <c r="E117" s="20" t="n">
        <f aca="false">E114+E116</f>
        <v>28.6894492770014</v>
      </c>
      <c r="F117" s="20" t="n">
        <f aca="false">F114+F116</f>
        <v>50.3869843440551</v>
      </c>
      <c r="G117" s="20" t="n">
        <f aca="false">G114+G116</f>
        <v>57.8145635274195</v>
      </c>
    </row>
    <row r="118" customFormat="false" ht="15" hidden="false" customHeight="false" outlineLevel="0" collapsed="false">
      <c r="A118" s="4" t="s">
        <v>439</v>
      </c>
      <c r="B118" s="0" t="s">
        <v>219</v>
      </c>
      <c r="C118" s="20" t="n">
        <f aca="false">a25_tax</f>
        <v>1.1222198</v>
      </c>
      <c r="D118" s="20" t="n">
        <f aca="false">a26_tax</f>
        <v>2.8140284</v>
      </c>
      <c r="E118" s="20" t="n">
        <f aca="false">E117*tax</f>
        <v>5.73788985540028</v>
      </c>
      <c r="F118" s="20" t="n">
        <f aca="false">F117*tax</f>
        <v>10.077396868811</v>
      </c>
      <c r="G118" s="20" t="n">
        <f aca="false">G117*tax</f>
        <v>11.5629127054839</v>
      </c>
    </row>
    <row r="119" customFormat="false" ht="15" hidden="false" customHeight="false" outlineLevel="0" collapsed="false">
      <c r="A119" s="4" t="s">
        <v>442</v>
      </c>
      <c r="B119" s="0" t="s">
        <v>219</v>
      </c>
      <c r="C119" s="20" t="n">
        <f aca="false">C117-C118</f>
        <v>5.598</v>
      </c>
      <c r="D119" s="20" t="n">
        <f aca="false">D117-D118</f>
        <v>11.3101136</v>
      </c>
      <c r="E119" s="20" t="n">
        <f aca="false">E117-E118</f>
        <v>22.9515594216011</v>
      </c>
      <c r="F119" s="20" t="n">
        <f aca="false">F117-F118</f>
        <v>40.3095874752441</v>
      </c>
      <c r="G119" s="20" t="n">
        <f aca="false">G117-G118</f>
        <v>46.2516508219356</v>
      </c>
      <c r="H119" s="28" t="n">
        <f aca="false">H104*H123</f>
        <v>52.9472190804169</v>
      </c>
      <c r="I119" s="28" t="n">
        <f aca="false">I104*I123</f>
        <v>58.9978826312386</v>
      </c>
      <c r="J119" s="28" t="n">
        <f aca="false">J104*J123</f>
        <v>63.9447486747138</v>
      </c>
    </row>
    <row r="120" customFormat="false" ht="17.15" hidden="false" customHeight="false" outlineLevel="0" collapsed="false">
      <c r="A120" s="4" t="s">
        <v>542</v>
      </c>
      <c r="B120" s="4" t="s">
        <v>272</v>
      </c>
      <c r="C120" s="19" t="n">
        <f aca="false">a25_sh</f>
        <v>0.0809193408499566</v>
      </c>
      <c r="D120" s="19" t="n">
        <f aca="false">a26_sh</f>
        <v>0.0838996682946683</v>
      </c>
      <c r="E120" s="19" t="n">
        <f aca="false">q_sh*(1+sh_g)</f>
        <v>0.08621</v>
      </c>
      <c r="F120" s="19" t="n">
        <f aca="false">E120*(1+sh_g)</f>
        <v>0.08621</v>
      </c>
      <c r="G120" s="19" t="n">
        <f aca="false">F120*(1+sh_g)</f>
        <v>0.08621</v>
      </c>
      <c r="H120" s="31" t="n">
        <f aca="false">G120*(1+sh_g)</f>
        <v>0.08621</v>
      </c>
      <c r="I120" s="31" t="n">
        <f aca="false">H120*(1+sh_g)</f>
        <v>0.08621</v>
      </c>
      <c r="J120" s="31" t="n">
        <f aca="false">I120*(1+sh_g)</f>
        <v>0.08621</v>
      </c>
      <c r="K120" s="8" t="s">
        <v>543</v>
      </c>
    </row>
    <row r="121" customFormat="false" ht="17.15" hidden="false" customHeight="false" outlineLevel="0" collapsed="false">
      <c r="A121" s="0" t="s">
        <v>446</v>
      </c>
      <c r="B121" s="0" t="s">
        <v>312</v>
      </c>
      <c r="C121" s="20" t="n">
        <f aca="false">C119/C120</f>
        <v>69.18</v>
      </c>
      <c r="D121" s="20" t="n">
        <f aca="false">D119/D120</f>
        <v>134.805224262356</v>
      </c>
      <c r="E121" s="20" t="n">
        <f aca="false">E119/E120</f>
        <v>266.22850506439</v>
      </c>
      <c r="F121" s="20" t="n">
        <f aca="false">F119/F120</f>
        <v>467.574382035078</v>
      </c>
      <c r="G121" s="20" t="n">
        <f aca="false">G119/G120</f>
        <v>536.499835540374</v>
      </c>
      <c r="H121" s="28" t="n">
        <f aca="false">H119/H120</f>
        <v>614.165631370106</v>
      </c>
      <c r="I121" s="28" t="n">
        <f aca="false">I119/I120</f>
        <v>684.350801893499</v>
      </c>
      <c r="J121" s="28" t="n">
        <f aca="false">J119/J120</f>
        <v>741.732382260919</v>
      </c>
    </row>
    <row r="122" customFormat="false" ht="17.15" hidden="false" customHeight="false" outlineLevel="0" collapsed="false">
      <c r="A122" s="0" t="s">
        <v>544</v>
      </c>
      <c r="B122" s="0" t="s">
        <v>44</v>
      </c>
      <c r="D122" s="18" t="n">
        <f aca="false">D121/C121-1</f>
        <v>0.948615557420577</v>
      </c>
      <c r="E122" s="18" t="n">
        <f aca="false">E121/D121-1</f>
        <v>0.974912370949818</v>
      </c>
      <c r="F122" s="18" t="n">
        <f aca="false">F121/E121-1</f>
        <v>0.756289702794935</v>
      </c>
      <c r="G122" s="18" t="n">
        <f aca="false">G121/F121-1</f>
        <v>0.147410671229042</v>
      </c>
      <c r="H122" s="26" t="n">
        <f aca="false">H121/G121-1</f>
        <v>0.144763876304838</v>
      </c>
      <c r="I122" s="26" t="n">
        <f aca="false">I121/H121-1</f>
        <v>0.114277268115477</v>
      </c>
      <c r="J122" s="26" t="n">
        <f aca="false">J121/I121-1</f>
        <v>0.0838481962885895</v>
      </c>
    </row>
    <row r="123" customFormat="false" ht="17.15" hidden="false" customHeight="false" outlineLevel="0" collapsed="false">
      <c r="A123" s="4" t="s">
        <v>545</v>
      </c>
      <c r="B123" s="0" t="s">
        <v>44</v>
      </c>
      <c r="C123" s="17" t="n">
        <f aca="false">C119/C104</f>
        <v>0.181012740089245</v>
      </c>
      <c r="D123" s="17" t="n">
        <f aca="false">D119/D104</f>
        <v>0.166725709480052</v>
      </c>
      <c r="E123" s="17" t="n">
        <f aca="false">E119/E104</f>
        <v>0.132284007733109</v>
      </c>
      <c r="F123" s="17" t="n">
        <f aca="false">F119/F104</f>
        <v>0.121296628949784</v>
      </c>
      <c r="G123" s="17" t="n">
        <f aca="false">G119/G104</f>
        <v>0.121274105011823</v>
      </c>
      <c r="H123" s="27" t="n">
        <f aca="false">$G123+(fade_mA-$G123)*1/3</f>
        <v>0.124131122056747</v>
      </c>
      <c r="I123" s="27" t="n">
        <f aca="false">$G123+(fade_mA-$G123)*2/3</f>
        <v>0.126988139101671</v>
      </c>
      <c r="J123" s="27" t="n">
        <f aca="false">$G123+(fade_mA-$G123)*3/3</f>
        <v>0.129845156146594</v>
      </c>
    </row>
    <row r="126" customFormat="false" ht="17.15" hidden="false" customHeight="false" outlineLevel="0" collapsed="false">
      <c r="A126" s="1" t="s">
        <v>822</v>
      </c>
    </row>
    <row r="127" customFormat="false" ht="17.15" hidden="false" customHeight="false" outlineLevel="0" collapsed="false">
      <c r="A127" s="5" t="s">
        <v>20</v>
      </c>
      <c r="B127" s="5" t="s">
        <v>21</v>
      </c>
      <c r="C127" s="14" t="s">
        <v>407</v>
      </c>
      <c r="D127" s="14" t="s">
        <v>495</v>
      </c>
      <c r="E127" s="14" t="s">
        <v>496</v>
      </c>
      <c r="F127" s="14" t="s">
        <v>497</v>
      </c>
      <c r="G127" s="14" t="s">
        <v>498</v>
      </c>
      <c r="H127" s="14" t="s">
        <v>499</v>
      </c>
      <c r="I127" s="14" t="s">
        <v>500</v>
      </c>
      <c r="J127" s="14" t="s">
        <v>501</v>
      </c>
      <c r="K127" s="5" t="s">
        <v>465</v>
      </c>
    </row>
    <row r="128" customFormat="false" ht="17.15" hidden="false" customHeight="false" outlineLevel="0" collapsed="false">
      <c r="A128" s="6" t="s">
        <v>516</v>
      </c>
    </row>
    <row r="129" customFormat="false" ht="17.15" hidden="false" customHeight="false" outlineLevel="0" collapsed="false">
      <c r="A129" s="0" t="s">
        <v>517</v>
      </c>
      <c r="B129" s="4" t="s">
        <v>31</v>
      </c>
      <c r="D129" s="22" t="n">
        <f aca="false">u_trn_26</f>
        <v>2</v>
      </c>
      <c r="E129" s="22" t="n">
        <f aca="false">u_trn_27</f>
        <v>2.5</v>
      </c>
      <c r="F129" s="22" t="n">
        <f aca="false">u_trn_28*um28_A</f>
        <v>3</v>
      </c>
      <c r="G129" s="22" t="n">
        <f aca="false">u_trn_28*(1+g29_trn)*um29_A</f>
        <v>3.45</v>
      </c>
    </row>
    <row r="130" customFormat="false" ht="17.15" hidden="false" customHeight="false" outlineLevel="0" collapsed="false">
      <c r="A130" s="4" t="s">
        <v>469</v>
      </c>
      <c r="B130" s="0" t="s">
        <v>44</v>
      </c>
      <c r="D130" s="18" t="n">
        <f aca="false">al_trn_26</f>
        <v>0.3</v>
      </c>
      <c r="E130" s="18" t="n">
        <f aca="false">MIN(1,MAX(0,al27_A+0))</f>
        <v>0.55</v>
      </c>
      <c r="F130" s="18" t="n">
        <f aca="false">MIN(1,MAX(0,al28_A+0))</f>
        <v>0.55</v>
      </c>
      <c r="G130" s="18" t="n">
        <f aca="false">MIN(1,MAX(0,al28_A+0))</f>
        <v>0.55</v>
      </c>
    </row>
    <row r="131" customFormat="false" ht="17.15" hidden="false" customHeight="false" outlineLevel="0" collapsed="false">
      <c r="A131" s="4" t="s">
        <v>471</v>
      </c>
      <c r="B131" s="4" t="s">
        <v>31</v>
      </c>
      <c r="D131" s="22" t="n">
        <f aca="false">D129*D130</f>
        <v>0.6</v>
      </c>
      <c r="E131" s="22" t="n">
        <f aca="false">E129*E130*uf_lo</f>
        <v>1.1</v>
      </c>
      <c r="F131" s="22" t="n">
        <f aca="false">F129*F130*uf_lo</f>
        <v>1.32</v>
      </c>
      <c r="G131" s="22" t="n">
        <f aca="false">G129*G130*uf_lo</f>
        <v>1.518</v>
      </c>
    </row>
    <row r="132" customFormat="false" ht="17.15" hidden="false" customHeight="false" outlineLevel="0" collapsed="false">
      <c r="A132" s="4" t="s">
        <v>518</v>
      </c>
      <c r="B132" s="0" t="s">
        <v>69</v>
      </c>
      <c r="D132" s="30" t="n">
        <f aca="false">gb_trn_26</f>
        <v>110</v>
      </c>
      <c r="E132" s="30" t="n">
        <f aca="false">gb_trn_27</f>
        <v>144</v>
      </c>
      <c r="F132" s="30" t="n">
        <f aca="false">gb_trn_28</f>
        <v>200</v>
      </c>
      <c r="G132" s="30" t="n">
        <f aca="false">gb_trn_28</f>
        <v>200</v>
      </c>
    </row>
    <row r="133" customFormat="false" ht="17.15" hidden="false" customHeight="false" outlineLevel="0" collapsed="false">
      <c r="A133" s="0" t="s">
        <v>519</v>
      </c>
      <c r="B133" s="0" t="s">
        <v>156</v>
      </c>
      <c r="D133" s="20" t="n">
        <f aca="false">hbm_A_26</f>
        <v>14.6</v>
      </c>
      <c r="E133" s="20" t="n">
        <f aca="false">hbm_A_27</f>
        <v>26.28</v>
      </c>
      <c r="F133" s="20" t="n">
        <f aca="false">hbm_A_28</f>
        <v>28.908</v>
      </c>
      <c r="G133" s="20" t="n">
        <f aca="false">hbm_A_29</f>
        <v>27.4626</v>
      </c>
    </row>
    <row r="134" customFormat="false" ht="17.15" hidden="false" customHeight="false" outlineLevel="0" collapsed="false">
      <c r="A134" s="4" t="s">
        <v>520</v>
      </c>
      <c r="B134" s="0" t="s">
        <v>80</v>
      </c>
      <c r="D134" s="20" t="n">
        <f aca="false">core_trn</f>
        <v>6.394</v>
      </c>
      <c r="E134" s="20" t="n">
        <f aca="false">core_trn</f>
        <v>6.394</v>
      </c>
      <c r="F134" s="20" t="n">
        <f aca="false">core_trn*pfc_A</f>
        <v>9.591</v>
      </c>
      <c r="G134" s="20" t="n">
        <f aca="false">core_trn*pfc_A</f>
        <v>9.591</v>
      </c>
    </row>
    <row r="135" customFormat="false" ht="17.15" hidden="false" customHeight="false" outlineLevel="0" collapsed="false">
      <c r="A135" s="4" t="s">
        <v>521</v>
      </c>
      <c r="B135" s="0" t="s">
        <v>80</v>
      </c>
      <c r="D135" s="20" t="n">
        <f aca="false">D132*D133/1000</f>
        <v>1.606</v>
      </c>
      <c r="E135" s="20" t="n">
        <f aca="false">E132*E133/1000</f>
        <v>3.78432</v>
      </c>
      <c r="F135" s="20" t="n">
        <f aca="false">F132*F133/1000</f>
        <v>5.7816</v>
      </c>
      <c r="G135" s="20" t="n">
        <f aca="false">G132*G133/1000</f>
        <v>5.49252</v>
      </c>
    </row>
    <row r="136" customFormat="false" ht="17.15" hidden="false" customHeight="false" outlineLevel="0" collapsed="false">
      <c r="A136" s="4" t="s">
        <v>522</v>
      </c>
      <c r="B136" s="0" t="s">
        <v>80</v>
      </c>
      <c r="D136" s="20" t="n">
        <f aca="false">D134+f_al*D135</f>
        <v>6.394</v>
      </c>
      <c r="E136" s="20" t="n">
        <f aca="false">E134+f_al*E135</f>
        <v>6.394</v>
      </c>
      <c r="F136" s="20" t="n">
        <f aca="false">F134+f_al*F135</f>
        <v>9.591</v>
      </c>
      <c r="G136" s="20" t="n">
        <f aca="false">G134+f_al*G135</f>
        <v>9.591</v>
      </c>
      <c r="K136" s="4" t="s">
        <v>523</v>
      </c>
    </row>
    <row r="137" customFormat="false" ht="17.15" hidden="false" customHeight="false" outlineLevel="0" collapsed="false">
      <c r="A137" s="0" t="s">
        <v>524</v>
      </c>
      <c r="B137" s="0" t="s">
        <v>213</v>
      </c>
      <c r="D137" s="20" t="n">
        <f aca="false">D131*D136</f>
        <v>3.8364</v>
      </c>
      <c r="E137" s="20" t="n">
        <f aca="false">E131*E136</f>
        <v>7.0334</v>
      </c>
      <c r="F137" s="20" t="n">
        <f aca="false">F131*F136</f>
        <v>12.66012</v>
      </c>
      <c r="G137" s="20" t="n">
        <f aca="false">G131*G136</f>
        <v>14.559138</v>
      </c>
    </row>
    <row r="138" customFormat="false" ht="17.15" hidden="false" customHeight="false" outlineLevel="0" collapsed="false">
      <c r="A138" s="4" t="s">
        <v>525</v>
      </c>
      <c r="B138" s="0" t="s">
        <v>49</v>
      </c>
      <c r="D138" s="22" t="n">
        <f aca="false">dc26/D137</f>
        <v>0.390991554582421</v>
      </c>
      <c r="K138" s="8" t="s">
        <v>526</v>
      </c>
    </row>
    <row r="139" customFormat="false" ht="17.15" hidden="false" customHeight="false" outlineLevel="0" collapsed="false">
      <c r="A139" s="0" t="s">
        <v>527</v>
      </c>
      <c r="B139" s="0" t="s">
        <v>213</v>
      </c>
      <c r="D139" s="20" t="n">
        <f aca="false">D137*$D$138</f>
        <v>1.5</v>
      </c>
      <c r="E139" s="20" t="n">
        <f aca="false">E137*$D$138</f>
        <v>2.75</v>
      </c>
      <c r="F139" s="20" t="n">
        <f aca="false">F137*$D$138</f>
        <v>4.95</v>
      </c>
      <c r="G139" s="20" t="n">
        <f aca="false">G137*$D$138</f>
        <v>5.6925</v>
      </c>
    </row>
    <row r="140" customFormat="false" ht="15" hidden="false" customHeight="false" outlineLevel="0" collapsed="false">
      <c r="A140" s="4" t="s">
        <v>528</v>
      </c>
      <c r="B140" s="0" t="s">
        <v>224</v>
      </c>
      <c r="D140" s="20" t="n">
        <f aca="false">fx26</f>
        <v>31.6</v>
      </c>
      <c r="E140" s="20" t="n">
        <f aca="false">fx</f>
        <v>32</v>
      </c>
      <c r="F140" s="20" t="n">
        <f aca="false">fx</f>
        <v>32</v>
      </c>
      <c r="G140" s="20" t="n">
        <f aca="false">fx</f>
        <v>32</v>
      </c>
    </row>
    <row r="141" customFormat="false" ht="17.15" hidden="false" customHeight="false" outlineLevel="0" collapsed="false">
      <c r="A141" s="0" t="s">
        <v>529</v>
      </c>
      <c r="B141" s="0" t="s">
        <v>219</v>
      </c>
      <c r="C141" s="20" t="n">
        <f aca="false">a25_trn</f>
        <v>0</v>
      </c>
      <c r="D141" s="20" t="n">
        <f aca="false">D139*D140</f>
        <v>47.4</v>
      </c>
      <c r="E141" s="20" t="n">
        <f aca="false">E139*E140</f>
        <v>88</v>
      </c>
      <c r="F141" s="20" t="n">
        <f aca="false">F139*F140</f>
        <v>158.4</v>
      </c>
      <c r="G141" s="20" t="n">
        <f aca="false">G139*G140</f>
        <v>182.16</v>
      </c>
    </row>
    <row r="142" customFormat="false" ht="17.15" hidden="false" customHeight="false" outlineLevel="0" collapsed="false">
      <c r="A142" s="4" t="s">
        <v>530</v>
      </c>
      <c r="B142" s="0" t="s">
        <v>219</v>
      </c>
      <c r="D142" s="20" t="n">
        <f aca="false">$D$138*f_al*D131*D135*D140</f>
        <v>0</v>
      </c>
      <c r="E142" s="20" t="n">
        <f aca="false">$D$138*f_al*E131*E135*E140</f>
        <v>0</v>
      </c>
      <c r="F142" s="20" t="n">
        <f aca="false">$D$138*f_al*F131*F135*F140</f>
        <v>0</v>
      </c>
      <c r="G142" s="20" t="n">
        <f aca="false">$D$138*f_al*G131*G135*G140</f>
        <v>0</v>
      </c>
    </row>
    <row r="143" customFormat="false" ht="15" hidden="false" customHeight="false" outlineLevel="0" collapsed="false">
      <c r="A143" s="4" t="s">
        <v>531</v>
      </c>
      <c r="B143" s="0" t="s">
        <v>219</v>
      </c>
      <c r="D143" s="20" t="n">
        <f aca="false">D141-D142</f>
        <v>47.4</v>
      </c>
      <c r="E143" s="20" t="n">
        <f aca="false">E141-E142</f>
        <v>88</v>
      </c>
      <c r="F143" s="20" t="n">
        <f aca="false">F141-F142</f>
        <v>158.4</v>
      </c>
      <c r="G143" s="20" t="n">
        <f aca="false">G141-G142</f>
        <v>182.16</v>
      </c>
    </row>
    <row r="144" customFormat="false" ht="15" hidden="false" customHeight="false" outlineLevel="0" collapsed="false">
      <c r="A144" s="4" t="s">
        <v>475</v>
      </c>
      <c r="B144" s="0" t="s">
        <v>80</v>
      </c>
      <c r="D144" s="20" t="n">
        <f aca="false">IF(D131&gt;0,D139/D131,0)</f>
        <v>2.5</v>
      </c>
      <c r="E144" s="20" t="n">
        <f aca="false">IF(E131&gt;0,E139/E131,0)</f>
        <v>2.5</v>
      </c>
      <c r="F144" s="20" t="n">
        <f aca="false">IF(F131&gt;0,F139/F131,0)</f>
        <v>3.75</v>
      </c>
      <c r="G144" s="20" t="n">
        <f aca="false">IF(G131&gt;0,G139/G131,0)</f>
        <v>3.75</v>
      </c>
    </row>
    <row r="145" customFormat="false" ht="17.15" hidden="false" customHeight="false" outlineLevel="0" collapsed="false">
      <c r="A145" s="6" t="s">
        <v>532</v>
      </c>
    </row>
    <row r="146" customFormat="false" ht="17.15" hidden="false" customHeight="false" outlineLevel="0" collapsed="false">
      <c r="A146" s="4" t="s">
        <v>533</v>
      </c>
      <c r="B146" s="0" t="s">
        <v>219</v>
      </c>
      <c r="C146" s="20" t="n">
        <f aca="false">a25_oth</f>
        <v>30.926</v>
      </c>
      <c r="D146" s="20" t="n">
        <f aca="false">a26_oth</f>
        <v>20.43665</v>
      </c>
      <c r="E146" s="20" t="n">
        <f aca="false">D146*(1+g_o27_A)</f>
        <v>23.5021475</v>
      </c>
      <c r="F146" s="20" t="n">
        <f aca="false">E146*(1+g_oL_A)</f>
        <v>26.3224052</v>
      </c>
      <c r="G146" s="20" t="n">
        <f aca="false">F146*(1+g_oL_A)</f>
        <v>29.481093824</v>
      </c>
    </row>
    <row r="147" customFormat="false" ht="17.15" hidden="false" customHeight="false" outlineLevel="0" collapsed="false">
      <c r="A147" s="4" t="s">
        <v>413</v>
      </c>
      <c r="B147" s="0" t="s">
        <v>219</v>
      </c>
      <c r="C147" s="20" t="n">
        <f aca="false">C146+C141</f>
        <v>30.926</v>
      </c>
      <c r="D147" s="20" t="n">
        <f aca="false">D146+D141</f>
        <v>67.83665</v>
      </c>
      <c r="E147" s="20" t="n">
        <f aca="false">E146+E141</f>
        <v>111.5021475</v>
      </c>
      <c r="F147" s="20" t="n">
        <f aca="false">F146+F141</f>
        <v>184.7224052</v>
      </c>
      <c r="G147" s="20" t="n">
        <f aca="false">G146+G141</f>
        <v>211.641093824</v>
      </c>
      <c r="H147" s="28" t="n">
        <f aca="false">G147*(1+H148)</f>
        <v>236.434860282966</v>
      </c>
      <c r="I147" s="28" t="n">
        <f aca="false">H147*(1+I148)</f>
        <v>257.377084912769</v>
      </c>
      <c r="J147" s="28" t="n">
        <f aca="false">I147*(1+J148)</f>
        <v>272.819710007535</v>
      </c>
      <c r="K147" s="8" t="s">
        <v>534</v>
      </c>
    </row>
    <row r="148" customFormat="false" ht="15" hidden="false" customHeight="false" outlineLevel="0" collapsed="false">
      <c r="A148" s="4" t="s">
        <v>535</v>
      </c>
      <c r="B148" s="0" t="s">
        <v>44</v>
      </c>
      <c r="D148" s="18" t="n">
        <f aca="false">D147/C147-1</f>
        <v>1.19351516523314</v>
      </c>
      <c r="E148" s="18" t="n">
        <f aca="false">E147/D147-1</f>
        <v>0.643685935257711</v>
      </c>
      <c r="F148" s="18" t="n">
        <f aca="false">F147/E147-1</f>
        <v>0.65667127801283</v>
      </c>
      <c r="G148" s="18" t="n">
        <f aca="false">G147/F147-1</f>
        <v>0.145725087299805</v>
      </c>
      <c r="H148" s="26" t="n">
        <f aca="false">$G148+(fade_gA-$G148)*1/3</f>
        <v>0.11715005819987</v>
      </c>
      <c r="I148" s="26" t="n">
        <f aca="false">$G148+(fade_gA-$G148)*2/3</f>
        <v>0.088575029099935</v>
      </c>
      <c r="J148" s="26" t="n">
        <f aca="false">$G148+(fade_gA-$G148)*3/3</f>
        <v>0.06</v>
      </c>
    </row>
    <row r="149" customFormat="false" ht="17.15" hidden="false" customHeight="false" outlineLevel="0" collapsed="false">
      <c r="A149" s="0" t="s">
        <v>536</v>
      </c>
      <c r="B149" s="0" t="s">
        <v>44</v>
      </c>
      <c r="C149" s="18" t="n">
        <f aca="false">C141/C147</f>
        <v>0</v>
      </c>
      <c r="D149" s="18" t="n">
        <f aca="false">D141/D147</f>
        <v>0.698737334464482</v>
      </c>
      <c r="E149" s="18" t="n">
        <f aca="false">E141/E147</f>
        <v>0.789222467665926</v>
      </c>
      <c r="F149" s="18" t="n">
        <f aca="false">F141/F147</f>
        <v>0.857502909993509</v>
      </c>
      <c r="G149" s="18" t="n">
        <f aca="false">G141/G147</f>
        <v>0.860702412318298</v>
      </c>
    </row>
    <row r="150" customFormat="false" ht="17.15" hidden="false" customHeight="false" outlineLevel="0" collapsed="false">
      <c r="A150" s="4" t="s">
        <v>537</v>
      </c>
      <c r="B150" s="0" t="s">
        <v>44</v>
      </c>
      <c r="C150" s="18" t="n">
        <f aca="false">C146/C147</f>
        <v>1</v>
      </c>
      <c r="D150" s="18" t="n">
        <f aca="false">D146/D147</f>
        <v>0.301262665535518</v>
      </c>
      <c r="E150" s="18" t="n">
        <f aca="false">E146/E147</f>
        <v>0.210777532334074</v>
      </c>
      <c r="F150" s="18" t="n">
        <f aca="false">F146/F147</f>
        <v>0.142497090006491</v>
      </c>
      <c r="G150" s="18" t="n">
        <f aca="false">G146/G147</f>
        <v>0.139297587681702</v>
      </c>
    </row>
    <row r="151" customFormat="false" ht="17.15" hidden="false" customHeight="false" outlineLevel="0" collapsed="false">
      <c r="A151" s="6" t="s">
        <v>538</v>
      </c>
    </row>
    <row r="152" customFormat="false" ht="17.15" hidden="false" customHeight="false" outlineLevel="0" collapsed="false">
      <c r="A152" s="0" t="s">
        <v>539</v>
      </c>
      <c r="B152" s="0" t="s">
        <v>219</v>
      </c>
      <c r="D152" s="20" t="n">
        <f aca="false">m_trn*D143+m_hbm*D142</f>
        <v>6.162</v>
      </c>
      <c r="E152" s="20" t="n">
        <f aca="false">(m_trn+gta_A)*E143+m_hbm*E142</f>
        <v>12.32</v>
      </c>
      <c r="F152" s="20" t="n">
        <f aca="false">(m_trn+gta_A)*F143+m_hbm*F142</f>
        <v>22.176</v>
      </c>
      <c r="G152" s="20" t="n">
        <f aca="false">(m_trn+gta_A)*G143+m_hbm*G142</f>
        <v>25.5024</v>
      </c>
    </row>
    <row r="153" customFormat="false" ht="17.15" hidden="false" customHeight="false" outlineLevel="0" collapsed="false">
      <c r="A153" s="4" t="s">
        <v>540</v>
      </c>
      <c r="B153" s="0" t="s">
        <v>44</v>
      </c>
      <c r="C153" s="17" t="n">
        <f aca="false">a25_gp/C146</f>
        <v>0.263661643924206</v>
      </c>
      <c r="D153" s="17" t="n">
        <f aca="false">(a26_gp-D152)/D146</f>
        <v>0.499403865114879</v>
      </c>
      <c r="E153" s="17" t="n">
        <f aca="false">$D153+0</f>
        <v>0.499403865114879</v>
      </c>
      <c r="F153" s="17" t="n">
        <f aca="false">$D153+0</f>
        <v>0.499403865114879</v>
      </c>
      <c r="G153" s="17" t="n">
        <f aca="false">$D153+0</f>
        <v>0.499403865114879</v>
      </c>
      <c r="K153" s="8" t="s">
        <v>541</v>
      </c>
    </row>
    <row r="154" customFormat="false" ht="15" hidden="false" customHeight="false" outlineLevel="0" collapsed="false">
      <c r="A154" s="4" t="s">
        <v>422</v>
      </c>
      <c r="B154" s="0" t="s">
        <v>219</v>
      </c>
      <c r="C154" s="20" t="n">
        <f aca="false">a25_gp</f>
        <v>8.154</v>
      </c>
      <c r="D154" s="20" t="n">
        <f aca="false">a26_gp</f>
        <v>16.368142</v>
      </c>
      <c r="E154" s="20" t="n">
        <f aca="false">E153*E146+E152</f>
        <v>24.0570633</v>
      </c>
      <c r="F154" s="20" t="n">
        <f aca="false">F153*F146+F152</f>
        <v>35.321510896</v>
      </c>
      <c r="G154" s="20" t="n">
        <f aca="false">G153*G146+G152</f>
        <v>40.22537220352</v>
      </c>
    </row>
    <row r="155" customFormat="false" ht="15" hidden="false" customHeight="false" outlineLevel="0" collapsed="false">
      <c r="A155" s="4" t="s">
        <v>425</v>
      </c>
      <c r="B155" s="0" t="s">
        <v>44</v>
      </c>
      <c r="C155" s="17" t="n">
        <f aca="false">C154/C147</f>
        <v>0.263661643924206</v>
      </c>
      <c r="D155" s="17" t="n">
        <f aca="false">D154/D147</f>
        <v>0.241287593063632</v>
      </c>
      <c r="E155" s="17" t="n">
        <f aca="false">E154/E147</f>
        <v>0.215754259800243</v>
      </c>
      <c r="F155" s="17" t="n">
        <f aca="false">F154/F147</f>
        <v>0.191214004915956</v>
      </c>
      <c r="G155" s="17" t="n">
        <f aca="false">G154/G147</f>
        <v>0.190064091413983</v>
      </c>
    </row>
    <row r="156" customFormat="false" ht="15" hidden="false" customHeight="false" outlineLevel="0" collapsed="false">
      <c r="A156" s="4" t="s">
        <v>429</v>
      </c>
      <c r="B156" s="0" t="s">
        <v>219</v>
      </c>
      <c r="C156" s="20" t="n">
        <f aca="false">a25_opx</f>
        <v>3.138</v>
      </c>
      <c r="D156" s="20" t="n">
        <f aca="false">a26_opx</f>
        <v>3.849</v>
      </c>
      <c r="E156" s="20" t="n">
        <f aca="false">D156*(1+MAX(g_opx_min,phi*E148))+0*E147</f>
        <v>4.59226414944208</v>
      </c>
      <c r="F156" s="20" t="n">
        <f aca="false">E156*(1+MAX(g_opx_min,phi*F148))+0*F147</f>
        <v>5.49694653983807</v>
      </c>
      <c r="G156" s="20" t="n">
        <f aca="false">F156*(1+MAX(g_opx_min,phi*G148))+0*G147</f>
        <v>5.93670226302511</v>
      </c>
    </row>
    <row r="157" customFormat="false" ht="15" hidden="false" customHeight="false" outlineLevel="0" collapsed="false">
      <c r="A157" s="4" t="s">
        <v>432</v>
      </c>
      <c r="B157" s="0" t="s">
        <v>219</v>
      </c>
      <c r="C157" s="20" t="n">
        <f aca="false">C154-C156</f>
        <v>5.016</v>
      </c>
      <c r="D157" s="20" t="n">
        <f aca="false">D154-D156</f>
        <v>12.519142</v>
      </c>
      <c r="E157" s="20" t="n">
        <f aca="false">E154-E156</f>
        <v>19.4647991505579</v>
      </c>
      <c r="F157" s="20" t="n">
        <f aca="false">F154-F156</f>
        <v>29.8245643561619</v>
      </c>
      <c r="G157" s="20" t="n">
        <f aca="false">G154-G156</f>
        <v>34.2886699404949</v>
      </c>
    </row>
    <row r="158" customFormat="false" ht="15" hidden="false" customHeight="false" outlineLevel="0" collapsed="false">
      <c r="A158" s="4" t="s">
        <v>505</v>
      </c>
      <c r="B158" s="0" t="s">
        <v>44</v>
      </c>
      <c r="C158" s="17" t="n">
        <f aca="false">C157/C147</f>
        <v>0.162193623488327</v>
      </c>
      <c r="D158" s="17" t="n">
        <f aca="false">D157/D147</f>
        <v>0.184548352549838</v>
      </c>
      <c r="E158" s="17" t="n">
        <f aca="false">E157/E147</f>
        <v>0.174568827479829</v>
      </c>
      <c r="F158" s="17" t="n">
        <f aca="false">F157/F147</f>
        <v>0.161456128312484</v>
      </c>
      <c r="G158" s="17" t="n">
        <f aca="false">G157/G147</f>
        <v>0.16201329014586</v>
      </c>
    </row>
    <row r="159" customFormat="false" ht="15" hidden="false" customHeight="false" outlineLevel="0" collapsed="false">
      <c r="A159" s="4" t="s">
        <v>435</v>
      </c>
      <c r="B159" s="0" t="s">
        <v>219</v>
      </c>
      <c r="C159" s="20" t="n">
        <f aca="false">a25_nonop</f>
        <v>1.7042198</v>
      </c>
      <c r="D159" s="20" t="n">
        <f aca="false">a26_nonop</f>
        <v>1.605</v>
      </c>
      <c r="E159" s="20" t="n">
        <f aca="false">nonop_f</f>
        <v>1.6</v>
      </c>
      <c r="F159" s="20" t="n">
        <f aca="false">nonop_f</f>
        <v>1.6</v>
      </c>
      <c r="G159" s="20" t="n">
        <f aca="false">nonop_f</f>
        <v>1.6</v>
      </c>
    </row>
    <row r="160" customFormat="false" ht="15" hidden="false" customHeight="false" outlineLevel="0" collapsed="false">
      <c r="A160" s="4" t="s">
        <v>437</v>
      </c>
      <c r="B160" s="0" t="s">
        <v>219</v>
      </c>
      <c r="C160" s="20" t="n">
        <f aca="false">C157+C159</f>
        <v>6.7202198</v>
      </c>
      <c r="D160" s="20" t="n">
        <f aca="false">D157+D159</f>
        <v>14.124142</v>
      </c>
      <c r="E160" s="20" t="n">
        <f aca="false">E157+E159</f>
        <v>21.0647991505579</v>
      </c>
      <c r="F160" s="20" t="n">
        <f aca="false">F157+F159</f>
        <v>31.4245643561619</v>
      </c>
      <c r="G160" s="20" t="n">
        <f aca="false">G157+G159</f>
        <v>35.8886699404949</v>
      </c>
    </row>
    <row r="161" customFormat="false" ht="15" hidden="false" customHeight="false" outlineLevel="0" collapsed="false">
      <c r="A161" s="4" t="s">
        <v>439</v>
      </c>
      <c r="B161" s="0" t="s">
        <v>219</v>
      </c>
      <c r="C161" s="20" t="n">
        <f aca="false">a25_tax</f>
        <v>1.1222198</v>
      </c>
      <c r="D161" s="20" t="n">
        <f aca="false">a26_tax</f>
        <v>2.8140284</v>
      </c>
      <c r="E161" s="20" t="n">
        <f aca="false">E160*tax</f>
        <v>4.21295983011158</v>
      </c>
      <c r="F161" s="20" t="n">
        <f aca="false">F160*tax</f>
        <v>6.28491287123239</v>
      </c>
      <c r="G161" s="20" t="n">
        <f aca="false">G160*tax</f>
        <v>7.17773398809898</v>
      </c>
    </row>
    <row r="162" customFormat="false" ht="15" hidden="false" customHeight="false" outlineLevel="0" collapsed="false">
      <c r="A162" s="4" t="s">
        <v>442</v>
      </c>
      <c r="B162" s="0" t="s">
        <v>219</v>
      </c>
      <c r="C162" s="20" t="n">
        <f aca="false">C160-C161</f>
        <v>5.598</v>
      </c>
      <c r="D162" s="20" t="n">
        <f aca="false">D160-D161</f>
        <v>11.3101136</v>
      </c>
      <c r="E162" s="20" t="n">
        <f aca="false">E160-E161</f>
        <v>16.8518393204463</v>
      </c>
      <c r="F162" s="20" t="n">
        <f aca="false">F160-F161</f>
        <v>25.1396514849296</v>
      </c>
      <c r="G162" s="20" t="n">
        <f aca="false">G160-G161</f>
        <v>28.7109359523959</v>
      </c>
      <c r="H162" s="28" t="n">
        <f aca="false">H147*H166</f>
        <v>31.6162562974412</v>
      </c>
      <c r="I162" s="28" t="n">
        <f aca="false">I147*I166</f>
        <v>33.9179174490359</v>
      </c>
      <c r="J162" s="28" t="n">
        <f aca="false">J147*J166</f>
        <v>35.424317845797</v>
      </c>
    </row>
    <row r="163" customFormat="false" ht="17.15" hidden="false" customHeight="false" outlineLevel="0" collapsed="false">
      <c r="A163" s="4" t="s">
        <v>542</v>
      </c>
      <c r="B163" s="4" t="s">
        <v>272</v>
      </c>
      <c r="C163" s="19" t="n">
        <f aca="false">a25_sh</f>
        <v>0.0809193408499566</v>
      </c>
      <c r="D163" s="19" t="n">
        <f aca="false">a26_sh</f>
        <v>0.0838996682946683</v>
      </c>
      <c r="E163" s="19" t="n">
        <f aca="false">q_sh*(1+sh_g)</f>
        <v>0.08621</v>
      </c>
      <c r="F163" s="19" t="n">
        <f aca="false">E163*(1+sh_g)</f>
        <v>0.08621</v>
      </c>
      <c r="G163" s="19" t="n">
        <f aca="false">F163*(1+sh_g)</f>
        <v>0.08621</v>
      </c>
      <c r="H163" s="31" t="n">
        <f aca="false">G163*(1+sh_g)</f>
        <v>0.08621</v>
      </c>
      <c r="I163" s="31" t="n">
        <f aca="false">H163*(1+sh_g)</f>
        <v>0.08621</v>
      </c>
      <c r="J163" s="31" t="n">
        <f aca="false">I163*(1+sh_g)</f>
        <v>0.08621</v>
      </c>
      <c r="K163" s="8" t="s">
        <v>543</v>
      </c>
    </row>
    <row r="164" customFormat="false" ht="17.15" hidden="false" customHeight="false" outlineLevel="0" collapsed="false">
      <c r="A164" s="0" t="s">
        <v>446</v>
      </c>
      <c r="B164" s="0" t="s">
        <v>312</v>
      </c>
      <c r="C164" s="20" t="n">
        <f aca="false">C162/C163</f>
        <v>69.18</v>
      </c>
      <c r="D164" s="20" t="n">
        <f aca="false">D162/D163</f>
        <v>134.805224262356</v>
      </c>
      <c r="E164" s="20" t="n">
        <f aca="false">E162/E163</f>
        <v>195.474299042412</v>
      </c>
      <c r="F164" s="20" t="n">
        <f aca="false">F162/F163</f>
        <v>291.609459284649</v>
      </c>
      <c r="G164" s="20" t="n">
        <f aca="false">G162/G163</f>
        <v>333.034867792552</v>
      </c>
      <c r="H164" s="28" t="n">
        <f aca="false">H162/H163</f>
        <v>366.735370576977</v>
      </c>
      <c r="I164" s="28" t="n">
        <f aca="false">I162/I163</f>
        <v>393.43367879638</v>
      </c>
      <c r="J164" s="28" t="n">
        <f aca="false">J162/J163</f>
        <v>410.907294348648</v>
      </c>
    </row>
    <row r="165" customFormat="false" ht="17.15" hidden="false" customHeight="false" outlineLevel="0" collapsed="false">
      <c r="A165" s="0" t="s">
        <v>544</v>
      </c>
      <c r="B165" s="0" t="s">
        <v>44</v>
      </c>
      <c r="D165" s="18" t="n">
        <f aca="false">D164/C164-1</f>
        <v>0.948615557420577</v>
      </c>
      <c r="E165" s="18" t="n">
        <f aca="false">E164/D164-1</f>
        <v>0.450049878348805</v>
      </c>
      <c r="F165" s="18" t="n">
        <f aca="false">F164/E164-1</f>
        <v>0.491804604048628</v>
      </c>
      <c r="G165" s="18" t="n">
        <f aca="false">G164/F164-1</f>
        <v>0.142057835193429</v>
      </c>
      <c r="H165" s="26" t="n">
        <f aca="false">H164/G164-1</f>
        <v>0.101192115431641</v>
      </c>
      <c r="I165" s="26" t="n">
        <f aca="false">I164/H164-1</f>
        <v>0.0727999270356681</v>
      </c>
      <c r="J165" s="26" t="n">
        <f aca="false">J164/I164-1</f>
        <v>0.0444131158413406</v>
      </c>
    </row>
    <row r="166" customFormat="false" ht="17.15" hidden="false" customHeight="false" outlineLevel="0" collapsed="false">
      <c r="A166" s="4" t="s">
        <v>545</v>
      </c>
      <c r="B166" s="0" t="s">
        <v>44</v>
      </c>
      <c r="C166" s="17" t="n">
        <f aca="false">C162/C147</f>
        <v>0.181012740089245</v>
      </c>
      <c r="D166" s="17" t="n">
        <f aca="false">D162/D147</f>
        <v>0.166725709480052</v>
      </c>
      <c r="E166" s="17" t="n">
        <f aca="false">E162/E147</f>
        <v>0.151134661513549</v>
      </c>
      <c r="F166" s="17" t="n">
        <f aca="false">F162/F147</f>
        <v>0.13609421909438</v>
      </c>
      <c r="G166" s="17" t="n">
        <f aca="false">G162/G147</f>
        <v>0.135658606906803</v>
      </c>
      <c r="H166" s="27" t="n">
        <f aca="false">$G166+(fade_mA-$G166)*1/3</f>
        <v>0.133720789986734</v>
      </c>
      <c r="I166" s="27" t="n">
        <f aca="false">$G166+(fade_mA-$G166)*2/3</f>
        <v>0.131782973066664</v>
      </c>
      <c r="J166" s="27" t="n">
        <f aca="false">$G166+(fade_mA-$G166)*3/3</f>
        <v>0.129845156146594</v>
      </c>
    </row>
    <row r="169" customFormat="false" ht="17.15" hidden="false" customHeight="false" outlineLevel="0" collapsed="false">
      <c r="A169" s="1" t="s">
        <v>823</v>
      </c>
    </row>
    <row r="170" customFormat="false" ht="17.15" hidden="false" customHeight="false" outlineLevel="0" collapsed="false">
      <c r="A170" s="5" t="s">
        <v>20</v>
      </c>
      <c r="B170" s="5" t="s">
        <v>21</v>
      </c>
      <c r="C170" s="14" t="s">
        <v>407</v>
      </c>
      <c r="D170" s="14" t="s">
        <v>495</v>
      </c>
      <c r="E170" s="14" t="s">
        <v>496</v>
      </c>
      <c r="F170" s="14" t="s">
        <v>497</v>
      </c>
      <c r="G170" s="14" t="s">
        <v>498</v>
      </c>
      <c r="H170" s="14" t="s">
        <v>499</v>
      </c>
      <c r="I170" s="14" t="s">
        <v>500</v>
      </c>
      <c r="J170" s="14" t="s">
        <v>501</v>
      </c>
      <c r="K170" s="5" t="s">
        <v>465</v>
      </c>
    </row>
    <row r="171" customFormat="false" ht="17.15" hidden="false" customHeight="false" outlineLevel="0" collapsed="false">
      <c r="A171" s="6" t="s">
        <v>516</v>
      </c>
    </row>
    <row r="172" customFormat="false" ht="17.15" hidden="false" customHeight="false" outlineLevel="0" collapsed="false">
      <c r="A172" s="0" t="s">
        <v>517</v>
      </c>
      <c r="B172" s="4" t="s">
        <v>31</v>
      </c>
      <c r="D172" s="22" t="n">
        <f aca="false">u_trn_26</f>
        <v>2</v>
      </c>
      <c r="E172" s="22" t="n">
        <f aca="false">u_trn_27</f>
        <v>2.5</v>
      </c>
      <c r="F172" s="22" t="n">
        <f aca="false">u_trn_28*um28_A</f>
        <v>3</v>
      </c>
      <c r="G172" s="22" t="n">
        <f aca="false">u_trn_28*(1+g29_trn)*um29_A</f>
        <v>3.45</v>
      </c>
    </row>
    <row r="173" customFormat="false" ht="17.15" hidden="false" customHeight="false" outlineLevel="0" collapsed="false">
      <c r="A173" s="4" t="s">
        <v>469</v>
      </c>
      <c r="B173" s="0" t="s">
        <v>44</v>
      </c>
      <c r="D173" s="18" t="n">
        <f aca="false">al_trn_26</f>
        <v>0.3</v>
      </c>
      <c r="E173" s="18" t="n">
        <f aca="false">MIN(1,MAX(0,al27_A+0))</f>
        <v>0.55</v>
      </c>
      <c r="F173" s="18" t="n">
        <f aca="false">MIN(1,MAX(0,al28_A+0))</f>
        <v>0.55</v>
      </c>
      <c r="G173" s="18" t="n">
        <f aca="false">MIN(1,MAX(0,al28_A+0))</f>
        <v>0.55</v>
      </c>
    </row>
    <row r="174" customFormat="false" ht="17.15" hidden="false" customHeight="false" outlineLevel="0" collapsed="false">
      <c r="A174" s="4" t="s">
        <v>471</v>
      </c>
      <c r="B174" s="4" t="s">
        <v>31</v>
      </c>
      <c r="D174" s="22" t="n">
        <f aca="false">D172*D173</f>
        <v>0.6</v>
      </c>
      <c r="E174" s="22" t="n">
        <f aca="false">E172*E173*uf_hi</f>
        <v>1.65</v>
      </c>
      <c r="F174" s="22" t="n">
        <f aca="false">F172*F173*uf_hi</f>
        <v>1.98</v>
      </c>
      <c r="G174" s="22" t="n">
        <f aca="false">G172*G173*uf_hi</f>
        <v>2.277</v>
      </c>
    </row>
    <row r="175" customFormat="false" ht="17.15" hidden="false" customHeight="false" outlineLevel="0" collapsed="false">
      <c r="A175" s="4" t="s">
        <v>518</v>
      </c>
      <c r="B175" s="0" t="s">
        <v>69</v>
      </c>
      <c r="D175" s="30" t="n">
        <f aca="false">gb_trn_26</f>
        <v>110</v>
      </c>
      <c r="E175" s="30" t="n">
        <f aca="false">gb_trn_27</f>
        <v>144</v>
      </c>
      <c r="F175" s="30" t="n">
        <f aca="false">gb_trn_28</f>
        <v>200</v>
      </c>
      <c r="G175" s="30" t="n">
        <f aca="false">gb_trn_28</f>
        <v>200</v>
      </c>
    </row>
    <row r="176" customFormat="false" ht="17.15" hidden="false" customHeight="false" outlineLevel="0" collapsed="false">
      <c r="A176" s="0" t="s">
        <v>519</v>
      </c>
      <c r="B176" s="0" t="s">
        <v>156</v>
      </c>
      <c r="D176" s="20" t="n">
        <f aca="false">hbm_A_26</f>
        <v>14.6</v>
      </c>
      <c r="E176" s="20" t="n">
        <f aca="false">hbm_A_27</f>
        <v>26.28</v>
      </c>
      <c r="F176" s="20" t="n">
        <f aca="false">hbm_A_28</f>
        <v>28.908</v>
      </c>
      <c r="G176" s="20" t="n">
        <f aca="false">hbm_A_29</f>
        <v>27.4626</v>
      </c>
    </row>
    <row r="177" customFormat="false" ht="17.15" hidden="false" customHeight="false" outlineLevel="0" collapsed="false">
      <c r="A177" s="4" t="s">
        <v>520</v>
      </c>
      <c r="B177" s="0" t="s">
        <v>80</v>
      </c>
      <c r="D177" s="20" t="n">
        <f aca="false">core_trn</f>
        <v>6.394</v>
      </c>
      <c r="E177" s="20" t="n">
        <f aca="false">core_trn</f>
        <v>6.394</v>
      </c>
      <c r="F177" s="20" t="n">
        <f aca="false">core_trn*pfc_A</f>
        <v>9.591</v>
      </c>
      <c r="G177" s="20" t="n">
        <f aca="false">core_trn*pfc_A</f>
        <v>9.591</v>
      </c>
    </row>
    <row r="178" customFormat="false" ht="17.15" hidden="false" customHeight="false" outlineLevel="0" collapsed="false">
      <c r="A178" s="4" t="s">
        <v>521</v>
      </c>
      <c r="B178" s="0" t="s">
        <v>80</v>
      </c>
      <c r="D178" s="20" t="n">
        <f aca="false">D175*D176/1000</f>
        <v>1.606</v>
      </c>
      <c r="E178" s="20" t="n">
        <f aca="false">E175*E176/1000</f>
        <v>3.78432</v>
      </c>
      <c r="F178" s="20" t="n">
        <f aca="false">F175*F176/1000</f>
        <v>5.7816</v>
      </c>
      <c r="G178" s="20" t="n">
        <f aca="false">G175*G176/1000</f>
        <v>5.49252</v>
      </c>
    </row>
    <row r="179" customFormat="false" ht="17.15" hidden="false" customHeight="false" outlineLevel="0" collapsed="false">
      <c r="A179" s="4" t="s">
        <v>522</v>
      </c>
      <c r="B179" s="0" t="s">
        <v>80</v>
      </c>
      <c r="D179" s="20" t="n">
        <f aca="false">D177+f_al*D178</f>
        <v>6.394</v>
      </c>
      <c r="E179" s="20" t="n">
        <f aca="false">E177+f_al*E178</f>
        <v>6.394</v>
      </c>
      <c r="F179" s="20" t="n">
        <f aca="false">F177+f_al*F178</f>
        <v>9.591</v>
      </c>
      <c r="G179" s="20" t="n">
        <f aca="false">G177+f_al*G178</f>
        <v>9.591</v>
      </c>
      <c r="K179" s="4" t="s">
        <v>523</v>
      </c>
    </row>
    <row r="180" customFormat="false" ht="17.15" hidden="false" customHeight="false" outlineLevel="0" collapsed="false">
      <c r="A180" s="0" t="s">
        <v>524</v>
      </c>
      <c r="B180" s="0" t="s">
        <v>213</v>
      </c>
      <c r="D180" s="20" t="n">
        <f aca="false">D174*D179</f>
        <v>3.8364</v>
      </c>
      <c r="E180" s="20" t="n">
        <f aca="false">E174*E179</f>
        <v>10.5501</v>
      </c>
      <c r="F180" s="20" t="n">
        <f aca="false">F174*F179</f>
        <v>18.99018</v>
      </c>
      <c r="G180" s="20" t="n">
        <f aca="false">G174*G179</f>
        <v>21.838707</v>
      </c>
    </row>
    <row r="181" customFormat="false" ht="17.15" hidden="false" customHeight="false" outlineLevel="0" collapsed="false">
      <c r="A181" s="4" t="s">
        <v>525</v>
      </c>
      <c r="B181" s="0" t="s">
        <v>49</v>
      </c>
      <c r="D181" s="22" t="n">
        <f aca="false">dc26/D180</f>
        <v>0.390991554582421</v>
      </c>
      <c r="K181" s="8" t="s">
        <v>526</v>
      </c>
    </row>
    <row r="182" customFormat="false" ht="17.15" hidden="false" customHeight="false" outlineLevel="0" collapsed="false">
      <c r="A182" s="0" t="s">
        <v>527</v>
      </c>
      <c r="B182" s="0" t="s">
        <v>213</v>
      </c>
      <c r="D182" s="20" t="n">
        <f aca="false">D180*$D$181</f>
        <v>1.5</v>
      </c>
      <c r="E182" s="20" t="n">
        <f aca="false">E180*$D$181</f>
        <v>4.125</v>
      </c>
      <c r="F182" s="20" t="n">
        <f aca="false">F180*$D$181</f>
        <v>7.425</v>
      </c>
      <c r="G182" s="20" t="n">
        <f aca="false">G180*$D$181</f>
        <v>8.53875</v>
      </c>
    </row>
    <row r="183" customFormat="false" ht="15" hidden="false" customHeight="false" outlineLevel="0" collapsed="false">
      <c r="A183" s="4" t="s">
        <v>528</v>
      </c>
      <c r="B183" s="0" t="s">
        <v>224</v>
      </c>
      <c r="D183" s="20" t="n">
        <f aca="false">fx26</f>
        <v>31.6</v>
      </c>
      <c r="E183" s="20" t="n">
        <f aca="false">fx</f>
        <v>32</v>
      </c>
      <c r="F183" s="20" t="n">
        <f aca="false">fx</f>
        <v>32</v>
      </c>
      <c r="G183" s="20" t="n">
        <f aca="false">fx</f>
        <v>32</v>
      </c>
    </row>
    <row r="184" customFormat="false" ht="17.15" hidden="false" customHeight="false" outlineLevel="0" collapsed="false">
      <c r="A184" s="0" t="s">
        <v>529</v>
      </c>
      <c r="B184" s="0" t="s">
        <v>219</v>
      </c>
      <c r="C184" s="20" t="n">
        <f aca="false">a25_trn</f>
        <v>0</v>
      </c>
      <c r="D184" s="20" t="n">
        <f aca="false">D182*D183</f>
        <v>47.4</v>
      </c>
      <c r="E184" s="20" t="n">
        <f aca="false">E182*E183</f>
        <v>132</v>
      </c>
      <c r="F184" s="20" t="n">
        <f aca="false">F182*F183</f>
        <v>237.6</v>
      </c>
      <c r="G184" s="20" t="n">
        <f aca="false">G182*G183</f>
        <v>273.24</v>
      </c>
    </row>
    <row r="185" customFormat="false" ht="17.15" hidden="false" customHeight="false" outlineLevel="0" collapsed="false">
      <c r="A185" s="4" t="s">
        <v>530</v>
      </c>
      <c r="B185" s="0" t="s">
        <v>219</v>
      </c>
      <c r="D185" s="20" t="n">
        <f aca="false">$D$181*f_al*D174*D178*D183</f>
        <v>0</v>
      </c>
      <c r="E185" s="20" t="n">
        <f aca="false">$D$181*f_al*E174*E178*E183</f>
        <v>0</v>
      </c>
      <c r="F185" s="20" t="n">
        <f aca="false">$D$181*f_al*F174*F178*F183</f>
        <v>0</v>
      </c>
      <c r="G185" s="20" t="n">
        <f aca="false">$D$181*f_al*G174*G178*G183</f>
        <v>0</v>
      </c>
    </row>
    <row r="186" customFormat="false" ht="15" hidden="false" customHeight="false" outlineLevel="0" collapsed="false">
      <c r="A186" s="4" t="s">
        <v>531</v>
      </c>
      <c r="B186" s="0" t="s">
        <v>219</v>
      </c>
      <c r="D186" s="20" t="n">
        <f aca="false">D184-D185</f>
        <v>47.4</v>
      </c>
      <c r="E186" s="20" t="n">
        <f aca="false">E184-E185</f>
        <v>132</v>
      </c>
      <c r="F186" s="20" t="n">
        <f aca="false">F184-F185</f>
        <v>237.6</v>
      </c>
      <c r="G186" s="20" t="n">
        <f aca="false">G184-G185</f>
        <v>273.24</v>
      </c>
    </row>
    <row r="187" customFormat="false" ht="15" hidden="false" customHeight="false" outlineLevel="0" collapsed="false">
      <c r="A187" s="4" t="s">
        <v>475</v>
      </c>
      <c r="B187" s="0" t="s">
        <v>80</v>
      </c>
      <c r="D187" s="20" t="n">
        <f aca="false">IF(D174&gt;0,D182/D174,0)</f>
        <v>2.5</v>
      </c>
      <c r="E187" s="20" t="n">
        <f aca="false">IF(E174&gt;0,E182/E174,0)</f>
        <v>2.5</v>
      </c>
      <c r="F187" s="20" t="n">
        <f aca="false">IF(F174&gt;0,F182/F174,0)</f>
        <v>3.75</v>
      </c>
      <c r="G187" s="20" t="n">
        <f aca="false">IF(G174&gt;0,G182/G174,0)</f>
        <v>3.75</v>
      </c>
    </row>
    <row r="188" customFormat="false" ht="17.15" hidden="false" customHeight="false" outlineLevel="0" collapsed="false">
      <c r="A188" s="6" t="s">
        <v>532</v>
      </c>
    </row>
    <row r="189" customFormat="false" ht="17.15" hidden="false" customHeight="false" outlineLevel="0" collapsed="false">
      <c r="A189" s="4" t="s">
        <v>533</v>
      </c>
      <c r="B189" s="0" t="s">
        <v>219</v>
      </c>
      <c r="C189" s="20" t="n">
        <f aca="false">a25_oth</f>
        <v>30.926</v>
      </c>
      <c r="D189" s="20" t="n">
        <f aca="false">a26_oth</f>
        <v>20.43665</v>
      </c>
      <c r="E189" s="20" t="n">
        <f aca="false">D189*(1+g_o27_A)</f>
        <v>23.5021475</v>
      </c>
      <c r="F189" s="20" t="n">
        <f aca="false">E189*(1+g_oL_A)</f>
        <v>26.3224052</v>
      </c>
      <c r="G189" s="20" t="n">
        <f aca="false">F189*(1+g_oL_A)</f>
        <v>29.481093824</v>
      </c>
    </row>
    <row r="190" customFormat="false" ht="17.15" hidden="false" customHeight="false" outlineLevel="0" collapsed="false">
      <c r="A190" s="4" t="s">
        <v>413</v>
      </c>
      <c r="B190" s="0" t="s">
        <v>219</v>
      </c>
      <c r="C190" s="20" t="n">
        <f aca="false">C189+C184</f>
        <v>30.926</v>
      </c>
      <c r="D190" s="20" t="n">
        <f aca="false">D189+D184</f>
        <v>67.83665</v>
      </c>
      <c r="E190" s="20" t="n">
        <f aca="false">E189+E184</f>
        <v>155.5021475</v>
      </c>
      <c r="F190" s="20" t="n">
        <f aca="false">F189+F184</f>
        <v>263.9224052</v>
      </c>
      <c r="G190" s="20" t="n">
        <f aca="false">G189+G184</f>
        <v>302.721093824</v>
      </c>
      <c r="H190" s="28" t="n">
        <f aca="false">G190*(1+H191)</f>
        <v>338.44378492856</v>
      </c>
      <c r="I190" s="28" t="n">
        <f aca="false">H190*(1+I191)</f>
        <v>368.566177328071</v>
      </c>
      <c r="J190" s="28" t="n">
        <f aca="false">I190*(1+J191)</f>
        <v>390.680147967756</v>
      </c>
      <c r="K190" s="8" t="s">
        <v>534</v>
      </c>
    </row>
    <row r="191" customFormat="false" ht="15" hidden="false" customHeight="false" outlineLevel="0" collapsed="false">
      <c r="A191" s="4" t="s">
        <v>535</v>
      </c>
      <c r="B191" s="0" t="s">
        <v>44</v>
      </c>
      <c r="D191" s="18" t="n">
        <f aca="false">D190/C190-1</f>
        <v>1.19351516523314</v>
      </c>
      <c r="E191" s="18" t="n">
        <f aca="false">E190/D190-1</f>
        <v>1.29230287020364</v>
      </c>
      <c r="F191" s="18" t="n">
        <f aca="false">F190/E190-1</f>
        <v>0.697226755019573</v>
      </c>
      <c r="G191" s="18" t="n">
        <f aca="false">G190/F190-1</f>
        <v>0.147007938165001</v>
      </c>
      <c r="H191" s="26" t="n">
        <f aca="false">$G191+(fade_gA-$G191)*1/3</f>
        <v>0.118005292110001</v>
      </c>
      <c r="I191" s="26" t="n">
        <f aca="false">$G191+(fade_gA-$G191)*2/3</f>
        <v>0.0890026460550004</v>
      </c>
      <c r="J191" s="26" t="n">
        <f aca="false">$G191+(fade_gA-$G191)*3/3</f>
        <v>0.06</v>
      </c>
    </row>
    <row r="192" customFormat="false" ht="17.15" hidden="false" customHeight="false" outlineLevel="0" collapsed="false">
      <c r="A192" s="0" t="s">
        <v>536</v>
      </c>
      <c r="B192" s="0" t="s">
        <v>44</v>
      </c>
      <c r="C192" s="18" t="n">
        <f aca="false">C184/C190</f>
        <v>0</v>
      </c>
      <c r="D192" s="18" t="n">
        <f aca="false">D184/D190</f>
        <v>0.698737334464482</v>
      </c>
      <c r="E192" s="18" t="n">
        <f aca="false">E184/E190</f>
        <v>0.848862875028784</v>
      </c>
      <c r="F192" s="18" t="n">
        <f aca="false">F184/F190</f>
        <v>0.900264605500041</v>
      </c>
      <c r="G192" s="18" t="n">
        <f aca="false">G184/G190</f>
        <v>0.902613017640786</v>
      </c>
    </row>
    <row r="193" customFormat="false" ht="17.15" hidden="false" customHeight="false" outlineLevel="0" collapsed="false">
      <c r="A193" s="4" t="s">
        <v>537</v>
      </c>
      <c r="B193" s="0" t="s">
        <v>44</v>
      </c>
      <c r="C193" s="18" t="n">
        <f aca="false">C189/C190</f>
        <v>1</v>
      </c>
      <c r="D193" s="18" t="n">
        <f aca="false">D189/D190</f>
        <v>0.301262665535518</v>
      </c>
      <c r="E193" s="18" t="n">
        <f aca="false">E189/E190</f>
        <v>0.151137124971216</v>
      </c>
      <c r="F193" s="18" t="n">
        <f aca="false">F189/F190</f>
        <v>0.0997353944999588</v>
      </c>
      <c r="G193" s="18" t="n">
        <f aca="false">G189/G190</f>
        <v>0.0973869823592145</v>
      </c>
    </row>
    <row r="194" customFormat="false" ht="17.15" hidden="false" customHeight="false" outlineLevel="0" collapsed="false">
      <c r="A194" s="6" t="s">
        <v>538</v>
      </c>
    </row>
    <row r="195" customFormat="false" ht="17.15" hidden="false" customHeight="false" outlineLevel="0" collapsed="false">
      <c r="A195" s="0" t="s">
        <v>539</v>
      </c>
      <c r="B195" s="0" t="s">
        <v>219</v>
      </c>
      <c r="D195" s="20" t="n">
        <f aca="false">m_trn*D186+m_hbm*D185</f>
        <v>6.162</v>
      </c>
      <c r="E195" s="20" t="n">
        <f aca="false">(m_trn+gta_A)*E186+m_hbm*E185</f>
        <v>18.48</v>
      </c>
      <c r="F195" s="20" t="n">
        <f aca="false">(m_trn+gta_A)*F186+m_hbm*F185</f>
        <v>33.264</v>
      </c>
      <c r="G195" s="20" t="n">
        <f aca="false">(m_trn+gta_A)*G186+m_hbm*G185</f>
        <v>38.2536</v>
      </c>
    </row>
    <row r="196" customFormat="false" ht="17.15" hidden="false" customHeight="false" outlineLevel="0" collapsed="false">
      <c r="A196" s="4" t="s">
        <v>540</v>
      </c>
      <c r="B196" s="0" t="s">
        <v>44</v>
      </c>
      <c r="C196" s="17" t="n">
        <f aca="false">a25_gp/C189</f>
        <v>0.263661643924206</v>
      </c>
      <c r="D196" s="17" t="n">
        <f aca="false">(a26_gp-D195)/D189</f>
        <v>0.499403865114879</v>
      </c>
      <c r="E196" s="17" t="n">
        <f aca="false">$D196+0</f>
        <v>0.499403865114879</v>
      </c>
      <c r="F196" s="17" t="n">
        <f aca="false">$D196+0</f>
        <v>0.499403865114879</v>
      </c>
      <c r="G196" s="17" t="n">
        <f aca="false">$D196+0</f>
        <v>0.499403865114879</v>
      </c>
      <c r="K196" s="8" t="s">
        <v>541</v>
      </c>
    </row>
    <row r="197" customFormat="false" ht="15" hidden="false" customHeight="false" outlineLevel="0" collapsed="false">
      <c r="A197" s="4" t="s">
        <v>422</v>
      </c>
      <c r="B197" s="0" t="s">
        <v>219</v>
      </c>
      <c r="C197" s="20" t="n">
        <f aca="false">a25_gp</f>
        <v>8.154</v>
      </c>
      <c r="D197" s="20" t="n">
        <f aca="false">a26_gp</f>
        <v>16.368142</v>
      </c>
      <c r="E197" s="20" t="n">
        <f aca="false">E196*E189+E195</f>
        <v>30.2170633</v>
      </c>
      <c r="F197" s="20" t="n">
        <f aca="false">F196*F189+F195</f>
        <v>46.409510896</v>
      </c>
      <c r="G197" s="20" t="n">
        <f aca="false">G196*G189+G195</f>
        <v>52.97657220352</v>
      </c>
    </row>
    <row r="198" customFormat="false" ht="15" hidden="false" customHeight="false" outlineLevel="0" collapsed="false">
      <c r="A198" s="4" t="s">
        <v>425</v>
      </c>
      <c r="B198" s="0" t="s">
        <v>44</v>
      </c>
      <c r="C198" s="17" t="n">
        <f aca="false">C197/C190</f>
        <v>0.263661643924206</v>
      </c>
      <c r="D198" s="17" t="n">
        <f aca="false">D197/D190</f>
        <v>0.241287593063632</v>
      </c>
      <c r="E198" s="17" t="n">
        <f aca="false">E197/E190</f>
        <v>0.194319266877006</v>
      </c>
      <c r="F198" s="17" t="n">
        <f aca="false">F197/F190</f>
        <v>0.175845286272043</v>
      </c>
      <c r="G198" s="17" t="n">
        <f aca="false">G197/G190</f>
        <v>0.175001257871776</v>
      </c>
    </row>
    <row r="199" customFormat="false" ht="15" hidden="false" customHeight="false" outlineLevel="0" collapsed="false">
      <c r="A199" s="4" t="s">
        <v>429</v>
      </c>
      <c r="B199" s="0" t="s">
        <v>219</v>
      </c>
      <c r="C199" s="20" t="n">
        <f aca="false">a25_opx</f>
        <v>3.138</v>
      </c>
      <c r="D199" s="20" t="n">
        <f aca="false">a26_opx</f>
        <v>3.849</v>
      </c>
      <c r="E199" s="20" t="n">
        <f aca="false">D199*(1+MAX(g_opx_min,phi*E191))+0*E190</f>
        <v>5.34122212422415</v>
      </c>
      <c r="F199" s="20" t="n">
        <f aca="false">E199*(1+MAX(g_opx_min,phi*F191))+0*F190</f>
        <v>6.45843501507761</v>
      </c>
      <c r="G199" s="20" t="n">
        <f aca="false">F199*(1+MAX(g_opx_min,phi*G191))+0*G190</f>
        <v>6.97510981628382</v>
      </c>
    </row>
    <row r="200" customFormat="false" ht="15" hidden="false" customHeight="false" outlineLevel="0" collapsed="false">
      <c r="A200" s="4" t="s">
        <v>432</v>
      </c>
      <c r="B200" s="0" t="s">
        <v>219</v>
      </c>
      <c r="C200" s="20" t="n">
        <f aca="false">C197-C199</f>
        <v>5.016</v>
      </c>
      <c r="D200" s="20" t="n">
        <f aca="false">D197-D199</f>
        <v>12.519142</v>
      </c>
      <c r="E200" s="20" t="n">
        <f aca="false">E197-E199</f>
        <v>24.8758411757758</v>
      </c>
      <c r="F200" s="20" t="n">
        <f aca="false">F197-F199</f>
        <v>39.9510758809224</v>
      </c>
      <c r="G200" s="20" t="n">
        <f aca="false">G197-G199</f>
        <v>46.0014623872362</v>
      </c>
    </row>
    <row r="201" customFormat="false" ht="15" hidden="false" customHeight="false" outlineLevel="0" collapsed="false">
      <c r="A201" s="4" t="s">
        <v>505</v>
      </c>
      <c r="B201" s="0" t="s">
        <v>44</v>
      </c>
      <c r="C201" s="17" t="n">
        <f aca="false">C200/C190</f>
        <v>0.162193623488327</v>
      </c>
      <c r="D201" s="17" t="n">
        <f aca="false">D200/D190</f>
        <v>0.184548352549838</v>
      </c>
      <c r="E201" s="17" t="n">
        <f aca="false">E200/E190</f>
        <v>0.159971045903246</v>
      </c>
      <c r="F201" s="17" t="n">
        <f aca="false">F200/F190</f>
        <v>0.15137432477795</v>
      </c>
      <c r="G201" s="17" t="n">
        <f aca="false">G200/G190</f>
        <v>0.151959884282068</v>
      </c>
    </row>
    <row r="202" customFormat="false" ht="15" hidden="false" customHeight="false" outlineLevel="0" collapsed="false">
      <c r="A202" s="4" t="s">
        <v>435</v>
      </c>
      <c r="B202" s="0" t="s">
        <v>219</v>
      </c>
      <c r="C202" s="20" t="n">
        <f aca="false">a25_nonop</f>
        <v>1.7042198</v>
      </c>
      <c r="D202" s="20" t="n">
        <f aca="false">a26_nonop</f>
        <v>1.605</v>
      </c>
      <c r="E202" s="20" t="n">
        <f aca="false">nonop_f</f>
        <v>1.6</v>
      </c>
      <c r="F202" s="20" t="n">
        <f aca="false">nonop_f</f>
        <v>1.6</v>
      </c>
      <c r="G202" s="20" t="n">
        <f aca="false">nonop_f</f>
        <v>1.6</v>
      </c>
    </row>
    <row r="203" customFormat="false" ht="15" hidden="false" customHeight="false" outlineLevel="0" collapsed="false">
      <c r="A203" s="4" t="s">
        <v>437</v>
      </c>
      <c r="B203" s="0" t="s">
        <v>219</v>
      </c>
      <c r="C203" s="20" t="n">
        <f aca="false">C200+C202</f>
        <v>6.7202198</v>
      </c>
      <c r="D203" s="20" t="n">
        <f aca="false">D200+D202</f>
        <v>14.124142</v>
      </c>
      <c r="E203" s="20" t="n">
        <f aca="false">E200+E202</f>
        <v>26.4758411757758</v>
      </c>
      <c r="F203" s="20" t="n">
        <f aca="false">F200+F202</f>
        <v>41.5510758809224</v>
      </c>
      <c r="G203" s="20" t="n">
        <f aca="false">G200+G202</f>
        <v>47.6014623872362</v>
      </c>
    </row>
    <row r="204" customFormat="false" ht="15" hidden="false" customHeight="false" outlineLevel="0" collapsed="false">
      <c r="A204" s="4" t="s">
        <v>439</v>
      </c>
      <c r="B204" s="0" t="s">
        <v>219</v>
      </c>
      <c r="C204" s="20" t="n">
        <f aca="false">a25_tax</f>
        <v>1.1222198</v>
      </c>
      <c r="D204" s="20" t="n">
        <f aca="false">a26_tax</f>
        <v>2.8140284</v>
      </c>
      <c r="E204" s="20" t="n">
        <f aca="false">E203*tax</f>
        <v>5.29516823515517</v>
      </c>
      <c r="F204" s="20" t="n">
        <f aca="false">F203*tax</f>
        <v>8.31021517618448</v>
      </c>
      <c r="G204" s="20" t="n">
        <f aca="false">G203*tax</f>
        <v>9.52029247744724</v>
      </c>
    </row>
    <row r="205" customFormat="false" ht="15" hidden="false" customHeight="false" outlineLevel="0" collapsed="false">
      <c r="A205" s="4" t="s">
        <v>442</v>
      </c>
      <c r="B205" s="0" t="s">
        <v>219</v>
      </c>
      <c r="C205" s="20" t="n">
        <f aca="false">C203-C204</f>
        <v>5.598</v>
      </c>
      <c r="D205" s="20" t="n">
        <f aca="false">D203-D204</f>
        <v>11.3101136</v>
      </c>
      <c r="E205" s="20" t="n">
        <f aca="false">E203-E204</f>
        <v>21.1806729406207</v>
      </c>
      <c r="F205" s="20" t="n">
        <f aca="false">F203-F204</f>
        <v>33.2408607047379</v>
      </c>
      <c r="G205" s="20" t="n">
        <f aca="false">G203-G204</f>
        <v>38.081169909789</v>
      </c>
      <c r="H205" s="28" t="n">
        <f aca="false">H190*H209</f>
        <v>43.0317283595539</v>
      </c>
      <c r="I205" s="28" t="n">
        <f aca="false">I190*I209</f>
        <v>47.3590994466955</v>
      </c>
      <c r="J205" s="28" t="n">
        <f aca="false">J190*J209</f>
        <v>50.7279248162479</v>
      </c>
    </row>
    <row r="206" customFormat="false" ht="17.15" hidden="false" customHeight="false" outlineLevel="0" collapsed="false">
      <c r="A206" s="4" t="s">
        <v>542</v>
      </c>
      <c r="B206" s="4" t="s">
        <v>272</v>
      </c>
      <c r="C206" s="19" t="n">
        <f aca="false">a25_sh</f>
        <v>0.0809193408499566</v>
      </c>
      <c r="D206" s="19" t="n">
        <f aca="false">a26_sh</f>
        <v>0.0838996682946683</v>
      </c>
      <c r="E206" s="19" t="n">
        <f aca="false">q_sh*(1+sh_g)</f>
        <v>0.08621</v>
      </c>
      <c r="F206" s="19" t="n">
        <f aca="false">E206*(1+sh_g)</f>
        <v>0.08621</v>
      </c>
      <c r="G206" s="19" t="n">
        <f aca="false">F206*(1+sh_g)</f>
        <v>0.08621</v>
      </c>
      <c r="H206" s="31" t="n">
        <f aca="false">G206*(1+sh_g)</f>
        <v>0.08621</v>
      </c>
      <c r="I206" s="31" t="n">
        <f aca="false">H206*(1+sh_g)</f>
        <v>0.08621</v>
      </c>
      <c r="J206" s="31" t="n">
        <f aca="false">I206*(1+sh_g)</f>
        <v>0.08621</v>
      </c>
      <c r="K206" s="8" t="s">
        <v>543</v>
      </c>
    </row>
    <row r="207" customFormat="false" ht="17.15" hidden="false" customHeight="false" outlineLevel="0" collapsed="false">
      <c r="A207" s="0" t="s">
        <v>446</v>
      </c>
      <c r="B207" s="0" t="s">
        <v>312</v>
      </c>
      <c r="C207" s="20" t="n">
        <f aca="false">C205/C206</f>
        <v>69.18</v>
      </c>
      <c r="D207" s="20" t="n">
        <f aca="false">D205/D206</f>
        <v>134.805224262356</v>
      </c>
      <c r="E207" s="20" t="n">
        <f aca="false">E205/E206</f>
        <v>245.68696138059</v>
      </c>
      <c r="F207" s="20" t="n">
        <f aca="false">F205/F206</f>
        <v>385.580103291241</v>
      </c>
      <c r="G207" s="20" t="n">
        <f aca="false">G205/G206</f>
        <v>441.725668829474</v>
      </c>
      <c r="H207" s="28" t="n">
        <f aca="false">H205/H206</f>
        <v>499.150079567961</v>
      </c>
      <c r="I207" s="28" t="n">
        <f aca="false">I205/I206</f>
        <v>549.345777133691</v>
      </c>
      <c r="J207" s="28" t="n">
        <f aca="false">J205/J206</f>
        <v>588.422744649668</v>
      </c>
    </row>
    <row r="208" customFormat="false" ht="17.15" hidden="false" customHeight="false" outlineLevel="0" collapsed="false">
      <c r="A208" s="0" t="s">
        <v>544</v>
      </c>
      <c r="B208" s="0" t="s">
        <v>44</v>
      </c>
      <c r="D208" s="18" t="n">
        <f aca="false">D207/C207-1</f>
        <v>0.948615557420577</v>
      </c>
      <c r="E208" s="18" t="n">
        <f aca="false">E207/D207-1</f>
        <v>0.822532937614039</v>
      </c>
      <c r="F208" s="18" t="n">
        <f aca="false">F207/E207-1</f>
        <v>0.569395873206086</v>
      </c>
      <c r="G208" s="18" t="n">
        <f aca="false">G207/F207-1</f>
        <v>0.14561323330479</v>
      </c>
      <c r="H208" s="26" t="n">
        <f aca="false">H207/G207-1</f>
        <v>0.130000167050865</v>
      </c>
      <c r="I208" s="26" t="n">
        <f aca="false">I207/H207-1</f>
        <v>0.100562335098048</v>
      </c>
      <c r="J208" s="26" t="n">
        <f aca="false">J207/I207-1</f>
        <v>0.0711336450420492</v>
      </c>
    </row>
    <row r="209" customFormat="false" ht="17.15" hidden="false" customHeight="false" outlineLevel="0" collapsed="false">
      <c r="A209" s="4" t="s">
        <v>545</v>
      </c>
      <c r="B209" s="0" t="s">
        <v>44</v>
      </c>
      <c r="C209" s="17" t="n">
        <f aca="false">C205/C190</f>
        <v>0.181012740089245</v>
      </c>
      <c r="D209" s="17" t="n">
        <f aca="false">D205/D190</f>
        <v>0.166725709480052</v>
      </c>
      <c r="E209" s="17" t="n">
        <f aca="false">E205/E190</f>
        <v>0.136208234298634</v>
      </c>
      <c r="F209" s="17" t="n">
        <f aca="false">F205/F190</f>
        <v>0.12594937015502</v>
      </c>
      <c r="G209" s="17" t="n">
        <f aca="false">G205/G190</f>
        <v>0.12579622195713</v>
      </c>
      <c r="H209" s="27" t="n">
        <f aca="false">$G209+(fade_mA-$G209)*1/3</f>
        <v>0.127145866686951</v>
      </c>
      <c r="I209" s="27" t="n">
        <f aca="false">$G209+(fade_mA-$G209)*2/3</f>
        <v>0.128495511416773</v>
      </c>
      <c r="J209" s="27" t="n">
        <f aca="false">$G209+(fade_mA-$G209)*3/3</f>
        <v>0.129845156146594</v>
      </c>
    </row>
    <row r="212" customFormat="false" ht="17.15" hidden="false" customHeight="false" outlineLevel="0" collapsed="false">
      <c r="A212" s="1" t="s">
        <v>824</v>
      </c>
    </row>
    <row r="213" customFormat="false" ht="17.15" hidden="false" customHeight="false" outlineLevel="0" collapsed="false">
      <c r="A213" s="5" t="s">
        <v>20</v>
      </c>
      <c r="B213" s="5" t="s">
        <v>21</v>
      </c>
      <c r="C213" s="14" t="s">
        <v>407</v>
      </c>
      <c r="D213" s="14" t="s">
        <v>495</v>
      </c>
      <c r="E213" s="14" t="s">
        <v>496</v>
      </c>
      <c r="F213" s="14" t="s">
        <v>497</v>
      </c>
      <c r="G213" s="14" t="s">
        <v>498</v>
      </c>
      <c r="H213" s="14" t="s">
        <v>499</v>
      </c>
      <c r="I213" s="14" t="s">
        <v>500</v>
      </c>
      <c r="J213" s="14" t="s">
        <v>501</v>
      </c>
      <c r="K213" s="5" t="s">
        <v>465</v>
      </c>
    </row>
    <row r="214" customFormat="false" ht="17.15" hidden="false" customHeight="false" outlineLevel="0" collapsed="false">
      <c r="A214" s="6" t="s">
        <v>516</v>
      </c>
    </row>
    <row r="215" customFormat="false" ht="17.15" hidden="false" customHeight="false" outlineLevel="0" collapsed="false">
      <c r="A215" s="0" t="s">
        <v>517</v>
      </c>
      <c r="B215" s="4" t="s">
        <v>31</v>
      </c>
      <c r="D215" s="22" t="n">
        <f aca="false">u_trn_26</f>
        <v>2</v>
      </c>
      <c r="E215" s="22" t="n">
        <f aca="false">u_trn_27</f>
        <v>2.5</v>
      </c>
      <c r="F215" s="22" t="n">
        <f aca="false">u_trn_28*um28_A</f>
        <v>3</v>
      </c>
      <c r="G215" s="22" t="n">
        <f aca="false">u_trn_28*(1+g29_trn)*um29_A</f>
        <v>3.45</v>
      </c>
    </row>
    <row r="216" customFormat="false" ht="17.15" hidden="false" customHeight="false" outlineLevel="0" collapsed="false">
      <c r="A216" s="4" t="s">
        <v>469</v>
      </c>
      <c r="B216" s="0" t="s">
        <v>44</v>
      </c>
      <c r="D216" s="18" t="n">
        <f aca="false">al_trn_26</f>
        <v>0.3</v>
      </c>
      <c r="E216" s="18" t="n">
        <f aca="false">MIN(1,MAX(0,al27_A+0))</f>
        <v>0.55</v>
      </c>
      <c r="F216" s="18" t="n">
        <f aca="false">MIN(1,MAX(0,al28_A+0))</f>
        <v>0.55</v>
      </c>
      <c r="G216" s="18" t="n">
        <f aca="false">MIN(1,MAX(0,al28_A+0))</f>
        <v>0.55</v>
      </c>
    </row>
    <row r="217" customFormat="false" ht="17.15" hidden="false" customHeight="false" outlineLevel="0" collapsed="false">
      <c r="A217" s="4" t="s">
        <v>471</v>
      </c>
      <c r="B217" s="4" t="s">
        <v>31</v>
      </c>
      <c r="D217" s="22" t="n">
        <f aca="false">D215*D216</f>
        <v>0.6</v>
      </c>
      <c r="E217" s="22" t="n">
        <f aca="false">E215*E216*1</f>
        <v>1.375</v>
      </c>
      <c r="F217" s="22" t="n">
        <f aca="false">F215*F216*1</f>
        <v>1.65</v>
      </c>
      <c r="G217" s="22" t="n">
        <f aca="false">G215*G216*1</f>
        <v>1.8975</v>
      </c>
    </row>
    <row r="218" customFormat="false" ht="17.15" hidden="false" customHeight="false" outlineLevel="0" collapsed="false">
      <c r="A218" s="4" t="s">
        <v>518</v>
      </c>
      <c r="B218" s="0" t="s">
        <v>69</v>
      </c>
      <c r="D218" s="30" t="n">
        <f aca="false">gb_trn_26</f>
        <v>110</v>
      </c>
      <c r="E218" s="30" t="n">
        <f aca="false">gb_trn_27</f>
        <v>144</v>
      </c>
      <c r="F218" s="30" t="n">
        <f aca="false">gb_trn_28</f>
        <v>200</v>
      </c>
      <c r="G218" s="30" t="n">
        <f aca="false">gb_trn_28</f>
        <v>200</v>
      </c>
    </row>
    <row r="219" customFormat="false" ht="17.15" hidden="false" customHeight="false" outlineLevel="0" collapsed="false">
      <c r="A219" s="0" t="s">
        <v>519</v>
      </c>
      <c r="B219" s="0" t="s">
        <v>156</v>
      </c>
      <c r="D219" s="20" t="n">
        <f aca="false">hbm_A_26</f>
        <v>14.6</v>
      </c>
      <c r="E219" s="20" t="n">
        <f aca="false">hbm_A_27</f>
        <v>26.28</v>
      </c>
      <c r="F219" s="20" t="n">
        <f aca="false">hbm_A_28</f>
        <v>28.908</v>
      </c>
      <c r="G219" s="20" t="n">
        <f aca="false">hbm_A_29</f>
        <v>27.4626</v>
      </c>
    </row>
    <row r="220" customFormat="false" ht="17.15" hidden="false" customHeight="false" outlineLevel="0" collapsed="false">
      <c r="A220" s="4" t="s">
        <v>520</v>
      </c>
      <c r="B220" s="0" t="s">
        <v>80</v>
      </c>
      <c r="D220" s="20" t="n">
        <f aca="false">core_trn</f>
        <v>6.394</v>
      </c>
      <c r="E220" s="20" t="n">
        <f aca="false">core_trn</f>
        <v>6.394</v>
      </c>
      <c r="F220" s="20" t="n">
        <f aca="false">core_trn*pfc_A_hi</f>
        <v>15.985</v>
      </c>
      <c r="G220" s="20" t="n">
        <f aca="false">core_trn*pfc_A_hi</f>
        <v>15.985</v>
      </c>
    </row>
    <row r="221" customFormat="false" ht="17.15" hidden="false" customHeight="false" outlineLevel="0" collapsed="false">
      <c r="A221" s="4" t="s">
        <v>521</v>
      </c>
      <c r="B221" s="0" t="s">
        <v>80</v>
      </c>
      <c r="D221" s="20" t="n">
        <f aca="false">D218*D219/1000</f>
        <v>1.606</v>
      </c>
      <c r="E221" s="20" t="n">
        <f aca="false">E218*E219/1000</f>
        <v>3.78432</v>
      </c>
      <c r="F221" s="20" t="n">
        <f aca="false">F218*F219/1000</f>
        <v>5.7816</v>
      </c>
      <c r="G221" s="20" t="n">
        <f aca="false">G218*G219/1000</f>
        <v>5.49252</v>
      </c>
    </row>
    <row r="222" customFormat="false" ht="17.15" hidden="false" customHeight="false" outlineLevel="0" collapsed="false">
      <c r="A222" s="4" t="s">
        <v>522</v>
      </c>
      <c r="B222" s="0" t="s">
        <v>80</v>
      </c>
      <c r="D222" s="20" t="n">
        <f aca="false">D220+f_al*D221</f>
        <v>6.394</v>
      </c>
      <c r="E222" s="20" t="n">
        <f aca="false">E220+f_al*E221</f>
        <v>6.394</v>
      </c>
      <c r="F222" s="20" t="n">
        <f aca="false">F220+f_al*F221</f>
        <v>15.985</v>
      </c>
      <c r="G222" s="20" t="n">
        <f aca="false">G220+f_al*G221</f>
        <v>15.985</v>
      </c>
      <c r="K222" s="4" t="s">
        <v>523</v>
      </c>
    </row>
    <row r="223" customFormat="false" ht="17.15" hidden="false" customHeight="false" outlineLevel="0" collapsed="false">
      <c r="A223" s="0" t="s">
        <v>524</v>
      </c>
      <c r="B223" s="0" t="s">
        <v>213</v>
      </c>
      <c r="D223" s="20" t="n">
        <f aca="false">D217*D222</f>
        <v>3.8364</v>
      </c>
      <c r="E223" s="20" t="n">
        <f aca="false">E217*E222</f>
        <v>8.79175</v>
      </c>
      <c r="F223" s="20" t="n">
        <f aca="false">F217*F222</f>
        <v>26.37525</v>
      </c>
      <c r="G223" s="20" t="n">
        <f aca="false">G217*G222</f>
        <v>30.3315375</v>
      </c>
    </row>
    <row r="224" customFormat="false" ht="17.15" hidden="false" customHeight="false" outlineLevel="0" collapsed="false">
      <c r="A224" s="4" t="s">
        <v>525</v>
      </c>
      <c r="B224" s="0" t="s">
        <v>49</v>
      </c>
      <c r="D224" s="22" t="n">
        <f aca="false">dc26/D223</f>
        <v>0.390991554582421</v>
      </c>
      <c r="K224" s="8" t="s">
        <v>526</v>
      </c>
    </row>
    <row r="225" customFormat="false" ht="17.15" hidden="false" customHeight="false" outlineLevel="0" collapsed="false">
      <c r="A225" s="0" t="s">
        <v>527</v>
      </c>
      <c r="B225" s="0" t="s">
        <v>213</v>
      </c>
      <c r="D225" s="20" t="n">
        <f aca="false">D223*$D$224</f>
        <v>1.5</v>
      </c>
      <c r="E225" s="20" t="n">
        <f aca="false">E223*$D$224</f>
        <v>3.4375</v>
      </c>
      <c r="F225" s="20" t="n">
        <f aca="false">F223*$D$224</f>
        <v>10.3125</v>
      </c>
      <c r="G225" s="20" t="n">
        <f aca="false">G223*$D$224</f>
        <v>11.859375</v>
      </c>
    </row>
    <row r="226" customFormat="false" ht="15" hidden="false" customHeight="false" outlineLevel="0" collapsed="false">
      <c r="A226" s="4" t="s">
        <v>528</v>
      </c>
      <c r="B226" s="0" t="s">
        <v>224</v>
      </c>
      <c r="D226" s="20" t="n">
        <f aca="false">fx26</f>
        <v>31.6</v>
      </c>
      <c r="E226" s="20" t="n">
        <f aca="false">fx</f>
        <v>32</v>
      </c>
      <c r="F226" s="20" t="n">
        <f aca="false">fx</f>
        <v>32</v>
      </c>
      <c r="G226" s="20" t="n">
        <f aca="false">fx</f>
        <v>32</v>
      </c>
    </row>
    <row r="227" customFormat="false" ht="17.15" hidden="false" customHeight="false" outlineLevel="0" collapsed="false">
      <c r="A227" s="0" t="s">
        <v>529</v>
      </c>
      <c r="B227" s="0" t="s">
        <v>219</v>
      </c>
      <c r="C227" s="20" t="n">
        <f aca="false">a25_trn</f>
        <v>0</v>
      </c>
      <c r="D227" s="20" t="n">
        <f aca="false">D225*D226</f>
        <v>47.4</v>
      </c>
      <c r="E227" s="20" t="n">
        <f aca="false">E225*E226</f>
        <v>110</v>
      </c>
      <c r="F227" s="20" t="n">
        <f aca="false">F225*F226</f>
        <v>330</v>
      </c>
      <c r="G227" s="20" t="n">
        <f aca="false">G225*G226</f>
        <v>379.5</v>
      </c>
    </row>
    <row r="228" customFormat="false" ht="17.15" hidden="false" customHeight="false" outlineLevel="0" collapsed="false">
      <c r="A228" s="4" t="s">
        <v>530</v>
      </c>
      <c r="B228" s="0" t="s">
        <v>219</v>
      </c>
      <c r="D228" s="20" t="n">
        <f aca="false">$D$224*f_al*D217*D221*D226</f>
        <v>0</v>
      </c>
      <c r="E228" s="20" t="n">
        <f aca="false">$D$224*f_al*E217*E221*E226</f>
        <v>0</v>
      </c>
      <c r="F228" s="20" t="n">
        <f aca="false">$D$224*f_al*F217*F221*F226</f>
        <v>0</v>
      </c>
      <c r="G228" s="20" t="n">
        <f aca="false">$D$224*f_al*G217*G221*G226</f>
        <v>0</v>
      </c>
    </row>
    <row r="229" customFormat="false" ht="15" hidden="false" customHeight="false" outlineLevel="0" collapsed="false">
      <c r="A229" s="4" t="s">
        <v>531</v>
      </c>
      <c r="B229" s="0" t="s">
        <v>219</v>
      </c>
      <c r="D229" s="20" t="n">
        <f aca="false">D227-D228</f>
        <v>47.4</v>
      </c>
      <c r="E229" s="20" t="n">
        <f aca="false">E227-E228</f>
        <v>110</v>
      </c>
      <c r="F229" s="20" t="n">
        <f aca="false">F227-F228</f>
        <v>330</v>
      </c>
      <c r="G229" s="20" t="n">
        <f aca="false">G227-G228</f>
        <v>379.5</v>
      </c>
    </row>
    <row r="230" customFormat="false" ht="15" hidden="false" customHeight="false" outlineLevel="0" collapsed="false">
      <c r="A230" s="4" t="s">
        <v>475</v>
      </c>
      <c r="B230" s="0" t="s">
        <v>80</v>
      </c>
      <c r="D230" s="20" t="n">
        <f aca="false">IF(D217&gt;0,D225/D217,0)</f>
        <v>2.5</v>
      </c>
      <c r="E230" s="20" t="n">
        <f aca="false">IF(E217&gt;0,E225/E217,0)</f>
        <v>2.5</v>
      </c>
      <c r="F230" s="20" t="n">
        <f aca="false">IF(F217&gt;0,F225/F217,0)</f>
        <v>6.25</v>
      </c>
      <c r="G230" s="20" t="n">
        <f aca="false">IF(G217&gt;0,G225/G217,0)</f>
        <v>6.25</v>
      </c>
    </row>
    <row r="231" customFormat="false" ht="17.15" hidden="false" customHeight="false" outlineLevel="0" collapsed="false">
      <c r="A231" s="6" t="s">
        <v>532</v>
      </c>
    </row>
    <row r="232" customFormat="false" ht="17.15" hidden="false" customHeight="false" outlineLevel="0" collapsed="false">
      <c r="A232" s="4" t="s">
        <v>533</v>
      </c>
      <c r="B232" s="0" t="s">
        <v>219</v>
      </c>
      <c r="C232" s="20" t="n">
        <f aca="false">a25_oth</f>
        <v>30.926</v>
      </c>
      <c r="D232" s="20" t="n">
        <f aca="false">a26_oth</f>
        <v>20.43665</v>
      </c>
      <c r="E232" s="20" t="n">
        <f aca="false">D232*(1+g_o27_A)</f>
        <v>23.5021475</v>
      </c>
      <c r="F232" s="20" t="n">
        <f aca="false">E232*(1+g_oL_A)</f>
        <v>26.3224052</v>
      </c>
      <c r="G232" s="20" t="n">
        <f aca="false">F232*(1+g_oL_A)</f>
        <v>29.481093824</v>
      </c>
    </row>
    <row r="233" customFormat="false" ht="17.15" hidden="false" customHeight="false" outlineLevel="0" collapsed="false">
      <c r="A233" s="4" t="s">
        <v>413</v>
      </c>
      <c r="B233" s="0" t="s">
        <v>219</v>
      </c>
      <c r="C233" s="20" t="n">
        <f aca="false">C232+C227</f>
        <v>30.926</v>
      </c>
      <c r="D233" s="20" t="n">
        <f aca="false">D232+D227</f>
        <v>67.83665</v>
      </c>
      <c r="E233" s="20" t="n">
        <f aca="false">E232+E227</f>
        <v>133.5021475</v>
      </c>
      <c r="F233" s="20" t="n">
        <f aca="false">F232+F227</f>
        <v>356.3224052</v>
      </c>
      <c r="G233" s="20" t="n">
        <f aca="false">G232+G227</f>
        <v>408.981093824</v>
      </c>
      <c r="H233" s="28" t="n">
        <f aca="false">G233*(1+H234)</f>
        <v>457.454576463446</v>
      </c>
      <c r="I233" s="28" t="n">
        <f aca="false">H233*(1+I234)</f>
        <v>498.287555491467</v>
      </c>
      <c r="J233" s="28" t="n">
        <f aca="false">I233*(1+J234)</f>
        <v>528.184808820955</v>
      </c>
      <c r="K233" s="8" t="s">
        <v>534</v>
      </c>
    </row>
    <row r="234" customFormat="false" ht="15" hidden="false" customHeight="false" outlineLevel="0" collapsed="false">
      <c r="A234" s="4" t="s">
        <v>535</v>
      </c>
      <c r="B234" s="0" t="s">
        <v>44</v>
      </c>
      <c r="D234" s="18" t="n">
        <f aca="false">D233/C233-1</f>
        <v>1.19351516523314</v>
      </c>
      <c r="E234" s="18" t="n">
        <f aca="false">E233/D233-1</f>
        <v>0.967994402730677</v>
      </c>
      <c r="F234" s="18" t="n">
        <f aca="false">F233/E233-1</f>
        <v>1.66903875235415</v>
      </c>
      <c r="G234" s="18" t="n">
        <f aca="false">G233/F233-1</f>
        <v>0.147783826825156</v>
      </c>
      <c r="H234" s="26" t="n">
        <f aca="false">$G234+(fade_gA-$G234)*1/3</f>
        <v>0.118522551216771</v>
      </c>
      <c r="I234" s="26" t="n">
        <f aca="false">$G234+(fade_gA-$G234)*2/3</f>
        <v>0.0892612756083855</v>
      </c>
      <c r="J234" s="26" t="n">
        <f aca="false">$G234+(fade_gA-$G234)*3/3</f>
        <v>0.06</v>
      </c>
    </row>
    <row r="235" customFormat="false" ht="17.15" hidden="false" customHeight="false" outlineLevel="0" collapsed="false">
      <c r="A235" s="0" t="s">
        <v>536</v>
      </c>
      <c r="B235" s="0" t="s">
        <v>44</v>
      </c>
      <c r="C235" s="18" t="n">
        <f aca="false">C227/C233</f>
        <v>0</v>
      </c>
      <c r="D235" s="18" t="n">
        <f aca="false">D227/D233</f>
        <v>0.698737334464482</v>
      </c>
      <c r="E235" s="18" t="n">
        <f aca="false">E227/E233</f>
        <v>0.823956783167102</v>
      </c>
      <c r="F235" s="18" t="n">
        <f aca="false">F227/F233</f>
        <v>0.926127560838546</v>
      </c>
      <c r="G235" s="18" t="n">
        <f aca="false">G227/G233</f>
        <v>0.927915753884</v>
      </c>
    </row>
    <row r="236" customFormat="false" ht="17.15" hidden="false" customHeight="false" outlineLevel="0" collapsed="false">
      <c r="A236" s="4" t="s">
        <v>537</v>
      </c>
      <c r="B236" s="0" t="s">
        <v>44</v>
      </c>
      <c r="C236" s="18" t="n">
        <f aca="false">C232/C233</f>
        <v>1</v>
      </c>
      <c r="D236" s="18" t="n">
        <f aca="false">D232/D233</f>
        <v>0.301262665535518</v>
      </c>
      <c r="E236" s="18" t="n">
        <f aca="false">E232/E233</f>
        <v>0.176043216832898</v>
      </c>
      <c r="F236" s="18" t="n">
        <f aca="false">F232/F233</f>
        <v>0.0738724391614541</v>
      </c>
      <c r="G236" s="18" t="n">
        <f aca="false">G232/G233</f>
        <v>0.0720842461159997</v>
      </c>
    </row>
    <row r="237" customFormat="false" ht="17.15" hidden="false" customHeight="false" outlineLevel="0" collapsed="false">
      <c r="A237" s="6" t="s">
        <v>538</v>
      </c>
    </row>
    <row r="238" customFormat="false" ht="17.15" hidden="false" customHeight="false" outlineLevel="0" collapsed="false">
      <c r="A238" s="0" t="s">
        <v>539</v>
      </c>
      <c r="B238" s="0" t="s">
        <v>219</v>
      </c>
      <c r="D238" s="20" t="n">
        <f aca="false">m_trn*D229+m_hbm*D228</f>
        <v>6.162</v>
      </c>
      <c r="E238" s="20" t="n">
        <f aca="false">(m_trn+gta_A)*E229+m_hbm*E228</f>
        <v>15.4</v>
      </c>
      <c r="F238" s="20" t="n">
        <f aca="false">(m_trn+gta_A)*F229+m_hbm*F228</f>
        <v>46.2</v>
      </c>
      <c r="G238" s="20" t="n">
        <f aca="false">(m_trn+gta_A)*G229+m_hbm*G228</f>
        <v>53.13</v>
      </c>
    </row>
    <row r="239" customFormat="false" ht="17.15" hidden="false" customHeight="false" outlineLevel="0" collapsed="false">
      <c r="A239" s="4" t="s">
        <v>540</v>
      </c>
      <c r="B239" s="0" t="s">
        <v>44</v>
      </c>
      <c r="C239" s="17" t="n">
        <f aca="false">a25_gp/C232</f>
        <v>0.263661643924206</v>
      </c>
      <c r="D239" s="17" t="n">
        <f aca="false">(a26_gp-D238)/D232</f>
        <v>0.499403865114879</v>
      </c>
      <c r="E239" s="17" t="n">
        <f aca="false">$D239+0</f>
        <v>0.499403865114879</v>
      </c>
      <c r="F239" s="17" t="n">
        <f aca="false">$D239+0</f>
        <v>0.499403865114879</v>
      </c>
      <c r="G239" s="17" t="n">
        <f aca="false">$D239+0</f>
        <v>0.499403865114879</v>
      </c>
      <c r="K239" s="8" t="s">
        <v>541</v>
      </c>
    </row>
    <row r="240" customFormat="false" ht="15" hidden="false" customHeight="false" outlineLevel="0" collapsed="false">
      <c r="A240" s="4" t="s">
        <v>422</v>
      </c>
      <c r="B240" s="0" t="s">
        <v>219</v>
      </c>
      <c r="C240" s="20" t="n">
        <f aca="false">a25_gp</f>
        <v>8.154</v>
      </c>
      <c r="D240" s="20" t="n">
        <f aca="false">a26_gp</f>
        <v>16.368142</v>
      </c>
      <c r="E240" s="20" t="n">
        <f aca="false">E239*E232+E238</f>
        <v>27.1370633</v>
      </c>
      <c r="F240" s="20" t="n">
        <f aca="false">F239*F232+F238</f>
        <v>59.345510896</v>
      </c>
      <c r="G240" s="20" t="n">
        <f aca="false">G239*G232+G238</f>
        <v>67.85297220352</v>
      </c>
    </row>
    <row r="241" customFormat="false" ht="15" hidden="false" customHeight="false" outlineLevel="0" collapsed="false">
      <c r="A241" s="4" t="s">
        <v>425</v>
      </c>
      <c r="B241" s="0" t="s">
        <v>44</v>
      </c>
      <c r="C241" s="17" t="n">
        <f aca="false">C240/C233</f>
        <v>0.263661643924206</v>
      </c>
      <c r="D241" s="17" t="n">
        <f aca="false">D240/D233</f>
        <v>0.241287593063632</v>
      </c>
      <c r="E241" s="17" t="n">
        <f aca="false">E240/E233</f>
        <v>0.203270612557</v>
      </c>
      <c r="F241" s="17" t="n">
        <f aca="false">F240/F233</f>
        <v>0.16655004016009</v>
      </c>
      <c r="G241" s="17" t="n">
        <f aca="false">G240/G233</f>
        <v>0.165907356667983</v>
      </c>
    </row>
    <row r="242" customFormat="false" ht="15" hidden="false" customHeight="false" outlineLevel="0" collapsed="false">
      <c r="A242" s="4" t="s">
        <v>429</v>
      </c>
      <c r="B242" s="0" t="s">
        <v>219</v>
      </c>
      <c r="C242" s="20" t="n">
        <f aca="false">a25_opx</f>
        <v>3.138</v>
      </c>
      <c r="D242" s="20" t="n">
        <f aca="false">a26_opx</f>
        <v>3.849</v>
      </c>
      <c r="E242" s="20" t="n">
        <f aca="false">D242*(1+MAX(g_opx_min,phi*E234))+0*E233</f>
        <v>4.96674313683311</v>
      </c>
      <c r="F242" s="20" t="n">
        <f aca="false">E242*(1+MAX(g_opx_min,phi*F234))+0*F233</f>
        <v>7.45364916734216</v>
      </c>
      <c r="G242" s="20" t="n">
        <f aca="false">F242*(1+MAX(g_opx_min,phi*G234))+0*G233</f>
        <v>8.04994110072953</v>
      </c>
    </row>
    <row r="243" customFormat="false" ht="15" hidden="false" customHeight="false" outlineLevel="0" collapsed="false">
      <c r="A243" s="4" t="s">
        <v>432</v>
      </c>
      <c r="B243" s="0" t="s">
        <v>219</v>
      </c>
      <c r="C243" s="20" t="n">
        <f aca="false">C240-C242</f>
        <v>5.016</v>
      </c>
      <c r="D243" s="20" t="n">
        <f aca="false">D240-D242</f>
        <v>12.519142</v>
      </c>
      <c r="E243" s="20" t="n">
        <f aca="false">E240-E242</f>
        <v>22.1703201631669</v>
      </c>
      <c r="F243" s="20" t="n">
        <f aca="false">F240-F242</f>
        <v>51.8918617286578</v>
      </c>
      <c r="G243" s="20" t="n">
        <f aca="false">G240-G242</f>
        <v>59.8030311027905</v>
      </c>
    </row>
    <row r="244" customFormat="false" ht="15" hidden="false" customHeight="false" outlineLevel="0" collapsed="false">
      <c r="A244" s="4" t="s">
        <v>505</v>
      </c>
      <c r="B244" s="0" t="s">
        <v>44</v>
      </c>
      <c r="C244" s="17" t="n">
        <f aca="false">C243/C233</f>
        <v>0.162193623488327</v>
      </c>
      <c r="D244" s="17" t="n">
        <f aca="false">D243/D233</f>
        <v>0.184548352549838</v>
      </c>
      <c r="E244" s="17" t="n">
        <f aca="false">E243/E233</f>
        <v>0.166067142576616</v>
      </c>
      <c r="F244" s="17" t="n">
        <f aca="false">F243/F233</f>
        <v>0.14563176766707</v>
      </c>
      <c r="G244" s="17" t="n">
        <f aca="false">G243/G233</f>
        <v>0.146224439236612</v>
      </c>
    </row>
    <row r="245" customFormat="false" ht="15" hidden="false" customHeight="false" outlineLevel="0" collapsed="false">
      <c r="A245" s="4" t="s">
        <v>435</v>
      </c>
      <c r="B245" s="0" t="s">
        <v>219</v>
      </c>
      <c r="C245" s="20" t="n">
        <f aca="false">a25_nonop</f>
        <v>1.7042198</v>
      </c>
      <c r="D245" s="20" t="n">
        <f aca="false">a26_nonop</f>
        <v>1.605</v>
      </c>
      <c r="E245" s="20" t="n">
        <f aca="false">nonop_f</f>
        <v>1.6</v>
      </c>
      <c r="F245" s="20" t="n">
        <f aca="false">nonop_f</f>
        <v>1.6</v>
      </c>
      <c r="G245" s="20" t="n">
        <f aca="false">nonop_f</f>
        <v>1.6</v>
      </c>
    </row>
    <row r="246" customFormat="false" ht="15" hidden="false" customHeight="false" outlineLevel="0" collapsed="false">
      <c r="A246" s="4" t="s">
        <v>437</v>
      </c>
      <c r="B246" s="0" t="s">
        <v>219</v>
      </c>
      <c r="C246" s="20" t="n">
        <f aca="false">C243+C245</f>
        <v>6.7202198</v>
      </c>
      <c r="D246" s="20" t="n">
        <f aca="false">D243+D245</f>
        <v>14.124142</v>
      </c>
      <c r="E246" s="20" t="n">
        <f aca="false">E243+E245</f>
        <v>23.7703201631669</v>
      </c>
      <c r="F246" s="20" t="n">
        <f aca="false">F243+F245</f>
        <v>53.4918617286578</v>
      </c>
      <c r="G246" s="20" t="n">
        <f aca="false">G243+G245</f>
        <v>61.4030311027905</v>
      </c>
    </row>
    <row r="247" customFormat="false" ht="15" hidden="false" customHeight="false" outlineLevel="0" collapsed="false">
      <c r="A247" s="4" t="s">
        <v>439</v>
      </c>
      <c r="B247" s="0" t="s">
        <v>219</v>
      </c>
      <c r="C247" s="20" t="n">
        <f aca="false">a25_tax</f>
        <v>1.1222198</v>
      </c>
      <c r="D247" s="20" t="n">
        <f aca="false">a26_tax</f>
        <v>2.8140284</v>
      </c>
      <c r="E247" s="20" t="n">
        <f aca="false">E246*tax</f>
        <v>4.75406403263338</v>
      </c>
      <c r="F247" s="20" t="n">
        <f aca="false">F246*tax</f>
        <v>10.6983723457316</v>
      </c>
      <c r="G247" s="20" t="n">
        <f aca="false">G246*tax</f>
        <v>12.2806062205581</v>
      </c>
    </row>
    <row r="248" customFormat="false" ht="15" hidden="false" customHeight="false" outlineLevel="0" collapsed="false">
      <c r="A248" s="4" t="s">
        <v>442</v>
      </c>
      <c r="B248" s="0" t="s">
        <v>219</v>
      </c>
      <c r="C248" s="20" t="n">
        <f aca="false">C246-C247</f>
        <v>5.598</v>
      </c>
      <c r="D248" s="20" t="n">
        <f aca="false">D246-D247</f>
        <v>11.3101136</v>
      </c>
      <c r="E248" s="20" t="n">
        <f aca="false">E246-E247</f>
        <v>19.0162561305335</v>
      </c>
      <c r="F248" s="20" t="n">
        <f aca="false">F246-F247</f>
        <v>42.7934893829263</v>
      </c>
      <c r="G248" s="20" t="n">
        <f aca="false">G246-G247</f>
        <v>49.1224248822324</v>
      </c>
      <c r="H248" s="28" t="n">
        <f aca="false">H233*H252</f>
        <v>56.429113637776</v>
      </c>
      <c r="I248" s="28" t="n">
        <f aca="false">I233*I252</f>
        <v>63.0831368756144</v>
      </c>
      <c r="J248" s="28" t="n">
        <f aca="false">J233*J252</f>
        <v>68.5822389756161</v>
      </c>
    </row>
    <row r="249" customFormat="false" ht="17.15" hidden="false" customHeight="false" outlineLevel="0" collapsed="false">
      <c r="A249" s="4" t="s">
        <v>542</v>
      </c>
      <c r="B249" s="4" t="s">
        <v>272</v>
      </c>
      <c r="C249" s="19" t="n">
        <f aca="false">a25_sh</f>
        <v>0.0809193408499566</v>
      </c>
      <c r="D249" s="19" t="n">
        <f aca="false">a26_sh</f>
        <v>0.0838996682946683</v>
      </c>
      <c r="E249" s="19" t="n">
        <f aca="false">q_sh*(1+sh_g)</f>
        <v>0.08621</v>
      </c>
      <c r="F249" s="19" t="n">
        <f aca="false">E249*(1+sh_g)</f>
        <v>0.08621</v>
      </c>
      <c r="G249" s="19" t="n">
        <f aca="false">F249*(1+sh_g)</f>
        <v>0.08621</v>
      </c>
      <c r="H249" s="31" t="n">
        <f aca="false">G249*(1+sh_g)</f>
        <v>0.08621</v>
      </c>
      <c r="I249" s="31" t="n">
        <f aca="false">H249*(1+sh_g)</f>
        <v>0.08621</v>
      </c>
      <c r="J249" s="31" t="n">
        <f aca="false">I249*(1+sh_g)</f>
        <v>0.08621</v>
      </c>
      <c r="K249" s="8" t="s">
        <v>543</v>
      </c>
    </row>
    <row r="250" customFormat="false" ht="17.15" hidden="false" customHeight="false" outlineLevel="0" collapsed="false">
      <c r="A250" s="0" t="s">
        <v>446</v>
      </c>
      <c r="B250" s="0" t="s">
        <v>312</v>
      </c>
      <c r="C250" s="20" t="n">
        <f aca="false">C248/C249</f>
        <v>69.18</v>
      </c>
      <c r="D250" s="20" t="n">
        <f aca="false">D248/D249</f>
        <v>134.805224262356</v>
      </c>
      <c r="E250" s="20" t="n">
        <f aca="false">E248/E249</f>
        <v>220.580630211501</v>
      </c>
      <c r="F250" s="20" t="n">
        <f aca="false">F248/F249</f>
        <v>496.386606924096</v>
      </c>
      <c r="G250" s="20" t="n">
        <f aca="false">G248/G249</f>
        <v>569.799615847725</v>
      </c>
      <c r="H250" s="28" t="n">
        <f aca="false">H248/H249</f>
        <v>654.554154248648</v>
      </c>
      <c r="I250" s="28" t="n">
        <f aca="false">I248/I249</f>
        <v>731.7380451875</v>
      </c>
      <c r="J250" s="28" t="n">
        <f aca="false">J248/J249</f>
        <v>795.525333205151</v>
      </c>
    </row>
    <row r="251" customFormat="false" ht="17.15" hidden="false" customHeight="false" outlineLevel="0" collapsed="false">
      <c r="A251" s="0" t="s">
        <v>544</v>
      </c>
      <c r="B251" s="0" t="s">
        <v>44</v>
      </c>
      <c r="D251" s="18" t="n">
        <f aca="false">D250/C250-1</f>
        <v>0.948615557420577</v>
      </c>
      <c r="E251" s="18" t="n">
        <f aca="false">E250/D250-1</f>
        <v>0.636291407981422</v>
      </c>
      <c r="F251" s="18" t="n">
        <f aca="false">F250/E250-1</f>
        <v>1.25036353576532</v>
      </c>
      <c r="G251" s="18" t="n">
        <f aca="false">G250/F250-1</f>
        <v>0.147894822099532</v>
      </c>
      <c r="H251" s="26" t="n">
        <f aca="false">H250/G250-1</f>
        <v>0.148744463919704</v>
      </c>
      <c r="I251" s="26" t="n">
        <f aca="false">I250/H250-1</f>
        <v>0.117918266101985</v>
      </c>
      <c r="J251" s="26" t="n">
        <f aca="false">J250/I250-1</f>
        <v>0.0871722994822635</v>
      </c>
    </row>
    <row r="252" customFormat="false" ht="17.15" hidden="false" customHeight="false" outlineLevel="0" collapsed="false">
      <c r="A252" s="4" t="s">
        <v>545</v>
      </c>
      <c r="B252" s="0" t="s">
        <v>44</v>
      </c>
      <c r="C252" s="17" t="n">
        <f aca="false">C248/C233</f>
        <v>0.181012740089245</v>
      </c>
      <c r="D252" s="17" t="n">
        <f aca="false">D248/D233</f>
        <v>0.166725709480052</v>
      </c>
      <c r="E252" s="17" t="n">
        <f aca="false">E248/E233</f>
        <v>0.142441574810873</v>
      </c>
      <c r="F252" s="17" t="n">
        <f aca="false">F248/F233</f>
        <v>0.120097666490848</v>
      </c>
      <c r="G252" s="17" t="n">
        <f aca="false">G248/G233</f>
        <v>0.120109280414247</v>
      </c>
      <c r="H252" s="27" t="n">
        <f aca="false">$G252+(fade_mA-$G252)*1/3</f>
        <v>0.12335457232503</v>
      </c>
      <c r="I252" s="27" t="n">
        <f aca="false">$G252+(fade_mA-$G252)*2/3</f>
        <v>0.126599864235812</v>
      </c>
      <c r="J252" s="27" t="n">
        <f aca="false">$G252+(fade_mA-$G252)*3/3</f>
        <v>0.129845156146594</v>
      </c>
    </row>
    <row r="255" customFormat="false" ht="17.15" hidden="false" customHeight="false" outlineLevel="0" collapsed="false">
      <c r="A255" s="1" t="s">
        <v>825</v>
      </c>
    </row>
    <row r="256" customFormat="false" ht="17.15" hidden="false" customHeight="false" outlineLevel="0" collapsed="false">
      <c r="A256" s="5" t="s">
        <v>20</v>
      </c>
      <c r="B256" s="5" t="s">
        <v>21</v>
      </c>
      <c r="C256" s="14" t="s">
        <v>407</v>
      </c>
      <c r="D256" s="14" t="s">
        <v>495</v>
      </c>
      <c r="E256" s="14" t="s">
        <v>496</v>
      </c>
      <c r="F256" s="14" t="s">
        <v>497</v>
      </c>
      <c r="G256" s="14" t="s">
        <v>498</v>
      </c>
      <c r="H256" s="14" t="s">
        <v>499</v>
      </c>
      <c r="I256" s="14" t="s">
        <v>500</v>
      </c>
      <c r="J256" s="14" t="s">
        <v>501</v>
      </c>
      <c r="K256" s="5" t="s">
        <v>465</v>
      </c>
    </row>
    <row r="257" customFormat="false" ht="17.15" hidden="false" customHeight="false" outlineLevel="0" collapsed="false">
      <c r="A257" s="6" t="s">
        <v>516</v>
      </c>
    </row>
    <row r="258" customFormat="false" ht="17.15" hidden="false" customHeight="false" outlineLevel="0" collapsed="false">
      <c r="A258" s="0" t="s">
        <v>517</v>
      </c>
      <c r="B258" s="4" t="s">
        <v>31</v>
      </c>
      <c r="D258" s="22" t="n">
        <f aca="false">u_trn_26</f>
        <v>2</v>
      </c>
      <c r="E258" s="22" t="n">
        <f aca="false">u_trn_27</f>
        <v>2.5</v>
      </c>
      <c r="F258" s="22" t="n">
        <f aca="false">u_trn_28*um28_A</f>
        <v>3</v>
      </c>
      <c r="G258" s="22" t="n">
        <f aca="false">u_trn_28*(1+g29_trn)*um29_A</f>
        <v>3.45</v>
      </c>
    </row>
    <row r="259" customFormat="false" ht="17.15" hidden="false" customHeight="false" outlineLevel="0" collapsed="false">
      <c r="A259" s="4" t="s">
        <v>469</v>
      </c>
      <c r="B259" s="0" t="s">
        <v>44</v>
      </c>
      <c r="D259" s="18" t="n">
        <f aca="false">al_trn_26</f>
        <v>0.3</v>
      </c>
      <c r="E259" s="18" t="n">
        <f aca="false">MIN(1,MAX(0,al27_A+0))</f>
        <v>0.55</v>
      </c>
      <c r="F259" s="18" t="n">
        <f aca="false">MIN(1,MAX(0,al28_A+0))</f>
        <v>0.55</v>
      </c>
      <c r="G259" s="18" t="n">
        <f aca="false">MIN(1,MAX(0,al28_A+0))</f>
        <v>0.55</v>
      </c>
    </row>
    <row r="260" customFormat="false" ht="17.15" hidden="false" customHeight="false" outlineLevel="0" collapsed="false">
      <c r="A260" s="4" t="s">
        <v>471</v>
      </c>
      <c r="B260" s="4" t="s">
        <v>31</v>
      </c>
      <c r="D260" s="22" t="n">
        <f aca="false">D258*D259</f>
        <v>0.6</v>
      </c>
      <c r="E260" s="22" t="n">
        <f aca="false">E258*E259*1</f>
        <v>1.375</v>
      </c>
      <c r="F260" s="22" t="n">
        <f aca="false">F258*F259*1</f>
        <v>1.65</v>
      </c>
      <c r="G260" s="22" t="n">
        <f aca="false">G258*G259*1</f>
        <v>1.8975</v>
      </c>
    </row>
    <row r="261" customFormat="false" ht="17.15" hidden="false" customHeight="false" outlineLevel="0" collapsed="false">
      <c r="A261" s="4" t="s">
        <v>518</v>
      </c>
      <c r="B261" s="0" t="s">
        <v>69</v>
      </c>
      <c r="D261" s="30" t="n">
        <f aca="false">gb_trn_26</f>
        <v>110</v>
      </c>
      <c r="E261" s="30" t="n">
        <f aca="false">gb_trn_27</f>
        <v>144</v>
      </c>
      <c r="F261" s="30" t="n">
        <f aca="false">gb_trn_28</f>
        <v>200</v>
      </c>
      <c r="G261" s="30" t="n">
        <f aca="false">gb_trn_28</f>
        <v>200</v>
      </c>
    </row>
    <row r="262" customFormat="false" ht="17.15" hidden="false" customHeight="false" outlineLevel="0" collapsed="false">
      <c r="A262" s="0" t="s">
        <v>519</v>
      </c>
      <c r="B262" s="0" t="s">
        <v>156</v>
      </c>
      <c r="D262" s="20" t="n">
        <f aca="false">hbm_A_26</f>
        <v>14.6</v>
      </c>
      <c r="E262" s="20" t="n">
        <f aca="false">hbm_A_27</f>
        <v>26.28</v>
      </c>
      <c r="F262" s="20" t="n">
        <f aca="false">hbm_A_28</f>
        <v>28.908</v>
      </c>
      <c r="G262" s="20" t="n">
        <f aca="false">hbm_A_29</f>
        <v>27.4626</v>
      </c>
    </row>
    <row r="263" customFormat="false" ht="17.15" hidden="false" customHeight="false" outlineLevel="0" collapsed="false">
      <c r="A263" s="4" t="s">
        <v>520</v>
      </c>
      <c r="B263" s="0" t="s">
        <v>80</v>
      </c>
      <c r="D263" s="20" t="n">
        <f aca="false">core_trn</f>
        <v>6.394</v>
      </c>
      <c r="E263" s="20" t="n">
        <f aca="false">core_trn</f>
        <v>6.394</v>
      </c>
      <c r="F263" s="20" t="n">
        <f aca="false">core_trn*pfc_A_lo</f>
        <v>5.1152</v>
      </c>
      <c r="G263" s="20" t="n">
        <f aca="false">core_trn*pfc_A_lo</f>
        <v>5.1152</v>
      </c>
    </row>
    <row r="264" customFormat="false" ht="17.15" hidden="false" customHeight="false" outlineLevel="0" collapsed="false">
      <c r="A264" s="4" t="s">
        <v>521</v>
      </c>
      <c r="B264" s="0" t="s">
        <v>80</v>
      </c>
      <c r="D264" s="20" t="n">
        <f aca="false">D261*D262/1000</f>
        <v>1.606</v>
      </c>
      <c r="E264" s="20" t="n">
        <f aca="false">E261*E262/1000</f>
        <v>3.78432</v>
      </c>
      <c r="F264" s="20" t="n">
        <f aca="false">F261*F262/1000</f>
        <v>5.7816</v>
      </c>
      <c r="G264" s="20" t="n">
        <f aca="false">G261*G262/1000</f>
        <v>5.49252</v>
      </c>
    </row>
    <row r="265" customFormat="false" ht="17.15" hidden="false" customHeight="false" outlineLevel="0" collapsed="false">
      <c r="A265" s="4" t="s">
        <v>522</v>
      </c>
      <c r="B265" s="0" t="s">
        <v>80</v>
      </c>
      <c r="D265" s="20" t="n">
        <f aca="false">D263+f_al*D264</f>
        <v>6.394</v>
      </c>
      <c r="E265" s="20" t="n">
        <f aca="false">E263+f_al*E264</f>
        <v>6.394</v>
      </c>
      <c r="F265" s="20" t="n">
        <f aca="false">F263+f_al*F264</f>
        <v>5.1152</v>
      </c>
      <c r="G265" s="20" t="n">
        <f aca="false">G263+f_al*G264</f>
        <v>5.1152</v>
      </c>
      <c r="K265" s="4" t="s">
        <v>523</v>
      </c>
    </row>
    <row r="266" customFormat="false" ht="17.15" hidden="false" customHeight="false" outlineLevel="0" collapsed="false">
      <c r="A266" s="0" t="s">
        <v>524</v>
      </c>
      <c r="B266" s="0" t="s">
        <v>213</v>
      </c>
      <c r="D266" s="20" t="n">
        <f aca="false">D260*D265</f>
        <v>3.8364</v>
      </c>
      <c r="E266" s="20" t="n">
        <f aca="false">E260*E265</f>
        <v>8.79175</v>
      </c>
      <c r="F266" s="20" t="n">
        <f aca="false">F260*F265</f>
        <v>8.44008</v>
      </c>
      <c r="G266" s="20" t="n">
        <f aca="false">G260*G265</f>
        <v>9.706092</v>
      </c>
    </row>
    <row r="267" customFormat="false" ht="17.15" hidden="false" customHeight="false" outlineLevel="0" collapsed="false">
      <c r="A267" s="4" t="s">
        <v>525</v>
      </c>
      <c r="B267" s="0" t="s">
        <v>49</v>
      </c>
      <c r="D267" s="22" t="n">
        <f aca="false">dc26/D266</f>
        <v>0.390991554582421</v>
      </c>
      <c r="K267" s="8" t="s">
        <v>526</v>
      </c>
    </row>
    <row r="268" customFormat="false" ht="17.15" hidden="false" customHeight="false" outlineLevel="0" collapsed="false">
      <c r="A268" s="0" t="s">
        <v>527</v>
      </c>
      <c r="B268" s="0" t="s">
        <v>213</v>
      </c>
      <c r="D268" s="20" t="n">
        <f aca="false">D266*$D$267</f>
        <v>1.5</v>
      </c>
      <c r="E268" s="20" t="n">
        <f aca="false">E266*$D$267</f>
        <v>3.4375</v>
      </c>
      <c r="F268" s="20" t="n">
        <f aca="false">F266*$D$267</f>
        <v>3.3</v>
      </c>
      <c r="G268" s="20" t="n">
        <f aca="false">G266*$D$267</f>
        <v>3.795</v>
      </c>
    </row>
    <row r="269" customFormat="false" ht="15" hidden="false" customHeight="false" outlineLevel="0" collapsed="false">
      <c r="A269" s="4" t="s">
        <v>528</v>
      </c>
      <c r="B269" s="0" t="s">
        <v>224</v>
      </c>
      <c r="D269" s="20" t="n">
        <f aca="false">fx26</f>
        <v>31.6</v>
      </c>
      <c r="E269" s="20" t="n">
        <f aca="false">fx</f>
        <v>32</v>
      </c>
      <c r="F269" s="20" t="n">
        <f aca="false">fx</f>
        <v>32</v>
      </c>
      <c r="G269" s="20" t="n">
        <f aca="false">fx</f>
        <v>32</v>
      </c>
    </row>
    <row r="270" customFormat="false" ht="17.15" hidden="false" customHeight="false" outlineLevel="0" collapsed="false">
      <c r="A270" s="0" t="s">
        <v>529</v>
      </c>
      <c r="B270" s="0" t="s">
        <v>219</v>
      </c>
      <c r="C270" s="20" t="n">
        <f aca="false">a25_trn</f>
        <v>0</v>
      </c>
      <c r="D270" s="20" t="n">
        <f aca="false">D268*D269</f>
        <v>47.4</v>
      </c>
      <c r="E270" s="20" t="n">
        <f aca="false">E268*E269</f>
        <v>110</v>
      </c>
      <c r="F270" s="20" t="n">
        <f aca="false">F268*F269</f>
        <v>105.6</v>
      </c>
      <c r="G270" s="20" t="n">
        <f aca="false">G268*G269</f>
        <v>121.44</v>
      </c>
    </row>
    <row r="271" customFormat="false" ht="17.15" hidden="false" customHeight="false" outlineLevel="0" collapsed="false">
      <c r="A271" s="4" t="s">
        <v>530</v>
      </c>
      <c r="B271" s="0" t="s">
        <v>219</v>
      </c>
      <c r="D271" s="20" t="n">
        <f aca="false">$D$267*f_al*D260*D264*D269</f>
        <v>0</v>
      </c>
      <c r="E271" s="20" t="n">
        <f aca="false">$D$267*f_al*E260*E264*E269</f>
        <v>0</v>
      </c>
      <c r="F271" s="20" t="n">
        <f aca="false">$D$267*f_al*F260*F264*F269</f>
        <v>0</v>
      </c>
      <c r="G271" s="20" t="n">
        <f aca="false">$D$267*f_al*G260*G264*G269</f>
        <v>0</v>
      </c>
    </row>
    <row r="272" customFormat="false" ht="15" hidden="false" customHeight="false" outlineLevel="0" collapsed="false">
      <c r="A272" s="4" t="s">
        <v>531</v>
      </c>
      <c r="B272" s="0" t="s">
        <v>219</v>
      </c>
      <c r="D272" s="20" t="n">
        <f aca="false">D270-D271</f>
        <v>47.4</v>
      </c>
      <c r="E272" s="20" t="n">
        <f aca="false">E270-E271</f>
        <v>110</v>
      </c>
      <c r="F272" s="20" t="n">
        <f aca="false">F270-F271</f>
        <v>105.6</v>
      </c>
      <c r="G272" s="20" t="n">
        <f aca="false">G270-G271</f>
        <v>121.44</v>
      </c>
    </row>
    <row r="273" customFormat="false" ht="15" hidden="false" customHeight="false" outlineLevel="0" collapsed="false">
      <c r="A273" s="4" t="s">
        <v>475</v>
      </c>
      <c r="B273" s="0" t="s">
        <v>80</v>
      </c>
      <c r="D273" s="20" t="n">
        <f aca="false">IF(D260&gt;0,D268/D260,0)</f>
        <v>2.5</v>
      </c>
      <c r="E273" s="20" t="n">
        <f aca="false">IF(E260&gt;0,E268/E260,0)</f>
        <v>2.5</v>
      </c>
      <c r="F273" s="20" t="n">
        <f aca="false">IF(F260&gt;0,F268/F260,0)</f>
        <v>2</v>
      </c>
      <c r="G273" s="20" t="n">
        <f aca="false">IF(G260&gt;0,G268/G260,0)</f>
        <v>2</v>
      </c>
    </row>
    <row r="274" customFormat="false" ht="17.15" hidden="false" customHeight="false" outlineLevel="0" collapsed="false">
      <c r="A274" s="6" t="s">
        <v>532</v>
      </c>
    </row>
    <row r="275" customFormat="false" ht="17.15" hidden="false" customHeight="false" outlineLevel="0" collapsed="false">
      <c r="A275" s="4" t="s">
        <v>533</v>
      </c>
      <c r="B275" s="0" t="s">
        <v>219</v>
      </c>
      <c r="C275" s="20" t="n">
        <f aca="false">a25_oth</f>
        <v>30.926</v>
      </c>
      <c r="D275" s="20" t="n">
        <f aca="false">a26_oth</f>
        <v>20.43665</v>
      </c>
      <c r="E275" s="20" t="n">
        <f aca="false">D275*(1+g_o27_A)</f>
        <v>23.5021475</v>
      </c>
      <c r="F275" s="20" t="n">
        <f aca="false">E275*(1+g_oL_A)</f>
        <v>26.3224052</v>
      </c>
      <c r="G275" s="20" t="n">
        <f aca="false">F275*(1+g_oL_A)</f>
        <v>29.481093824</v>
      </c>
    </row>
    <row r="276" customFormat="false" ht="17.15" hidden="false" customHeight="false" outlineLevel="0" collapsed="false">
      <c r="A276" s="4" t="s">
        <v>413</v>
      </c>
      <c r="B276" s="0" t="s">
        <v>219</v>
      </c>
      <c r="C276" s="20" t="n">
        <f aca="false">C275+C270</f>
        <v>30.926</v>
      </c>
      <c r="D276" s="20" t="n">
        <f aca="false">D275+D270</f>
        <v>67.83665</v>
      </c>
      <c r="E276" s="20" t="n">
        <f aca="false">E275+E270</f>
        <v>133.5021475</v>
      </c>
      <c r="F276" s="20" t="n">
        <f aca="false">F275+F270</f>
        <v>131.9224052</v>
      </c>
      <c r="G276" s="20" t="n">
        <f aca="false">G275+G270</f>
        <v>150.921093824</v>
      </c>
      <c r="H276" s="28" t="n">
        <f aca="false">G276*(1+H277)</f>
        <v>168.429361020329</v>
      </c>
      <c r="I276" s="28" t="n">
        <f aca="false">H276*(1+I277)</f>
        <v>183.251937331313</v>
      </c>
      <c r="J276" s="28" t="n">
        <f aca="false">I276*(1+J277)</f>
        <v>194.247053571192</v>
      </c>
      <c r="K276" s="8" t="s">
        <v>534</v>
      </c>
    </row>
    <row r="277" customFormat="false" ht="15" hidden="false" customHeight="false" outlineLevel="0" collapsed="false">
      <c r="A277" s="4" t="s">
        <v>535</v>
      </c>
      <c r="B277" s="0" t="s">
        <v>44</v>
      </c>
      <c r="D277" s="18" t="n">
        <f aca="false">D276/C276-1</f>
        <v>1.19351516523314</v>
      </c>
      <c r="E277" s="18" t="n">
        <f aca="false">E276/D276-1</f>
        <v>0.967994402730677</v>
      </c>
      <c r="F277" s="18" t="n">
        <f aca="false">F276/E276-1</f>
        <v>-0.0118330853067361</v>
      </c>
      <c r="G277" s="18" t="n">
        <f aca="false">G276/F276-1</f>
        <v>0.144014116443656</v>
      </c>
      <c r="H277" s="26" t="n">
        <f aca="false">$G277+(fade_gA-$G277)*1/3</f>
        <v>0.116009410962438</v>
      </c>
      <c r="I277" s="26" t="n">
        <f aca="false">$G277+(fade_gA-$G277)*2/3</f>
        <v>0.0880047054812188</v>
      </c>
      <c r="J277" s="26" t="n">
        <f aca="false">$G277+(fade_gA-$G277)*3/3</f>
        <v>0.06</v>
      </c>
    </row>
    <row r="278" customFormat="false" ht="17.15" hidden="false" customHeight="false" outlineLevel="0" collapsed="false">
      <c r="A278" s="0" t="s">
        <v>536</v>
      </c>
      <c r="B278" s="0" t="s">
        <v>44</v>
      </c>
      <c r="C278" s="18" t="n">
        <f aca="false">C270/C276</f>
        <v>0</v>
      </c>
      <c r="D278" s="18" t="n">
        <f aca="false">D270/D276</f>
        <v>0.698737334464482</v>
      </c>
      <c r="E278" s="18" t="n">
        <f aca="false">E270/E276</f>
        <v>0.823956783167102</v>
      </c>
      <c r="F278" s="18" t="n">
        <f aca="false">F270/F276</f>
        <v>0.800470548121874</v>
      </c>
      <c r="G278" s="18" t="n">
        <f aca="false">G270/G276</f>
        <v>0.804658891099875</v>
      </c>
    </row>
    <row r="279" customFormat="false" ht="17.15" hidden="false" customHeight="false" outlineLevel="0" collapsed="false">
      <c r="A279" s="4" t="s">
        <v>537</v>
      </c>
      <c r="B279" s="0" t="s">
        <v>44</v>
      </c>
      <c r="C279" s="18" t="n">
        <f aca="false">C275/C276</f>
        <v>1</v>
      </c>
      <c r="D279" s="18" t="n">
        <f aca="false">D275/D276</f>
        <v>0.301262665535518</v>
      </c>
      <c r="E279" s="18" t="n">
        <f aca="false">E275/E276</f>
        <v>0.176043216832898</v>
      </c>
      <c r="F279" s="18" t="n">
        <f aca="false">F275/F276</f>
        <v>0.199529451878126</v>
      </c>
      <c r="G279" s="18" t="n">
        <f aca="false">G275/G276</f>
        <v>0.195341108900125</v>
      </c>
    </row>
    <row r="280" customFormat="false" ht="17.15" hidden="false" customHeight="false" outlineLevel="0" collapsed="false">
      <c r="A280" s="6" t="s">
        <v>538</v>
      </c>
    </row>
    <row r="281" customFormat="false" ht="17.15" hidden="false" customHeight="false" outlineLevel="0" collapsed="false">
      <c r="A281" s="0" t="s">
        <v>539</v>
      </c>
      <c r="B281" s="0" t="s">
        <v>219</v>
      </c>
      <c r="D281" s="20" t="n">
        <f aca="false">m_trn*D272+m_hbm*D271</f>
        <v>6.162</v>
      </c>
      <c r="E281" s="20" t="n">
        <f aca="false">(m_trn+gta_A)*E272+m_hbm*E271</f>
        <v>15.4</v>
      </c>
      <c r="F281" s="20" t="n">
        <f aca="false">(m_trn+gta_A)*F272+m_hbm*F271</f>
        <v>14.784</v>
      </c>
      <c r="G281" s="20" t="n">
        <f aca="false">(m_trn+gta_A)*G272+m_hbm*G271</f>
        <v>17.0016</v>
      </c>
    </row>
    <row r="282" customFormat="false" ht="17.15" hidden="false" customHeight="false" outlineLevel="0" collapsed="false">
      <c r="A282" s="4" t="s">
        <v>540</v>
      </c>
      <c r="B282" s="0" t="s">
        <v>44</v>
      </c>
      <c r="C282" s="17" t="n">
        <f aca="false">a25_gp/C275</f>
        <v>0.263661643924206</v>
      </c>
      <c r="D282" s="17" t="n">
        <f aca="false">(a26_gp-D281)/D275</f>
        <v>0.499403865114879</v>
      </c>
      <c r="E282" s="17" t="n">
        <f aca="false">$D282+0</f>
        <v>0.499403865114879</v>
      </c>
      <c r="F282" s="17" t="n">
        <f aca="false">$D282+0</f>
        <v>0.499403865114879</v>
      </c>
      <c r="G282" s="17" t="n">
        <f aca="false">$D282+0</f>
        <v>0.499403865114879</v>
      </c>
      <c r="K282" s="8" t="s">
        <v>541</v>
      </c>
    </row>
    <row r="283" customFormat="false" ht="15" hidden="false" customHeight="false" outlineLevel="0" collapsed="false">
      <c r="A283" s="4" t="s">
        <v>422</v>
      </c>
      <c r="B283" s="0" t="s">
        <v>219</v>
      </c>
      <c r="C283" s="20" t="n">
        <f aca="false">a25_gp</f>
        <v>8.154</v>
      </c>
      <c r="D283" s="20" t="n">
        <f aca="false">a26_gp</f>
        <v>16.368142</v>
      </c>
      <c r="E283" s="20" t="n">
        <f aca="false">E282*E275+E281</f>
        <v>27.1370633</v>
      </c>
      <c r="F283" s="20" t="n">
        <f aca="false">F282*F275+F281</f>
        <v>27.929510896</v>
      </c>
      <c r="G283" s="20" t="n">
        <f aca="false">G282*G275+G281</f>
        <v>31.72457220352</v>
      </c>
    </row>
    <row r="284" customFormat="false" ht="15" hidden="false" customHeight="false" outlineLevel="0" collapsed="false">
      <c r="A284" s="4" t="s">
        <v>425</v>
      </c>
      <c r="B284" s="0" t="s">
        <v>44</v>
      </c>
      <c r="C284" s="17" t="n">
        <f aca="false">C283/C276</f>
        <v>0.263661643924206</v>
      </c>
      <c r="D284" s="17" t="n">
        <f aca="false">D283/D276</f>
        <v>0.241287593063632</v>
      </c>
      <c r="E284" s="17" t="n">
        <f aca="false">E283/E276</f>
        <v>0.203270612557</v>
      </c>
      <c r="F284" s="17" t="n">
        <f aca="false">F283/F276</f>
        <v>0.211711656209252</v>
      </c>
      <c r="G284" s="17" t="n">
        <f aca="false">G283/G276</f>
        <v>0.210206349554532</v>
      </c>
    </row>
    <row r="285" customFormat="false" ht="15" hidden="false" customHeight="false" outlineLevel="0" collapsed="false">
      <c r="A285" s="4" t="s">
        <v>429</v>
      </c>
      <c r="B285" s="0" t="s">
        <v>219</v>
      </c>
      <c r="C285" s="20" t="n">
        <f aca="false">a25_opx</f>
        <v>3.138</v>
      </c>
      <c r="D285" s="20" t="n">
        <f aca="false">a26_opx</f>
        <v>3.849</v>
      </c>
      <c r="E285" s="20" t="n">
        <f aca="false">D285*(1+MAX(g_opx_min,phi*E277))+0*E276</f>
        <v>4.96674313683311</v>
      </c>
      <c r="F285" s="20" t="n">
        <f aca="false">E285*(1+MAX(g_opx_min,phi*F277))+0*F276</f>
        <v>5.36408258777976</v>
      </c>
      <c r="G285" s="20" t="n">
        <f aca="false">F285*(1+MAX(g_opx_min,phi*G277))+0*G276</f>
        <v>5.79320919480214</v>
      </c>
    </row>
    <row r="286" customFormat="false" ht="15" hidden="false" customHeight="false" outlineLevel="0" collapsed="false">
      <c r="A286" s="4" t="s">
        <v>432</v>
      </c>
      <c r="B286" s="0" t="s">
        <v>219</v>
      </c>
      <c r="C286" s="20" t="n">
        <f aca="false">C283-C285</f>
        <v>5.016</v>
      </c>
      <c r="D286" s="20" t="n">
        <f aca="false">D283-D285</f>
        <v>12.519142</v>
      </c>
      <c r="E286" s="20" t="n">
        <f aca="false">E283-E285</f>
        <v>22.1703201631669</v>
      </c>
      <c r="F286" s="20" t="n">
        <f aca="false">F283-F285</f>
        <v>22.5654283082202</v>
      </c>
      <c r="G286" s="20" t="n">
        <f aca="false">G283-G285</f>
        <v>25.9313630087179</v>
      </c>
    </row>
    <row r="287" customFormat="false" ht="15" hidden="false" customHeight="false" outlineLevel="0" collapsed="false">
      <c r="A287" s="4" t="s">
        <v>505</v>
      </c>
      <c r="B287" s="0" t="s">
        <v>44</v>
      </c>
      <c r="C287" s="17" t="n">
        <f aca="false">C286/C276</f>
        <v>0.162193623488327</v>
      </c>
      <c r="D287" s="17" t="n">
        <f aca="false">D286/D276</f>
        <v>0.184548352549838</v>
      </c>
      <c r="E287" s="17" t="n">
        <f aca="false">E286/E276</f>
        <v>0.166067142576616</v>
      </c>
      <c r="F287" s="17" t="n">
        <f aca="false">F286/F276</f>
        <v>0.171050764834147</v>
      </c>
      <c r="G287" s="17" t="n">
        <f aca="false">G286/G276</f>
        <v>0.171820667023248</v>
      </c>
    </row>
    <row r="288" customFormat="false" ht="15" hidden="false" customHeight="false" outlineLevel="0" collapsed="false">
      <c r="A288" s="4" t="s">
        <v>435</v>
      </c>
      <c r="B288" s="0" t="s">
        <v>219</v>
      </c>
      <c r="C288" s="20" t="n">
        <f aca="false">a25_nonop</f>
        <v>1.7042198</v>
      </c>
      <c r="D288" s="20" t="n">
        <f aca="false">a26_nonop</f>
        <v>1.605</v>
      </c>
      <c r="E288" s="20" t="n">
        <f aca="false">nonop_f</f>
        <v>1.6</v>
      </c>
      <c r="F288" s="20" t="n">
        <f aca="false">nonop_f</f>
        <v>1.6</v>
      </c>
      <c r="G288" s="20" t="n">
        <f aca="false">nonop_f</f>
        <v>1.6</v>
      </c>
    </row>
    <row r="289" customFormat="false" ht="15" hidden="false" customHeight="false" outlineLevel="0" collapsed="false">
      <c r="A289" s="4" t="s">
        <v>437</v>
      </c>
      <c r="B289" s="0" t="s">
        <v>219</v>
      </c>
      <c r="C289" s="20" t="n">
        <f aca="false">C286+C288</f>
        <v>6.7202198</v>
      </c>
      <c r="D289" s="20" t="n">
        <f aca="false">D286+D288</f>
        <v>14.124142</v>
      </c>
      <c r="E289" s="20" t="n">
        <f aca="false">E286+E288</f>
        <v>23.7703201631669</v>
      </c>
      <c r="F289" s="20" t="n">
        <f aca="false">F286+F288</f>
        <v>24.1654283082202</v>
      </c>
      <c r="G289" s="20" t="n">
        <f aca="false">G286+G288</f>
        <v>27.5313630087179</v>
      </c>
    </row>
    <row r="290" customFormat="false" ht="15" hidden="false" customHeight="false" outlineLevel="0" collapsed="false">
      <c r="A290" s="4" t="s">
        <v>439</v>
      </c>
      <c r="B290" s="0" t="s">
        <v>219</v>
      </c>
      <c r="C290" s="20" t="n">
        <f aca="false">a25_tax</f>
        <v>1.1222198</v>
      </c>
      <c r="D290" s="20" t="n">
        <f aca="false">a26_tax</f>
        <v>2.8140284</v>
      </c>
      <c r="E290" s="20" t="n">
        <f aca="false">E289*tax</f>
        <v>4.75406403263338</v>
      </c>
      <c r="F290" s="20" t="n">
        <f aca="false">F289*tax</f>
        <v>4.83308566164405</v>
      </c>
      <c r="G290" s="20" t="n">
        <f aca="false">G289*tax</f>
        <v>5.50627260174357</v>
      </c>
    </row>
    <row r="291" customFormat="false" ht="15" hidden="false" customHeight="false" outlineLevel="0" collapsed="false">
      <c r="A291" s="4" t="s">
        <v>442</v>
      </c>
      <c r="B291" s="0" t="s">
        <v>219</v>
      </c>
      <c r="C291" s="20" t="n">
        <f aca="false">C289-C290</f>
        <v>5.598</v>
      </c>
      <c r="D291" s="20" t="n">
        <f aca="false">D289-D290</f>
        <v>11.3101136</v>
      </c>
      <c r="E291" s="20" t="n">
        <f aca="false">E289-E290</f>
        <v>19.0162561305335</v>
      </c>
      <c r="F291" s="20" t="n">
        <f aca="false">F289-F290</f>
        <v>19.3323426465762</v>
      </c>
      <c r="G291" s="20" t="n">
        <f aca="false">G289-G290</f>
        <v>22.0250904069743</v>
      </c>
      <c r="H291" s="28" t="n">
        <f aca="false">H276*H295</f>
        <v>23.6767176747731</v>
      </c>
      <c r="I291" s="28" t="n">
        <f aca="false">I276*I295</f>
        <v>24.7773783287269</v>
      </c>
      <c r="J291" s="28" t="n">
        <f aca="false">J276*J295</f>
        <v>25.2220390019673</v>
      </c>
    </row>
    <row r="292" customFormat="false" ht="17.15" hidden="false" customHeight="false" outlineLevel="0" collapsed="false">
      <c r="A292" s="4" t="s">
        <v>542</v>
      </c>
      <c r="B292" s="4" t="s">
        <v>272</v>
      </c>
      <c r="C292" s="19" t="n">
        <f aca="false">a25_sh</f>
        <v>0.0809193408499566</v>
      </c>
      <c r="D292" s="19" t="n">
        <f aca="false">a26_sh</f>
        <v>0.0838996682946683</v>
      </c>
      <c r="E292" s="19" t="n">
        <f aca="false">q_sh*(1+sh_g)</f>
        <v>0.08621</v>
      </c>
      <c r="F292" s="19" t="n">
        <f aca="false">E292*(1+sh_g)</f>
        <v>0.08621</v>
      </c>
      <c r="G292" s="19" t="n">
        <f aca="false">F292*(1+sh_g)</f>
        <v>0.08621</v>
      </c>
      <c r="H292" s="31" t="n">
        <f aca="false">G292*(1+sh_g)</f>
        <v>0.08621</v>
      </c>
      <c r="I292" s="31" t="n">
        <f aca="false">H292*(1+sh_g)</f>
        <v>0.08621</v>
      </c>
      <c r="J292" s="31" t="n">
        <f aca="false">I292*(1+sh_g)</f>
        <v>0.08621</v>
      </c>
      <c r="K292" s="8" t="s">
        <v>543</v>
      </c>
    </row>
    <row r="293" customFormat="false" ht="17.15" hidden="false" customHeight="false" outlineLevel="0" collapsed="false">
      <c r="A293" s="0" t="s">
        <v>446</v>
      </c>
      <c r="B293" s="0" t="s">
        <v>312</v>
      </c>
      <c r="C293" s="20" t="n">
        <f aca="false">C291/C292</f>
        <v>69.18</v>
      </c>
      <c r="D293" s="20" t="n">
        <f aca="false">D291/D292</f>
        <v>134.805224262356</v>
      </c>
      <c r="E293" s="20" t="n">
        <f aca="false">E291/E292</f>
        <v>220.580630211501</v>
      </c>
      <c r="F293" s="20" t="n">
        <f aca="false">F291/F292</f>
        <v>224.247101804619</v>
      </c>
      <c r="G293" s="20" t="n">
        <f aca="false">G291/G292</f>
        <v>255.481851374252</v>
      </c>
      <c r="H293" s="28" t="n">
        <f aca="false">H291/H292</f>
        <v>274.640037986001</v>
      </c>
      <c r="I293" s="28" t="n">
        <f aca="false">I291/I292</f>
        <v>287.407241952522</v>
      </c>
      <c r="J293" s="28" t="n">
        <f aca="false">J291/J292</f>
        <v>292.565120078498</v>
      </c>
    </row>
    <row r="294" customFormat="false" ht="17.15" hidden="false" customHeight="false" outlineLevel="0" collapsed="false">
      <c r="A294" s="0" t="s">
        <v>544</v>
      </c>
      <c r="B294" s="0" t="s">
        <v>44</v>
      </c>
      <c r="D294" s="18" t="n">
        <f aca="false">D293/C293-1</f>
        <v>0.948615557420577</v>
      </c>
      <c r="E294" s="18" t="n">
        <f aca="false">E293/D293-1</f>
        <v>0.636291407981422</v>
      </c>
      <c r="F294" s="18" t="n">
        <f aca="false">F293/E293-1</f>
        <v>0.016621910952028</v>
      </c>
      <c r="G294" s="18" t="n">
        <f aca="false">G293/F293-1</f>
        <v>0.139287193984997</v>
      </c>
      <c r="H294" s="26" t="n">
        <f aca="false">H293/G293-1</f>
        <v>0.0749884444186368</v>
      </c>
      <c r="I294" s="26" t="n">
        <f aca="false">I293/H293-1</f>
        <v>0.0464870455893673</v>
      </c>
      <c r="J294" s="26" t="n">
        <f aca="false">J293/I293-1</f>
        <v>0.0179462357696201</v>
      </c>
    </row>
    <row r="295" customFormat="false" ht="17.15" hidden="false" customHeight="false" outlineLevel="0" collapsed="false">
      <c r="A295" s="4" t="s">
        <v>545</v>
      </c>
      <c r="B295" s="0" t="s">
        <v>44</v>
      </c>
      <c r="C295" s="17" t="n">
        <f aca="false">C291/C276</f>
        <v>0.181012740089245</v>
      </c>
      <c r="D295" s="17" t="n">
        <f aca="false">D291/D276</f>
        <v>0.166725709480052</v>
      </c>
      <c r="E295" s="17" t="n">
        <f aca="false">E291/E276</f>
        <v>0.142441574810873</v>
      </c>
      <c r="F295" s="17" t="n">
        <f aca="false">F291/F276</f>
        <v>0.146543285177886</v>
      </c>
      <c r="G295" s="17" t="n">
        <f aca="false">G291/G276</f>
        <v>0.145937786752721</v>
      </c>
      <c r="H295" s="27" t="n">
        <f aca="false">$G295+(fade_mA-$G295)*1/3</f>
        <v>0.140573576550679</v>
      </c>
      <c r="I295" s="27" t="n">
        <f aca="false">$G295+(fade_mA-$G295)*2/3</f>
        <v>0.135209366348637</v>
      </c>
      <c r="J295" s="27" t="n">
        <f aca="false">$G295+(fade_mA-$G295)*3/3</f>
        <v>0.129845156146594</v>
      </c>
    </row>
    <row r="298" customFormat="false" ht="17.15" hidden="false" customHeight="false" outlineLevel="0" collapsed="false">
      <c r="A298" s="1" t="s">
        <v>826</v>
      </c>
    </row>
    <row r="299" customFormat="false" ht="17.15" hidden="false" customHeight="false" outlineLevel="0" collapsed="false">
      <c r="A299" s="5" t="s">
        <v>20</v>
      </c>
      <c r="B299" s="5" t="s">
        <v>21</v>
      </c>
      <c r="C299" s="14" t="s">
        <v>407</v>
      </c>
      <c r="D299" s="14" t="s">
        <v>495</v>
      </c>
      <c r="E299" s="14" t="s">
        <v>496</v>
      </c>
      <c r="F299" s="14" t="s">
        <v>497</v>
      </c>
      <c r="G299" s="14" t="s">
        <v>498</v>
      </c>
      <c r="H299" s="14" t="s">
        <v>499</v>
      </c>
      <c r="I299" s="14" t="s">
        <v>500</v>
      </c>
      <c r="J299" s="14" t="s">
        <v>501</v>
      </c>
      <c r="K299" s="5" t="s">
        <v>465</v>
      </c>
    </row>
    <row r="300" customFormat="false" ht="17.15" hidden="false" customHeight="false" outlineLevel="0" collapsed="false">
      <c r="A300" s="6" t="s">
        <v>516</v>
      </c>
    </row>
    <row r="301" customFormat="false" ht="17.15" hidden="false" customHeight="false" outlineLevel="0" collapsed="false">
      <c r="A301" s="0" t="s">
        <v>517</v>
      </c>
      <c r="B301" s="4" t="s">
        <v>31</v>
      </c>
      <c r="D301" s="22" t="n">
        <f aca="false">u_trn_26</f>
        <v>2</v>
      </c>
      <c r="E301" s="22" t="n">
        <f aca="false">u_trn_27</f>
        <v>2.5</v>
      </c>
      <c r="F301" s="22" t="n">
        <f aca="false">u_trn_28*um28_A</f>
        <v>3</v>
      </c>
      <c r="G301" s="22" t="n">
        <f aca="false">u_trn_28*(1+g29_trn)*um29_A</f>
        <v>3.45</v>
      </c>
    </row>
    <row r="302" customFormat="false" ht="17.15" hidden="false" customHeight="false" outlineLevel="0" collapsed="false">
      <c r="A302" s="4" t="s">
        <v>469</v>
      </c>
      <c r="B302" s="0" t="s">
        <v>44</v>
      </c>
      <c r="D302" s="18" t="n">
        <f aca="false">al_trn_26</f>
        <v>0.3</v>
      </c>
      <c r="E302" s="18" t="n">
        <f aca="false">MIN(1,MAX(0,al27_A+0))</f>
        <v>0.55</v>
      </c>
      <c r="F302" s="18" t="n">
        <f aca="false">MIN(1,MAX(0,al28_A+0))</f>
        <v>0.55</v>
      </c>
      <c r="G302" s="18" t="n">
        <f aca="false">MIN(1,MAX(0,al28_A+0))</f>
        <v>0.55</v>
      </c>
    </row>
    <row r="303" customFormat="false" ht="17.15" hidden="false" customHeight="false" outlineLevel="0" collapsed="false">
      <c r="A303" s="4" t="s">
        <v>471</v>
      </c>
      <c r="B303" s="4" t="s">
        <v>31</v>
      </c>
      <c r="D303" s="22" t="n">
        <f aca="false">D301*D302</f>
        <v>0.6</v>
      </c>
      <c r="E303" s="22" t="n">
        <f aca="false">E301*E302*1</f>
        <v>1.375</v>
      </c>
      <c r="F303" s="22" t="n">
        <f aca="false">F301*F302*1</f>
        <v>1.65</v>
      </c>
      <c r="G303" s="22" t="n">
        <f aca="false">G301*G302*1</f>
        <v>1.8975</v>
      </c>
    </row>
    <row r="304" customFormat="false" ht="17.15" hidden="false" customHeight="false" outlineLevel="0" collapsed="false">
      <c r="A304" s="4" t="s">
        <v>518</v>
      </c>
      <c r="B304" s="0" t="s">
        <v>69</v>
      </c>
      <c r="D304" s="30" t="n">
        <f aca="false">gb_trn_26</f>
        <v>110</v>
      </c>
      <c r="E304" s="30" t="n">
        <f aca="false">gb_trn_27</f>
        <v>144</v>
      </c>
      <c r="F304" s="30" t="n">
        <f aca="false">gb_trn_28</f>
        <v>200</v>
      </c>
      <c r="G304" s="30" t="n">
        <f aca="false">gb_trn_28</f>
        <v>200</v>
      </c>
    </row>
    <row r="305" customFormat="false" ht="17.15" hidden="false" customHeight="false" outlineLevel="0" collapsed="false">
      <c r="A305" s="0" t="s">
        <v>519</v>
      </c>
      <c r="B305" s="0" t="s">
        <v>156</v>
      </c>
      <c r="D305" s="20" t="n">
        <f aca="false">hbm_A_26</f>
        <v>14.6</v>
      </c>
      <c r="E305" s="20" t="n">
        <f aca="false">hbm_A_27</f>
        <v>26.28</v>
      </c>
      <c r="F305" s="20" t="n">
        <f aca="false">hbm_A_28</f>
        <v>28.908</v>
      </c>
      <c r="G305" s="20" t="n">
        <f aca="false">hbm_A_29</f>
        <v>27.4626</v>
      </c>
    </row>
    <row r="306" customFormat="false" ht="17.15" hidden="false" customHeight="false" outlineLevel="0" collapsed="false">
      <c r="A306" s="4" t="s">
        <v>520</v>
      </c>
      <c r="B306" s="0" t="s">
        <v>80</v>
      </c>
      <c r="D306" s="20" t="n">
        <f aca="false">core_trn</f>
        <v>6.394</v>
      </c>
      <c r="E306" s="20" t="n">
        <f aca="false">core_trn</f>
        <v>6.394</v>
      </c>
      <c r="F306" s="20" t="n">
        <f aca="false">core_trn*pfc_A</f>
        <v>9.591</v>
      </c>
      <c r="G306" s="20" t="n">
        <f aca="false">core_trn*pfc_A</f>
        <v>9.591</v>
      </c>
    </row>
    <row r="307" customFormat="false" ht="17.15" hidden="false" customHeight="false" outlineLevel="0" collapsed="false">
      <c r="A307" s="4" t="s">
        <v>521</v>
      </c>
      <c r="B307" s="0" t="s">
        <v>80</v>
      </c>
      <c r="D307" s="20" t="n">
        <f aca="false">D304*D305/1000</f>
        <v>1.606</v>
      </c>
      <c r="E307" s="20" t="n">
        <f aca="false">E304*E305/1000</f>
        <v>3.78432</v>
      </c>
      <c r="F307" s="20" t="n">
        <f aca="false">F304*F305/1000</f>
        <v>5.7816</v>
      </c>
      <c r="G307" s="20" t="n">
        <f aca="false">G304*G305/1000</f>
        <v>5.49252</v>
      </c>
    </row>
    <row r="308" customFormat="false" ht="17.15" hidden="false" customHeight="false" outlineLevel="0" collapsed="false">
      <c r="A308" s="4" t="s">
        <v>522</v>
      </c>
      <c r="B308" s="0" t="s">
        <v>80</v>
      </c>
      <c r="D308" s="20" t="n">
        <f aca="false">D306+f_al_hi*D307</f>
        <v>7.3576</v>
      </c>
      <c r="E308" s="20" t="n">
        <f aca="false">E306+f_al_hi*E307</f>
        <v>8.664592</v>
      </c>
      <c r="F308" s="20" t="n">
        <f aca="false">F306+f_al_hi*F307</f>
        <v>13.05996</v>
      </c>
      <c r="G308" s="20" t="n">
        <f aca="false">G306+f_al_hi*G307</f>
        <v>12.886512</v>
      </c>
      <c r="K308" s="4" t="s">
        <v>523</v>
      </c>
    </row>
    <row r="309" customFormat="false" ht="17.15" hidden="false" customHeight="false" outlineLevel="0" collapsed="false">
      <c r="A309" s="0" t="s">
        <v>524</v>
      </c>
      <c r="B309" s="0" t="s">
        <v>213</v>
      </c>
      <c r="D309" s="20" t="n">
        <f aca="false">D303*D308</f>
        <v>4.41456</v>
      </c>
      <c r="E309" s="20" t="n">
        <f aca="false">E303*E308</f>
        <v>11.913814</v>
      </c>
      <c r="F309" s="20" t="n">
        <f aca="false">F303*F308</f>
        <v>21.548934</v>
      </c>
      <c r="G309" s="20" t="n">
        <f aca="false">G303*G308</f>
        <v>24.45215652</v>
      </c>
    </row>
    <row r="310" customFormat="false" ht="17.15" hidden="false" customHeight="false" outlineLevel="0" collapsed="false">
      <c r="A310" s="4" t="s">
        <v>525</v>
      </c>
      <c r="B310" s="0" t="s">
        <v>49</v>
      </c>
      <c r="D310" s="22" t="n">
        <f aca="false">dc26/D309</f>
        <v>0.339784712406219</v>
      </c>
      <c r="K310" s="8" t="s">
        <v>526</v>
      </c>
    </row>
    <row r="311" customFormat="false" ht="17.15" hidden="false" customHeight="false" outlineLevel="0" collapsed="false">
      <c r="A311" s="0" t="s">
        <v>527</v>
      </c>
      <c r="B311" s="0" t="s">
        <v>213</v>
      </c>
      <c r="D311" s="20" t="n">
        <f aca="false">D309*$D$310</f>
        <v>1.5</v>
      </c>
      <c r="E311" s="20" t="n">
        <f aca="false">E309*$D$310</f>
        <v>4.04813186365119</v>
      </c>
      <c r="F311" s="20" t="n">
        <f aca="false">F309*$D$310</f>
        <v>7.3219983418506</v>
      </c>
      <c r="G311" s="20" t="n">
        <f aca="false">G309*$D$310</f>
        <v>8.30846897086006</v>
      </c>
    </row>
    <row r="312" customFormat="false" ht="15" hidden="false" customHeight="false" outlineLevel="0" collapsed="false">
      <c r="A312" s="4" t="s">
        <v>528</v>
      </c>
      <c r="B312" s="0" t="s">
        <v>224</v>
      </c>
      <c r="D312" s="20" t="n">
        <f aca="false">fx26</f>
        <v>31.6</v>
      </c>
      <c r="E312" s="20" t="n">
        <f aca="false">fx</f>
        <v>32</v>
      </c>
      <c r="F312" s="20" t="n">
        <f aca="false">fx</f>
        <v>32</v>
      </c>
      <c r="G312" s="20" t="n">
        <f aca="false">fx</f>
        <v>32</v>
      </c>
    </row>
    <row r="313" customFormat="false" ht="17.15" hidden="false" customHeight="false" outlineLevel="0" collapsed="false">
      <c r="A313" s="0" t="s">
        <v>529</v>
      </c>
      <c r="B313" s="0" t="s">
        <v>219</v>
      </c>
      <c r="C313" s="20" t="n">
        <f aca="false">a25_trn</f>
        <v>0</v>
      </c>
      <c r="D313" s="20" t="n">
        <f aca="false">D311*D312</f>
        <v>47.4</v>
      </c>
      <c r="E313" s="20" t="n">
        <f aca="false">E311*E312</f>
        <v>129.540219636838</v>
      </c>
      <c r="F313" s="20" t="n">
        <f aca="false">F311*F312</f>
        <v>234.303946939219</v>
      </c>
      <c r="G313" s="20" t="n">
        <f aca="false">G311*G312</f>
        <v>265.871007067522</v>
      </c>
    </row>
    <row r="314" customFormat="false" ht="17.15" hidden="false" customHeight="false" outlineLevel="0" collapsed="false">
      <c r="A314" s="4" t="s">
        <v>530</v>
      </c>
      <c r="B314" s="0" t="s">
        <v>219</v>
      </c>
      <c r="D314" s="20" t="n">
        <f aca="false">$D$310*f_al_hi*D303*D307*D312</f>
        <v>6.20781776666304</v>
      </c>
      <c r="E314" s="20" t="n">
        <f aca="false">$D$310*f_al_hi*E303*E307*E312</f>
        <v>33.946547787322</v>
      </c>
      <c r="F314" s="20" t="n">
        <f aca="false">$D$310*f_al_hi*F303*F307*F312</f>
        <v>62.2353376100903</v>
      </c>
      <c r="G314" s="20" t="n">
        <f aca="false">$D$310*f_al_hi*G303*G307*G312</f>
        <v>67.9921063390236</v>
      </c>
    </row>
    <row r="315" customFormat="false" ht="15" hidden="false" customHeight="false" outlineLevel="0" collapsed="false">
      <c r="A315" s="4" t="s">
        <v>531</v>
      </c>
      <c r="B315" s="0" t="s">
        <v>219</v>
      </c>
      <c r="D315" s="20" t="n">
        <f aca="false">D313-D314</f>
        <v>41.192182233337</v>
      </c>
      <c r="E315" s="20" t="n">
        <f aca="false">E313-E314</f>
        <v>95.5936718495162</v>
      </c>
      <c r="F315" s="20" t="n">
        <f aca="false">F313-F314</f>
        <v>172.068609329129</v>
      </c>
      <c r="G315" s="20" t="n">
        <f aca="false">G313-G314</f>
        <v>197.878900728498</v>
      </c>
    </row>
    <row r="316" customFormat="false" ht="15" hidden="false" customHeight="false" outlineLevel="0" collapsed="false">
      <c r="A316" s="4" t="s">
        <v>475</v>
      </c>
      <c r="B316" s="0" t="s">
        <v>80</v>
      </c>
      <c r="D316" s="20" t="n">
        <f aca="false">IF(D303&gt;0,D311/D303,0)</f>
        <v>2.5</v>
      </c>
      <c r="E316" s="20" t="n">
        <f aca="false">IF(E303&gt;0,E311/E303,0)</f>
        <v>2.94409590083723</v>
      </c>
      <c r="F316" s="20" t="n">
        <f aca="false">IF(F303&gt;0,F311/F303,0)</f>
        <v>4.43757475263673</v>
      </c>
      <c r="G316" s="20" t="n">
        <f aca="false">IF(G303&gt;0,G311/G303,0)</f>
        <v>4.3786397738393</v>
      </c>
    </row>
    <row r="317" customFormat="false" ht="17.15" hidden="false" customHeight="false" outlineLevel="0" collapsed="false">
      <c r="A317" s="6" t="s">
        <v>532</v>
      </c>
    </row>
    <row r="318" customFormat="false" ht="17.15" hidden="false" customHeight="false" outlineLevel="0" collapsed="false">
      <c r="A318" s="4" t="s">
        <v>533</v>
      </c>
      <c r="B318" s="0" t="s">
        <v>219</v>
      </c>
      <c r="C318" s="20" t="n">
        <f aca="false">a25_oth</f>
        <v>30.926</v>
      </c>
      <c r="D318" s="20" t="n">
        <f aca="false">a26_oth</f>
        <v>20.43665</v>
      </c>
      <c r="E318" s="20" t="n">
        <f aca="false">D318*(1+g_o27_A)</f>
        <v>23.5021475</v>
      </c>
      <c r="F318" s="20" t="n">
        <f aca="false">E318*(1+g_oL_A)</f>
        <v>26.3224052</v>
      </c>
      <c r="G318" s="20" t="n">
        <f aca="false">F318*(1+g_oL_A)</f>
        <v>29.481093824</v>
      </c>
    </row>
    <row r="319" customFormat="false" ht="17.15" hidden="false" customHeight="false" outlineLevel="0" collapsed="false">
      <c r="A319" s="4" t="s">
        <v>413</v>
      </c>
      <c r="B319" s="0" t="s">
        <v>219</v>
      </c>
      <c r="C319" s="20" t="n">
        <f aca="false">C318+C313</f>
        <v>30.926</v>
      </c>
      <c r="D319" s="20" t="n">
        <f aca="false">D318+D313</f>
        <v>67.83665</v>
      </c>
      <c r="E319" s="20" t="n">
        <f aca="false">E318+E313</f>
        <v>153.042367136838</v>
      </c>
      <c r="F319" s="20" t="n">
        <f aca="false">F318+F313</f>
        <v>260.626352139219</v>
      </c>
      <c r="G319" s="20" t="n">
        <f aca="false">G318+G313</f>
        <v>295.352100891522</v>
      </c>
      <c r="H319" s="28" t="n">
        <f aca="false">G319*(1+H320)</f>
        <v>327.494205135</v>
      </c>
      <c r="I319" s="28" t="n">
        <f aca="false">H319*(1+I320)</f>
        <v>355.139038068771</v>
      </c>
      <c r="J319" s="28" t="n">
        <f aca="false">I319*(1+J320)</f>
        <v>376.447380352898</v>
      </c>
      <c r="K319" s="8" t="s">
        <v>534</v>
      </c>
    </row>
    <row r="320" customFormat="false" ht="15" hidden="false" customHeight="false" outlineLevel="0" collapsed="false">
      <c r="A320" s="4" t="s">
        <v>535</v>
      </c>
      <c r="B320" s="0" t="s">
        <v>44</v>
      </c>
      <c r="D320" s="18" t="n">
        <f aca="false">D319/C319-1</f>
        <v>1.19351516523314</v>
      </c>
      <c r="E320" s="18" t="n">
        <f aca="false">E319/D319-1</f>
        <v>1.25604252475377</v>
      </c>
      <c r="F320" s="18" t="n">
        <f aca="false">F319/E319-1</f>
        <v>0.702968642050527</v>
      </c>
      <c r="G320" s="18" t="n">
        <f aca="false">G319/F319-1</f>
        <v>0.133239591726907</v>
      </c>
      <c r="H320" s="26" t="n">
        <f aca="false">$G320+(fade_gA-$G320)*1/3</f>
        <v>0.108826394484605</v>
      </c>
      <c r="I320" s="26" t="n">
        <f aca="false">$G320+(fade_gA-$G320)*2/3</f>
        <v>0.0844131972423024</v>
      </c>
      <c r="J320" s="26" t="n">
        <f aca="false">$G320+(fade_gA-$G320)*3/3</f>
        <v>0.06</v>
      </c>
    </row>
    <row r="321" customFormat="false" ht="17.15" hidden="false" customHeight="false" outlineLevel="0" collapsed="false">
      <c r="A321" s="0" t="s">
        <v>536</v>
      </c>
      <c r="B321" s="0" t="s">
        <v>44</v>
      </c>
      <c r="C321" s="18" t="n">
        <f aca="false">C313/C319</f>
        <v>0</v>
      </c>
      <c r="D321" s="18" t="n">
        <f aca="false">D313/D319</f>
        <v>0.698737334464482</v>
      </c>
      <c r="E321" s="18" t="n">
        <f aca="false">E313/E319</f>
        <v>0.846433716756444</v>
      </c>
      <c r="F321" s="18" t="n">
        <f aca="false">F313/F319</f>
        <v>0.899003285799974</v>
      </c>
      <c r="G321" s="18" t="n">
        <f aca="false">G313/G319</f>
        <v>0.900183226274636</v>
      </c>
    </row>
    <row r="322" customFormat="false" ht="17.15" hidden="false" customHeight="false" outlineLevel="0" collapsed="false">
      <c r="A322" s="4" t="s">
        <v>537</v>
      </c>
      <c r="B322" s="0" t="s">
        <v>44</v>
      </c>
      <c r="C322" s="18" t="n">
        <f aca="false">C318/C319</f>
        <v>1</v>
      </c>
      <c r="D322" s="18" t="n">
        <f aca="false">D318/D319</f>
        <v>0.301262665535518</v>
      </c>
      <c r="E322" s="18" t="n">
        <f aca="false">E318/E319</f>
        <v>0.153566283243556</v>
      </c>
      <c r="F322" s="18" t="n">
        <f aca="false">F318/F319</f>
        <v>0.100996714200026</v>
      </c>
      <c r="G322" s="18" t="n">
        <f aca="false">G318/G319</f>
        <v>0.0998167737253642</v>
      </c>
    </row>
    <row r="323" customFormat="false" ht="17.15" hidden="false" customHeight="false" outlineLevel="0" collapsed="false">
      <c r="A323" s="6" t="s">
        <v>538</v>
      </c>
    </row>
    <row r="324" customFormat="false" ht="17.15" hidden="false" customHeight="false" outlineLevel="0" collapsed="false">
      <c r="A324" s="0" t="s">
        <v>539</v>
      </c>
      <c r="B324" s="0" t="s">
        <v>219</v>
      </c>
      <c r="D324" s="20" t="n">
        <f aca="false">m_trn*D315+m_hbm*D314</f>
        <v>5.97576546700011</v>
      </c>
      <c r="E324" s="20" t="n">
        <f aca="false">(m_trn+gta_A)*E315+m_hbm*E314</f>
        <v>16.7777688376645</v>
      </c>
      <c r="F324" s="20" t="n">
        <f aca="false">(m_trn+gta_A)*F315+m_hbm*F314</f>
        <v>30.3131390670871</v>
      </c>
      <c r="G324" s="20" t="n">
        <f aca="false">(m_trn+gta_A)*G315+m_hbm*G314</f>
        <v>34.5022567358921</v>
      </c>
    </row>
    <row r="325" customFormat="false" ht="17.15" hidden="false" customHeight="false" outlineLevel="0" collapsed="false">
      <c r="A325" s="4" t="s">
        <v>540</v>
      </c>
      <c r="B325" s="0" t="s">
        <v>44</v>
      </c>
      <c r="C325" s="17" t="n">
        <f aca="false">a25_gp/C318</f>
        <v>0.263661643924206</v>
      </c>
      <c r="D325" s="17" t="n">
        <f aca="false">(a26_gp-D324)/D318</f>
        <v>0.508516637169002</v>
      </c>
      <c r="E325" s="17" t="n">
        <f aca="false">$D325+0</f>
        <v>0.508516637169002</v>
      </c>
      <c r="F325" s="17" t="n">
        <f aca="false">$D325+0</f>
        <v>0.508516637169002</v>
      </c>
      <c r="G325" s="17" t="n">
        <f aca="false">$D325+0</f>
        <v>0.508516637169002</v>
      </c>
      <c r="K325" s="8" t="s">
        <v>541</v>
      </c>
    </row>
    <row r="326" customFormat="false" ht="15" hidden="false" customHeight="false" outlineLevel="0" collapsed="false">
      <c r="A326" s="4" t="s">
        <v>422</v>
      </c>
      <c r="B326" s="0" t="s">
        <v>219</v>
      </c>
      <c r="C326" s="20" t="n">
        <f aca="false">a25_gp</f>
        <v>8.154</v>
      </c>
      <c r="D326" s="20" t="n">
        <f aca="false">a26_gp</f>
        <v>16.368142</v>
      </c>
      <c r="E326" s="20" t="n">
        <f aca="false">E325*E318+E324</f>
        <v>28.7290018506143</v>
      </c>
      <c r="F326" s="20" t="n">
        <f aca="false">F325*F318+F324</f>
        <v>43.698520041591</v>
      </c>
      <c r="G326" s="20" t="n">
        <f aca="false">G325*G318+G324</f>
        <v>49.4938834273365</v>
      </c>
    </row>
    <row r="327" customFormat="false" ht="15" hidden="false" customHeight="false" outlineLevel="0" collapsed="false">
      <c r="A327" s="4" t="s">
        <v>425</v>
      </c>
      <c r="B327" s="0" t="s">
        <v>44</v>
      </c>
      <c r="C327" s="17" t="n">
        <f aca="false">C326/C319</f>
        <v>0.263661643924206</v>
      </c>
      <c r="D327" s="17" t="n">
        <f aca="false">D326/D319</f>
        <v>0.241287593063632</v>
      </c>
      <c r="E327" s="17" t="n">
        <f aca="false">E326/E319</f>
        <v>0.187719272696084</v>
      </c>
      <c r="F327" s="17" t="n">
        <f aca="false">F326/F319</f>
        <v>0.167667312545005</v>
      </c>
      <c r="G327" s="17" t="n">
        <f aca="false">G326/G319</f>
        <v>0.16757586378407</v>
      </c>
    </row>
    <row r="328" customFormat="false" ht="15" hidden="false" customHeight="false" outlineLevel="0" collapsed="false">
      <c r="A328" s="4" t="s">
        <v>429</v>
      </c>
      <c r="B328" s="0" t="s">
        <v>219</v>
      </c>
      <c r="C328" s="20" t="n">
        <f aca="false">a25_opx</f>
        <v>3.138</v>
      </c>
      <c r="D328" s="20" t="n">
        <f aca="false">a26_opx</f>
        <v>3.849</v>
      </c>
      <c r="E328" s="20" t="n">
        <f aca="false">D328*(1+MAX(g_opx_min,phi*E320))+0*E319</f>
        <v>5.29935230333318</v>
      </c>
      <c r="F328" s="20" t="n">
        <f aca="false">E328*(1+MAX(g_opx_min,phi*F320))+0*F319</f>
        <v>6.41693585105962</v>
      </c>
      <c r="G328" s="20" t="n">
        <f aca="false">F328*(1+MAX(g_opx_min,phi*G320))+0*G319</f>
        <v>6.93029071914439</v>
      </c>
    </row>
    <row r="329" customFormat="false" ht="15" hidden="false" customHeight="false" outlineLevel="0" collapsed="false">
      <c r="A329" s="4" t="s">
        <v>432</v>
      </c>
      <c r="B329" s="0" t="s">
        <v>219</v>
      </c>
      <c r="C329" s="20" t="n">
        <f aca="false">C326-C328</f>
        <v>5.016</v>
      </c>
      <c r="D329" s="20" t="n">
        <f aca="false">D326-D328</f>
        <v>12.519142</v>
      </c>
      <c r="E329" s="20" t="n">
        <f aca="false">E326-E328</f>
        <v>23.4296495472811</v>
      </c>
      <c r="F329" s="20" t="n">
        <f aca="false">F326-F328</f>
        <v>37.2815841905313</v>
      </c>
      <c r="G329" s="20" t="n">
        <f aca="false">G326-G328</f>
        <v>42.5635927081921</v>
      </c>
    </row>
    <row r="330" customFormat="false" ht="15" hidden="false" customHeight="false" outlineLevel="0" collapsed="false">
      <c r="A330" s="4" t="s">
        <v>505</v>
      </c>
      <c r="B330" s="0" t="s">
        <v>44</v>
      </c>
      <c r="C330" s="17" t="n">
        <f aca="false">C329/C319</f>
        <v>0.162193623488327</v>
      </c>
      <c r="D330" s="17" t="n">
        <f aca="false">D329/D319</f>
        <v>0.184548352549838</v>
      </c>
      <c r="E330" s="17" t="n">
        <f aca="false">E329/E319</f>
        <v>0.153092571590534</v>
      </c>
      <c r="F330" s="17" t="n">
        <f aca="false">F329/F319</f>
        <v>0.143046103682626</v>
      </c>
      <c r="G330" s="17" t="n">
        <f aca="false">G329/G319</f>
        <v>0.144111359220786</v>
      </c>
    </row>
    <row r="331" customFormat="false" ht="15" hidden="false" customHeight="false" outlineLevel="0" collapsed="false">
      <c r="A331" s="4" t="s">
        <v>435</v>
      </c>
      <c r="B331" s="0" t="s">
        <v>219</v>
      </c>
      <c r="C331" s="20" t="n">
        <f aca="false">a25_nonop</f>
        <v>1.7042198</v>
      </c>
      <c r="D331" s="20" t="n">
        <f aca="false">a26_nonop</f>
        <v>1.605</v>
      </c>
      <c r="E331" s="20" t="n">
        <f aca="false">nonop_f</f>
        <v>1.6</v>
      </c>
      <c r="F331" s="20" t="n">
        <f aca="false">nonop_f</f>
        <v>1.6</v>
      </c>
      <c r="G331" s="20" t="n">
        <f aca="false">nonop_f</f>
        <v>1.6</v>
      </c>
    </row>
    <row r="332" customFormat="false" ht="15" hidden="false" customHeight="false" outlineLevel="0" collapsed="false">
      <c r="A332" s="4" t="s">
        <v>437</v>
      </c>
      <c r="B332" s="0" t="s">
        <v>219</v>
      </c>
      <c r="C332" s="20" t="n">
        <f aca="false">C329+C331</f>
        <v>6.7202198</v>
      </c>
      <c r="D332" s="20" t="n">
        <f aca="false">D329+D331</f>
        <v>14.124142</v>
      </c>
      <c r="E332" s="20" t="n">
        <f aca="false">E329+E331</f>
        <v>25.0296495472812</v>
      </c>
      <c r="F332" s="20" t="n">
        <f aca="false">F329+F331</f>
        <v>38.8815841905313</v>
      </c>
      <c r="G332" s="20" t="n">
        <f aca="false">G329+G331</f>
        <v>44.1635927081921</v>
      </c>
    </row>
    <row r="333" customFormat="false" ht="15" hidden="false" customHeight="false" outlineLevel="0" collapsed="false">
      <c r="A333" s="4" t="s">
        <v>439</v>
      </c>
      <c r="B333" s="0" t="s">
        <v>219</v>
      </c>
      <c r="C333" s="20" t="n">
        <f aca="false">a25_tax</f>
        <v>1.1222198</v>
      </c>
      <c r="D333" s="20" t="n">
        <f aca="false">a26_tax</f>
        <v>2.8140284</v>
      </c>
      <c r="E333" s="20" t="n">
        <f aca="false">E332*tax</f>
        <v>5.00592990945623</v>
      </c>
      <c r="F333" s="20" t="n">
        <f aca="false">F332*tax</f>
        <v>7.77631683810627</v>
      </c>
      <c r="G333" s="20" t="n">
        <f aca="false">G332*tax</f>
        <v>8.83271854163842</v>
      </c>
    </row>
    <row r="334" customFormat="false" ht="15" hidden="false" customHeight="false" outlineLevel="0" collapsed="false">
      <c r="A334" s="4" t="s">
        <v>442</v>
      </c>
      <c r="B334" s="0" t="s">
        <v>219</v>
      </c>
      <c r="C334" s="20" t="n">
        <f aca="false">C332-C333</f>
        <v>5.598</v>
      </c>
      <c r="D334" s="20" t="n">
        <f aca="false">D332-D333</f>
        <v>11.3101136</v>
      </c>
      <c r="E334" s="20" t="n">
        <f aca="false">E332-E333</f>
        <v>20.0237196378249</v>
      </c>
      <c r="F334" s="20" t="n">
        <f aca="false">F332-F333</f>
        <v>31.1052673524251</v>
      </c>
      <c r="G334" s="20" t="n">
        <f aca="false">G332-G333</f>
        <v>35.3308741665537</v>
      </c>
      <c r="H334" s="28" t="n">
        <f aca="false">H319*H338</f>
        <v>40.2917159450123</v>
      </c>
      <c r="I334" s="28" t="n">
        <f aca="false">I319*I338</f>
        <v>44.9029761810502</v>
      </c>
      <c r="J334" s="28" t="n">
        <f aca="false">J319*J338</f>
        <v>48.8798688828984</v>
      </c>
    </row>
    <row r="335" customFormat="false" ht="17.15" hidden="false" customHeight="false" outlineLevel="0" collapsed="false">
      <c r="A335" s="4" t="s">
        <v>542</v>
      </c>
      <c r="B335" s="4" t="s">
        <v>272</v>
      </c>
      <c r="C335" s="19" t="n">
        <f aca="false">a25_sh</f>
        <v>0.0809193408499566</v>
      </c>
      <c r="D335" s="19" t="n">
        <f aca="false">a26_sh</f>
        <v>0.0838996682946683</v>
      </c>
      <c r="E335" s="19" t="n">
        <f aca="false">q_sh*(1+sh_g)</f>
        <v>0.08621</v>
      </c>
      <c r="F335" s="19" t="n">
        <f aca="false">E335*(1+sh_g)</f>
        <v>0.08621</v>
      </c>
      <c r="G335" s="19" t="n">
        <f aca="false">F335*(1+sh_g)</f>
        <v>0.08621</v>
      </c>
      <c r="H335" s="31" t="n">
        <f aca="false">G335*(1+sh_g)</f>
        <v>0.08621</v>
      </c>
      <c r="I335" s="31" t="n">
        <f aca="false">H335*(1+sh_g)</f>
        <v>0.08621</v>
      </c>
      <c r="J335" s="31" t="n">
        <f aca="false">I335*(1+sh_g)</f>
        <v>0.08621</v>
      </c>
      <c r="K335" s="8" t="s">
        <v>543</v>
      </c>
    </row>
    <row r="336" customFormat="false" ht="17.15" hidden="false" customHeight="false" outlineLevel="0" collapsed="false">
      <c r="A336" s="0" t="s">
        <v>446</v>
      </c>
      <c r="B336" s="0" t="s">
        <v>312</v>
      </c>
      <c r="C336" s="20" t="n">
        <f aca="false">C334/C335</f>
        <v>69.18</v>
      </c>
      <c r="D336" s="20" t="n">
        <f aca="false">D334/D335</f>
        <v>134.805224262356</v>
      </c>
      <c r="E336" s="20" t="n">
        <f aca="false">E334/E335</f>
        <v>232.266786194466</v>
      </c>
      <c r="F336" s="20" t="n">
        <f aca="false">F334/F335</f>
        <v>360.808112196092</v>
      </c>
      <c r="G336" s="20" t="n">
        <f aca="false">G334/G335</f>
        <v>409.823386690102</v>
      </c>
      <c r="H336" s="28" t="n">
        <f aca="false">H334/H335</f>
        <v>467.367079747272</v>
      </c>
      <c r="I336" s="28" t="n">
        <f aca="false">I334/I335</f>
        <v>520.855772892358</v>
      </c>
      <c r="J336" s="28" t="n">
        <f aca="false">J334/J335</f>
        <v>566.98606754319</v>
      </c>
    </row>
    <row r="337" customFormat="false" ht="17.15" hidden="false" customHeight="false" outlineLevel="0" collapsed="false">
      <c r="A337" s="0" t="s">
        <v>544</v>
      </c>
      <c r="B337" s="0" t="s">
        <v>44</v>
      </c>
      <c r="D337" s="18" t="n">
        <f aca="false">D336/C336-1</f>
        <v>0.948615557420577</v>
      </c>
      <c r="E337" s="18" t="n">
        <f aca="false">E336/D336-1</f>
        <v>0.722980600087372</v>
      </c>
      <c r="F337" s="18" t="n">
        <f aca="false">F336/E336-1</f>
        <v>0.55342103840023</v>
      </c>
      <c r="G337" s="18" t="n">
        <f aca="false">G336/F336-1</f>
        <v>0.135848593302612</v>
      </c>
      <c r="H337" s="26" t="n">
        <f aca="false">H336/G336-1</f>
        <v>0.140410954879651</v>
      </c>
      <c r="I337" s="26" t="n">
        <f aca="false">I336/H336-1</f>
        <v>0.11444685657794</v>
      </c>
      <c r="J337" s="26" t="n">
        <f aca="false">J336/I336-1</f>
        <v>0.0885663499411105</v>
      </c>
    </row>
    <row r="338" customFormat="false" ht="17.15" hidden="false" customHeight="false" outlineLevel="0" collapsed="false">
      <c r="A338" s="4" t="s">
        <v>545</v>
      </c>
      <c r="B338" s="0" t="s">
        <v>44</v>
      </c>
      <c r="C338" s="17" t="n">
        <f aca="false">C334/C319</f>
        <v>0.181012740089245</v>
      </c>
      <c r="D338" s="17" t="n">
        <f aca="false">D334/D319</f>
        <v>0.166725709480052</v>
      </c>
      <c r="E338" s="17" t="n">
        <f aca="false">E334/E319</f>
        <v>0.130837754358055</v>
      </c>
      <c r="F338" s="17" t="n">
        <f aca="false">F334/F319</f>
        <v>0.119348128449457</v>
      </c>
      <c r="G338" s="17" t="n">
        <f aca="false">G334/G319</f>
        <v>0.119622897754603</v>
      </c>
      <c r="H338" s="27" t="n">
        <f aca="false">$G338+(fade_mA-$G338)*1/3</f>
        <v>0.1230303172186</v>
      </c>
      <c r="I338" s="27" t="n">
        <f aca="false">$G338+(fade_mA-$G338)*2/3</f>
        <v>0.126437736682597</v>
      </c>
      <c r="J338" s="27" t="n">
        <f aca="false">$G338+(fade_mA-$G338)*3/3</f>
        <v>0.129845156146594</v>
      </c>
    </row>
    <row r="341" customFormat="false" ht="17.15" hidden="false" customHeight="false" outlineLevel="0" collapsed="false">
      <c r="A341" s="1" t="s">
        <v>827</v>
      </c>
    </row>
    <row r="342" customFormat="false" ht="17.15" hidden="false" customHeight="false" outlineLevel="0" collapsed="false">
      <c r="A342" s="5" t="s">
        <v>20</v>
      </c>
      <c r="B342" s="5" t="s">
        <v>21</v>
      </c>
      <c r="C342" s="14" t="s">
        <v>407</v>
      </c>
      <c r="D342" s="14" t="s">
        <v>495</v>
      </c>
      <c r="E342" s="14" t="s">
        <v>496</v>
      </c>
      <c r="F342" s="14" t="s">
        <v>497</v>
      </c>
      <c r="G342" s="14" t="s">
        <v>498</v>
      </c>
      <c r="H342" s="14" t="s">
        <v>499</v>
      </c>
      <c r="I342" s="14" t="s">
        <v>500</v>
      </c>
      <c r="J342" s="14" t="s">
        <v>501</v>
      </c>
      <c r="K342" s="5" t="s">
        <v>465</v>
      </c>
    </row>
    <row r="343" customFormat="false" ht="17.15" hidden="false" customHeight="false" outlineLevel="0" collapsed="false">
      <c r="A343" s="6" t="s">
        <v>516</v>
      </c>
    </row>
    <row r="344" customFormat="false" ht="17.15" hidden="false" customHeight="false" outlineLevel="0" collapsed="false">
      <c r="A344" s="0" t="s">
        <v>517</v>
      </c>
      <c r="B344" s="4" t="s">
        <v>31</v>
      </c>
      <c r="D344" s="22" t="n">
        <f aca="false">u_trn_26</f>
        <v>2</v>
      </c>
      <c r="E344" s="22" t="n">
        <f aca="false">u_trn_27</f>
        <v>2.5</v>
      </c>
      <c r="F344" s="22" t="n">
        <f aca="false">u_trn_28*um28_A</f>
        <v>3</v>
      </c>
      <c r="G344" s="22" t="n">
        <f aca="false">u_trn_28*(1+g29_trn)*um29_A</f>
        <v>3.45</v>
      </c>
    </row>
    <row r="345" customFormat="false" ht="17.15" hidden="false" customHeight="false" outlineLevel="0" collapsed="false">
      <c r="A345" s="4" t="s">
        <v>469</v>
      </c>
      <c r="B345" s="0" t="s">
        <v>44</v>
      </c>
      <c r="D345" s="18" t="n">
        <f aca="false">al_trn_26</f>
        <v>0.3</v>
      </c>
      <c r="E345" s="18" t="n">
        <f aca="false">MIN(1,MAX(0,al27_A+0))</f>
        <v>0.55</v>
      </c>
      <c r="F345" s="18" t="n">
        <f aca="false">MIN(1,MAX(0,al28_A+0))</f>
        <v>0.55</v>
      </c>
      <c r="G345" s="18" t="n">
        <f aca="false">MIN(1,MAX(0,al28_A+0))</f>
        <v>0.55</v>
      </c>
    </row>
    <row r="346" customFormat="false" ht="17.15" hidden="false" customHeight="false" outlineLevel="0" collapsed="false">
      <c r="A346" s="4" t="s">
        <v>471</v>
      </c>
      <c r="B346" s="4" t="s">
        <v>31</v>
      </c>
      <c r="D346" s="22" t="n">
        <f aca="false">D344*D345</f>
        <v>0.6</v>
      </c>
      <c r="E346" s="22" t="n">
        <f aca="false">E344*E345*1</f>
        <v>1.375</v>
      </c>
      <c r="F346" s="22" t="n">
        <f aca="false">F344*F345*1</f>
        <v>1.65</v>
      </c>
      <c r="G346" s="22" t="n">
        <f aca="false">G344*G345*1</f>
        <v>1.8975</v>
      </c>
    </row>
    <row r="347" customFormat="false" ht="17.15" hidden="false" customHeight="false" outlineLevel="0" collapsed="false">
      <c r="A347" s="4" t="s">
        <v>518</v>
      </c>
      <c r="B347" s="0" t="s">
        <v>69</v>
      </c>
      <c r="D347" s="30" t="n">
        <f aca="false">gb_trn_26</f>
        <v>110</v>
      </c>
      <c r="E347" s="30" t="n">
        <f aca="false">gb_trn_27</f>
        <v>144</v>
      </c>
      <c r="F347" s="30" t="n">
        <f aca="false">gb_trn_28</f>
        <v>200</v>
      </c>
      <c r="G347" s="30" t="n">
        <f aca="false">gb_trn_28</f>
        <v>200</v>
      </c>
    </row>
    <row r="348" customFormat="false" ht="17.15" hidden="false" customHeight="false" outlineLevel="0" collapsed="false">
      <c r="A348" s="0" t="s">
        <v>519</v>
      </c>
      <c r="B348" s="0" t="s">
        <v>156</v>
      </c>
      <c r="D348" s="20" t="n">
        <f aca="false">hbm_A_26</f>
        <v>14.6</v>
      </c>
      <c r="E348" s="20" t="n">
        <f aca="false">hbm_A_27</f>
        <v>26.28</v>
      </c>
      <c r="F348" s="20" t="n">
        <f aca="false">hbm_A_28</f>
        <v>28.908</v>
      </c>
      <c r="G348" s="20" t="n">
        <f aca="false">hbm_A_29</f>
        <v>27.4626</v>
      </c>
    </row>
    <row r="349" customFormat="false" ht="17.15" hidden="false" customHeight="false" outlineLevel="0" collapsed="false">
      <c r="A349" s="4" t="s">
        <v>520</v>
      </c>
      <c r="B349" s="0" t="s">
        <v>80</v>
      </c>
      <c r="D349" s="20" t="n">
        <f aca="false">core_trn</f>
        <v>6.394</v>
      </c>
      <c r="E349" s="20" t="n">
        <f aca="false">core_trn</f>
        <v>6.394</v>
      </c>
      <c r="F349" s="20" t="n">
        <f aca="false">core_trn*pfc_A</f>
        <v>9.591</v>
      </c>
      <c r="G349" s="20" t="n">
        <f aca="false">core_trn*pfc_A</f>
        <v>9.591</v>
      </c>
    </row>
    <row r="350" customFormat="false" ht="17.15" hidden="false" customHeight="false" outlineLevel="0" collapsed="false">
      <c r="A350" s="4" t="s">
        <v>521</v>
      </c>
      <c r="B350" s="0" t="s">
        <v>80</v>
      </c>
      <c r="D350" s="20" t="n">
        <f aca="false">D347*D348/1000</f>
        <v>1.606</v>
      </c>
      <c r="E350" s="20" t="n">
        <f aca="false">E347*E348/1000</f>
        <v>3.78432</v>
      </c>
      <c r="F350" s="20" t="n">
        <f aca="false">F347*F348/1000</f>
        <v>5.7816</v>
      </c>
      <c r="G350" s="20" t="n">
        <f aca="false">G347*G348/1000</f>
        <v>5.49252</v>
      </c>
    </row>
    <row r="351" customFormat="false" ht="17.15" hidden="false" customHeight="false" outlineLevel="0" collapsed="false">
      <c r="A351" s="4" t="s">
        <v>522</v>
      </c>
      <c r="B351" s="0" t="s">
        <v>80</v>
      </c>
      <c r="D351" s="20" t="n">
        <f aca="false">D349+f_al*D350</f>
        <v>6.394</v>
      </c>
      <c r="E351" s="20" t="n">
        <f aca="false">E349+f_al*E350</f>
        <v>6.394</v>
      </c>
      <c r="F351" s="20" t="n">
        <f aca="false">F349+f_al*F350</f>
        <v>9.591</v>
      </c>
      <c r="G351" s="20" t="n">
        <f aca="false">G349+f_al*G350</f>
        <v>9.591</v>
      </c>
      <c r="K351" s="4" t="s">
        <v>523</v>
      </c>
    </row>
    <row r="352" customFormat="false" ht="17.15" hidden="false" customHeight="false" outlineLevel="0" collapsed="false">
      <c r="A352" s="0" t="s">
        <v>524</v>
      </c>
      <c r="B352" s="0" t="s">
        <v>213</v>
      </c>
      <c r="D352" s="20" t="n">
        <f aca="false">D346*D351</f>
        <v>3.8364</v>
      </c>
      <c r="E352" s="20" t="n">
        <f aca="false">E346*E351</f>
        <v>8.79175</v>
      </c>
      <c r="F352" s="20" t="n">
        <f aca="false">F346*F351</f>
        <v>15.82515</v>
      </c>
      <c r="G352" s="20" t="n">
        <f aca="false">G346*G351</f>
        <v>18.1989225</v>
      </c>
    </row>
    <row r="353" customFormat="false" ht="17.15" hidden="false" customHeight="false" outlineLevel="0" collapsed="false">
      <c r="A353" s="4" t="s">
        <v>525</v>
      </c>
      <c r="B353" s="0" t="s">
        <v>49</v>
      </c>
      <c r="D353" s="22" t="n">
        <f aca="false">dc26/D352</f>
        <v>0.390991554582421</v>
      </c>
      <c r="K353" s="8" t="s">
        <v>526</v>
      </c>
    </row>
    <row r="354" customFormat="false" ht="17.15" hidden="false" customHeight="false" outlineLevel="0" collapsed="false">
      <c r="A354" s="0" t="s">
        <v>527</v>
      </c>
      <c r="B354" s="0" t="s">
        <v>213</v>
      </c>
      <c r="D354" s="20" t="n">
        <f aca="false">D352*$D$353</f>
        <v>1.5</v>
      </c>
      <c r="E354" s="20" t="n">
        <f aca="false">E352*$D$353</f>
        <v>3.4375</v>
      </c>
      <c r="F354" s="20" t="n">
        <f aca="false">F352*$D$353</f>
        <v>6.1875</v>
      </c>
      <c r="G354" s="20" t="n">
        <f aca="false">G352*$D$353</f>
        <v>7.115625</v>
      </c>
    </row>
    <row r="355" customFormat="false" ht="15" hidden="false" customHeight="false" outlineLevel="0" collapsed="false">
      <c r="A355" s="4" t="s">
        <v>528</v>
      </c>
      <c r="B355" s="0" t="s">
        <v>224</v>
      </c>
      <c r="D355" s="20" t="n">
        <f aca="false">fx26</f>
        <v>31.6</v>
      </c>
      <c r="E355" s="20" t="n">
        <f aca="false">fx</f>
        <v>32</v>
      </c>
      <c r="F355" s="20" t="n">
        <f aca="false">fx</f>
        <v>32</v>
      </c>
      <c r="G355" s="20" t="n">
        <f aca="false">fx</f>
        <v>32</v>
      </c>
    </row>
    <row r="356" customFormat="false" ht="17.15" hidden="false" customHeight="false" outlineLevel="0" collapsed="false">
      <c r="A356" s="0" t="s">
        <v>529</v>
      </c>
      <c r="B356" s="0" t="s">
        <v>219</v>
      </c>
      <c r="C356" s="20" t="n">
        <f aca="false">a25_trn</f>
        <v>0</v>
      </c>
      <c r="D356" s="20" t="n">
        <f aca="false">D354*D355</f>
        <v>47.4</v>
      </c>
      <c r="E356" s="20" t="n">
        <f aca="false">E354*E355</f>
        <v>110</v>
      </c>
      <c r="F356" s="20" t="n">
        <f aca="false">F354*F355</f>
        <v>198</v>
      </c>
      <c r="G356" s="20" t="n">
        <f aca="false">G354*G355</f>
        <v>227.7</v>
      </c>
    </row>
    <row r="357" customFormat="false" ht="17.15" hidden="false" customHeight="false" outlineLevel="0" collapsed="false">
      <c r="A357" s="4" t="s">
        <v>530</v>
      </c>
      <c r="B357" s="0" t="s">
        <v>219</v>
      </c>
      <c r="D357" s="20" t="n">
        <f aca="false">$D$353*f_al*D346*D350*D355</f>
        <v>0</v>
      </c>
      <c r="E357" s="20" t="n">
        <f aca="false">$D$353*f_al*E346*E350*E355</f>
        <v>0</v>
      </c>
      <c r="F357" s="20" t="n">
        <f aca="false">$D$353*f_al*F346*F350*F355</f>
        <v>0</v>
      </c>
      <c r="G357" s="20" t="n">
        <f aca="false">$D$353*f_al*G346*G350*G355</f>
        <v>0</v>
      </c>
    </row>
    <row r="358" customFormat="false" ht="15" hidden="false" customHeight="false" outlineLevel="0" collapsed="false">
      <c r="A358" s="4" t="s">
        <v>531</v>
      </c>
      <c r="B358" s="0" t="s">
        <v>219</v>
      </c>
      <c r="D358" s="20" t="n">
        <f aca="false">D356-D357</f>
        <v>47.4</v>
      </c>
      <c r="E358" s="20" t="n">
        <f aca="false">E356-E357</f>
        <v>110</v>
      </c>
      <c r="F358" s="20" t="n">
        <f aca="false">F356-F357</f>
        <v>198</v>
      </c>
      <c r="G358" s="20" t="n">
        <f aca="false">G356-G357</f>
        <v>227.7</v>
      </c>
    </row>
    <row r="359" customFormat="false" ht="15" hidden="false" customHeight="false" outlineLevel="0" collapsed="false">
      <c r="A359" s="4" t="s">
        <v>475</v>
      </c>
      <c r="B359" s="0" t="s">
        <v>80</v>
      </c>
      <c r="D359" s="20" t="n">
        <f aca="false">IF(D346&gt;0,D354/D346,0)</f>
        <v>2.5</v>
      </c>
      <c r="E359" s="20" t="n">
        <f aca="false">IF(E346&gt;0,E354/E346,0)</f>
        <v>2.5</v>
      </c>
      <c r="F359" s="20" t="n">
        <f aca="false">IF(F346&gt;0,F354/F346,0)</f>
        <v>3.75</v>
      </c>
      <c r="G359" s="20" t="n">
        <f aca="false">IF(G346&gt;0,G354/G346,0)</f>
        <v>3.75</v>
      </c>
    </row>
    <row r="360" customFormat="false" ht="17.15" hidden="false" customHeight="false" outlineLevel="0" collapsed="false">
      <c r="A360" s="6" t="s">
        <v>532</v>
      </c>
    </row>
    <row r="361" customFormat="false" ht="17.15" hidden="false" customHeight="false" outlineLevel="0" collapsed="false">
      <c r="A361" s="4" t="s">
        <v>533</v>
      </c>
      <c r="B361" s="0" t="s">
        <v>219</v>
      </c>
      <c r="C361" s="20" t="n">
        <f aca="false">a25_oth</f>
        <v>30.926</v>
      </c>
      <c r="D361" s="20" t="n">
        <f aca="false">a26_oth</f>
        <v>20.43665</v>
      </c>
      <c r="E361" s="20" t="n">
        <f aca="false">D361*(1+g_o27_A)</f>
        <v>23.5021475</v>
      </c>
      <c r="F361" s="20" t="n">
        <f aca="false">E361*(1+g_oL_A)</f>
        <v>26.3224052</v>
      </c>
      <c r="G361" s="20" t="n">
        <f aca="false">F361*(1+g_oL_A)</f>
        <v>29.481093824</v>
      </c>
    </row>
    <row r="362" customFormat="false" ht="17.15" hidden="false" customHeight="false" outlineLevel="0" collapsed="false">
      <c r="A362" s="4" t="s">
        <v>413</v>
      </c>
      <c r="B362" s="0" t="s">
        <v>219</v>
      </c>
      <c r="C362" s="20" t="n">
        <f aca="false">C361+C356</f>
        <v>30.926</v>
      </c>
      <c r="D362" s="20" t="n">
        <f aca="false">D361+D356</f>
        <v>67.83665</v>
      </c>
      <c r="E362" s="20" t="n">
        <f aca="false">E361+E356</f>
        <v>133.5021475</v>
      </c>
      <c r="F362" s="20" t="n">
        <f aca="false">F361+F356</f>
        <v>224.3224052</v>
      </c>
      <c r="G362" s="20" t="n">
        <f aca="false">G361+G356</f>
        <v>257.181093824</v>
      </c>
      <c r="H362" s="28" t="n">
        <f aca="false">G362*(1+H363)</f>
        <v>287.439262995056</v>
      </c>
      <c r="I362" s="28" t="n">
        <f aca="false">H362*(1+I363)</f>
        <v>312.971510126327</v>
      </c>
      <c r="J362" s="28" t="n">
        <f aca="false">I362*(1+J363)</f>
        <v>331.749800733906</v>
      </c>
      <c r="K362" s="8" t="s">
        <v>534</v>
      </c>
    </row>
    <row r="363" customFormat="false" ht="15" hidden="false" customHeight="false" outlineLevel="0" collapsed="false">
      <c r="A363" s="4" t="s">
        <v>535</v>
      </c>
      <c r="B363" s="0" t="s">
        <v>44</v>
      </c>
      <c r="D363" s="18" t="n">
        <f aca="false">D362/C362-1</f>
        <v>1.19351516523314</v>
      </c>
      <c r="E363" s="18" t="n">
        <f aca="false">E362/D362-1</f>
        <v>0.967994402730677</v>
      </c>
      <c r="F363" s="18" t="n">
        <f aca="false">F362/E362-1</f>
        <v>0.68029061255363</v>
      </c>
      <c r="G363" s="18" t="n">
        <f aca="false">G362/F362-1</f>
        <v>0.146479744610014</v>
      </c>
      <c r="H363" s="26" t="n">
        <f aca="false">$G363+(fade_gA-$G363)*1/3</f>
        <v>0.117653163073342</v>
      </c>
      <c r="I363" s="26" t="n">
        <f aca="false">$G363+(fade_gA-$G363)*2/3</f>
        <v>0.0888265815366712</v>
      </c>
      <c r="J363" s="26" t="n">
        <f aca="false">$G363+(fade_gA-$G363)*3/3</f>
        <v>0.06</v>
      </c>
    </row>
    <row r="364" customFormat="false" ht="17.15" hidden="false" customHeight="false" outlineLevel="0" collapsed="false">
      <c r="A364" s="0" t="s">
        <v>536</v>
      </c>
      <c r="B364" s="0" t="s">
        <v>44</v>
      </c>
      <c r="C364" s="18" t="n">
        <f aca="false">C356/C362</f>
        <v>0</v>
      </c>
      <c r="D364" s="18" t="n">
        <f aca="false">D356/D362</f>
        <v>0.698737334464482</v>
      </c>
      <c r="E364" s="18" t="n">
        <f aca="false">E356/E362</f>
        <v>0.823956783167102</v>
      </c>
      <c r="F364" s="18" t="n">
        <f aca="false">F356/F362</f>
        <v>0.882658153667122</v>
      </c>
      <c r="G364" s="18" t="n">
        <f aca="false">G356/G362</f>
        <v>0.885368347316482</v>
      </c>
    </row>
    <row r="365" customFormat="false" ht="17.15" hidden="false" customHeight="false" outlineLevel="0" collapsed="false">
      <c r="A365" s="4" t="s">
        <v>537</v>
      </c>
      <c r="B365" s="0" t="s">
        <v>44</v>
      </c>
      <c r="C365" s="18" t="n">
        <f aca="false">C361/C362</f>
        <v>1</v>
      </c>
      <c r="D365" s="18" t="n">
        <f aca="false">D361/D362</f>
        <v>0.301262665535518</v>
      </c>
      <c r="E365" s="18" t="n">
        <f aca="false">E361/E362</f>
        <v>0.176043216832898</v>
      </c>
      <c r="F365" s="18" t="n">
        <f aca="false">F361/F362</f>
        <v>0.117341846332878</v>
      </c>
      <c r="G365" s="18" t="n">
        <f aca="false">G361/G362</f>
        <v>0.114631652683518</v>
      </c>
    </row>
    <row r="366" customFormat="false" ht="17.15" hidden="false" customHeight="false" outlineLevel="0" collapsed="false">
      <c r="A366" s="6" t="s">
        <v>538</v>
      </c>
    </row>
    <row r="367" customFormat="false" ht="17.15" hidden="false" customHeight="false" outlineLevel="0" collapsed="false">
      <c r="A367" s="0" t="s">
        <v>539</v>
      </c>
      <c r="B367" s="0" t="s">
        <v>219</v>
      </c>
      <c r="D367" s="20" t="n">
        <f aca="false">m_trn_lo*D358+m_hbm*D357</f>
        <v>4.74</v>
      </c>
      <c r="E367" s="20" t="n">
        <f aca="false">(m_trn_lo+gta_A)*E358+m_hbm*E357</f>
        <v>12.1</v>
      </c>
      <c r="F367" s="20" t="n">
        <f aca="false">(m_trn_lo+gta_A)*F358+m_hbm*F357</f>
        <v>21.78</v>
      </c>
      <c r="G367" s="20" t="n">
        <f aca="false">(m_trn_lo+gta_A)*G358+m_hbm*G357</f>
        <v>25.047</v>
      </c>
    </row>
    <row r="368" customFormat="false" ht="17.15" hidden="false" customHeight="false" outlineLevel="0" collapsed="false">
      <c r="A368" s="4" t="s">
        <v>540</v>
      </c>
      <c r="B368" s="0" t="s">
        <v>44</v>
      </c>
      <c r="C368" s="17" t="n">
        <f aca="false">a25_gp/C361</f>
        <v>0.263661643924206</v>
      </c>
      <c r="D368" s="17" t="n">
        <f aca="false">(a26_gp-D367)/D361</f>
        <v>0.568984740649764</v>
      </c>
      <c r="E368" s="17" t="n">
        <f aca="false">$D368+0</f>
        <v>0.568984740649764</v>
      </c>
      <c r="F368" s="17" t="n">
        <f aca="false">$D368+0</f>
        <v>0.568984740649764</v>
      </c>
      <c r="G368" s="17" t="n">
        <f aca="false">$D368+0</f>
        <v>0.568984740649764</v>
      </c>
      <c r="K368" s="8" t="s">
        <v>541</v>
      </c>
    </row>
    <row r="369" customFormat="false" ht="15" hidden="false" customHeight="false" outlineLevel="0" collapsed="false">
      <c r="A369" s="4" t="s">
        <v>422</v>
      </c>
      <c r="B369" s="0" t="s">
        <v>219</v>
      </c>
      <c r="C369" s="20" t="n">
        <f aca="false">a25_gp</f>
        <v>8.154</v>
      </c>
      <c r="D369" s="20" t="n">
        <f aca="false">a26_gp</f>
        <v>16.368142</v>
      </c>
      <c r="E369" s="20" t="n">
        <f aca="false">E368*E361+E367</f>
        <v>25.4723633</v>
      </c>
      <c r="F369" s="20" t="n">
        <f aca="false">F368*F361+F367</f>
        <v>36.757046896</v>
      </c>
      <c r="G369" s="20" t="n">
        <f aca="false">G368*G361+G367</f>
        <v>41.82129252352</v>
      </c>
    </row>
    <row r="370" customFormat="false" ht="15" hidden="false" customHeight="false" outlineLevel="0" collapsed="false">
      <c r="A370" s="4" t="s">
        <v>425</v>
      </c>
      <c r="B370" s="0" t="s">
        <v>44</v>
      </c>
      <c r="C370" s="17" t="n">
        <f aca="false">C369/C362</f>
        <v>0.263661643924206</v>
      </c>
      <c r="D370" s="17" t="n">
        <f aca="false">D369/D362</f>
        <v>0.241287593063632</v>
      </c>
      <c r="E370" s="17" t="n">
        <f aca="false">E369/E362</f>
        <v>0.190801150221198</v>
      </c>
      <c r="F370" s="17" t="n">
        <f aca="false">F369/F362</f>
        <v>0.163858116906461</v>
      </c>
      <c r="G370" s="17" t="n">
        <f aca="false">G369/G362</f>
        <v>0.162614179377198</v>
      </c>
    </row>
    <row r="371" customFormat="false" ht="15" hidden="false" customHeight="false" outlineLevel="0" collapsed="false">
      <c r="A371" s="4" t="s">
        <v>429</v>
      </c>
      <c r="B371" s="0" t="s">
        <v>219</v>
      </c>
      <c r="C371" s="20" t="n">
        <f aca="false">a25_opx</f>
        <v>3.138</v>
      </c>
      <c r="D371" s="20" t="n">
        <f aca="false">a26_opx</f>
        <v>3.849</v>
      </c>
      <c r="E371" s="20" t="n">
        <f aca="false">D371*(1+MAX(g_opx_min,phi*E363))+0*E362</f>
        <v>4.96674313683311</v>
      </c>
      <c r="F371" s="20" t="n">
        <f aca="false">E371*(1+MAX(g_opx_min,phi*F363))+0*F362</f>
        <v>5.98039175611893</v>
      </c>
      <c r="G371" s="20" t="n">
        <f aca="false">F371*(1+MAX(g_opx_min,phi*G363))+0*G362</f>
        <v>6.45882309660845</v>
      </c>
    </row>
    <row r="372" customFormat="false" ht="15" hidden="false" customHeight="false" outlineLevel="0" collapsed="false">
      <c r="A372" s="4" t="s">
        <v>432</v>
      </c>
      <c r="B372" s="0" t="s">
        <v>219</v>
      </c>
      <c r="C372" s="20" t="n">
        <f aca="false">C369-C371</f>
        <v>5.016</v>
      </c>
      <c r="D372" s="20" t="n">
        <f aca="false">D369-D371</f>
        <v>12.519142</v>
      </c>
      <c r="E372" s="20" t="n">
        <f aca="false">E369-E371</f>
        <v>20.5056201631669</v>
      </c>
      <c r="F372" s="20" t="n">
        <f aca="false">F369-F371</f>
        <v>30.7766551398811</v>
      </c>
      <c r="G372" s="20" t="n">
        <f aca="false">G369-G371</f>
        <v>35.3624694269116</v>
      </c>
    </row>
    <row r="373" customFormat="false" ht="15" hidden="false" customHeight="false" outlineLevel="0" collapsed="false">
      <c r="A373" s="4" t="s">
        <v>505</v>
      </c>
      <c r="B373" s="0" t="s">
        <v>44</v>
      </c>
      <c r="C373" s="17" t="n">
        <f aca="false">C372/C362</f>
        <v>0.162193623488327</v>
      </c>
      <c r="D373" s="17" t="n">
        <f aca="false">D372/D362</f>
        <v>0.184548352549838</v>
      </c>
      <c r="E373" s="17" t="n">
        <f aca="false">E372/E362</f>
        <v>0.153597680240813</v>
      </c>
      <c r="F373" s="17" t="n">
        <f aca="false">F372/F362</f>
        <v>0.137198311120289</v>
      </c>
      <c r="G373" s="17" t="n">
        <f aca="false">G372/G362</f>
        <v>0.137500268394968</v>
      </c>
    </row>
    <row r="374" customFormat="false" ht="15" hidden="false" customHeight="false" outlineLevel="0" collapsed="false">
      <c r="A374" s="4" t="s">
        <v>435</v>
      </c>
      <c r="B374" s="0" t="s">
        <v>219</v>
      </c>
      <c r="C374" s="20" t="n">
        <f aca="false">a25_nonop</f>
        <v>1.7042198</v>
      </c>
      <c r="D374" s="20" t="n">
        <f aca="false">a26_nonop</f>
        <v>1.605</v>
      </c>
      <c r="E374" s="20" t="n">
        <f aca="false">nonop_f</f>
        <v>1.6</v>
      </c>
      <c r="F374" s="20" t="n">
        <f aca="false">nonop_f</f>
        <v>1.6</v>
      </c>
      <c r="G374" s="20" t="n">
        <f aca="false">nonop_f</f>
        <v>1.6</v>
      </c>
    </row>
    <row r="375" customFormat="false" ht="15" hidden="false" customHeight="false" outlineLevel="0" collapsed="false">
      <c r="A375" s="4" t="s">
        <v>437</v>
      </c>
      <c r="B375" s="0" t="s">
        <v>219</v>
      </c>
      <c r="C375" s="20" t="n">
        <f aca="false">C372+C374</f>
        <v>6.7202198</v>
      </c>
      <c r="D375" s="20" t="n">
        <f aca="false">D372+D374</f>
        <v>14.124142</v>
      </c>
      <c r="E375" s="20" t="n">
        <f aca="false">E372+E374</f>
        <v>22.1056201631669</v>
      </c>
      <c r="F375" s="20" t="n">
        <f aca="false">F372+F374</f>
        <v>32.3766551398811</v>
      </c>
      <c r="G375" s="20" t="n">
        <f aca="false">G372+G374</f>
        <v>36.9624694269116</v>
      </c>
    </row>
    <row r="376" customFormat="false" ht="15" hidden="false" customHeight="false" outlineLevel="0" collapsed="false">
      <c r="A376" s="4" t="s">
        <v>439</v>
      </c>
      <c r="B376" s="0" t="s">
        <v>219</v>
      </c>
      <c r="C376" s="20" t="n">
        <f aca="false">a25_tax</f>
        <v>1.1222198</v>
      </c>
      <c r="D376" s="20" t="n">
        <f aca="false">a26_tax</f>
        <v>2.8140284</v>
      </c>
      <c r="E376" s="20" t="n">
        <f aca="false">E375*tax</f>
        <v>4.42112403263338</v>
      </c>
      <c r="F376" s="20" t="n">
        <f aca="false">F375*tax</f>
        <v>6.47533102797622</v>
      </c>
      <c r="G376" s="20" t="n">
        <f aca="false">G375*tax</f>
        <v>7.39249388538231</v>
      </c>
    </row>
    <row r="377" customFormat="false" ht="15" hidden="false" customHeight="false" outlineLevel="0" collapsed="false">
      <c r="A377" s="4" t="s">
        <v>442</v>
      </c>
      <c r="B377" s="0" t="s">
        <v>219</v>
      </c>
      <c r="C377" s="20" t="n">
        <f aca="false">C375-C376</f>
        <v>5.598</v>
      </c>
      <c r="D377" s="20" t="n">
        <f aca="false">D375-D376</f>
        <v>11.3101136</v>
      </c>
      <c r="E377" s="20" t="n">
        <f aca="false">E375-E376</f>
        <v>17.6844961305335</v>
      </c>
      <c r="F377" s="20" t="n">
        <f aca="false">F375-F376</f>
        <v>25.9013241119049</v>
      </c>
      <c r="G377" s="20" t="n">
        <f aca="false">G375-G376</f>
        <v>29.5699755415292</v>
      </c>
      <c r="H377" s="28" t="n">
        <f aca="false">H362*H381</f>
        <v>34.4735164594127</v>
      </c>
      <c r="I377" s="28" t="n">
        <f aca="false">I362*I381</f>
        <v>39.0867578409194</v>
      </c>
      <c r="J377" s="28" t="n">
        <f aca="false">J362*J381</f>
        <v>43.0761046778957</v>
      </c>
    </row>
    <row r="378" customFormat="false" ht="17.15" hidden="false" customHeight="false" outlineLevel="0" collapsed="false">
      <c r="A378" s="4" t="s">
        <v>542</v>
      </c>
      <c r="B378" s="4" t="s">
        <v>272</v>
      </c>
      <c r="C378" s="19" t="n">
        <f aca="false">a25_sh</f>
        <v>0.0809193408499566</v>
      </c>
      <c r="D378" s="19" t="n">
        <f aca="false">a26_sh</f>
        <v>0.0838996682946683</v>
      </c>
      <c r="E378" s="19" t="n">
        <f aca="false">q_sh*(1+sh_g)</f>
        <v>0.08621</v>
      </c>
      <c r="F378" s="19" t="n">
        <f aca="false">E378*(1+sh_g)</f>
        <v>0.08621</v>
      </c>
      <c r="G378" s="19" t="n">
        <f aca="false">F378*(1+sh_g)</f>
        <v>0.08621</v>
      </c>
      <c r="H378" s="31" t="n">
        <f aca="false">G378*(1+sh_g)</f>
        <v>0.08621</v>
      </c>
      <c r="I378" s="31" t="n">
        <f aca="false">H378*(1+sh_g)</f>
        <v>0.08621</v>
      </c>
      <c r="J378" s="31" t="n">
        <f aca="false">I378*(1+sh_g)</f>
        <v>0.08621</v>
      </c>
      <c r="K378" s="8" t="s">
        <v>543</v>
      </c>
    </row>
    <row r="379" customFormat="false" ht="17.15" hidden="false" customHeight="false" outlineLevel="0" collapsed="false">
      <c r="A379" s="0" t="s">
        <v>446</v>
      </c>
      <c r="B379" s="0" t="s">
        <v>312</v>
      </c>
      <c r="C379" s="20" t="n">
        <f aca="false">C377/C378</f>
        <v>69.18</v>
      </c>
      <c r="D379" s="20" t="n">
        <f aca="false">D377/D378</f>
        <v>134.805224262356</v>
      </c>
      <c r="E379" s="20" t="n">
        <f aca="false">E377/E378</f>
        <v>205.132770334457</v>
      </c>
      <c r="F379" s="20" t="n">
        <f aca="false">F377/F378</f>
        <v>300.444543694523</v>
      </c>
      <c r="G379" s="20" t="n">
        <f aca="false">G377/G378</f>
        <v>342.99936830448</v>
      </c>
      <c r="H379" s="28" t="n">
        <f aca="false">H377/H378</f>
        <v>399.878395306956</v>
      </c>
      <c r="I379" s="28" t="n">
        <f aca="false">I377/I378</f>
        <v>453.390068912185</v>
      </c>
      <c r="J379" s="28" t="n">
        <f aca="false">J377/J378</f>
        <v>499.664826329842</v>
      </c>
    </row>
    <row r="380" customFormat="false" ht="17.15" hidden="false" customHeight="false" outlineLevel="0" collapsed="false">
      <c r="A380" s="0" t="s">
        <v>544</v>
      </c>
      <c r="B380" s="0" t="s">
        <v>44</v>
      </c>
      <c r="D380" s="18" t="n">
        <f aca="false">D379/C379-1</f>
        <v>0.948615557420577</v>
      </c>
      <c r="E380" s="18" t="n">
        <f aca="false">E379/D379-1</f>
        <v>0.521697482103742</v>
      </c>
      <c r="F380" s="18" t="n">
        <f aca="false">F379/E379-1</f>
        <v>0.464634554511532</v>
      </c>
      <c r="G380" s="18" t="n">
        <f aca="false">G379/F379-1</f>
        <v>0.141639532163461</v>
      </c>
      <c r="H380" s="26" t="n">
        <f aca="false">H379/G379-1</f>
        <v>0.165828372465061</v>
      </c>
      <c r="I380" s="26" t="n">
        <f aca="false">I379/H379-1</f>
        <v>0.133819866822641</v>
      </c>
      <c r="J380" s="26" t="n">
        <f aca="false">J379/I379-1</f>
        <v>0.10206389727213</v>
      </c>
    </row>
    <row r="381" customFormat="false" ht="17.15" hidden="false" customHeight="false" outlineLevel="0" collapsed="false">
      <c r="A381" s="4" t="s">
        <v>545</v>
      </c>
      <c r="B381" s="0" t="s">
        <v>44</v>
      </c>
      <c r="C381" s="17" t="n">
        <f aca="false">C377/C362</f>
        <v>0.181012740089245</v>
      </c>
      <c r="D381" s="17" t="n">
        <f aca="false">D377/D362</f>
        <v>0.166725709480052</v>
      </c>
      <c r="E381" s="17" t="n">
        <f aca="false">E377/E362</f>
        <v>0.132466004942231</v>
      </c>
      <c r="F381" s="17" t="n">
        <f aca="false">F377/F362</f>
        <v>0.115464721808827</v>
      </c>
      <c r="G381" s="17" t="n">
        <f aca="false">G377/G362</f>
        <v>0.114977252417183</v>
      </c>
      <c r="H381" s="27" t="n">
        <f aca="false">$G381+(fade_mA-$G381)*1/3</f>
        <v>0.119933220326987</v>
      </c>
      <c r="I381" s="27" t="n">
        <f aca="false">$G381+(fade_mA-$G381)*2/3</f>
        <v>0.124889188236791</v>
      </c>
      <c r="J381" s="27" t="n">
        <f aca="false">$G381+(fade_mA-$G381)*3/3</f>
        <v>0.129845156146594</v>
      </c>
    </row>
    <row r="384" customFormat="false" ht="17.15" hidden="false" customHeight="false" outlineLevel="0" collapsed="false">
      <c r="A384" s="1" t="s">
        <v>828</v>
      </c>
    </row>
    <row r="385" customFormat="false" ht="17.15" hidden="false" customHeight="false" outlineLevel="0" collapsed="false">
      <c r="A385" s="5" t="s">
        <v>20</v>
      </c>
      <c r="B385" s="5" t="s">
        <v>21</v>
      </c>
      <c r="C385" s="14" t="s">
        <v>407</v>
      </c>
      <c r="D385" s="14" t="s">
        <v>495</v>
      </c>
      <c r="E385" s="14" t="s">
        <v>496</v>
      </c>
      <c r="F385" s="14" t="s">
        <v>497</v>
      </c>
      <c r="G385" s="14" t="s">
        <v>498</v>
      </c>
      <c r="H385" s="14" t="s">
        <v>499</v>
      </c>
      <c r="I385" s="14" t="s">
        <v>500</v>
      </c>
      <c r="J385" s="14" t="s">
        <v>501</v>
      </c>
      <c r="K385" s="5" t="s">
        <v>465</v>
      </c>
    </row>
    <row r="386" customFormat="false" ht="17.15" hidden="false" customHeight="false" outlineLevel="0" collapsed="false">
      <c r="A386" s="6" t="s">
        <v>516</v>
      </c>
    </row>
    <row r="387" customFormat="false" ht="17.15" hidden="false" customHeight="false" outlineLevel="0" collapsed="false">
      <c r="A387" s="0" t="s">
        <v>517</v>
      </c>
      <c r="B387" s="4" t="s">
        <v>31</v>
      </c>
      <c r="D387" s="22" t="n">
        <f aca="false">u_trn_26</f>
        <v>2</v>
      </c>
      <c r="E387" s="22" t="n">
        <f aca="false">u_trn_27</f>
        <v>2.5</v>
      </c>
      <c r="F387" s="22" t="n">
        <f aca="false">u_trn_28*um28_A</f>
        <v>3</v>
      </c>
      <c r="G387" s="22" t="n">
        <f aca="false">u_trn_28*(1+g29_trn)*um29_A</f>
        <v>3.45</v>
      </c>
    </row>
    <row r="388" customFormat="false" ht="17.15" hidden="false" customHeight="false" outlineLevel="0" collapsed="false">
      <c r="A388" s="4" t="s">
        <v>469</v>
      </c>
      <c r="B388" s="0" t="s">
        <v>44</v>
      </c>
      <c r="D388" s="18" t="n">
        <f aca="false">al_trn_26</f>
        <v>0.3</v>
      </c>
      <c r="E388" s="18" t="n">
        <f aca="false">MIN(1,MAX(0,al27_A+0))</f>
        <v>0.55</v>
      </c>
      <c r="F388" s="18" t="n">
        <f aca="false">MIN(1,MAX(0,al28_A+0))</f>
        <v>0.55</v>
      </c>
      <c r="G388" s="18" t="n">
        <f aca="false">MIN(1,MAX(0,al28_A+0))</f>
        <v>0.55</v>
      </c>
    </row>
    <row r="389" customFormat="false" ht="17.15" hidden="false" customHeight="false" outlineLevel="0" collapsed="false">
      <c r="A389" s="4" t="s">
        <v>471</v>
      </c>
      <c r="B389" s="4" t="s">
        <v>31</v>
      </c>
      <c r="D389" s="22" t="n">
        <f aca="false">D387*D388</f>
        <v>0.6</v>
      </c>
      <c r="E389" s="22" t="n">
        <f aca="false">E387*E388*1</f>
        <v>1.375</v>
      </c>
      <c r="F389" s="22" t="n">
        <f aca="false">F387*F388*1</f>
        <v>1.65</v>
      </c>
      <c r="G389" s="22" t="n">
        <f aca="false">G387*G388*1</f>
        <v>1.8975</v>
      </c>
    </row>
    <row r="390" customFormat="false" ht="17.15" hidden="false" customHeight="false" outlineLevel="0" collapsed="false">
      <c r="A390" s="4" t="s">
        <v>518</v>
      </c>
      <c r="B390" s="0" t="s">
        <v>69</v>
      </c>
      <c r="D390" s="30" t="n">
        <f aca="false">gb_trn_26</f>
        <v>110</v>
      </c>
      <c r="E390" s="30" t="n">
        <f aca="false">gb_trn_27</f>
        <v>144</v>
      </c>
      <c r="F390" s="30" t="n">
        <f aca="false">gb_trn_28</f>
        <v>200</v>
      </c>
      <c r="G390" s="30" t="n">
        <f aca="false">gb_trn_28</f>
        <v>200</v>
      </c>
    </row>
    <row r="391" customFormat="false" ht="17.15" hidden="false" customHeight="false" outlineLevel="0" collapsed="false">
      <c r="A391" s="0" t="s">
        <v>519</v>
      </c>
      <c r="B391" s="0" t="s">
        <v>156</v>
      </c>
      <c r="D391" s="20" t="n">
        <f aca="false">hbm_A_26</f>
        <v>14.6</v>
      </c>
      <c r="E391" s="20" t="n">
        <f aca="false">hbm_A_27</f>
        <v>26.28</v>
      </c>
      <c r="F391" s="20" t="n">
        <f aca="false">hbm_A_28</f>
        <v>28.908</v>
      </c>
      <c r="G391" s="20" t="n">
        <f aca="false">hbm_A_29</f>
        <v>27.4626</v>
      </c>
    </row>
    <row r="392" customFormat="false" ht="17.15" hidden="false" customHeight="false" outlineLevel="0" collapsed="false">
      <c r="A392" s="4" t="s">
        <v>520</v>
      </c>
      <c r="B392" s="0" t="s">
        <v>80</v>
      </c>
      <c r="D392" s="20" t="n">
        <f aca="false">core_trn</f>
        <v>6.394</v>
      </c>
      <c r="E392" s="20" t="n">
        <f aca="false">core_trn</f>
        <v>6.394</v>
      </c>
      <c r="F392" s="20" t="n">
        <f aca="false">core_trn*pfc_A</f>
        <v>9.591</v>
      </c>
      <c r="G392" s="20" t="n">
        <f aca="false">core_trn*pfc_A</f>
        <v>9.591</v>
      </c>
    </row>
    <row r="393" customFormat="false" ht="17.15" hidden="false" customHeight="false" outlineLevel="0" collapsed="false">
      <c r="A393" s="4" t="s">
        <v>521</v>
      </c>
      <c r="B393" s="0" t="s">
        <v>80</v>
      </c>
      <c r="D393" s="20" t="n">
        <f aca="false">D390*D391/1000</f>
        <v>1.606</v>
      </c>
      <c r="E393" s="20" t="n">
        <f aca="false">E390*E391/1000</f>
        <v>3.78432</v>
      </c>
      <c r="F393" s="20" t="n">
        <f aca="false">F390*F391/1000</f>
        <v>5.7816</v>
      </c>
      <c r="G393" s="20" t="n">
        <f aca="false">G390*G391/1000</f>
        <v>5.49252</v>
      </c>
    </row>
    <row r="394" customFormat="false" ht="17.15" hidden="false" customHeight="false" outlineLevel="0" collapsed="false">
      <c r="A394" s="4" t="s">
        <v>522</v>
      </c>
      <c r="B394" s="0" t="s">
        <v>80</v>
      </c>
      <c r="D394" s="20" t="n">
        <f aca="false">D392+f_al*D393</f>
        <v>6.394</v>
      </c>
      <c r="E394" s="20" t="n">
        <f aca="false">E392+f_al*E393</f>
        <v>6.394</v>
      </c>
      <c r="F394" s="20" t="n">
        <f aca="false">F392+f_al*F393</f>
        <v>9.591</v>
      </c>
      <c r="G394" s="20" t="n">
        <f aca="false">G392+f_al*G393</f>
        <v>9.591</v>
      </c>
      <c r="K394" s="4" t="s">
        <v>523</v>
      </c>
    </row>
    <row r="395" customFormat="false" ht="17.15" hidden="false" customHeight="false" outlineLevel="0" collapsed="false">
      <c r="A395" s="0" t="s">
        <v>524</v>
      </c>
      <c r="B395" s="0" t="s">
        <v>213</v>
      </c>
      <c r="D395" s="20" t="n">
        <f aca="false">D389*D394</f>
        <v>3.8364</v>
      </c>
      <c r="E395" s="20" t="n">
        <f aca="false">E389*E394</f>
        <v>8.79175</v>
      </c>
      <c r="F395" s="20" t="n">
        <f aca="false">F389*F394</f>
        <v>15.82515</v>
      </c>
      <c r="G395" s="20" t="n">
        <f aca="false">G389*G394</f>
        <v>18.1989225</v>
      </c>
    </row>
    <row r="396" customFormat="false" ht="17.15" hidden="false" customHeight="false" outlineLevel="0" collapsed="false">
      <c r="A396" s="4" t="s">
        <v>525</v>
      </c>
      <c r="B396" s="0" t="s">
        <v>49</v>
      </c>
      <c r="D396" s="22" t="n">
        <f aca="false">dc26/D395</f>
        <v>0.390991554582421</v>
      </c>
      <c r="K396" s="8" t="s">
        <v>526</v>
      </c>
    </row>
    <row r="397" customFormat="false" ht="17.15" hidden="false" customHeight="false" outlineLevel="0" collapsed="false">
      <c r="A397" s="0" t="s">
        <v>527</v>
      </c>
      <c r="B397" s="0" t="s">
        <v>213</v>
      </c>
      <c r="D397" s="20" t="n">
        <f aca="false">D395*$D$396</f>
        <v>1.5</v>
      </c>
      <c r="E397" s="20" t="n">
        <f aca="false">E395*$D$396</f>
        <v>3.4375</v>
      </c>
      <c r="F397" s="20" t="n">
        <f aca="false">F395*$D$396</f>
        <v>6.1875</v>
      </c>
      <c r="G397" s="20" t="n">
        <f aca="false">G395*$D$396</f>
        <v>7.115625</v>
      </c>
    </row>
    <row r="398" customFormat="false" ht="15" hidden="false" customHeight="false" outlineLevel="0" collapsed="false">
      <c r="A398" s="4" t="s">
        <v>528</v>
      </c>
      <c r="B398" s="0" t="s">
        <v>224</v>
      </c>
      <c r="D398" s="20" t="n">
        <f aca="false">fx26</f>
        <v>31.6</v>
      </c>
      <c r="E398" s="20" t="n">
        <f aca="false">fx</f>
        <v>32</v>
      </c>
      <c r="F398" s="20" t="n">
        <f aca="false">fx</f>
        <v>32</v>
      </c>
      <c r="G398" s="20" t="n">
        <f aca="false">fx</f>
        <v>32</v>
      </c>
    </row>
    <row r="399" customFormat="false" ht="17.15" hidden="false" customHeight="false" outlineLevel="0" collapsed="false">
      <c r="A399" s="0" t="s">
        <v>529</v>
      </c>
      <c r="B399" s="0" t="s">
        <v>219</v>
      </c>
      <c r="C399" s="20" t="n">
        <f aca="false">a25_trn</f>
        <v>0</v>
      </c>
      <c r="D399" s="20" t="n">
        <f aca="false">D397*D398</f>
        <v>47.4</v>
      </c>
      <c r="E399" s="20" t="n">
        <f aca="false">E397*E398</f>
        <v>110</v>
      </c>
      <c r="F399" s="20" t="n">
        <f aca="false">F397*F398</f>
        <v>198</v>
      </c>
      <c r="G399" s="20" t="n">
        <f aca="false">G397*G398</f>
        <v>227.7</v>
      </c>
    </row>
    <row r="400" customFormat="false" ht="17.15" hidden="false" customHeight="false" outlineLevel="0" collapsed="false">
      <c r="A400" s="4" t="s">
        <v>530</v>
      </c>
      <c r="B400" s="0" t="s">
        <v>219</v>
      </c>
      <c r="D400" s="20" t="n">
        <f aca="false">$D$396*f_al*D389*D393*D398</f>
        <v>0</v>
      </c>
      <c r="E400" s="20" t="n">
        <f aca="false">$D$396*f_al*E389*E393*E398</f>
        <v>0</v>
      </c>
      <c r="F400" s="20" t="n">
        <f aca="false">$D$396*f_al*F389*F393*F398</f>
        <v>0</v>
      </c>
      <c r="G400" s="20" t="n">
        <f aca="false">$D$396*f_al*G389*G393*G398</f>
        <v>0</v>
      </c>
    </row>
    <row r="401" customFormat="false" ht="15" hidden="false" customHeight="false" outlineLevel="0" collapsed="false">
      <c r="A401" s="4" t="s">
        <v>531</v>
      </c>
      <c r="B401" s="0" t="s">
        <v>219</v>
      </c>
      <c r="D401" s="20" t="n">
        <f aca="false">D399-D400</f>
        <v>47.4</v>
      </c>
      <c r="E401" s="20" t="n">
        <f aca="false">E399-E400</f>
        <v>110</v>
      </c>
      <c r="F401" s="20" t="n">
        <f aca="false">F399-F400</f>
        <v>198</v>
      </c>
      <c r="G401" s="20" t="n">
        <f aca="false">G399-G400</f>
        <v>227.7</v>
      </c>
    </row>
    <row r="402" customFormat="false" ht="15" hidden="false" customHeight="false" outlineLevel="0" collapsed="false">
      <c r="A402" s="4" t="s">
        <v>475</v>
      </c>
      <c r="B402" s="0" t="s">
        <v>80</v>
      </c>
      <c r="D402" s="20" t="n">
        <f aca="false">IF(D389&gt;0,D397/D389,0)</f>
        <v>2.5</v>
      </c>
      <c r="E402" s="20" t="n">
        <f aca="false">IF(E389&gt;0,E397/E389,0)</f>
        <v>2.5</v>
      </c>
      <c r="F402" s="20" t="n">
        <f aca="false">IF(F389&gt;0,F397/F389,0)</f>
        <v>3.75</v>
      </c>
      <c r="G402" s="20" t="n">
        <f aca="false">IF(G389&gt;0,G397/G389,0)</f>
        <v>3.75</v>
      </c>
    </row>
    <row r="403" customFormat="false" ht="17.15" hidden="false" customHeight="false" outlineLevel="0" collapsed="false">
      <c r="A403" s="6" t="s">
        <v>532</v>
      </c>
    </row>
    <row r="404" customFormat="false" ht="17.15" hidden="false" customHeight="false" outlineLevel="0" collapsed="false">
      <c r="A404" s="4" t="s">
        <v>533</v>
      </c>
      <c r="B404" s="0" t="s">
        <v>219</v>
      </c>
      <c r="C404" s="20" t="n">
        <f aca="false">a25_oth</f>
        <v>30.926</v>
      </c>
      <c r="D404" s="20" t="n">
        <f aca="false">a26_oth</f>
        <v>20.43665</v>
      </c>
      <c r="E404" s="20" t="n">
        <f aca="false">D404*(1+g_o27_A)</f>
        <v>23.5021475</v>
      </c>
      <c r="F404" s="20" t="n">
        <f aca="false">E404*(1+g_oL_A)</f>
        <v>26.3224052</v>
      </c>
      <c r="G404" s="20" t="n">
        <f aca="false">F404*(1+g_oL_A)</f>
        <v>29.481093824</v>
      </c>
    </row>
    <row r="405" customFormat="false" ht="17.15" hidden="false" customHeight="false" outlineLevel="0" collapsed="false">
      <c r="A405" s="4" t="s">
        <v>413</v>
      </c>
      <c r="B405" s="0" t="s">
        <v>219</v>
      </c>
      <c r="C405" s="20" t="n">
        <f aca="false">C404+C399</f>
        <v>30.926</v>
      </c>
      <c r="D405" s="20" t="n">
        <f aca="false">D404+D399</f>
        <v>67.83665</v>
      </c>
      <c r="E405" s="20" t="n">
        <f aca="false">E404+E399</f>
        <v>133.5021475</v>
      </c>
      <c r="F405" s="20" t="n">
        <f aca="false">F404+F399</f>
        <v>224.3224052</v>
      </c>
      <c r="G405" s="20" t="n">
        <f aca="false">G404+G399</f>
        <v>257.181093824</v>
      </c>
      <c r="H405" s="28" t="n">
        <f aca="false">G405*(1+H406)</f>
        <v>287.439262995056</v>
      </c>
      <c r="I405" s="28" t="n">
        <f aca="false">H405*(1+I406)</f>
        <v>312.971510126327</v>
      </c>
      <c r="J405" s="28" t="n">
        <f aca="false">I405*(1+J406)</f>
        <v>331.749800733906</v>
      </c>
      <c r="K405" s="8" t="s">
        <v>534</v>
      </c>
    </row>
    <row r="406" customFormat="false" ht="15" hidden="false" customHeight="false" outlineLevel="0" collapsed="false">
      <c r="A406" s="4" t="s">
        <v>535</v>
      </c>
      <c r="B406" s="0" t="s">
        <v>44</v>
      </c>
      <c r="D406" s="18" t="n">
        <f aca="false">D405/C405-1</f>
        <v>1.19351516523314</v>
      </c>
      <c r="E406" s="18" t="n">
        <f aca="false">E405/D405-1</f>
        <v>0.967994402730677</v>
      </c>
      <c r="F406" s="18" t="n">
        <f aca="false">F405/E405-1</f>
        <v>0.68029061255363</v>
      </c>
      <c r="G406" s="18" t="n">
        <f aca="false">G405/F405-1</f>
        <v>0.146479744610014</v>
      </c>
      <c r="H406" s="26" t="n">
        <f aca="false">$G406+(fade_gA-$G406)*1/3</f>
        <v>0.117653163073342</v>
      </c>
      <c r="I406" s="26" t="n">
        <f aca="false">$G406+(fade_gA-$G406)*2/3</f>
        <v>0.0888265815366712</v>
      </c>
      <c r="J406" s="26" t="n">
        <f aca="false">$G406+(fade_gA-$G406)*3/3</f>
        <v>0.06</v>
      </c>
    </row>
    <row r="407" customFormat="false" ht="17.15" hidden="false" customHeight="false" outlineLevel="0" collapsed="false">
      <c r="A407" s="0" t="s">
        <v>536</v>
      </c>
      <c r="B407" s="0" t="s">
        <v>44</v>
      </c>
      <c r="C407" s="18" t="n">
        <f aca="false">C399/C405</f>
        <v>0</v>
      </c>
      <c r="D407" s="18" t="n">
        <f aca="false">D399/D405</f>
        <v>0.698737334464482</v>
      </c>
      <c r="E407" s="18" t="n">
        <f aca="false">E399/E405</f>
        <v>0.823956783167102</v>
      </c>
      <c r="F407" s="18" t="n">
        <f aca="false">F399/F405</f>
        <v>0.882658153667122</v>
      </c>
      <c r="G407" s="18" t="n">
        <f aca="false">G399/G405</f>
        <v>0.885368347316482</v>
      </c>
    </row>
    <row r="408" customFormat="false" ht="17.15" hidden="false" customHeight="false" outlineLevel="0" collapsed="false">
      <c r="A408" s="4" t="s">
        <v>537</v>
      </c>
      <c r="B408" s="0" t="s">
        <v>44</v>
      </c>
      <c r="C408" s="18" t="n">
        <f aca="false">C404/C405</f>
        <v>1</v>
      </c>
      <c r="D408" s="18" t="n">
        <f aca="false">D404/D405</f>
        <v>0.301262665535518</v>
      </c>
      <c r="E408" s="18" t="n">
        <f aca="false">E404/E405</f>
        <v>0.176043216832898</v>
      </c>
      <c r="F408" s="18" t="n">
        <f aca="false">F404/F405</f>
        <v>0.117341846332878</v>
      </c>
      <c r="G408" s="18" t="n">
        <f aca="false">G404/G405</f>
        <v>0.114631652683518</v>
      </c>
    </row>
    <row r="409" customFormat="false" ht="17.15" hidden="false" customHeight="false" outlineLevel="0" collapsed="false">
      <c r="A409" s="6" t="s">
        <v>538</v>
      </c>
    </row>
    <row r="410" customFormat="false" ht="17.15" hidden="false" customHeight="false" outlineLevel="0" collapsed="false">
      <c r="A410" s="0" t="s">
        <v>539</v>
      </c>
      <c r="B410" s="0" t="s">
        <v>219</v>
      </c>
      <c r="D410" s="20" t="n">
        <f aca="false">m_trn_hi*D401+m_hbm*D400</f>
        <v>7.584</v>
      </c>
      <c r="E410" s="20" t="n">
        <f aca="false">(m_trn_hi+gta_A)*E401+m_hbm*E400</f>
        <v>18.7</v>
      </c>
      <c r="F410" s="20" t="n">
        <f aca="false">(m_trn_hi+gta_A)*F401+m_hbm*F400</f>
        <v>33.66</v>
      </c>
      <c r="G410" s="20" t="n">
        <f aca="false">(m_trn_hi+gta_A)*G401+m_hbm*G400</f>
        <v>38.709</v>
      </c>
    </row>
    <row r="411" customFormat="false" ht="17.15" hidden="false" customHeight="false" outlineLevel="0" collapsed="false">
      <c r="A411" s="4" t="s">
        <v>540</v>
      </c>
      <c r="B411" s="0" t="s">
        <v>44</v>
      </c>
      <c r="C411" s="17" t="n">
        <f aca="false">a25_gp/C404</f>
        <v>0.263661643924206</v>
      </c>
      <c r="D411" s="17" t="n">
        <f aca="false">(a26_gp-D410)/D404</f>
        <v>0.429822989579995</v>
      </c>
      <c r="E411" s="17" t="n">
        <f aca="false">$D411+0</f>
        <v>0.429822989579995</v>
      </c>
      <c r="F411" s="17" t="n">
        <f aca="false">$D411+0</f>
        <v>0.429822989579995</v>
      </c>
      <c r="G411" s="17" t="n">
        <f aca="false">$D411+0</f>
        <v>0.429822989579995</v>
      </c>
      <c r="K411" s="8" t="s">
        <v>541</v>
      </c>
    </row>
    <row r="412" customFormat="false" ht="15" hidden="false" customHeight="false" outlineLevel="0" collapsed="false">
      <c r="A412" s="4" t="s">
        <v>422</v>
      </c>
      <c r="B412" s="0" t="s">
        <v>219</v>
      </c>
      <c r="C412" s="20" t="n">
        <f aca="false">a25_gp</f>
        <v>8.154</v>
      </c>
      <c r="D412" s="20" t="n">
        <f aca="false">a26_gp</f>
        <v>16.368142</v>
      </c>
      <c r="E412" s="20" t="n">
        <f aca="false">E411*E404+E410</f>
        <v>28.8017633</v>
      </c>
      <c r="F412" s="20" t="n">
        <f aca="false">F411*F404+F410</f>
        <v>44.973974896</v>
      </c>
      <c r="G412" s="20" t="n">
        <f aca="false">G411*G404+G410</f>
        <v>51.38065188352</v>
      </c>
    </row>
    <row r="413" customFormat="false" ht="15" hidden="false" customHeight="false" outlineLevel="0" collapsed="false">
      <c r="A413" s="4" t="s">
        <v>425</v>
      </c>
      <c r="B413" s="0" t="s">
        <v>44</v>
      </c>
      <c r="C413" s="17" t="n">
        <f aca="false">C412/C405</f>
        <v>0.263661643924206</v>
      </c>
      <c r="D413" s="17" t="n">
        <f aca="false">D412/D405</f>
        <v>0.241287593063632</v>
      </c>
      <c r="E413" s="17" t="n">
        <f aca="false">E412/E405</f>
        <v>0.215740074892803</v>
      </c>
      <c r="F413" s="17" t="n">
        <f aca="false">F412/F405</f>
        <v>0.200488109317045</v>
      </c>
      <c r="G413" s="17" t="n">
        <f aca="false">G412/G405</f>
        <v>0.199783938700727</v>
      </c>
    </row>
    <row r="414" customFormat="false" ht="15" hidden="false" customHeight="false" outlineLevel="0" collapsed="false">
      <c r="A414" s="4" t="s">
        <v>429</v>
      </c>
      <c r="B414" s="0" t="s">
        <v>219</v>
      </c>
      <c r="C414" s="20" t="n">
        <f aca="false">a25_opx</f>
        <v>3.138</v>
      </c>
      <c r="D414" s="20" t="n">
        <f aca="false">a26_opx</f>
        <v>3.849</v>
      </c>
      <c r="E414" s="20" t="n">
        <f aca="false">D414*(1+MAX(g_opx_min,phi*E406))+0*E405</f>
        <v>4.96674313683311</v>
      </c>
      <c r="F414" s="20" t="n">
        <f aca="false">E414*(1+MAX(g_opx_min,phi*F406))+0*F405</f>
        <v>5.98039175611893</v>
      </c>
      <c r="G414" s="20" t="n">
        <f aca="false">F414*(1+MAX(g_opx_min,phi*G406))+0*G405</f>
        <v>6.45882309660845</v>
      </c>
    </row>
    <row r="415" customFormat="false" ht="15" hidden="false" customHeight="false" outlineLevel="0" collapsed="false">
      <c r="A415" s="4" t="s">
        <v>432</v>
      </c>
      <c r="B415" s="0" t="s">
        <v>219</v>
      </c>
      <c r="C415" s="20" t="n">
        <f aca="false">C412-C414</f>
        <v>5.016</v>
      </c>
      <c r="D415" s="20" t="n">
        <f aca="false">D412-D414</f>
        <v>12.519142</v>
      </c>
      <c r="E415" s="20" t="n">
        <f aca="false">E412-E414</f>
        <v>23.8350201631669</v>
      </c>
      <c r="F415" s="20" t="n">
        <f aca="false">F412-F414</f>
        <v>38.9935831398811</v>
      </c>
      <c r="G415" s="20" t="n">
        <f aca="false">G412-G414</f>
        <v>44.9218287869116</v>
      </c>
    </row>
    <row r="416" customFormat="false" ht="15" hidden="false" customHeight="false" outlineLevel="0" collapsed="false">
      <c r="A416" s="4" t="s">
        <v>505</v>
      </c>
      <c r="B416" s="0" t="s">
        <v>44</v>
      </c>
      <c r="C416" s="17" t="n">
        <f aca="false">C415/C405</f>
        <v>0.162193623488327</v>
      </c>
      <c r="D416" s="17" t="n">
        <f aca="false">D415/D405</f>
        <v>0.184548352549838</v>
      </c>
      <c r="E416" s="17" t="n">
        <f aca="false">E415/E405</f>
        <v>0.178536604912418</v>
      </c>
      <c r="F416" s="17" t="n">
        <f aca="false">F415/F405</f>
        <v>0.173828303530873</v>
      </c>
      <c r="G416" s="17" t="n">
        <f aca="false">G415/G405</f>
        <v>0.174670027718497</v>
      </c>
    </row>
    <row r="417" customFormat="false" ht="15" hidden="false" customHeight="false" outlineLevel="0" collapsed="false">
      <c r="A417" s="4" t="s">
        <v>435</v>
      </c>
      <c r="B417" s="0" t="s">
        <v>219</v>
      </c>
      <c r="C417" s="20" t="n">
        <f aca="false">a25_nonop</f>
        <v>1.7042198</v>
      </c>
      <c r="D417" s="20" t="n">
        <f aca="false">a26_nonop</f>
        <v>1.605</v>
      </c>
      <c r="E417" s="20" t="n">
        <f aca="false">nonop_f</f>
        <v>1.6</v>
      </c>
      <c r="F417" s="20" t="n">
        <f aca="false">nonop_f</f>
        <v>1.6</v>
      </c>
      <c r="G417" s="20" t="n">
        <f aca="false">nonop_f</f>
        <v>1.6</v>
      </c>
    </row>
    <row r="418" customFormat="false" ht="15" hidden="false" customHeight="false" outlineLevel="0" collapsed="false">
      <c r="A418" s="4" t="s">
        <v>437</v>
      </c>
      <c r="B418" s="0" t="s">
        <v>219</v>
      </c>
      <c r="C418" s="20" t="n">
        <f aca="false">C415+C417</f>
        <v>6.7202198</v>
      </c>
      <c r="D418" s="20" t="n">
        <f aca="false">D415+D417</f>
        <v>14.124142</v>
      </c>
      <c r="E418" s="20" t="n">
        <f aca="false">E415+E417</f>
        <v>25.4350201631669</v>
      </c>
      <c r="F418" s="20" t="n">
        <f aca="false">F415+F417</f>
        <v>40.5935831398811</v>
      </c>
      <c r="G418" s="20" t="n">
        <f aca="false">G415+G417</f>
        <v>46.5218287869116</v>
      </c>
    </row>
    <row r="419" customFormat="false" ht="15" hidden="false" customHeight="false" outlineLevel="0" collapsed="false">
      <c r="A419" s="4" t="s">
        <v>439</v>
      </c>
      <c r="B419" s="0" t="s">
        <v>219</v>
      </c>
      <c r="C419" s="20" t="n">
        <f aca="false">a25_tax</f>
        <v>1.1222198</v>
      </c>
      <c r="D419" s="20" t="n">
        <f aca="false">a26_tax</f>
        <v>2.8140284</v>
      </c>
      <c r="E419" s="20" t="n">
        <f aca="false">E418*tax</f>
        <v>5.08700403263338</v>
      </c>
      <c r="F419" s="20" t="n">
        <f aca="false">F418*tax</f>
        <v>8.11871662797622</v>
      </c>
      <c r="G419" s="20" t="n">
        <f aca="false">G418*tax</f>
        <v>9.30436575738231</v>
      </c>
    </row>
    <row r="420" customFormat="false" ht="15" hidden="false" customHeight="false" outlineLevel="0" collapsed="false">
      <c r="A420" s="4" t="s">
        <v>442</v>
      </c>
      <c r="B420" s="0" t="s">
        <v>219</v>
      </c>
      <c r="C420" s="20" t="n">
        <f aca="false">C418-C419</f>
        <v>5.598</v>
      </c>
      <c r="D420" s="20" t="n">
        <f aca="false">D418-D419</f>
        <v>11.3101136</v>
      </c>
      <c r="E420" s="20" t="n">
        <f aca="false">E418-E419</f>
        <v>20.3480161305335</v>
      </c>
      <c r="F420" s="20" t="n">
        <f aca="false">F418-F419</f>
        <v>32.4748665119049</v>
      </c>
      <c r="G420" s="20" t="n">
        <f aca="false">G418-G419</f>
        <v>37.2174630295292</v>
      </c>
      <c r="H420" s="28" t="n">
        <f aca="false">H405*H424</f>
        <v>40.1716755130974</v>
      </c>
      <c r="I420" s="28" t="n">
        <f aca="false">I405*I424</f>
        <v>42.1889113626573</v>
      </c>
      <c r="J420" s="28" t="n">
        <f aca="false">J405*J424</f>
        <v>43.0761046778957</v>
      </c>
    </row>
    <row r="421" customFormat="false" ht="17.15" hidden="false" customHeight="false" outlineLevel="0" collapsed="false">
      <c r="A421" s="4" t="s">
        <v>542</v>
      </c>
      <c r="B421" s="4" t="s">
        <v>272</v>
      </c>
      <c r="C421" s="19" t="n">
        <f aca="false">a25_sh</f>
        <v>0.0809193408499566</v>
      </c>
      <c r="D421" s="19" t="n">
        <f aca="false">a26_sh</f>
        <v>0.0838996682946683</v>
      </c>
      <c r="E421" s="19" t="n">
        <f aca="false">q_sh*(1+sh_g)</f>
        <v>0.08621</v>
      </c>
      <c r="F421" s="19" t="n">
        <f aca="false">E421*(1+sh_g)</f>
        <v>0.08621</v>
      </c>
      <c r="G421" s="19" t="n">
        <f aca="false">F421*(1+sh_g)</f>
        <v>0.08621</v>
      </c>
      <c r="H421" s="31" t="n">
        <f aca="false">G421*(1+sh_g)</f>
        <v>0.08621</v>
      </c>
      <c r="I421" s="31" t="n">
        <f aca="false">H421*(1+sh_g)</f>
        <v>0.08621</v>
      </c>
      <c r="J421" s="31" t="n">
        <f aca="false">I421*(1+sh_g)</f>
        <v>0.08621</v>
      </c>
      <c r="K421" s="8" t="s">
        <v>543</v>
      </c>
    </row>
    <row r="422" customFormat="false" ht="17.15" hidden="false" customHeight="false" outlineLevel="0" collapsed="false">
      <c r="A422" s="0" t="s">
        <v>446</v>
      </c>
      <c r="B422" s="0" t="s">
        <v>312</v>
      </c>
      <c r="C422" s="20" t="n">
        <f aca="false">C420/C421</f>
        <v>69.18</v>
      </c>
      <c r="D422" s="20" t="n">
        <f aca="false">D420/D421</f>
        <v>134.805224262356</v>
      </c>
      <c r="E422" s="20" t="n">
        <f aca="false">E420/E421</f>
        <v>236.028490088546</v>
      </c>
      <c r="F422" s="20" t="n">
        <f aca="false">F420/F421</f>
        <v>376.694890522038</v>
      </c>
      <c r="G422" s="20" t="n">
        <f aca="false">G420/G421</f>
        <v>431.70702968947</v>
      </c>
      <c r="H422" s="28" t="n">
        <f aca="false">H420/H421</f>
        <v>465.974660864139</v>
      </c>
      <c r="I422" s="28" t="n">
        <f aca="false">I420/I421</f>
        <v>489.373754351668</v>
      </c>
      <c r="J422" s="28" t="n">
        <f aca="false">J420/J421</f>
        <v>499.664826329842</v>
      </c>
    </row>
    <row r="423" customFormat="false" ht="17.15" hidden="false" customHeight="false" outlineLevel="0" collapsed="false">
      <c r="A423" s="0" t="s">
        <v>544</v>
      </c>
      <c r="B423" s="0" t="s">
        <v>44</v>
      </c>
      <c r="D423" s="18" t="n">
        <f aca="false">D422/C422-1</f>
        <v>0.948615557420577</v>
      </c>
      <c r="E423" s="18" t="n">
        <f aca="false">E422/D422-1</f>
        <v>0.750885333859103</v>
      </c>
      <c r="F423" s="18" t="n">
        <f aca="false">F422/E422-1</f>
        <v>0.595972123453069</v>
      </c>
      <c r="G423" s="18" t="n">
        <f aca="false">G422/F422-1</f>
        <v>0.146038984206011</v>
      </c>
      <c r="H423" s="26" t="n">
        <f aca="false">H422/G422-1</f>
        <v>0.0793770516067738</v>
      </c>
      <c r="I423" s="26" t="n">
        <f aca="false">I422/H422-1</f>
        <v>0.0502153774716772</v>
      </c>
      <c r="J423" s="26" t="n">
        <f aca="false">J422/I422-1</f>
        <v>0.0210290639550292</v>
      </c>
    </row>
    <row r="424" customFormat="false" ht="17.15" hidden="false" customHeight="false" outlineLevel="0" collapsed="false">
      <c r="A424" s="4" t="s">
        <v>545</v>
      </c>
      <c r="B424" s="0" t="s">
        <v>44</v>
      </c>
      <c r="C424" s="17" t="n">
        <f aca="false">C420/C405</f>
        <v>0.181012740089245</v>
      </c>
      <c r="D424" s="17" t="n">
        <f aca="false">D420/D405</f>
        <v>0.166725709480052</v>
      </c>
      <c r="E424" s="17" t="n">
        <f aca="false">E420/E405</f>
        <v>0.152417144679515</v>
      </c>
      <c r="F424" s="17" t="n">
        <f aca="false">F420/F405</f>
        <v>0.144768715737294</v>
      </c>
      <c r="G424" s="17" t="n">
        <f aca="false">G420/G405</f>
        <v>0.144713059876006</v>
      </c>
      <c r="H424" s="27" t="n">
        <f aca="false">$G424+(fade_mA-$G424)*1/3</f>
        <v>0.139757091966202</v>
      </c>
      <c r="I424" s="27" t="n">
        <f aca="false">$G424+(fade_mA-$G424)*2/3</f>
        <v>0.134801124056398</v>
      </c>
      <c r="J424" s="27" t="n">
        <f aca="false">$G424+(fade_mA-$G424)*3/3</f>
        <v>0.129845156146594</v>
      </c>
    </row>
    <row r="427" customFormat="false" ht="17.15" hidden="false" customHeight="false" outlineLevel="0" collapsed="false">
      <c r="A427" s="1" t="s">
        <v>829</v>
      </c>
    </row>
    <row r="428" customFormat="false" ht="17.15" hidden="false" customHeight="false" outlineLevel="0" collapsed="false">
      <c r="A428" s="5" t="s">
        <v>20</v>
      </c>
      <c r="B428" s="5" t="s">
        <v>21</v>
      </c>
      <c r="C428" s="14" t="s">
        <v>407</v>
      </c>
      <c r="D428" s="14" t="s">
        <v>495</v>
      </c>
      <c r="E428" s="14" t="s">
        <v>496</v>
      </c>
      <c r="F428" s="14" t="s">
        <v>497</v>
      </c>
      <c r="G428" s="14" t="s">
        <v>498</v>
      </c>
      <c r="H428" s="14" t="s">
        <v>499</v>
      </c>
      <c r="I428" s="14" t="s">
        <v>500</v>
      </c>
      <c r="J428" s="14" t="s">
        <v>501</v>
      </c>
      <c r="K428" s="5" t="s">
        <v>465</v>
      </c>
    </row>
    <row r="429" customFormat="false" ht="17.15" hidden="false" customHeight="false" outlineLevel="0" collapsed="false">
      <c r="A429" s="6" t="s">
        <v>516</v>
      </c>
    </row>
    <row r="430" customFormat="false" ht="17.15" hidden="false" customHeight="false" outlineLevel="0" collapsed="false">
      <c r="A430" s="0" t="s">
        <v>517</v>
      </c>
      <c r="B430" s="4" t="s">
        <v>31</v>
      </c>
      <c r="D430" s="22" t="n">
        <f aca="false">u_trn_26</f>
        <v>2</v>
      </c>
      <c r="E430" s="22" t="n">
        <f aca="false">u_trn_27</f>
        <v>2.5</v>
      </c>
      <c r="F430" s="22" t="n">
        <f aca="false">u_trn_28*um28_A</f>
        <v>3</v>
      </c>
      <c r="G430" s="22" t="n">
        <f aca="false">u_trn_28*(1+g29_trn)*um29_A</f>
        <v>3.45</v>
      </c>
    </row>
    <row r="431" customFormat="false" ht="17.15" hidden="false" customHeight="false" outlineLevel="0" collapsed="false">
      <c r="A431" s="4" t="s">
        <v>469</v>
      </c>
      <c r="B431" s="0" t="s">
        <v>44</v>
      </c>
      <c r="D431" s="18" t="n">
        <f aca="false">al_trn_26</f>
        <v>0.3</v>
      </c>
      <c r="E431" s="18" t="n">
        <f aca="false">MIN(1,MAX(0,al27_A+0))</f>
        <v>0.55</v>
      </c>
      <c r="F431" s="18" t="n">
        <f aca="false">MIN(1,MAX(0,al28_A+0))</f>
        <v>0.55</v>
      </c>
      <c r="G431" s="18" t="n">
        <f aca="false">MIN(1,MAX(0,al28_A+0))</f>
        <v>0.55</v>
      </c>
    </row>
    <row r="432" customFormat="false" ht="17.15" hidden="false" customHeight="false" outlineLevel="0" collapsed="false">
      <c r="A432" s="4" t="s">
        <v>471</v>
      </c>
      <c r="B432" s="4" t="s">
        <v>31</v>
      </c>
      <c r="D432" s="22" t="n">
        <f aca="false">D430*D431</f>
        <v>0.6</v>
      </c>
      <c r="E432" s="22" t="n">
        <f aca="false">E430*E431*1</f>
        <v>1.375</v>
      </c>
      <c r="F432" s="22" t="n">
        <f aca="false">F430*F431*1</f>
        <v>1.65</v>
      </c>
      <c r="G432" s="22" t="n">
        <f aca="false">G430*G431*1</f>
        <v>1.8975</v>
      </c>
    </row>
    <row r="433" customFormat="false" ht="17.15" hidden="false" customHeight="false" outlineLevel="0" collapsed="false">
      <c r="A433" s="4" t="s">
        <v>518</v>
      </c>
      <c r="B433" s="0" t="s">
        <v>69</v>
      </c>
      <c r="D433" s="30" t="n">
        <f aca="false">gb_trn_26</f>
        <v>110</v>
      </c>
      <c r="E433" s="30" t="n">
        <f aca="false">gb_trn_27</f>
        <v>144</v>
      </c>
      <c r="F433" s="30" t="n">
        <f aca="false">gb_trn_28</f>
        <v>200</v>
      </c>
      <c r="G433" s="30" t="n">
        <f aca="false">gb_trn_28</f>
        <v>200</v>
      </c>
    </row>
    <row r="434" customFormat="false" ht="17.15" hidden="false" customHeight="false" outlineLevel="0" collapsed="false">
      <c r="A434" s="0" t="s">
        <v>519</v>
      </c>
      <c r="B434" s="0" t="s">
        <v>156</v>
      </c>
      <c r="D434" s="20" t="n">
        <f aca="false">hbm_A_26</f>
        <v>14.6</v>
      </c>
      <c r="E434" s="20" t="n">
        <f aca="false">hbm_A_27</f>
        <v>26.28</v>
      </c>
      <c r="F434" s="20" t="n">
        <f aca="false">hbm_A_28</f>
        <v>28.908</v>
      </c>
      <c r="G434" s="20" t="n">
        <f aca="false">hbm_A_29</f>
        <v>27.4626</v>
      </c>
    </row>
    <row r="435" customFormat="false" ht="17.15" hidden="false" customHeight="false" outlineLevel="0" collapsed="false">
      <c r="A435" s="4" t="s">
        <v>520</v>
      </c>
      <c r="B435" s="0" t="s">
        <v>80</v>
      </c>
      <c r="D435" s="20" t="n">
        <f aca="false">core_trn</f>
        <v>6.394</v>
      </c>
      <c r="E435" s="20" t="n">
        <f aca="false">core_trn</f>
        <v>6.394</v>
      </c>
      <c r="F435" s="20" t="n">
        <f aca="false">core_trn*pfc_A</f>
        <v>9.591</v>
      </c>
      <c r="G435" s="20" t="n">
        <f aca="false">core_trn*pfc_A</f>
        <v>9.591</v>
      </c>
    </row>
    <row r="436" customFormat="false" ht="17.15" hidden="false" customHeight="false" outlineLevel="0" collapsed="false">
      <c r="A436" s="4" t="s">
        <v>521</v>
      </c>
      <c r="B436" s="0" t="s">
        <v>80</v>
      </c>
      <c r="D436" s="20" t="n">
        <f aca="false">D433*D434/1000</f>
        <v>1.606</v>
      </c>
      <c r="E436" s="20" t="n">
        <f aca="false">E433*E434/1000</f>
        <v>3.78432</v>
      </c>
      <c r="F436" s="20" t="n">
        <f aca="false">F433*F434/1000</f>
        <v>5.7816</v>
      </c>
      <c r="G436" s="20" t="n">
        <f aca="false">G433*G434/1000</f>
        <v>5.49252</v>
      </c>
    </row>
    <row r="437" customFormat="false" ht="17.15" hidden="false" customHeight="false" outlineLevel="0" collapsed="false">
      <c r="A437" s="4" t="s">
        <v>522</v>
      </c>
      <c r="B437" s="0" t="s">
        <v>80</v>
      </c>
      <c r="D437" s="20" t="n">
        <f aca="false">D435+f_al*D436</f>
        <v>6.394</v>
      </c>
      <c r="E437" s="20" t="n">
        <f aca="false">E435+f_al*E436</f>
        <v>6.394</v>
      </c>
      <c r="F437" s="20" t="n">
        <f aca="false">F435+f_al*F436</f>
        <v>9.591</v>
      </c>
      <c r="G437" s="20" t="n">
        <f aca="false">G435+f_al*G436</f>
        <v>9.591</v>
      </c>
      <c r="K437" s="4" t="s">
        <v>523</v>
      </c>
    </row>
    <row r="438" customFormat="false" ht="17.15" hidden="false" customHeight="false" outlineLevel="0" collapsed="false">
      <c r="A438" s="0" t="s">
        <v>524</v>
      </c>
      <c r="B438" s="0" t="s">
        <v>213</v>
      </c>
      <c r="D438" s="20" t="n">
        <f aca="false">D432*D437</f>
        <v>3.8364</v>
      </c>
      <c r="E438" s="20" t="n">
        <f aca="false">E432*E437</f>
        <v>8.79175</v>
      </c>
      <c r="F438" s="20" t="n">
        <f aca="false">F432*F437</f>
        <v>15.82515</v>
      </c>
      <c r="G438" s="20" t="n">
        <f aca="false">G432*G437</f>
        <v>18.1989225</v>
      </c>
    </row>
    <row r="439" customFormat="false" ht="17.15" hidden="false" customHeight="false" outlineLevel="0" collapsed="false">
      <c r="A439" s="4" t="s">
        <v>525</v>
      </c>
      <c r="B439" s="0" t="s">
        <v>49</v>
      </c>
      <c r="D439" s="22" t="n">
        <f aca="false">dc26/D438</f>
        <v>0.390991554582421</v>
      </c>
      <c r="K439" s="8" t="s">
        <v>526</v>
      </c>
    </row>
    <row r="440" customFormat="false" ht="17.15" hidden="false" customHeight="false" outlineLevel="0" collapsed="false">
      <c r="A440" s="0" t="s">
        <v>527</v>
      </c>
      <c r="B440" s="0" t="s">
        <v>213</v>
      </c>
      <c r="D440" s="20" t="n">
        <f aca="false">D438*$D$439</f>
        <v>1.5</v>
      </c>
      <c r="E440" s="20" t="n">
        <f aca="false">E438*$D$439</f>
        <v>3.4375</v>
      </c>
      <c r="F440" s="20" t="n">
        <f aca="false">F438*$D$439</f>
        <v>6.1875</v>
      </c>
      <c r="G440" s="20" t="n">
        <f aca="false">G438*$D$439</f>
        <v>7.115625</v>
      </c>
    </row>
    <row r="441" customFormat="false" ht="15" hidden="false" customHeight="false" outlineLevel="0" collapsed="false">
      <c r="A441" s="4" t="s">
        <v>528</v>
      </c>
      <c r="B441" s="0" t="s">
        <v>224</v>
      </c>
      <c r="D441" s="20" t="n">
        <f aca="false">fx26</f>
        <v>31.6</v>
      </c>
      <c r="E441" s="20" t="n">
        <f aca="false">fx</f>
        <v>32</v>
      </c>
      <c r="F441" s="20" t="n">
        <f aca="false">fx</f>
        <v>32</v>
      </c>
      <c r="G441" s="20" t="n">
        <f aca="false">fx</f>
        <v>32</v>
      </c>
    </row>
    <row r="442" customFormat="false" ht="17.15" hidden="false" customHeight="false" outlineLevel="0" collapsed="false">
      <c r="A442" s="0" t="s">
        <v>529</v>
      </c>
      <c r="B442" s="0" t="s">
        <v>219</v>
      </c>
      <c r="C442" s="20" t="n">
        <f aca="false">a25_trn</f>
        <v>0</v>
      </c>
      <c r="D442" s="20" t="n">
        <f aca="false">D440*D441</f>
        <v>47.4</v>
      </c>
      <c r="E442" s="20" t="n">
        <f aca="false">E440*E441</f>
        <v>110</v>
      </c>
      <c r="F442" s="20" t="n">
        <f aca="false">F440*F441</f>
        <v>198</v>
      </c>
      <c r="G442" s="20" t="n">
        <f aca="false">G440*G441</f>
        <v>227.7</v>
      </c>
    </row>
    <row r="443" customFormat="false" ht="17.15" hidden="false" customHeight="false" outlineLevel="0" collapsed="false">
      <c r="A443" s="4" t="s">
        <v>530</v>
      </c>
      <c r="B443" s="0" t="s">
        <v>219</v>
      </c>
      <c r="D443" s="20" t="n">
        <f aca="false">$D$439*f_al*D432*D436*D441</f>
        <v>0</v>
      </c>
      <c r="E443" s="20" t="n">
        <f aca="false">$D$439*f_al*E432*E436*E441</f>
        <v>0</v>
      </c>
      <c r="F443" s="20" t="n">
        <f aca="false">$D$439*f_al*F432*F436*F441</f>
        <v>0</v>
      </c>
      <c r="G443" s="20" t="n">
        <f aca="false">$D$439*f_al*G432*G436*G441</f>
        <v>0</v>
      </c>
    </row>
    <row r="444" customFormat="false" ht="15" hidden="false" customHeight="false" outlineLevel="0" collapsed="false">
      <c r="A444" s="4" t="s">
        <v>531</v>
      </c>
      <c r="B444" s="0" t="s">
        <v>219</v>
      </c>
      <c r="D444" s="20" t="n">
        <f aca="false">D442-D443</f>
        <v>47.4</v>
      </c>
      <c r="E444" s="20" t="n">
        <f aca="false">E442-E443</f>
        <v>110</v>
      </c>
      <c r="F444" s="20" t="n">
        <f aca="false">F442-F443</f>
        <v>198</v>
      </c>
      <c r="G444" s="20" t="n">
        <f aca="false">G442-G443</f>
        <v>227.7</v>
      </c>
    </row>
    <row r="445" customFormat="false" ht="15" hidden="false" customHeight="false" outlineLevel="0" collapsed="false">
      <c r="A445" s="4" t="s">
        <v>475</v>
      </c>
      <c r="B445" s="0" t="s">
        <v>80</v>
      </c>
      <c r="D445" s="20" t="n">
        <f aca="false">IF(D432&gt;0,D440/D432,0)</f>
        <v>2.5</v>
      </c>
      <c r="E445" s="20" t="n">
        <f aca="false">IF(E432&gt;0,E440/E432,0)</f>
        <v>2.5</v>
      </c>
      <c r="F445" s="20" t="n">
        <f aca="false">IF(F432&gt;0,F440/F432,0)</f>
        <v>3.75</v>
      </c>
      <c r="G445" s="20" t="n">
        <f aca="false">IF(G432&gt;0,G440/G432,0)</f>
        <v>3.75</v>
      </c>
    </row>
    <row r="446" customFormat="false" ht="17.15" hidden="false" customHeight="false" outlineLevel="0" collapsed="false">
      <c r="A446" s="6" t="s">
        <v>532</v>
      </c>
    </row>
    <row r="447" customFormat="false" ht="17.15" hidden="false" customHeight="false" outlineLevel="0" collapsed="false">
      <c r="A447" s="4" t="s">
        <v>533</v>
      </c>
      <c r="B447" s="0" t="s">
        <v>219</v>
      </c>
      <c r="C447" s="20" t="n">
        <f aca="false">a25_oth</f>
        <v>30.926</v>
      </c>
      <c r="D447" s="20" t="n">
        <f aca="false">a26_oth</f>
        <v>20.43665</v>
      </c>
      <c r="E447" s="20" t="n">
        <f aca="false">D447*(1+g_o27_C)</f>
        <v>18.392985</v>
      </c>
      <c r="F447" s="20" t="n">
        <f aca="false">E447*(1+g_oL_C)</f>
        <v>17.47333575</v>
      </c>
      <c r="G447" s="20" t="n">
        <f aca="false">F447*(1+g_oL_C)</f>
        <v>16.5996689625</v>
      </c>
    </row>
    <row r="448" customFormat="false" ht="17.15" hidden="false" customHeight="false" outlineLevel="0" collapsed="false">
      <c r="A448" s="4" t="s">
        <v>413</v>
      </c>
      <c r="B448" s="0" t="s">
        <v>219</v>
      </c>
      <c r="C448" s="20" t="n">
        <f aca="false">C447+C442</f>
        <v>30.926</v>
      </c>
      <c r="D448" s="20" t="n">
        <f aca="false">D447+D442</f>
        <v>67.83665</v>
      </c>
      <c r="E448" s="20" t="n">
        <f aca="false">E447+E442</f>
        <v>128.392985</v>
      </c>
      <c r="F448" s="20" t="n">
        <f aca="false">F447+F442</f>
        <v>215.47333575</v>
      </c>
      <c r="G448" s="20" t="n">
        <f aca="false">G447+G442</f>
        <v>244.2996689625</v>
      </c>
      <c r="H448" s="28" t="n">
        <f aca="false">G448*(1+H449)</f>
        <v>270.974170068099</v>
      </c>
      <c r="I448" s="28" t="n">
        <f aca="false">H448*(1+I449)</f>
        <v>293.896908460124</v>
      </c>
      <c r="J448" s="28" t="n">
        <f aca="false">I448*(1+J449)</f>
        <v>311.530722967732</v>
      </c>
      <c r="K448" s="8" t="s">
        <v>534</v>
      </c>
    </row>
    <row r="449" customFormat="false" ht="15" hidden="false" customHeight="false" outlineLevel="0" collapsed="false">
      <c r="A449" s="4" t="s">
        <v>535</v>
      </c>
      <c r="B449" s="0" t="s">
        <v>44</v>
      </c>
      <c r="D449" s="18" t="n">
        <f aca="false">D448/C448-1</f>
        <v>1.19351516523314</v>
      </c>
      <c r="E449" s="18" t="n">
        <f aca="false">E448/D448-1</f>
        <v>0.892678736346798</v>
      </c>
      <c r="F449" s="18" t="n">
        <f aca="false">F448/E448-1</f>
        <v>0.678232932663728</v>
      </c>
      <c r="G449" s="18" t="n">
        <f aca="false">G448/F448-1</f>
        <v>0.133781440344644</v>
      </c>
      <c r="H449" s="26" t="n">
        <f aca="false">$G449+(fade_gA-$G449)*1/3</f>
        <v>0.109187626896429</v>
      </c>
      <c r="I449" s="26" t="n">
        <f aca="false">$G449+(fade_gA-$G449)*2/3</f>
        <v>0.0845938134482145</v>
      </c>
      <c r="J449" s="26" t="n">
        <f aca="false">$G449+(fade_gA-$G449)*3/3</f>
        <v>0.06</v>
      </c>
    </row>
    <row r="450" customFormat="false" ht="17.15" hidden="false" customHeight="false" outlineLevel="0" collapsed="false">
      <c r="A450" s="0" t="s">
        <v>536</v>
      </c>
      <c r="B450" s="0" t="s">
        <v>44</v>
      </c>
      <c r="C450" s="18" t="n">
        <f aca="false">C442/C448</f>
        <v>0</v>
      </c>
      <c r="D450" s="18" t="n">
        <f aca="false">D442/D448</f>
        <v>0.698737334464482</v>
      </c>
      <c r="E450" s="18" t="n">
        <f aca="false">E442/E448</f>
        <v>0.856744626663209</v>
      </c>
      <c r="F450" s="18" t="n">
        <f aca="false">F442/F448</f>
        <v>0.918907201723218</v>
      </c>
      <c r="G450" s="18" t="n">
        <f aca="false">G442/G448</f>
        <v>0.932052020238112</v>
      </c>
    </row>
    <row r="451" customFormat="false" ht="17.15" hidden="false" customHeight="false" outlineLevel="0" collapsed="false">
      <c r="A451" s="4" t="s">
        <v>537</v>
      </c>
      <c r="B451" s="0" t="s">
        <v>44</v>
      </c>
      <c r="C451" s="18" t="n">
        <f aca="false">C447/C448</f>
        <v>1</v>
      </c>
      <c r="D451" s="18" t="n">
        <f aca="false">D447/D448</f>
        <v>0.301262665535518</v>
      </c>
      <c r="E451" s="18" t="n">
        <f aca="false">E447/E448</f>
        <v>0.143255373336791</v>
      </c>
      <c r="F451" s="18" t="n">
        <f aca="false">F447/F448</f>
        <v>0.0810927982767817</v>
      </c>
      <c r="G451" s="18" t="n">
        <f aca="false">G447/G448</f>
        <v>0.0679479797618885</v>
      </c>
    </row>
    <row r="452" customFormat="false" ht="17.15" hidden="false" customHeight="false" outlineLevel="0" collapsed="false">
      <c r="A452" s="6" t="s">
        <v>538</v>
      </c>
    </row>
    <row r="453" customFormat="false" ht="17.15" hidden="false" customHeight="false" outlineLevel="0" collapsed="false">
      <c r="A453" s="0" t="s">
        <v>539</v>
      </c>
      <c r="B453" s="0" t="s">
        <v>219</v>
      </c>
      <c r="D453" s="20" t="n">
        <f aca="false">m_trn*D444+m_hbm*D443</f>
        <v>6.162</v>
      </c>
      <c r="E453" s="20" t="n">
        <f aca="false">(m_trn+gta_A)*E444+m_hbm*E443</f>
        <v>15.4</v>
      </c>
      <c r="F453" s="20" t="n">
        <f aca="false">(m_trn+gta_A)*F444+m_hbm*F443</f>
        <v>27.72</v>
      </c>
      <c r="G453" s="20" t="n">
        <f aca="false">(m_trn+gta_A)*G444+m_hbm*G443</f>
        <v>31.878</v>
      </c>
    </row>
    <row r="454" customFormat="false" ht="17.15" hidden="false" customHeight="false" outlineLevel="0" collapsed="false">
      <c r="A454" s="4" t="s">
        <v>540</v>
      </c>
      <c r="B454" s="0" t="s">
        <v>44</v>
      </c>
      <c r="C454" s="17" t="n">
        <f aca="false">a25_gp/C447</f>
        <v>0.263661643924206</v>
      </c>
      <c r="D454" s="17" t="n">
        <f aca="false">(a26_gp-D453)/D447</f>
        <v>0.499403865114879</v>
      </c>
      <c r="E454" s="17" t="n">
        <f aca="false">$D454+0</f>
        <v>0.499403865114879</v>
      </c>
      <c r="F454" s="17" t="n">
        <f aca="false">$D454+0</f>
        <v>0.499403865114879</v>
      </c>
      <c r="G454" s="17" t="n">
        <f aca="false">$D454+0</f>
        <v>0.499403865114879</v>
      </c>
      <c r="K454" s="8" t="s">
        <v>541</v>
      </c>
    </row>
    <row r="455" customFormat="false" ht="15" hidden="false" customHeight="false" outlineLevel="0" collapsed="false">
      <c r="A455" s="4" t="s">
        <v>422</v>
      </c>
      <c r="B455" s="0" t="s">
        <v>219</v>
      </c>
      <c r="C455" s="20" t="n">
        <f aca="false">a25_gp</f>
        <v>8.154</v>
      </c>
      <c r="D455" s="20" t="n">
        <f aca="false">a26_gp</f>
        <v>16.368142</v>
      </c>
      <c r="E455" s="20" t="n">
        <f aca="false">E454*E447+E453</f>
        <v>24.5855278</v>
      </c>
      <c r="F455" s="20" t="n">
        <f aca="false">F454*F447+F453</f>
        <v>36.44625141</v>
      </c>
      <c r="G455" s="20" t="n">
        <f aca="false">G454*G447+G453</f>
        <v>40.1679388395</v>
      </c>
    </row>
    <row r="456" customFormat="false" ht="15" hidden="false" customHeight="false" outlineLevel="0" collapsed="false">
      <c r="A456" s="4" t="s">
        <v>425</v>
      </c>
      <c r="B456" s="0" t="s">
        <v>44</v>
      </c>
      <c r="C456" s="17" t="n">
        <f aca="false">C455/C448</f>
        <v>0.263661643924206</v>
      </c>
      <c r="D456" s="17" t="n">
        <f aca="false">D455/D448</f>
        <v>0.241287593063632</v>
      </c>
      <c r="E456" s="17" t="n">
        <f aca="false">E455/E448</f>
        <v>0.191486534875718</v>
      </c>
      <c r="F456" s="17" t="n">
        <f aca="false">F455/F448</f>
        <v>0.169145065133657</v>
      </c>
      <c r="G456" s="17" t="n">
        <f aca="false">G455/G448</f>
        <v>0.16442076655317</v>
      </c>
    </row>
    <row r="457" customFormat="false" ht="15" hidden="false" customHeight="false" outlineLevel="0" collapsed="false">
      <c r="A457" s="4" t="s">
        <v>429</v>
      </c>
      <c r="B457" s="0" t="s">
        <v>219</v>
      </c>
      <c r="C457" s="20" t="n">
        <f aca="false">a25_opx</f>
        <v>3.138</v>
      </c>
      <c r="D457" s="20" t="n">
        <f aca="false">a26_opx</f>
        <v>3.849</v>
      </c>
      <c r="E457" s="20" t="n">
        <f aca="false">D457*(1+MAX(g_opx_min,phi*E449))+0*E448</f>
        <v>4.87977613685965</v>
      </c>
      <c r="F457" s="20" t="n">
        <f aca="false">E457*(1+MAX(g_opx_min,phi*F449))+0*F448</f>
        <v>5.87266360087309</v>
      </c>
      <c r="G457" s="20" t="n">
        <f aca="false">F457*(1+MAX(g_opx_min,phi*G449))+0*G448</f>
        <v>6.34247668894294</v>
      </c>
    </row>
    <row r="458" customFormat="false" ht="15" hidden="false" customHeight="false" outlineLevel="0" collapsed="false">
      <c r="A458" s="4" t="s">
        <v>432</v>
      </c>
      <c r="B458" s="0" t="s">
        <v>219</v>
      </c>
      <c r="C458" s="20" t="n">
        <f aca="false">C455-C457</f>
        <v>5.016</v>
      </c>
      <c r="D458" s="20" t="n">
        <f aca="false">D455-D457</f>
        <v>12.519142</v>
      </c>
      <c r="E458" s="20" t="n">
        <f aca="false">E455-E457</f>
        <v>19.7057516631404</v>
      </c>
      <c r="F458" s="20" t="n">
        <f aca="false">F455-F457</f>
        <v>30.5735878091269</v>
      </c>
      <c r="G458" s="20" t="n">
        <f aca="false">G455-G457</f>
        <v>33.8254621505571</v>
      </c>
    </row>
    <row r="459" customFormat="false" ht="15" hidden="false" customHeight="false" outlineLevel="0" collapsed="false">
      <c r="A459" s="4" t="s">
        <v>505</v>
      </c>
      <c r="B459" s="0" t="s">
        <v>44</v>
      </c>
      <c r="C459" s="17" t="n">
        <f aca="false">C458/C448</f>
        <v>0.162193623488327</v>
      </c>
      <c r="D459" s="17" t="n">
        <f aca="false">D458/D448</f>
        <v>0.184548352549838</v>
      </c>
      <c r="E459" s="17" t="n">
        <f aca="false">E458/E448</f>
        <v>0.153479971379592</v>
      </c>
      <c r="F459" s="17" t="n">
        <f aca="false">F458/F448</f>
        <v>0.141890353638</v>
      </c>
      <c r="G459" s="17" t="n">
        <f aca="false">G458/G448</f>
        <v>0.138458894742707</v>
      </c>
    </row>
    <row r="460" customFormat="false" ht="15" hidden="false" customHeight="false" outlineLevel="0" collapsed="false">
      <c r="A460" s="4" t="s">
        <v>435</v>
      </c>
      <c r="B460" s="0" t="s">
        <v>219</v>
      </c>
      <c r="C460" s="20" t="n">
        <f aca="false">a25_nonop</f>
        <v>1.7042198</v>
      </c>
      <c r="D460" s="20" t="n">
        <f aca="false">a26_nonop</f>
        <v>1.605</v>
      </c>
      <c r="E460" s="20" t="n">
        <f aca="false">nonop_f</f>
        <v>1.6</v>
      </c>
      <c r="F460" s="20" t="n">
        <f aca="false">nonop_f</f>
        <v>1.6</v>
      </c>
      <c r="G460" s="20" t="n">
        <f aca="false">nonop_f</f>
        <v>1.6</v>
      </c>
    </row>
    <row r="461" customFormat="false" ht="15" hidden="false" customHeight="false" outlineLevel="0" collapsed="false">
      <c r="A461" s="4" t="s">
        <v>437</v>
      </c>
      <c r="B461" s="0" t="s">
        <v>219</v>
      </c>
      <c r="C461" s="20" t="n">
        <f aca="false">C458+C460</f>
        <v>6.7202198</v>
      </c>
      <c r="D461" s="20" t="n">
        <f aca="false">D458+D460</f>
        <v>14.124142</v>
      </c>
      <c r="E461" s="20" t="n">
        <f aca="false">E458+E460</f>
        <v>21.3057516631404</v>
      </c>
      <c r="F461" s="20" t="n">
        <f aca="false">F458+F460</f>
        <v>32.1735878091269</v>
      </c>
      <c r="G461" s="20" t="n">
        <f aca="false">G458+G460</f>
        <v>35.4254621505571</v>
      </c>
    </row>
    <row r="462" customFormat="false" ht="15" hidden="false" customHeight="false" outlineLevel="0" collapsed="false">
      <c r="A462" s="4" t="s">
        <v>439</v>
      </c>
      <c r="B462" s="0" t="s">
        <v>219</v>
      </c>
      <c r="C462" s="20" t="n">
        <f aca="false">a25_tax</f>
        <v>1.1222198</v>
      </c>
      <c r="D462" s="20" t="n">
        <f aca="false">a26_tax</f>
        <v>2.8140284</v>
      </c>
      <c r="E462" s="20" t="n">
        <f aca="false">E461*tax</f>
        <v>4.26115033262807</v>
      </c>
      <c r="F462" s="20" t="n">
        <f aca="false">F461*tax</f>
        <v>6.43471756182538</v>
      </c>
      <c r="G462" s="20" t="n">
        <f aca="false">G461*tax</f>
        <v>7.08509243011141</v>
      </c>
    </row>
    <row r="463" customFormat="false" ht="15" hidden="false" customHeight="false" outlineLevel="0" collapsed="false">
      <c r="A463" s="4" t="s">
        <v>442</v>
      </c>
      <c r="B463" s="0" t="s">
        <v>219</v>
      </c>
      <c r="C463" s="20" t="n">
        <f aca="false">C461-C462</f>
        <v>5.598</v>
      </c>
      <c r="D463" s="20" t="n">
        <f aca="false">D461-D462</f>
        <v>11.3101136</v>
      </c>
      <c r="E463" s="20" t="n">
        <f aca="false">E461-E462</f>
        <v>17.0446013305123</v>
      </c>
      <c r="F463" s="20" t="n">
        <f aca="false">F461-F462</f>
        <v>25.7388702473015</v>
      </c>
      <c r="G463" s="20" t="n">
        <f aca="false">G461-G462</f>
        <v>28.3403697204457</v>
      </c>
      <c r="H463" s="28" t="n">
        <f aca="false">H448*H467</f>
        <v>32.6847527651211</v>
      </c>
      <c r="I463" s="28" t="n">
        <f aca="false">I448*I467</f>
        <v>36.8053853065705</v>
      </c>
      <c r="J463" s="28" t="n">
        <f aca="false">J448*J467</f>
        <v>40.4507553682066</v>
      </c>
    </row>
    <row r="464" customFormat="false" ht="17.15" hidden="false" customHeight="false" outlineLevel="0" collapsed="false">
      <c r="A464" s="4" t="s">
        <v>542</v>
      </c>
      <c r="B464" s="4" t="s">
        <v>272</v>
      </c>
      <c r="C464" s="19" t="n">
        <f aca="false">a25_sh</f>
        <v>0.0809193408499566</v>
      </c>
      <c r="D464" s="19" t="n">
        <f aca="false">a26_sh</f>
        <v>0.0838996682946683</v>
      </c>
      <c r="E464" s="19" t="n">
        <f aca="false">q_sh*(1+sh_g)</f>
        <v>0.08621</v>
      </c>
      <c r="F464" s="19" t="n">
        <f aca="false">E464*(1+sh_g)</f>
        <v>0.08621</v>
      </c>
      <c r="G464" s="19" t="n">
        <f aca="false">F464*(1+sh_g)</f>
        <v>0.08621</v>
      </c>
      <c r="H464" s="31" t="n">
        <f aca="false">G464*(1+sh_g)</f>
        <v>0.08621</v>
      </c>
      <c r="I464" s="31" t="n">
        <f aca="false">H464*(1+sh_g)</f>
        <v>0.08621</v>
      </c>
      <c r="J464" s="31" t="n">
        <f aca="false">I464*(1+sh_g)</f>
        <v>0.08621</v>
      </c>
      <c r="K464" s="8" t="s">
        <v>543</v>
      </c>
    </row>
    <row r="465" customFormat="false" ht="17.15" hidden="false" customHeight="false" outlineLevel="0" collapsed="false">
      <c r="A465" s="0" t="s">
        <v>446</v>
      </c>
      <c r="B465" s="0" t="s">
        <v>312</v>
      </c>
      <c r="C465" s="20" t="n">
        <f aca="false">C463/C464</f>
        <v>69.18</v>
      </c>
      <c r="D465" s="20" t="n">
        <f aca="false">D463/D464</f>
        <v>134.805224262356</v>
      </c>
      <c r="E465" s="20" t="n">
        <f aca="false">E463/E464</f>
        <v>197.710257864659</v>
      </c>
      <c r="F465" s="20" t="n">
        <f aca="false">F463/F464</f>
        <v>298.560146703417</v>
      </c>
      <c r="G465" s="20" t="n">
        <f aca="false">G463/G464</f>
        <v>328.736454244817</v>
      </c>
      <c r="H465" s="28" t="n">
        <f aca="false">H463/H464</f>
        <v>379.129483414001</v>
      </c>
      <c r="I465" s="28" t="n">
        <f aca="false">I463/I464</f>
        <v>426.927100180611</v>
      </c>
      <c r="J465" s="28" t="n">
        <f aca="false">J463/J464</f>
        <v>469.211870643853</v>
      </c>
    </row>
    <row r="466" customFormat="false" ht="17.15" hidden="false" customHeight="false" outlineLevel="0" collapsed="false">
      <c r="A466" s="0" t="s">
        <v>544</v>
      </c>
      <c r="B466" s="0" t="s">
        <v>44</v>
      </c>
      <c r="D466" s="18" t="n">
        <f aca="false">D465/C465-1</f>
        <v>0.948615557420577</v>
      </c>
      <c r="E466" s="18" t="n">
        <f aca="false">E465/D465-1</f>
        <v>0.46663646714373</v>
      </c>
      <c r="F466" s="18" t="n">
        <f aca="false">F465/E465-1</f>
        <v>0.510089309113101</v>
      </c>
      <c r="G466" s="18" t="n">
        <f aca="false">G465/F465-1</f>
        <v>0.101072791779463</v>
      </c>
      <c r="H466" s="26" t="n">
        <f aca="false">H465/G465-1</f>
        <v>0.153293097003644</v>
      </c>
      <c r="I466" s="26" t="n">
        <f aca="false">I465/H465-1</f>
        <v>0.126072011958024</v>
      </c>
      <c r="J466" s="26" t="n">
        <f aca="false">J465/I465-1</f>
        <v>0.0990444749123534</v>
      </c>
    </row>
    <row r="467" customFormat="false" ht="17.15" hidden="false" customHeight="false" outlineLevel="0" collapsed="false">
      <c r="A467" s="4" t="s">
        <v>545</v>
      </c>
      <c r="B467" s="0" t="s">
        <v>44</v>
      </c>
      <c r="C467" s="17" t="n">
        <f aca="false">C463/C448</f>
        <v>0.181012740089245</v>
      </c>
      <c r="D467" s="17" t="n">
        <f aca="false">D463/D448</f>
        <v>0.166725709480052</v>
      </c>
      <c r="E467" s="17" t="n">
        <f aca="false">E463/E448</f>
        <v>0.132753369123027</v>
      </c>
      <c r="F467" s="17" t="n">
        <f aca="false">F463/F448</f>
        <v>0.119452693103358</v>
      </c>
      <c r="G467" s="17" t="n">
        <f aca="false">G463/G448</f>
        <v>0.1160065825746</v>
      </c>
      <c r="H467" s="27" t="n">
        <f aca="false">$G467+(fade_mA-$G467)*1/3</f>
        <v>0.120619440431931</v>
      </c>
      <c r="I467" s="27" t="n">
        <f aca="false">$G467+(fade_mA-$G467)*2/3</f>
        <v>0.125232298289263</v>
      </c>
      <c r="J467" s="27" t="n">
        <f aca="false">$G467+(fade_mA-$G467)*3/3</f>
        <v>0.129845156146594</v>
      </c>
    </row>
    <row r="470" customFormat="false" ht="17.15" hidden="false" customHeight="false" outlineLevel="0" collapsed="false">
      <c r="A470" s="1" t="s">
        <v>830</v>
      </c>
    </row>
    <row r="471" customFormat="false" ht="17.15" hidden="false" customHeight="false" outlineLevel="0" collapsed="false">
      <c r="A471" s="5" t="s">
        <v>20</v>
      </c>
      <c r="B471" s="5" t="s">
        <v>21</v>
      </c>
      <c r="C471" s="14" t="s">
        <v>407</v>
      </c>
      <c r="D471" s="14" t="s">
        <v>495</v>
      </c>
      <c r="E471" s="14" t="s">
        <v>496</v>
      </c>
      <c r="F471" s="14" t="s">
        <v>497</v>
      </c>
      <c r="G471" s="14" t="s">
        <v>498</v>
      </c>
      <c r="H471" s="14" t="s">
        <v>499</v>
      </c>
      <c r="I471" s="14" t="s">
        <v>500</v>
      </c>
      <c r="J471" s="14" t="s">
        <v>501</v>
      </c>
      <c r="K471" s="5" t="s">
        <v>465</v>
      </c>
    </row>
    <row r="472" customFormat="false" ht="17.15" hidden="false" customHeight="false" outlineLevel="0" collapsed="false">
      <c r="A472" s="6" t="s">
        <v>516</v>
      </c>
    </row>
    <row r="473" customFormat="false" ht="17.15" hidden="false" customHeight="false" outlineLevel="0" collapsed="false">
      <c r="A473" s="0" t="s">
        <v>517</v>
      </c>
      <c r="B473" s="4" t="s">
        <v>31</v>
      </c>
      <c r="D473" s="22" t="n">
        <f aca="false">u_trn_26</f>
        <v>2</v>
      </c>
      <c r="E473" s="22" t="n">
        <f aca="false">u_trn_27</f>
        <v>2.5</v>
      </c>
      <c r="F473" s="22" t="n">
        <f aca="false">u_trn_28*um28_A</f>
        <v>3</v>
      </c>
      <c r="G473" s="22" t="n">
        <f aca="false">u_trn_28*(1+g29_trn)*um29_A</f>
        <v>3.45</v>
      </c>
    </row>
    <row r="474" customFormat="false" ht="17.15" hidden="false" customHeight="false" outlineLevel="0" collapsed="false">
      <c r="A474" s="4" t="s">
        <v>469</v>
      </c>
      <c r="B474" s="0" t="s">
        <v>44</v>
      </c>
      <c r="D474" s="18" t="n">
        <f aca="false">al_trn_26</f>
        <v>0.3</v>
      </c>
      <c r="E474" s="18" t="n">
        <f aca="false">MIN(1,MAX(0,al27_A+0))</f>
        <v>0.55</v>
      </c>
      <c r="F474" s="18" t="n">
        <f aca="false">MIN(1,MAX(0,al28_A+0))</f>
        <v>0.55</v>
      </c>
      <c r="G474" s="18" t="n">
        <f aca="false">MIN(1,MAX(0,al28_A+0))</f>
        <v>0.55</v>
      </c>
    </row>
    <row r="475" customFormat="false" ht="17.15" hidden="false" customHeight="false" outlineLevel="0" collapsed="false">
      <c r="A475" s="4" t="s">
        <v>471</v>
      </c>
      <c r="B475" s="4" t="s">
        <v>31</v>
      </c>
      <c r="D475" s="22" t="n">
        <f aca="false">D473*D474</f>
        <v>0.6</v>
      </c>
      <c r="E475" s="22" t="n">
        <f aca="false">E473*E474*1</f>
        <v>1.375</v>
      </c>
      <c r="F475" s="22" t="n">
        <f aca="false">F473*F474*1</f>
        <v>1.65</v>
      </c>
      <c r="G475" s="22" t="n">
        <f aca="false">G473*G474*1</f>
        <v>1.8975</v>
      </c>
    </row>
    <row r="476" customFormat="false" ht="17.15" hidden="false" customHeight="false" outlineLevel="0" collapsed="false">
      <c r="A476" s="4" t="s">
        <v>518</v>
      </c>
      <c r="B476" s="0" t="s">
        <v>69</v>
      </c>
      <c r="D476" s="30" t="n">
        <f aca="false">gb_trn_26</f>
        <v>110</v>
      </c>
      <c r="E476" s="30" t="n">
        <f aca="false">gb_trn_27</f>
        <v>144</v>
      </c>
      <c r="F476" s="30" t="n">
        <f aca="false">gb_trn_28</f>
        <v>200</v>
      </c>
      <c r="G476" s="30" t="n">
        <f aca="false">gb_trn_28</f>
        <v>200</v>
      </c>
    </row>
    <row r="477" customFormat="false" ht="17.15" hidden="false" customHeight="false" outlineLevel="0" collapsed="false">
      <c r="A477" s="0" t="s">
        <v>519</v>
      </c>
      <c r="B477" s="0" t="s">
        <v>156</v>
      </c>
      <c r="D477" s="20" t="n">
        <f aca="false">hbm_A_26</f>
        <v>14.6</v>
      </c>
      <c r="E477" s="20" t="n">
        <f aca="false">hbm_A_27</f>
        <v>26.28</v>
      </c>
      <c r="F477" s="20" t="n">
        <f aca="false">hbm_A_28</f>
        <v>28.908</v>
      </c>
      <c r="G477" s="20" t="n">
        <f aca="false">hbm_A_29</f>
        <v>27.4626</v>
      </c>
    </row>
    <row r="478" customFormat="false" ht="17.15" hidden="false" customHeight="false" outlineLevel="0" collapsed="false">
      <c r="A478" s="4" t="s">
        <v>520</v>
      </c>
      <c r="B478" s="0" t="s">
        <v>80</v>
      </c>
      <c r="D478" s="20" t="n">
        <f aca="false">core_trn</f>
        <v>6.394</v>
      </c>
      <c r="E478" s="20" t="n">
        <f aca="false">core_trn</f>
        <v>6.394</v>
      </c>
      <c r="F478" s="20" t="n">
        <f aca="false">core_trn*pfc_A</f>
        <v>9.591</v>
      </c>
      <c r="G478" s="20" t="n">
        <f aca="false">core_trn*pfc_A</f>
        <v>9.591</v>
      </c>
    </row>
    <row r="479" customFormat="false" ht="17.15" hidden="false" customHeight="false" outlineLevel="0" collapsed="false">
      <c r="A479" s="4" t="s">
        <v>521</v>
      </c>
      <c r="B479" s="0" t="s">
        <v>80</v>
      </c>
      <c r="D479" s="20" t="n">
        <f aca="false">D476*D477/1000</f>
        <v>1.606</v>
      </c>
      <c r="E479" s="20" t="n">
        <f aca="false">E476*E477/1000</f>
        <v>3.78432</v>
      </c>
      <c r="F479" s="20" t="n">
        <f aca="false">F476*F477/1000</f>
        <v>5.7816</v>
      </c>
      <c r="G479" s="20" t="n">
        <f aca="false">G476*G477/1000</f>
        <v>5.49252</v>
      </c>
    </row>
    <row r="480" customFormat="false" ht="17.15" hidden="false" customHeight="false" outlineLevel="0" collapsed="false">
      <c r="A480" s="4" t="s">
        <v>522</v>
      </c>
      <c r="B480" s="0" t="s">
        <v>80</v>
      </c>
      <c r="D480" s="20" t="n">
        <f aca="false">D478+f_al*D479</f>
        <v>6.394</v>
      </c>
      <c r="E480" s="20" t="n">
        <f aca="false">E478+f_al*E479</f>
        <v>6.394</v>
      </c>
      <c r="F480" s="20" t="n">
        <f aca="false">F478+f_al*F479</f>
        <v>9.591</v>
      </c>
      <c r="G480" s="20" t="n">
        <f aca="false">G478+f_al*G479</f>
        <v>9.591</v>
      </c>
      <c r="K480" s="4" t="s">
        <v>523</v>
      </c>
    </row>
    <row r="481" customFormat="false" ht="17.15" hidden="false" customHeight="false" outlineLevel="0" collapsed="false">
      <c r="A481" s="0" t="s">
        <v>524</v>
      </c>
      <c r="B481" s="0" t="s">
        <v>213</v>
      </c>
      <c r="D481" s="20" t="n">
        <f aca="false">D475*D480</f>
        <v>3.8364</v>
      </c>
      <c r="E481" s="20" t="n">
        <f aca="false">E475*E480</f>
        <v>8.79175</v>
      </c>
      <c r="F481" s="20" t="n">
        <f aca="false">F475*F480</f>
        <v>15.82515</v>
      </c>
      <c r="G481" s="20" t="n">
        <f aca="false">G475*G480</f>
        <v>18.1989225</v>
      </c>
    </row>
    <row r="482" customFormat="false" ht="17.15" hidden="false" customHeight="false" outlineLevel="0" collapsed="false">
      <c r="A482" s="4" t="s">
        <v>525</v>
      </c>
      <c r="B482" s="0" t="s">
        <v>49</v>
      </c>
      <c r="D482" s="22" t="n">
        <f aca="false">dc26/D481</f>
        <v>0.390991554582421</v>
      </c>
      <c r="K482" s="8" t="s">
        <v>526</v>
      </c>
    </row>
    <row r="483" customFormat="false" ht="17.15" hidden="false" customHeight="false" outlineLevel="0" collapsed="false">
      <c r="A483" s="0" t="s">
        <v>527</v>
      </c>
      <c r="B483" s="0" t="s">
        <v>213</v>
      </c>
      <c r="D483" s="20" t="n">
        <f aca="false">D481*$D$482</f>
        <v>1.5</v>
      </c>
      <c r="E483" s="20" t="n">
        <f aca="false">E481*$D$482</f>
        <v>3.4375</v>
      </c>
      <c r="F483" s="20" t="n">
        <f aca="false">F481*$D$482</f>
        <v>6.1875</v>
      </c>
      <c r="G483" s="20" t="n">
        <f aca="false">G481*$D$482</f>
        <v>7.115625</v>
      </c>
    </row>
    <row r="484" customFormat="false" ht="15" hidden="false" customHeight="false" outlineLevel="0" collapsed="false">
      <c r="A484" s="4" t="s">
        <v>528</v>
      </c>
      <c r="B484" s="0" t="s">
        <v>224</v>
      </c>
      <c r="D484" s="20" t="n">
        <f aca="false">fx26</f>
        <v>31.6</v>
      </c>
      <c r="E484" s="20" t="n">
        <f aca="false">fx</f>
        <v>32</v>
      </c>
      <c r="F484" s="20" t="n">
        <f aca="false">fx</f>
        <v>32</v>
      </c>
      <c r="G484" s="20" t="n">
        <f aca="false">fx</f>
        <v>32</v>
      </c>
    </row>
    <row r="485" customFormat="false" ht="17.15" hidden="false" customHeight="false" outlineLevel="0" collapsed="false">
      <c r="A485" s="0" t="s">
        <v>529</v>
      </c>
      <c r="B485" s="0" t="s">
        <v>219</v>
      </c>
      <c r="C485" s="20" t="n">
        <f aca="false">a25_trn</f>
        <v>0</v>
      </c>
      <c r="D485" s="20" t="n">
        <f aca="false">D483*D484</f>
        <v>47.4</v>
      </c>
      <c r="E485" s="20" t="n">
        <f aca="false">E483*E484</f>
        <v>110</v>
      </c>
      <c r="F485" s="20" t="n">
        <f aca="false">F483*F484</f>
        <v>198</v>
      </c>
      <c r="G485" s="20" t="n">
        <f aca="false">G483*G484</f>
        <v>227.7</v>
      </c>
    </row>
    <row r="486" customFormat="false" ht="17.15" hidden="false" customHeight="false" outlineLevel="0" collapsed="false">
      <c r="A486" s="4" t="s">
        <v>530</v>
      </c>
      <c r="B486" s="0" t="s">
        <v>219</v>
      </c>
      <c r="D486" s="20" t="n">
        <f aca="false">$D$482*f_al*D475*D479*D484</f>
        <v>0</v>
      </c>
      <c r="E486" s="20" t="n">
        <f aca="false">$D$482*f_al*E475*E479*E484</f>
        <v>0</v>
      </c>
      <c r="F486" s="20" t="n">
        <f aca="false">$D$482*f_al*F475*F479*F484</f>
        <v>0</v>
      </c>
      <c r="G486" s="20" t="n">
        <f aca="false">$D$482*f_al*G475*G479*G484</f>
        <v>0</v>
      </c>
    </row>
    <row r="487" customFormat="false" ht="15" hidden="false" customHeight="false" outlineLevel="0" collapsed="false">
      <c r="A487" s="4" t="s">
        <v>531</v>
      </c>
      <c r="B487" s="0" t="s">
        <v>219</v>
      </c>
      <c r="D487" s="20" t="n">
        <f aca="false">D485-D486</f>
        <v>47.4</v>
      </c>
      <c r="E487" s="20" t="n">
        <f aca="false">E485-E486</f>
        <v>110</v>
      </c>
      <c r="F487" s="20" t="n">
        <f aca="false">F485-F486</f>
        <v>198</v>
      </c>
      <c r="G487" s="20" t="n">
        <f aca="false">G485-G486</f>
        <v>227.7</v>
      </c>
    </row>
    <row r="488" customFormat="false" ht="15" hidden="false" customHeight="false" outlineLevel="0" collapsed="false">
      <c r="A488" s="4" t="s">
        <v>475</v>
      </c>
      <c r="B488" s="0" t="s">
        <v>80</v>
      </c>
      <c r="D488" s="20" t="n">
        <f aca="false">IF(D475&gt;0,D483/D475,0)</f>
        <v>2.5</v>
      </c>
      <c r="E488" s="20" t="n">
        <f aca="false">IF(E475&gt;0,E483/E475,0)</f>
        <v>2.5</v>
      </c>
      <c r="F488" s="20" t="n">
        <f aca="false">IF(F475&gt;0,F483/F475,0)</f>
        <v>3.75</v>
      </c>
      <c r="G488" s="20" t="n">
        <f aca="false">IF(G475&gt;0,G483/G475,0)</f>
        <v>3.75</v>
      </c>
    </row>
    <row r="489" customFormat="false" ht="17.15" hidden="false" customHeight="false" outlineLevel="0" collapsed="false">
      <c r="A489" s="6" t="s">
        <v>532</v>
      </c>
    </row>
    <row r="490" customFormat="false" ht="17.15" hidden="false" customHeight="false" outlineLevel="0" collapsed="false">
      <c r="A490" s="4" t="s">
        <v>533</v>
      </c>
      <c r="B490" s="0" t="s">
        <v>219</v>
      </c>
      <c r="C490" s="20" t="n">
        <f aca="false">a25_oth</f>
        <v>30.926</v>
      </c>
      <c r="D490" s="20" t="n">
        <f aca="false">a26_oth</f>
        <v>20.43665</v>
      </c>
      <c r="E490" s="20" t="n">
        <f aca="false">D490*(1+g_o27_A)</f>
        <v>23.5021475</v>
      </c>
      <c r="F490" s="20" t="n">
        <f aca="false">E490*(1+g_oL_A)</f>
        <v>26.3224052</v>
      </c>
      <c r="G490" s="20" t="n">
        <f aca="false">F490*(1+g_oL_A)</f>
        <v>29.481093824</v>
      </c>
    </row>
    <row r="491" customFormat="false" ht="17.15" hidden="false" customHeight="false" outlineLevel="0" collapsed="false">
      <c r="A491" s="4" t="s">
        <v>413</v>
      </c>
      <c r="B491" s="0" t="s">
        <v>219</v>
      </c>
      <c r="C491" s="20" t="n">
        <f aca="false">C490+C485</f>
        <v>30.926</v>
      </c>
      <c r="D491" s="20" t="n">
        <f aca="false">D490+D485</f>
        <v>67.83665</v>
      </c>
      <c r="E491" s="20" t="n">
        <f aca="false">E490+E485</f>
        <v>133.5021475</v>
      </c>
      <c r="F491" s="20" t="n">
        <f aca="false">F490+F485</f>
        <v>224.3224052</v>
      </c>
      <c r="G491" s="20" t="n">
        <f aca="false">G490+G485</f>
        <v>257.181093824</v>
      </c>
      <c r="H491" s="28" t="n">
        <f aca="false">G491*(1+H492)</f>
        <v>287.439262995056</v>
      </c>
      <c r="I491" s="28" t="n">
        <f aca="false">H491*(1+I492)</f>
        <v>312.971510126327</v>
      </c>
      <c r="J491" s="28" t="n">
        <f aca="false">I491*(1+J492)</f>
        <v>331.749800733906</v>
      </c>
      <c r="K491" s="8" t="s">
        <v>534</v>
      </c>
    </row>
    <row r="492" customFormat="false" ht="15" hidden="false" customHeight="false" outlineLevel="0" collapsed="false">
      <c r="A492" s="4" t="s">
        <v>535</v>
      </c>
      <c r="B492" s="0" t="s">
        <v>44</v>
      </c>
      <c r="D492" s="18" t="n">
        <f aca="false">D491/C491-1</f>
        <v>1.19351516523314</v>
      </c>
      <c r="E492" s="18" t="n">
        <f aca="false">E491/D491-1</f>
        <v>0.967994402730677</v>
      </c>
      <c r="F492" s="18" t="n">
        <f aca="false">F491/E491-1</f>
        <v>0.68029061255363</v>
      </c>
      <c r="G492" s="18" t="n">
        <f aca="false">G491/F491-1</f>
        <v>0.146479744610014</v>
      </c>
      <c r="H492" s="26" t="n">
        <f aca="false">$G492+(fade_gA-$G492)*1/3</f>
        <v>0.117653163073342</v>
      </c>
      <c r="I492" s="26" t="n">
        <f aca="false">$G492+(fade_gA-$G492)*2/3</f>
        <v>0.0888265815366712</v>
      </c>
      <c r="J492" s="26" t="n">
        <f aca="false">$G492+(fade_gA-$G492)*3/3</f>
        <v>0.06</v>
      </c>
    </row>
    <row r="493" customFormat="false" ht="17.15" hidden="false" customHeight="false" outlineLevel="0" collapsed="false">
      <c r="A493" s="0" t="s">
        <v>536</v>
      </c>
      <c r="B493" s="0" t="s">
        <v>44</v>
      </c>
      <c r="C493" s="18" t="n">
        <f aca="false">C485/C491</f>
        <v>0</v>
      </c>
      <c r="D493" s="18" t="n">
        <f aca="false">D485/D491</f>
        <v>0.698737334464482</v>
      </c>
      <c r="E493" s="18" t="n">
        <f aca="false">E485/E491</f>
        <v>0.823956783167102</v>
      </c>
      <c r="F493" s="18" t="n">
        <f aca="false">F485/F491</f>
        <v>0.882658153667122</v>
      </c>
      <c r="G493" s="18" t="n">
        <f aca="false">G485/G491</f>
        <v>0.885368347316482</v>
      </c>
    </row>
    <row r="494" customFormat="false" ht="17.15" hidden="false" customHeight="false" outlineLevel="0" collapsed="false">
      <c r="A494" s="4" t="s">
        <v>537</v>
      </c>
      <c r="B494" s="0" t="s">
        <v>44</v>
      </c>
      <c r="C494" s="18" t="n">
        <f aca="false">C490/C491</f>
        <v>1</v>
      </c>
      <c r="D494" s="18" t="n">
        <f aca="false">D490/D491</f>
        <v>0.301262665535518</v>
      </c>
      <c r="E494" s="18" t="n">
        <f aca="false">E490/E491</f>
        <v>0.176043216832898</v>
      </c>
      <c r="F494" s="18" t="n">
        <f aca="false">F490/F491</f>
        <v>0.117341846332878</v>
      </c>
      <c r="G494" s="18" t="n">
        <f aca="false">G490/G491</f>
        <v>0.114631652683518</v>
      </c>
    </row>
    <row r="495" customFormat="false" ht="17.15" hidden="false" customHeight="false" outlineLevel="0" collapsed="false">
      <c r="A495" s="6" t="s">
        <v>538</v>
      </c>
    </row>
    <row r="496" customFormat="false" ht="17.15" hidden="false" customHeight="false" outlineLevel="0" collapsed="false">
      <c r="A496" s="0" t="s">
        <v>539</v>
      </c>
      <c r="B496" s="0" t="s">
        <v>219</v>
      </c>
      <c r="D496" s="20" t="n">
        <f aca="false">m_trn*D487+m_hbm*D486</f>
        <v>6.162</v>
      </c>
      <c r="E496" s="20" t="n">
        <f aca="false">(m_trn+gta_A)*E487+m_hbm*E486</f>
        <v>15.4</v>
      </c>
      <c r="F496" s="20" t="n">
        <f aca="false">(m_trn+gta_A)*F487+m_hbm*F486</f>
        <v>27.72</v>
      </c>
      <c r="G496" s="20" t="n">
        <f aca="false">(m_trn+gta_A)*G487+m_hbm*G486</f>
        <v>31.878</v>
      </c>
    </row>
    <row r="497" customFormat="false" ht="17.15" hidden="false" customHeight="false" outlineLevel="0" collapsed="false">
      <c r="A497" s="4" t="s">
        <v>540</v>
      </c>
      <c r="B497" s="0" t="s">
        <v>44</v>
      </c>
      <c r="C497" s="17" t="n">
        <f aca="false">a25_gp/C490</f>
        <v>0.263661643924206</v>
      </c>
      <c r="D497" s="17" t="n">
        <f aca="false">(a26_gp-D496)/D490</f>
        <v>0.499403865114879</v>
      </c>
      <c r="E497" s="17" t="n">
        <f aca="false">$D497+gmadj_lo</f>
        <v>0.469403865114879</v>
      </c>
      <c r="F497" s="17" t="n">
        <f aca="false">$D497+gmadj_lo</f>
        <v>0.469403865114879</v>
      </c>
      <c r="G497" s="17" t="n">
        <f aca="false">$D497+gmadj_lo</f>
        <v>0.469403865114879</v>
      </c>
      <c r="K497" s="8" t="s">
        <v>541</v>
      </c>
    </row>
    <row r="498" customFormat="false" ht="15" hidden="false" customHeight="false" outlineLevel="0" collapsed="false">
      <c r="A498" s="4" t="s">
        <v>422</v>
      </c>
      <c r="B498" s="0" t="s">
        <v>219</v>
      </c>
      <c r="C498" s="20" t="n">
        <f aca="false">a25_gp</f>
        <v>8.154</v>
      </c>
      <c r="D498" s="20" t="n">
        <f aca="false">a26_gp</f>
        <v>16.368142</v>
      </c>
      <c r="E498" s="20" t="n">
        <f aca="false">E497*E490+E496</f>
        <v>26.431998875</v>
      </c>
      <c r="F498" s="20" t="n">
        <f aca="false">F497*F490+F496</f>
        <v>40.07583874</v>
      </c>
      <c r="G498" s="20" t="n">
        <f aca="false">G497*G490+G496</f>
        <v>45.7165393888</v>
      </c>
    </row>
    <row r="499" customFormat="false" ht="15" hidden="false" customHeight="false" outlineLevel="0" collapsed="false">
      <c r="A499" s="4" t="s">
        <v>425</v>
      </c>
      <c r="B499" s="0" t="s">
        <v>44</v>
      </c>
      <c r="C499" s="17" t="n">
        <f aca="false">C498/C491</f>
        <v>0.263661643924206</v>
      </c>
      <c r="D499" s="17" t="n">
        <f aca="false">D498/D491</f>
        <v>0.241287593063632</v>
      </c>
      <c r="E499" s="17" t="n">
        <f aca="false">E498/E491</f>
        <v>0.197989316052013</v>
      </c>
      <c r="F499" s="17" t="n">
        <f aca="false">F498/F491</f>
        <v>0.178652857721766</v>
      </c>
      <c r="G499" s="17" t="n">
        <f aca="false">G498/G491</f>
        <v>0.177760109458457</v>
      </c>
    </row>
    <row r="500" customFormat="false" ht="15" hidden="false" customHeight="false" outlineLevel="0" collapsed="false">
      <c r="A500" s="4" t="s">
        <v>429</v>
      </c>
      <c r="B500" s="0" t="s">
        <v>219</v>
      </c>
      <c r="C500" s="20" t="n">
        <f aca="false">a25_opx</f>
        <v>3.138</v>
      </c>
      <c r="D500" s="20" t="n">
        <f aca="false">a26_opx</f>
        <v>3.849</v>
      </c>
      <c r="E500" s="20" t="n">
        <f aca="false">D500*(1+MAX(g_opx_min,phi*E492))+0*E491</f>
        <v>4.96674313683311</v>
      </c>
      <c r="F500" s="20" t="n">
        <f aca="false">E500*(1+MAX(g_opx_min,phi*F492))+0*F491</f>
        <v>5.98039175611893</v>
      </c>
      <c r="G500" s="20" t="n">
        <f aca="false">F500*(1+MAX(g_opx_min,phi*G492))+0*G491</f>
        <v>6.45882309660845</v>
      </c>
    </row>
    <row r="501" customFormat="false" ht="15" hidden="false" customHeight="false" outlineLevel="0" collapsed="false">
      <c r="A501" s="4" t="s">
        <v>432</v>
      </c>
      <c r="B501" s="0" t="s">
        <v>219</v>
      </c>
      <c r="C501" s="20" t="n">
        <f aca="false">C498-C500</f>
        <v>5.016</v>
      </c>
      <c r="D501" s="20" t="n">
        <f aca="false">D498-D500</f>
        <v>12.519142</v>
      </c>
      <c r="E501" s="20" t="n">
        <f aca="false">E498-E500</f>
        <v>21.4652557381669</v>
      </c>
      <c r="F501" s="20" t="n">
        <f aca="false">F498-F500</f>
        <v>34.0954469838811</v>
      </c>
      <c r="G501" s="20" t="n">
        <f aca="false">G498-G500</f>
        <v>39.2577162921916</v>
      </c>
    </row>
    <row r="502" customFormat="false" ht="15" hidden="false" customHeight="false" outlineLevel="0" collapsed="false">
      <c r="A502" s="4" t="s">
        <v>505</v>
      </c>
      <c r="B502" s="0" t="s">
        <v>44</v>
      </c>
      <c r="C502" s="17" t="n">
        <f aca="false">C501/C491</f>
        <v>0.162193623488327</v>
      </c>
      <c r="D502" s="17" t="n">
        <f aca="false">D501/D491</f>
        <v>0.184548352549838</v>
      </c>
      <c r="E502" s="17" t="n">
        <f aca="false">E501/E491</f>
        <v>0.160785846071629</v>
      </c>
      <c r="F502" s="17" t="n">
        <f aca="false">F501/F491</f>
        <v>0.151993051935594</v>
      </c>
      <c r="G502" s="17" t="n">
        <f aca="false">G501/G491</f>
        <v>0.152646198476227</v>
      </c>
    </row>
    <row r="503" customFormat="false" ht="15" hidden="false" customHeight="false" outlineLevel="0" collapsed="false">
      <c r="A503" s="4" t="s">
        <v>435</v>
      </c>
      <c r="B503" s="0" t="s">
        <v>219</v>
      </c>
      <c r="C503" s="20" t="n">
        <f aca="false">a25_nonop</f>
        <v>1.7042198</v>
      </c>
      <c r="D503" s="20" t="n">
        <f aca="false">a26_nonop</f>
        <v>1.605</v>
      </c>
      <c r="E503" s="20" t="n">
        <f aca="false">nonop_f</f>
        <v>1.6</v>
      </c>
      <c r="F503" s="20" t="n">
        <f aca="false">nonop_f</f>
        <v>1.6</v>
      </c>
      <c r="G503" s="20" t="n">
        <f aca="false">nonop_f</f>
        <v>1.6</v>
      </c>
    </row>
    <row r="504" customFormat="false" ht="15" hidden="false" customHeight="false" outlineLevel="0" collapsed="false">
      <c r="A504" s="4" t="s">
        <v>437</v>
      </c>
      <c r="B504" s="0" t="s">
        <v>219</v>
      </c>
      <c r="C504" s="20" t="n">
        <f aca="false">C501+C503</f>
        <v>6.7202198</v>
      </c>
      <c r="D504" s="20" t="n">
        <f aca="false">D501+D503</f>
        <v>14.124142</v>
      </c>
      <c r="E504" s="20" t="n">
        <f aca="false">E501+E503</f>
        <v>23.0652557381669</v>
      </c>
      <c r="F504" s="20" t="n">
        <f aca="false">F501+F503</f>
        <v>35.6954469838811</v>
      </c>
      <c r="G504" s="20" t="n">
        <f aca="false">G501+G503</f>
        <v>40.8577162921916</v>
      </c>
    </row>
    <row r="505" customFormat="false" ht="15" hidden="false" customHeight="false" outlineLevel="0" collapsed="false">
      <c r="A505" s="4" t="s">
        <v>439</v>
      </c>
      <c r="B505" s="0" t="s">
        <v>219</v>
      </c>
      <c r="C505" s="20" t="n">
        <f aca="false">a25_tax</f>
        <v>1.1222198</v>
      </c>
      <c r="D505" s="20" t="n">
        <f aca="false">a26_tax</f>
        <v>2.8140284</v>
      </c>
      <c r="E505" s="20" t="n">
        <f aca="false">E504*tax</f>
        <v>4.61305114763338</v>
      </c>
      <c r="F505" s="20" t="n">
        <f aca="false">F504*tax</f>
        <v>7.13908939677621</v>
      </c>
      <c r="G505" s="20" t="n">
        <f aca="false">G504*tax</f>
        <v>8.17154325843831</v>
      </c>
    </row>
    <row r="506" customFormat="false" ht="15" hidden="false" customHeight="false" outlineLevel="0" collapsed="false">
      <c r="A506" s="4" t="s">
        <v>442</v>
      </c>
      <c r="B506" s="0" t="s">
        <v>219</v>
      </c>
      <c r="C506" s="20" t="n">
        <f aca="false">C504-C505</f>
        <v>5.598</v>
      </c>
      <c r="D506" s="20" t="n">
        <f aca="false">D504-D505</f>
        <v>11.3101136</v>
      </c>
      <c r="E506" s="20" t="n">
        <f aca="false">E504-E505</f>
        <v>18.4522045905335</v>
      </c>
      <c r="F506" s="20" t="n">
        <f aca="false">F504-F505</f>
        <v>28.5563575871049</v>
      </c>
      <c r="G506" s="20" t="n">
        <f aca="false">G504-G505</f>
        <v>32.6861730337532</v>
      </c>
      <c r="H506" s="28" t="n">
        <f aca="false">H491*H510</f>
        <v>36.7954017820429</v>
      </c>
      <c r="I506" s="28" t="n">
        <f aca="false">I491*I510</f>
        <v>40.3508230701993</v>
      </c>
      <c r="J506" s="28" t="n">
        <f aca="false">J491*J510</f>
        <v>43.0761046778957</v>
      </c>
    </row>
    <row r="507" customFormat="false" ht="17.15" hidden="false" customHeight="false" outlineLevel="0" collapsed="false">
      <c r="A507" s="4" t="s">
        <v>542</v>
      </c>
      <c r="B507" s="4" t="s">
        <v>272</v>
      </c>
      <c r="C507" s="19" t="n">
        <f aca="false">a25_sh</f>
        <v>0.0809193408499566</v>
      </c>
      <c r="D507" s="19" t="n">
        <f aca="false">a26_sh</f>
        <v>0.0838996682946683</v>
      </c>
      <c r="E507" s="19" t="n">
        <f aca="false">q_sh*(1+sh_g)</f>
        <v>0.08621</v>
      </c>
      <c r="F507" s="19" t="n">
        <f aca="false">E507*(1+sh_g)</f>
        <v>0.08621</v>
      </c>
      <c r="G507" s="19" t="n">
        <f aca="false">F507*(1+sh_g)</f>
        <v>0.08621</v>
      </c>
      <c r="H507" s="31" t="n">
        <f aca="false">G507*(1+sh_g)</f>
        <v>0.08621</v>
      </c>
      <c r="I507" s="31" t="n">
        <f aca="false">H507*(1+sh_g)</f>
        <v>0.08621</v>
      </c>
      <c r="J507" s="31" t="n">
        <f aca="false">I507*(1+sh_g)</f>
        <v>0.08621</v>
      </c>
      <c r="K507" s="8" t="s">
        <v>543</v>
      </c>
    </row>
    <row r="508" customFormat="false" ht="17.15" hidden="false" customHeight="false" outlineLevel="0" collapsed="false">
      <c r="A508" s="0" t="s">
        <v>446</v>
      </c>
      <c r="B508" s="0" t="s">
        <v>312</v>
      </c>
      <c r="C508" s="20" t="n">
        <f aca="false">C506/C507</f>
        <v>69.18</v>
      </c>
      <c r="D508" s="20" t="n">
        <f aca="false">D506/D507</f>
        <v>134.805224262356</v>
      </c>
      <c r="E508" s="20" t="n">
        <f aca="false">E506/E507</f>
        <v>214.037867886945</v>
      </c>
      <c r="F508" s="20" t="n">
        <f aca="false">F506/F507</f>
        <v>331.241823304777</v>
      </c>
      <c r="G508" s="20" t="n">
        <f aca="false">G506/G507</f>
        <v>379.145957937052</v>
      </c>
      <c r="H508" s="28" t="n">
        <f aca="false">H506/H507</f>
        <v>426.811295465061</v>
      </c>
      <c r="I508" s="28" t="n">
        <f aca="false">I506/I507</f>
        <v>468.052697717194</v>
      </c>
      <c r="J508" s="28" t="n">
        <f aca="false">J506/J507</f>
        <v>499.664826329842</v>
      </c>
    </row>
    <row r="509" customFormat="false" ht="17.15" hidden="false" customHeight="false" outlineLevel="0" collapsed="false">
      <c r="A509" s="0" t="s">
        <v>544</v>
      </c>
      <c r="B509" s="0" t="s">
        <v>44</v>
      </c>
      <c r="D509" s="18" t="n">
        <f aca="false">D508/C508-1</f>
        <v>0.948615557420577</v>
      </c>
      <c r="E509" s="18" t="n">
        <f aca="false">E508/D508-1</f>
        <v>0.587756476487796</v>
      </c>
      <c r="F509" s="18" t="n">
        <f aca="false">F508/E508-1</f>
        <v>0.547585137970726</v>
      </c>
      <c r="G509" s="18" t="n">
        <f aca="false">G508/F508-1</f>
        <v>0.144619825341916</v>
      </c>
      <c r="H509" s="26" t="n">
        <f aca="false">H508/G508-1</f>
        <v>0.125717646542663</v>
      </c>
      <c r="I509" s="26" t="n">
        <f aca="false">I508/H508-1</f>
        <v>0.096626782585955</v>
      </c>
      <c r="J509" s="26" t="n">
        <f aca="false">J508/I508-1</f>
        <v>0.067539678260222</v>
      </c>
    </row>
    <row r="510" customFormat="false" ht="17.15" hidden="false" customHeight="false" outlineLevel="0" collapsed="false">
      <c r="A510" s="4" t="s">
        <v>545</v>
      </c>
      <c r="B510" s="0" t="s">
        <v>44</v>
      </c>
      <c r="C510" s="17" t="n">
        <f aca="false">C506/C491</f>
        <v>0.181012740089245</v>
      </c>
      <c r="D510" s="17" t="n">
        <f aca="false">D506/D491</f>
        <v>0.166725709480052</v>
      </c>
      <c r="E510" s="17" t="n">
        <f aca="false">E506/E491</f>
        <v>0.138216537606884</v>
      </c>
      <c r="F510" s="17" t="n">
        <f aca="false">F506/F491</f>
        <v>0.127300514461071</v>
      </c>
      <c r="G510" s="17" t="n">
        <f aca="false">G506/G491</f>
        <v>0.12709399648219</v>
      </c>
      <c r="H510" s="27" t="n">
        <f aca="false">$G510+(fade_mA-$G510)*1/3</f>
        <v>0.128011049703658</v>
      </c>
      <c r="I510" s="27" t="n">
        <f aca="false">$G510+(fade_mA-$G510)*2/3</f>
        <v>0.128928102925126</v>
      </c>
      <c r="J510" s="27" t="n">
        <f aca="false">$G510+(fade_mA-$G510)*3/3</f>
        <v>0.129845156146594</v>
      </c>
    </row>
    <row r="513" customFormat="false" ht="17.15" hidden="false" customHeight="false" outlineLevel="0" collapsed="false">
      <c r="A513" s="1" t="s">
        <v>831</v>
      </c>
    </row>
    <row r="514" customFormat="false" ht="17.15" hidden="false" customHeight="false" outlineLevel="0" collapsed="false">
      <c r="A514" s="5" t="s">
        <v>20</v>
      </c>
      <c r="B514" s="5" t="s">
        <v>21</v>
      </c>
      <c r="C514" s="14" t="s">
        <v>407</v>
      </c>
      <c r="D514" s="14" t="s">
        <v>495</v>
      </c>
      <c r="E514" s="14" t="s">
        <v>496</v>
      </c>
      <c r="F514" s="14" t="s">
        <v>497</v>
      </c>
      <c r="G514" s="14" t="s">
        <v>498</v>
      </c>
      <c r="H514" s="14" t="s">
        <v>499</v>
      </c>
      <c r="I514" s="14" t="s">
        <v>500</v>
      </c>
      <c r="J514" s="14" t="s">
        <v>501</v>
      </c>
      <c r="K514" s="5" t="s">
        <v>465</v>
      </c>
    </row>
    <row r="515" customFormat="false" ht="17.15" hidden="false" customHeight="false" outlineLevel="0" collapsed="false">
      <c r="A515" s="6" t="s">
        <v>516</v>
      </c>
    </row>
    <row r="516" customFormat="false" ht="17.15" hidden="false" customHeight="false" outlineLevel="0" collapsed="false">
      <c r="A516" s="0" t="s">
        <v>517</v>
      </c>
      <c r="B516" s="4" t="s">
        <v>31</v>
      </c>
      <c r="D516" s="22" t="n">
        <f aca="false">u_trn_26</f>
        <v>2</v>
      </c>
      <c r="E516" s="22" t="n">
        <f aca="false">u_trn_27</f>
        <v>2.5</v>
      </c>
      <c r="F516" s="22" t="n">
        <f aca="false">u_trn_28*um28_A</f>
        <v>3</v>
      </c>
      <c r="G516" s="22" t="n">
        <f aca="false">u_trn_28*(1+g29_trn)*um29_A</f>
        <v>3.45</v>
      </c>
    </row>
    <row r="517" customFormat="false" ht="17.15" hidden="false" customHeight="false" outlineLevel="0" collapsed="false">
      <c r="A517" s="4" t="s">
        <v>469</v>
      </c>
      <c r="B517" s="0" t="s">
        <v>44</v>
      </c>
      <c r="D517" s="18" t="n">
        <f aca="false">al_trn_26</f>
        <v>0.3</v>
      </c>
      <c r="E517" s="18" t="n">
        <f aca="false">MIN(1,MAX(0,al27_A+0))</f>
        <v>0.55</v>
      </c>
      <c r="F517" s="18" t="n">
        <f aca="false">MIN(1,MAX(0,al28_A+0))</f>
        <v>0.55</v>
      </c>
      <c r="G517" s="18" t="n">
        <f aca="false">MIN(1,MAX(0,al28_A+0))</f>
        <v>0.55</v>
      </c>
    </row>
    <row r="518" customFormat="false" ht="17.15" hidden="false" customHeight="false" outlineLevel="0" collapsed="false">
      <c r="A518" s="4" t="s">
        <v>471</v>
      </c>
      <c r="B518" s="4" t="s">
        <v>31</v>
      </c>
      <c r="D518" s="22" t="n">
        <f aca="false">D516*D517</f>
        <v>0.6</v>
      </c>
      <c r="E518" s="22" t="n">
        <f aca="false">E516*E517*1</f>
        <v>1.375</v>
      </c>
      <c r="F518" s="22" t="n">
        <f aca="false">F516*F517*1</f>
        <v>1.65</v>
      </c>
      <c r="G518" s="22" t="n">
        <f aca="false">G516*G517*1</f>
        <v>1.8975</v>
      </c>
    </row>
    <row r="519" customFormat="false" ht="17.15" hidden="false" customHeight="false" outlineLevel="0" collapsed="false">
      <c r="A519" s="4" t="s">
        <v>518</v>
      </c>
      <c r="B519" s="0" t="s">
        <v>69</v>
      </c>
      <c r="D519" s="30" t="n">
        <f aca="false">gb_trn_26</f>
        <v>110</v>
      </c>
      <c r="E519" s="30" t="n">
        <f aca="false">gb_trn_27</f>
        <v>144</v>
      </c>
      <c r="F519" s="30" t="n">
        <f aca="false">gb_trn_28</f>
        <v>200</v>
      </c>
      <c r="G519" s="30" t="n">
        <f aca="false">gb_trn_28</f>
        <v>200</v>
      </c>
    </row>
    <row r="520" customFormat="false" ht="17.15" hidden="false" customHeight="false" outlineLevel="0" collapsed="false">
      <c r="A520" s="0" t="s">
        <v>519</v>
      </c>
      <c r="B520" s="0" t="s">
        <v>156</v>
      </c>
      <c r="D520" s="20" t="n">
        <f aca="false">hbm_A_26</f>
        <v>14.6</v>
      </c>
      <c r="E520" s="20" t="n">
        <f aca="false">hbm_A_27</f>
        <v>26.28</v>
      </c>
      <c r="F520" s="20" t="n">
        <f aca="false">hbm_A_28</f>
        <v>28.908</v>
      </c>
      <c r="G520" s="20" t="n">
        <f aca="false">hbm_A_29</f>
        <v>27.4626</v>
      </c>
    </row>
    <row r="521" customFormat="false" ht="17.15" hidden="false" customHeight="false" outlineLevel="0" collapsed="false">
      <c r="A521" s="4" t="s">
        <v>520</v>
      </c>
      <c r="B521" s="0" t="s">
        <v>80</v>
      </c>
      <c r="D521" s="20" t="n">
        <f aca="false">core_trn</f>
        <v>6.394</v>
      </c>
      <c r="E521" s="20" t="n">
        <f aca="false">core_trn</f>
        <v>6.394</v>
      </c>
      <c r="F521" s="20" t="n">
        <f aca="false">core_trn*pfc_A</f>
        <v>9.591</v>
      </c>
      <c r="G521" s="20" t="n">
        <f aca="false">core_trn*pfc_A</f>
        <v>9.591</v>
      </c>
    </row>
    <row r="522" customFormat="false" ht="17.15" hidden="false" customHeight="false" outlineLevel="0" collapsed="false">
      <c r="A522" s="4" t="s">
        <v>521</v>
      </c>
      <c r="B522" s="0" t="s">
        <v>80</v>
      </c>
      <c r="D522" s="20" t="n">
        <f aca="false">D519*D520/1000</f>
        <v>1.606</v>
      </c>
      <c r="E522" s="20" t="n">
        <f aca="false">E519*E520/1000</f>
        <v>3.78432</v>
      </c>
      <c r="F522" s="20" t="n">
        <f aca="false">F519*F520/1000</f>
        <v>5.7816</v>
      </c>
      <c r="G522" s="20" t="n">
        <f aca="false">G519*G520/1000</f>
        <v>5.49252</v>
      </c>
    </row>
    <row r="523" customFormat="false" ht="17.15" hidden="false" customHeight="false" outlineLevel="0" collapsed="false">
      <c r="A523" s="4" t="s">
        <v>522</v>
      </c>
      <c r="B523" s="0" t="s">
        <v>80</v>
      </c>
      <c r="D523" s="20" t="n">
        <f aca="false">D521+f_al*D522</f>
        <v>6.394</v>
      </c>
      <c r="E523" s="20" t="n">
        <f aca="false">E521+f_al*E522</f>
        <v>6.394</v>
      </c>
      <c r="F523" s="20" t="n">
        <f aca="false">F521+f_al*F522</f>
        <v>9.591</v>
      </c>
      <c r="G523" s="20" t="n">
        <f aca="false">G521+f_al*G522</f>
        <v>9.591</v>
      </c>
      <c r="K523" s="4" t="s">
        <v>523</v>
      </c>
    </row>
    <row r="524" customFormat="false" ht="17.15" hidden="false" customHeight="false" outlineLevel="0" collapsed="false">
      <c r="A524" s="0" t="s">
        <v>524</v>
      </c>
      <c r="B524" s="0" t="s">
        <v>213</v>
      </c>
      <c r="D524" s="20" t="n">
        <f aca="false">D518*D523</f>
        <v>3.8364</v>
      </c>
      <c r="E524" s="20" t="n">
        <f aca="false">E518*E523</f>
        <v>8.79175</v>
      </c>
      <c r="F524" s="20" t="n">
        <f aca="false">F518*F523</f>
        <v>15.82515</v>
      </c>
      <c r="G524" s="20" t="n">
        <f aca="false">G518*G523</f>
        <v>18.1989225</v>
      </c>
    </row>
    <row r="525" customFormat="false" ht="17.15" hidden="false" customHeight="false" outlineLevel="0" collapsed="false">
      <c r="A525" s="4" t="s">
        <v>525</v>
      </c>
      <c r="B525" s="0" t="s">
        <v>49</v>
      </c>
      <c r="D525" s="22" t="n">
        <f aca="false">dc26/D524</f>
        <v>0.390991554582421</v>
      </c>
      <c r="K525" s="8" t="s">
        <v>526</v>
      </c>
    </row>
    <row r="526" customFormat="false" ht="17.15" hidden="false" customHeight="false" outlineLevel="0" collapsed="false">
      <c r="A526" s="0" t="s">
        <v>527</v>
      </c>
      <c r="B526" s="0" t="s">
        <v>213</v>
      </c>
      <c r="D526" s="20" t="n">
        <f aca="false">D524*$D$525</f>
        <v>1.5</v>
      </c>
      <c r="E526" s="20" t="n">
        <f aca="false">E524*$D$525</f>
        <v>3.4375</v>
      </c>
      <c r="F526" s="20" t="n">
        <f aca="false">F524*$D$525</f>
        <v>6.1875</v>
      </c>
      <c r="G526" s="20" t="n">
        <f aca="false">G524*$D$525</f>
        <v>7.115625</v>
      </c>
    </row>
    <row r="527" customFormat="false" ht="15" hidden="false" customHeight="false" outlineLevel="0" collapsed="false">
      <c r="A527" s="4" t="s">
        <v>528</v>
      </c>
      <c r="B527" s="0" t="s">
        <v>224</v>
      </c>
      <c r="D527" s="20" t="n">
        <f aca="false">fx26</f>
        <v>31.6</v>
      </c>
      <c r="E527" s="20" t="n">
        <f aca="false">fx</f>
        <v>32</v>
      </c>
      <c r="F527" s="20" t="n">
        <f aca="false">fx</f>
        <v>32</v>
      </c>
      <c r="G527" s="20" t="n">
        <f aca="false">fx</f>
        <v>32</v>
      </c>
    </row>
    <row r="528" customFormat="false" ht="17.15" hidden="false" customHeight="false" outlineLevel="0" collapsed="false">
      <c r="A528" s="0" t="s">
        <v>529</v>
      </c>
      <c r="B528" s="0" t="s">
        <v>219</v>
      </c>
      <c r="C528" s="20" t="n">
        <f aca="false">a25_trn</f>
        <v>0</v>
      </c>
      <c r="D528" s="20" t="n">
        <f aca="false">D526*D527</f>
        <v>47.4</v>
      </c>
      <c r="E528" s="20" t="n">
        <f aca="false">E526*E527</f>
        <v>110</v>
      </c>
      <c r="F528" s="20" t="n">
        <f aca="false">F526*F527</f>
        <v>198</v>
      </c>
      <c r="G528" s="20" t="n">
        <f aca="false">G526*G527</f>
        <v>227.7</v>
      </c>
    </row>
    <row r="529" customFormat="false" ht="17.15" hidden="false" customHeight="false" outlineLevel="0" collapsed="false">
      <c r="A529" s="4" t="s">
        <v>530</v>
      </c>
      <c r="B529" s="0" t="s">
        <v>219</v>
      </c>
      <c r="D529" s="20" t="n">
        <f aca="false">$D$525*f_al*D518*D522*D527</f>
        <v>0</v>
      </c>
      <c r="E529" s="20" t="n">
        <f aca="false">$D$525*f_al*E518*E522*E527</f>
        <v>0</v>
      </c>
      <c r="F529" s="20" t="n">
        <f aca="false">$D$525*f_al*F518*F522*F527</f>
        <v>0</v>
      </c>
      <c r="G529" s="20" t="n">
        <f aca="false">$D$525*f_al*G518*G522*G527</f>
        <v>0</v>
      </c>
    </row>
    <row r="530" customFormat="false" ht="15" hidden="false" customHeight="false" outlineLevel="0" collapsed="false">
      <c r="A530" s="4" t="s">
        <v>531</v>
      </c>
      <c r="B530" s="0" t="s">
        <v>219</v>
      </c>
      <c r="D530" s="20" t="n">
        <f aca="false">D528-D529</f>
        <v>47.4</v>
      </c>
      <c r="E530" s="20" t="n">
        <f aca="false">E528-E529</f>
        <v>110</v>
      </c>
      <c r="F530" s="20" t="n">
        <f aca="false">F528-F529</f>
        <v>198</v>
      </c>
      <c r="G530" s="20" t="n">
        <f aca="false">G528-G529</f>
        <v>227.7</v>
      </c>
    </row>
    <row r="531" customFormat="false" ht="15" hidden="false" customHeight="false" outlineLevel="0" collapsed="false">
      <c r="A531" s="4" t="s">
        <v>475</v>
      </c>
      <c r="B531" s="0" t="s">
        <v>80</v>
      </c>
      <c r="D531" s="20" t="n">
        <f aca="false">IF(D518&gt;0,D526/D518,0)</f>
        <v>2.5</v>
      </c>
      <c r="E531" s="20" t="n">
        <f aca="false">IF(E518&gt;0,E526/E518,0)</f>
        <v>2.5</v>
      </c>
      <c r="F531" s="20" t="n">
        <f aca="false">IF(F518&gt;0,F526/F518,0)</f>
        <v>3.75</v>
      </c>
      <c r="G531" s="20" t="n">
        <f aca="false">IF(G518&gt;0,G526/G518,0)</f>
        <v>3.75</v>
      </c>
    </row>
    <row r="532" customFormat="false" ht="17.15" hidden="false" customHeight="false" outlineLevel="0" collapsed="false">
      <c r="A532" s="6" t="s">
        <v>532</v>
      </c>
    </row>
    <row r="533" customFormat="false" ht="17.15" hidden="false" customHeight="false" outlineLevel="0" collapsed="false">
      <c r="A533" s="4" t="s">
        <v>533</v>
      </c>
      <c r="B533" s="0" t="s">
        <v>219</v>
      </c>
      <c r="C533" s="20" t="n">
        <f aca="false">a25_oth</f>
        <v>30.926</v>
      </c>
      <c r="D533" s="20" t="n">
        <f aca="false">a26_oth</f>
        <v>20.43665</v>
      </c>
      <c r="E533" s="20" t="n">
        <f aca="false">D533*(1+g_o27_A)</f>
        <v>23.5021475</v>
      </c>
      <c r="F533" s="20" t="n">
        <f aca="false">E533*(1+g_oL_A)</f>
        <v>26.3224052</v>
      </c>
      <c r="G533" s="20" t="n">
        <f aca="false">F533*(1+g_oL_A)</f>
        <v>29.481093824</v>
      </c>
    </row>
    <row r="534" customFormat="false" ht="17.15" hidden="false" customHeight="false" outlineLevel="0" collapsed="false">
      <c r="A534" s="4" t="s">
        <v>413</v>
      </c>
      <c r="B534" s="0" t="s">
        <v>219</v>
      </c>
      <c r="C534" s="20" t="n">
        <f aca="false">C533+C528</f>
        <v>30.926</v>
      </c>
      <c r="D534" s="20" t="n">
        <f aca="false">D533+D528</f>
        <v>67.83665</v>
      </c>
      <c r="E534" s="20" t="n">
        <f aca="false">E533+E528</f>
        <v>133.5021475</v>
      </c>
      <c r="F534" s="20" t="n">
        <f aca="false">F533+F528</f>
        <v>224.3224052</v>
      </c>
      <c r="G534" s="20" t="n">
        <f aca="false">G533+G528</f>
        <v>257.181093824</v>
      </c>
      <c r="H534" s="28" t="n">
        <f aca="false">G534*(1+H535)</f>
        <v>287.439262995056</v>
      </c>
      <c r="I534" s="28" t="n">
        <f aca="false">H534*(1+I535)</f>
        <v>312.971510126327</v>
      </c>
      <c r="J534" s="28" t="n">
        <f aca="false">I534*(1+J535)</f>
        <v>331.749800733906</v>
      </c>
      <c r="K534" s="8" t="s">
        <v>534</v>
      </c>
    </row>
    <row r="535" customFormat="false" ht="15" hidden="false" customHeight="false" outlineLevel="0" collapsed="false">
      <c r="A535" s="4" t="s">
        <v>535</v>
      </c>
      <c r="B535" s="0" t="s">
        <v>44</v>
      </c>
      <c r="D535" s="18" t="n">
        <f aca="false">D534/C534-1</f>
        <v>1.19351516523314</v>
      </c>
      <c r="E535" s="18" t="n">
        <f aca="false">E534/D534-1</f>
        <v>0.967994402730677</v>
      </c>
      <c r="F535" s="18" t="n">
        <f aca="false">F534/E534-1</f>
        <v>0.68029061255363</v>
      </c>
      <c r="G535" s="18" t="n">
        <f aca="false">G534/F534-1</f>
        <v>0.146479744610014</v>
      </c>
      <c r="H535" s="26" t="n">
        <f aca="false">$G535+(fade_gA-$G535)*1/3</f>
        <v>0.117653163073342</v>
      </c>
      <c r="I535" s="26" t="n">
        <f aca="false">$G535+(fade_gA-$G535)*2/3</f>
        <v>0.0888265815366712</v>
      </c>
      <c r="J535" s="26" t="n">
        <f aca="false">$G535+(fade_gA-$G535)*3/3</f>
        <v>0.06</v>
      </c>
    </row>
    <row r="536" customFormat="false" ht="17.15" hidden="false" customHeight="false" outlineLevel="0" collapsed="false">
      <c r="A536" s="0" t="s">
        <v>536</v>
      </c>
      <c r="B536" s="0" t="s">
        <v>44</v>
      </c>
      <c r="C536" s="18" t="n">
        <f aca="false">C528/C534</f>
        <v>0</v>
      </c>
      <c r="D536" s="18" t="n">
        <f aca="false">D528/D534</f>
        <v>0.698737334464482</v>
      </c>
      <c r="E536" s="18" t="n">
        <f aca="false">E528/E534</f>
        <v>0.823956783167102</v>
      </c>
      <c r="F536" s="18" t="n">
        <f aca="false">F528/F534</f>
        <v>0.882658153667122</v>
      </c>
      <c r="G536" s="18" t="n">
        <f aca="false">G528/G534</f>
        <v>0.885368347316482</v>
      </c>
    </row>
    <row r="537" customFormat="false" ht="17.15" hidden="false" customHeight="false" outlineLevel="0" collapsed="false">
      <c r="A537" s="4" t="s">
        <v>537</v>
      </c>
      <c r="B537" s="0" t="s">
        <v>44</v>
      </c>
      <c r="C537" s="18" t="n">
        <f aca="false">C533/C534</f>
        <v>1</v>
      </c>
      <c r="D537" s="18" t="n">
        <f aca="false">D533/D534</f>
        <v>0.301262665535518</v>
      </c>
      <c r="E537" s="18" t="n">
        <f aca="false">E533/E534</f>
        <v>0.176043216832898</v>
      </c>
      <c r="F537" s="18" t="n">
        <f aca="false">F533/F534</f>
        <v>0.117341846332878</v>
      </c>
      <c r="G537" s="18" t="n">
        <f aca="false">G533/G534</f>
        <v>0.114631652683518</v>
      </c>
    </row>
    <row r="538" customFormat="false" ht="17.15" hidden="false" customHeight="false" outlineLevel="0" collapsed="false">
      <c r="A538" s="6" t="s">
        <v>538</v>
      </c>
    </row>
    <row r="539" customFormat="false" ht="17.15" hidden="false" customHeight="false" outlineLevel="0" collapsed="false">
      <c r="A539" s="0" t="s">
        <v>539</v>
      </c>
      <c r="B539" s="0" t="s">
        <v>219</v>
      </c>
      <c r="D539" s="20" t="n">
        <f aca="false">m_trn*D530+m_hbm*D529</f>
        <v>6.162</v>
      </c>
      <c r="E539" s="20" t="n">
        <f aca="false">(m_trn+gta_A)*E530+m_hbm*E529</f>
        <v>15.4</v>
      </c>
      <c r="F539" s="20" t="n">
        <f aca="false">(m_trn+gta_A)*F530+m_hbm*F529</f>
        <v>27.72</v>
      </c>
      <c r="G539" s="20" t="n">
        <f aca="false">(m_trn+gta_A)*G530+m_hbm*G529</f>
        <v>31.878</v>
      </c>
    </row>
    <row r="540" customFormat="false" ht="17.15" hidden="false" customHeight="false" outlineLevel="0" collapsed="false">
      <c r="A540" s="4" t="s">
        <v>540</v>
      </c>
      <c r="B540" s="0" t="s">
        <v>44</v>
      </c>
      <c r="C540" s="17" t="n">
        <f aca="false">a25_gp/C533</f>
        <v>0.263661643924206</v>
      </c>
      <c r="D540" s="17" t="n">
        <f aca="false">(a26_gp-D539)/D533</f>
        <v>0.499403865114879</v>
      </c>
      <c r="E540" s="17" t="n">
        <f aca="false">$D540+0</f>
        <v>0.499403865114879</v>
      </c>
      <c r="F540" s="17" t="n">
        <f aca="false">$D540+0</f>
        <v>0.499403865114879</v>
      </c>
      <c r="G540" s="17" t="n">
        <f aca="false">$D540+0</f>
        <v>0.499403865114879</v>
      </c>
      <c r="K540" s="8" t="s">
        <v>541</v>
      </c>
    </row>
    <row r="541" customFormat="false" ht="15" hidden="false" customHeight="false" outlineLevel="0" collapsed="false">
      <c r="A541" s="4" t="s">
        <v>422</v>
      </c>
      <c r="B541" s="0" t="s">
        <v>219</v>
      </c>
      <c r="C541" s="20" t="n">
        <f aca="false">a25_gp</f>
        <v>8.154</v>
      </c>
      <c r="D541" s="20" t="n">
        <f aca="false">a26_gp</f>
        <v>16.368142</v>
      </c>
      <c r="E541" s="20" t="n">
        <f aca="false">E540*E533+E539</f>
        <v>27.1370633</v>
      </c>
      <c r="F541" s="20" t="n">
        <f aca="false">F540*F533+F539</f>
        <v>40.865510896</v>
      </c>
      <c r="G541" s="20" t="n">
        <f aca="false">G540*G533+G539</f>
        <v>46.60097220352</v>
      </c>
    </row>
    <row r="542" customFormat="false" ht="15" hidden="false" customHeight="false" outlineLevel="0" collapsed="false">
      <c r="A542" s="4" t="s">
        <v>425</v>
      </c>
      <c r="B542" s="0" t="s">
        <v>44</v>
      </c>
      <c r="C542" s="17" t="n">
        <f aca="false">C541/C534</f>
        <v>0.263661643924206</v>
      </c>
      <c r="D542" s="17" t="n">
        <f aca="false">D541/D534</f>
        <v>0.241287593063632</v>
      </c>
      <c r="E542" s="17" t="n">
        <f aca="false">E541/E534</f>
        <v>0.203270612557</v>
      </c>
      <c r="F542" s="17" t="n">
        <f aca="false">F541/F534</f>
        <v>0.182173113111753</v>
      </c>
      <c r="G542" s="17" t="n">
        <f aca="false">G541/G534</f>
        <v>0.181199059038963</v>
      </c>
    </row>
    <row r="543" customFormat="false" ht="15" hidden="false" customHeight="false" outlineLevel="0" collapsed="false">
      <c r="A543" s="4" t="s">
        <v>429</v>
      </c>
      <c r="B543" s="0" t="s">
        <v>219</v>
      </c>
      <c r="C543" s="20" t="n">
        <f aca="false">a25_opx</f>
        <v>3.138</v>
      </c>
      <c r="D543" s="20" t="n">
        <f aca="false">a26_opx</f>
        <v>3.849</v>
      </c>
      <c r="E543" s="20" t="n">
        <f aca="false">D543*(1+MAX(g_opx_min,phi_hi*E535))+0*E534</f>
        <v>6.08448627366623</v>
      </c>
      <c r="F543" s="20" t="n">
        <f aca="false">E543*(1+MAX(g_opx_min,phi_hi*F535))+0*F534</f>
        <v>8.56801761017815</v>
      </c>
      <c r="G543" s="20" t="n">
        <f aca="false">F543*(1+MAX(g_opx_min,phi_hi*G535))+0*G534</f>
        <v>9.32104222898995</v>
      </c>
    </row>
    <row r="544" customFormat="false" ht="15" hidden="false" customHeight="false" outlineLevel="0" collapsed="false">
      <c r="A544" s="4" t="s">
        <v>432</v>
      </c>
      <c r="B544" s="0" t="s">
        <v>219</v>
      </c>
      <c r="C544" s="20" t="n">
        <f aca="false">C541-C543</f>
        <v>5.016</v>
      </c>
      <c r="D544" s="20" t="n">
        <f aca="false">D541-D543</f>
        <v>12.519142</v>
      </c>
      <c r="E544" s="20" t="n">
        <f aca="false">E541-E543</f>
        <v>21.0525770263338</v>
      </c>
      <c r="F544" s="20" t="n">
        <f aca="false">F541-F543</f>
        <v>32.2974932858219</v>
      </c>
      <c r="G544" s="20" t="n">
        <f aca="false">G541-G543</f>
        <v>37.2799299745301</v>
      </c>
    </row>
    <row r="545" customFormat="false" ht="15" hidden="false" customHeight="false" outlineLevel="0" collapsed="false">
      <c r="A545" s="4" t="s">
        <v>505</v>
      </c>
      <c r="B545" s="0" t="s">
        <v>44</v>
      </c>
      <c r="C545" s="17" t="n">
        <f aca="false">C544/C534</f>
        <v>0.162193623488327</v>
      </c>
      <c r="D545" s="17" t="n">
        <f aca="false">D544/D534</f>
        <v>0.184548352549838</v>
      </c>
      <c r="E545" s="17" t="n">
        <f aca="false">E544/E534</f>
        <v>0.157694669490869</v>
      </c>
      <c r="F545" s="17" t="n">
        <f aca="false">F544/F534</f>
        <v>0.143978009049191</v>
      </c>
      <c r="G545" s="17" t="n">
        <f aca="false">G544/G534</f>
        <v>0.144955950766903</v>
      </c>
    </row>
    <row r="546" customFormat="false" ht="15" hidden="false" customHeight="false" outlineLevel="0" collapsed="false">
      <c r="A546" s="4" t="s">
        <v>435</v>
      </c>
      <c r="B546" s="0" t="s">
        <v>219</v>
      </c>
      <c r="C546" s="20" t="n">
        <f aca="false">a25_nonop</f>
        <v>1.7042198</v>
      </c>
      <c r="D546" s="20" t="n">
        <f aca="false">a26_nonop</f>
        <v>1.605</v>
      </c>
      <c r="E546" s="20" t="n">
        <f aca="false">nonop_f</f>
        <v>1.6</v>
      </c>
      <c r="F546" s="20" t="n">
        <f aca="false">nonop_f</f>
        <v>1.6</v>
      </c>
      <c r="G546" s="20" t="n">
        <f aca="false">nonop_f</f>
        <v>1.6</v>
      </c>
    </row>
    <row r="547" customFormat="false" ht="15" hidden="false" customHeight="false" outlineLevel="0" collapsed="false">
      <c r="A547" s="4" t="s">
        <v>437</v>
      </c>
      <c r="B547" s="0" t="s">
        <v>219</v>
      </c>
      <c r="C547" s="20" t="n">
        <f aca="false">C544+C546</f>
        <v>6.7202198</v>
      </c>
      <c r="D547" s="20" t="n">
        <f aca="false">D544+D546</f>
        <v>14.124142</v>
      </c>
      <c r="E547" s="20" t="n">
        <f aca="false">E544+E546</f>
        <v>22.6525770263338</v>
      </c>
      <c r="F547" s="20" t="n">
        <f aca="false">F544+F546</f>
        <v>33.8974932858219</v>
      </c>
      <c r="G547" s="20" t="n">
        <f aca="false">G544+G546</f>
        <v>38.8799299745301</v>
      </c>
    </row>
    <row r="548" customFormat="false" ht="15" hidden="false" customHeight="false" outlineLevel="0" collapsed="false">
      <c r="A548" s="4" t="s">
        <v>439</v>
      </c>
      <c r="B548" s="0" t="s">
        <v>219</v>
      </c>
      <c r="C548" s="20" t="n">
        <f aca="false">a25_tax</f>
        <v>1.1222198</v>
      </c>
      <c r="D548" s="20" t="n">
        <f aca="false">a26_tax</f>
        <v>2.8140284</v>
      </c>
      <c r="E548" s="20" t="n">
        <f aca="false">E547*tax</f>
        <v>4.53051540526676</v>
      </c>
      <c r="F548" s="20" t="n">
        <f aca="false">F547*tax</f>
        <v>6.77949865716437</v>
      </c>
      <c r="G548" s="20" t="n">
        <f aca="false">G547*tax</f>
        <v>7.77598599490601</v>
      </c>
    </row>
    <row r="549" customFormat="false" ht="15" hidden="false" customHeight="false" outlineLevel="0" collapsed="false">
      <c r="A549" s="4" t="s">
        <v>442</v>
      </c>
      <c r="B549" s="0" t="s">
        <v>219</v>
      </c>
      <c r="C549" s="20" t="n">
        <f aca="false">C547-C548</f>
        <v>5.598</v>
      </c>
      <c r="D549" s="20" t="n">
        <f aca="false">D547-D548</f>
        <v>11.3101136</v>
      </c>
      <c r="E549" s="20" t="n">
        <f aca="false">E547-E548</f>
        <v>18.122061621067</v>
      </c>
      <c r="F549" s="20" t="n">
        <f aca="false">F547-F548</f>
        <v>27.1179946286575</v>
      </c>
      <c r="G549" s="20" t="n">
        <f aca="false">G547-G548</f>
        <v>31.103943979624</v>
      </c>
      <c r="H549" s="28" t="n">
        <f aca="false">H534*H553</f>
        <v>35.6164795773403</v>
      </c>
      <c r="I549" s="28" t="n">
        <f aca="false">I534*I553</f>
        <v>39.7090021531772</v>
      </c>
      <c r="J549" s="28" t="n">
        <f aca="false">J534*J553</f>
        <v>43.0761046778957</v>
      </c>
    </row>
    <row r="550" customFormat="false" ht="17.15" hidden="false" customHeight="false" outlineLevel="0" collapsed="false">
      <c r="A550" s="4" t="s">
        <v>542</v>
      </c>
      <c r="B550" s="4" t="s">
        <v>272</v>
      </c>
      <c r="C550" s="19" t="n">
        <f aca="false">a25_sh</f>
        <v>0.0809193408499566</v>
      </c>
      <c r="D550" s="19" t="n">
        <f aca="false">a26_sh</f>
        <v>0.0838996682946683</v>
      </c>
      <c r="E550" s="19" t="n">
        <f aca="false">q_sh*(1+sh_g)</f>
        <v>0.08621</v>
      </c>
      <c r="F550" s="19" t="n">
        <f aca="false">E550*(1+sh_g)</f>
        <v>0.08621</v>
      </c>
      <c r="G550" s="19" t="n">
        <f aca="false">F550*(1+sh_g)</f>
        <v>0.08621</v>
      </c>
      <c r="H550" s="31" t="n">
        <f aca="false">G550*(1+sh_g)</f>
        <v>0.08621</v>
      </c>
      <c r="I550" s="31" t="n">
        <f aca="false">H550*(1+sh_g)</f>
        <v>0.08621</v>
      </c>
      <c r="J550" s="31" t="n">
        <f aca="false">I550*(1+sh_g)</f>
        <v>0.08621</v>
      </c>
      <c r="K550" s="8" t="s">
        <v>543</v>
      </c>
    </row>
    <row r="551" customFormat="false" ht="17.15" hidden="false" customHeight="false" outlineLevel="0" collapsed="false">
      <c r="A551" s="0" t="s">
        <v>446</v>
      </c>
      <c r="B551" s="0" t="s">
        <v>312</v>
      </c>
      <c r="C551" s="20" t="n">
        <f aca="false">C549/C550</f>
        <v>69.18</v>
      </c>
      <c r="D551" s="20" t="n">
        <f aca="false">D549/D550</f>
        <v>134.805224262356</v>
      </c>
      <c r="E551" s="20" t="n">
        <f aca="false">E549/E550</f>
        <v>210.208347303875</v>
      </c>
      <c r="F551" s="20" t="n">
        <f aca="false">F549/F550</f>
        <v>314.557413625536</v>
      </c>
      <c r="G551" s="20" t="n">
        <f aca="false">G549/G550</f>
        <v>360.79276162422</v>
      </c>
      <c r="H551" s="28" t="n">
        <f aca="false">H549/H550</f>
        <v>413.1362901907</v>
      </c>
      <c r="I551" s="28" t="n">
        <f aca="false">I549/I550</f>
        <v>460.607843094504</v>
      </c>
      <c r="J551" s="28" t="n">
        <f aca="false">J549/J550</f>
        <v>499.664826329842</v>
      </c>
    </row>
    <row r="552" customFormat="false" ht="17.15" hidden="false" customHeight="false" outlineLevel="0" collapsed="false">
      <c r="A552" s="0" t="s">
        <v>544</v>
      </c>
      <c r="B552" s="0" t="s">
        <v>44</v>
      </c>
      <c r="D552" s="18" t="n">
        <f aca="false">D551/C551-1</f>
        <v>0.948615557420577</v>
      </c>
      <c r="E552" s="18" t="n">
        <f aca="false">E551/D551-1</f>
        <v>0.559348671048318</v>
      </c>
      <c r="F552" s="18" t="n">
        <f aca="false">F551/E551-1</f>
        <v>0.496407814723057</v>
      </c>
      <c r="G552" s="18" t="n">
        <f aca="false">G551/F551-1</f>
        <v>0.146985402333339</v>
      </c>
      <c r="H552" s="26" t="n">
        <f aca="false">H551/G551-1</f>
        <v>0.145079209269163</v>
      </c>
      <c r="I552" s="26" t="n">
        <f aca="false">I551/H551-1</f>
        <v>0.114905308565103</v>
      </c>
      <c r="J552" s="26" t="n">
        <f aca="false">J551/I551-1</f>
        <v>0.0847944380906345</v>
      </c>
    </row>
    <row r="553" customFormat="false" ht="17.15" hidden="false" customHeight="false" outlineLevel="0" collapsed="false">
      <c r="A553" s="4" t="s">
        <v>545</v>
      </c>
      <c r="B553" s="0" t="s">
        <v>44</v>
      </c>
      <c r="C553" s="17" t="n">
        <f aca="false">C549/C534</f>
        <v>0.181012740089245</v>
      </c>
      <c r="D553" s="17" t="n">
        <f aca="false">D549/D534</f>
        <v>0.166725709480052</v>
      </c>
      <c r="E553" s="17" t="n">
        <f aca="false">E549/E534</f>
        <v>0.135743596342276</v>
      </c>
      <c r="F553" s="17" t="n">
        <f aca="false">F549/F534</f>
        <v>0.120888480151948</v>
      </c>
      <c r="G553" s="17" t="n">
        <f aca="false">G549/G534</f>
        <v>0.120941798314731</v>
      </c>
      <c r="H553" s="27" t="n">
        <f aca="false">$G553+(fade_mA-$G553)*1/3</f>
        <v>0.123909584258685</v>
      </c>
      <c r="I553" s="27" t="n">
        <f aca="false">$G553+(fade_mA-$G553)*2/3</f>
        <v>0.12687737020264</v>
      </c>
      <c r="J553" s="27" t="n">
        <f aca="false">$G553+(fade_mA-$G553)*3/3</f>
        <v>0.129845156146594</v>
      </c>
    </row>
    <row r="556" customFormat="false" ht="17.15" hidden="false" customHeight="false" outlineLevel="0" collapsed="false">
      <c r="A556" s="1" t="s">
        <v>832</v>
      </c>
    </row>
    <row r="557" customFormat="false" ht="17.15" hidden="false" customHeight="false" outlineLevel="0" collapsed="false">
      <c r="A557" s="5" t="s">
        <v>20</v>
      </c>
      <c r="B557" s="5" t="s">
        <v>21</v>
      </c>
      <c r="C557" s="14" t="s">
        <v>407</v>
      </c>
      <c r="D557" s="14" t="s">
        <v>495</v>
      </c>
      <c r="E557" s="14" t="s">
        <v>496</v>
      </c>
      <c r="F557" s="14" t="s">
        <v>497</v>
      </c>
      <c r="G557" s="14" t="s">
        <v>498</v>
      </c>
      <c r="H557" s="14" t="s">
        <v>499</v>
      </c>
      <c r="I557" s="14" t="s">
        <v>500</v>
      </c>
      <c r="J557" s="14" t="s">
        <v>501</v>
      </c>
      <c r="K557" s="5" t="s">
        <v>465</v>
      </c>
    </row>
    <row r="558" customFormat="false" ht="17.15" hidden="false" customHeight="false" outlineLevel="0" collapsed="false">
      <c r="A558" s="6" t="s">
        <v>516</v>
      </c>
    </row>
    <row r="559" customFormat="false" ht="17.15" hidden="false" customHeight="false" outlineLevel="0" collapsed="false">
      <c r="A559" s="0" t="s">
        <v>517</v>
      </c>
      <c r="B559" s="4" t="s">
        <v>31</v>
      </c>
      <c r="D559" s="22" t="n">
        <f aca="false">u_trn_26</f>
        <v>2</v>
      </c>
      <c r="E559" s="22" t="n">
        <f aca="false">u_trn_27</f>
        <v>2.5</v>
      </c>
      <c r="F559" s="22" t="n">
        <f aca="false">u_trn_28*um28_A</f>
        <v>3</v>
      </c>
      <c r="G559" s="22" t="n">
        <f aca="false">u_trn_28*(1+g29_trn)*um29_A</f>
        <v>3.45</v>
      </c>
    </row>
    <row r="560" customFormat="false" ht="17.15" hidden="false" customHeight="false" outlineLevel="0" collapsed="false">
      <c r="A560" s="4" t="s">
        <v>469</v>
      </c>
      <c r="B560" s="0" t="s">
        <v>44</v>
      </c>
      <c r="D560" s="18" t="n">
        <f aca="false">al_trn_26</f>
        <v>0.3</v>
      </c>
      <c r="E560" s="18" t="n">
        <f aca="false">MIN(1,MAX(0,al27_A+0))</f>
        <v>0.55</v>
      </c>
      <c r="F560" s="18" t="n">
        <f aca="false">MIN(1,MAX(0,al28_A+0))</f>
        <v>0.55</v>
      </c>
      <c r="G560" s="18" t="n">
        <f aca="false">MIN(1,MAX(0,al28_A+0))</f>
        <v>0.55</v>
      </c>
    </row>
    <row r="561" customFormat="false" ht="17.15" hidden="false" customHeight="false" outlineLevel="0" collapsed="false">
      <c r="A561" s="4" t="s">
        <v>471</v>
      </c>
      <c r="B561" s="4" t="s">
        <v>31</v>
      </c>
      <c r="D561" s="22" t="n">
        <f aca="false">D559*D560</f>
        <v>0.6</v>
      </c>
      <c r="E561" s="22" t="n">
        <f aca="false">E559*E560*1</f>
        <v>1.375</v>
      </c>
      <c r="F561" s="22" t="n">
        <f aca="false">F559*F560*1</f>
        <v>1.65</v>
      </c>
      <c r="G561" s="22" t="n">
        <f aca="false">G559*G560*1</f>
        <v>1.8975</v>
      </c>
    </row>
    <row r="562" customFormat="false" ht="17.15" hidden="false" customHeight="false" outlineLevel="0" collapsed="false">
      <c r="A562" s="4" t="s">
        <v>518</v>
      </c>
      <c r="B562" s="0" t="s">
        <v>69</v>
      </c>
      <c r="D562" s="30" t="n">
        <f aca="false">gb_trn_26</f>
        <v>110</v>
      </c>
      <c r="E562" s="30" t="n">
        <f aca="false">gb_trn_27</f>
        <v>144</v>
      </c>
      <c r="F562" s="30" t="n">
        <f aca="false">gb_trn_28</f>
        <v>200</v>
      </c>
      <c r="G562" s="30" t="n">
        <f aca="false">gb_trn_28</f>
        <v>200</v>
      </c>
    </row>
    <row r="563" customFormat="false" ht="17.15" hidden="false" customHeight="false" outlineLevel="0" collapsed="false">
      <c r="A563" s="0" t="s">
        <v>519</v>
      </c>
      <c r="B563" s="0" t="s">
        <v>156</v>
      </c>
      <c r="D563" s="20" t="n">
        <f aca="false">hbm_A_26</f>
        <v>14.6</v>
      </c>
      <c r="E563" s="20" t="n">
        <f aca="false">hbm_A_27</f>
        <v>26.28</v>
      </c>
      <c r="F563" s="20" t="n">
        <f aca="false">hbm_A_28</f>
        <v>28.908</v>
      </c>
      <c r="G563" s="20" t="n">
        <f aca="false">hbm_A_29</f>
        <v>27.4626</v>
      </c>
    </row>
    <row r="564" customFormat="false" ht="17.15" hidden="false" customHeight="false" outlineLevel="0" collapsed="false">
      <c r="A564" s="4" t="s">
        <v>520</v>
      </c>
      <c r="B564" s="0" t="s">
        <v>80</v>
      </c>
      <c r="D564" s="20" t="n">
        <f aca="false">core_trn</f>
        <v>6.394</v>
      </c>
      <c r="E564" s="20" t="n">
        <f aca="false">core_trn</f>
        <v>6.394</v>
      </c>
      <c r="F564" s="20" t="n">
        <f aca="false">core_trn*pfc_A</f>
        <v>9.591</v>
      </c>
      <c r="G564" s="20" t="n">
        <f aca="false">core_trn*pfc_A</f>
        <v>9.591</v>
      </c>
    </row>
    <row r="565" customFormat="false" ht="17.15" hidden="false" customHeight="false" outlineLevel="0" collapsed="false">
      <c r="A565" s="4" t="s">
        <v>521</v>
      </c>
      <c r="B565" s="0" t="s">
        <v>80</v>
      </c>
      <c r="D565" s="20" t="n">
        <f aca="false">D562*D563/1000</f>
        <v>1.606</v>
      </c>
      <c r="E565" s="20" t="n">
        <f aca="false">E562*E563/1000</f>
        <v>3.78432</v>
      </c>
      <c r="F565" s="20" t="n">
        <f aca="false">F562*F563/1000</f>
        <v>5.7816</v>
      </c>
      <c r="G565" s="20" t="n">
        <f aca="false">G562*G563/1000</f>
        <v>5.49252</v>
      </c>
    </row>
    <row r="566" customFormat="false" ht="17.15" hidden="false" customHeight="false" outlineLevel="0" collapsed="false">
      <c r="A566" s="4" t="s">
        <v>522</v>
      </c>
      <c r="B566" s="0" t="s">
        <v>80</v>
      </c>
      <c r="D566" s="20" t="n">
        <f aca="false">D564+f_al*D565</f>
        <v>6.394</v>
      </c>
      <c r="E566" s="20" t="n">
        <f aca="false">E564+f_al*E565</f>
        <v>6.394</v>
      </c>
      <c r="F566" s="20" t="n">
        <f aca="false">F564+f_al*F565</f>
        <v>9.591</v>
      </c>
      <c r="G566" s="20" t="n">
        <f aca="false">G564+f_al*G565</f>
        <v>9.591</v>
      </c>
      <c r="K566" s="4" t="s">
        <v>523</v>
      </c>
    </row>
    <row r="567" customFormat="false" ht="17.15" hidden="false" customHeight="false" outlineLevel="0" collapsed="false">
      <c r="A567" s="0" t="s">
        <v>524</v>
      </c>
      <c r="B567" s="0" t="s">
        <v>213</v>
      </c>
      <c r="D567" s="20" t="n">
        <f aca="false">D561*D566</f>
        <v>3.8364</v>
      </c>
      <c r="E567" s="20" t="n">
        <f aca="false">E561*E566</f>
        <v>8.79175</v>
      </c>
      <c r="F567" s="20" t="n">
        <f aca="false">F561*F566</f>
        <v>15.82515</v>
      </c>
      <c r="G567" s="20" t="n">
        <f aca="false">G561*G566</f>
        <v>18.1989225</v>
      </c>
    </row>
    <row r="568" customFormat="false" ht="17.15" hidden="false" customHeight="false" outlineLevel="0" collapsed="false">
      <c r="A568" s="4" t="s">
        <v>525</v>
      </c>
      <c r="B568" s="0" t="s">
        <v>49</v>
      </c>
      <c r="D568" s="22" t="n">
        <f aca="false">dc26/D567</f>
        <v>0.390991554582421</v>
      </c>
      <c r="K568" s="8" t="s">
        <v>526</v>
      </c>
    </row>
    <row r="569" customFormat="false" ht="17.15" hidden="false" customHeight="false" outlineLevel="0" collapsed="false">
      <c r="A569" s="0" t="s">
        <v>527</v>
      </c>
      <c r="B569" s="0" t="s">
        <v>213</v>
      </c>
      <c r="D569" s="20" t="n">
        <f aca="false">D567*$D$568</f>
        <v>1.5</v>
      </c>
      <c r="E569" s="20" t="n">
        <f aca="false">E567*$D$568</f>
        <v>3.4375</v>
      </c>
      <c r="F569" s="20" t="n">
        <f aca="false">F567*$D$568</f>
        <v>6.1875</v>
      </c>
      <c r="G569" s="20" t="n">
        <f aca="false">G567*$D$568</f>
        <v>7.115625</v>
      </c>
    </row>
    <row r="570" customFormat="false" ht="15" hidden="false" customHeight="false" outlineLevel="0" collapsed="false">
      <c r="A570" s="4" t="s">
        <v>528</v>
      </c>
      <c r="B570" s="0" t="s">
        <v>224</v>
      </c>
      <c r="D570" s="20" t="n">
        <f aca="false">fx26</f>
        <v>31.6</v>
      </c>
      <c r="E570" s="20" t="n">
        <f aca="false">fx</f>
        <v>32</v>
      </c>
      <c r="F570" s="20" t="n">
        <f aca="false">fx</f>
        <v>32</v>
      </c>
      <c r="G570" s="20" t="n">
        <f aca="false">fx</f>
        <v>32</v>
      </c>
    </row>
    <row r="571" customFormat="false" ht="17.15" hidden="false" customHeight="false" outlineLevel="0" collapsed="false">
      <c r="A571" s="0" t="s">
        <v>529</v>
      </c>
      <c r="B571" s="0" t="s">
        <v>219</v>
      </c>
      <c r="C571" s="20" t="n">
        <f aca="false">a25_trn</f>
        <v>0</v>
      </c>
      <c r="D571" s="20" t="n">
        <f aca="false">D569*D570</f>
        <v>47.4</v>
      </c>
      <c r="E571" s="20" t="n">
        <f aca="false">E569*E570</f>
        <v>110</v>
      </c>
      <c r="F571" s="20" t="n">
        <f aca="false">F569*F570</f>
        <v>198</v>
      </c>
      <c r="G571" s="20" t="n">
        <f aca="false">G569*G570</f>
        <v>227.7</v>
      </c>
    </row>
    <row r="572" customFormat="false" ht="17.15" hidden="false" customHeight="false" outlineLevel="0" collapsed="false">
      <c r="A572" s="4" t="s">
        <v>530</v>
      </c>
      <c r="B572" s="0" t="s">
        <v>219</v>
      </c>
      <c r="D572" s="20" t="n">
        <f aca="false">$D$568*f_al*D561*D565*D570</f>
        <v>0</v>
      </c>
      <c r="E572" s="20" t="n">
        <f aca="false">$D$568*f_al*E561*E565*E570</f>
        <v>0</v>
      </c>
      <c r="F572" s="20" t="n">
        <f aca="false">$D$568*f_al*F561*F565*F570</f>
        <v>0</v>
      </c>
      <c r="G572" s="20" t="n">
        <f aca="false">$D$568*f_al*G561*G565*G570</f>
        <v>0</v>
      </c>
    </row>
    <row r="573" customFormat="false" ht="15" hidden="false" customHeight="false" outlineLevel="0" collapsed="false">
      <c r="A573" s="4" t="s">
        <v>531</v>
      </c>
      <c r="B573" s="0" t="s">
        <v>219</v>
      </c>
      <c r="D573" s="20" t="n">
        <f aca="false">D571-D572</f>
        <v>47.4</v>
      </c>
      <c r="E573" s="20" t="n">
        <f aca="false">E571-E572</f>
        <v>110</v>
      </c>
      <c r="F573" s="20" t="n">
        <f aca="false">F571-F572</f>
        <v>198</v>
      </c>
      <c r="G573" s="20" t="n">
        <f aca="false">G571-G572</f>
        <v>227.7</v>
      </c>
    </row>
    <row r="574" customFormat="false" ht="15" hidden="false" customHeight="false" outlineLevel="0" collapsed="false">
      <c r="A574" s="4" t="s">
        <v>475</v>
      </c>
      <c r="B574" s="0" t="s">
        <v>80</v>
      </c>
      <c r="D574" s="20" t="n">
        <f aca="false">IF(D561&gt;0,D569/D561,0)</f>
        <v>2.5</v>
      </c>
      <c r="E574" s="20" t="n">
        <f aca="false">IF(E561&gt;0,E569/E561,0)</f>
        <v>2.5</v>
      </c>
      <c r="F574" s="20" t="n">
        <f aca="false">IF(F561&gt;0,F569/F561,0)</f>
        <v>3.75</v>
      </c>
      <c r="G574" s="20" t="n">
        <f aca="false">IF(G561&gt;0,G569/G561,0)</f>
        <v>3.75</v>
      </c>
    </row>
    <row r="575" customFormat="false" ht="17.15" hidden="false" customHeight="false" outlineLevel="0" collapsed="false">
      <c r="A575" s="6" t="s">
        <v>532</v>
      </c>
    </row>
    <row r="576" customFormat="false" ht="17.15" hidden="false" customHeight="false" outlineLevel="0" collapsed="false">
      <c r="A576" s="4" t="s">
        <v>533</v>
      </c>
      <c r="B576" s="0" t="s">
        <v>219</v>
      </c>
      <c r="C576" s="20" t="n">
        <f aca="false">a25_oth</f>
        <v>30.926</v>
      </c>
      <c r="D576" s="20" t="n">
        <f aca="false">a26_oth</f>
        <v>20.43665</v>
      </c>
      <c r="E576" s="20" t="n">
        <f aca="false">D576*(1+g_o27_A)</f>
        <v>23.5021475</v>
      </c>
      <c r="F576" s="20" t="n">
        <f aca="false">E576*(1+g_oL_A)</f>
        <v>26.3224052</v>
      </c>
      <c r="G576" s="20" t="n">
        <f aca="false">F576*(1+g_oL_A)</f>
        <v>29.481093824</v>
      </c>
    </row>
    <row r="577" customFormat="false" ht="17.15" hidden="false" customHeight="false" outlineLevel="0" collapsed="false">
      <c r="A577" s="4" t="s">
        <v>413</v>
      </c>
      <c r="B577" s="0" t="s">
        <v>219</v>
      </c>
      <c r="C577" s="20" t="n">
        <f aca="false">C576+C571</f>
        <v>30.926</v>
      </c>
      <c r="D577" s="20" t="n">
        <f aca="false">D576+D571</f>
        <v>67.83665</v>
      </c>
      <c r="E577" s="20" t="n">
        <f aca="false">E576+E571</f>
        <v>133.5021475</v>
      </c>
      <c r="F577" s="20" t="n">
        <f aca="false">F576+F571</f>
        <v>224.3224052</v>
      </c>
      <c r="G577" s="20" t="n">
        <f aca="false">G576+G571</f>
        <v>257.181093824</v>
      </c>
      <c r="H577" s="28" t="n">
        <f aca="false">G577*(1+H578)</f>
        <v>287.439262995056</v>
      </c>
      <c r="I577" s="28" t="n">
        <f aca="false">H577*(1+I578)</f>
        <v>312.971510126327</v>
      </c>
      <c r="J577" s="28" t="n">
        <f aca="false">I577*(1+J578)</f>
        <v>331.749800733906</v>
      </c>
      <c r="K577" s="8" t="s">
        <v>534</v>
      </c>
    </row>
    <row r="578" customFormat="false" ht="15" hidden="false" customHeight="false" outlineLevel="0" collapsed="false">
      <c r="A578" s="4" t="s">
        <v>535</v>
      </c>
      <c r="B578" s="0" t="s">
        <v>44</v>
      </c>
      <c r="D578" s="18" t="n">
        <f aca="false">D577/C577-1</f>
        <v>1.19351516523314</v>
      </c>
      <c r="E578" s="18" t="n">
        <f aca="false">E577/D577-1</f>
        <v>0.967994402730677</v>
      </c>
      <c r="F578" s="18" t="n">
        <f aca="false">F577/E577-1</f>
        <v>0.68029061255363</v>
      </c>
      <c r="G578" s="18" t="n">
        <f aca="false">G577/F577-1</f>
        <v>0.146479744610014</v>
      </c>
      <c r="H578" s="26" t="n">
        <f aca="false">$G578+(fade_gA-$G578)*1/3</f>
        <v>0.117653163073342</v>
      </c>
      <c r="I578" s="26" t="n">
        <f aca="false">$G578+(fade_gA-$G578)*2/3</f>
        <v>0.0888265815366712</v>
      </c>
      <c r="J578" s="26" t="n">
        <f aca="false">$G578+(fade_gA-$G578)*3/3</f>
        <v>0.06</v>
      </c>
    </row>
    <row r="579" customFormat="false" ht="17.15" hidden="false" customHeight="false" outlineLevel="0" collapsed="false">
      <c r="A579" s="0" t="s">
        <v>536</v>
      </c>
      <c r="B579" s="0" t="s">
        <v>44</v>
      </c>
      <c r="C579" s="18" t="n">
        <f aca="false">C571/C577</f>
        <v>0</v>
      </c>
      <c r="D579" s="18" t="n">
        <f aca="false">D571/D577</f>
        <v>0.698737334464482</v>
      </c>
      <c r="E579" s="18" t="n">
        <f aca="false">E571/E577</f>
        <v>0.823956783167102</v>
      </c>
      <c r="F579" s="18" t="n">
        <f aca="false">F571/F577</f>
        <v>0.882658153667122</v>
      </c>
      <c r="G579" s="18" t="n">
        <f aca="false">G571/G577</f>
        <v>0.885368347316482</v>
      </c>
    </row>
    <row r="580" customFormat="false" ht="17.15" hidden="false" customHeight="false" outlineLevel="0" collapsed="false">
      <c r="A580" s="4" t="s">
        <v>537</v>
      </c>
      <c r="B580" s="0" t="s">
        <v>44</v>
      </c>
      <c r="C580" s="18" t="n">
        <f aca="false">C576/C577</f>
        <v>1</v>
      </c>
      <c r="D580" s="18" t="n">
        <f aca="false">D576/D577</f>
        <v>0.301262665535518</v>
      </c>
      <c r="E580" s="18" t="n">
        <f aca="false">E576/E577</f>
        <v>0.176043216832898</v>
      </c>
      <c r="F580" s="18" t="n">
        <f aca="false">F576/F577</f>
        <v>0.117341846332878</v>
      </c>
      <c r="G580" s="18" t="n">
        <f aca="false">G576/G577</f>
        <v>0.114631652683518</v>
      </c>
    </row>
    <row r="581" customFormat="false" ht="17.15" hidden="false" customHeight="false" outlineLevel="0" collapsed="false">
      <c r="A581" s="6" t="s">
        <v>538</v>
      </c>
    </row>
    <row r="582" customFormat="false" ht="17.15" hidden="false" customHeight="false" outlineLevel="0" collapsed="false">
      <c r="A582" s="0" t="s">
        <v>539</v>
      </c>
      <c r="B582" s="0" t="s">
        <v>219</v>
      </c>
      <c r="D582" s="20" t="n">
        <f aca="false">m_trn*D573+m_hbm*D572</f>
        <v>6.162</v>
      </c>
      <c r="E582" s="20" t="n">
        <f aca="false">(m_trn+gta_A)*E573+m_hbm*E572</f>
        <v>15.4</v>
      </c>
      <c r="F582" s="20" t="n">
        <f aca="false">(m_trn+gta_A)*F573+m_hbm*F572</f>
        <v>27.72</v>
      </c>
      <c r="G582" s="20" t="n">
        <f aca="false">(m_trn+gta_A)*G573+m_hbm*G572</f>
        <v>31.878</v>
      </c>
    </row>
    <row r="583" customFormat="false" ht="17.15" hidden="false" customHeight="false" outlineLevel="0" collapsed="false">
      <c r="A583" s="4" t="s">
        <v>540</v>
      </c>
      <c r="B583" s="0" t="s">
        <v>44</v>
      </c>
      <c r="C583" s="17" t="n">
        <f aca="false">a25_gp/C576</f>
        <v>0.263661643924206</v>
      </c>
      <c r="D583" s="17" t="n">
        <f aca="false">(a26_gp-D582)/D576</f>
        <v>0.499403865114879</v>
      </c>
      <c r="E583" s="17" t="n">
        <f aca="false">$D583+0</f>
        <v>0.499403865114879</v>
      </c>
      <c r="F583" s="17" t="n">
        <f aca="false">$D583+0</f>
        <v>0.499403865114879</v>
      </c>
      <c r="G583" s="17" t="n">
        <f aca="false">$D583+0</f>
        <v>0.499403865114879</v>
      </c>
      <c r="K583" s="8" t="s">
        <v>541</v>
      </c>
    </row>
    <row r="584" customFormat="false" ht="15" hidden="false" customHeight="false" outlineLevel="0" collapsed="false">
      <c r="A584" s="4" t="s">
        <v>422</v>
      </c>
      <c r="B584" s="0" t="s">
        <v>219</v>
      </c>
      <c r="C584" s="20" t="n">
        <f aca="false">a25_gp</f>
        <v>8.154</v>
      </c>
      <c r="D584" s="20" t="n">
        <f aca="false">a26_gp</f>
        <v>16.368142</v>
      </c>
      <c r="E584" s="20" t="n">
        <f aca="false">E583*E576+E582</f>
        <v>27.1370633</v>
      </c>
      <c r="F584" s="20" t="n">
        <f aca="false">F583*F576+F582</f>
        <v>40.865510896</v>
      </c>
      <c r="G584" s="20" t="n">
        <f aca="false">G583*G576+G582</f>
        <v>46.60097220352</v>
      </c>
    </row>
    <row r="585" customFormat="false" ht="15" hidden="false" customHeight="false" outlineLevel="0" collapsed="false">
      <c r="A585" s="4" t="s">
        <v>425</v>
      </c>
      <c r="B585" s="0" t="s">
        <v>44</v>
      </c>
      <c r="C585" s="17" t="n">
        <f aca="false">C584/C577</f>
        <v>0.263661643924206</v>
      </c>
      <c r="D585" s="17" t="n">
        <f aca="false">D584/D577</f>
        <v>0.241287593063632</v>
      </c>
      <c r="E585" s="17" t="n">
        <f aca="false">E584/E577</f>
        <v>0.203270612557</v>
      </c>
      <c r="F585" s="17" t="n">
        <f aca="false">F584/F577</f>
        <v>0.182173113111753</v>
      </c>
      <c r="G585" s="17" t="n">
        <f aca="false">G584/G577</f>
        <v>0.181199059038963</v>
      </c>
    </row>
    <row r="586" customFormat="false" ht="15" hidden="false" customHeight="false" outlineLevel="0" collapsed="false">
      <c r="A586" s="4" t="s">
        <v>429</v>
      </c>
      <c r="B586" s="0" t="s">
        <v>219</v>
      </c>
      <c r="C586" s="20" t="n">
        <f aca="false">a25_opx</f>
        <v>3.138</v>
      </c>
      <c r="D586" s="20" t="n">
        <f aca="false">a26_opx</f>
        <v>3.849</v>
      </c>
      <c r="E586" s="20" t="n">
        <f aca="false">D586*(1+MAX(g_opx_min,phi*E578))+opx_adj_hi*E577</f>
        <v>7.63678608683311</v>
      </c>
      <c r="F586" s="20" t="n">
        <f aca="false">E586*(1+MAX(g_opx_min,phi*F578))+opx_adj_hi*F577</f>
        <v>13.6818043563189</v>
      </c>
      <c r="G586" s="20" t="n">
        <f aca="false">F586*(1+MAX(g_opx_min,phi*G578))+opx_adj_hi*G577</f>
        <v>19.9199705813044</v>
      </c>
    </row>
    <row r="587" customFormat="false" ht="15" hidden="false" customHeight="false" outlineLevel="0" collapsed="false">
      <c r="A587" s="4" t="s">
        <v>432</v>
      </c>
      <c r="B587" s="0" t="s">
        <v>219</v>
      </c>
      <c r="C587" s="20" t="n">
        <f aca="false">C584-C586</f>
        <v>5.016</v>
      </c>
      <c r="D587" s="20" t="n">
        <f aca="false">D584-D586</f>
        <v>12.519142</v>
      </c>
      <c r="E587" s="20" t="n">
        <f aca="false">E584-E586</f>
        <v>19.5002772131669</v>
      </c>
      <c r="F587" s="20" t="n">
        <f aca="false">F584-F586</f>
        <v>27.1837065396811</v>
      </c>
      <c r="G587" s="20" t="n">
        <f aca="false">G584-G586</f>
        <v>26.6810016222156</v>
      </c>
    </row>
    <row r="588" customFormat="false" ht="15" hidden="false" customHeight="false" outlineLevel="0" collapsed="false">
      <c r="A588" s="4" t="s">
        <v>505</v>
      </c>
      <c r="B588" s="0" t="s">
        <v>44</v>
      </c>
      <c r="C588" s="17" t="n">
        <f aca="false">C587/C577</f>
        <v>0.162193623488327</v>
      </c>
      <c r="D588" s="17" t="n">
        <f aca="false">D587/D577</f>
        <v>0.184548352549838</v>
      </c>
      <c r="E588" s="17" t="n">
        <f aca="false">E587/E577</f>
        <v>0.146067142576616</v>
      </c>
      <c r="F588" s="17" t="n">
        <f aca="false">F587/F577</f>
        <v>0.121181415273453</v>
      </c>
      <c r="G588" s="17" t="n">
        <f aca="false">G587/G577</f>
        <v>0.10374402420294</v>
      </c>
    </row>
    <row r="589" customFormat="false" ht="15" hidden="false" customHeight="false" outlineLevel="0" collapsed="false">
      <c r="A589" s="4" t="s">
        <v>435</v>
      </c>
      <c r="B589" s="0" t="s">
        <v>219</v>
      </c>
      <c r="C589" s="20" t="n">
        <f aca="false">a25_nonop</f>
        <v>1.7042198</v>
      </c>
      <c r="D589" s="20" t="n">
        <f aca="false">a26_nonop</f>
        <v>1.605</v>
      </c>
      <c r="E589" s="20" t="n">
        <f aca="false">nonop_f</f>
        <v>1.6</v>
      </c>
      <c r="F589" s="20" t="n">
        <f aca="false">nonop_f</f>
        <v>1.6</v>
      </c>
      <c r="G589" s="20" t="n">
        <f aca="false">nonop_f</f>
        <v>1.6</v>
      </c>
    </row>
    <row r="590" customFormat="false" ht="15" hidden="false" customHeight="false" outlineLevel="0" collapsed="false">
      <c r="A590" s="4" t="s">
        <v>437</v>
      </c>
      <c r="B590" s="0" t="s">
        <v>219</v>
      </c>
      <c r="C590" s="20" t="n">
        <f aca="false">C587+C589</f>
        <v>6.7202198</v>
      </c>
      <c r="D590" s="20" t="n">
        <f aca="false">D587+D589</f>
        <v>14.124142</v>
      </c>
      <c r="E590" s="20" t="n">
        <f aca="false">E587+E589</f>
        <v>21.1002772131669</v>
      </c>
      <c r="F590" s="20" t="n">
        <f aca="false">F587+F589</f>
        <v>28.7837065396811</v>
      </c>
      <c r="G590" s="20" t="n">
        <f aca="false">G587+G589</f>
        <v>28.2810016222156</v>
      </c>
    </row>
    <row r="591" customFormat="false" ht="15" hidden="false" customHeight="false" outlineLevel="0" collapsed="false">
      <c r="A591" s="4" t="s">
        <v>439</v>
      </c>
      <c r="B591" s="0" t="s">
        <v>219</v>
      </c>
      <c r="C591" s="20" t="n">
        <f aca="false">a25_tax</f>
        <v>1.1222198</v>
      </c>
      <c r="D591" s="20" t="n">
        <f aca="false">a26_tax</f>
        <v>2.8140284</v>
      </c>
      <c r="E591" s="20" t="n">
        <f aca="false">E590*tax</f>
        <v>4.22005544263338</v>
      </c>
      <c r="F591" s="20" t="n">
        <f aca="false">F590*tax</f>
        <v>5.75674130793621</v>
      </c>
      <c r="G591" s="20" t="n">
        <f aca="false">G590*tax</f>
        <v>5.65620032444311</v>
      </c>
    </row>
    <row r="592" customFormat="false" ht="15" hidden="false" customHeight="false" outlineLevel="0" collapsed="false">
      <c r="A592" s="4" t="s">
        <v>442</v>
      </c>
      <c r="B592" s="0" t="s">
        <v>219</v>
      </c>
      <c r="C592" s="20" t="n">
        <f aca="false">C590-C591</f>
        <v>5.598</v>
      </c>
      <c r="D592" s="20" t="n">
        <f aca="false">D590-D591</f>
        <v>11.3101136</v>
      </c>
      <c r="E592" s="20" t="n">
        <f aca="false">E590-E591</f>
        <v>16.8802217705335</v>
      </c>
      <c r="F592" s="20" t="n">
        <f aca="false">F590-F591</f>
        <v>23.0269652317449</v>
      </c>
      <c r="G592" s="20" t="n">
        <f aca="false">G590-G591</f>
        <v>22.6248012977724</v>
      </c>
      <c r="H592" s="28" t="n">
        <f aca="false">H577*H596</f>
        <v>29.2986524849925</v>
      </c>
      <c r="I592" s="28" t="n">
        <f aca="false">I577*I596</f>
        <v>36.2694931153268</v>
      </c>
      <c r="J592" s="28" t="n">
        <f aca="false">J577*J596</f>
        <v>43.0761046778957</v>
      </c>
    </row>
    <row r="593" customFormat="false" ht="17.15" hidden="false" customHeight="false" outlineLevel="0" collapsed="false">
      <c r="A593" s="4" t="s">
        <v>542</v>
      </c>
      <c r="B593" s="4" t="s">
        <v>272</v>
      </c>
      <c r="C593" s="19" t="n">
        <f aca="false">a25_sh</f>
        <v>0.0809193408499566</v>
      </c>
      <c r="D593" s="19" t="n">
        <f aca="false">a26_sh</f>
        <v>0.0838996682946683</v>
      </c>
      <c r="E593" s="19" t="n">
        <f aca="false">q_sh*(1+sh_g)</f>
        <v>0.08621</v>
      </c>
      <c r="F593" s="19" t="n">
        <f aca="false">E593*(1+sh_g)</f>
        <v>0.08621</v>
      </c>
      <c r="G593" s="19" t="n">
        <f aca="false">F593*(1+sh_g)</f>
        <v>0.08621</v>
      </c>
      <c r="H593" s="31" t="n">
        <f aca="false">G593*(1+sh_g)</f>
        <v>0.08621</v>
      </c>
      <c r="I593" s="31" t="n">
        <f aca="false">H593*(1+sh_g)</f>
        <v>0.08621</v>
      </c>
      <c r="J593" s="31" t="n">
        <f aca="false">I593*(1+sh_g)</f>
        <v>0.08621</v>
      </c>
      <c r="K593" s="8" t="s">
        <v>543</v>
      </c>
    </row>
    <row r="594" customFormat="false" ht="17.15" hidden="false" customHeight="false" outlineLevel="0" collapsed="false">
      <c r="A594" s="0" t="s">
        <v>446</v>
      </c>
      <c r="B594" s="0" t="s">
        <v>312</v>
      </c>
      <c r="C594" s="20" t="n">
        <f aca="false">C592/C593</f>
        <v>69.18</v>
      </c>
      <c r="D594" s="20" t="n">
        <f aca="false">D592/D593</f>
        <v>134.805224262356</v>
      </c>
      <c r="E594" s="20" t="n">
        <f aca="false">E592/E593</f>
        <v>195.803523611339</v>
      </c>
      <c r="F594" s="20" t="n">
        <f aca="false">F592/F593</f>
        <v>267.103180973725</v>
      </c>
      <c r="G594" s="20" t="n">
        <f aca="false">G592/G593</f>
        <v>262.438247277258</v>
      </c>
      <c r="H594" s="28" t="n">
        <f aca="false">H592/H593</f>
        <v>339.852134149084</v>
      </c>
      <c r="I594" s="28" t="n">
        <f aca="false">I592/I593</f>
        <v>420.710974542708</v>
      </c>
      <c r="J594" s="28" t="n">
        <f aca="false">J592/J593</f>
        <v>499.664826329842</v>
      </c>
    </row>
    <row r="595" customFormat="false" ht="17.15" hidden="false" customHeight="false" outlineLevel="0" collapsed="false">
      <c r="A595" s="0" t="s">
        <v>544</v>
      </c>
      <c r="B595" s="0" t="s">
        <v>44</v>
      </c>
      <c r="D595" s="18" t="n">
        <f aca="false">D594/C594-1</f>
        <v>0.948615557420577</v>
      </c>
      <c r="E595" s="18" t="n">
        <f aca="false">E594/D594-1</f>
        <v>0.452492102459393</v>
      </c>
      <c r="F595" s="18" t="n">
        <f aca="false">F594/E594-1</f>
        <v>0.364138785898017</v>
      </c>
      <c r="G595" s="18" t="n">
        <f aca="false">G594/F594-1</f>
        <v>-0.0174649125460089</v>
      </c>
      <c r="H595" s="26" t="n">
        <f aca="false">H594/G594-1</f>
        <v>0.294979438686922</v>
      </c>
      <c r="I595" s="26" t="n">
        <f aca="false">I594/H594-1</f>
        <v>0.237923591670469</v>
      </c>
      <c r="J595" s="26" t="n">
        <f aca="false">J594/I594-1</f>
        <v>0.187667678203435</v>
      </c>
    </row>
    <row r="596" customFormat="false" ht="17.15" hidden="false" customHeight="false" outlineLevel="0" collapsed="false">
      <c r="A596" s="4" t="s">
        <v>545</v>
      </c>
      <c r="B596" s="0" t="s">
        <v>44</v>
      </c>
      <c r="C596" s="17" t="n">
        <f aca="false">C592/C577</f>
        <v>0.181012740089245</v>
      </c>
      <c r="D596" s="17" t="n">
        <f aca="false">D592/D577</f>
        <v>0.166725709480052</v>
      </c>
      <c r="E596" s="17" t="n">
        <f aca="false">E592/E577</f>
        <v>0.126441574810873</v>
      </c>
      <c r="F596" s="17" t="n">
        <f aca="false">F592/F577</f>
        <v>0.102651205131358</v>
      </c>
      <c r="G596" s="17" t="n">
        <f aca="false">G592/G577</f>
        <v>0.0879722570635599</v>
      </c>
      <c r="H596" s="27" t="n">
        <f aca="false">$G596+(fade_mA-$G596)*1/3</f>
        <v>0.101929890091238</v>
      </c>
      <c r="I596" s="27" t="n">
        <f aca="false">$G596+(fade_mA-$G596)*2/3</f>
        <v>0.115887523118916</v>
      </c>
      <c r="J596" s="27" t="n">
        <f aca="false">$G596+(fade_mA-$G596)*3/3</f>
        <v>0.129845156146594</v>
      </c>
    </row>
    <row r="599" customFormat="false" ht="17.15" hidden="false" customHeight="false" outlineLevel="0" collapsed="false">
      <c r="A599" s="1" t="s">
        <v>833</v>
      </c>
    </row>
    <row r="600" customFormat="false" ht="17.15" hidden="false" customHeight="false" outlineLevel="0" collapsed="false">
      <c r="A600" s="5" t="s">
        <v>20</v>
      </c>
      <c r="B600" s="5" t="s">
        <v>21</v>
      </c>
      <c r="C600" s="14" t="s">
        <v>407</v>
      </c>
      <c r="D600" s="14" t="s">
        <v>495</v>
      </c>
      <c r="E600" s="14" t="s">
        <v>496</v>
      </c>
      <c r="F600" s="14" t="s">
        <v>497</v>
      </c>
      <c r="G600" s="14" t="s">
        <v>498</v>
      </c>
      <c r="H600" s="14" t="s">
        <v>499</v>
      </c>
      <c r="I600" s="14" t="s">
        <v>500</v>
      </c>
      <c r="J600" s="14" t="s">
        <v>501</v>
      </c>
      <c r="K600" s="5" t="s">
        <v>465</v>
      </c>
    </row>
    <row r="601" customFormat="false" ht="17.15" hidden="false" customHeight="false" outlineLevel="0" collapsed="false">
      <c r="A601" s="6" t="s">
        <v>516</v>
      </c>
    </row>
    <row r="602" customFormat="false" ht="17.15" hidden="false" customHeight="false" outlineLevel="0" collapsed="false">
      <c r="A602" s="0" t="s">
        <v>517</v>
      </c>
      <c r="B602" s="4" t="s">
        <v>31</v>
      </c>
      <c r="D602" s="22" t="n">
        <f aca="false">u_trn_26</f>
        <v>2</v>
      </c>
      <c r="E602" s="22" t="n">
        <f aca="false">u_trn_27</f>
        <v>2.5</v>
      </c>
      <c r="F602" s="22" t="n">
        <f aca="false">u_trn_28*um28_A</f>
        <v>3</v>
      </c>
      <c r="G602" s="22" t="n">
        <f aca="false">u_trn_28*(1+g29_trn)*um29_A</f>
        <v>3.45</v>
      </c>
    </row>
    <row r="603" customFormat="false" ht="17.15" hidden="false" customHeight="false" outlineLevel="0" collapsed="false">
      <c r="A603" s="4" t="s">
        <v>469</v>
      </c>
      <c r="B603" s="0" t="s">
        <v>44</v>
      </c>
      <c r="D603" s="18" t="n">
        <f aca="false">al_trn_26</f>
        <v>0.3</v>
      </c>
      <c r="E603" s="18" t="n">
        <f aca="false">MIN(1,MAX(0,al27_A+0))</f>
        <v>0.55</v>
      </c>
      <c r="F603" s="18" t="n">
        <f aca="false">MIN(1,MAX(0,al28_A+0))</f>
        <v>0.55</v>
      </c>
      <c r="G603" s="18" t="n">
        <f aca="false">MIN(1,MAX(0,al28_A+0))</f>
        <v>0.55</v>
      </c>
    </row>
    <row r="604" customFormat="false" ht="17.15" hidden="false" customHeight="false" outlineLevel="0" collapsed="false">
      <c r="A604" s="4" t="s">
        <v>471</v>
      </c>
      <c r="B604" s="4" t="s">
        <v>31</v>
      </c>
      <c r="D604" s="22" t="n">
        <f aca="false">D602*D603</f>
        <v>0.6</v>
      </c>
      <c r="E604" s="22" t="n">
        <f aca="false">E602*E603*1</f>
        <v>1.375</v>
      </c>
      <c r="F604" s="22" t="n">
        <f aca="false">F602*F603*1</f>
        <v>1.65</v>
      </c>
      <c r="G604" s="22" t="n">
        <f aca="false">G602*G603*1</f>
        <v>1.8975</v>
      </c>
    </row>
    <row r="605" customFormat="false" ht="17.15" hidden="false" customHeight="false" outlineLevel="0" collapsed="false">
      <c r="A605" s="4" t="s">
        <v>518</v>
      </c>
      <c r="B605" s="0" t="s">
        <v>69</v>
      </c>
      <c r="D605" s="30" t="n">
        <f aca="false">gb_trn_26</f>
        <v>110</v>
      </c>
      <c r="E605" s="30" t="n">
        <f aca="false">gb_trn_27</f>
        <v>144</v>
      </c>
      <c r="F605" s="30" t="n">
        <f aca="false">gb_trn_28</f>
        <v>200</v>
      </c>
      <c r="G605" s="30" t="n">
        <f aca="false">gb_trn_28</f>
        <v>200</v>
      </c>
    </row>
    <row r="606" customFormat="false" ht="17.15" hidden="false" customHeight="false" outlineLevel="0" collapsed="false">
      <c r="A606" s="0" t="s">
        <v>519</v>
      </c>
      <c r="B606" s="0" t="s">
        <v>156</v>
      </c>
      <c r="D606" s="20" t="n">
        <f aca="false">hbm_A_26</f>
        <v>14.6</v>
      </c>
      <c r="E606" s="20" t="n">
        <f aca="false">hbm_A_27</f>
        <v>26.28</v>
      </c>
      <c r="F606" s="20" t="n">
        <f aca="false">hbm_A_28</f>
        <v>28.908</v>
      </c>
      <c r="G606" s="20" t="n">
        <f aca="false">hbm_A_29</f>
        <v>27.4626</v>
      </c>
    </row>
    <row r="607" customFormat="false" ht="17.15" hidden="false" customHeight="false" outlineLevel="0" collapsed="false">
      <c r="A607" s="4" t="s">
        <v>520</v>
      </c>
      <c r="B607" s="0" t="s">
        <v>80</v>
      </c>
      <c r="D607" s="20" t="n">
        <f aca="false">core_trn</f>
        <v>6.394</v>
      </c>
      <c r="E607" s="20" t="n">
        <f aca="false">core_trn</f>
        <v>6.394</v>
      </c>
      <c r="F607" s="20" t="n">
        <f aca="false">core_trn*pfc_A</f>
        <v>9.591</v>
      </c>
      <c r="G607" s="20" t="n">
        <f aca="false">core_trn*pfc_A</f>
        <v>9.591</v>
      </c>
    </row>
    <row r="608" customFormat="false" ht="17.15" hidden="false" customHeight="false" outlineLevel="0" collapsed="false">
      <c r="A608" s="4" t="s">
        <v>521</v>
      </c>
      <c r="B608" s="0" t="s">
        <v>80</v>
      </c>
      <c r="D608" s="20" t="n">
        <f aca="false">D605*D606/1000</f>
        <v>1.606</v>
      </c>
      <c r="E608" s="20" t="n">
        <f aca="false">E605*E606/1000</f>
        <v>3.78432</v>
      </c>
      <c r="F608" s="20" t="n">
        <f aca="false">F605*F606/1000</f>
        <v>5.7816</v>
      </c>
      <c r="G608" s="20" t="n">
        <f aca="false">G605*G606/1000</f>
        <v>5.49252</v>
      </c>
    </row>
    <row r="609" customFormat="false" ht="17.15" hidden="false" customHeight="false" outlineLevel="0" collapsed="false">
      <c r="A609" s="4" t="s">
        <v>522</v>
      </c>
      <c r="B609" s="0" t="s">
        <v>80</v>
      </c>
      <c r="D609" s="20" t="n">
        <f aca="false">D607+f_al*D608</f>
        <v>6.394</v>
      </c>
      <c r="E609" s="20" t="n">
        <f aca="false">E607+f_al*E608</f>
        <v>6.394</v>
      </c>
      <c r="F609" s="20" t="n">
        <f aca="false">F607+f_al*F608</f>
        <v>9.591</v>
      </c>
      <c r="G609" s="20" t="n">
        <f aca="false">G607+f_al*G608</f>
        <v>9.591</v>
      </c>
      <c r="K609" s="4" t="s">
        <v>523</v>
      </c>
    </row>
    <row r="610" customFormat="false" ht="17.15" hidden="false" customHeight="false" outlineLevel="0" collapsed="false">
      <c r="A610" s="0" t="s">
        <v>524</v>
      </c>
      <c r="B610" s="0" t="s">
        <v>213</v>
      </c>
      <c r="D610" s="20" t="n">
        <f aca="false">D604*D609</f>
        <v>3.8364</v>
      </c>
      <c r="E610" s="20" t="n">
        <f aca="false">E604*E609</f>
        <v>8.79175</v>
      </c>
      <c r="F610" s="20" t="n">
        <f aca="false">F604*F609</f>
        <v>15.82515</v>
      </c>
      <c r="G610" s="20" t="n">
        <f aca="false">G604*G609</f>
        <v>18.1989225</v>
      </c>
    </row>
    <row r="611" customFormat="false" ht="17.15" hidden="false" customHeight="false" outlineLevel="0" collapsed="false">
      <c r="A611" s="4" t="s">
        <v>525</v>
      </c>
      <c r="B611" s="0" t="s">
        <v>49</v>
      </c>
      <c r="D611" s="22" t="n">
        <f aca="false">dc26/D610</f>
        <v>0.390991554582421</v>
      </c>
      <c r="K611" s="8" t="s">
        <v>526</v>
      </c>
    </row>
    <row r="612" customFormat="false" ht="17.15" hidden="false" customHeight="false" outlineLevel="0" collapsed="false">
      <c r="A612" s="0" t="s">
        <v>527</v>
      </c>
      <c r="B612" s="0" t="s">
        <v>213</v>
      </c>
      <c r="D612" s="20" t="n">
        <f aca="false">D610*$D$611</f>
        <v>1.5</v>
      </c>
      <c r="E612" s="20" t="n">
        <f aca="false">E610*$D$611</f>
        <v>3.4375</v>
      </c>
      <c r="F612" s="20" t="n">
        <f aca="false">F610*$D$611</f>
        <v>6.1875</v>
      </c>
      <c r="G612" s="20" t="n">
        <f aca="false">G610*$D$611</f>
        <v>7.115625</v>
      </c>
    </row>
    <row r="613" customFormat="false" ht="15" hidden="false" customHeight="false" outlineLevel="0" collapsed="false">
      <c r="A613" s="4" t="s">
        <v>528</v>
      </c>
      <c r="B613" s="0" t="s">
        <v>224</v>
      </c>
      <c r="D613" s="20" t="n">
        <f aca="false">fx26</f>
        <v>31.6</v>
      </c>
      <c r="E613" s="20" t="n">
        <f aca="false">fx_lo</f>
        <v>30</v>
      </c>
      <c r="F613" s="20" t="n">
        <f aca="false">fx_lo</f>
        <v>30</v>
      </c>
      <c r="G613" s="20" t="n">
        <f aca="false">fx_lo</f>
        <v>30</v>
      </c>
    </row>
    <row r="614" customFormat="false" ht="17.15" hidden="false" customHeight="false" outlineLevel="0" collapsed="false">
      <c r="A614" s="0" t="s">
        <v>529</v>
      </c>
      <c r="B614" s="0" t="s">
        <v>219</v>
      </c>
      <c r="C614" s="20" t="n">
        <f aca="false">a25_trn</f>
        <v>0</v>
      </c>
      <c r="D614" s="20" t="n">
        <f aca="false">D612*D613</f>
        <v>47.4</v>
      </c>
      <c r="E614" s="20" t="n">
        <f aca="false">E612*E613</f>
        <v>103.125</v>
      </c>
      <c r="F614" s="20" t="n">
        <f aca="false">F612*F613</f>
        <v>185.625</v>
      </c>
      <c r="G614" s="20" t="n">
        <f aca="false">G612*G613</f>
        <v>213.46875</v>
      </c>
    </row>
    <row r="615" customFormat="false" ht="17.15" hidden="false" customHeight="false" outlineLevel="0" collapsed="false">
      <c r="A615" s="4" t="s">
        <v>530</v>
      </c>
      <c r="B615" s="0" t="s">
        <v>219</v>
      </c>
      <c r="D615" s="20" t="n">
        <f aca="false">$D$611*f_al*D604*D608*D613</f>
        <v>0</v>
      </c>
      <c r="E615" s="20" t="n">
        <f aca="false">$D$611*f_al*E604*E608*E613</f>
        <v>0</v>
      </c>
      <c r="F615" s="20" t="n">
        <f aca="false">$D$611*f_al*F604*F608*F613</f>
        <v>0</v>
      </c>
      <c r="G615" s="20" t="n">
        <f aca="false">$D$611*f_al*G604*G608*G613</f>
        <v>0</v>
      </c>
    </row>
    <row r="616" customFormat="false" ht="15" hidden="false" customHeight="false" outlineLevel="0" collapsed="false">
      <c r="A616" s="4" t="s">
        <v>531</v>
      </c>
      <c r="B616" s="0" t="s">
        <v>219</v>
      </c>
      <c r="D616" s="20" t="n">
        <f aca="false">D614-D615</f>
        <v>47.4</v>
      </c>
      <c r="E616" s="20" t="n">
        <f aca="false">E614-E615</f>
        <v>103.125</v>
      </c>
      <c r="F616" s="20" t="n">
        <f aca="false">F614-F615</f>
        <v>185.625</v>
      </c>
      <c r="G616" s="20" t="n">
        <f aca="false">G614-G615</f>
        <v>213.46875</v>
      </c>
    </row>
    <row r="617" customFormat="false" ht="15" hidden="false" customHeight="false" outlineLevel="0" collapsed="false">
      <c r="A617" s="4" t="s">
        <v>475</v>
      </c>
      <c r="B617" s="0" t="s">
        <v>80</v>
      </c>
      <c r="D617" s="20" t="n">
        <f aca="false">IF(D604&gt;0,D612/D604,0)</f>
        <v>2.5</v>
      </c>
      <c r="E617" s="20" t="n">
        <f aca="false">IF(E604&gt;0,E612/E604,0)</f>
        <v>2.5</v>
      </c>
      <c r="F617" s="20" t="n">
        <f aca="false">IF(F604&gt;0,F612/F604,0)</f>
        <v>3.75</v>
      </c>
      <c r="G617" s="20" t="n">
        <f aca="false">IF(G604&gt;0,G612/G604,0)</f>
        <v>3.75</v>
      </c>
    </row>
    <row r="618" customFormat="false" ht="17.15" hidden="false" customHeight="false" outlineLevel="0" collapsed="false">
      <c r="A618" s="6" t="s">
        <v>532</v>
      </c>
    </row>
    <row r="619" customFormat="false" ht="17.15" hidden="false" customHeight="false" outlineLevel="0" collapsed="false">
      <c r="A619" s="4" t="s">
        <v>533</v>
      </c>
      <c r="B619" s="0" t="s">
        <v>219</v>
      </c>
      <c r="C619" s="20" t="n">
        <f aca="false">a25_oth</f>
        <v>30.926</v>
      </c>
      <c r="D619" s="20" t="n">
        <f aca="false">a26_oth</f>
        <v>20.43665</v>
      </c>
      <c r="E619" s="20" t="n">
        <f aca="false">D619*(1+g_o27_A)</f>
        <v>23.5021475</v>
      </c>
      <c r="F619" s="20" t="n">
        <f aca="false">E619*(1+g_oL_A)</f>
        <v>26.3224052</v>
      </c>
      <c r="G619" s="20" t="n">
        <f aca="false">F619*(1+g_oL_A)</f>
        <v>29.481093824</v>
      </c>
    </row>
    <row r="620" customFormat="false" ht="17.15" hidden="false" customHeight="false" outlineLevel="0" collapsed="false">
      <c r="A620" s="4" t="s">
        <v>413</v>
      </c>
      <c r="B620" s="0" t="s">
        <v>219</v>
      </c>
      <c r="C620" s="20" t="n">
        <f aca="false">C619+C614</f>
        <v>30.926</v>
      </c>
      <c r="D620" s="20" t="n">
        <f aca="false">D619+D614</f>
        <v>67.83665</v>
      </c>
      <c r="E620" s="20" t="n">
        <f aca="false">E619+E614</f>
        <v>126.6271475</v>
      </c>
      <c r="F620" s="20" t="n">
        <f aca="false">F619+F614</f>
        <v>211.9474052</v>
      </c>
      <c r="G620" s="20" t="n">
        <f aca="false">G619+G614</f>
        <v>242.949843824</v>
      </c>
      <c r="H620" s="28" t="n">
        <f aca="false">G620*(1+H621)</f>
        <v>271.500371199934</v>
      </c>
      <c r="I620" s="28" t="n">
        <f aca="false">H620*(1+I621)</f>
        <v>295.59821988156</v>
      </c>
      <c r="J620" s="28" t="n">
        <f aca="false">I620*(1+J621)</f>
        <v>313.334113074454</v>
      </c>
      <c r="K620" s="8" t="s">
        <v>534</v>
      </c>
    </row>
    <row r="621" customFormat="false" ht="15" hidden="false" customHeight="false" outlineLevel="0" collapsed="false">
      <c r="A621" s="4" t="s">
        <v>535</v>
      </c>
      <c r="B621" s="0" t="s">
        <v>44</v>
      </c>
      <c r="D621" s="18" t="n">
        <f aca="false">D620/C620-1</f>
        <v>1.19351516523314</v>
      </c>
      <c r="E621" s="18" t="n">
        <f aca="false">E620/D620-1</f>
        <v>0.866648006645375</v>
      </c>
      <c r="F621" s="18" t="n">
        <f aca="false">F620/E620-1</f>
        <v>0.673791200263751</v>
      </c>
      <c r="G621" s="18" t="n">
        <f aca="false">G620/F620-1</f>
        <v>0.146274207012561</v>
      </c>
      <c r="H621" s="26" t="n">
        <f aca="false">$G621+(fade_gA-$G621)*1/3</f>
        <v>0.117516138008374</v>
      </c>
      <c r="I621" s="26" t="n">
        <f aca="false">$G621+(fade_gA-$G621)*2/3</f>
        <v>0.0887580690041871</v>
      </c>
      <c r="J621" s="26" t="n">
        <f aca="false">$G621+(fade_gA-$G621)*3/3</f>
        <v>0.06</v>
      </c>
    </row>
    <row r="622" customFormat="false" ht="17.15" hidden="false" customHeight="false" outlineLevel="0" collapsed="false">
      <c r="A622" s="0" t="s">
        <v>536</v>
      </c>
      <c r="B622" s="0" t="s">
        <v>44</v>
      </c>
      <c r="C622" s="18" t="n">
        <f aca="false">C614/C620</f>
        <v>0</v>
      </c>
      <c r="D622" s="18" t="n">
        <f aca="false">D614/D620</f>
        <v>0.698737334464482</v>
      </c>
      <c r="E622" s="18" t="n">
        <f aca="false">E614/E620</f>
        <v>0.814398823917281</v>
      </c>
      <c r="F622" s="18" t="n">
        <f aca="false">F614/F620</f>
        <v>0.875806900418708</v>
      </c>
      <c r="G622" s="18" t="n">
        <f aca="false">G614/G620</f>
        <v>0.878653579850181</v>
      </c>
    </row>
    <row r="623" customFormat="false" ht="17.15" hidden="false" customHeight="false" outlineLevel="0" collapsed="false">
      <c r="A623" s="4" t="s">
        <v>537</v>
      </c>
      <c r="B623" s="0" t="s">
        <v>44</v>
      </c>
      <c r="C623" s="18" t="n">
        <f aca="false">C619/C620</f>
        <v>1</v>
      </c>
      <c r="D623" s="18" t="n">
        <f aca="false">D619/D620</f>
        <v>0.301262665535518</v>
      </c>
      <c r="E623" s="18" t="n">
        <f aca="false">E619/E620</f>
        <v>0.185601176082719</v>
      </c>
      <c r="F623" s="18" t="n">
        <f aca="false">F619/F620</f>
        <v>0.124193099581292</v>
      </c>
      <c r="G623" s="18" t="n">
        <f aca="false">G619/G620</f>
        <v>0.121346420149819</v>
      </c>
    </row>
    <row r="624" customFormat="false" ht="17.15" hidden="false" customHeight="false" outlineLevel="0" collapsed="false">
      <c r="A624" s="6" t="s">
        <v>538</v>
      </c>
    </row>
    <row r="625" customFormat="false" ht="17.15" hidden="false" customHeight="false" outlineLevel="0" collapsed="false">
      <c r="A625" s="0" t="s">
        <v>539</v>
      </c>
      <c r="B625" s="0" t="s">
        <v>219</v>
      </c>
      <c r="D625" s="20" t="n">
        <f aca="false">m_trn*D616+m_hbm*D615</f>
        <v>6.162</v>
      </c>
      <c r="E625" s="20" t="n">
        <f aca="false">(m_trn+gta_A)*E616+m_hbm*E615</f>
        <v>14.4375</v>
      </c>
      <c r="F625" s="20" t="n">
        <f aca="false">(m_trn+gta_A)*F616+m_hbm*F615</f>
        <v>25.9875</v>
      </c>
      <c r="G625" s="20" t="n">
        <f aca="false">(m_trn+gta_A)*G616+m_hbm*G615</f>
        <v>29.885625</v>
      </c>
    </row>
    <row r="626" customFormat="false" ht="17.15" hidden="false" customHeight="false" outlineLevel="0" collapsed="false">
      <c r="A626" s="4" t="s">
        <v>540</v>
      </c>
      <c r="B626" s="0" t="s">
        <v>44</v>
      </c>
      <c r="C626" s="17" t="n">
        <f aca="false">a25_gp/C619</f>
        <v>0.263661643924206</v>
      </c>
      <c r="D626" s="17" t="n">
        <f aca="false">(a26_gp-D625)/D619</f>
        <v>0.499403865114879</v>
      </c>
      <c r="E626" s="17" t="n">
        <f aca="false">$D626+0</f>
        <v>0.499403865114879</v>
      </c>
      <c r="F626" s="17" t="n">
        <f aca="false">$D626+0</f>
        <v>0.499403865114879</v>
      </c>
      <c r="G626" s="17" t="n">
        <f aca="false">$D626+0</f>
        <v>0.499403865114879</v>
      </c>
      <c r="K626" s="8" t="s">
        <v>541</v>
      </c>
    </row>
    <row r="627" customFormat="false" ht="15" hidden="false" customHeight="false" outlineLevel="0" collapsed="false">
      <c r="A627" s="4" t="s">
        <v>422</v>
      </c>
      <c r="B627" s="0" t="s">
        <v>219</v>
      </c>
      <c r="C627" s="20" t="n">
        <f aca="false">a25_gp</f>
        <v>8.154</v>
      </c>
      <c r="D627" s="20" t="n">
        <f aca="false">a26_gp</f>
        <v>16.368142</v>
      </c>
      <c r="E627" s="20" t="n">
        <f aca="false">E626*E619+E625</f>
        <v>26.1745633</v>
      </c>
      <c r="F627" s="20" t="n">
        <f aca="false">F626*F619+F625</f>
        <v>39.133010896</v>
      </c>
      <c r="G627" s="20" t="n">
        <f aca="false">G626*G619+G625</f>
        <v>44.60859720352</v>
      </c>
    </row>
    <row r="628" customFormat="false" ht="15" hidden="false" customHeight="false" outlineLevel="0" collapsed="false">
      <c r="A628" s="4" t="s">
        <v>425</v>
      </c>
      <c r="B628" s="0" t="s">
        <v>44</v>
      </c>
      <c r="C628" s="17" t="n">
        <f aca="false">C627/C620</f>
        <v>0.263661643924206</v>
      </c>
      <c r="D628" s="17" t="n">
        <f aca="false">D627/D620</f>
        <v>0.241287593063632</v>
      </c>
      <c r="E628" s="17" t="n">
        <f aca="false">E627/E620</f>
        <v>0.206705780053997</v>
      </c>
      <c r="F628" s="17" t="n">
        <f aca="false">F627/F620</f>
        <v>0.184635480010113</v>
      </c>
      <c r="G628" s="17" t="n">
        <f aca="false">G627/G620</f>
        <v>0.183612372419699</v>
      </c>
    </row>
    <row r="629" customFormat="false" ht="15" hidden="false" customHeight="false" outlineLevel="0" collapsed="false">
      <c r="A629" s="4" t="s">
        <v>429</v>
      </c>
      <c r="B629" s="0" t="s">
        <v>219</v>
      </c>
      <c r="C629" s="20" t="n">
        <f aca="false">a25_opx</f>
        <v>3.138</v>
      </c>
      <c r="D629" s="20" t="n">
        <f aca="false">a26_opx</f>
        <v>3.849</v>
      </c>
      <c r="E629" s="20" t="n">
        <f aca="false">D629*(1+MAX(g_opx_min,phi*E621))+0*E620</f>
        <v>4.84971845327342</v>
      </c>
      <c r="F629" s="20" t="n">
        <f aca="false">E629*(1+MAX(g_opx_min,phi*F621))+0*F620</f>
        <v>5.83002773854512</v>
      </c>
      <c r="G629" s="20" t="n">
        <f aca="false">F629*(1+MAX(g_opx_min,phi*G621))+0*G620</f>
        <v>6.29642995762873</v>
      </c>
    </row>
    <row r="630" customFormat="false" ht="15" hidden="false" customHeight="false" outlineLevel="0" collapsed="false">
      <c r="A630" s="4" t="s">
        <v>432</v>
      </c>
      <c r="B630" s="0" t="s">
        <v>219</v>
      </c>
      <c r="C630" s="20" t="n">
        <f aca="false">C627-C629</f>
        <v>5.016</v>
      </c>
      <c r="D630" s="20" t="n">
        <f aca="false">D627-D629</f>
        <v>12.519142</v>
      </c>
      <c r="E630" s="20" t="n">
        <f aca="false">E627-E629</f>
        <v>21.3248448467266</v>
      </c>
      <c r="F630" s="20" t="n">
        <f aca="false">F627-F629</f>
        <v>33.3029831574549</v>
      </c>
      <c r="G630" s="20" t="n">
        <f aca="false">G627-G629</f>
        <v>38.3121672458913</v>
      </c>
    </row>
    <row r="631" customFormat="false" ht="15" hidden="false" customHeight="false" outlineLevel="0" collapsed="false">
      <c r="A631" s="4" t="s">
        <v>505</v>
      </c>
      <c r="B631" s="0" t="s">
        <v>44</v>
      </c>
      <c r="C631" s="17" t="n">
        <f aca="false">C630/C620</f>
        <v>0.162193623488327</v>
      </c>
      <c r="D631" s="17" t="n">
        <f aca="false">D630/D620</f>
        <v>0.184548352549838</v>
      </c>
      <c r="E631" s="17" t="n">
        <f aca="false">E630/E620</f>
        <v>0.168406580008656</v>
      </c>
      <c r="F631" s="17" t="n">
        <f aca="false">F630/F620</f>
        <v>0.157128525003782</v>
      </c>
      <c r="G631" s="17" t="n">
        <f aca="false">G630/G620</f>
        <v>0.157695788739201</v>
      </c>
    </row>
    <row r="632" customFormat="false" ht="15" hidden="false" customHeight="false" outlineLevel="0" collapsed="false">
      <c r="A632" s="4" t="s">
        <v>435</v>
      </c>
      <c r="B632" s="0" t="s">
        <v>219</v>
      </c>
      <c r="C632" s="20" t="n">
        <f aca="false">a25_nonop</f>
        <v>1.7042198</v>
      </c>
      <c r="D632" s="20" t="n">
        <f aca="false">a26_nonop</f>
        <v>1.605</v>
      </c>
      <c r="E632" s="20" t="n">
        <f aca="false">nonop_f</f>
        <v>1.6</v>
      </c>
      <c r="F632" s="20" t="n">
        <f aca="false">nonop_f</f>
        <v>1.6</v>
      </c>
      <c r="G632" s="20" t="n">
        <f aca="false">nonop_f</f>
        <v>1.6</v>
      </c>
    </row>
    <row r="633" customFormat="false" ht="15" hidden="false" customHeight="false" outlineLevel="0" collapsed="false">
      <c r="A633" s="4" t="s">
        <v>437</v>
      </c>
      <c r="B633" s="0" t="s">
        <v>219</v>
      </c>
      <c r="C633" s="20" t="n">
        <f aca="false">C630+C632</f>
        <v>6.7202198</v>
      </c>
      <c r="D633" s="20" t="n">
        <f aca="false">D630+D632</f>
        <v>14.124142</v>
      </c>
      <c r="E633" s="20" t="n">
        <f aca="false">E630+E632</f>
        <v>22.9248448467266</v>
      </c>
      <c r="F633" s="20" t="n">
        <f aca="false">F630+F632</f>
        <v>34.9029831574549</v>
      </c>
      <c r="G633" s="20" t="n">
        <f aca="false">G630+G632</f>
        <v>39.9121672458913</v>
      </c>
    </row>
    <row r="634" customFormat="false" ht="15" hidden="false" customHeight="false" outlineLevel="0" collapsed="false">
      <c r="A634" s="4" t="s">
        <v>439</v>
      </c>
      <c r="B634" s="0" t="s">
        <v>219</v>
      </c>
      <c r="C634" s="20" t="n">
        <f aca="false">a25_tax</f>
        <v>1.1222198</v>
      </c>
      <c r="D634" s="20" t="n">
        <f aca="false">a26_tax</f>
        <v>2.8140284</v>
      </c>
      <c r="E634" s="20" t="n">
        <f aca="false">E633*tax</f>
        <v>4.58496896934532</v>
      </c>
      <c r="F634" s="20" t="n">
        <f aca="false">F633*tax</f>
        <v>6.98059663149098</v>
      </c>
      <c r="G634" s="20" t="n">
        <f aca="false">G633*tax</f>
        <v>7.98243344917826</v>
      </c>
    </row>
    <row r="635" customFormat="false" ht="15" hidden="false" customHeight="false" outlineLevel="0" collapsed="false">
      <c r="A635" s="4" t="s">
        <v>442</v>
      </c>
      <c r="B635" s="0" t="s">
        <v>219</v>
      </c>
      <c r="C635" s="20" t="n">
        <f aca="false">C633-C634</f>
        <v>5.598</v>
      </c>
      <c r="D635" s="20" t="n">
        <f aca="false">D633-D634</f>
        <v>11.3101136</v>
      </c>
      <c r="E635" s="20" t="n">
        <f aca="false">E633-E634</f>
        <v>18.3398758773813</v>
      </c>
      <c r="F635" s="20" t="n">
        <f aca="false">F633-F634</f>
        <v>27.9223865259639</v>
      </c>
      <c r="G635" s="20" t="n">
        <f aca="false">G633-G634</f>
        <v>31.929733796713</v>
      </c>
      <c r="H635" s="28" t="n">
        <f aca="false">H620*H639</f>
        <v>35.5389978975301</v>
      </c>
      <c r="I635" s="28" t="n">
        <f aca="false">I620*I639</f>
        <v>38.5376838712176</v>
      </c>
      <c r="J635" s="28" t="n">
        <f aca="false">J620*J639</f>
        <v>40.6849168382072</v>
      </c>
    </row>
    <row r="636" customFormat="false" ht="17.15" hidden="false" customHeight="false" outlineLevel="0" collapsed="false">
      <c r="A636" s="4" t="s">
        <v>542</v>
      </c>
      <c r="B636" s="4" t="s">
        <v>272</v>
      </c>
      <c r="C636" s="19" t="n">
        <f aca="false">a25_sh</f>
        <v>0.0809193408499566</v>
      </c>
      <c r="D636" s="19" t="n">
        <f aca="false">a26_sh</f>
        <v>0.0838996682946683</v>
      </c>
      <c r="E636" s="19" t="n">
        <f aca="false">q_sh*(1+sh_g)</f>
        <v>0.08621</v>
      </c>
      <c r="F636" s="19" t="n">
        <f aca="false">E636*(1+sh_g)</f>
        <v>0.08621</v>
      </c>
      <c r="G636" s="19" t="n">
        <f aca="false">F636*(1+sh_g)</f>
        <v>0.08621</v>
      </c>
      <c r="H636" s="31" t="n">
        <f aca="false">G636*(1+sh_g)</f>
        <v>0.08621</v>
      </c>
      <c r="I636" s="31" t="n">
        <f aca="false">H636*(1+sh_g)</f>
        <v>0.08621</v>
      </c>
      <c r="J636" s="31" t="n">
        <f aca="false">I636*(1+sh_g)</f>
        <v>0.08621</v>
      </c>
      <c r="K636" s="8" t="s">
        <v>543</v>
      </c>
    </row>
    <row r="637" customFormat="false" ht="17.15" hidden="false" customHeight="false" outlineLevel="0" collapsed="false">
      <c r="A637" s="0" t="s">
        <v>446</v>
      </c>
      <c r="B637" s="0" t="s">
        <v>312</v>
      </c>
      <c r="C637" s="20" t="n">
        <f aca="false">C635/C636</f>
        <v>69.18</v>
      </c>
      <c r="D637" s="20" t="n">
        <f aca="false">D635/D636</f>
        <v>134.805224262356</v>
      </c>
      <c r="E637" s="20" t="n">
        <f aca="false">E635/E636</f>
        <v>212.734901721161</v>
      </c>
      <c r="F637" s="20" t="n">
        <f aca="false">F635/F636</f>
        <v>323.888023732327</v>
      </c>
      <c r="G637" s="20" t="n">
        <f aca="false">G635/G636</f>
        <v>370.371578665039</v>
      </c>
      <c r="H637" s="28" t="n">
        <f aca="false">H635/H636</f>
        <v>412.237535060087</v>
      </c>
      <c r="I637" s="28" t="n">
        <f aca="false">I635/I636</f>
        <v>447.021040148679</v>
      </c>
      <c r="J637" s="28" t="n">
        <f aca="false">J635/J636</f>
        <v>471.92804591355</v>
      </c>
    </row>
    <row r="638" customFormat="false" ht="17.15" hidden="false" customHeight="false" outlineLevel="0" collapsed="false">
      <c r="A638" s="0" t="s">
        <v>544</v>
      </c>
      <c r="B638" s="0" t="s">
        <v>44</v>
      </c>
      <c r="D638" s="18" t="n">
        <f aca="false">D637/C637-1</f>
        <v>0.948615557420577</v>
      </c>
      <c r="E638" s="18" t="n">
        <f aca="false">E637/D637-1</f>
        <v>0.578090929971229</v>
      </c>
      <c r="F638" s="18" t="n">
        <f aca="false">F637/E637-1</f>
        <v>0.522495937957837</v>
      </c>
      <c r="G638" s="18" t="n">
        <f aca="false">G637/F637-1</f>
        <v>0.143517362565798</v>
      </c>
      <c r="H638" s="26" t="n">
        <f aca="false">H637/G637-1</f>
        <v>0.113037713492889</v>
      </c>
      <c r="I638" s="26" t="n">
        <f aca="false">I637/H637-1</f>
        <v>0.0843773361965272</v>
      </c>
      <c r="J638" s="26" t="n">
        <f aca="false">J637/I637-1</f>
        <v>0.0557177482218443</v>
      </c>
    </row>
    <row r="639" customFormat="false" ht="17.15" hidden="false" customHeight="false" outlineLevel="0" collapsed="false">
      <c r="A639" s="4" t="s">
        <v>545</v>
      </c>
      <c r="B639" s="0" t="s">
        <v>44</v>
      </c>
      <c r="C639" s="17" t="n">
        <f aca="false">C635/C620</f>
        <v>0.181012740089245</v>
      </c>
      <c r="D639" s="17" t="n">
        <f aca="false">D635/D620</f>
        <v>0.166725709480052</v>
      </c>
      <c r="E639" s="17" t="n">
        <f aca="false">E635/E620</f>
        <v>0.144833680924395</v>
      </c>
      <c r="F639" s="17" t="n">
        <f aca="false">F635/F620</f>
        <v>0.131742054117697</v>
      </c>
      <c r="G639" s="17" t="n">
        <f aca="false">G635/G620</f>
        <v>0.131425208158783</v>
      </c>
      <c r="H639" s="27" t="n">
        <f aca="false">$G639+(fade_mA-$G639)*1/3</f>
        <v>0.13089852415472</v>
      </c>
      <c r="I639" s="27" t="n">
        <f aca="false">$G639+(fade_mA-$G639)*2/3</f>
        <v>0.130371840150657</v>
      </c>
      <c r="J639" s="27" t="n">
        <f aca="false">$G639+(fade_mA-$G639)*3/3</f>
        <v>0.129845156146594</v>
      </c>
    </row>
    <row r="642" customFormat="false" ht="17.15" hidden="false" customHeight="false" outlineLevel="0" collapsed="false">
      <c r="A642" s="1" t="s">
        <v>834</v>
      </c>
    </row>
    <row r="643" customFormat="false" ht="17.15" hidden="false" customHeight="false" outlineLevel="0" collapsed="false">
      <c r="A643" s="5" t="s">
        <v>20</v>
      </c>
      <c r="B643" s="5" t="s">
        <v>21</v>
      </c>
      <c r="C643" s="14" t="s">
        <v>407</v>
      </c>
      <c r="D643" s="14" t="s">
        <v>495</v>
      </c>
      <c r="E643" s="14" t="s">
        <v>496</v>
      </c>
      <c r="F643" s="14" t="s">
        <v>497</v>
      </c>
      <c r="G643" s="14" t="s">
        <v>498</v>
      </c>
      <c r="H643" s="14" t="s">
        <v>499</v>
      </c>
      <c r="I643" s="14" t="s">
        <v>500</v>
      </c>
      <c r="J643" s="14" t="s">
        <v>501</v>
      </c>
      <c r="K643" s="5" t="s">
        <v>465</v>
      </c>
    </row>
    <row r="644" customFormat="false" ht="17.15" hidden="false" customHeight="false" outlineLevel="0" collapsed="false">
      <c r="A644" s="6" t="s">
        <v>516</v>
      </c>
    </row>
    <row r="645" customFormat="false" ht="17.15" hidden="false" customHeight="false" outlineLevel="0" collapsed="false">
      <c r="A645" s="0" t="s">
        <v>517</v>
      </c>
      <c r="B645" s="4" t="s">
        <v>31</v>
      </c>
      <c r="D645" s="22" t="n">
        <f aca="false">u_trn_26</f>
        <v>2</v>
      </c>
      <c r="E645" s="22" t="n">
        <f aca="false">u_trn_27</f>
        <v>2.5</v>
      </c>
      <c r="F645" s="22" t="n">
        <f aca="false">u_trn_28*um28_A</f>
        <v>3</v>
      </c>
      <c r="G645" s="22" t="n">
        <f aca="false">u_trn_28*(1+g29_trn)*um29_A</f>
        <v>3.45</v>
      </c>
    </row>
    <row r="646" customFormat="false" ht="17.15" hidden="false" customHeight="false" outlineLevel="0" collapsed="false">
      <c r="A646" s="4" t="s">
        <v>469</v>
      </c>
      <c r="B646" s="0" t="s">
        <v>44</v>
      </c>
      <c r="D646" s="18" t="n">
        <f aca="false">al_trn_26</f>
        <v>0.3</v>
      </c>
      <c r="E646" s="18" t="n">
        <f aca="false">MIN(1,MAX(0,al27_A+0))</f>
        <v>0.55</v>
      </c>
      <c r="F646" s="18" t="n">
        <f aca="false">MIN(1,MAX(0,al28_A+0))</f>
        <v>0.55</v>
      </c>
      <c r="G646" s="18" t="n">
        <f aca="false">MIN(1,MAX(0,al28_A+0))</f>
        <v>0.55</v>
      </c>
    </row>
    <row r="647" customFormat="false" ht="17.15" hidden="false" customHeight="false" outlineLevel="0" collapsed="false">
      <c r="A647" s="4" t="s">
        <v>471</v>
      </c>
      <c r="B647" s="4" t="s">
        <v>31</v>
      </c>
      <c r="D647" s="22" t="n">
        <f aca="false">D645*D646</f>
        <v>0.6</v>
      </c>
      <c r="E647" s="22" t="n">
        <f aca="false">E645*E646*1</f>
        <v>1.375</v>
      </c>
      <c r="F647" s="22" t="n">
        <f aca="false">F645*F646*1</f>
        <v>1.65</v>
      </c>
      <c r="G647" s="22" t="n">
        <f aca="false">G645*G646*1</f>
        <v>1.8975</v>
      </c>
    </row>
    <row r="648" customFormat="false" ht="17.15" hidden="false" customHeight="false" outlineLevel="0" collapsed="false">
      <c r="A648" s="4" t="s">
        <v>518</v>
      </c>
      <c r="B648" s="0" t="s">
        <v>69</v>
      </c>
      <c r="D648" s="30" t="n">
        <f aca="false">gb_trn_26</f>
        <v>110</v>
      </c>
      <c r="E648" s="30" t="n">
        <f aca="false">gb_trn_27</f>
        <v>144</v>
      </c>
      <c r="F648" s="30" t="n">
        <f aca="false">gb_trn_28</f>
        <v>200</v>
      </c>
      <c r="G648" s="30" t="n">
        <f aca="false">gb_trn_28</f>
        <v>200</v>
      </c>
    </row>
    <row r="649" customFormat="false" ht="17.15" hidden="false" customHeight="false" outlineLevel="0" collapsed="false">
      <c r="A649" s="0" t="s">
        <v>519</v>
      </c>
      <c r="B649" s="0" t="s">
        <v>156</v>
      </c>
      <c r="D649" s="20" t="n">
        <f aca="false">hbm_A_26</f>
        <v>14.6</v>
      </c>
      <c r="E649" s="20" t="n">
        <f aca="false">hbm_A_27</f>
        <v>26.28</v>
      </c>
      <c r="F649" s="20" t="n">
        <f aca="false">hbm_A_28</f>
        <v>28.908</v>
      </c>
      <c r="G649" s="20" t="n">
        <f aca="false">hbm_A_29</f>
        <v>27.4626</v>
      </c>
    </row>
    <row r="650" customFormat="false" ht="17.15" hidden="false" customHeight="false" outlineLevel="0" collapsed="false">
      <c r="A650" s="4" t="s">
        <v>520</v>
      </c>
      <c r="B650" s="0" t="s">
        <v>80</v>
      </c>
      <c r="D650" s="20" t="n">
        <f aca="false">core_trn</f>
        <v>6.394</v>
      </c>
      <c r="E650" s="20" t="n">
        <f aca="false">core_trn</f>
        <v>6.394</v>
      </c>
      <c r="F650" s="20" t="n">
        <f aca="false">core_trn*pfc_A</f>
        <v>9.591</v>
      </c>
      <c r="G650" s="20" t="n">
        <f aca="false">core_trn*pfc_A</f>
        <v>9.591</v>
      </c>
    </row>
    <row r="651" customFormat="false" ht="17.15" hidden="false" customHeight="false" outlineLevel="0" collapsed="false">
      <c r="A651" s="4" t="s">
        <v>521</v>
      </c>
      <c r="B651" s="0" t="s">
        <v>80</v>
      </c>
      <c r="D651" s="20" t="n">
        <f aca="false">D648*D649/1000</f>
        <v>1.606</v>
      </c>
      <c r="E651" s="20" t="n">
        <f aca="false">E648*E649/1000</f>
        <v>3.78432</v>
      </c>
      <c r="F651" s="20" t="n">
        <f aca="false">F648*F649/1000</f>
        <v>5.7816</v>
      </c>
      <c r="G651" s="20" t="n">
        <f aca="false">G648*G649/1000</f>
        <v>5.49252</v>
      </c>
    </row>
    <row r="652" customFormat="false" ht="17.15" hidden="false" customHeight="false" outlineLevel="0" collapsed="false">
      <c r="A652" s="4" t="s">
        <v>522</v>
      </c>
      <c r="B652" s="0" t="s">
        <v>80</v>
      </c>
      <c r="D652" s="20" t="n">
        <f aca="false">D650+f_al*D651</f>
        <v>6.394</v>
      </c>
      <c r="E652" s="20" t="n">
        <f aca="false">E650+f_al*E651</f>
        <v>6.394</v>
      </c>
      <c r="F652" s="20" t="n">
        <f aca="false">F650+f_al*F651</f>
        <v>9.591</v>
      </c>
      <c r="G652" s="20" t="n">
        <f aca="false">G650+f_al*G651</f>
        <v>9.591</v>
      </c>
      <c r="K652" s="4" t="s">
        <v>523</v>
      </c>
    </row>
    <row r="653" customFormat="false" ht="17.15" hidden="false" customHeight="false" outlineLevel="0" collapsed="false">
      <c r="A653" s="0" t="s">
        <v>524</v>
      </c>
      <c r="B653" s="0" t="s">
        <v>213</v>
      </c>
      <c r="D653" s="20" t="n">
        <f aca="false">D647*D652</f>
        <v>3.8364</v>
      </c>
      <c r="E653" s="20" t="n">
        <f aca="false">E647*E652</f>
        <v>8.79175</v>
      </c>
      <c r="F653" s="20" t="n">
        <f aca="false">F647*F652</f>
        <v>15.82515</v>
      </c>
      <c r="G653" s="20" t="n">
        <f aca="false">G647*G652</f>
        <v>18.1989225</v>
      </c>
    </row>
    <row r="654" customFormat="false" ht="17.15" hidden="false" customHeight="false" outlineLevel="0" collapsed="false">
      <c r="A654" s="4" t="s">
        <v>525</v>
      </c>
      <c r="B654" s="0" t="s">
        <v>49</v>
      </c>
      <c r="D654" s="22" t="n">
        <f aca="false">dc26/D653</f>
        <v>0.390991554582421</v>
      </c>
      <c r="K654" s="8" t="s">
        <v>526</v>
      </c>
    </row>
    <row r="655" customFormat="false" ht="17.15" hidden="false" customHeight="false" outlineLevel="0" collapsed="false">
      <c r="A655" s="0" t="s">
        <v>527</v>
      </c>
      <c r="B655" s="0" t="s">
        <v>213</v>
      </c>
      <c r="D655" s="20" t="n">
        <f aca="false">D653*$D$654</f>
        <v>1.5</v>
      </c>
      <c r="E655" s="20" t="n">
        <f aca="false">E653*$D$654</f>
        <v>3.4375</v>
      </c>
      <c r="F655" s="20" t="n">
        <f aca="false">F653*$D$654</f>
        <v>6.1875</v>
      </c>
      <c r="G655" s="20" t="n">
        <f aca="false">G653*$D$654</f>
        <v>7.115625</v>
      </c>
    </row>
    <row r="656" customFormat="false" ht="15" hidden="false" customHeight="false" outlineLevel="0" collapsed="false">
      <c r="A656" s="4" t="s">
        <v>528</v>
      </c>
      <c r="B656" s="0" t="s">
        <v>224</v>
      </c>
      <c r="D656" s="20" t="n">
        <f aca="false">fx26</f>
        <v>31.6</v>
      </c>
      <c r="E656" s="20" t="n">
        <f aca="false">fx</f>
        <v>32</v>
      </c>
      <c r="F656" s="20" t="n">
        <f aca="false">fx</f>
        <v>32</v>
      </c>
      <c r="G656" s="20" t="n">
        <f aca="false">fx</f>
        <v>32</v>
      </c>
    </row>
    <row r="657" customFormat="false" ht="17.15" hidden="false" customHeight="false" outlineLevel="0" collapsed="false">
      <c r="A657" s="0" t="s">
        <v>529</v>
      </c>
      <c r="B657" s="0" t="s">
        <v>219</v>
      </c>
      <c r="C657" s="20" t="n">
        <f aca="false">a25_trn</f>
        <v>0</v>
      </c>
      <c r="D657" s="20" t="n">
        <f aca="false">D655*D656</f>
        <v>47.4</v>
      </c>
      <c r="E657" s="20" t="n">
        <f aca="false">E655*E656</f>
        <v>110</v>
      </c>
      <c r="F657" s="20" t="n">
        <f aca="false">F655*F656</f>
        <v>198</v>
      </c>
      <c r="G657" s="20" t="n">
        <f aca="false">G655*G656</f>
        <v>227.7</v>
      </c>
    </row>
    <row r="658" customFormat="false" ht="17.15" hidden="false" customHeight="false" outlineLevel="0" collapsed="false">
      <c r="A658" s="4" t="s">
        <v>530</v>
      </c>
      <c r="B658" s="0" t="s">
        <v>219</v>
      </c>
      <c r="D658" s="20" t="n">
        <f aca="false">$D$654*f_al*D647*D651*D656</f>
        <v>0</v>
      </c>
      <c r="E658" s="20" t="n">
        <f aca="false">$D$654*f_al*E647*E651*E656</f>
        <v>0</v>
      </c>
      <c r="F658" s="20" t="n">
        <f aca="false">$D$654*f_al*F647*F651*F656</f>
        <v>0</v>
      </c>
      <c r="G658" s="20" t="n">
        <f aca="false">$D$654*f_al*G647*G651*G656</f>
        <v>0</v>
      </c>
    </row>
    <row r="659" customFormat="false" ht="15" hidden="false" customHeight="false" outlineLevel="0" collapsed="false">
      <c r="A659" s="4" t="s">
        <v>531</v>
      </c>
      <c r="B659" s="0" t="s">
        <v>219</v>
      </c>
      <c r="D659" s="20" t="n">
        <f aca="false">D657-D658</f>
        <v>47.4</v>
      </c>
      <c r="E659" s="20" t="n">
        <f aca="false">E657-E658</f>
        <v>110</v>
      </c>
      <c r="F659" s="20" t="n">
        <f aca="false">F657-F658</f>
        <v>198</v>
      </c>
      <c r="G659" s="20" t="n">
        <f aca="false">G657-G658</f>
        <v>227.7</v>
      </c>
    </row>
    <row r="660" customFormat="false" ht="15" hidden="false" customHeight="false" outlineLevel="0" collapsed="false">
      <c r="A660" s="4" t="s">
        <v>475</v>
      </c>
      <c r="B660" s="0" t="s">
        <v>80</v>
      </c>
      <c r="D660" s="20" t="n">
        <f aca="false">IF(D647&gt;0,D655/D647,0)</f>
        <v>2.5</v>
      </c>
      <c r="E660" s="20" t="n">
        <f aca="false">IF(E647&gt;0,E655/E647,0)</f>
        <v>2.5</v>
      </c>
      <c r="F660" s="20" t="n">
        <f aca="false">IF(F647&gt;0,F655/F647,0)</f>
        <v>3.75</v>
      </c>
      <c r="G660" s="20" t="n">
        <f aca="false">IF(G647&gt;0,G655/G647,0)</f>
        <v>3.75</v>
      </c>
    </row>
    <row r="661" customFormat="false" ht="17.15" hidden="false" customHeight="false" outlineLevel="0" collapsed="false">
      <c r="A661" s="6" t="s">
        <v>532</v>
      </c>
    </row>
    <row r="662" customFormat="false" ht="17.15" hidden="false" customHeight="false" outlineLevel="0" collapsed="false">
      <c r="A662" s="4" t="s">
        <v>533</v>
      </c>
      <c r="B662" s="0" t="s">
        <v>219</v>
      </c>
      <c r="C662" s="20" t="n">
        <f aca="false">a25_oth</f>
        <v>30.926</v>
      </c>
      <c r="D662" s="20" t="n">
        <f aca="false">a26_oth</f>
        <v>20.43665</v>
      </c>
      <c r="E662" s="20" t="n">
        <f aca="false">D662*(1+g_o27_A)</f>
        <v>23.5021475</v>
      </c>
      <c r="F662" s="20" t="n">
        <f aca="false">E662*(1+g_oL_A)</f>
        <v>26.3224052</v>
      </c>
      <c r="G662" s="20" t="n">
        <f aca="false">F662*(1+g_oL_A)</f>
        <v>29.481093824</v>
      </c>
    </row>
    <row r="663" customFormat="false" ht="17.15" hidden="false" customHeight="false" outlineLevel="0" collapsed="false">
      <c r="A663" s="4" t="s">
        <v>413</v>
      </c>
      <c r="B663" s="0" t="s">
        <v>219</v>
      </c>
      <c r="C663" s="20" t="n">
        <f aca="false">C662+C657</f>
        <v>30.926</v>
      </c>
      <c r="D663" s="20" t="n">
        <f aca="false">D662+D657</f>
        <v>67.83665</v>
      </c>
      <c r="E663" s="20" t="n">
        <f aca="false">E662+E657</f>
        <v>133.5021475</v>
      </c>
      <c r="F663" s="20" t="n">
        <f aca="false">F662+F657</f>
        <v>224.3224052</v>
      </c>
      <c r="G663" s="20" t="n">
        <f aca="false">G662+G657</f>
        <v>257.181093824</v>
      </c>
      <c r="H663" s="28" t="n">
        <f aca="false">G663*(1+H664)</f>
        <v>287.439262995056</v>
      </c>
      <c r="I663" s="28" t="n">
        <f aca="false">H663*(1+I664)</f>
        <v>312.971510126327</v>
      </c>
      <c r="J663" s="28" t="n">
        <f aca="false">I663*(1+J664)</f>
        <v>331.749800733906</v>
      </c>
      <c r="K663" s="8" t="s">
        <v>534</v>
      </c>
    </row>
    <row r="664" customFormat="false" ht="15" hidden="false" customHeight="false" outlineLevel="0" collapsed="false">
      <c r="A664" s="4" t="s">
        <v>535</v>
      </c>
      <c r="B664" s="0" t="s">
        <v>44</v>
      </c>
      <c r="D664" s="18" t="n">
        <f aca="false">D663/C663-1</f>
        <v>1.19351516523314</v>
      </c>
      <c r="E664" s="18" t="n">
        <f aca="false">E663/D663-1</f>
        <v>0.967994402730677</v>
      </c>
      <c r="F664" s="18" t="n">
        <f aca="false">F663/E663-1</f>
        <v>0.68029061255363</v>
      </c>
      <c r="G664" s="18" t="n">
        <f aca="false">G663/F663-1</f>
        <v>0.146479744610014</v>
      </c>
      <c r="H664" s="26" t="n">
        <f aca="false">$G664+(fade_gA-$G664)*1/3</f>
        <v>0.117653163073342</v>
      </c>
      <c r="I664" s="26" t="n">
        <f aca="false">$G664+(fade_gA-$G664)*2/3</f>
        <v>0.0888265815366712</v>
      </c>
      <c r="J664" s="26" t="n">
        <f aca="false">$G664+(fade_gA-$G664)*3/3</f>
        <v>0.06</v>
      </c>
    </row>
    <row r="665" customFormat="false" ht="17.15" hidden="false" customHeight="false" outlineLevel="0" collapsed="false">
      <c r="A665" s="0" t="s">
        <v>536</v>
      </c>
      <c r="B665" s="0" t="s">
        <v>44</v>
      </c>
      <c r="C665" s="18" t="n">
        <f aca="false">C657/C663</f>
        <v>0</v>
      </c>
      <c r="D665" s="18" t="n">
        <f aca="false">D657/D663</f>
        <v>0.698737334464482</v>
      </c>
      <c r="E665" s="18" t="n">
        <f aca="false">E657/E663</f>
        <v>0.823956783167102</v>
      </c>
      <c r="F665" s="18" t="n">
        <f aca="false">F657/F663</f>
        <v>0.882658153667122</v>
      </c>
      <c r="G665" s="18" t="n">
        <f aca="false">G657/G663</f>
        <v>0.885368347316482</v>
      </c>
    </row>
    <row r="666" customFormat="false" ht="17.15" hidden="false" customHeight="false" outlineLevel="0" collapsed="false">
      <c r="A666" s="4" t="s">
        <v>537</v>
      </c>
      <c r="B666" s="0" t="s">
        <v>44</v>
      </c>
      <c r="C666" s="18" t="n">
        <f aca="false">C662/C663</f>
        <v>1</v>
      </c>
      <c r="D666" s="18" t="n">
        <f aca="false">D662/D663</f>
        <v>0.301262665535518</v>
      </c>
      <c r="E666" s="18" t="n">
        <f aca="false">E662/E663</f>
        <v>0.176043216832898</v>
      </c>
      <c r="F666" s="18" t="n">
        <f aca="false">F662/F663</f>
        <v>0.117341846332878</v>
      </c>
      <c r="G666" s="18" t="n">
        <f aca="false">G662/G663</f>
        <v>0.114631652683518</v>
      </c>
    </row>
    <row r="667" customFormat="false" ht="17.15" hidden="false" customHeight="false" outlineLevel="0" collapsed="false">
      <c r="A667" s="6" t="s">
        <v>538</v>
      </c>
    </row>
    <row r="668" customFormat="false" ht="17.15" hidden="false" customHeight="false" outlineLevel="0" collapsed="false">
      <c r="A668" s="0" t="s">
        <v>539</v>
      </c>
      <c r="B668" s="0" t="s">
        <v>219</v>
      </c>
      <c r="D668" s="20" t="n">
        <f aca="false">m_trn*D659+m_hbm*D658</f>
        <v>6.162</v>
      </c>
      <c r="E668" s="20" t="n">
        <f aca="false">(m_trn+gta_A)*E659+m_hbm*E658</f>
        <v>15.4</v>
      </c>
      <c r="F668" s="20" t="n">
        <f aca="false">(m_trn+gta_A)*F659+m_hbm*F658</f>
        <v>27.72</v>
      </c>
      <c r="G668" s="20" t="n">
        <f aca="false">(m_trn+gta_A)*G659+m_hbm*G658</f>
        <v>31.878</v>
      </c>
    </row>
    <row r="669" customFormat="false" ht="17.15" hidden="false" customHeight="false" outlineLevel="0" collapsed="false">
      <c r="A669" s="4" t="s">
        <v>540</v>
      </c>
      <c r="B669" s="0" t="s">
        <v>44</v>
      </c>
      <c r="C669" s="17" t="n">
        <f aca="false">a25_gp/C662</f>
        <v>0.263661643924206</v>
      </c>
      <c r="D669" s="17" t="n">
        <f aca="false">(a26_gp-D668)/D662</f>
        <v>0.499403865114879</v>
      </c>
      <c r="E669" s="17" t="n">
        <f aca="false">$D669+0</f>
        <v>0.499403865114879</v>
      </c>
      <c r="F669" s="17" t="n">
        <f aca="false">$D669+0</f>
        <v>0.499403865114879</v>
      </c>
      <c r="G669" s="17" t="n">
        <f aca="false">$D669+0</f>
        <v>0.499403865114879</v>
      </c>
      <c r="K669" s="8" t="s">
        <v>541</v>
      </c>
    </row>
    <row r="670" customFormat="false" ht="15" hidden="false" customHeight="false" outlineLevel="0" collapsed="false">
      <c r="A670" s="4" t="s">
        <v>422</v>
      </c>
      <c r="B670" s="0" t="s">
        <v>219</v>
      </c>
      <c r="C670" s="20" t="n">
        <f aca="false">a25_gp</f>
        <v>8.154</v>
      </c>
      <c r="D670" s="20" t="n">
        <f aca="false">a26_gp</f>
        <v>16.368142</v>
      </c>
      <c r="E670" s="20" t="n">
        <f aca="false">E669*E662+E668</f>
        <v>27.1370633</v>
      </c>
      <c r="F670" s="20" t="n">
        <f aca="false">F669*F662+F668</f>
        <v>40.865510896</v>
      </c>
      <c r="G670" s="20" t="n">
        <f aca="false">G669*G662+G668</f>
        <v>46.60097220352</v>
      </c>
    </row>
    <row r="671" customFormat="false" ht="15" hidden="false" customHeight="false" outlineLevel="0" collapsed="false">
      <c r="A671" s="4" t="s">
        <v>425</v>
      </c>
      <c r="B671" s="0" t="s">
        <v>44</v>
      </c>
      <c r="C671" s="17" t="n">
        <f aca="false">C670/C663</f>
        <v>0.263661643924206</v>
      </c>
      <c r="D671" s="17" t="n">
        <f aca="false">D670/D663</f>
        <v>0.241287593063632</v>
      </c>
      <c r="E671" s="17" t="n">
        <f aca="false">E670/E663</f>
        <v>0.203270612557</v>
      </c>
      <c r="F671" s="17" t="n">
        <f aca="false">F670/F663</f>
        <v>0.182173113111753</v>
      </c>
      <c r="G671" s="17" t="n">
        <f aca="false">G670/G663</f>
        <v>0.181199059038963</v>
      </c>
    </row>
    <row r="672" customFormat="false" ht="15" hidden="false" customHeight="false" outlineLevel="0" collapsed="false">
      <c r="A672" s="4" t="s">
        <v>429</v>
      </c>
      <c r="B672" s="0" t="s">
        <v>219</v>
      </c>
      <c r="C672" s="20" t="n">
        <f aca="false">a25_opx</f>
        <v>3.138</v>
      </c>
      <c r="D672" s="20" t="n">
        <f aca="false">a26_opx</f>
        <v>3.849</v>
      </c>
      <c r="E672" s="20" t="n">
        <f aca="false">D672*(1+MAX(g_opx_min,phi*E664))+0*E663</f>
        <v>4.96674313683311</v>
      </c>
      <c r="F672" s="20" t="n">
        <f aca="false">E672*(1+MAX(g_opx_min,phi*F664))+0*F663</f>
        <v>5.98039175611893</v>
      </c>
      <c r="G672" s="20" t="n">
        <f aca="false">F672*(1+MAX(g_opx_min,phi*G664))+0*G663</f>
        <v>6.45882309660845</v>
      </c>
    </row>
    <row r="673" customFormat="false" ht="15" hidden="false" customHeight="false" outlineLevel="0" collapsed="false">
      <c r="A673" s="4" t="s">
        <v>432</v>
      </c>
      <c r="B673" s="0" t="s">
        <v>219</v>
      </c>
      <c r="C673" s="20" t="n">
        <f aca="false">C670-C672</f>
        <v>5.016</v>
      </c>
      <c r="D673" s="20" t="n">
        <f aca="false">D670-D672</f>
        <v>12.519142</v>
      </c>
      <c r="E673" s="20" t="n">
        <f aca="false">E670-E672</f>
        <v>22.1703201631669</v>
      </c>
      <c r="F673" s="20" t="n">
        <f aca="false">F670-F672</f>
        <v>34.8851191398811</v>
      </c>
      <c r="G673" s="20" t="n">
        <f aca="false">G670-G672</f>
        <v>40.1421491069116</v>
      </c>
    </row>
    <row r="674" customFormat="false" ht="15" hidden="false" customHeight="false" outlineLevel="0" collapsed="false">
      <c r="A674" s="4" t="s">
        <v>505</v>
      </c>
      <c r="B674" s="0" t="s">
        <v>44</v>
      </c>
      <c r="C674" s="17" t="n">
        <f aca="false">C673/C663</f>
        <v>0.162193623488327</v>
      </c>
      <c r="D674" s="17" t="n">
        <f aca="false">D673/D663</f>
        <v>0.184548352549838</v>
      </c>
      <c r="E674" s="17" t="n">
        <f aca="false">E673/E663</f>
        <v>0.166067142576616</v>
      </c>
      <c r="F674" s="17" t="n">
        <f aca="false">F673/F663</f>
        <v>0.155513307325581</v>
      </c>
      <c r="G674" s="17" t="n">
        <f aca="false">G673/G663</f>
        <v>0.156085148056733</v>
      </c>
    </row>
    <row r="675" customFormat="false" ht="15" hidden="false" customHeight="false" outlineLevel="0" collapsed="false">
      <c r="A675" s="4" t="s">
        <v>435</v>
      </c>
      <c r="B675" s="0" t="s">
        <v>219</v>
      </c>
      <c r="C675" s="20" t="n">
        <f aca="false">a25_nonop</f>
        <v>1.7042198</v>
      </c>
      <c r="D675" s="20" t="n">
        <f aca="false">a26_nonop</f>
        <v>1.605</v>
      </c>
      <c r="E675" s="20" t="n">
        <f aca="false">nonop_f</f>
        <v>1.6</v>
      </c>
      <c r="F675" s="20" t="n">
        <f aca="false">nonop_f</f>
        <v>1.6</v>
      </c>
      <c r="G675" s="20" t="n">
        <f aca="false">nonop_f</f>
        <v>1.6</v>
      </c>
    </row>
    <row r="676" customFormat="false" ht="15" hidden="false" customHeight="false" outlineLevel="0" collapsed="false">
      <c r="A676" s="4" t="s">
        <v>437</v>
      </c>
      <c r="B676" s="0" t="s">
        <v>219</v>
      </c>
      <c r="C676" s="20" t="n">
        <f aca="false">C673+C675</f>
        <v>6.7202198</v>
      </c>
      <c r="D676" s="20" t="n">
        <f aca="false">D673+D675</f>
        <v>14.124142</v>
      </c>
      <c r="E676" s="20" t="n">
        <f aca="false">E673+E675</f>
        <v>23.7703201631669</v>
      </c>
      <c r="F676" s="20" t="n">
        <f aca="false">F673+F675</f>
        <v>36.4851191398811</v>
      </c>
      <c r="G676" s="20" t="n">
        <f aca="false">G673+G675</f>
        <v>41.7421491069116</v>
      </c>
    </row>
    <row r="677" customFormat="false" ht="15" hidden="false" customHeight="false" outlineLevel="0" collapsed="false">
      <c r="A677" s="4" t="s">
        <v>439</v>
      </c>
      <c r="B677" s="0" t="s">
        <v>219</v>
      </c>
      <c r="C677" s="20" t="n">
        <f aca="false">a25_tax</f>
        <v>1.1222198</v>
      </c>
      <c r="D677" s="20" t="n">
        <f aca="false">a26_tax</f>
        <v>2.8140284</v>
      </c>
      <c r="E677" s="20" t="n">
        <f aca="false">E676*tax_hi</f>
        <v>5.94258004079172</v>
      </c>
      <c r="F677" s="20" t="n">
        <f aca="false">F676*tax_hi</f>
        <v>9.12127978497027</v>
      </c>
      <c r="G677" s="20" t="n">
        <f aca="false">G676*tax_hi</f>
        <v>10.4355372767279</v>
      </c>
    </row>
    <row r="678" customFormat="false" ht="15" hidden="false" customHeight="false" outlineLevel="0" collapsed="false">
      <c r="A678" s="4" t="s">
        <v>442</v>
      </c>
      <c r="B678" s="0" t="s">
        <v>219</v>
      </c>
      <c r="C678" s="20" t="n">
        <f aca="false">C676-C677</f>
        <v>5.598</v>
      </c>
      <c r="D678" s="20" t="n">
        <f aca="false">D676-D677</f>
        <v>11.3101136</v>
      </c>
      <c r="E678" s="20" t="n">
        <f aca="false">E676-E677</f>
        <v>17.8277401223752</v>
      </c>
      <c r="F678" s="20" t="n">
        <f aca="false">F676-F677</f>
        <v>27.3638393549108</v>
      </c>
      <c r="G678" s="20" t="n">
        <f aca="false">G676-G677</f>
        <v>31.3066118301837</v>
      </c>
      <c r="H678" s="28" t="n">
        <f aca="false">H663*H682</f>
        <v>35.7674878201611</v>
      </c>
      <c r="I678" s="28" t="n">
        <f aca="false">I663*I682</f>
        <v>39.7912130475845</v>
      </c>
      <c r="J678" s="28" t="n">
        <f aca="false">J663*J682</f>
        <v>43.0761046778957</v>
      </c>
    </row>
    <row r="679" customFormat="false" ht="17.15" hidden="false" customHeight="false" outlineLevel="0" collapsed="false">
      <c r="A679" s="4" t="s">
        <v>542</v>
      </c>
      <c r="B679" s="4" t="s">
        <v>272</v>
      </c>
      <c r="C679" s="19" t="n">
        <f aca="false">a25_sh</f>
        <v>0.0809193408499566</v>
      </c>
      <c r="D679" s="19" t="n">
        <f aca="false">a26_sh</f>
        <v>0.0838996682946683</v>
      </c>
      <c r="E679" s="19" t="n">
        <f aca="false">q_sh*(1+sh_g)</f>
        <v>0.08621</v>
      </c>
      <c r="F679" s="19" t="n">
        <f aca="false">E679*(1+sh_g)</f>
        <v>0.08621</v>
      </c>
      <c r="G679" s="19" t="n">
        <f aca="false">F679*(1+sh_g)</f>
        <v>0.08621</v>
      </c>
      <c r="H679" s="31" t="n">
        <f aca="false">G679*(1+sh_g)</f>
        <v>0.08621</v>
      </c>
      <c r="I679" s="31" t="n">
        <f aca="false">H679*(1+sh_g)</f>
        <v>0.08621</v>
      </c>
      <c r="J679" s="31" t="n">
        <f aca="false">I679*(1+sh_g)</f>
        <v>0.08621</v>
      </c>
      <c r="K679" s="8" t="s">
        <v>543</v>
      </c>
    </row>
    <row r="680" customFormat="false" ht="17.15" hidden="false" customHeight="false" outlineLevel="0" collapsed="false">
      <c r="A680" s="0" t="s">
        <v>446</v>
      </c>
      <c r="B680" s="0" t="s">
        <v>312</v>
      </c>
      <c r="C680" s="20" t="n">
        <f aca="false">C678/C679</f>
        <v>69.18</v>
      </c>
      <c r="D680" s="20" t="n">
        <f aca="false">D678/D679</f>
        <v>134.805224262356</v>
      </c>
      <c r="E680" s="20" t="n">
        <f aca="false">E678/E679</f>
        <v>206.794340823282</v>
      </c>
      <c r="F680" s="20" t="n">
        <f aca="false">F678/F679</f>
        <v>317.409109789013</v>
      </c>
      <c r="G680" s="20" t="n">
        <f aca="false">G678/G679</f>
        <v>363.143624059664</v>
      </c>
      <c r="H680" s="28" t="n">
        <f aca="false">H678/H679</f>
        <v>414.88792274865</v>
      </c>
      <c r="I680" s="28" t="n">
        <f aca="false">I678/I679</f>
        <v>461.561455139595</v>
      </c>
      <c r="J680" s="28" t="n">
        <f aca="false">J678/J679</f>
        <v>499.664826329842</v>
      </c>
    </row>
    <row r="681" customFormat="false" ht="17.15" hidden="false" customHeight="false" outlineLevel="0" collapsed="false">
      <c r="A681" s="0" t="s">
        <v>544</v>
      </c>
      <c r="B681" s="0" t="s">
        <v>44</v>
      </c>
      <c r="D681" s="18" t="n">
        <f aca="false">D680/C680-1</f>
        <v>0.948615557420577</v>
      </c>
      <c r="E681" s="18" t="n">
        <f aca="false">E680/D680-1</f>
        <v>0.534023194982583</v>
      </c>
      <c r="F681" s="18" t="n">
        <f aca="false">F680/E680-1</f>
        <v>0.534902302090836</v>
      </c>
      <c r="G681" s="18" t="n">
        <f aca="false">G680/F680-1</f>
        <v>0.144086961779553</v>
      </c>
      <c r="H681" s="26" t="n">
        <f aca="false">H680/G680-1</f>
        <v>0.142489900030528</v>
      </c>
      <c r="I681" s="26" t="n">
        <f aca="false">I680/H680-1</f>
        <v>0.112496724613556</v>
      </c>
      <c r="J681" s="26" t="n">
        <f aca="false">J680/I680-1</f>
        <v>0.0825531914893616</v>
      </c>
    </row>
    <row r="682" customFormat="false" ht="17.15" hidden="false" customHeight="false" outlineLevel="0" collapsed="false">
      <c r="A682" s="4" t="s">
        <v>545</v>
      </c>
      <c r="B682" s="0" t="s">
        <v>44</v>
      </c>
      <c r="C682" s="17" t="n">
        <f aca="false">C678/C663</f>
        <v>0.181012740089245</v>
      </c>
      <c r="D682" s="17" t="n">
        <f aca="false">D678/D663</f>
        <v>0.166725709480052</v>
      </c>
      <c r="E682" s="17" t="n">
        <f aca="false">E678/E663</f>
        <v>0.133538976385194</v>
      </c>
      <c r="F682" s="17" t="n">
        <f aca="false">F678/F663</f>
        <v>0.121984423849744</v>
      </c>
      <c r="G682" s="17" t="n">
        <f aca="false">G678/G663</f>
        <v>0.121729833887432</v>
      </c>
      <c r="H682" s="27" t="n">
        <f aca="false">$G682+(fade_mA-$G682)*1/3</f>
        <v>0.124434941307153</v>
      </c>
      <c r="I682" s="27" t="n">
        <f aca="false">$G682+(fade_mA-$G682)*2/3</f>
        <v>0.127140048726874</v>
      </c>
      <c r="J682" s="27" t="n">
        <f aca="false">$G682+(fade_mA-$G682)*3/3</f>
        <v>0.129845156146594</v>
      </c>
    </row>
    <row r="685" customFormat="false" ht="17.15" hidden="false" customHeight="false" outlineLevel="0" collapsed="false">
      <c r="A685" s="1" t="s">
        <v>835</v>
      </c>
    </row>
    <row r="686" customFormat="false" ht="17.15" hidden="false" customHeight="false" outlineLevel="0" collapsed="false">
      <c r="A686" s="5" t="s">
        <v>20</v>
      </c>
      <c r="B686" s="5" t="s">
        <v>21</v>
      </c>
      <c r="C686" s="14" t="s">
        <v>407</v>
      </c>
      <c r="D686" s="14" t="s">
        <v>495</v>
      </c>
      <c r="E686" s="14" t="s">
        <v>496</v>
      </c>
      <c r="F686" s="14" t="s">
        <v>497</v>
      </c>
      <c r="G686" s="14" t="s">
        <v>498</v>
      </c>
      <c r="H686" s="14" t="s">
        <v>499</v>
      </c>
      <c r="I686" s="14" t="s">
        <v>500</v>
      </c>
      <c r="J686" s="14" t="s">
        <v>501</v>
      </c>
      <c r="K686" s="5" t="s">
        <v>465</v>
      </c>
    </row>
    <row r="687" customFormat="false" ht="17.15" hidden="false" customHeight="false" outlineLevel="0" collapsed="false">
      <c r="A687" s="6" t="s">
        <v>516</v>
      </c>
    </row>
    <row r="688" customFormat="false" ht="17.15" hidden="false" customHeight="false" outlineLevel="0" collapsed="false">
      <c r="A688" s="0" t="s">
        <v>517</v>
      </c>
      <c r="B688" s="4" t="s">
        <v>31</v>
      </c>
      <c r="D688" s="22" t="n">
        <f aca="false">u_trn_26</f>
        <v>2</v>
      </c>
      <c r="E688" s="22" t="n">
        <f aca="false">u_trn_27</f>
        <v>2.5</v>
      </c>
      <c r="F688" s="22" t="n">
        <f aca="false">u_trn_28*um28_A</f>
        <v>3</v>
      </c>
      <c r="G688" s="22" t="n">
        <f aca="false">u_trn_28*(1+g29_trn)*um29_A</f>
        <v>3.45</v>
      </c>
    </row>
    <row r="689" customFormat="false" ht="17.15" hidden="false" customHeight="false" outlineLevel="0" collapsed="false">
      <c r="A689" s="4" t="s">
        <v>469</v>
      </c>
      <c r="B689" s="0" t="s">
        <v>44</v>
      </c>
      <c r="D689" s="18" t="n">
        <f aca="false">al_trn_26</f>
        <v>0.3</v>
      </c>
      <c r="E689" s="18" t="n">
        <f aca="false">MIN(1,MAX(0,al27_A+0))</f>
        <v>0.55</v>
      </c>
      <c r="F689" s="18" t="n">
        <f aca="false">MIN(1,MAX(0,al28_A+0))</f>
        <v>0.55</v>
      </c>
      <c r="G689" s="18" t="n">
        <f aca="false">MIN(1,MAX(0,al28_A+0))</f>
        <v>0.55</v>
      </c>
    </row>
    <row r="690" customFormat="false" ht="17.15" hidden="false" customHeight="false" outlineLevel="0" collapsed="false">
      <c r="A690" s="4" t="s">
        <v>471</v>
      </c>
      <c r="B690" s="4" t="s">
        <v>31</v>
      </c>
      <c r="D690" s="22" t="n">
        <f aca="false">D688*D689</f>
        <v>0.6</v>
      </c>
      <c r="E690" s="22" t="n">
        <f aca="false">E688*E689*1</f>
        <v>1.375</v>
      </c>
      <c r="F690" s="22" t="n">
        <f aca="false">F688*F689*1</f>
        <v>1.65</v>
      </c>
      <c r="G690" s="22" t="n">
        <f aca="false">G688*G689*1</f>
        <v>1.8975</v>
      </c>
    </row>
    <row r="691" customFormat="false" ht="17.15" hidden="false" customHeight="false" outlineLevel="0" collapsed="false">
      <c r="A691" s="4" t="s">
        <v>518</v>
      </c>
      <c r="B691" s="0" t="s">
        <v>69</v>
      </c>
      <c r="D691" s="30" t="n">
        <f aca="false">gb_trn_26</f>
        <v>110</v>
      </c>
      <c r="E691" s="30" t="n">
        <f aca="false">gb_trn_27</f>
        <v>144</v>
      </c>
      <c r="F691" s="30" t="n">
        <f aca="false">gb_trn_28</f>
        <v>200</v>
      </c>
      <c r="G691" s="30" t="n">
        <f aca="false">gb_trn_28</f>
        <v>200</v>
      </c>
    </row>
    <row r="692" customFormat="false" ht="17.15" hidden="false" customHeight="false" outlineLevel="0" collapsed="false">
      <c r="A692" s="0" t="s">
        <v>519</v>
      </c>
      <c r="B692" s="0" t="s">
        <v>156</v>
      </c>
      <c r="D692" s="20" t="n">
        <f aca="false">hbm_A_26</f>
        <v>14.6</v>
      </c>
      <c r="E692" s="20" t="n">
        <f aca="false">hbm_A_27</f>
        <v>26.28</v>
      </c>
      <c r="F692" s="20" t="n">
        <f aca="false">hbm_A_28</f>
        <v>28.908</v>
      </c>
      <c r="G692" s="20" t="n">
        <f aca="false">hbm_A_29</f>
        <v>27.4626</v>
      </c>
    </row>
    <row r="693" customFormat="false" ht="17.15" hidden="false" customHeight="false" outlineLevel="0" collapsed="false">
      <c r="A693" s="4" t="s">
        <v>520</v>
      </c>
      <c r="B693" s="0" t="s">
        <v>80</v>
      </c>
      <c r="D693" s="20" t="n">
        <f aca="false">core_trn</f>
        <v>6.394</v>
      </c>
      <c r="E693" s="20" t="n">
        <f aca="false">core_trn</f>
        <v>6.394</v>
      </c>
      <c r="F693" s="20" t="n">
        <f aca="false">core_trn*pfc_A</f>
        <v>9.591</v>
      </c>
      <c r="G693" s="20" t="n">
        <f aca="false">core_trn*pfc_A</f>
        <v>9.591</v>
      </c>
    </row>
    <row r="694" customFormat="false" ht="17.15" hidden="false" customHeight="false" outlineLevel="0" collapsed="false">
      <c r="A694" s="4" t="s">
        <v>521</v>
      </c>
      <c r="B694" s="0" t="s">
        <v>80</v>
      </c>
      <c r="D694" s="20" t="n">
        <f aca="false">D691*D692/1000</f>
        <v>1.606</v>
      </c>
      <c r="E694" s="20" t="n">
        <f aca="false">E691*E692/1000</f>
        <v>3.78432</v>
      </c>
      <c r="F694" s="20" t="n">
        <f aca="false">F691*F692/1000</f>
        <v>5.7816</v>
      </c>
      <c r="G694" s="20" t="n">
        <f aca="false">G691*G692/1000</f>
        <v>5.49252</v>
      </c>
    </row>
    <row r="695" customFormat="false" ht="17.15" hidden="false" customHeight="false" outlineLevel="0" collapsed="false">
      <c r="A695" s="4" t="s">
        <v>522</v>
      </c>
      <c r="B695" s="0" t="s">
        <v>80</v>
      </c>
      <c r="D695" s="20" t="n">
        <f aca="false">D693+f_al*D694</f>
        <v>6.394</v>
      </c>
      <c r="E695" s="20" t="n">
        <f aca="false">E693+f_al*E694</f>
        <v>6.394</v>
      </c>
      <c r="F695" s="20" t="n">
        <f aca="false">F693+f_al*F694</f>
        <v>9.591</v>
      </c>
      <c r="G695" s="20" t="n">
        <f aca="false">G693+f_al*G694</f>
        <v>9.591</v>
      </c>
      <c r="K695" s="4" t="s">
        <v>523</v>
      </c>
    </row>
    <row r="696" customFormat="false" ht="17.15" hidden="false" customHeight="false" outlineLevel="0" collapsed="false">
      <c r="A696" s="0" t="s">
        <v>524</v>
      </c>
      <c r="B696" s="0" t="s">
        <v>213</v>
      </c>
      <c r="D696" s="20" t="n">
        <f aca="false">D690*D695</f>
        <v>3.8364</v>
      </c>
      <c r="E696" s="20" t="n">
        <f aca="false">E690*E695</f>
        <v>8.79175</v>
      </c>
      <c r="F696" s="20" t="n">
        <f aca="false">F690*F695</f>
        <v>15.82515</v>
      </c>
      <c r="G696" s="20" t="n">
        <f aca="false">G690*G695</f>
        <v>18.1989225</v>
      </c>
    </row>
    <row r="697" customFormat="false" ht="17.15" hidden="false" customHeight="false" outlineLevel="0" collapsed="false">
      <c r="A697" s="4" t="s">
        <v>525</v>
      </c>
      <c r="B697" s="0" t="s">
        <v>49</v>
      </c>
      <c r="D697" s="22" t="n">
        <f aca="false">dc26/D696</f>
        <v>0.390991554582421</v>
      </c>
      <c r="K697" s="8" t="s">
        <v>526</v>
      </c>
    </row>
    <row r="698" customFormat="false" ht="17.15" hidden="false" customHeight="false" outlineLevel="0" collapsed="false">
      <c r="A698" s="0" t="s">
        <v>527</v>
      </c>
      <c r="B698" s="0" t="s">
        <v>213</v>
      </c>
      <c r="D698" s="20" t="n">
        <f aca="false">D696*$D$697</f>
        <v>1.5</v>
      </c>
      <c r="E698" s="20" t="n">
        <f aca="false">E696*$D$697</f>
        <v>3.4375</v>
      </c>
      <c r="F698" s="20" t="n">
        <f aca="false">F696*$D$697</f>
        <v>6.1875</v>
      </c>
      <c r="G698" s="20" t="n">
        <f aca="false">G696*$D$697</f>
        <v>7.115625</v>
      </c>
    </row>
    <row r="699" customFormat="false" ht="15" hidden="false" customHeight="false" outlineLevel="0" collapsed="false">
      <c r="A699" s="4" t="s">
        <v>528</v>
      </c>
      <c r="B699" s="0" t="s">
        <v>224</v>
      </c>
      <c r="D699" s="20" t="n">
        <f aca="false">fx26</f>
        <v>31.6</v>
      </c>
      <c r="E699" s="20" t="n">
        <f aca="false">fx</f>
        <v>32</v>
      </c>
      <c r="F699" s="20" t="n">
        <f aca="false">fx</f>
        <v>32</v>
      </c>
      <c r="G699" s="20" t="n">
        <f aca="false">fx</f>
        <v>32</v>
      </c>
    </row>
    <row r="700" customFormat="false" ht="17.15" hidden="false" customHeight="false" outlineLevel="0" collapsed="false">
      <c r="A700" s="0" t="s">
        <v>529</v>
      </c>
      <c r="B700" s="0" t="s">
        <v>219</v>
      </c>
      <c r="C700" s="20" t="n">
        <f aca="false">a25_trn</f>
        <v>0</v>
      </c>
      <c r="D700" s="20" t="n">
        <f aca="false">D698*D699</f>
        <v>47.4</v>
      </c>
      <c r="E700" s="20" t="n">
        <f aca="false">E698*E699</f>
        <v>110</v>
      </c>
      <c r="F700" s="20" t="n">
        <f aca="false">F698*F699</f>
        <v>198</v>
      </c>
      <c r="G700" s="20" t="n">
        <f aca="false">G698*G699</f>
        <v>227.7</v>
      </c>
    </row>
    <row r="701" customFormat="false" ht="17.15" hidden="false" customHeight="false" outlineLevel="0" collapsed="false">
      <c r="A701" s="4" t="s">
        <v>530</v>
      </c>
      <c r="B701" s="0" t="s">
        <v>219</v>
      </c>
      <c r="D701" s="20" t="n">
        <f aca="false">$D$697*f_al*D690*D694*D699</f>
        <v>0</v>
      </c>
      <c r="E701" s="20" t="n">
        <f aca="false">$D$697*f_al*E690*E694*E699</f>
        <v>0</v>
      </c>
      <c r="F701" s="20" t="n">
        <f aca="false">$D$697*f_al*F690*F694*F699</f>
        <v>0</v>
      </c>
      <c r="G701" s="20" t="n">
        <f aca="false">$D$697*f_al*G690*G694*G699</f>
        <v>0</v>
      </c>
    </row>
    <row r="702" customFormat="false" ht="15" hidden="false" customHeight="false" outlineLevel="0" collapsed="false">
      <c r="A702" s="4" t="s">
        <v>531</v>
      </c>
      <c r="B702" s="0" t="s">
        <v>219</v>
      </c>
      <c r="D702" s="20" t="n">
        <f aca="false">D700-D701</f>
        <v>47.4</v>
      </c>
      <c r="E702" s="20" t="n">
        <f aca="false">E700-E701</f>
        <v>110</v>
      </c>
      <c r="F702" s="20" t="n">
        <f aca="false">F700-F701</f>
        <v>198</v>
      </c>
      <c r="G702" s="20" t="n">
        <f aca="false">G700-G701</f>
        <v>227.7</v>
      </c>
    </row>
    <row r="703" customFormat="false" ht="15" hidden="false" customHeight="false" outlineLevel="0" collapsed="false">
      <c r="A703" s="4" t="s">
        <v>475</v>
      </c>
      <c r="B703" s="0" t="s">
        <v>80</v>
      </c>
      <c r="D703" s="20" t="n">
        <f aca="false">IF(D690&gt;0,D698/D690,0)</f>
        <v>2.5</v>
      </c>
      <c r="E703" s="20" t="n">
        <f aca="false">IF(E690&gt;0,E698/E690,0)</f>
        <v>2.5</v>
      </c>
      <c r="F703" s="20" t="n">
        <f aca="false">IF(F690&gt;0,F698/F690,0)</f>
        <v>3.75</v>
      </c>
      <c r="G703" s="20" t="n">
        <f aca="false">IF(G690&gt;0,G698/G690,0)</f>
        <v>3.75</v>
      </c>
    </row>
    <row r="704" customFormat="false" ht="17.15" hidden="false" customHeight="false" outlineLevel="0" collapsed="false">
      <c r="A704" s="6" t="s">
        <v>532</v>
      </c>
    </row>
    <row r="705" customFormat="false" ht="17.15" hidden="false" customHeight="false" outlineLevel="0" collapsed="false">
      <c r="A705" s="4" t="s">
        <v>533</v>
      </c>
      <c r="B705" s="0" t="s">
        <v>219</v>
      </c>
      <c r="C705" s="20" t="n">
        <f aca="false">a25_oth</f>
        <v>30.926</v>
      </c>
      <c r="D705" s="20" t="n">
        <f aca="false">a26_oth</f>
        <v>20.43665</v>
      </c>
      <c r="E705" s="20" t="n">
        <f aca="false">D705*(1+g_o27_A)</f>
        <v>23.5021475</v>
      </c>
      <c r="F705" s="20" t="n">
        <f aca="false">E705*(1+g_oL_A)</f>
        <v>26.3224052</v>
      </c>
      <c r="G705" s="20" t="n">
        <f aca="false">F705*(1+g_oL_A)</f>
        <v>29.481093824</v>
      </c>
    </row>
    <row r="706" customFormat="false" ht="17.15" hidden="false" customHeight="false" outlineLevel="0" collapsed="false">
      <c r="A706" s="4" t="s">
        <v>413</v>
      </c>
      <c r="B706" s="0" t="s">
        <v>219</v>
      </c>
      <c r="C706" s="20" t="n">
        <f aca="false">C705+C700</f>
        <v>30.926</v>
      </c>
      <c r="D706" s="20" t="n">
        <f aca="false">D705+D700</f>
        <v>67.83665</v>
      </c>
      <c r="E706" s="20" t="n">
        <f aca="false">E705+E700</f>
        <v>133.5021475</v>
      </c>
      <c r="F706" s="20" t="n">
        <f aca="false">F705+F700</f>
        <v>224.3224052</v>
      </c>
      <c r="G706" s="20" t="n">
        <f aca="false">G705+G700</f>
        <v>257.181093824</v>
      </c>
      <c r="H706" s="28" t="n">
        <f aca="false">G706*(1+H707)</f>
        <v>287.439262995056</v>
      </c>
      <c r="I706" s="28" t="n">
        <f aca="false">H706*(1+I707)</f>
        <v>312.971510126327</v>
      </c>
      <c r="J706" s="28" t="n">
        <f aca="false">I706*(1+J707)</f>
        <v>331.749800733906</v>
      </c>
      <c r="K706" s="8" t="s">
        <v>534</v>
      </c>
    </row>
    <row r="707" customFormat="false" ht="15" hidden="false" customHeight="false" outlineLevel="0" collapsed="false">
      <c r="A707" s="4" t="s">
        <v>535</v>
      </c>
      <c r="B707" s="0" t="s">
        <v>44</v>
      </c>
      <c r="D707" s="18" t="n">
        <f aca="false">D706/C706-1</f>
        <v>1.19351516523314</v>
      </c>
      <c r="E707" s="18" t="n">
        <f aca="false">E706/D706-1</f>
        <v>0.967994402730677</v>
      </c>
      <c r="F707" s="18" t="n">
        <f aca="false">F706/E706-1</f>
        <v>0.68029061255363</v>
      </c>
      <c r="G707" s="18" t="n">
        <f aca="false">G706/F706-1</f>
        <v>0.146479744610014</v>
      </c>
      <c r="H707" s="26" t="n">
        <f aca="false">$G707+(fade_gA-$G707)*1/3</f>
        <v>0.117653163073342</v>
      </c>
      <c r="I707" s="26" t="n">
        <f aca="false">$G707+(fade_gA-$G707)*2/3</f>
        <v>0.0888265815366712</v>
      </c>
      <c r="J707" s="26" t="n">
        <f aca="false">$G707+(fade_gA-$G707)*3/3</f>
        <v>0.06</v>
      </c>
    </row>
    <row r="708" customFormat="false" ht="17.15" hidden="false" customHeight="false" outlineLevel="0" collapsed="false">
      <c r="A708" s="0" t="s">
        <v>536</v>
      </c>
      <c r="B708" s="0" t="s">
        <v>44</v>
      </c>
      <c r="C708" s="18" t="n">
        <f aca="false">C700/C706</f>
        <v>0</v>
      </c>
      <c r="D708" s="18" t="n">
        <f aca="false">D700/D706</f>
        <v>0.698737334464482</v>
      </c>
      <c r="E708" s="18" t="n">
        <f aca="false">E700/E706</f>
        <v>0.823956783167102</v>
      </c>
      <c r="F708" s="18" t="n">
        <f aca="false">F700/F706</f>
        <v>0.882658153667122</v>
      </c>
      <c r="G708" s="18" t="n">
        <f aca="false">G700/G706</f>
        <v>0.885368347316482</v>
      </c>
    </row>
    <row r="709" customFormat="false" ht="17.15" hidden="false" customHeight="false" outlineLevel="0" collapsed="false">
      <c r="A709" s="4" t="s">
        <v>537</v>
      </c>
      <c r="B709" s="0" t="s">
        <v>44</v>
      </c>
      <c r="C709" s="18" t="n">
        <f aca="false">C705/C706</f>
        <v>1</v>
      </c>
      <c r="D709" s="18" t="n">
        <f aca="false">D705/D706</f>
        <v>0.301262665535518</v>
      </c>
      <c r="E709" s="18" t="n">
        <f aca="false">E705/E706</f>
        <v>0.176043216832898</v>
      </c>
      <c r="F709" s="18" t="n">
        <f aca="false">F705/F706</f>
        <v>0.117341846332878</v>
      </c>
      <c r="G709" s="18" t="n">
        <f aca="false">G705/G706</f>
        <v>0.114631652683518</v>
      </c>
    </row>
    <row r="710" customFormat="false" ht="17.15" hidden="false" customHeight="false" outlineLevel="0" collapsed="false">
      <c r="A710" s="6" t="s">
        <v>538</v>
      </c>
    </row>
    <row r="711" customFormat="false" ht="17.15" hidden="false" customHeight="false" outlineLevel="0" collapsed="false">
      <c r="A711" s="0" t="s">
        <v>539</v>
      </c>
      <c r="B711" s="0" t="s">
        <v>219</v>
      </c>
      <c r="D711" s="20" t="n">
        <f aca="false">m_trn*D702+m_hbm*D701</f>
        <v>6.162</v>
      </c>
      <c r="E711" s="20" t="n">
        <f aca="false">(m_trn+gta_A)*E702+m_hbm*E701</f>
        <v>15.4</v>
      </c>
      <c r="F711" s="20" t="n">
        <f aca="false">(m_trn+gta_A)*F702+m_hbm*F701</f>
        <v>27.72</v>
      </c>
      <c r="G711" s="20" t="n">
        <f aca="false">(m_trn+gta_A)*G702+m_hbm*G701</f>
        <v>31.878</v>
      </c>
    </row>
    <row r="712" customFormat="false" ht="17.15" hidden="false" customHeight="false" outlineLevel="0" collapsed="false">
      <c r="A712" s="4" t="s">
        <v>540</v>
      </c>
      <c r="B712" s="0" t="s">
        <v>44</v>
      </c>
      <c r="C712" s="17" t="n">
        <f aca="false">a25_gp/C705</f>
        <v>0.263661643924206</v>
      </c>
      <c r="D712" s="17" t="n">
        <f aca="false">(a26_gp-D711)/D705</f>
        <v>0.499403865114879</v>
      </c>
      <c r="E712" s="17" t="n">
        <f aca="false">$D712+0</f>
        <v>0.499403865114879</v>
      </c>
      <c r="F712" s="17" t="n">
        <f aca="false">$D712+0</f>
        <v>0.499403865114879</v>
      </c>
      <c r="G712" s="17" t="n">
        <f aca="false">$D712+0</f>
        <v>0.499403865114879</v>
      </c>
      <c r="K712" s="8" t="s">
        <v>541</v>
      </c>
    </row>
    <row r="713" customFormat="false" ht="15" hidden="false" customHeight="false" outlineLevel="0" collapsed="false">
      <c r="A713" s="4" t="s">
        <v>422</v>
      </c>
      <c r="B713" s="0" t="s">
        <v>219</v>
      </c>
      <c r="C713" s="20" t="n">
        <f aca="false">a25_gp</f>
        <v>8.154</v>
      </c>
      <c r="D713" s="20" t="n">
        <f aca="false">a26_gp</f>
        <v>16.368142</v>
      </c>
      <c r="E713" s="20" t="n">
        <f aca="false">E712*E705+E711</f>
        <v>27.1370633</v>
      </c>
      <c r="F713" s="20" t="n">
        <f aca="false">F712*F705+F711</f>
        <v>40.865510896</v>
      </c>
      <c r="G713" s="20" t="n">
        <f aca="false">G712*G705+G711</f>
        <v>46.60097220352</v>
      </c>
    </row>
    <row r="714" customFormat="false" ht="15" hidden="false" customHeight="false" outlineLevel="0" collapsed="false">
      <c r="A714" s="4" t="s">
        <v>425</v>
      </c>
      <c r="B714" s="0" t="s">
        <v>44</v>
      </c>
      <c r="C714" s="17" t="n">
        <f aca="false">C713/C706</f>
        <v>0.263661643924206</v>
      </c>
      <c r="D714" s="17" t="n">
        <f aca="false">D713/D706</f>
        <v>0.241287593063632</v>
      </c>
      <c r="E714" s="17" t="n">
        <f aca="false">E713/E706</f>
        <v>0.203270612557</v>
      </c>
      <c r="F714" s="17" t="n">
        <f aca="false">F713/F706</f>
        <v>0.182173113111753</v>
      </c>
      <c r="G714" s="17" t="n">
        <f aca="false">G713/G706</f>
        <v>0.181199059038963</v>
      </c>
    </row>
    <row r="715" customFormat="false" ht="15" hidden="false" customHeight="false" outlineLevel="0" collapsed="false">
      <c r="A715" s="4" t="s">
        <v>429</v>
      </c>
      <c r="B715" s="0" t="s">
        <v>219</v>
      </c>
      <c r="C715" s="20" t="n">
        <f aca="false">a25_opx</f>
        <v>3.138</v>
      </c>
      <c r="D715" s="20" t="n">
        <f aca="false">a26_opx</f>
        <v>3.849</v>
      </c>
      <c r="E715" s="20" t="n">
        <f aca="false">D715*(1+MAX(g_opx_min,phi*E707))+0*E706</f>
        <v>4.96674313683311</v>
      </c>
      <c r="F715" s="20" t="n">
        <f aca="false">E715*(1+MAX(g_opx_min,phi*F707))+0*F706</f>
        <v>5.98039175611893</v>
      </c>
      <c r="G715" s="20" t="n">
        <f aca="false">F715*(1+MAX(g_opx_min,phi*G707))+0*G706</f>
        <v>6.45882309660845</v>
      </c>
    </row>
    <row r="716" customFormat="false" ht="15" hidden="false" customHeight="false" outlineLevel="0" collapsed="false">
      <c r="A716" s="4" t="s">
        <v>432</v>
      </c>
      <c r="B716" s="0" t="s">
        <v>219</v>
      </c>
      <c r="C716" s="20" t="n">
        <f aca="false">C713-C715</f>
        <v>5.016</v>
      </c>
      <c r="D716" s="20" t="n">
        <f aca="false">D713-D715</f>
        <v>12.519142</v>
      </c>
      <c r="E716" s="20" t="n">
        <f aca="false">E713-E715</f>
        <v>22.1703201631669</v>
      </c>
      <c r="F716" s="20" t="n">
        <f aca="false">F713-F715</f>
        <v>34.8851191398811</v>
      </c>
      <c r="G716" s="20" t="n">
        <f aca="false">G713-G715</f>
        <v>40.1421491069116</v>
      </c>
    </row>
    <row r="717" customFormat="false" ht="15" hidden="false" customHeight="false" outlineLevel="0" collapsed="false">
      <c r="A717" s="4" t="s">
        <v>505</v>
      </c>
      <c r="B717" s="0" t="s">
        <v>44</v>
      </c>
      <c r="C717" s="17" t="n">
        <f aca="false">C716/C706</f>
        <v>0.162193623488327</v>
      </c>
      <c r="D717" s="17" t="n">
        <f aca="false">D716/D706</f>
        <v>0.184548352549838</v>
      </c>
      <c r="E717" s="17" t="n">
        <f aca="false">E716/E706</f>
        <v>0.166067142576616</v>
      </c>
      <c r="F717" s="17" t="n">
        <f aca="false">F716/F706</f>
        <v>0.155513307325581</v>
      </c>
      <c r="G717" s="17" t="n">
        <f aca="false">G716/G706</f>
        <v>0.156085148056733</v>
      </c>
    </row>
    <row r="718" customFormat="false" ht="15" hidden="false" customHeight="false" outlineLevel="0" collapsed="false">
      <c r="A718" s="4" t="s">
        <v>435</v>
      </c>
      <c r="B718" s="0" t="s">
        <v>219</v>
      </c>
      <c r="C718" s="20" t="n">
        <f aca="false">a25_nonop</f>
        <v>1.7042198</v>
      </c>
      <c r="D718" s="20" t="n">
        <f aca="false">a26_nonop</f>
        <v>1.605</v>
      </c>
      <c r="E718" s="20" t="n">
        <f aca="false">nonop_f_lo</f>
        <v>1</v>
      </c>
      <c r="F718" s="20" t="n">
        <f aca="false">nonop_f_lo</f>
        <v>1</v>
      </c>
      <c r="G718" s="20" t="n">
        <f aca="false">nonop_f_lo</f>
        <v>1</v>
      </c>
    </row>
    <row r="719" customFormat="false" ht="15" hidden="false" customHeight="false" outlineLevel="0" collapsed="false">
      <c r="A719" s="4" t="s">
        <v>437</v>
      </c>
      <c r="B719" s="0" t="s">
        <v>219</v>
      </c>
      <c r="C719" s="20" t="n">
        <f aca="false">C716+C718</f>
        <v>6.7202198</v>
      </c>
      <c r="D719" s="20" t="n">
        <f aca="false">D716+D718</f>
        <v>14.124142</v>
      </c>
      <c r="E719" s="20" t="n">
        <f aca="false">E716+E718</f>
        <v>23.1703201631669</v>
      </c>
      <c r="F719" s="20" t="n">
        <f aca="false">F716+F718</f>
        <v>35.8851191398811</v>
      </c>
      <c r="G719" s="20" t="n">
        <f aca="false">G716+G718</f>
        <v>41.1421491069116</v>
      </c>
    </row>
    <row r="720" customFormat="false" ht="15" hidden="false" customHeight="false" outlineLevel="0" collapsed="false">
      <c r="A720" s="4" t="s">
        <v>439</v>
      </c>
      <c r="B720" s="0" t="s">
        <v>219</v>
      </c>
      <c r="C720" s="20" t="n">
        <f aca="false">a25_tax</f>
        <v>1.1222198</v>
      </c>
      <c r="D720" s="20" t="n">
        <f aca="false">a26_tax</f>
        <v>2.8140284</v>
      </c>
      <c r="E720" s="20" t="n">
        <f aca="false">E719*tax</f>
        <v>4.63406403263338</v>
      </c>
      <c r="F720" s="20" t="n">
        <f aca="false">F719*tax</f>
        <v>7.17702382797621</v>
      </c>
      <c r="G720" s="20" t="n">
        <f aca="false">G719*tax</f>
        <v>8.22842982138231</v>
      </c>
    </row>
    <row r="721" customFormat="false" ht="15" hidden="false" customHeight="false" outlineLevel="0" collapsed="false">
      <c r="A721" s="4" t="s">
        <v>442</v>
      </c>
      <c r="B721" s="0" t="s">
        <v>219</v>
      </c>
      <c r="C721" s="20" t="n">
        <f aca="false">C719-C720</f>
        <v>5.598</v>
      </c>
      <c r="D721" s="20" t="n">
        <f aca="false">D719-D720</f>
        <v>11.3101136</v>
      </c>
      <c r="E721" s="20" t="n">
        <f aca="false">E719-E720</f>
        <v>18.5362561305335</v>
      </c>
      <c r="F721" s="20" t="n">
        <f aca="false">F719-F720</f>
        <v>28.7080953119049</v>
      </c>
      <c r="G721" s="20" t="n">
        <f aca="false">G719-G720</f>
        <v>32.9137192855292</v>
      </c>
      <c r="H721" s="28" t="n">
        <f aca="false">H706*H725</f>
        <v>36.9649469740716</v>
      </c>
      <c r="I721" s="28" t="n">
        <f aca="false">I706*I725</f>
        <v>40.4431257261255</v>
      </c>
      <c r="J721" s="28" t="n">
        <f aca="false">J706*J725</f>
        <v>43.0761046778957</v>
      </c>
    </row>
    <row r="722" customFormat="false" ht="17.15" hidden="false" customHeight="false" outlineLevel="0" collapsed="false">
      <c r="A722" s="4" t="s">
        <v>542</v>
      </c>
      <c r="B722" s="4" t="s">
        <v>272</v>
      </c>
      <c r="C722" s="19" t="n">
        <f aca="false">a25_sh</f>
        <v>0.0809193408499566</v>
      </c>
      <c r="D722" s="19" t="n">
        <f aca="false">a26_sh</f>
        <v>0.0838996682946683</v>
      </c>
      <c r="E722" s="19" t="n">
        <f aca="false">q_sh*(1+sh_g)</f>
        <v>0.08621</v>
      </c>
      <c r="F722" s="19" t="n">
        <f aca="false">E722*(1+sh_g)</f>
        <v>0.08621</v>
      </c>
      <c r="G722" s="19" t="n">
        <f aca="false">F722*(1+sh_g)</f>
        <v>0.08621</v>
      </c>
      <c r="H722" s="31" t="n">
        <f aca="false">G722*(1+sh_g)</f>
        <v>0.08621</v>
      </c>
      <c r="I722" s="31" t="n">
        <f aca="false">H722*(1+sh_g)</f>
        <v>0.08621</v>
      </c>
      <c r="J722" s="31" t="n">
        <f aca="false">I722*(1+sh_g)</f>
        <v>0.08621</v>
      </c>
      <c r="K722" s="8" t="s">
        <v>543</v>
      </c>
    </row>
    <row r="723" customFormat="false" ht="17.15" hidden="false" customHeight="false" outlineLevel="0" collapsed="false">
      <c r="A723" s="0" t="s">
        <v>446</v>
      </c>
      <c r="B723" s="0" t="s">
        <v>312</v>
      </c>
      <c r="C723" s="20" t="n">
        <f aca="false">C721/C722</f>
        <v>69.18</v>
      </c>
      <c r="D723" s="20" t="n">
        <f aca="false">D721/D722</f>
        <v>134.805224262356</v>
      </c>
      <c r="E723" s="20" t="n">
        <f aca="false">E721/E722</f>
        <v>215.012830652285</v>
      </c>
      <c r="F723" s="20" t="n">
        <f aca="false">F721/F722</f>
        <v>333.001917549065</v>
      </c>
      <c r="G723" s="20" t="n">
        <f aca="false">G721/G722</f>
        <v>381.785399437759</v>
      </c>
      <c r="H723" s="28" t="n">
        <f aca="false">H721/H722</f>
        <v>428.77794889307</v>
      </c>
      <c r="I723" s="28" t="n">
        <f aca="false">I721/I722</f>
        <v>469.123369981737</v>
      </c>
      <c r="J723" s="28" t="n">
        <f aca="false">J721/J722</f>
        <v>499.664826329842</v>
      </c>
    </row>
    <row r="724" customFormat="false" ht="17.15" hidden="false" customHeight="false" outlineLevel="0" collapsed="false">
      <c r="A724" s="0" t="s">
        <v>544</v>
      </c>
      <c r="B724" s="0" t="s">
        <v>44</v>
      </c>
      <c r="D724" s="18" t="n">
        <f aca="false">D723/C723-1</f>
        <v>0.948615557420577</v>
      </c>
      <c r="E724" s="18" t="n">
        <f aca="false">E723/D723-1</f>
        <v>0.594988857656073</v>
      </c>
      <c r="F724" s="18" t="n">
        <f aca="false">F723/E723-1</f>
        <v>0.548753702459688</v>
      </c>
      <c r="G724" s="18" t="n">
        <f aca="false">G723/F723-1</f>
        <v>0.146496099024736</v>
      </c>
      <c r="H724" s="26" t="n">
        <f aca="false">H723/G723-1</f>
        <v>0.123086292782581</v>
      </c>
      <c r="I724" s="26" t="n">
        <f aca="false">I723/H723-1</f>
        <v>0.0940939737988442</v>
      </c>
      <c r="J724" s="26" t="n">
        <f aca="false">J723/I723-1</f>
        <v>0.0651032506636671</v>
      </c>
    </row>
    <row r="725" customFormat="false" ht="17.15" hidden="false" customHeight="false" outlineLevel="0" collapsed="false">
      <c r="A725" s="4" t="s">
        <v>545</v>
      </c>
      <c r="B725" s="0" t="s">
        <v>44</v>
      </c>
      <c r="C725" s="17" t="n">
        <f aca="false">C721/C706</f>
        <v>0.181012740089245</v>
      </c>
      <c r="D725" s="17" t="n">
        <f aca="false">D721/D706</f>
        <v>0.166725709480052</v>
      </c>
      <c r="E725" s="17" t="n">
        <f aca="false">E721/E706</f>
        <v>0.138846127029781</v>
      </c>
      <c r="F725" s="17" t="n">
        <f aca="false">F721/F706</f>
        <v>0.127976941430837</v>
      </c>
      <c r="G725" s="17" t="n">
        <f aca="false">G721/G706</f>
        <v>0.127978767008641</v>
      </c>
      <c r="H725" s="27" t="n">
        <f aca="false">$G725+(fade_mA-$G725)*1/3</f>
        <v>0.128600896721292</v>
      </c>
      <c r="I725" s="27" t="n">
        <f aca="false">$G725+(fade_mA-$G725)*2/3</f>
        <v>0.129223026433943</v>
      </c>
      <c r="J725" s="27" t="n">
        <f aca="false">$G725+(fade_mA-$G725)*3/3</f>
        <v>0.129845156146594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836</v>
      </c>
    </row>
    <row r="2" customFormat="false" ht="17.15" hidden="false" customHeight="false" outlineLevel="0" collapsed="false">
      <c r="A2" s="4" t="s">
        <v>837</v>
      </c>
      <c r="B2" s="0" t="s">
        <v>838</v>
      </c>
    </row>
    <row r="3" customFormat="false" ht="17.15" hidden="false" customHeight="false" outlineLevel="0" collapsed="false">
      <c r="A3" s="4" t="s">
        <v>839</v>
      </c>
      <c r="B3" s="0" t="s">
        <v>840</v>
      </c>
    </row>
    <row r="4" customFormat="false" ht="17.15" hidden="false" customHeight="false" outlineLevel="0" collapsed="false">
      <c r="A4" s="4" t="s">
        <v>841</v>
      </c>
      <c r="B4" s="0" t="s">
        <v>842</v>
      </c>
    </row>
    <row r="5" customFormat="false" ht="17.15" hidden="false" customHeight="false" outlineLevel="0" collapsed="false">
      <c r="A5" s="4" t="s">
        <v>843</v>
      </c>
      <c r="B5" s="0" t="s">
        <v>844</v>
      </c>
    </row>
    <row r="6" customFormat="false" ht="17.15" hidden="false" customHeight="false" outlineLevel="0" collapsed="false">
      <c r="A6" s="4" t="s">
        <v>845</v>
      </c>
      <c r="B6" s="0" t="s">
        <v>846</v>
      </c>
    </row>
    <row r="7" customFormat="false" ht="17.15" hidden="false" customHeight="false" outlineLevel="0" collapsed="false">
      <c r="A7" s="4" t="s">
        <v>847</v>
      </c>
      <c r="B7" s="0" t="s">
        <v>848</v>
      </c>
    </row>
    <row r="8" customFormat="false" ht="17.15" hidden="false" customHeight="false" outlineLevel="0" collapsed="false">
      <c r="A8" s="4" t="s">
        <v>849</v>
      </c>
      <c r="B8" s="0" t="s">
        <v>850</v>
      </c>
    </row>
    <row r="9" customFormat="false" ht="17.15" hidden="false" customHeight="false" outlineLevel="0" collapsed="false">
      <c r="A9" s="4" t="s">
        <v>851</v>
      </c>
      <c r="B9" s="0" t="s">
        <v>852</v>
      </c>
    </row>
    <row r="10" customFormat="false" ht="17.15" hidden="false" customHeight="false" outlineLevel="0" collapsed="false">
      <c r="A10" s="4" t="s">
        <v>853</v>
      </c>
      <c r="B10" s="0" t="s">
        <v>854</v>
      </c>
    </row>
    <row r="11" customFormat="false" ht="17.15" hidden="false" customHeight="false" outlineLevel="0" collapsed="false">
      <c r="A11" s="4" t="s">
        <v>855</v>
      </c>
      <c r="B11" s="0" t="s">
        <v>856</v>
      </c>
    </row>
    <row r="12" customFormat="false" ht="17.15" hidden="false" customHeight="false" outlineLevel="0" collapsed="false">
      <c r="A12" s="4" t="s">
        <v>857</v>
      </c>
      <c r="B12" s="0" t="s">
        <v>858</v>
      </c>
    </row>
    <row r="13" customFormat="false" ht="17.15" hidden="false" customHeight="false" outlineLevel="0" collapsed="false">
      <c r="A13" s="4" t="s">
        <v>859</v>
      </c>
      <c r="B13" s="0" t="s">
        <v>860</v>
      </c>
    </row>
    <row r="14" customFormat="false" ht="17.15" hidden="false" customHeight="false" outlineLevel="0" collapsed="false">
      <c r="A14" s="4" t="s">
        <v>861</v>
      </c>
      <c r="B14" s="0" t="s">
        <v>862</v>
      </c>
    </row>
    <row r="15" customFormat="false" ht="17.15" hidden="false" customHeight="false" outlineLevel="0" collapsed="false">
      <c r="A15" s="4" t="s">
        <v>863</v>
      </c>
      <c r="B15" s="0" t="s">
        <v>864</v>
      </c>
    </row>
    <row r="16" customFormat="false" ht="17.15" hidden="false" customHeight="false" outlineLevel="0" collapsed="false">
      <c r="A16" s="4" t="s">
        <v>865</v>
      </c>
      <c r="B16" s="0" t="s">
        <v>866</v>
      </c>
    </row>
    <row r="17" customFormat="false" ht="17.15" hidden="false" customHeight="false" outlineLevel="0" collapsed="false">
      <c r="A17" s="4" t="s">
        <v>867</v>
      </c>
      <c r="B17" s="0" t="s">
        <v>868</v>
      </c>
    </row>
    <row r="18" customFormat="false" ht="17.15" hidden="false" customHeight="false" outlineLevel="0" collapsed="false">
      <c r="A18" s="4" t="s">
        <v>869</v>
      </c>
      <c r="B18" s="0" t="s">
        <v>870</v>
      </c>
    </row>
    <row r="19" customFormat="false" ht="17.15" hidden="false" customHeight="false" outlineLevel="0" collapsed="false">
      <c r="A19" s="4" t="s">
        <v>871</v>
      </c>
      <c r="B19" s="0" t="s">
        <v>872</v>
      </c>
    </row>
    <row r="20" customFormat="false" ht="17.15" hidden="false" customHeight="false" outlineLevel="0" collapsed="false">
      <c r="A20" s="4" t="s">
        <v>873</v>
      </c>
      <c r="B20" s="0" t="s">
        <v>874</v>
      </c>
    </row>
    <row r="21" customFormat="false" ht="17.15" hidden="false" customHeight="false" outlineLevel="0" collapsed="false">
      <c r="A21" s="4" t="s">
        <v>875</v>
      </c>
      <c r="B21" s="0" t="s">
        <v>876</v>
      </c>
    </row>
    <row r="22" customFormat="false" ht="17.15" hidden="false" customHeight="false" outlineLevel="0" collapsed="false">
      <c r="A22" s="4" t="s">
        <v>877</v>
      </c>
      <c r="B22" s="0" t="s">
        <v>878</v>
      </c>
    </row>
    <row r="23" customFormat="false" ht="17.15" hidden="false" customHeight="false" outlineLevel="0" collapsed="false">
      <c r="A23" s="4" t="s">
        <v>879</v>
      </c>
      <c r="B23" s="0" t="s">
        <v>880</v>
      </c>
    </row>
    <row r="24" customFormat="false" ht="17.15" hidden="false" customHeight="false" outlineLevel="0" collapsed="false">
      <c r="A24" s="4" t="s">
        <v>881</v>
      </c>
      <c r="B24" s="4" t="s">
        <v>882</v>
      </c>
    </row>
    <row r="25" customFormat="false" ht="15" hidden="false" customHeight="false" outlineLevel="0" collapsed="false">
      <c r="A25" s="0" t="s">
        <v>883</v>
      </c>
      <c r="B25" s="4" t="s">
        <v>884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2026-10-25T05:25:13Z</dcterms:created>
  <dc:creator>openpyxl</dc:creator>
  <dc:description/>
  <dc:language>en-US</dc:language>
  <cp:lastModifiedBy/>
  <dcterms:modified xsi:type="dcterms:W3CDTF">2026-10-25T05:25:14Z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